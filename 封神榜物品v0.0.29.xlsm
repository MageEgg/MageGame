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D:\game\War3\Warcraft III Frozen Throne\Maps\MZRPG\MageGame\"/>
    </mc:Choice>
  </mc:AlternateContent>
  <xr:revisionPtr revIDLastSave="0" documentId="8_{E4BD634C-1E20-4DB8-874E-5798516552DC}" xr6:coauthVersionLast="45" xr6:coauthVersionMax="45" xr10:uidLastSave="{00000000-0000-0000-0000-000000000000}"/>
  <bookViews>
    <workbookView xWindow="-108" yWindow="-108" windowWidth="23256" windowHeight="12576" tabRatio="657" activeTab="1" xr2:uid="{00000000-000D-0000-FFFF-FFFF00000000}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 builtInGroupCount="19"/>
  <definedNames>
    <definedName name="_xlnm._FilterDatabase" localSheetId="0" hidden="1">P000!$A$1:$AP$751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74" i="5" l="1"/>
  <c r="C271" i="5"/>
  <c r="CN21" i="2"/>
  <c r="C264" i="5"/>
  <c r="C258" i="5"/>
  <c r="CN3" i="2"/>
  <c r="B205" i="8"/>
  <c r="B204" i="8"/>
  <c r="B203" i="8"/>
  <c r="B202" i="8"/>
  <c r="B201" i="8"/>
  <c r="B200" i="8"/>
  <c r="B199" i="8"/>
  <c r="B198" i="8"/>
  <c r="B197" i="8"/>
  <c r="H174" i="8"/>
  <c r="H173" i="8"/>
  <c r="H172" i="8"/>
  <c r="H171" i="8"/>
  <c r="H170" i="8"/>
  <c r="H169" i="8"/>
  <c r="H168" i="8"/>
  <c r="H167" i="8"/>
  <c r="H166" i="8"/>
  <c r="H165" i="8"/>
  <c r="H164" i="8"/>
  <c r="H163" i="8"/>
  <c r="H162" i="8"/>
  <c r="H161" i="8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H1" i="8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B61" i="7"/>
  <c r="B60" i="7"/>
  <c r="B59" i="7"/>
  <c r="B58" i="7"/>
  <c r="B57" i="7"/>
  <c r="I56" i="7"/>
  <c r="H56" i="7"/>
  <c r="B56" i="7"/>
  <c r="I55" i="7"/>
  <c r="H55" i="7"/>
  <c r="G55" i="7"/>
  <c r="B55" i="7"/>
  <c r="I54" i="7"/>
  <c r="H54" i="7"/>
  <c r="G54" i="7"/>
  <c r="B54" i="7"/>
  <c r="I53" i="7"/>
  <c r="H53" i="7"/>
  <c r="G53" i="7"/>
  <c r="B53" i="7"/>
  <c r="I52" i="7"/>
  <c r="H52" i="7"/>
  <c r="G52" i="7"/>
  <c r="B52" i="7"/>
  <c r="I51" i="7"/>
  <c r="H51" i="7"/>
  <c r="G51" i="7"/>
  <c r="B51" i="7"/>
  <c r="I50" i="7"/>
  <c r="H50" i="7"/>
  <c r="G50" i="7"/>
  <c r="B50" i="7"/>
  <c r="I49" i="7"/>
  <c r="H49" i="7"/>
  <c r="G49" i="7"/>
  <c r="B49" i="7"/>
  <c r="I48" i="7"/>
  <c r="H48" i="7"/>
  <c r="G48" i="7"/>
  <c r="B48" i="7"/>
  <c r="I47" i="7"/>
  <c r="H47" i="7"/>
  <c r="G47" i="7"/>
  <c r="B47" i="7"/>
  <c r="B46" i="7"/>
  <c r="G42" i="7"/>
  <c r="B42" i="7"/>
  <c r="G41" i="7"/>
  <c r="N40" i="7"/>
  <c r="M40" i="7"/>
  <c r="O40" i="7" s="1"/>
  <c r="G40" i="7"/>
  <c r="O39" i="7"/>
  <c r="N39" i="7"/>
  <c r="M39" i="7"/>
  <c r="G39" i="7"/>
  <c r="N38" i="7"/>
  <c r="M38" i="7"/>
  <c r="O38" i="7" s="1"/>
  <c r="G38" i="7"/>
  <c r="O37" i="7"/>
  <c r="N37" i="7"/>
  <c r="M37" i="7"/>
  <c r="G37" i="7"/>
  <c r="O36" i="7"/>
  <c r="M36" i="7"/>
  <c r="N36" i="7" s="1"/>
  <c r="G36" i="7"/>
  <c r="H36" i="7" s="1"/>
  <c r="N35" i="7"/>
  <c r="M35" i="7"/>
  <c r="O35" i="7" s="1"/>
  <c r="G35" i="7"/>
  <c r="O34" i="7"/>
  <c r="M34" i="7"/>
  <c r="N34" i="7" s="1"/>
  <c r="G34" i="7"/>
  <c r="H35" i="7" s="1"/>
  <c r="O33" i="7"/>
  <c r="N33" i="7"/>
  <c r="M33" i="7"/>
  <c r="H33" i="7"/>
  <c r="G33" i="7"/>
  <c r="P25" i="7"/>
  <c r="F25" i="7"/>
  <c r="P24" i="7"/>
  <c r="F24" i="7"/>
  <c r="P23" i="7"/>
  <c r="F23" i="7"/>
  <c r="P22" i="7"/>
  <c r="F22" i="7"/>
  <c r="G26" i="7" s="1"/>
  <c r="J12" i="7" s="1"/>
  <c r="P21" i="7"/>
  <c r="F21" i="7"/>
  <c r="P20" i="7"/>
  <c r="F20" i="7"/>
  <c r="P19" i="7"/>
  <c r="F19" i="7"/>
  <c r="P18" i="7"/>
  <c r="F18" i="7"/>
  <c r="P17" i="7"/>
  <c r="F17" i="7"/>
  <c r="P16" i="7"/>
  <c r="F16" i="7"/>
  <c r="P15" i="7"/>
  <c r="F15" i="7"/>
  <c r="P14" i="7"/>
  <c r="F14" i="7"/>
  <c r="P13" i="7"/>
  <c r="F13" i="7"/>
  <c r="P12" i="7"/>
  <c r="M12" i="7"/>
  <c r="N12" i="7" s="1"/>
  <c r="K12" i="7"/>
  <c r="L12" i="7" s="1"/>
  <c r="F12" i="7"/>
  <c r="G16" i="7" s="1"/>
  <c r="J10" i="7" s="1"/>
  <c r="P11" i="7"/>
  <c r="M11" i="7"/>
  <c r="K11" i="7"/>
  <c r="L11" i="7" s="1"/>
  <c r="F11" i="7"/>
  <c r="P10" i="7"/>
  <c r="M10" i="7"/>
  <c r="N10" i="7" s="1"/>
  <c r="L10" i="7"/>
  <c r="K10" i="7"/>
  <c r="F10" i="7"/>
  <c r="P9" i="7"/>
  <c r="M9" i="7"/>
  <c r="N9" i="7" s="1"/>
  <c r="K9" i="7"/>
  <c r="L9" i="7" s="1"/>
  <c r="F9" i="7"/>
  <c r="P8" i="7"/>
  <c r="M8" i="7"/>
  <c r="L8" i="7"/>
  <c r="K8" i="7"/>
  <c r="F8" i="7"/>
  <c r="P7" i="7"/>
  <c r="F7" i="7"/>
  <c r="Y6" i="7"/>
  <c r="X6" i="7"/>
  <c r="P6" i="7"/>
  <c r="F6" i="7"/>
  <c r="Y5" i="7"/>
  <c r="X5" i="7"/>
  <c r="P5" i="7"/>
  <c r="F5" i="7"/>
  <c r="Y4" i="7"/>
  <c r="X4" i="7"/>
  <c r="P4" i="7"/>
  <c r="J4" i="7"/>
  <c r="N8" i="7" s="1"/>
  <c r="F4" i="7"/>
  <c r="Y3" i="7"/>
  <c r="X3" i="7"/>
  <c r="P3" i="7"/>
  <c r="F3" i="7"/>
  <c r="Y2" i="7"/>
  <c r="P2" i="7"/>
  <c r="F2" i="7"/>
  <c r="E47" i="6"/>
  <c r="D47" i="6"/>
  <c r="E46" i="6"/>
  <c r="D46" i="6"/>
  <c r="E45" i="6"/>
  <c r="D45" i="6"/>
  <c r="E44" i="6"/>
  <c r="D44" i="6"/>
  <c r="E43" i="6"/>
  <c r="D43" i="6"/>
  <c r="E42" i="6"/>
  <c r="D42" i="6"/>
  <c r="E41" i="6"/>
  <c r="D41" i="6"/>
  <c r="E40" i="6"/>
  <c r="D40" i="6"/>
  <c r="E39" i="6"/>
  <c r="D39" i="6"/>
  <c r="E38" i="6"/>
  <c r="D38" i="6"/>
  <c r="E37" i="6"/>
  <c r="D37" i="6"/>
  <c r="E36" i="6"/>
  <c r="D36" i="6"/>
  <c r="E35" i="6"/>
  <c r="D35" i="6"/>
  <c r="E34" i="6"/>
  <c r="D34" i="6"/>
  <c r="E33" i="6"/>
  <c r="D33" i="6"/>
  <c r="E32" i="6"/>
  <c r="D32" i="6"/>
  <c r="E31" i="6"/>
  <c r="D31" i="6"/>
  <c r="E30" i="6"/>
  <c r="D30" i="6"/>
  <c r="E29" i="6"/>
  <c r="D29" i="6"/>
  <c r="E28" i="6"/>
  <c r="D28" i="6"/>
  <c r="E27" i="6"/>
  <c r="D27" i="6"/>
  <c r="E26" i="6"/>
  <c r="D26" i="6"/>
  <c r="E25" i="6"/>
  <c r="D25" i="6"/>
  <c r="E24" i="6"/>
  <c r="D24" i="6"/>
  <c r="E23" i="6"/>
  <c r="D23" i="6"/>
  <c r="E22" i="6"/>
  <c r="D22" i="6"/>
  <c r="E21" i="6"/>
  <c r="D21" i="6"/>
  <c r="E19" i="6"/>
  <c r="D19" i="6"/>
  <c r="E18" i="6"/>
  <c r="D18" i="6"/>
  <c r="E17" i="6"/>
  <c r="D17" i="6"/>
  <c r="E16" i="6"/>
  <c r="D16" i="6"/>
  <c r="E15" i="6"/>
  <c r="D15" i="6"/>
  <c r="E14" i="6"/>
  <c r="D14" i="6"/>
  <c r="E13" i="6"/>
  <c r="D13" i="6"/>
  <c r="E12" i="6"/>
  <c r="D12" i="6"/>
  <c r="E11" i="6"/>
  <c r="D11" i="6"/>
  <c r="E10" i="6"/>
  <c r="D10" i="6"/>
  <c r="E9" i="6"/>
  <c r="D9" i="6"/>
  <c r="E8" i="6"/>
  <c r="D8" i="6"/>
  <c r="E7" i="6"/>
  <c r="D7" i="6"/>
  <c r="E6" i="6"/>
  <c r="D6" i="6"/>
  <c r="E5" i="6"/>
  <c r="D5" i="6"/>
  <c r="E4" i="6"/>
  <c r="D4" i="6"/>
  <c r="E3" i="6"/>
  <c r="D3" i="6"/>
  <c r="E2" i="6"/>
  <c r="D2" i="6"/>
  <c r="BZ313" i="5"/>
  <c r="BY313" i="5"/>
  <c r="BX313" i="5"/>
  <c r="BW313" i="5"/>
  <c r="BV313" i="5"/>
  <c r="BU313" i="5"/>
  <c r="BT313" i="5"/>
  <c r="BS313" i="5"/>
  <c r="BR313" i="5"/>
  <c r="BQ313" i="5"/>
  <c r="BO313" i="5"/>
  <c r="BN313" i="5"/>
  <c r="BM313" i="5"/>
  <c r="BL313" i="5"/>
  <c r="BK313" i="5"/>
  <c r="BJ313" i="5"/>
  <c r="BI313" i="5"/>
  <c r="BH313" i="5"/>
  <c r="BG313" i="5"/>
  <c r="BF313" i="5"/>
  <c r="BD313" i="5"/>
  <c r="BC313" i="5"/>
  <c r="BB313" i="5"/>
  <c r="BA313" i="5"/>
  <c r="AZ313" i="5"/>
  <c r="AY313" i="5"/>
  <c r="AX313" i="5"/>
  <c r="AW313" i="5"/>
  <c r="AV313" i="5"/>
  <c r="AU313" i="5"/>
  <c r="AS313" i="5"/>
  <c r="AR313" i="5"/>
  <c r="AQ313" i="5"/>
  <c r="AP313" i="5"/>
  <c r="AO313" i="5"/>
  <c r="AN313" i="5"/>
  <c r="AM313" i="5"/>
  <c r="AL313" i="5"/>
  <c r="AK313" i="5"/>
  <c r="AJ313" i="5"/>
  <c r="AH313" i="5"/>
  <c r="AG313" i="5"/>
  <c r="AF313" i="5"/>
  <c r="AE313" i="5"/>
  <c r="AD313" i="5"/>
  <c r="AC313" i="5"/>
  <c r="AB313" i="5"/>
  <c r="AA313" i="5"/>
  <c r="Z313" i="5"/>
  <c r="Y313" i="5"/>
  <c r="W313" i="5"/>
  <c r="V313" i="5"/>
  <c r="U313" i="5"/>
  <c r="T313" i="5"/>
  <c r="S313" i="5"/>
  <c r="R313" i="5"/>
  <c r="Q313" i="5"/>
  <c r="P313" i="5"/>
  <c r="O313" i="5"/>
  <c r="N313" i="5"/>
  <c r="L313" i="5"/>
  <c r="K313" i="5"/>
  <c r="J313" i="5"/>
  <c r="I313" i="5"/>
  <c r="H313" i="5"/>
  <c r="G313" i="5"/>
  <c r="F313" i="5"/>
  <c r="E313" i="5"/>
  <c r="D313" i="5"/>
  <c r="C313" i="5"/>
  <c r="B313" i="5"/>
  <c r="A313" i="5"/>
  <c r="BZ312" i="5"/>
  <c r="BY312" i="5"/>
  <c r="BX312" i="5"/>
  <c r="BW312" i="5"/>
  <c r="BV312" i="5"/>
  <c r="BU312" i="5"/>
  <c r="BT312" i="5"/>
  <c r="BS312" i="5"/>
  <c r="BR312" i="5"/>
  <c r="BQ312" i="5"/>
  <c r="BO312" i="5"/>
  <c r="BN312" i="5"/>
  <c r="BM312" i="5"/>
  <c r="BL312" i="5"/>
  <c r="BK312" i="5"/>
  <c r="BJ312" i="5"/>
  <c r="BI312" i="5"/>
  <c r="BH312" i="5"/>
  <c r="BG312" i="5"/>
  <c r="BF312" i="5"/>
  <c r="BD312" i="5"/>
  <c r="BC312" i="5"/>
  <c r="BB312" i="5"/>
  <c r="BA312" i="5"/>
  <c r="AZ312" i="5"/>
  <c r="AY312" i="5"/>
  <c r="AX312" i="5"/>
  <c r="AW312" i="5"/>
  <c r="AV312" i="5"/>
  <c r="AU312" i="5"/>
  <c r="AS312" i="5"/>
  <c r="AR312" i="5"/>
  <c r="AQ312" i="5"/>
  <c r="AP312" i="5"/>
  <c r="AO312" i="5"/>
  <c r="AN312" i="5"/>
  <c r="AM312" i="5"/>
  <c r="AL312" i="5"/>
  <c r="AK312" i="5"/>
  <c r="AJ312" i="5"/>
  <c r="AH312" i="5"/>
  <c r="AG312" i="5"/>
  <c r="AF312" i="5"/>
  <c r="AE312" i="5"/>
  <c r="AD312" i="5"/>
  <c r="AC312" i="5"/>
  <c r="AB312" i="5"/>
  <c r="AA312" i="5"/>
  <c r="Z312" i="5"/>
  <c r="Y312" i="5"/>
  <c r="W312" i="5"/>
  <c r="V312" i="5"/>
  <c r="U312" i="5"/>
  <c r="T312" i="5"/>
  <c r="S312" i="5"/>
  <c r="R312" i="5"/>
  <c r="Q312" i="5"/>
  <c r="P312" i="5"/>
  <c r="O312" i="5"/>
  <c r="N312" i="5"/>
  <c r="L312" i="5"/>
  <c r="K312" i="5"/>
  <c r="J312" i="5"/>
  <c r="I312" i="5"/>
  <c r="H312" i="5"/>
  <c r="G312" i="5"/>
  <c r="F312" i="5"/>
  <c r="E312" i="5"/>
  <c r="D312" i="5"/>
  <c r="C312" i="5"/>
  <c r="B312" i="5"/>
  <c r="A312" i="5"/>
  <c r="BZ311" i="5"/>
  <c r="BY311" i="5"/>
  <c r="BX311" i="5"/>
  <c r="BW311" i="5"/>
  <c r="BV311" i="5"/>
  <c r="BU311" i="5"/>
  <c r="BT311" i="5"/>
  <c r="BS311" i="5"/>
  <c r="BR311" i="5"/>
  <c r="BQ311" i="5"/>
  <c r="BO311" i="5"/>
  <c r="BN311" i="5"/>
  <c r="BM311" i="5"/>
  <c r="BL311" i="5"/>
  <c r="BK311" i="5"/>
  <c r="BJ311" i="5"/>
  <c r="BI311" i="5"/>
  <c r="BH311" i="5"/>
  <c r="BG311" i="5"/>
  <c r="BF311" i="5"/>
  <c r="BD311" i="5"/>
  <c r="BC311" i="5"/>
  <c r="BB311" i="5"/>
  <c r="BA311" i="5"/>
  <c r="AZ311" i="5"/>
  <c r="AY311" i="5"/>
  <c r="AX311" i="5"/>
  <c r="AW311" i="5"/>
  <c r="AV311" i="5"/>
  <c r="AU311" i="5"/>
  <c r="AS311" i="5"/>
  <c r="AR311" i="5"/>
  <c r="AQ311" i="5"/>
  <c r="AP311" i="5"/>
  <c r="AO311" i="5"/>
  <c r="AN311" i="5"/>
  <c r="AM311" i="5"/>
  <c r="AL311" i="5"/>
  <c r="AK311" i="5"/>
  <c r="AJ311" i="5"/>
  <c r="AH311" i="5"/>
  <c r="AG311" i="5"/>
  <c r="AF311" i="5"/>
  <c r="AE311" i="5"/>
  <c r="AD311" i="5"/>
  <c r="AC311" i="5"/>
  <c r="AB311" i="5"/>
  <c r="AA311" i="5"/>
  <c r="Z311" i="5"/>
  <c r="Y311" i="5"/>
  <c r="W311" i="5"/>
  <c r="V311" i="5"/>
  <c r="U311" i="5"/>
  <c r="T311" i="5"/>
  <c r="S311" i="5"/>
  <c r="R311" i="5"/>
  <c r="Q311" i="5"/>
  <c r="P311" i="5"/>
  <c r="O311" i="5"/>
  <c r="N311" i="5"/>
  <c r="L311" i="5"/>
  <c r="K311" i="5"/>
  <c r="J311" i="5"/>
  <c r="I311" i="5"/>
  <c r="H311" i="5"/>
  <c r="G311" i="5"/>
  <c r="F311" i="5"/>
  <c r="E311" i="5"/>
  <c r="D311" i="5"/>
  <c r="C311" i="5"/>
  <c r="B311" i="5"/>
  <c r="A311" i="5"/>
  <c r="BZ310" i="5"/>
  <c r="BY310" i="5"/>
  <c r="BX310" i="5"/>
  <c r="BW310" i="5"/>
  <c r="BV310" i="5"/>
  <c r="BU310" i="5"/>
  <c r="BT310" i="5"/>
  <c r="BS310" i="5"/>
  <c r="BR310" i="5"/>
  <c r="BQ310" i="5"/>
  <c r="BO310" i="5"/>
  <c r="BN310" i="5"/>
  <c r="BM310" i="5"/>
  <c r="BL310" i="5"/>
  <c r="BK310" i="5"/>
  <c r="BJ310" i="5"/>
  <c r="BI310" i="5"/>
  <c r="BH310" i="5"/>
  <c r="BG310" i="5"/>
  <c r="BF310" i="5"/>
  <c r="BD310" i="5"/>
  <c r="BC310" i="5"/>
  <c r="BB310" i="5"/>
  <c r="BA310" i="5"/>
  <c r="AZ310" i="5"/>
  <c r="AY310" i="5"/>
  <c r="AX310" i="5"/>
  <c r="AW310" i="5"/>
  <c r="AV310" i="5"/>
  <c r="AU310" i="5"/>
  <c r="AS310" i="5"/>
  <c r="AR310" i="5"/>
  <c r="AQ310" i="5"/>
  <c r="AP310" i="5"/>
  <c r="AO310" i="5"/>
  <c r="AN310" i="5"/>
  <c r="AM310" i="5"/>
  <c r="AL310" i="5"/>
  <c r="AK310" i="5"/>
  <c r="AJ310" i="5"/>
  <c r="AH310" i="5"/>
  <c r="AG310" i="5"/>
  <c r="AF310" i="5"/>
  <c r="AE310" i="5"/>
  <c r="AD310" i="5"/>
  <c r="AC310" i="5"/>
  <c r="AB310" i="5"/>
  <c r="AA310" i="5"/>
  <c r="Z310" i="5"/>
  <c r="Y310" i="5"/>
  <c r="W310" i="5"/>
  <c r="V310" i="5"/>
  <c r="U310" i="5"/>
  <c r="T310" i="5"/>
  <c r="S310" i="5"/>
  <c r="R310" i="5"/>
  <c r="Q310" i="5"/>
  <c r="P310" i="5"/>
  <c r="O310" i="5"/>
  <c r="N310" i="5"/>
  <c r="L310" i="5"/>
  <c r="K310" i="5"/>
  <c r="J310" i="5"/>
  <c r="I310" i="5"/>
  <c r="H310" i="5"/>
  <c r="G310" i="5"/>
  <c r="F310" i="5"/>
  <c r="E310" i="5"/>
  <c r="D310" i="5"/>
  <c r="C310" i="5"/>
  <c r="B310" i="5"/>
  <c r="A310" i="5"/>
  <c r="BZ309" i="5"/>
  <c r="BY309" i="5"/>
  <c r="BX309" i="5"/>
  <c r="BW309" i="5"/>
  <c r="BV309" i="5"/>
  <c r="BU309" i="5"/>
  <c r="BT309" i="5"/>
  <c r="BS309" i="5"/>
  <c r="BR309" i="5"/>
  <c r="BQ309" i="5"/>
  <c r="BO309" i="5"/>
  <c r="BN309" i="5"/>
  <c r="BM309" i="5"/>
  <c r="BL309" i="5"/>
  <c r="BK309" i="5"/>
  <c r="BJ309" i="5"/>
  <c r="BI309" i="5"/>
  <c r="BH309" i="5"/>
  <c r="BG309" i="5"/>
  <c r="BF309" i="5"/>
  <c r="BD309" i="5"/>
  <c r="BC309" i="5"/>
  <c r="BB309" i="5"/>
  <c r="BA309" i="5"/>
  <c r="AZ309" i="5"/>
  <c r="AY309" i="5"/>
  <c r="AX309" i="5"/>
  <c r="AW309" i="5"/>
  <c r="AV309" i="5"/>
  <c r="AU309" i="5"/>
  <c r="AS309" i="5"/>
  <c r="AR309" i="5"/>
  <c r="AQ309" i="5"/>
  <c r="AP309" i="5"/>
  <c r="AO309" i="5"/>
  <c r="AN309" i="5"/>
  <c r="AM309" i="5"/>
  <c r="AL309" i="5"/>
  <c r="AK309" i="5"/>
  <c r="AJ309" i="5"/>
  <c r="AH309" i="5"/>
  <c r="AG309" i="5"/>
  <c r="AF309" i="5"/>
  <c r="AE309" i="5"/>
  <c r="AD309" i="5"/>
  <c r="AC309" i="5"/>
  <c r="AB309" i="5"/>
  <c r="AA309" i="5"/>
  <c r="Z309" i="5"/>
  <c r="Y309" i="5"/>
  <c r="W309" i="5"/>
  <c r="V309" i="5"/>
  <c r="U309" i="5"/>
  <c r="T309" i="5"/>
  <c r="S309" i="5"/>
  <c r="R309" i="5"/>
  <c r="Q309" i="5"/>
  <c r="P309" i="5"/>
  <c r="O309" i="5"/>
  <c r="N309" i="5"/>
  <c r="L309" i="5"/>
  <c r="K309" i="5"/>
  <c r="J309" i="5"/>
  <c r="I309" i="5"/>
  <c r="H309" i="5"/>
  <c r="G309" i="5"/>
  <c r="F309" i="5"/>
  <c r="E309" i="5"/>
  <c r="D309" i="5"/>
  <c r="C309" i="5"/>
  <c r="B309" i="5"/>
  <c r="A309" i="5"/>
  <c r="BZ308" i="5"/>
  <c r="BY308" i="5"/>
  <c r="BX308" i="5"/>
  <c r="BW308" i="5"/>
  <c r="BV308" i="5"/>
  <c r="BU308" i="5"/>
  <c r="BT308" i="5"/>
  <c r="BS308" i="5"/>
  <c r="BR308" i="5"/>
  <c r="BQ308" i="5"/>
  <c r="BO308" i="5"/>
  <c r="BN308" i="5"/>
  <c r="BM308" i="5"/>
  <c r="BL308" i="5"/>
  <c r="BK308" i="5"/>
  <c r="BJ308" i="5"/>
  <c r="BI308" i="5"/>
  <c r="BH308" i="5"/>
  <c r="BG308" i="5"/>
  <c r="BF308" i="5"/>
  <c r="BD308" i="5"/>
  <c r="BC308" i="5"/>
  <c r="BB308" i="5"/>
  <c r="BA308" i="5"/>
  <c r="AZ308" i="5"/>
  <c r="AY308" i="5"/>
  <c r="AX308" i="5"/>
  <c r="AW308" i="5"/>
  <c r="AV308" i="5"/>
  <c r="AU308" i="5"/>
  <c r="AS308" i="5"/>
  <c r="AR308" i="5"/>
  <c r="AQ308" i="5"/>
  <c r="AP308" i="5"/>
  <c r="AO308" i="5"/>
  <c r="AN308" i="5"/>
  <c r="AM308" i="5"/>
  <c r="AL308" i="5"/>
  <c r="AK308" i="5"/>
  <c r="AJ308" i="5"/>
  <c r="AH308" i="5"/>
  <c r="AG308" i="5"/>
  <c r="AF308" i="5"/>
  <c r="AE308" i="5"/>
  <c r="AD308" i="5"/>
  <c r="AC308" i="5"/>
  <c r="AB308" i="5"/>
  <c r="AA308" i="5"/>
  <c r="Z308" i="5"/>
  <c r="Y308" i="5"/>
  <c r="W308" i="5"/>
  <c r="V308" i="5"/>
  <c r="U308" i="5"/>
  <c r="T308" i="5"/>
  <c r="S308" i="5"/>
  <c r="R308" i="5"/>
  <c r="Q308" i="5"/>
  <c r="P308" i="5"/>
  <c r="O308" i="5"/>
  <c r="N308" i="5"/>
  <c r="L308" i="5"/>
  <c r="K308" i="5"/>
  <c r="J308" i="5"/>
  <c r="I308" i="5"/>
  <c r="H308" i="5"/>
  <c r="G308" i="5"/>
  <c r="F308" i="5"/>
  <c r="E308" i="5"/>
  <c r="D308" i="5"/>
  <c r="C308" i="5"/>
  <c r="B308" i="5"/>
  <c r="A308" i="5"/>
  <c r="BZ307" i="5"/>
  <c r="BY307" i="5"/>
  <c r="BX307" i="5"/>
  <c r="BW307" i="5"/>
  <c r="BV307" i="5"/>
  <c r="BU307" i="5"/>
  <c r="BT307" i="5"/>
  <c r="BS307" i="5"/>
  <c r="BR307" i="5"/>
  <c r="BQ307" i="5"/>
  <c r="BO307" i="5"/>
  <c r="BN307" i="5"/>
  <c r="BM307" i="5"/>
  <c r="BL307" i="5"/>
  <c r="BK307" i="5"/>
  <c r="BJ307" i="5"/>
  <c r="BI307" i="5"/>
  <c r="BH307" i="5"/>
  <c r="BG307" i="5"/>
  <c r="BF307" i="5"/>
  <c r="BD307" i="5"/>
  <c r="BC307" i="5"/>
  <c r="BB307" i="5"/>
  <c r="BA307" i="5"/>
  <c r="AZ307" i="5"/>
  <c r="AY307" i="5"/>
  <c r="AX307" i="5"/>
  <c r="AW307" i="5"/>
  <c r="AV307" i="5"/>
  <c r="AU307" i="5"/>
  <c r="AS307" i="5"/>
  <c r="AR307" i="5"/>
  <c r="AQ307" i="5"/>
  <c r="AP307" i="5"/>
  <c r="AO307" i="5"/>
  <c r="AN307" i="5"/>
  <c r="AM307" i="5"/>
  <c r="AL307" i="5"/>
  <c r="AK307" i="5"/>
  <c r="AJ307" i="5"/>
  <c r="AH307" i="5"/>
  <c r="AG307" i="5"/>
  <c r="AF307" i="5"/>
  <c r="AE307" i="5"/>
  <c r="AD307" i="5"/>
  <c r="AC307" i="5"/>
  <c r="AB307" i="5"/>
  <c r="AA307" i="5"/>
  <c r="Z307" i="5"/>
  <c r="Y307" i="5"/>
  <c r="W307" i="5"/>
  <c r="V307" i="5"/>
  <c r="U307" i="5"/>
  <c r="T307" i="5"/>
  <c r="S307" i="5"/>
  <c r="R307" i="5"/>
  <c r="Q307" i="5"/>
  <c r="P307" i="5"/>
  <c r="O307" i="5"/>
  <c r="N307" i="5"/>
  <c r="L307" i="5"/>
  <c r="K307" i="5"/>
  <c r="J307" i="5"/>
  <c r="I307" i="5"/>
  <c r="H307" i="5"/>
  <c r="G307" i="5"/>
  <c r="F307" i="5"/>
  <c r="E307" i="5"/>
  <c r="D307" i="5"/>
  <c r="C307" i="5"/>
  <c r="B307" i="5"/>
  <c r="A307" i="5"/>
  <c r="BZ306" i="5"/>
  <c r="BY306" i="5"/>
  <c r="BX306" i="5"/>
  <c r="BW306" i="5"/>
  <c r="BV306" i="5"/>
  <c r="BU306" i="5"/>
  <c r="BT306" i="5"/>
  <c r="BS306" i="5"/>
  <c r="BR306" i="5"/>
  <c r="BQ306" i="5"/>
  <c r="BO306" i="5"/>
  <c r="BN306" i="5"/>
  <c r="BM306" i="5"/>
  <c r="BL306" i="5"/>
  <c r="BK306" i="5"/>
  <c r="BJ306" i="5"/>
  <c r="BI306" i="5"/>
  <c r="BH306" i="5"/>
  <c r="BG306" i="5"/>
  <c r="BF306" i="5"/>
  <c r="BD306" i="5"/>
  <c r="BC306" i="5"/>
  <c r="BB306" i="5"/>
  <c r="BA306" i="5"/>
  <c r="AZ306" i="5"/>
  <c r="AY306" i="5"/>
  <c r="AX306" i="5"/>
  <c r="AW306" i="5"/>
  <c r="AV306" i="5"/>
  <c r="AU306" i="5"/>
  <c r="AS306" i="5"/>
  <c r="AR306" i="5"/>
  <c r="AQ306" i="5"/>
  <c r="AP306" i="5"/>
  <c r="AO306" i="5"/>
  <c r="AN306" i="5"/>
  <c r="AM306" i="5"/>
  <c r="AL306" i="5"/>
  <c r="AK306" i="5"/>
  <c r="AJ306" i="5"/>
  <c r="AH306" i="5"/>
  <c r="AG306" i="5"/>
  <c r="AF306" i="5"/>
  <c r="AE306" i="5"/>
  <c r="AD306" i="5"/>
  <c r="AC306" i="5"/>
  <c r="AB306" i="5"/>
  <c r="AA306" i="5"/>
  <c r="Z306" i="5"/>
  <c r="Y306" i="5"/>
  <c r="W306" i="5"/>
  <c r="V306" i="5"/>
  <c r="U306" i="5"/>
  <c r="T306" i="5"/>
  <c r="S306" i="5"/>
  <c r="R306" i="5"/>
  <c r="Q306" i="5"/>
  <c r="P306" i="5"/>
  <c r="O306" i="5"/>
  <c r="N306" i="5"/>
  <c r="L306" i="5"/>
  <c r="K306" i="5"/>
  <c r="J306" i="5"/>
  <c r="I306" i="5"/>
  <c r="H306" i="5"/>
  <c r="G306" i="5"/>
  <c r="F306" i="5"/>
  <c r="E306" i="5"/>
  <c r="D306" i="5"/>
  <c r="C306" i="5"/>
  <c r="B306" i="5"/>
  <c r="A306" i="5"/>
  <c r="BZ305" i="5"/>
  <c r="BY305" i="5"/>
  <c r="BX305" i="5"/>
  <c r="BW305" i="5"/>
  <c r="BV305" i="5"/>
  <c r="BU305" i="5"/>
  <c r="BT305" i="5"/>
  <c r="BS305" i="5"/>
  <c r="BR305" i="5"/>
  <c r="BQ305" i="5"/>
  <c r="BO305" i="5"/>
  <c r="BN305" i="5"/>
  <c r="BM305" i="5"/>
  <c r="BL305" i="5"/>
  <c r="BK305" i="5"/>
  <c r="BJ305" i="5"/>
  <c r="BI305" i="5"/>
  <c r="BH305" i="5"/>
  <c r="BG305" i="5"/>
  <c r="BF305" i="5"/>
  <c r="BD305" i="5"/>
  <c r="BC305" i="5"/>
  <c r="BB305" i="5"/>
  <c r="BA305" i="5"/>
  <c r="AZ305" i="5"/>
  <c r="AY305" i="5"/>
  <c r="AX305" i="5"/>
  <c r="AW305" i="5"/>
  <c r="AV305" i="5"/>
  <c r="AU305" i="5"/>
  <c r="AS305" i="5"/>
  <c r="AR305" i="5"/>
  <c r="AQ305" i="5"/>
  <c r="AP305" i="5"/>
  <c r="AO305" i="5"/>
  <c r="AN305" i="5"/>
  <c r="AM305" i="5"/>
  <c r="AL305" i="5"/>
  <c r="AK305" i="5"/>
  <c r="AJ305" i="5"/>
  <c r="AH305" i="5"/>
  <c r="AG305" i="5"/>
  <c r="AF305" i="5"/>
  <c r="AE305" i="5"/>
  <c r="AD305" i="5"/>
  <c r="AC305" i="5"/>
  <c r="AB305" i="5"/>
  <c r="AA305" i="5"/>
  <c r="Z305" i="5"/>
  <c r="Y305" i="5"/>
  <c r="W305" i="5"/>
  <c r="V305" i="5"/>
  <c r="U305" i="5"/>
  <c r="T305" i="5"/>
  <c r="S305" i="5"/>
  <c r="R305" i="5"/>
  <c r="Q305" i="5"/>
  <c r="P305" i="5"/>
  <c r="O305" i="5"/>
  <c r="N305" i="5"/>
  <c r="L305" i="5"/>
  <c r="K305" i="5"/>
  <c r="J305" i="5"/>
  <c r="I305" i="5"/>
  <c r="H305" i="5"/>
  <c r="G305" i="5"/>
  <c r="F305" i="5"/>
  <c r="E305" i="5"/>
  <c r="D305" i="5"/>
  <c r="C305" i="5"/>
  <c r="B305" i="5"/>
  <c r="A305" i="5"/>
  <c r="BZ304" i="5"/>
  <c r="BY304" i="5"/>
  <c r="BX304" i="5"/>
  <c r="BW304" i="5"/>
  <c r="BV304" i="5"/>
  <c r="BU304" i="5"/>
  <c r="BT304" i="5"/>
  <c r="BS304" i="5"/>
  <c r="BR304" i="5"/>
  <c r="BQ304" i="5"/>
  <c r="BO304" i="5"/>
  <c r="BN304" i="5"/>
  <c r="BM304" i="5"/>
  <c r="BL304" i="5"/>
  <c r="BK304" i="5"/>
  <c r="BJ304" i="5"/>
  <c r="BI304" i="5"/>
  <c r="BH304" i="5"/>
  <c r="BG304" i="5"/>
  <c r="BF304" i="5"/>
  <c r="BD304" i="5"/>
  <c r="BC304" i="5"/>
  <c r="BB304" i="5"/>
  <c r="BA304" i="5"/>
  <c r="AZ304" i="5"/>
  <c r="AY304" i="5"/>
  <c r="AX304" i="5"/>
  <c r="AW304" i="5"/>
  <c r="AV304" i="5"/>
  <c r="AU304" i="5"/>
  <c r="AS304" i="5"/>
  <c r="AR304" i="5"/>
  <c r="AQ304" i="5"/>
  <c r="AP304" i="5"/>
  <c r="AO304" i="5"/>
  <c r="AN304" i="5"/>
  <c r="AM304" i="5"/>
  <c r="AL304" i="5"/>
  <c r="AK304" i="5"/>
  <c r="AJ304" i="5"/>
  <c r="AH304" i="5"/>
  <c r="AG304" i="5"/>
  <c r="AF304" i="5"/>
  <c r="AE304" i="5"/>
  <c r="AD304" i="5"/>
  <c r="AC304" i="5"/>
  <c r="AB304" i="5"/>
  <c r="AA304" i="5"/>
  <c r="Z304" i="5"/>
  <c r="Y304" i="5"/>
  <c r="W304" i="5"/>
  <c r="V304" i="5"/>
  <c r="U304" i="5"/>
  <c r="T304" i="5"/>
  <c r="S304" i="5"/>
  <c r="R304" i="5"/>
  <c r="Q304" i="5"/>
  <c r="P304" i="5"/>
  <c r="O304" i="5"/>
  <c r="N304" i="5"/>
  <c r="L304" i="5"/>
  <c r="K304" i="5"/>
  <c r="J304" i="5"/>
  <c r="I304" i="5"/>
  <c r="H304" i="5"/>
  <c r="G304" i="5"/>
  <c r="F304" i="5"/>
  <c r="E304" i="5"/>
  <c r="D304" i="5"/>
  <c r="C304" i="5"/>
  <c r="B304" i="5"/>
  <c r="A304" i="5"/>
  <c r="BZ303" i="5"/>
  <c r="BY303" i="5"/>
  <c r="BX303" i="5"/>
  <c r="BW303" i="5"/>
  <c r="BV303" i="5"/>
  <c r="BU303" i="5"/>
  <c r="BT303" i="5"/>
  <c r="BS303" i="5"/>
  <c r="BR303" i="5"/>
  <c r="CA303" i="5" s="1"/>
  <c r="CH303" i="5" s="1"/>
  <c r="BQ303" i="5"/>
  <c r="BO303" i="5"/>
  <c r="BN303" i="5"/>
  <c r="BM303" i="5"/>
  <c r="BL303" i="5"/>
  <c r="BK303" i="5"/>
  <c r="BJ303" i="5"/>
  <c r="BI303" i="5"/>
  <c r="BH303" i="5"/>
  <c r="BG303" i="5"/>
  <c r="BF303" i="5"/>
  <c r="BD303" i="5"/>
  <c r="BC303" i="5"/>
  <c r="BB303" i="5"/>
  <c r="BA303" i="5"/>
  <c r="AZ303" i="5"/>
  <c r="AY303" i="5"/>
  <c r="AX303" i="5"/>
  <c r="AW303" i="5"/>
  <c r="AV303" i="5"/>
  <c r="AU303" i="5"/>
  <c r="AS303" i="5"/>
  <c r="AR303" i="5"/>
  <c r="AQ303" i="5"/>
  <c r="AP303" i="5"/>
  <c r="AO303" i="5"/>
  <c r="AN303" i="5"/>
  <c r="AM303" i="5"/>
  <c r="AL303" i="5"/>
  <c r="AK303" i="5"/>
  <c r="AJ303" i="5"/>
  <c r="AH303" i="5"/>
  <c r="AG303" i="5"/>
  <c r="AF303" i="5"/>
  <c r="AE303" i="5"/>
  <c r="AD303" i="5"/>
  <c r="AC303" i="5"/>
  <c r="AB303" i="5"/>
  <c r="AA303" i="5"/>
  <c r="Z303" i="5"/>
  <c r="Y303" i="5"/>
  <c r="W303" i="5"/>
  <c r="V303" i="5"/>
  <c r="U303" i="5"/>
  <c r="T303" i="5"/>
  <c r="S303" i="5"/>
  <c r="R303" i="5"/>
  <c r="Q303" i="5"/>
  <c r="P303" i="5"/>
  <c r="O303" i="5"/>
  <c r="N303" i="5"/>
  <c r="L303" i="5"/>
  <c r="K303" i="5"/>
  <c r="J303" i="5"/>
  <c r="I303" i="5"/>
  <c r="H303" i="5"/>
  <c r="G303" i="5"/>
  <c r="F303" i="5"/>
  <c r="E303" i="5"/>
  <c r="D303" i="5"/>
  <c r="C303" i="5"/>
  <c r="B303" i="5"/>
  <c r="A303" i="5"/>
  <c r="BZ302" i="5"/>
  <c r="BY302" i="5"/>
  <c r="BX302" i="5"/>
  <c r="BW302" i="5"/>
  <c r="BV302" i="5"/>
  <c r="BU302" i="5"/>
  <c r="BT302" i="5"/>
  <c r="BS302" i="5"/>
  <c r="BR302" i="5"/>
  <c r="BQ302" i="5"/>
  <c r="BO302" i="5"/>
  <c r="BN302" i="5"/>
  <c r="BM302" i="5"/>
  <c r="BL302" i="5"/>
  <c r="BK302" i="5"/>
  <c r="BJ302" i="5"/>
  <c r="BI302" i="5"/>
  <c r="BH302" i="5"/>
  <c r="BG302" i="5"/>
  <c r="BF302" i="5"/>
  <c r="BD302" i="5"/>
  <c r="BC302" i="5"/>
  <c r="BB302" i="5"/>
  <c r="BA302" i="5"/>
  <c r="AZ302" i="5"/>
  <c r="AY302" i="5"/>
  <c r="AX302" i="5"/>
  <c r="AW302" i="5"/>
  <c r="AV302" i="5"/>
  <c r="AU302" i="5"/>
  <c r="AS302" i="5"/>
  <c r="AR302" i="5"/>
  <c r="AQ302" i="5"/>
  <c r="AP302" i="5"/>
  <c r="AO302" i="5"/>
  <c r="AN302" i="5"/>
  <c r="AM302" i="5"/>
  <c r="AL302" i="5"/>
  <c r="AK302" i="5"/>
  <c r="AJ302" i="5"/>
  <c r="AH302" i="5"/>
  <c r="AG302" i="5"/>
  <c r="AF302" i="5"/>
  <c r="AE302" i="5"/>
  <c r="AD302" i="5"/>
  <c r="AC302" i="5"/>
  <c r="AB302" i="5"/>
  <c r="AA302" i="5"/>
  <c r="Z302" i="5"/>
  <c r="Y302" i="5"/>
  <c r="W302" i="5"/>
  <c r="V302" i="5"/>
  <c r="U302" i="5"/>
  <c r="T302" i="5"/>
  <c r="S302" i="5"/>
  <c r="R302" i="5"/>
  <c r="Q302" i="5"/>
  <c r="P302" i="5"/>
  <c r="O302" i="5"/>
  <c r="N302" i="5"/>
  <c r="L302" i="5"/>
  <c r="K302" i="5"/>
  <c r="J302" i="5"/>
  <c r="I302" i="5"/>
  <c r="H302" i="5"/>
  <c r="G302" i="5"/>
  <c r="F302" i="5"/>
  <c r="E302" i="5"/>
  <c r="D302" i="5"/>
  <c r="C302" i="5"/>
  <c r="B302" i="5"/>
  <c r="A302" i="5"/>
  <c r="BZ301" i="5"/>
  <c r="BY301" i="5"/>
  <c r="BX301" i="5"/>
  <c r="BW301" i="5"/>
  <c r="BV301" i="5"/>
  <c r="BU301" i="5"/>
  <c r="BT301" i="5"/>
  <c r="BS301" i="5"/>
  <c r="BR301" i="5"/>
  <c r="BQ301" i="5"/>
  <c r="BO301" i="5"/>
  <c r="BN301" i="5"/>
  <c r="BM301" i="5"/>
  <c r="BL301" i="5"/>
  <c r="BK301" i="5"/>
  <c r="BJ301" i="5"/>
  <c r="BI301" i="5"/>
  <c r="BH301" i="5"/>
  <c r="BG301" i="5"/>
  <c r="BF301" i="5"/>
  <c r="BD301" i="5"/>
  <c r="BC301" i="5"/>
  <c r="BB301" i="5"/>
  <c r="BA301" i="5"/>
  <c r="AZ301" i="5"/>
  <c r="AY301" i="5"/>
  <c r="AX301" i="5"/>
  <c r="AW301" i="5"/>
  <c r="AV301" i="5"/>
  <c r="AU301" i="5"/>
  <c r="AS301" i="5"/>
  <c r="AR301" i="5"/>
  <c r="AQ301" i="5"/>
  <c r="AP301" i="5"/>
  <c r="AO301" i="5"/>
  <c r="AN301" i="5"/>
  <c r="AM301" i="5"/>
  <c r="AL301" i="5"/>
  <c r="AK301" i="5"/>
  <c r="AJ301" i="5"/>
  <c r="AH301" i="5"/>
  <c r="AG301" i="5"/>
  <c r="AF301" i="5"/>
  <c r="AE301" i="5"/>
  <c r="AD301" i="5"/>
  <c r="AC301" i="5"/>
  <c r="AB301" i="5"/>
  <c r="AA301" i="5"/>
  <c r="Z301" i="5"/>
  <c r="Y301" i="5"/>
  <c r="W301" i="5"/>
  <c r="V301" i="5"/>
  <c r="U301" i="5"/>
  <c r="T301" i="5"/>
  <c r="S301" i="5"/>
  <c r="R301" i="5"/>
  <c r="Q301" i="5"/>
  <c r="P301" i="5"/>
  <c r="O301" i="5"/>
  <c r="N301" i="5"/>
  <c r="L301" i="5"/>
  <c r="K301" i="5"/>
  <c r="J301" i="5"/>
  <c r="I301" i="5"/>
  <c r="H301" i="5"/>
  <c r="G301" i="5"/>
  <c r="F301" i="5"/>
  <c r="E301" i="5"/>
  <c r="D301" i="5"/>
  <c r="C301" i="5"/>
  <c r="B301" i="5"/>
  <c r="A301" i="5"/>
  <c r="BZ300" i="5"/>
  <c r="BY300" i="5"/>
  <c r="BX300" i="5"/>
  <c r="BW300" i="5"/>
  <c r="BV300" i="5"/>
  <c r="BU300" i="5"/>
  <c r="BT300" i="5"/>
  <c r="BS300" i="5"/>
  <c r="BR300" i="5"/>
  <c r="BQ300" i="5"/>
  <c r="BO300" i="5"/>
  <c r="BN300" i="5"/>
  <c r="BM300" i="5"/>
  <c r="BL300" i="5"/>
  <c r="BK300" i="5"/>
  <c r="BJ300" i="5"/>
  <c r="BI300" i="5"/>
  <c r="BH300" i="5"/>
  <c r="BG300" i="5"/>
  <c r="BF300" i="5"/>
  <c r="BD300" i="5"/>
  <c r="BC300" i="5"/>
  <c r="BB300" i="5"/>
  <c r="BA300" i="5"/>
  <c r="AZ300" i="5"/>
  <c r="AY300" i="5"/>
  <c r="AX300" i="5"/>
  <c r="AW300" i="5"/>
  <c r="AV300" i="5"/>
  <c r="AU300" i="5"/>
  <c r="AS300" i="5"/>
  <c r="AR300" i="5"/>
  <c r="AQ300" i="5"/>
  <c r="AP300" i="5"/>
  <c r="AO300" i="5"/>
  <c r="AN300" i="5"/>
  <c r="AM300" i="5"/>
  <c r="AL300" i="5"/>
  <c r="AK300" i="5"/>
  <c r="AJ300" i="5"/>
  <c r="AH300" i="5"/>
  <c r="AG300" i="5"/>
  <c r="AF300" i="5"/>
  <c r="AE300" i="5"/>
  <c r="AD300" i="5"/>
  <c r="AC300" i="5"/>
  <c r="AB300" i="5"/>
  <c r="AA300" i="5"/>
  <c r="Z300" i="5"/>
  <c r="Y300" i="5"/>
  <c r="W300" i="5"/>
  <c r="V300" i="5"/>
  <c r="U300" i="5"/>
  <c r="T300" i="5"/>
  <c r="S300" i="5"/>
  <c r="R300" i="5"/>
  <c r="Q300" i="5"/>
  <c r="P300" i="5"/>
  <c r="O300" i="5"/>
  <c r="N300" i="5"/>
  <c r="L300" i="5"/>
  <c r="K300" i="5"/>
  <c r="J300" i="5"/>
  <c r="I300" i="5"/>
  <c r="H300" i="5"/>
  <c r="G300" i="5"/>
  <c r="F300" i="5"/>
  <c r="E300" i="5"/>
  <c r="D300" i="5"/>
  <c r="C300" i="5"/>
  <c r="B300" i="5"/>
  <c r="A300" i="5"/>
  <c r="BZ299" i="5"/>
  <c r="BY299" i="5"/>
  <c r="BX299" i="5"/>
  <c r="BW299" i="5"/>
  <c r="BV299" i="5"/>
  <c r="BU299" i="5"/>
  <c r="BT299" i="5"/>
  <c r="BS299" i="5"/>
  <c r="BR299" i="5"/>
  <c r="BQ299" i="5"/>
  <c r="BO299" i="5"/>
  <c r="BN299" i="5"/>
  <c r="BM299" i="5"/>
  <c r="BL299" i="5"/>
  <c r="BK299" i="5"/>
  <c r="BJ299" i="5"/>
  <c r="BI299" i="5"/>
  <c r="BH299" i="5"/>
  <c r="BG299" i="5"/>
  <c r="BF299" i="5"/>
  <c r="BD299" i="5"/>
  <c r="BC299" i="5"/>
  <c r="BB299" i="5"/>
  <c r="BA299" i="5"/>
  <c r="AZ299" i="5"/>
  <c r="AY299" i="5"/>
  <c r="AX299" i="5"/>
  <c r="AW299" i="5"/>
  <c r="AV299" i="5"/>
  <c r="AU299" i="5"/>
  <c r="AS299" i="5"/>
  <c r="AR299" i="5"/>
  <c r="AQ299" i="5"/>
  <c r="AP299" i="5"/>
  <c r="AO299" i="5"/>
  <c r="AN299" i="5"/>
  <c r="AM299" i="5"/>
  <c r="AL299" i="5"/>
  <c r="AK299" i="5"/>
  <c r="AJ299" i="5"/>
  <c r="AH299" i="5"/>
  <c r="AG299" i="5"/>
  <c r="AF299" i="5"/>
  <c r="AE299" i="5"/>
  <c r="AD299" i="5"/>
  <c r="AC299" i="5"/>
  <c r="AB299" i="5"/>
  <c r="AA299" i="5"/>
  <c r="Z299" i="5"/>
  <c r="Y299" i="5"/>
  <c r="W299" i="5"/>
  <c r="V299" i="5"/>
  <c r="U299" i="5"/>
  <c r="T299" i="5"/>
  <c r="S299" i="5"/>
  <c r="R299" i="5"/>
  <c r="Q299" i="5"/>
  <c r="P299" i="5"/>
  <c r="O299" i="5"/>
  <c r="N299" i="5"/>
  <c r="L299" i="5"/>
  <c r="K299" i="5"/>
  <c r="J299" i="5"/>
  <c r="I299" i="5"/>
  <c r="H299" i="5"/>
  <c r="G299" i="5"/>
  <c r="F299" i="5"/>
  <c r="E299" i="5"/>
  <c r="D299" i="5"/>
  <c r="C299" i="5"/>
  <c r="B299" i="5"/>
  <c r="A299" i="5"/>
  <c r="BZ298" i="5"/>
  <c r="BY298" i="5"/>
  <c r="BX298" i="5"/>
  <c r="BW298" i="5"/>
  <c r="BV298" i="5"/>
  <c r="BU298" i="5"/>
  <c r="BT298" i="5"/>
  <c r="BS298" i="5"/>
  <c r="BR298" i="5"/>
  <c r="BQ298" i="5"/>
  <c r="BO298" i="5"/>
  <c r="BN298" i="5"/>
  <c r="BM298" i="5"/>
  <c r="BL298" i="5"/>
  <c r="BK298" i="5"/>
  <c r="BJ298" i="5"/>
  <c r="BI298" i="5"/>
  <c r="BH298" i="5"/>
  <c r="BG298" i="5"/>
  <c r="BF298" i="5"/>
  <c r="BD298" i="5"/>
  <c r="BC298" i="5"/>
  <c r="BB298" i="5"/>
  <c r="BA298" i="5"/>
  <c r="AZ298" i="5"/>
  <c r="AY298" i="5"/>
  <c r="AX298" i="5"/>
  <c r="AW298" i="5"/>
  <c r="AV298" i="5"/>
  <c r="AU298" i="5"/>
  <c r="AS298" i="5"/>
  <c r="AR298" i="5"/>
  <c r="AQ298" i="5"/>
  <c r="AP298" i="5"/>
  <c r="AO298" i="5"/>
  <c r="AN298" i="5"/>
  <c r="AM298" i="5"/>
  <c r="AL298" i="5"/>
  <c r="AK298" i="5"/>
  <c r="AJ298" i="5"/>
  <c r="AH298" i="5"/>
  <c r="AG298" i="5"/>
  <c r="AF298" i="5"/>
  <c r="AE298" i="5"/>
  <c r="AD298" i="5"/>
  <c r="AC298" i="5"/>
  <c r="AB298" i="5"/>
  <c r="AA298" i="5"/>
  <c r="Z298" i="5"/>
  <c r="Y298" i="5"/>
  <c r="W298" i="5"/>
  <c r="V298" i="5"/>
  <c r="U298" i="5"/>
  <c r="T298" i="5"/>
  <c r="S298" i="5"/>
  <c r="R298" i="5"/>
  <c r="Q298" i="5"/>
  <c r="P298" i="5"/>
  <c r="O298" i="5"/>
  <c r="N298" i="5"/>
  <c r="L298" i="5"/>
  <c r="K298" i="5"/>
  <c r="J298" i="5"/>
  <c r="I298" i="5"/>
  <c r="H298" i="5"/>
  <c r="G298" i="5"/>
  <c r="F298" i="5"/>
  <c r="E298" i="5"/>
  <c r="D298" i="5"/>
  <c r="C298" i="5"/>
  <c r="B298" i="5"/>
  <c r="A298" i="5"/>
  <c r="BZ297" i="5"/>
  <c r="BY297" i="5"/>
  <c r="BX297" i="5"/>
  <c r="BW297" i="5"/>
  <c r="BV297" i="5"/>
  <c r="BU297" i="5"/>
  <c r="BT297" i="5"/>
  <c r="BS297" i="5"/>
  <c r="BR297" i="5"/>
  <c r="BQ297" i="5"/>
  <c r="BO297" i="5"/>
  <c r="BN297" i="5"/>
  <c r="BM297" i="5"/>
  <c r="BL297" i="5"/>
  <c r="BK297" i="5"/>
  <c r="BJ297" i="5"/>
  <c r="BI297" i="5"/>
  <c r="BH297" i="5"/>
  <c r="BG297" i="5"/>
  <c r="BF297" i="5"/>
  <c r="BD297" i="5"/>
  <c r="BC297" i="5"/>
  <c r="BB297" i="5"/>
  <c r="BA297" i="5"/>
  <c r="AZ297" i="5"/>
  <c r="AY297" i="5"/>
  <c r="AX297" i="5"/>
  <c r="AW297" i="5"/>
  <c r="AV297" i="5"/>
  <c r="AU297" i="5"/>
  <c r="AS297" i="5"/>
  <c r="AR297" i="5"/>
  <c r="AQ297" i="5"/>
  <c r="AP297" i="5"/>
  <c r="AO297" i="5"/>
  <c r="AN297" i="5"/>
  <c r="AM297" i="5"/>
  <c r="AL297" i="5"/>
  <c r="AK297" i="5"/>
  <c r="AJ297" i="5"/>
  <c r="AH297" i="5"/>
  <c r="AG297" i="5"/>
  <c r="AF297" i="5"/>
  <c r="AE297" i="5"/>
  <c r="AD297" i="5"/>
  <c r="AC297" i="5"/>
  <c r="AB297" i="5"/>
  <c r="AA297" i="5"/>
  <c r="Z297" i="5"/>
  <c r="Y297" i="5"/>
  <c r="W297" i="5"/>
  <c r="V297" i="5"/>
  <c r="U297" i="5"/>
  <c r="T297" i="5"/>
  <c r="S297" i="5"/>
  <c r="R297" i="5"/>
  <c r="Q297" i="5"/>
  <c r="P297" i="5"/>
  <c r="O297" i="5"/>
  <c r="N297" i="5"/>
  <c r="L297" i="5"/>
  <c r="K297" i="5"/>
  <c r="J297" i="5"/>
  <c r="I297" i="5"/>
  <c r="H297" i="5"/>
  <c r="G297" i="5"/>
  <c r="F297" i="5"/>
  <c r="E297" i="5"/>
  <c r="D297" i="5"/>
  <c r="C297" i="5"/>
  <c r="B297" i="5"/>
  <c r="A297" i="5"/>
  <c r="BZ296" i="5"/>
  <c r="BY296" i="5"/>
  <c r="BX296" i="5"/>
  <c r="BW296" i="5"/>
  <c r="BV296" i="5"/>
  <c r="BU296" i="5"/>
  <c r="BT296" i="5"/>
  <c r="BS296" i="5"/>
  <c r="BR296" i="5"/>
  <c r="BQ296" i="5"/>
  <c r="BO296" i="5"/>
  <c r="BN296" i="5"/>
  <c r="BM296" i="5"/>
  <c r="BL296" i="5"/>
  <c r="BK296" i="5"/>
  <c r="BJ296" i="5"/>
  <c r="BI296" i="5"/>
  <c r="BH296" i="5"/>
  <c r="BG296" i="5"/>
  <c r="BF296" i="5"/>
  <c r="BD296" i="5"/>
  <c r="BC296" i="5"/>
  <c r="BB296" i="5"/>
  <c r="BA296" i="5"/>
  <c r="AZ296" i="5"/>
  <c r="AY296" i="5"/>
  <c r="AX296" i="5"/>
  <c r="AW296" i="5"/>
  <c r="AV296" i="5"/>
  <c r="AU296" i="5"/>
  <c r="AS296" i="5"/>
  <c r="AR296" i="5"/>
  <c r="AQ296" i="5"/>
  <c r="AP296" i="5"/>
  <c r="AO296" i="5"/>
  <c r="AN296" i="5"/>
  <c r="AM296" i="5"/>
  <c r="AL296" i="5"/>
  <c r="AK296" i="5"/>
  <c r="AJ296" i="5"/>
  <c r="AH296" i="5"/>
  <c r="AG296" i="5"/>
  <c r="AF296" i="5"/>
  <c r="AE296" i="5"/>
  <c r="AD296" i="5"/>
  <c r="AC296" i="5"/>
  <c r="AB296" i="5"/>
  <c r="AA296" i="5"/>
  <c r="Z296" i="5"/>
  <c r="Y296" i="5"/>
  <c r="W296" i="5"/>
  <c r="V296" i="5"/>
  <c r="U296" i="5"/>
  <c r="T296" i="5"/>
  <c r="S296" i="5"/>
  <c r="R296" i="5"/>
  <c r="Q296" i="5"/>
  <c r="P296" i="5"/>
  <c r="O296" i="5"/>
  <c r="N296" i="5"/>
  <c r="L296" i="5"/>
  <c r="K296" i="5"/>
  <c r="J296" i="5"/>
  <c r="I296" i="5"/>
  <c r="H296" i="5"/>
  <c r="G296" i="5"/>
  <c r="F296" i="5"/>
  <c r="E296" i="5"/>
  <c r="D296" i="5"/>
  <c r="C296" i="5"/>
  <c r="B296" i="5"/>
  <c r="A296" i="5"/>
  <c r="BZ295" i="5"/>
  <c r="BY295" i="5"/>
  <c r="BX295" i="5"/>
  <c r="BW295" i="5"/>
  <c r="BV295" i="5"/>
  <c r="BU295" i="5"/>
  <c r="BT295" i="5"/>
  <c r="BS295" i="5"/>
  <c r="BR295" i="5"/>
  <c r="BQ295" i="5"/>
  <c r="BO295" i="5"/>
  <c r="BN295" i="5"/>
  <c r="BM295" i="5"/>
  <c r="BL295" i="5"/>
  <c r="BK295" i="5"/>
  <c r="BJ295" i="5"/>
  <c r="BI295" i="5"/>
  <c r="BH295" i="5"/>
  <c r="BG295" i="5"/>
  <c r="BF295" i="5"/>
  <c r="BD295" i="5"/>
  <c r="BC295" i="5"/>
  <c r="BB295" i="5"/>
  <c r="BA295" i="5"/>
  <c r="AZ295" i="5"/>
  <c r="AY295" i="5"/>
  <c r="AX295" i="5"/>
  <c r="AW295" i="5"/>
  <c r="AV295" i="5"/>
  <c r="AU295" i="5"/>
  <c r="AS295" i="5"/>
  <c r="AR295" i="5"/>
  <c r="AQ295" i="5"/>
  <c r="AP295" i="5"/>
  <c r="AO295" i="5"/>
  <c r="AN295" i="5"/>
  <c r="AM295" i="5"/>
  <c r="AL295" i="5"/>
  <c r="AK295" i="5"/>
  <c r="AJ295" i="5"/>
  <c r="AH295" i="5"/>
  <c r="AG295" i="5"/>
  <c r="AF295" i="5"/>
  <c r="AE295" i="5"/>
  <c r="AD295" i="5"/>
  <c r="AC295" i="5"/>
  <c r="AB295" i="5"/>
  <c r="AA295" i="5"/>
  <c r="Z295" i="5"/>
  <c r="Y295" i="5"/>
  <c r="W295" i="5"/>
  <c r="V295" i="5"/>
  <c r="U295" i="5"/>
  <c r="T295" i="5"/>
  <c r="S295" i="5"/>
  <c r="R295" i="5"/>
  <c r="Q295" i="5"/>
  <c r="P295" i="5"/>
  <c r="O295" i="5"/>
  <c r="N295" i="5"/>
  <c r="L295" i="5"/>
  <c r="K295" i="5"/>
  <c r="J295" i="5"/>
  <c r="I295" i="5"/>
  <c r="H295" i="5"/>
  <c r="G295" i="5"/>
  <c r="F295" i="5"/>
  <c r="E295" i="5"/>
  <c r="D295" i="5"/>
  <c r="C295" i="5"/>
  <c r="B295" i="5"/>
  <c r="A295" i="5"/>
  <c r="BZ294" i="5"/>
  <c r="BY294" i="5"/>
  <c r="BX294" i="5"/>
  <c r="BW294" i="5"/>
  <c r="BV294" i="5"/>
  <c r="BU294" i="5"/>
  <c r="BT294" i="5"/>
  <c r="BS294" i="5"/>
  <c r="BR294" i="5"/>
  <c r="CA294" i="5" s="1"/>
  <c r="CH294" i="5" s="1"/>
  <c r="BQ294" i="5"/>
  <c r="BO294" i="5"/>
  <c r="BN294" i="5"/>
  <c r="BM294" i="5"/>
  <c r="BL294" i="5"/>
  <c r="BK294" i="5"/>
  <c r="BJ294" i="5"/>
  <c r="BI294" i="5"/>
  <c r="BH294" i="5"/>
  <c r="BG294" i="5"/>
  <c r="BF294" i="5"/>
  <c r="BD294" i="5"/>
  <c r="BC294" i="5"/>
  <c r="BB294" i="5"/>
  <c r="BA294" i="5"/>
  <c r="AZ294" i="5"/>
  <c r="AY294" i="5"/>
  <c r="AX294" i="5"/>
  <c r="AW294" i="5"/>
  <c r="AV294" i="5"/>
  <c r="AU294" i="5"/>
  <c r="AS294" i="5"/>
  <c r="AR294" i="5"/>
  <c r="AQ294" i="5"/>
  <c r="AP294" i="5"/>
  <c r="AO294" i="5"/>
  <c r="AN294" i="5"/>
  <c r="AM294" i="5"/>
  <c r="AL294" i="5"/>
  <c r="AK294" i="5"/>
  <c r="AJ294" i="5"/>
  <c r="AH294" i="5"/>
  <c r="AG294" i="5"/>
  <c r="AF294" i="5"/>
  <c r="AE294" i="5"/>
  <c r="AD294" i="5"/>
  <c r="AC294" i="5"/>
  <c r="AB294" i="5"/>
  <c r="AA294" i="5"/>
  <c r="Z294" i="5"/>
  <c r="Y294" i="5"/>
  <c r="W294" i="5"/>
  <c r="V294" i="5"/>
  <c r="U294" i="5"/>
  <c r="T294" i="5"/>
  <c r="S294" i="5"/>
  <c r="R294" i="5"/>
  <c r="Q294" i="5"/>
  <c r="P294" i="5"/>
  <c r="O294" i="5"/>
  <c r="N294" i="5"/>
  <c r="L294" i="5"/>
  <c r="K294" i="5"/>
  <c r="J294" i="5"/>
  <c r="I294" i="5"/>
  <c r="H294" i="5"/>
  <c r="G294" i="5"/>
  <c r="F294" i="5"/>
  <c r="E294" i="5"/>
  <c r="D294" i="5"/>
  <c r="C294" i="5"/>
  <c r="B294" i="5"/>
  <c r="A294" i="5"/>
  <c r="BZ293" i="5"/>
  <c r="BY293" i="5"/>
  <c r="BX293" i="5"/>
  <c r="BW293" i="5"/>
  <c r="BV293" i="5"/>
  <c r="BU293" i="5"/>
  <c r="BT293" i="5"/>
  <c r="BS293" i="5"/>
  <c r="BR293" i="5"/>
  <c r="BQ293" i="5"/>
  <c r="BO293" i="5"/>
  <c r="BN293" i="5"/>
  <c r="BM293" i="5"/>
  <c r="BL293" i="5"/>
  <c r="BK293" i="5"/>
  <c r="BJ293" i="5"/>
  <c r="BI293" i="5"/>
  <c r="BH293" i="5"/>
  <c r="BG293" i="5"/>
  <c r="BF293" i="5"/>
  <c r="BD293" i="5"/>
  <c r="BC293" i="5"/>
  <c r="BB293" i="5"/>
  <c r="BA293" i="5"/>
  <c r="AZ293" i="5"/>
  <c r="AY293" i="5"/>
  <c r="AX293" i="5"/>
  <c r="AW293" i="5"/>
  <c r="AV293" i="5"/>
  <c r="AU293" i="5"/>
  <c r="AS293" i="5"/>
  <c r="AR293" i="5"/>
  <c r="AQ293" i="5"/>
  <c r="AP293" i="5"/>
  <c r="AO293" i="5"/>
  <c r="AN293" i="5"/>
  <c r="AM293" i="5"/>
  <c r="AL293" i="5"/>
  <c r="AK293" i="5"/>
  <c r="AJ293" i="5"/>
  <c r="AH293" i="5"/>
  <c r="AG293" i="5"/>
  <c r="AF293" i="5"/>
  <c r="AE293" i="5"/>
  <c r="AD293" i="5"/>
  <c r="AC293" i="5"/>
  <c r="AB293" i="5"/>
  <c r="AA293" i="5"/>
  <c r="Z293" i="5"/>
  <c r="Y293" i="5"/>
  <c r="W293" i="5"/>
  <c r="V293" i="5"/>
  <c r="U293" i="5"/>
  <c r="T293" i="5"/>
  <c r="S293" i="5"/>
  <c r="R293" i="5"/>
  <c r="Q293" i="5"/>
  <c r="P293" i="5"/>
  <c r="O293" i="5"/>
  <c r="N293" i="5"/>
  <c r="L293" i="5"/>
  <c r="K293" i="5"/>
  <c r="J293" i="5"/>
  <c r="I293" i="5"/>
  <c r="H293" i="5"/>
  <c r="G293" i="5"/>
  <c r="F293" i="5"/>
  <c r="E293" i="5"/>
  <c r="D293" i="5"/>
  <c r="C293" i="5"/>
  <c r="B293" i="5"/>
  <c r="A293" i="5"/>
  <c r="BZ292" i="5"/>
  <c r="BY292" i="5"/>
  <c r="BX292" i="5"/>
  <c r="BW292" i="5"/>
  <c r="BV292" i="5"/>
  <c r="BU292" i="5"/>
  <c r="BT292" i="5"/>
  <c r="BS292" i="5"/>
  <c r="BR292" i="5"/>
  <c r="BQ292" i="5"/>
  <c r="BO292" i="5"/>
  <c r="BN292" i="5"/>
  <c r="BM292" i="5"/>
  <c r="BL292" i="5"/>
  <c r="BK292" i="5"/>
  <c r="BJ292" i="5"/>
  <c r="BI292" i="5"/>
  <c r="BH292" i="5"/>
  <c r="BG292" i="5"/>
  <c r="BF292" i="5"/>
  <c r="BD292" i="5"/>
  <c r="BC292" i="5"/>
  <c r="BB292" i="5"/>
  <c r="BA292" i="5"/>
  <c r="AZ292" i="5"/>
  <c r="AY292" i="5"/>
  <c r="AX292" i="5"/>
  <c r="AW292" i="5"/>
  <c r="AV292" i="5"/>
  <c r="AU292" i="5"/>
  <c r="AS292" i="5"/>
  <c r="AR292" i="5"/>
  <c r="AQ292" i="5"/>
  <c r="AP292" i="5"/>
  <c r="AO292" i="5"/>
  <c r="AN292" i="5"/>
  <c r="AM292" i="5"/>
  <c r="AL292" i="5"/>
  <c r="AK292" i="5"/>
  <c r="AJ292" i="5"/>
  <c r="AH292" i="5"/>
  <c r="AG292" i="5"/>
  <c r="AF292" i="5"/>
  <c r="AE292" i="5"/>
  <c r="AD292" i="5"/>
  <c r="AC292" i="5"/>
  <c r="AB292" i="5"/>
  <c r="AA292" i="5"/>
  <c r="Z292" i="5"/>
  <c r="Y292" i="5"/>
  <c r="W292" i="5"/>
  <c r="V292" i="5"/>
  <c r="U292" i="5"/>
  <c r="T292" i="5"/>
  <c r="S292" i="5"/>
  <c r="R292" i="5"/>
  <c r="Q292" i="5"/>
  <c r="P292" i="5"/>
  <c r="O292" i="5"/>
  <c r="N292" i="5"/>
  <c r="L292" i="5"/>
  <c r="K292" i="5"/>
  <c r="J292" i="5"/>
  <c r="I292" i="5"/>
  <c r="H292" i="5"/>
  <c r="G292" i="5"/>
  <c r="F292" i="5"/>
  <c r="E292" i="5"/>
  <c r="D292" i="5"/>
  <c r="C292" i="5"/>
  <c r="B292" i="5"/>
  <c r="A292" i="5"/>
  <c r="BZ291" i="5"/>
  <c r="BY291" i="5"/>
  <c r="BX291" i="5"/>
  <c r="BW291" i="5"/>
  <c r="BV291" i="5"/>
  <c r="BU291" i="5"/>
  <c r="BT291" i="5"/>
  <c r="BS291" i="5"/>
  <c r="BR291" i="5"/>
  <c r="BQ291" i="5"/>
  <c r="BO291" i="5"/>
  <c r="BN291" i="5"/>
  <c r="BM291" i="5"/>
  <c r="BL291" i="5"/>
  <c r="BK291" i="5"/>
  <c r="BJ291" i="5"/>
  <c r="BI291" i="5"/>
  <c r="BH291" i="5"/>
  <c r="BG291" i="5"/>
  <c r="BF291" i="5"/>
  <c r="BD291" i="5"/>
  <c r="BC291" i="5"/>
  <c r="BB291" i="5"/>
  <c r="BA291" i="5"/>
  <c r="AZ291" i="5"/>
  <c r="AY291" i="5"/>
  <c r="AX291" i="5"/>
  <c r="AW291" i="5"/>
  <c r="AV291" i="5"/>
  <c r="AU291" i="5"/>
  <c r="AS291" i="5"/>
  <c r="AR291" i="5"/>
  <c r="AQ291" i="5"/>
  <c r="AP291" i="5"/>
  <c r="AO291" i="5"/>
  <c r="AN291" i="5"/>
  <c r="AM291" i="5"/>
  <c r="AL291" i="5"/>
  <c r="AK291" i="5"/>
  <c r="AJ291" i="5"/>
  <c r="AH291" i="5"/>
  <c r="AG291" i="5"/>
  <c r="AF291" i="5"/>
  <c r="AE291" i="5"/>
  <c r="AD291" i="5"/>
  <c r="AC291" i="5"/>
  <c r="AB291" i="5"/>
  <c r="AA291" i="5"/>
  <c r="Z291" i="5"/>
  <c r="Y291" i="5"/>
  <c r="W291" i="5"/>
  <c r="V291" i="5"/>
  <c r="U291" i="5"/>
  <c r="T291" i="5"/>
  <c r="S291" i="5"/>
  <c r="R291" i="5"/>
  <c r="Q291" i="5"/>
  <c r="P291" i="5"/>
  <c r="O291" i="5"/>
  <c r="N291" i="5"/>
  <c r="L291" i="5"/>
  <c r="K291" i="5"/>
  <c r="J291" i="5"/>
  <c r="I291" i="5"/>
  <c r="H291" i="5"/>
  <c r="G291" i="5"/>
  <c r="F291" i="5"/>
  <c r="E291" i="5"/>
  <c r="D291" i="5"/>
  <c r="C291" i="5"/>
  <c r="B291" i="5"/>
  <c r="A291" i="5"/>
  <c r="BZ290" i="5"/>
  <c r="BY290" i="5"/>
  <c r="BX290" i="5"/>
  <c r="BW290" i="5"/>
  <c r="BV290" i="5"/>
  <c r="BU290" i="5"/>
  <c r="BT290" i="5"/>
  <c r="BS290" i="5"/>
  <c r="BR290" i="5"/>
  <c r="BQ290" i="5"/>
  <c r="BO290" i="5"/>
  <c r="BN290" i="5"/>
  <c r="BM290" i="5"/>
  <c r="BL290" i="5"/>
  <c r="BK290" i="5"/>
  <c r="BJ290" i="5"/>
  <c r="BI290" i="5"/>
  <c r="BH290" i="5"/>
  <c r="BG290" i="5"/>
  <c r="BF290" i="5"/>
  <c r="BD290" i="5"/>
  <c r="BC290" i="5"/>
  <c r="BB290" i="5"/>
  <c r="BA290" i="5"/>
  <c r="AZ290" i="5"/>
  <c r="AY290" i="5"/>
  <c r="AX290" i="5"/>
  <c r="AW290" i="5"/>
  <c r="AV290" i="5"/>
  <c r="AU290" i="5"/>
  <c r="AS290" i="5"/>
  <c r="AR290" i="5"/>
  <c r="AQ290" i="5"/>
  <c r="AP290" i="5"/>
  <c r="AO290" i="5"/>
  <c r="AN290" i="5"/>
  <c r="AM290" i="5"/>
  <c r="AL290" i="5"/>
  <c r="AK290" i="5"/>
  <c r="AJ290" i="5"/>
  <c r="AH290" i="5"/>
  <c r="AG290" i="5"/>
  <c r="AF290" i="5"/>
  <c r="AE290" i="5"/>
  <c r="AD290" i="5"/>
  <c r="AC290" i="5"/>
  <c r="AB290" i="5"/>
  <c r="AA290" i="5"/>
  <c r="Z290" i="5"/>
  <c r="Y290" i="5"/>
  <c r="W290" i="5"/>
  <c r="V290" i="5"/>
  <c r="U290" i="5"/>
  <c r="T290" i="5"/>
  <c r="S290" i="5"/>
  <c r="R290" i="5"/>
  <c r="Q290" i="5"/>
  <c r="P290" i="5"/>
  <c r="O290" i="5"/>
  <c r="N290" i="5"/>
  <c r="L290" i="5"/>
  <c r="K290" i="5"/>
  <c r="J290" i="5"/>
  <c r="I290" i="5"/>
  <c r="H290" i="5"/>
  <c r="G290" i="5"/>
  <c r="F290" i="5"/>
  <c r="E290" i="5"/>
  <c r="D290" i="5"/>
  <c r="C290" i="5"/>
  <c r="B290" i="5"/>
  <c r="A290" i="5"/>
  <c r="BZ289" i="5"/>
  <c r="BY289" i="5"/>
  <c r="BX289" i="5"/>
  <c r="BW289" i="5"/>
  <c r="BV289" i="5"/>
  <c r="BU289" i="5"/>
  <c r="BT289" i="5"/>
  <c r="BS289" i="5"/>
  <c r="BR289" i="5"/>
  <c r="BQ289" i="5"/>
  <c r="BO289" i="5"/>
  <c r="BN289" i="5"/>
  <c r="BM289" i="5"/>
  <c r="BL289" i="5"/>
  <c r="BK289" i="5"/>
  <c r="BJ289" i="5"/>
  <c r="BI289" i="5"/>
  <c r="BH289" i="5"/>
  <c r="BG289" i="5"/>
  <c r="BF289" i="5"/>
  <c r="BD289" i="5"/>
  <c r="BC289" i="5"/>
  <c r="BB289" i="5"/>
  <c r="BA289" i="5"/>
  <c r="AZ289" i="5"/>
  <c r="AY289" i="5"/>
  <c r="AX289" i="5"/>
  <c r="AW289" i="5"/>
  <c r="AV289" i="5"/>
  <c r="AU289" i="5"/>
  <c r="AS289" i="5"/>
  <c r="AR289" i="5"/>
  <c r="AQ289" i="5"/>
  <c r="AP289" i="5"/>
  <c r="AO289" i="5"/>
  <c r="AN289" i="5"/>
  <c r="AM289" i="5"/>
  <c r="AL289" i="5"/>
  <c r="AK289" i="5"/>
  <c r="AJ289" i="5"/>
  <c r="AH289" i="5"/>
  <c r="AG289" i="5"/>
  <c r="AF289" i="5"/>
  <c r="AE289" i="5"/>
  <c r="AD289" i="5"/>
  <c r="AC289" i="5"/>
  <c r="AB289" i="5"/>
  <c r="AA289" i="5"/>
  <c r="Z289" i="5"/>
  <c r="Y289" i="5"/>
  <c r="W289" i="5"/>
  <c r="V289" i="5"/>
  <c r="U289" i="5"/>
  <c r="T289" i="5"/>
  <c r="S289" i="5"/>
  <c r="R289" i="5"/>
  <c r="Q289" i="5"/>
  <c r="P289" i="5"/>
  <c r="O289" i="5"/>
  <c r="N289" i="5"/>
  <c r="L289" i="5"/>
  <c r="K289" i="5"/>
  <c r="J289" i="5"/>
  <c r="I289" i="5"/>
  <c r="H289" i="5"/>
  <c r="G289" i="5"/>
  <c r="F289" i="5"/>
  <c r="E289" i="5"/>
  <c r="D289" i="5"/>
  <c r="C289" i="5"/>
  <c r="B289" i="5"/>
  <c r="A289" i="5"/>
  <c r="BZ288" i="5"/>
  <c r="BY288" i="5"/>
  <c r="BX288" i="5"/>
  <c r="BW288" i="5"/>
  <c r="BV288" i="5"/>
  <c r="BU288" i="5"/>
  <c r="BT288" i="5"/>
  <c r="BS288" i="5"/>
  <c r="BR288" i="5"/>
  <c r="BQ288" i="5"/>
  <c r="BO288" i="5"/>
  <c r="BN288" i="5"/>
  <c r="BM288" i="5"/>
  <c r="BL288" i="5"/>
  <c r="BK288" i="5"/>
  <c r="BJ288" i="5"/>
  <c r="BI288" i="5"/>
  <c r="BH288" i="5"/>
  <c r="BG288" i="5"/>
  <c r="BF288" i="5"/>
  <c r="BD288" i="5"/>
  <c r="BC288" i="5"/>
  <c r="BB288" i="5"/>
  <c r="BA288" i="5"/>
  <c r="AZ288" i="5"/>
  <c r="AY288" i="5"/>
  <c r="AX288" i="5"/>
  <c r="AW288" i="5"/>
  <c r="AV288" i="5"/>
  <c r="AU288" i="5"/>
  <c r="AS288" i="5"/>
  <c r="AR288" i="5"/>
  <c r="AQ288" i="5"/>
  <c r="AP288" i="5"/>
  <c r="AO288" i="5"/>
  <c r="AN288" i="5"/>
  <c r="AM288" i="5"/>
  <c r="AL288" i="5"/>
  <c r="AK288" i="5"/>
  <c r="AJ288" i="5"/>
  <c r="AH288" i="5"/>
  <c r="AG288" i="5"/>
  <c r="AF288" i="5"/>
  <c r="AE288" i="5"/>
  <c r="AD288" i="5"/>
  <c r="AC288" i="5"/>
  <c r="AB288" i="5"/>
  <c r="AA288" i="5"/>
  <c r="Z288" i="5"/>
  <c r="Y288" i="5"/>
  <c r="W288" i="5"/>
  <c r="V288" i="5"/>
  <c r="U288" i="5"/>
  <c r="T288" i="5"/>
  <c r="S288" i="5"/>
  <c r="R288" i="5"/>
  <c r="Q288" i="5"/>
  <c r="P288" i="5"/>
  <c r="O288" i="5"/>
  <c r="N288" i="5"/>
  <c r="L288" i="5"/>
  <c r="K288" i="5"/>
  <c r="J288" i="5"/>
  <c r="I288" i="5"/>
  <c r="H288" i="5"/>
  <c r="G288" i="5"/>
  <c r="F288" i="5"/>
  <c r="E288" i="5"/>
  <c r="D288" i="5"/>
  <c r="C288" i="5"/>
  <c r="B288" i="5"/>
  <c r="A288" i="5"/>
  <c r="BZ287" i="5"/>
  <c r="BY287" i="5"/>
  <c r="BX287" i="5"/>
  <c r="BW287" i="5"/>
  <c r="BV287" i="5"/>
  <c r="BU287" i="5"/>
  <c r="BT287" i="5"/>
  <c r="BS287" i="5"/>
  <c r="BR287" i="5"/>
  <c r="BQ287" i="5"/>
  <c r="BO287" i="5"/>
  <c r="BN287" i="5"/>
  <c r="BM287" i="5"/>
  <c r="BL287" i="5"/>
  <c r="BK287" i="5"/>
  <c r="BJ287" i="5"/>
  <c r="BI287" i="5"/>
  <c r="BH287" i="5"/>
  <c r="BG287" i="5"/>
  <c r="BF287" i="5"/>
  <c r="BD287" i="5"/>
  <c r="BC287" i="5"/>
  <c r="BB287" i="5"/>
  <c r="BA287" i="5"/>
  <c r="AZ287" i="5"/>
  <c r="AY287" i="5"/>
  <c r="AX287" i="5"/>
  <c r="AW287" i="5"/>
  <c r="AV287" i="5"/>
  <c r="AU287" i="5"/>
  <c r="AS287" i="5"/>
  <c r="AR287" i="5"/>
  <c r="AQ287" i="5"/>
  <c r="AP287" i="5"/>
  <c r="AO287" i="5"/>
  <c r="AN287" i="5"/>
  <c r="AM287" i="5"/>
  <c r="AL287" i="5"/>
  <c r="AK287" i="5"/>
  <c r="AJ287" i="5"/>
  <c r="AH287" i="5"/>
  <c r="AG287" i="5"/>
  <c r="AF287" i="5"/>
  <c r="AE287" i="5"/>
  <c r="AD287" i="5"/>
  <c r="AC287" i="5"/>
  <c r="AB287" i="5"/>
  <c r="AA287" i="5"/>
  <c r="Z287" i="5"/>
  <c r="Y287" i="5"/>
  <c r="W287" i="5"/>
  <c r="V287" i="5"/>
  <c r="U287" i="5"/>
  <c r="T287" i="5"/>
  <c r="S287" i="5"/>
  <c r="R287" i="5"/>
  <c r="Q287" i="5"/>
  <c r="P287" i="5"/>
  <c r="O287" i="5"/>
  <c r="N287" i="5"/>
  <c r="L287" i="5"/>
  <c r="K287" i="5"/>
  <c r="J287" i="5"/>
  <c r="I287" i="5"/>
  <c r="H287" i="5"/>
  <c r="G287" i="5"/>
  <c r="F287" i="5"/>
  <c r="E287" i="5"/>
  <c r="D287" i="5"/>
  <c r="C287" i="5"/>
  <c r="B287" i="5"/>
  <c r="A287" i="5"/>
  <c r="BZ286" i="5"/>
  <c r="BY286" i="5"/>
  <c r="BX286" i="5"/>
  <c r="BW286" i="5"/>
  <c r="BV286" i="5"/>
  <c r="BU286" i="5"/>
  <c r="BT286" i="5"/>
  <c r="BS286" i="5"/>
  <c r="BR286" i="5"/>
  <c r="BQ286" i="5"/>
  <c r="BO286" i="5"/>
  <c r="BN286" i="5"/>
  <c r="BM286" i="5"/>
  <c r="BL286" i="5"/>
  <c r="BK286" i="5"/>
  <c r="BJ286" i="5"/>
  <c r="BI286" i="5"/>
  <c r="BH286" i="5"/>
  <c r="BG286" i="5"/>
  <c r="BF286" i="5"/>
  <c r="BD286" i="5"/>
  <c r="BC286" i="5"/>
  <c r="BB286" i="5"/>
  <c r="BA286" i="5"/>
  <c r="AZ286" i="5"/>
  <c r="AY286" i="5"/>
  <c r="AX286" i="5"/>
  <c r="AW286" i="5"/>
  <c r="AV286" i="5"/>
  <c r="AU286" i="5"/>
  <c r="AS286" i="5"/>
  <c r="AR286" i="5"/>
  <c r="AQ286" i="5"/>
  <c r="AP286" i="5"/>
  <c r="AO286" i="5"/>
  <c r="AN286" i="5"/>
  <c r="AM286" i="5"/>
  <c r="AL286" i="5"/>
  <c r="AK286" i="5"/>
  <c r="AJ286" i="5"/>
  <c r="AH286" i="5"/>
  <c r="AG286" i="5"/>
  <c r="AF286" i="5"/>
  <c r="AE286" i="5"/>
  <c r="AD286" i="5"/>
  <c r="AC286" i="5"/>
  <c r="AB286" i="5"/>
  <c r="AA286" i="5"/>
  <c r="Z286" i="5"/>
  <c r="Y286" i="5"/>
  <c r="W286" i="5"/>
  <c r="V286" i="5"/>
  <c r="U286" i="5"/>
  <c r="T286" i="5"/>
  <c r="S286" i="5"/>
  <c r="R286" i="5"/>
  <c r="Q286" i="5"/>
  <c r="P286" i="5"/>
  <c r="O286" i="5"/>
  <c r="N286" i="5"/>
  <c r="L286" i="5"/>
  <c r="K286" i="5"/>
  <c r="J286" i="5"/>
  <c r="I286" i="5"/>
  <c r="H286" i="5"/>
  <c r="G286" i="5"/>
  <c r="F286" i="5"/>
  <c r="E286" i="5"/>
  <c r="D286" i="5"/>
  <c r="C286" i="5"/>
  <c r="B286" i="5"/>
  <c r="A286" i="5"/>
  <c r="BZ285" i="5"/>
  <c r="BY285" i="5"/>
  <c r="BX285" i="5"/>
  <c r="BW285" i="5"/>
  <c r="BV285" i="5"/>
  <c r="BU285" i="5"/>
  <c r="BT285" i="5"/>
  <c r="BS285" i="5"/>
  <c r="BR285" i="5"/>
  <c r="CA285" i="5" s="1"/>
  <c r="CH285" i="5" s="1"/>
  <c r="BQ285" i="5"/>
  <c r="BO285" i="5"/>
  <c r="BN285" i="5"/>
  <c r="BM285" i="5"/>
  <c r="BL285" i="5"/>
  <c r="BK285" i="5"/>
  <c r="BJ285" i="5"/>
  <c r="BI285" i="5"/>
  <c r="BH285" i="5"/>
  <c r="BG285" i="5"/>
  <c r="BF285" i="5"/>
  <c r="BD285" i="5"/>
  <c r="BC285" i="5"/>
  <c r="BB285" i="5"/>
  <c r="BA285" i="5"/>
  <c r="AZ285" i="5"/>
  <c r="AY285" i="5"/>
  <c r="AX285" i="5"/>
  <c r="AW285" i="5"/>
  <c r="AV285" i="5"/>
  <c r="AU285" i="5"/>
  <c r="AS285" i="5"/>
  <c r="AR285" i="5"/>
  <c r="AQ285" i="5"/>
  <c r="AP285" i="5"/>
  <c r="AO285" i="5"/>
  <c r="AN285" i="5"/>
  <c r="AM285" i="5"/>
  <c r="AL285" i="5"/>
  <c r="AK285" i="5"/>
  <c r="AJ285" i="5"/>
  <c r="AH285" i="5"/>
  <c r="AG285" i="5"/>
  <c r="AF285" i="5"/>
  <c r="AE285" i="5"/>
  <c r="AD285" i="5"/>
  <c r="AC285" i="5"/>
  <c r="AB285" i="5"/>
  <c r="AA285" i="5"/>
  <c r="Z285" i="5"/>
  <c r="Y285" i="5"/>
  <c r="W285" i="5"/>
  <c r="V285" i="5"/>
  <c r="U285" i="5"/>
  <c r="T285" i="5"/>
  <c r="S285" i="5"/>
  <c r="R285" i="5"/>
  <c r="Q285" i="5"/>
  <c r="P285" i="5"/>
  <c r="O285" i="5"/>
  <c r="N285" i="5"/>
  <c r="L285" i="5"/>
  <c r="K285" i="5"/>
  <c r="J285" i="5"/>
  <c r="I285" i="5"/>
  <c r="H285" i="5"/>
  <c r="G285" i="5"/>
  <c r="F285" i="5"/>
  <c r="E285" i="5"/>
  <c r="D285" i="5"/>
  <c r="C285" i="5"/>
  <c r="B285" i="5"/>
  <c r="A285" i="5"/>
  <c r="BZ284" i="5"/>
  <c r="BY284" i="5"/>
  <c r="BX284" i="5"/>
  <c r="BW284" i="5"/>
  <c r="BV284" i="5"/>
  <c r="BU284" i="5"/>
  <c r="BT284" i="5"/>
  <c r="BS284" i="5"/>
  <c r="BR284" i="5"/>
  <c r="BQ284" i="5"/>
  <c r="BO284" i="5"/>
  <c r="BN284" i="5"/>
  <c r="BM284" i="5"/>
  <c r="BL284" i="5"/>
  <c r="BK284" i="5"/>
  <c r="BJ284" i="5"/>
  <c r="BI284" i="5"/>
  <c r="BH284" i="5"/>
  <c r="BG284" i="5"/>
  <c r="BF284" i="5"/>
  <c r="BD284" i="5"/>
  <c r="BC284" i="5"/>
  <c r="BB284" i="5"/>
  <c r="BA284" i="5"/>
  <c r="AZ284" i="5"/>
  <c r="AY284" i="5"/>
  <c r="AX284" i="5"/>
  <c r="AW284" i="5"/>
  <c r="AV284" i="5"/>
  <c r="AU284" i="5"/>
  <c r="AS284" i="5"/>
  <c r="AR284" i="5"/>
  <c r="AQ284" i="5"/>
  <c r="AP284" i="5"/>
  <c r="AO284" i="5"/>
  <c r="AN284" i="5"/>
  <c r="AM284" i="5"/>
  <c r="AL284" i="5"/>
  <c r="AK284" i="5"/>
  <c r="AJ284" i="5"/>
  <c r="AH284" i="5"/>
  <c r="AG284" i="5"/>
  <c r="AF284" i="5"/>
  <c r="AE284" i="5"/>
  <c r="AD284" i="5"/>
  <c r="AC284" i="5"/>
  <c r="AB284" i="5"/>
  <c r="AA284" i="5"/>
  <c r="Z284" i="5"/>
  <c r="Y284" i="5"/>
  <c r="W284" i="5"/>
  <c r="V284" i="5"/>
  <c r="U284" i="5"/>
  <c r="T284" i="5"/>
  <c r="S284" i="5"/>
  <c r="R284" i="5"/>
  <c r="Q284" i="5"/>
  <c r="P284" i="5"/>
  <c r="O284" i="5"/>
  <c r="N284" i="5"/>
  <c r="L284" i="5"/>
  <c r="K284" i="5"/>
  <c r="J284" i="5"/>
  <c r="I284" i="5"/>
  <c r="H284" i="5"/>
  <c r="G284" i="5"/>
  <c r="F284" i="5"/>
  <c r="E284" i="5"/>
  <c r="D284" i="5"/>
  <c r="C284" i="5"/>
  <c r="B284" i="5"/>
  <c r="A284" i="5"/>
  <c r="BZ283" i="5"/>
  <c r="BY283" i="5"/>
  <c r="BX283" i="5"/>
  <c r="BW283" i="5"/>
  <c r="BV283" i="5"/>
  <c r="BU283" i="5"/>
  <c r="BT283" i="5"/>
  <c r="BS283" i="5"/>
  <c r="BR283" i="5"/>
  <c r="BQ283" i="5"/>
  <c r="BO283" i="5"/>
  <c r="BN283" i="5"/>
  <c r="BM283" i="5"/>
  <c r="BL283" i="5"/>
  <c r="BK283" i="5"/>
  <c r="BJ283" i="5"/>
  <c r="BI283" i="5"/>
  <c r="BH283" i="5"/>
  <c r="BG283" i="5"/>
  <c r="BF283" i="5"/>
  <c r="BD283" i="5"/>
  <c r="BC283" i="5"/>
  <c r="BB283" i="5"/>
  <c r="BA283" i="5"/>
  <c r="AZ283" i="5"/>
  <c r="AY283" i="5"/>
  <c r="AX283" i="5"/>
  <c r="AW283" i="5"/>
  <c r="AV283" i="5"/>
  <c r="AU283" i="5"/>
  <c r="AS283" i="5"/>
  <c r="AR283" i="5"/>
  <c r="AQ283" i="5"/>
  <c r="AP283" i="5"/>
  <c r="AO283" i="5"/>
  <c r="AN283" i="5"/>
  <c r="AM283" i="5"/>
  <c r="AL283" i="5"/>
  <c r="AK283" i="5"/>
  <c r="AJ283" i="5"/>
  <c r="AH283" i="5"/>
  <c r="AG283" i="5"/>
  <c r="AF283" i="5"/>
  <c r="AE283" i="5"/>
  <c r="AD283" i="5"/>
  <c r="AC283" i="5"/>
  <c r="AB283" i="5"/>
  <c r="AA283" i="5"/>
  <c r="Z283" i="5"/>
  <c r="Y283" i="5"/>
  <c r="W283" i="5"/>
  <c r="V283" i="5"/>
  <c r="U283" i="5"/>
  <c r="T283" i="5"/>
  <c r="S283" i="5"/>
  <c r="R283" i="5"/>
  <c r="Q283" i="5"/>
  <c r="P283" i="5"/>
  <c r="O283" i="5"/>
  <c r="N283" i="5"/>
  <c r="L283" i="5"/>
  <c r="K283" i="5"/>
  <c r="J283" i="5"/>
  <c r="I283" i="5"/>
  <c r="H283" i="5"/>
  <c r="G283" i="5"/>
  <c r="F283" i="5"/>
  <c r="E283" i="5"/>
  <c r="D283" i="5"/>
  <c r="C283" i="5"/>
  <c r="B283" i="5"/>
  <c r="A283" i="5"/>
  <c r="BZ282" i="5"/>
  <c r="BY282" i="5"/>
  <c r="BX282" i="5"/>
  <c r="BW282" i="5"/>
  <c r="BV282" i="5"/>
  <c r="BU282" i="5"/>
  <c r="BT282" i="5"/>
  <c r="BS282" i="5"/>
  <c r="BR282" i="5"/>
  <c r="BQ282" i="5"/>
  <c r="BO282" i="5"/>
  <c r="BN282" i="5"/>
  <c r="BM282" i="5"/>
  <c r="BL282" i="5"/>
  <c r="BK282" i="5"/>
  <c r="BJ282" i="5"/>
  <c r="BI282" i="5"/>
  <c r="BH282" i="5"/>
  <c r="BG282" i="5"/>
  <c r="BF282" i="5"/>
  <c r="BD282" i="5"/>
  <c r="BC282" i="5"/>
  <c r="BB282" i="5"/>
  <c r="BA282" i="5"/>
  <c r="AZ282" i="5"/>
  <c r="AY282" i="5"/>
  <c r="AX282" i="5"/>
  <c r="AW282" i="5"/>
  <c r="AV282" i="5"/>
  <c r="AU282" i="5"/>
  <c r="AS282" i="5"/>
  <c r="AR282" i="5"/>
  <c r="AQ282" i="5"/>
  <c r="AP282" i="5"/>
  <c r="AO282" i="5"/>
  <c r="AN282" i="5"/>
  <c r="AM282" i="5"/>
  <c r="AL282" i="5"/>
  <c r="AK282" i="5"/>
  <c r="AJ282" i="5"/>
  <c r="AH282" i="5"/>
  <c r="AG282" i="5"/>
  <c r="AF282" i="5"/>
  <c r="AE282" i="5"/>
  <c r="AD282" i="5"/>
  <c r="AC282" i="5"/>
  <c r="AB282" i="5"/>
  <c r="AA282" i="5"/>
  <c r="Z282" i="5"/>
  <c r="Y282" i="5"/>
  <c r="W282" i="5"/>
  <c r="V282" i="5"/>
  <c r="U282" i="5"/>
  <c r="T282" i="5"/>
  <c r="S282" i="5"/>
  <c r="R282" i="5"/>
  <c r="Q282" i="5"/>
  <c r="P282" i="5"/>
  <c r="O282" i="5"/>
  <c r="N282" i="5"/>
  <c r="L282" i="5"/>
  <c r="K282" i="5"/>
  <c r="J282" i="5"/>
  <c r="I282" i="5"/>
  <c r="H282" i="5"/>
  <c r="G282" i="5"/>
  <c r="F282" i="5"/>
  <c r="E282" i="5"/>
  <c r="D282" i="5"/>
  <c r="C282" i="5"/>
  <c r="B282" i="5"/>
  <c r="A282" i="5"/>
  <c r="BZ281" i="5"/>
  <c r="BY281" i="5"/>
  <c r="BX281" i="5"/>
  <c r="BW281" i="5"/>
  <c r="BV281" i="5"/>
  <c r="BU281" i="5"/>
  <c r="BT281" i="5"/>
  <c r="BS281" i="5"/>
  <c r="BR281" i="5"/>
  <c r="BQ281" i="5"/>
  <c r="BO281" i="5"/>
  <c r="BN281" i="5"/>
  <c r="BM281" i="5"/>
  <c r="BL281" i="5"/>
  <c r="BK281" i="5"/>
  <c r="BJ281" i="5"/>
  <c r="BI281" i="5"/>
  <c r="BH281" i="5"/>
  <c r="BG281" i="5"/>
  <c r="BF281" i="5"/>
  <c r="BD281" i="5"/>
  <c r="BC281" i="5"/>
  <c r="BB281" i="5"/>
  <c r="BA281" i="5"/>
  <c r="AZ281" i="5"/>
  <c r="AY281" i="5"/>
  <c r="AX281" i="5"/>
  <c r="AW281" i="5"/>
  <c r="AV281" i="5"/>
  <c r="AU281" i="5"/>
  <c r="AS281" i="5"/>
  <c r="AR281" i="5"/>
  <c r="AQ281" i="5"/>
  <c r="AP281" i="5"/>
  <c r="AO281" i="5"/>
  <c r="AN281" i="5"/>
  <c r="AM281" i="5"/>
  <c r="AL281" i="5"/>
  <c r="AK281" i="5"/>
  <c r="AJ281" i="5"/>
  <c r="AH281" i="5"/>
  <c r="AG281" i="5"/>
  <c r="AF281" i="5"/>
  <c r="AE281" i="5"/>
  <c r="AD281" i="5"/>
  <c r="AC281" i="5"/>
  <c r="AB281" i="5"/>
  <c r="AA281" i="5"/>
  <c r="Z281" i="5"/>
  <c r="Y281" i="5"/>
  <c r="W281" i="5"/>
  <c r="V281" i="5"/>
  <c r="U281" i="5"/>
  <c r="T281" i="5"/>
  <c r="S281" i="5"/>
  <c r="R281" i="5"/>
  <c r="Q281" i="5"/>
  <c r="P281" i="5"/>
  <c r="O281" i="5"/>
  <c r="N281" i="5"/>
  <c r="L281" i="5"/>
  <c r="K281" i="5"/>
  <c r="J281" i="5"/>
  <c r="I281" i="5"/>
  <c r="H281" i="5"/>
  <c r="G281" i="5"/>
  <c r="F281" i="5"/>
  <c r="E281" i="5"/>
  <c r="D281" i="5"/>
  <c r="C281" i="5"/>
  <c r="B281" i="5"/>
  <c r="A281" i="5"/>
  <c r="BZ280" i="5"/>
  <c r="BY280" i="5"/>
  <c r="BX280" i="5"/>
  <c r="BW280" i="5"/>
  <c r="BV280" i="5"/>
  <c r="BU280" i="5"/>
  <c r="BT280" i="5"/>
  <c r="BS280" i="5"/>
  <c r="BR280" i="5"/>
  <c r="BQ280" i="5"/>
  <c r="BO280" i="5"/>
  <c r="BN280" i="5"/>
  <c r="BM280" i="5"/>
  <c r="BL280" i="5"/>
  <c r="BK280" i="5"/>
  <c r="BJ280" i="5"/>
  <c r="BI280" i="5"/>
  <c r="BH280" i="5"/>
  <c r="BG280" i="5"/>
  <c r="BF280" i="5"/>
  <c r="BD280" i="5"/>
  <c r="BC280" i="5"/>
  <c r="BB280" i="5"/>
  <c r="BA280" i="5"/>
  <c r="AZ280" i="5"/>
  <c r="AY280" i="5"/>
  <c r="AX280" i="5"/>
  <c r="AW280" i="5"/>
  <c r="AV280" i="5"/>
  <c r="AU280" i="5"/>
  <c r="AS280" i="5"/>
  <c r="AR280" i="5"/>
  <c r="AQ280" i="5"/>
  <c r="AP280" i="5"/>
  <c r="AO280" i="5"/>
  <c r="AN280" i="5"/>
  <c r="AM280" i="5"/>
  <c r="AL280" i="5"/>
  <c r="AK280" i="5"/>
  <c r="AJ280" i="5"/>
  <c r="AH280" i="5"/>
  <c r="AG280" i="5"/>
  <c r="AF280" i="5"/>
  <c r="AE280" i="5"/>
  <c r="AD280" i="5"/>
  <c r="AC280" i="5"/>
  <c r="AB280" i="5"/>
  <c r="AA280" i="5"/>
  <c r="Z280" i="5"/>
  <c r="Y280" i="5"/>
  <c r="W280" i="5"/>
  <c r="V280" i="5"/>
  <c r="U280" i="5"/>
  <c r="T280" i="5"/>
  <c r="S280" i="5"/>
  <c r="R280" i="5"/>
  <c r="Q280" i="5"/>
  <c r="P280" i="5"/>
  <c r="O280" i="5"/>
  <c r="N280" i="5"/>
  <c r="L280" i="5"/>
  <c r="K280" i="5"/>
  <c r="J280" i="5"/>
  <c r="I280" i="5"/>
  <c r="H280" i="5"/>
  <c r="G280" i="5"/>
  <c r="F280" i="5"/>
  <c r="E280" i="5"/>
  <c r="D280" i="5"/>
  <c r="C280" i="5"/>
  <c r="B280" i="5"/>
  <c r="A280" i="5"/>
  <c r="BZ279" i="5"/>
  <c r="BY279" i="5"/>
  <c r="BX279" i="5"/>
  <c r="BW279" i="5"/>
  <c r="BV279" i="5"/>
  <c r="BU279" i="5"/>
  <c r="BT279" i="5"/>
  <c r="BS279" i="5"/>
  <c r="BR279" i="5"/>
  <c r="BQ279" i="5"/>
  <c r="BO279" i="5"/>
  <c r="BN279" i="5"/>
  <c r="BM279" i="5"/>
  <c r="BL279" i="5"/>
  <c r="BK279" i="5"/>
  <c r="BJ279" i="5"/>
  <c r="BI279" i="5"/>
  <c r="BH279" i="5"/>
  <c r="BG279" i="5"/>
  <c r="BF279" i="5"/>
  <c r="BD279" i="5"/>
  <c r="BC279" i="5"/>
  <c r="BB279" i="5"/>
  <c r="BA279" i="5"/>
  <c r="AZ279" i="5"/>
  <c r="AY279" i="5"/>
  <c r="AX279" i="5"/>
  <c r="AW279" i="5"/>
  <c r="AV279" i="5"/>
  <c r="AU279" i="5"/>
  <c r="AS279" i="5"/>
  <c r="AR279" i="5"/>
  <c r="AQ279" i="5"/>
  <c r="AP279" i="5"/>
  <c r="AO279" i="5"/>
  <c r="AN279" i="5"/>
  <c r="AM279" i="5"/>
  <c r="AL279" i="5"/>
  <c r="AK279" i="5"/>
  <c r="AJ279" i="5"/>
  <c r="AH279" i="5"/>
  <c r="AG279" i="5"/>
  <c r="AF279" i="5"/>
  <c r="AE279" i="5"/>
  <c r="AD279" i="5"/>
  <c r="AC279" i="5"/>
  <c r="AB279" i="5"/>
  <c r="AA279" i="5"/>
  <c r="Z279" i="5"/>
  <c r="Y279" i="5"/>
  <c r="W279" i="5"/>
  <c r="V279" i="5"/>
  <c r="U279" i="5"/>
  <c r="T279" i="5"/>
  <c r="S279" i="5"/>
  <c r="R279" i="5"/>
  <c r="Q279" i="5"/>
  <c r="P279" i="5"/>
  <c r="O279" i="5"/>
  <c r="N279" i="5"/>
  <c r="L279" i="5"/>
  <c r="K279" i="5"/>
  <c r="J279" i="5"/>
  <c r="I279" i="5"/>
  <c r="H279" i="5"/>
  <c r="G279" i="5"/>
  <c r="F279" i="5"/>
  <c r="E279" i="5"/>
  <c r="D279" i="5"/>
  <c r="C279" i="5"/>
  <c r="B279" i="5"/>
  <c r="A279" i="5"/>
  <c r="BZ278" i="5"/>
  <c r="BY278" i="5"/>
  <c r="BX278" i="5"/>
  <c r="BW278" i="5"/>
  <c r="BV278" i="5"/>
  <c r="BU278" i="5"/>
  <c r="BT278" i="5"/>
  <c r="BS278" i="5"/>
  <c r="BR278" i="5"/>
  <c r="BQ278" i="5"/>
  <c r="BO278" i="5"/>
  <c r="BN278" i="5"/>
  <c r="BM278" i="5"/>
  <c r="BL278" i="5"/>
  <c r="BK278" i="5"/>
  <c r="BJ278" i="5"/>
  <c r="BI278" i="5"/>
  <c r="BP278" i="5" s="1"/>
  <c r="CG278" i="5" s="1"/>
  <c r="BH278" i="5"/>
  <c r="BG278" i="5"/>
  <c r="BF278" i="5"/>
  <c r="BD278" i="5"/>
  <c r="BC278" i="5"/>
  <c r="BB278" i="5"/>
  <c r="BA278" i="5"/>
  <c r="AZ278" i="5"/>
  <c r="AY278" i="5"/>
  <c r="AX278" i="5"/>
  <c r="AW278" i="5"/>
  <c r="AV278" i="5"/>
  <c r="AU278" i="5"/>
  <c r="AS278" i="5"/>
  <c r="AR278" i="5"/>
  <c r="AQ278" i="5"/>
  <c r="AP278" i="5"/>
  <c r="AO278" i="5"/>
  <c r="AN278" i="5"/>
  <c r="AM278" i="5"/>
  <c r="AL278" i="5"/>
  <c r="AK278" i="5"/>
  <c r="AJ278" i="5"/>
  <c r="AH278" i="5"/>
  <c r="AG278" i="5"/>
  <c r="AF278" i="5"/>
  <c r="AE278" i="5"/>
  <c r="AD278" i="5"/>
  <c r="AC278" i="5"/>
  <c r="AB278" i="5"/>
  <c r="AA278" i="5"/>
  <c r="Z278" i="5"/>
  <c r="Y278" i="5"/>
  <c r="W278" i="5"/>
  <c r="V278" i="5"/>
  <c r="U278" i="5"/>
  <c r="T278" i="5"/>
  <c r="S278" i="5"/>
  <c r="R278" i="5"/>
  <c r="Q278" i="5"/>
  <c r="P278" i="5"/>
  <c r="O278" i="5"/>
  <c r="N278" i="5"/>
  <c r="L278" i="5"/>
  <c r="K278" i="5"/>
  <c r="J278" i="5"/>
  <c r="I278" i="5"/>
  <c r="H278" i="5"/>
  <c r="G278" i="5"/>
  <c r="F278" i="5"/>
  <c r="E278" i="5"/>
  <c r="D278" i="5"/>
  <c r="C278" i="5"/>
  <c r="B278" i="5"/>
  <c r="A278" i="5"/>
  <c r="BZ277" i="5"/>
  <c r="BY277" i="5"/>
  <c r="BX277" i="5"/>
  <c r="BW277" i="5"/>
  <c r="BV277" i="5"/>
  <c r="BU277" i="5"/>
  <c r="BT277" i="5"/>
  <c r="BS277" i="5"/>
  <c r="BR277" i="5"/>
  <c r="BQ277" i="5"/>
  <c r="BO277" i="5"/>
  <c r="BN277" i="5"/>
  <c r="BM277" i="5"/>
  <c r="BL277" i="5"/>
  <c r="BK277" i="5"/>
  <c r="BJ277" i="5"/>
  <c r="BI277" i="5"/>
  <c r="BH277" i="5"/>
  <c r="BG277" i="5"/>
  <c r="BF277" i="5"/>
  <c r="BD277" i="5"/>
  <c r="BC277" i="5"/>
  <c r="BB277" i="5"/>
  <c r="BA277" i="5"/>
  <c r="AZ277" i="5"/>
  <c r="AY277" i="5"/>
  <c r="AX277" i="5"/>
  <c r="AW277" i="5"/>
  <c r="AV277" i="5"/>
  <c r="AU277" i="5"/>
  <c r="AS277" i="5"/>
  <c r="AR277" i="5"/>
  <c r="AQ277" i="5"/>
  <c r="AP277" i="5"/>
  <c r="AO277" i="5"/>
  <c r="AN277" i="5"/>
  <c r="AM277" i="5"/>
  <c r="AL277" i="5"/>
  <c r="AK277" i="5"/>
  <c r="AJ277" i="5"/>
  <c r="AH277" i="5"/>
  <c r="AG277" i="5"/>
  <c r="AF277" i="5"/>
  <c r="AE277" i="5"/>
  <c r="AD277" i="5"/>
  <c r="AC277" i="5"/>
  <c r="AB277" i="5"/>
  <c r="AA277" i="5"/>
  <c r="Z277" i="5"/>
  <c r="Y277" i="5"/>
  <c r="W277" i="5"/>
  <c r="V277" i="5"/>
  <c r="U277" i="5"/>
  <c r="T277" i="5"/>
  <c r="S277" i="5"/>
  <c r="R277" i="5"/>
  <c r="Q277" i="5"/>
  <c r="P277" i="5"/>
  <c r="O277" i="5"/>
  <c r="N277" i="5"/>
  <c r="L277" i="5"/>
  <c r="K277" i="5"/>
  <c r="J277" i="5"/>
  <c r="I277" i="5"/>
  <c r="H277" i="5"/>
  <c r="G277" i="5"/>
  <c r="F277" i="5"/>
  <c r="E277" i="5"/>
  <c r="D277" i="5"/>
  <c r="C277" i="5"/>
  <c r="B277" i="5"/>
  <c r="A277" i="5"/>
  <c r="BZ276" i="5"/>
  <c r="BY276" i="5"/>
  <c r="BX276" i="5"/>
  <c r="BW276" i="5"/>
  <c r="BV276" i="5"/>
  <c r="BU276" i="5"/>
  <c r="BT276" i="5"/>
  <c r="BS276" i="5"/>
  <c r="BR276" i="5"/>
  <c r="BQ276" i="5"/>
  <c r="BO276" i="5"/>
  <c r="BN276" i="5"/>
  <c r="BM276" i="5"/>
  <c r="BL276" i="5"/>
  <c r="BK276" i="5"/>
  <c r="BJ276" i="5"/>
  <c r="BI276" i="5"/>
  <c r="BH276" i="5"/>
  <c r="BG276" i="5"/>
  <c r="BF276" i="5"/>
  <c r="BD276" i="5"/>
  <c r="BC276" i="5"/>
  <c r="BB276" i="5"/>
  <c r="BA276" i="5"/>
  <c r="AZ276" i="5"/>
  <c r="AY276" i="5"/>
  <c r="AX276" i="5"/>
  <c r="AW276" i="5"/>
  <c r="AV276" i="5"/>
  <c r="AU276" i="5"/>
  <c r="AS276" i="5"/>
  <c r="AR276" i="5"/>
  <c r="AQ276" i="5"/>
  <c r="AP276" i="5"/>
  <c r="AO276" i="5"/>
  <c r="AN276" i="5"/>
  <c r="AM276" i="5"/>
  <c r="AL276" i="5"/>
  <c r="AK276" i="5"/>
  <c r="AJ276" i="5"/>
  <c r="AH276" i="5"/>
  <c r="AG276" i="5"/>
  <c r="AF276" i="5"/>
  <c r="AE276" i="5"/>
  <c r="AD276" i="5"/>
  <c r="AC276" i="5"/>
  <c r="AB276" i="5"/>
  <c r="AA276" i="5"/>
  <c r="Z276" i="5"/>
  <c r="Y276" i="5"/>
  <c r="W276" i="5"/>
  <c r="V276" i="5"/>
  <c r="U276" i="5"/>
  <c r="T276" i="5"/>
  <c r="S276" i="5"/>
  <c r="R276" i="5"/>
  <c r="Q276" i="5"/>
  <c r="P276" i="5"/>
  <c r="O276" i="5"/>
  <c r="N276" i="5"/>
  <c r="L276" i="5"/>
  <c r="K276" i="5"/>
  <c r="J276" i="5"/>
  <c r="I276" i="5"/>
  <c r="H276" i="5"/>
  <c r="G276" i="5"/>
  <c r="F276" i="5"/>
  <c r="E276" i="5"/>
  <c r="D276" i="5"/>
  <c r="C276" i="5"/>
  <c r="B276" i="5"/>
  <c r="A276" i="5"/>
  <c r="BZ275" i="5"/>
  <c r="BY275" i="5"/>
  <c r="BX275" i="5"/>
  <c r="BW275" i="5"/>
  <c r="BV275" i="5"/>
  <c r="BU275" i="5"/>
  <c r="BT275" i="5"/>
  <c r="BS275" i="5"/>
  <c r="BR275" i="5"/>
  <c r="BQ275" i="5"/>
  <c r="BO275" i="5"/>
  <c r="BN275" i="5"/>
  <c r="BM275" i="5"/>
  <c r="BL275" i="5"/>
  <c r="BK275" i="5"/>
  <c r="BJ275" i="5"/>
  <c r="BI275" i="5"/>
  <c r="BH275" i="5"/>
  <c r="BG275" i="5"/>
  <c r="BF275" i="5"/>
  <c r="BD275" i="5"/>
  <c r="BC275" i="5"/>
  <c r="BB275" i="5"/>
  <c r="BA275" i="5"/>
  <c r="AZ275" i="5"/>
  <c r="AY275" i="5"/>
  <c r="AX275" i="5"/>
  <c r="AW275" i="5"/>
  <c r="AV275" i="5"/>
  <c r="AU275" i="5"/>
  <c r="AS275" i="5"/>
  <c r="AR275" i="5"/>
  <c r="AQ275" i="5"/>
  <c r="AP275" i="5"/>
  <c r="AO275" i="5"/>
  <c r="AN275" i="5"/>
  <c r="AM275" i="5"/>
  <c r="AL275" i="5"/>
  <c r="AK275" i="5"/>
  <c r="AJ275" i="5"/>
  <c r="AH275" i="5"/>
  <c r="AG275" i="5"/>
  <c r="AF275" i="5"/>
  <c r="AE275" i="5"/>
  <c r="AD275" i="5"/>
  <c r="AC275" i="5"/>
  <c r="AB275" i="5"/>
  <c r="AA275" i="5"/>
  <c r="Z275" i="5"/>
  <c r="Y275" i="5"/>
  <c r="W275" i="5"/>
  <c r="V275" i="5"/>
  <c r="U275" i="5"/>
  <c r="T275" i="5"/>
  <c r="S275" i="5"/>
  <c r="R275" i="5"/>
  <c r="Q275" i="5"/>
  <c r="P275" i="5"/>
  <c r="O275" i="5"/>
  <c r="N275" i="5"/>
  <c r="L275" i="5"/>
  <c r="K275" i="5"/>
  <c r="J275" i="5"/>
  <c r="I275" i="5"/>
  <c r="H275" i="5"/>
  <c r="G275" i="5"/>
  <c r="F275" i="5"/>
  <c r="E275" i="5"/>
  <c r="D275" i="5"/>
  <c r="C275" i="5"/>
  <c r="B275" i="5"/>
  <c r="A275" i="5"/>
  <c r="BZ274" i="5"/>
  <c r="BY274" i="5"/>
  <c r="BX274" i="5"/>
  <c r="BW274" i="5"/>
  <c r="BV274" i="5"/>
  <c r="BU274" i="5"/>
  <c r="BT274" i="5"/>
  <c r="BS274" i="5"/>
  <c r="BR274" i="5"/>
  <c r="BQ274" i="5"/>
  <c r="BO274" i="5"/>
  <c r="BN274" i="5"/>
  <c r="BM274" i="5"/>
  <c r="BL274" i="5"/>
  <c r="BK274" i="5"/>
  <c r="BJ274" i="5"/>
  <c r="BI274" i="5"/>
  <c r="BH274" i="5"/>
  <c r="BG274" i="5"/>
  <c r="BF274" i="5"/>
  <c r="BD274" i="5"/>
  <c r="BC274" i="5"/>
  <c r="BB274" i="5"/>
  <c r="BA274" i="5"/>
  <c r="AZ274" i="5"/>
  <c r="AY274" i="5"/>
  <c r="AX274" i="5"/>
  <c r="AW274" i="5"/>
  <c r="AV274" i="5"/>
  <c r="AU274" i="5"/>
  <c r="AS274" i="5"/>
  <c r="AR274" i="5"/>
  <c r="AQ274" i="5"/>
  <c r="AP274" i="5"/>
  <c r="AO274" i="5"/>
  <c r="AN274" i="5"/>
  <c r="AM274" i="5"/>
  <c r="AL274" i="5"/>
  <c r="AK274" i="5"/>
  <c r="AJ274" i="5"/>
  <c r="AH274" i="5"/>
  <c r="AG274" i="5"/>
  <c r="AF274" i="5"/>
  <c r="AE274" i="5"/>
  <c r="AD274" i="5"/>
  <c r="AC274" i="5"/>
  <c r="AB274" i="5"/>
  <c r="AA274" i="5"/>
  <c r="Z274" i="5"/>
  <c r="Y274" i="5"/>
  <c r="W274" i="5"/>
  <c r="V274" i="5"/>
  <c r="U274" i="5"/>
  <c r="T274" i="5"/>
  <c r="S274" i="5"/>
  <c r="R274" i="5"/>
  <c r="Q274" i="5"/>
  <c r="P274" i="5"/>
  <c r="O274" i="5"/>
  <c r="N274" i="5"/>
  <c r="L274" i="5"/>
  <c r="K274" i="5"/>
  <c r="J274" i="5"/>
  <c r="I274" i="5"/>
  <c r="H274" i="5"/>
  <c r="G274" i="5"/>
  <c r="F274" i="5"/>
  <c r="E274" i="5"/>
  <c r="D274" i="5"/>
  <c r="B274" i="5"/>
  <c r="A274" i="5"/>
  <c r="BZ273" i="5"/>
  <c r="BY273" i="5"/>
  <c r="BX273" i="5"/>
  <c r="BW273" i="5"/>
  <c r="BV273" i="5"/>
  <c r="BU273" i="5"/>
  <c r="BT273" i="5"/>
  <c r="BS273" i="5"/>
  <c r="BR273" i="5"/>
  <c r="BQ273" i="5"/>
  <c r="BO273" i="5"/>
  <c r="BN273" i="5"/>
  <c r="BM273" i="5"/>
  <c r="BL273" i="5"/>
  <c r="BK273" i="5"/>
  <c r="BJ273" i="5"/>
  <c r="BI273" i="5"/>
  <c r="BH273" i="5"/>
  <c r="BG273" i="5"/>
  <c r="BF273" i="5"/>
  <c r="BD273" i="5"/>
  <c r="BC273" i="5"/>
  <c r="BB273" i="5"/>
  <c r="BA273" i="5"/>
  <c r="AZ273" i="5"/>
  <c r="AY273" i="5"/>
  <c r="AX273" i="5"/>
  <c r="AW273" i="5"/>
  <c r="AV273" i="5"/>
  <c r="AU273" i="5"/>
  <c r="AS273" i="5"/>
  <c r="AR273" i="5"/>
  <c r="AQ273" i="5"/>
  <c r="AP273" i="5"/>
  <c r="AO273" i="5"/>
  <c r="AN273" i="5"/>
  <c r="AM273" i="5"/>
  <c r="AL273" i="5"/>
  <c r="AK273" i="5"/>
  <c r="AJ273" i="5"/>
  <c r="AH273" i="5"/>
  <c r="AG273" i="5"/>
  <c r="AF273" i="5"/>
  <c r="AE273" i="5"/>
  <c r="AD273" i="5"/>
  <c r="AC273" i="5"/>
  <c r="AB273" i="5"/>
  <c r="AA273" i="5"/>
  <c r="Z273" i="5"/>
  <c r="Y273" i="5"/>
  <c r="W273" i="5"/>
  <c r="V273" i="5"/>
  <c r="U273" i="5"/>
  <c r="T273" i="5"/>
  <c r="S273" i="5"/>
  <c r="R273" i="5"/>
  <c r="Q273" i="5"/>
  <c r="P273" i="5"/>
  <c r="O273" i="5"/>
  <c r="N273" i="5"/>
  <c r="L273" i="5"/>
  <c r="K273" i="5"/>
  <c r="J273" i="5"/>
  <c r="I273" i="5"/>
  <c r="H273" i="5"/>
  <c r="G273" i="5"/>
  <c r="F273" i="5"/>
  <c r="E273" i="5"/>
  <c r="D273" i="5"/>
  <c r="C273" i="5"/>
  <c r="B273" i="5"/>
  <c r="A273" i="5"/>
  <c r="BZ272" i="5"/>
  <c r="BY272" i="5"/>
  <c r="BX272" i="5"/>
  <c r="BW272" i="5"/>
  <c r="BV272" i="5"/>
  <c r="BU272" i="5"/>
  <c r="BT272" i="5"/>
  <c r="BS272" i="5"/>
  <c r="BR272" i="5"/>
  <c r="BQ272" i="5"/>
  <c r="BO272" i="5"/>
  <c r="BN272" i="5"/>
  <c r="BM272" i="5"/>
  <c r="BL272" i="5"/>
  <c r="BK272" i="5"/>
  <c r="BJ272" i="5"/>
  <c r="BI272" i="5"/>
  <c r="BH272" i="5"/>
  <c r="BG272" i="5"/>
  <c r="BF272" i="5"/>
  <c r="BD272" i="5"/>
  <c r="BC272" i="5"/>
  <c r="BB272" i="5"/>
  <c r="BA272" i="5"/>
  <c r="AZ272" i="5"/>
  <c r="AY272" i="5"/>
  <c r="AX272" i="5"/>
  <c r="AW272" i="5"/>
  <c r="AV272" i="5"/>
  <c r="AU272" i="5"/>
  <c r="AS272" i="5"/>
  <c r="AR272" i="5"/>
  <c r="AQ272" i="5"/>
  <c r="AP272" i="5"/>
  <c r="AO272" i="5"/>
  <c r="AN272" i="5"/>
  <c r="AM272" i="5"/>
  <c r="AL272" i="5"/>
  <c r="AK272" i="5"/>
  <c r="AJ272" i="5"/>
  <c r="AH272" i="5"/>
  <c r="AG272" i="5"/>
  <c r="AF272" i="5"/>
  <c r="AE272" i="5"/>
  <c r="AD272" i="5"/>
  <c r="AC272" i="5"/>
  <c r="AB272" i="5"/>
  <c r="AA272" i="5"/>
  <c r="Z272" i="5"/>
  <c r="Y272" i="5"/>
  <c r="W272" i="5"/>
  <c r="V272" i="5"/>
  <c r="U272" i="5"/>
  <c r="T272" i="5"/>
  <c r="S272" i="5"/>
  <c r="R272" i="5"/>
  <c r="Q272" i="5"/>
  <c r="P272" i="5"/>
  <c r="O272" i="5"/>
  <c r="N272" i="5"/>
  <c r="L272" i="5"/>
  <c r="K272" i="5"/>
  <c r="J272" i="5"/>
  <c r="I272" i="5"/>
  <c r="H272" i="5"/>
  <c r="G272" i="5"/>
  <c r="F272" i="5"/>
  <c r="E272" i="5"/>
  <c r="D272" i="5"/>
  <c r="C272" i="5"/>
  <c r="B272" i="5"/>
  <c r="A272" i="5"/>
  <c r="BZ271" i="5"/>
  <c r="BY271" i="5"/>
  <c r="BX271" i="5"/>
  <c r="BW271" i="5"/>
  <c r="BV271" i="5"/>
  <c r="BU271" i="5"/>
  <c r="BT271" i="5"/>
  <c r="BS271" i="5"/>
  <c r="BR271" i="5"/>
  <c r="BQ271" i="5"/>
  <c r="BO271" i="5"/>
  <c r="BN271" i="5"/>
  <c r="BM271" i="5"/>
  <c r="BL271" i="5"/>
  <c r="BK271" i="5"/>
  <c r="BJ271" i="5"/>
  <c r="BI271" i="5"/>
  <c r="BH271" i="5"/>
  <c r="BG271" i="5"/>
  <c r="BF271" i="5"/>
  <c r="BD271" i="5"/>
  <c r="BC271" i="5"/>
  <c r="BB271" i="5"/>
  <c r="BA271" i="5"/>
  <c r="AZ271" i="5"/>
  <c r="AY271" i="5"/>
  <c r="AX271" i="5"/>
  <c r="AW271" i="5"/>
  <c r="AV271" i="5"/>
  <c r="AU271" i="5"/>
  <c r="AS271" i="5"/>
  <c r="AR271" i="5"/>
  <c r="AQ271" i="5"/>
  <c r="AP271" i="5"/>
  <c r="AO271" i="5"/>
  <c r="AN271" i="5"/>
  <c r="AM271" i="5"/>
  <c r="AL271" i="5"/>
  <c r="AK271" i="5"/>
  <c r="AJ271" i="5"/>
  <c r="AH271" i="5"/>
  <c r="AG271" i="5"/>
  <c r="AF271" i="5"/>
  <c r="AE271" i="5"/>
  <c r="AD271" i="5"/>
  <c r="AC271" i="5"/>
  <c r="AB271" i="5"/>
  <c r="AA271" i="5"/>
  <c r="Z271" i="5"/>
  <c r="Y271" i="5"/>
  <c r="W271" i="5"/>
  <c r="V271" i="5"/>
  <c r="U271" i="5"/>
  <c r="T271" i="5"/>
  <c r="S271" i="5"/>
  <c r="R271" i="5"/>
  <c r="Q271" i="5"/>
  <c r="P271" i="5"/>
  <c r="O271" i="5"/>
  <c r="N271" i="5"/>
  <c r="L271" i="5"/>
  <c r="K271" i="5"/>
  <c r="J271" i="5"/>
  <c r="I271" i="5"/>
  <c r="H271" i="5"/>
  <c r="G271" i="5"/>
  <c r="F271" i="5"/>
  <c r="E271" i="5"/>
  <c r="D271" i="5"/>
  <c r="B271" i="5"/>
  <c r="A271" i="5"/>
  <c r="BZ270" i="5"/>
  <c r="BY270" i="5"/>
  <c r="BX270" i="5"/>
  <c r="BW270" i="5"/>
  <c r="BV270" i="5"/>
  <c r="BU270" i="5"/>
  <c r="BT270" i="5"/>
  <c r="BS270" i="5"/>
  <c r="BR270" i="5"/>
  <c r="BQ270" i="5"/>
  <c r="BO270" i="5"/>
  <c r="BN270" i="5"/>
  <c r="BM270" i="5"/>
  <c r="BL270" i="5"/>
  <c r="BK270" i="5"/>
  <c r="BJ270" i="5"/>
  <c r="BI270" i="5"/>
  <c r="BH270" i="5"/>
  <c r="BG270" i="5"/>
  <c r="BF270" i="5"/>
  <c r="BD270" i="5"/>
  <c r="BC270" i="5"/>
  <c r="BB270" i="5"/>
  <c r="BA270" i="5"/>
  <c r="AZ270" i="5"/>
  <c r="AY270" i="5"/>
  <c r="AX270" i="5"/>
  <c r="AW270" i="5"/>
  <c r="AV270" i="5"/>
  <c r="AU270" i="5"/>
  <c r="AS270" i="5"/>
  <c r="AR270" i="5"/>
  <c r="AQ270" i="5"/>
  <c r="AP270" i="5"/>
  <c r="AO270" i="5"/>
  <c r="AN270" i="5"/>
  <c r="AM270" i="5"/>
  <c r="AL270" i="5"/>
  <c r="AK270" i="5"/>
  <c r="AJ270" i="5"/>
  <c r="AH270" i="5"/>
  <c r="AG270" i="5"/>
  <c r="AF270" i="5"/>
  <c r="AE270" i="5"/>
  <c r="AD270" i="5"/>
  <c r="AC270" i="5"/>
  <c r="AB270" i="5"/>
  <c r="AA270" i="5"/>
  <c r="Z270" i="5"/>
  <c r="Y270" i="5"/>
  <c r="W270" i="5"/>
  <c r="V270" i="5"/>
  <c r="U270" i="5"/>
  <c r="T270" i="5"/>
  <c r="S270" i="5"/>
  <c r="R270" i="5"/>
  <c r="Q270" i="5"/>
  <c r="P270" i="5"/>
  <c r="O270" i="5"/>
  <c r="N270" i="5"/>
  <c r="L270" i="5"/>
  <c r="K270" i="5"/>
  <c r="J270" i="5"/>
  <c r="I270" i="5"/>
  <c r="H270" i="5"/>
  <c r="G270" i="5"/>
  <c r="F270" i="5"/>
  <c r="E270" i="5"/>
  <c r="D270" i="5"/>
  <c r="C270" i="5"/>
  <c r="B270" i="5"/>
  <c r="A270" i="5"/>
  <c r="BZ269" i="5"/>
  <c r="BY269" i="5"/>
  <c r="BX269" i="5"/>
  <c r="BW269" i="5"/>
  <c r="BV269" i="5"/>
  <c r="BU269" i="5"/>
  <c r="CA269" i="5" s="1"/>
  <c r="CH269" i="5" s="1"/>
  <c r="BT269" i="5"/>
  <c r="BS269" i="5"/>
  <c r="BR269" i="5"/>
  <c r="BQ269" i="5"/>
  <c r="BO269" i="5"/>
  <c r="BN269" i="5"/>
  <c r="BM269" i="5"/>
  <c r="BL269" i="5"/>
  <c r="BK269" i="5"/>
  <c r="BJ269" i="5"/>
  <c r="BI269" i="5"/>
  <c r="BH269" i="5"/>
  <c r="BG269" i="5"/>
  <c r="BF269" i="5"/>
  <c r="BD269" i="5"/>
  <c r="BC269" i="5"/>
  <c r="BB269" i="5"/>
  <c r="BA269" i="5"/>
  <c r="AZ269" i="5"/>
  <c r="AY269" i="5"/>
  <c r="AX269" i="5"/>
  <c r="AW269" i="5"/>
  <c r="AV269" i="5"/>
  <c r="AU269" i="5"/>
  <c r="AS269" i="5"/>
  <c r="AR269" i="5"/>
  <c r="AQ269" i="5"/>
  <c r="AP269" i="5"/>
  <c r="AO269" i="5"/>
  <c r="AN269" i="5"/>
  <c r="AM269" i="5"/>
  <c r="AL269" i="5"/>
  <c r="AK269" i="5"/>
  <c r="AJ269" i="5"/>
  <c r="AH269" i="5"/>
  <c r="AG269" i="5"/>
  <c r="AF269" i="5"/>
  <c r="AE269" i="5"/>
  <c r="AD269" i="5"/>
  <c r="AC269" i="5"/>
  <c r="AB269" i="5"/>
  <c r="AA269" i="5"/>
  <c r="Z269" i="5"/>
  <c r="Y269" i="5"/>
  <c r="W269" i="5"/>
  <c r="V269" i="5"/>
  <c r="U269" i="5"/>
  <c r="T269" i="5"/>
  <c r="S269" i="5"/>
  <c r="R269" i="5"/>
  <c r="Q269" i="5"/>
  <c r="P269" i="5"/>
  <c r="O269" i="5"/>
  <c r="N269" i="5"/>
  <c r="L269" i="5"/>
  <c r="K269" i="5"/>
  <c r="J269" i="5"/>
  <c r="I269" i="5"/>
  <c r="H269" i="5"/>
  <c r="G269" i="5"/>
  <c r="F269" i="5"/>
  <c r="E269" i="5"/>
  <c r="D269" i="5"/>
  <c r="C269" i="5"/>
  <c r="B269" i="5"/>
  <c r="A269" i="5"/>
  <c r="BZ268" i="5"/>
  <c r="BY268" i="5"/>
  <c r="BX268" i="5"/>
  <c r="BW268" i="5"/>
  <c r="BV268" i="5"/>
  <c r="BU268" i="5"/>
  <c r="BT268" i="5"/>
  <c r="BS268" i="5"/>
  <c r="BR268" i="5"/>
  <c r="BQ268" i="5"/>
  <c r="BO268" i="5"/>
  <c r="BN268" i="5"/>
  <c r="BM268" i="5"/>
  <c r="BL268" i="5"/>
  <c r="BK268" i="5"/>
  <c r="BJ268" i="5"/>
  <c r="BI268" i="5"/>
  <c r="BH268" i="5"/>
  <c r="BG268" i="5"/>
  <c r="BF268" i="5"/>
  <c r="BD268" i="5"/>
  <c r="BC268" i="5"/>
  <c r="BB268" i="5"/>
  <c r="BA268" i="5"/>
  <c r="AZ268" i="5"/>
  <c r="AY268" i="5"/>
  <c r="AX268" i="5"/>
  <c r="AW268" i="5"/>
  <c r="AV268" i="5"/>
  <c r="AU268" i="5"/>
  <c r="AS268" i="5"/>
  <c r="AR268" i="5"/>
  <c r="AQ268" i="5"/>
  <c r="AP268" i="5"/>
  <c r="AO268" i="5"/>
  <c r="AN268" i="5"/>
  <c r="AM268" i="5"/>
  <c r="AL268" i="5"/>
  <c r="AK268" i="5"/>
  <c r="AJ268" i="5"/>
  <c r="AH268" i="5"/>
  <c r="AG268" i="5"/>
  <c r="AF268" i="5"/>
  <c r="AE268" i="5"/>
  <c r="AD268" i="5"/>
  <c r="AC268" i="5"/>
  <c r="AB268" i="5"/>
  <c r="AA268" i="5"/>
  <c r="Z268" i="5"/>
  <c r="Y268" i="5"/>
  <c r="W268" i="5"/>
  <c r="V268" i="5"/>
  <c r="U268" i="5"/>
  <c r="T268" i="5"/>
  <c r="S268" i="5"/>
  <c r="R268" i="5"/>
  <c r="Q268" i="5"/>
  <c r="P268" i="5"/>
  <c r="O268" i="5"/>
  <c r="N268" i="5"/>
  <c r="L268" i="5"/>
  <c r="K268" i="5"/>
  <c r="J268" i="5"/>
  <c r="I268" i="5"/>
  <c r="H268" i="5"/>
  <c r="G268" i="5"/>
  <c r="F268" i="5"/>
  <c r="E268" i="5"/>
  <c r="D268" i="5"/>
  <c r="C268" i="5"/>
  <c r="B268" i="5"/>
  <c r="A268" i="5"/>
  <c r="BZ267" i="5"/>
  <c r="BY267" i="5"/>
  <c r="BX267" i="5"/>
  <c r="BW267" i="5"/>
  <c r="BV267" i="5"/>
  <c r="BU267" i="5"/>
  <c r="BT267" i="5"/>
  <c r="BS267" i="5"/>
  <c r="BR267" i="5"/>
  <c r="BQ267" i="5"/>
  <c r="BO267" i="5"/>
  <c r="BN267" i="5"/>
  <c r="BM267" i="5"/>
  <c r="BL267" i="5"/>
  <c r="BK267" i="5"/>
  <c r="BJ267" i="5"/>
  <c r="BI267" i="5"/>
  <c r="BH267" i="5"/>
  <c r="BG267" i="5"/>
  <c r="BF267" i="5"/>
  <c r="BD267" i="5"/>
  <c r="BC267" i="5"/>
  <c r="BB267" i="5"/>
  <c r="BA267" i="5"/>
  <c r="AZ267" i="5"/>
  <c r="AY267" i="5"/>
  <c r="AX267" i="5"/>
  <c r="AW267" i="5"/>
  <c r="AV267" i="5"/>
  <c r="AU267" i="5"/>
  <c r="AS267" i="5"/>
  <c r="AR267" i="5"/>
  <c r="AQ267" i="5"/>
  <c r="AP267" i="5"/>
  <c r="AO267" i="5"/>
  <c r="AN267" i="5"/>
  <c r="AM267" i="5"/>
  <c r="AL267" i="5"/>
  <c r="AK267" i="5"/>
  <c r="AJ267" i="5"/>
  <c r="AH267" i="5"/>
  <c r="AG267" i="5"/>
  <c r="AF267" i="5"/>
  <c r="AE267" i="5"/>
  <c r="AD267" i="5"/>
  <c r="AC267" i="5"/>
  <c r="AB267" i="5"/>
  <c r="AA267" i="5"/>
  <c r="Z267" i="5"/>
  <c r="Y267" i="5"/>
  <c r="W267" i="5"/>
  <c r="V267" i="5"/>
  <c r="U267" i="5"/>
  <c r="T267" i="5"/>
  <c r="S267" i="5"/>
  <c r="R267" i="5"/>
  <c r="Q267" i="5"/>
  <c r="P267" i="5"/>
  <c r="O267" i="5"/>
  <c r="N267" i="5"/>
  <c r="L267" i="5"/>
  <c r="K267" i="5"/>
  <c r="J267" i="5"/>
  <c r="I267" i="5"/>
  <c r="H267" i="5"/>
  <c r="G267" i="5"/>
  <c r="F267" i="5"/>
  <c r="E267" i="5"/>
  <c r="D267" i="5"/>
  <c r="C267" i="5"/>
  <c r="B267" i="5"/>
  <c r="A267" i="5"/>
  <c r="BZ266" i="5"/>
  <c r="BY266" i="5"/>
  <c r="BX266" i="5"/>
  <c r="BW266" i="5"/>
  <c r="BV266" i="5"/>
  <c r="BU266" i="5"/>
  <c r="BT266" i="5"/>
  <c r="BS266" i="5"/>
  <c r="BR266" i="5"/>
  <c r="BQ266" i="5"/>
  <c r="BO266" i="5"/>
  <c r="BN266" i="5"/>
  <c r="BM266" i="5"/>
  <c r="BL266" i="5"/>
  <c r="BK266" i="5"/>
  <c r="BJ266" i="5"/>
  <c r="BI266" i="5"/>
  <c r="BH266" i="5"/>
  <c r="BG266" i="5"/>
  <c r="BF266" i="5"/>
  <c r="BD266" i="5"/>
  <c r="BC266" i="5"/>
  <c r="BB266" i="5"/>
  <c r="BA266" i="5"/>
  <c r="AZ266" i="5"/>
  <c r="AY266" i="5"/>
  <c r="AX266" i="5"/>
  <c r="AW266" i="5"/>
  <c r="AV266" i="5"/>
  <c r="AU266" i="5"/>
  <c r="AS266" i="5"/>
  <c r="AR266" i="5"/>
  <c r="AQ266" i="5"/>
  <c r="AP266" i="5"/>
  <c r="AO266" i="5"/>
  <c r="AN266" i="5"/>
  <c r="AM266" i="5"/>
  <c r="AL266" i="5"/>
  <c r="AK266" i="5"/>
  <c r="AJ266" i="5"/>
  <c r="AH266" i="5"/>
  <c r="AG266" i="5"/>
  <c r="AF266" i="5"/>
  <c r="AE266" i="5"/>
  <c r="AD266" i="5"/>
  <c r="AC266" i="5"/>
  <c r="AB266" i="5"/>
  <c r="AA266" i="5"/>
  <c r="Z266" i="5"/>
  <c r="Y266" i="5"/>
  <c r="W266" i="5"/>
  <c r="V266" i="5"/>
  <c r="U266" i="5"/>
  <c r="T266" i="5"/>
  <c r="S266" i="5"/>
  <c r="R266" i="5"/>
  <c r="Q266" i="5"/>
  <c r="P266" i="5"/>
  <c r="O266" i="5"/>
  <c r="N266" i="5"/>
  <c r="L266" i="5"/>
  <c r="K266" i="5"/>
  <c r="J266" i="5"/>
  <c r="I266" i="5"/>
  <c r="H266" i="5"/>
  <c r="G266" i="5"/>
  <c r="F266" i="5"/>
  <c r="E266" i="5"/>
  <c r="D266" i="5"/>
  <c r="C266" i="5"/>
  <c r="B266" i="5"/>
  <c r="A266" i="5"/>
  <c r="BZ265" i="5"/>
  <c r="BY265" i="5"/>
  <c r="BX265" i="5"/>
  <c r="BW265" i="5"/>
  <c r="BV265" i="5"/>
  <c r="BU265" i="5"/>
  <c r="BT265" i="5"/>
  <c r="BS265" i="5"/>
  <c r="BR265" i="5"/>
  <c r="BQ265" i="5"/>
  <c r="BO265" i="5"/>
  <c r="BN265" i="5"/>
  <c r="BM265" i="5"/>
  <c r="BL265" i="5"/>
  <c r="BK265" i="5"/>
  <c r="BJ265" i="5"/>
  <c r="BI265" i="5"/>
  <c r="BH265" i="5"/>
  <c r="BG265" i="5"/>
  <c r="BF265" i="5"/>
  <c r="BD265" i="5"/>
  <c r="BC265" i="5"/>
  <c r="BB265" i="5"/>
  <c r="BA265" i="5"/>
  <c r="AZ265" i="5"/>
  <c r="AY265" i="5"/>
  <c r="AX265" i="5"/>
  <c r="AW265" i="5"/>
  <c r="AV265" i="5"/>
  <c r="AU265" i="5"/>
  <c r="AS265" i="5"/>
  <c r="AR265" i="5"/>
  <c r="AQ265" i="5"/>
  <c r="AP265" i="5"/>
  <c r="AO265" i="5"/>
  <c r="AN265" i="5"/>
  <c r="AM265" i="5"/>
  <c r="AL265" i="5"/>
  <c r="AK265" i="5"/>
  <c r="AJ265" i="5"/>
  <c r="AH265" i="5"/>
  <c r="AG265" i="5"/>
  <c r="AF265" i="5"/>
  <c r="AE265" i="5"/>
  <c r="AD265" i="5"/>
  <c r="AC265" i="5"/>
  <c r="AB265" i="5"/>
  <c r="AA265" i="5"/>
  <c r="Z265" i="5"/>
  <c r="Y265" i="5"/>
  <c r="W265" i="5"/>
  <c r="V265" i="5"/>
  <c r="U265" i="5"/>
  <c r="T265" i="5"/>
  <c r="S265" i="5"/>
  <c r="R265" i="5"/>
  <c r="Q265" i="5"/>
  <c r="P265" i="5"/>
  <c r="O265" i="5"/>
  <c r="N265" i="5"/>
  <c r="L265" i="5"/>
  <c r="K265" i="5"/>
  <c r="J265" i="5"/>
  <c r="I265" i="5"/>
  <c r="H265" i="5"/>
  <c r="G265" i="5"/>
  <c r="F265" i="5"/>
  <c r="E265" i="5"/>
  <c r="D265" i="5"/>
  <c r="C265" i="5"/>
  <c r="B265" i="5"/>
  <c r="A265" i="5"/>
  <c r="BZ264" i="5"/>
  <c r="BY264" i="5"/>
  <c r="BX264" i="5"/>
  <c r="BW264" i="5"/>
  <c r="BV264" i="5"/>
  <c r="BU264" i="5"/>
  <c r="BT264" i="5"/>
  <c r="BS264" i="5"/>
  <c r="BR264" i="5"/>
  <c r="BQ264" i="5"/>
  <c r="BO264" i="5"/>
  <c r="BN264" i="5"/>
  <c r="BM264" i="5"/>
  <c r="BL264" i="5"/>
  <c r="BK264" i="5"/>
  <c r="BJ264" i="5"/>
  <c r="BI264" i="5"/>
  <c r="BH264" i="5"/>
  <c r="BG264" i="5"/>
  <c r="BF264" i="5"/>
  <c r="BD264" i="5"/>
  <c r="BC264" i="5"/>
  <c r="BB264" i="5"/>
  <c r="BA264" i="5"/>
  <c r="AZ264" i="5"/>
  <c r="AY264" i="5"/>
  <c r="AX264" i="5"/>
  <c r="AW264" i="5"/>
  <c r="AV264" i="5"/>
  <c r="AU264" i="5"/>
  <c r="AS264" i="5"/>
  <c r="AR264" i="5"/>
  <c r="AQ264" i="5"/>
  <c r="AP264" i="5"/>
  <c r="AO264" i="5"/>
  <c r="AN264" i="5"/>
  <c r="AM264" i="5"/>
  <c r="AL264" i="5"/>
  <c r="AK264" i="5"/>
  <c r="AJ264" i="5"/>
  <c r="AH264" i="5"/>
  <c r="AG264" i="5"/>
  <c r="AF264" i="5"/>
  <c r="AE264" i="5"/>
  <c r="AD264" i="5"/>
  <c r="AC264" i="5"/>
  <c r="AB264" i="5"/>
  <c r="AA264" i="5"/>
  <c r="Z264" i="5"/>
  <c r="Y264" i="5"/>
  <c r="W264" i="5"/>
  <c r="V264" i="5"/>
  <c r="U264" i="5"/>
  <c r="T264" i="5"/>
  <c r="S264" i="5"/>
  <c r="R264" i="5"/>
  <c r="Q264" i="5"/>
  <c r="P264" i="5"/>
  <c r="O264" i="5"/>
  <c r="N264" i="5"/>
  <c r="L264" i="5"/>
  <c r="K264" i="5"/>
  <c r="J264" i="5"/>
  <c r="I264" i="5"/>
  <c r="H264" i="5"/>
  <c r="G264" i="5"/>
  <c r="F264" i="5"/>
  <c r="E264" i="5"/>
  <c r="D264" i="5"/>
  <c r="B264" i="5"/>
  <c r="A264" i="5"/>
  <c r="BZ263" i="5"/>
  <c r="BY263" i="5"/>
  <c r="BX263" i="5"/>
  <c r="BW263" i="5"/>
  <c r="BV263" i="5"/>
  <c r="BU263" i="5"/>
  <c r="BT263" i="5"/>
  <c r="BS263" i="5"/>
  <c r="BR263" i="5"/>
  <c r="BQ263" i="5"/>
  <c r="BO263" i="5"/>
  <c r="BN263" i="5"/>
  <c r="BM263" i="5"/>
  <c r="BL263" i="5"/>
  <c r="BK263" i="5"/>
  <c r="BJ263" i="5"/>
  <c r="BI263" i="5"/>
  <c r="BH263" i="5"/>
  <c r="BG263" i="5"/>
  <c r="BF263" i="5"/>
  <c r="BD263" i="5"/>
  <c r="BC263" i="5"/>
  <c r="BB263" i="5"/>
  <c r="BA263" i="5"/>
  <c r="AZ263" i="5"/>
  <c r="AY263" i="5"/>
  <c r="AX263" i="5"/>
  <c r="AW263" i="5"/>
  <c r="AV263" i="5"/>
  <c r="AU263" i="5"/>
  <c r="AS263" i="5"/>
  <c r="AR263" i="5"/>
  <c r="AQ263" i="5"/>
  <c r="AP263" i="5"/>
  <c r="AO263" i="5"/>
  <c r="AN263" i="5"/>
  <c r="AM263" i="5"/>
  <c r="AL263" i="5"/>
  <c r="AK263" i="5"/>
  <c r="AJ263" i="5"/>
  <c r="AH263" i="5"/>
  <c r="AG263" i="5"/>
  <c r="AF263" i="5"/>
  <c r="AE263" i="5"/>
  <c r="AD263" i="5"/>
  <c r="AC263" i="5"/>
  <c r="AB263" i="5"/>
  <c r="AA263" i="5"/>
  <c r="Z263" i="5"/>
  <c r="Y263" i="5"/>
  <c r="W263" i="5"/>
  <c r="V263" i="5"/>
  <c r="U263" i="5"/>
  <c r="T263" i="5"/>
  <c r="S263" i="5"/>
  <c r="R263" i="5"/>
  <c r="Q263" i="5"/>
  <c r="P263" i="5"/>
  <c r="O263" i="5"/>
  <c r="N263" i="5"/>
  <c r="L263" i="5"/>
  <c r="K263" i="5"/>
  <c r="J263" i="5"/>
  <c r="I263" i="5"/>
  <c r="H263" i="5"/>
  <c r="G263" i="5"/>
  <c r="F263" i="5"/>
  <c r="E263" i="5"/>
  <c r="D263" i="5"/>
  <c r="C263" i="5"/>
  <c r="B263" i="5"/>
  <c r="A263" i="5"/>
  <c r="BZ262" i="5"/>
  <c r="BY262" i="5"/>
  <c r="BX262" i="5"/>
  <c r="BW262" i="5"/>
  <c r="BV262" i="5"/>
  <c r="BU262" i="5"/>
  <c r="BT262" i="5"/>
  <c r="BS262" i="5"/>
  <c r="BR262" i="5"/>
  <c r="BQ262" i="5"/>
  <c r="BO262" i="5"/>
  <c r="BN262" i="5"/>
  <c r="BM262" i="5"/>
  <c r="BL262" i="5"/>
  <c r="BK262" i="5"/>
  <c r="BJ262" i="5"/>
  <c r="BI262" i="5"/>
  <c r="BH262" i="5"/>
  <c r="BG262" i="5"/>
  <c r="BF262" i="5"/>
  <c r="BD262" i="5"/>
  <c r="BC262" i="5"/>
  <c r="BB262" i="5"/>
  <c r="BA262" i="5"/>
  <c r="AZ262" i="5"/>
  <c r="AY262" i="5"/>
  <c r="AX262" i="5"/>
  <c r="AW262" i="5"/>
  <c r="AV262" i="5"/>
  <c r="AU262" i="5"/>
  <c r="AS262" i="5"/>
  <c r="AR262" i="5"/>
  <c r="AQ262" i="5"/>
  <c r="AP262" i="5"/>
  <c r="AO262" i="5"/>
  <c r="AN262" i="5"/>
  <c r="AM262" i="5"/>
  <c r="AL262" i="5"/>
  <c r="AK262" i="5"/>
  <c r="AJ262" i="5"/>
  <c r="AH262" i="5"/>
  <c r="AG262" i="5"/>
  <c r="AF262" i="5"/>
  <c r="AE262" i="5"/>
  <c r="AD262" i="5"/>
  <c r="AC262" i="5"/>
  <c r="AB262" i="5"/>
  <c r="AA262" i="5"/>
  <c r="Z262" i="5"/>
  <c r="Y262" i="5"/>
  <c r="AI262" i="5" s="1"/>
  <c r="CD262" i="5" s="1"/>
  <c r="W262" i="5"/>
  <c r="V262" i="5"/>
  <c r="U262" i="5"/>
  <c r="T262" i="5"/>
  <c r="S262" i="5"/>
  <c r="R262" i="5"/>
  <c r="Q262" i="5"/>
  <c r="P262" i="5"/>
  <c r="O262" i="5"/>
  <c r="N262" i="5"/>
  <c r="L262" i="5"/>
  <c r="K262" i="5"/>
  <c r="J262" i="5"/>
  <c r="I262" i="5"/>
  <c r="H262" i="5"/>
  <c r="G262" i="5"/>
  <c r="F262" i="5"/>
  <c r="E262" i="5"/>
  <c r="D262" i="5"/>
  <c r="C262" i="5"/>
  <c r="B262" i="5"/>
  <c r="A262" i="5"/>
  <c r="BZ261" i="5"/>
  <c r="BY261" i="5"/>
  <c r="BX261" i="5"/>
  <c r="BW261" i="5"/>
  <c r="BV261" i="5"/>
  <c r="BU261" i="5"/>
  <c r="BT261" i="5"/>
  <c r="BS261" i="5"/>
  <c r="BR261" i="5"/>
  <c r="BQ261" i="5"/>
  <c r="BO261" i="5"/>
  <c r="BN261" i="5"/>
  <c r="BM261" i="5"/>
  <c r="BL261" i="5"/>
  <c r="BK261" i="5"/>
  <c r="BJ261" i="5"/>
  <c r="BI261" i="5"/>
  <c r="BH261" i="5"/>
  <c r="BG261" i="5"/>
  <c r="BF261" i="5"/>
  <c r="BD261" i="5"/>
  <c r="BC261" i="5"/>
  <c r="BB261" i="5"/>
  <c r="BA261" i="5"/>
  <c r="AZ261" i="5"/>
  <c r="AY261" i="5"/>
  <c r="AX261" i="5"/>
  <c r="AW261" i="5"/>
  <c r="AV261" i="5"/>
  <c r="AU261" i="5"/>
  <c r="AS261" i="5"/>
  <c r="AR261" i="5"/>
  <c r="AQ261" i="5"/>
  <c r="AP261" i="5"/>
  <c r="AO261" i="5"/>
  <c r="AN261" i="5"/>
  <c r="AM261" i="5"/>
  <c r="AL261" i="5"/>
  <c r="AK261" i="5"/>
  <c r="AJ261" i="5"/>
  <c r="AH261" i="5"/>
  <c r="AG261" i="5"/>
  <c r="AF261" i="5"/>
  <c r="AE261" i="5"/>
  <c r="AD261" i="5"/>
  <c r="AC261" i="5"/>
  <c r="AB261" i="5"/>
  <c r="AA261" i="5"/>
  <c r="Z261" i="5"/>
  <c r="Y261" i="5"/>
  <c r="AI261" i="5" s="1"/>
  <c r="CD261" i="5" s="1"/>
  <c r="W261" i="5"/>
  <c r="V261" i="5"/>
  <c r="U261" i="5"/>
  <c r="T261" i="5"/>
  <c r="S261" i="5"/>
  <c r="R261" i="5"/>
  <c r="Q261" i="5"/>
  <c r="P261" i="5"/>
  <c r="O261" i="5"/>
  <c r="N261" i="5"/>
  <c r="L261" i="5"/>
  <c r="K261" i="5"/>
  <c r="J261" i="5"/>
  <c r="I261" i="5"/>
  <c r="H261" i="5"/>
  <c r="G261" i="5"/>
  <c r="F261" i="5"/>
  <c r="E261" i="5"/>
  <c r="D261" i="5"/>
  <c r="C261" i="5"/>
  <c r="B261" i="5"/>
  <c r="A261" i="5"/>
  <c r="BZ260" i="5"/>
  <c r="BY260" i="5"/>
  <c r="BX260" i="5"/>
  <c r="BW260" i="5"/>
  <c r="BV260" i="5"/>
  <c r="BU260" i="5"/>
  <c r="BT260" i="5"/>
  <c r="BS260" i="5"/>
  <c r="BR260" i="5"/>
  <c r="BQ260" i="5"/>
  <c r="BO260" i="5"/>
  <c r="BN260" i="5"/>
  <c r="BM260" i="5"/>
  <c r="BL260" i="5"/>
  <c r="BK260" i="5"/>
  <c r="BJ260" i="5"/>
  <c r="BI260" i="5"/>
  <c r="BH260" i="5"/>
  <c r="BG260" i="5"/>
  <c r="BF260" i="5"/>
  <c r="BD260" i="5"/>
  <c r="BC260" i="5"/>
  <c r="BB260" i="5"/>
  <c r="BA260" i="5"/>
  <c r="AZ260" i="5"/>
  <c r="AY260" i="5"/>
  <c r="BE260" i="5" s="1"/>
  <c r="CF260" i="5" s="1"/>
  <c r="AX260" i="5"/>
  <c r="AW260" i="5"/>
  <c r="AV260" i="5"/>
  <c r="AU260" i="5"/>
  <c r="AS260" i="5"/>
  <c r="AR260" i="5"/>
  <c r="AQ260" i="5"/>
  <c r="AP260" i="5"/>
  <c r="AO260" i="5"/>
  <c r="AN260" i="5"/>
  <c r="AM260" i="5"/>
  <c r="AL260" i="5"/>
  <c r="AK260" i="5"/>
  <c r="AJ260" i="5"/>
  <c r="AH260" i="5"/>
  <c r="AG260" i="5"/>
  <c r="AF260" i="5"/>
  <c r="AE260" i="5"/>
  <c r="AD260" i="5"/>
  <c r="AC260" i="5"/>
  <c r="AB260" i="5"/>
  <c r="AA260" i="5"/>
  <c r="Z260" i="5"/>
  <c r="Y260" i="5"/>
  <c r="W260" i="5"/>
  <c r="V260" i="5"/>
  <c r="U260" i="5"/>
  <c r="T260" i="5"/>
  <c r="S260" i="5"/>
  <c r="R260" i="5"/>
  <c r="Q260" i="5"/>
  <c r="P260" i="5"/>
  <c r="O260" i="5"/>
  <c r="N260" i="5"/>
  <c r="L260" i="5"/>
  <c r="K260" i="5"/>
  <c r="J260" i="5"/>
  <c r="I260" i="5"/>
  <c r="H260" i="5"/>
  <c r="G260" i="5"/>
  <c r="F260" i="5"/>
  <c r="E260" i="5"/>
  <c r="D260" i="5"/>
  <c r="C260" i="5"/>
  <c r="B260" i="5"/>
  <c r="A260" i="5"/>
  <c r="BZ259" i="5"/>
  <c r="BY259" i="5"/>
  <c r="BX259" i="5"/>
  <c r="BW259" i="5"/>
  <c r="BV259" i="5"/>
  <c r="BU259" i="5"/>
  <c r="BT259" i="5"/>
  <c r="BS259" i="5"/>
  <c r="BR259" i="5"/>
  <c r="BQ259" i="5"/>
  <c r="BO259" i="5"/>
  <c r="BN259" i="5"/>
  <c r="BM259" i="5"/>
  <c r="BL259" i="5"/>
  <c r="BK259" i="5"/>
  <c r="BJ259" i="5"/>
  <c r="BI259" i="5"/>
  <c r="BH259" i="5"/>
  <c r="BG259" i="5"/>
  <c r="BF259" i="5"/>
  <c r="BD259" i="5"/>
  <c r="BC259" i="5"/>
  <c r="BB259" i="5"/>
  <c r="BA259" i="5"/>
  <c r="AZ259" i="5"/>
  <c r="AY259" i="5"/>
  <c r="AX259" i="5"/>
  <c r="AW259" i="5"/>
  <c r="AV259" i="5"/>
  <c r="AU259" i="5"/>
  <c r="AS259" i="5"/>
  <c r="AR259" i="5"/>
  <c r="AQ259" i="5"/>
  <c r="AP259" i="5"/>
  <c r="AO259" i="5"/>
  <c r="AN259" i="5"/>
  <c r="AM259" i="5"/>
  <c r="AL259" i="5"/>
  <c r="AK259" i="5"/>
  <c r="AJ259" i="5"/>
  <c r="AH259" i="5"/>
  <c r="AG259" i="5"/>
  <c r="AF259" i="5"/>
  <c r="AE259" i="5"/>
  <c r="AD259" i="5"/>
  <c r="AC259" i="5"/>
  <c r="AB259" i="5"/>
  <c r="AA259" i="5"/>
  <c r="Z259" i="5"/>
  <c r="Y259" i="5"/>
  <c r="W259" i="5"/>
  <c r="V259" i="5"/>
  <c r="U259" i="5"/>
  <c r="T259" i="5"/>
  <c r="S259" i="5"/>
  <c r="R259" i="5"/>
  <c r="Q259" i="5"/>
  <c r="P259" i="5"/>
  <c r="O259" i="5"/>
  <c r="N259" i="5"/>
  <c r="L259" i="5"/>
  <c r="K259" i="5"/>
  <c r="J259" i="5"/>
  <c r="I259" i="5"/>
  <c r="H259" i="5"/>
  <c r="G259" i="5"/>
  <c r="F259" i="5"/>
  <c r="E259" i="5"/>
  <c r="D259" i="5"/>
  <c r="C259" i="5"/>
  <c r="B259" i="5"/>
  <c r="A259" i="5"/>
  <c r="BZ258" i="5"/>
  <c r="BY258" i="5"/>
  <c r="BX258" i="5"/>
  <c r="BW258" i="5"/>
  <c r="BV258" i="5"/>
  <c r="BU258" i="5"/>
  <c r="BT258" i="5"/>
  <c r="BS258" i="5"/>
  <c r="BR258" i="5"/>
  <c r="BQ258" i="5"/>
  <c r="BO258" i="5"/>
  <c r="BN258" i="5"/>
  <c r="BM258" i="5"/>
  <c r="BL258" i="5"/>
  <c r="BK258" i="5"/>
  <c r="BJ258" i="5"/>
  <c r="BI258" i="5"/>
  <c r="BH258" i="5"/>
  <c r="BG258" i="5"/>
  <c r="BF258" i="5"/>
  <c r="BD258" i="5"/>
  <c r="BC258" i="5"/>
  <c r="BB258" i="5"/>
  <c r="BA258" i="5"/>
  <c r="AZ258" i="5"/>
  <c r="AY258" i="5"/>
  <c r="AX258" i="5"/>
  <c r="AW258" i="5"/>
  <c r="AV258" i="5"/>
  <c r="AU258" i="5"/>
  <c r="AS258" i="5"/>
  <c r="AR258" i="5"/>
  <c r="AQ258" i="5"/>
  <c r="AP258" i="5"/>
  <c r="AO258" i="5"/>
  <c r="AN258" i="5"/>
  <c r="AM258" i="5"/>
  <c r="AL258" i="5"/>
  <c r="AK258" i="5"/>
  <c r="AJ258" i="5"/>
  <c r="AH258" i="5"/>
  <c r="AG258" i="5"/>
  <c r="AF258" i="5"/>
  <c r="AE258" i="5"/>
  <c r="AD258" i="5"/>
  <c r="AC258" i="5"/>
  <c r="AB258" i="5"/>
  <c r="AA258" i="5"/>
  <c r="Z258" i="5"/>
  <c r="Y258" i="5"/>
  <c r="W258" i="5"/>
  <c r="V258" i="5"/>
  <c r="U258" i="5"/>
  <c r="T258" i="5"/>
  <c r="S258" i="5"/>
  <c r="R258" i="5"/>
  <c r="Q258" i="5"/>
  <c r="P258" i="5"/>
  <c r="O258" i="5"/>
  <c r="N258" i="5"/>
  <c r="L258" i="5"/>
  <c r="K258" i="5"/>
  <c r="J258" i="5"/>
  <c r="I258" i="5"/>
  <c r="H258" i="5"/>
  <c r="G258" i="5"/>
  <c r="F258" i="5"/>
  <c r="E258" i="5"/>
  <c r="D258" i="5"/>
  <c r="B258" i="5"/>
  <c r="A258" i="5"/>
  <c r="BZ257" i="5"/>
  <c r="BY257" i="5"/>
  <c r="BX257" i="5"/>
  <c r="BW257" i="5"/>
  <c r="BV257" i="5"/>
  <c r="BU257" i="5"/>
  <c r="BT257" i="5"/>
  <c r="BS257" i="5"/>
  <c r="BR257" i="5"/>
  <c r="BQ257" i="5"/>
  <c r="BO257" i="5"/>
  <c r="BN257" i="5"/>
  <c r="BM257" i="5"/>
  <c r="BL257" i="5"/>
  <c r="BK257" i="5"/>
  <c r="BJ257" i="5"/>
  <c r="BI257" i="5"/>
  <c r="BH257" i="5"/>
  <c r="BG257" i="5"/>
  <c r="BF257" i="5"/>
  <c r="BD257" i="5"/>
  <c r="BC257" i="5"/>
  <c r="BB257" i="5"/>
  <c r="BA257" i="5"/>
  <c r="AZ257" i="5"/>
  <c r="AY257" i="5"/>
  <c r="AX257" i="5"/>
  <c r="AW257" i="5"/>
  <c r="AV257" i="5"/>
  <c r="AU257" i="5"/>
  <c r="AS257" i="5"/>
  <c r="AR257" i="5"/>
  <c r="AQ257" i="5"/>
  <c r="AP257" i="5"/>
  <c r="AO257" i="5"/>
  <c r="AN257" i="5"/>
  <c r="AM257" i="5"/>
  <c r="AL257" i="5"/>
  <c r="AK257" i="5"/>
  <c r="AJ257" i="5"/>
  <c r="AH257" i="5"/>
  <c r="AG257" i="5"/>
  <c r="AF257" i="5"/>
  <c r="AE257" i="5"/>
  <c r="AD257" i="5"/>
  <c r="AC257" i="5"/>
  <c r="AB257" i="5"/>
  <c r="AA257" i="5"/>
  <c r="Z257" i="5"/>
  <c r="Y257" i="5"/>
  <c r="W257" i="5"/>
  <c r="V257" i="5"/>
  <c r="U257" i="5"/>
  <c r="T257" i="5"/>
  <c r="S257" i="5"/>
  <c r="R257" i="5"/>
  <c r="Q257" i="5"/>
  <c r="P257" i="5"/>
  <c r="O257" i="5"/>
  <c r="N257" i="5"/>
  <c r="L257" i="5"/>
  <c r="K257" i="5"/>
  <c r="J257" i="5"/>
  <c r="I257" i="5"/>
  <c r="H257" i="5"/>
  <c r="G257" i="5"/>
  <c r="F257" i="5"/>
  <c r="E257" i="5"/>
  <c r="D257" i="5"/>
  <c r="C257" i="5"/>
  <c r="B257" i="5"/>
  <c r="A257" i="5"/>
  <c r="BZ256" i="5"/>
  <c r="BY256" i="5"/>
  <c r="BX256" i="5"/>
  <c r="BW256" i="5"/>
  <c r="BV256" i="5"/>
  <c r="BU256" i="5"/>
  <c r="BT256" i="5"/>
  <c r="BS256" i="5"/>
  <c r="BR256" i="5"/>
  <c r="BQ256" i="5"/>
  <c r="BO256" i="5"/>
  <c r="BN256" i="5"/>
  <c r="BM256" i="5"/>
  <c r="BL256" i="5"/>
  <c r="BK256" i="5"/>
  <c r="BJ256" i="5"/>
  <c r="BI256" i="5"/>
  <c r="BH256" i="5"/>
  <c r="BG256" i="5"/>
  <c r="BF256" i="5"/>
  <c r="BD256" i="5"/>
  <c r="BC256" i="5"/>
  <c r="BB256" i="5"/>
  <c r="BA256" i="5"/>
  <c r="AZ256" i="5"/>
  <c r="AY256" i="5"/>
  <c r="AX256" i="5"/>
  <c r="AW256" i="5"/>
  <c r="AV256" i="5"/>
  <c r="AU256" i="5"/>
  <c r="AS256" i="5"/>
  <c r="AR256" i="5"/>
  <c r="AQ256" i="5"/>
  <c r="AP256" i="5"/>
  <c r="AO256" i="5"/>
  <c r="AN256" i="5"/>
  <c r="AM256" i="5"/>
  <c r="AL256" i="5"/>
  <c r="AK256" i="5"/>
  <c r="AJ256" i="5"/>
  <c r="AH256" i="5"/>
  <c r="AG256" i="5"/>
  <c r="AF256" i="5"/>
  <c r="AE256" i="5"/>
  <c r="AD256" i="5"/>
  <c r="AC256" i="5"/>
  <c r="AB256" i="5"/>
  <c r="AA256" i="5"/>
  <c r="Z256" i="5"/>
  <c r="Y256" i="5"/>
  <c r="W256" i="5"/>
  <c r="V256" i="5"/>
  <c r="U256" i="5"/>
  <c r="T256" i="5"/>
  <c r="S256" i="5"/>
  <c r="R256" i="5"/>
  <c r="Q256" i="5"/>
  <c r="P256" i="5"/>
  <c r="O256" i="5"/>
  <c r="N256" i="5"/>
  <c r="L256" i="5"/>
  <c r="K256" i="5"/>
  <c r="J256" i="5"/>
  <c r="I256" i="5"/>
  <c r="H256" i="5"/>
  <c r="G256" i="5"/>
  <c r="F256" i="5"/>
  <c r="E256" i="5"/>
  <c r="D256" i="5"/>
  <c r="C256" i="5"/>
  <c r="B256" i="5"/>
  <c r="A256" i="5"/>
  <c r="BZ255" i="5"/>
  <c r="BY255" i="5"/>
  <c r="BX255" i="5"/>
  <c r="BW255" i="5"/>
  <c r="BV255" i="5"/>
  <c r="BU255" i="5"/>
  <c r="BT255" i="5"/>
  <c r="BS255" i="5"/>
  <c r="BR255" i="5"/>
  <c r="BQ255" i="5"/>
  <c r="BO255" i="5"/>
  <c r="BN255" i="5"/>
  <c r="BM255" i="5"/>
  <c r="BL255" i="5"/>
  <c r="BK255" i="5"/>
  <c r="BJ255" i="5"/>
  <c r="BI255" i="5"/>
  <c r="BH255" i="5"/>
  <c r="BG255" i="5"/>
  <c r="BF255" i="5"/>
  <c r="BD255" i="5"/>
  <c r="BC255" i="5"/>
  <c r="BB255" i="5"/>
  <c r="BA255" i="5"/>
  <c r="AZ255" i="5"/>
  <c r="AY255" i="5"/>
  <c r="AX255" i="5"/>
  <c r="AW255" i="5"/>
  <c r="AV255" i="5"/>
  <c r="AU255" i="5"/>
  <c r="AS255" i="5"/>
  <c r="AR255" i="5"/>
  <c r="AQ255" i="5"/>
  <c r="AP255" i="5"/>
  <c r="AO255" i="5"/>
  <c r="AN255" i="5"/>
  <c r="AM255" i="5"/>
  <c r="AL255" i="5"/>
  <c r="AK255" i="5"/>
  <c r="AJ255" i="5"/>
  <c r="AH255" i="5"/>
  <c r="AG255" i="5"/>
  <c r="AF255" i="5"/>
  <c r="AE255" i="5"/>
  <c r="AD255" i="5"/>
  <c r="AC255" i="5"/>
  <c r="AB255" i="5"/>
  <c r="AA255" i="5"/>
  <c r="Z255" i="5"/>
  <c r="Y255" i="5"/>
  <c r="W255" i="5"/>
  <c r="V255" i="5"/>
  <c r="U255" i="5"/>
  <c r="T255" i="5"/>
  <c r="S255" i="5"/>
  <c r="R255" i="5"/>
  <c r="Q255" i="5"/>
  <c r="P255" i="5"/>
  <c r="O255" i="5"/>
  <c r="N255" i="5"/>
  <c r="L255" i="5"/>
  <c r="K255" i="5"/>
  <c r="J255" i="5"/>
  <c r="I255" i="5"/>
  <c r="H255" i="5"/>
  <c r="G255" i="5"/>
  <c r="F255" i="5"/>
  <c r="E255" i="5"/>
  <c r="D255" i="5"/>
  <c r="C255" i="5"/>
  <c r="B255" i="5"/>
  <c r="A255" i="5"/>
  <c r="BZ254" i="5"/>
  <c r="BY254" i="5"/>
  <c r="BX254" i="5"/>
  <c r="BW254" i="5"/>
  <c r="BV254" i="5"/>
  <c r="BU254" i="5"/>
  <c r="BT254" i="5"/>
  <c r="BS254" i="5"/>
  <c r="BR254" i="5"/>
  <c r="BQ254" i="5"/>
  <c r="BO254" i="5"/>
  <c r="BN254" i="5"/>
  <c r="BM254" i="5"/>
  <c r="BL254" i="5"/>
  <c r="BK254" i="5"/>
  <c r="BJ254" i="5"/>
  <c r="BI254" i="5"/>
  <c r="BH254" i="5"/>
  <c r="BG254" i="5"/>
  <c r="BF254" i="5"/>
  <c r="BD254" i="5"/>
  <c r="BC254" i="5"/>
  <c r="BB254" i="5"/>
  <c r="BA254" i="5"/>
  <c r="AZ254" i="5"/>
  <c r="AY254" i="5"/>
  <c r="AX254" i="5"/>
  <c r="AW254" i="5"/>
  <c r="AV254" i="5"/>
  <c r="AU254" i="5"/>
  <c r="AS254" i="5"/>
  <c r="AR254" i="5"/>
  <c r="AQ254" i="5"/>
  <c r="AP254" i="5"/>
  <c r="AO254" i="5"/>
  <c r="AN254" i="5"/>
  <c r="AM254" i="5"/>
  <c r="AL254" i="5"/>
  <c r="AK254" i="5"/>
  <c r="AJ254" i="5"/>
  <c r="AH254" i="5"/>
  <c r="AG254" i="5"/>
  <c r="AF254" i="5"/>
  <c r="AE254" i="5"/>
  <c r="AD254" i="5"/>
  <c r="AC254" i="5"/>
  <c r="AB254" i="5"/>
  <c r="AA254" i="5"/>
  <c r="Z254" i="5"/>
  <c r="Y254" i="5"/>
  <c r="W254" i="5"/>
  <c r="V254" i="5"/>
  <c r="U254" i="5"/>
  <c r="T254" i="5"/>
  <c r="S254" i="5"/>
  <c r="R254" i="5"/>
  <c r="Q254" i="5"/>
  <c r="P254" i="5"/>
  <c r="O254" i="5"/>
  <c r="N254" i="5"/>
  <c r="L254" i="5"/>
  <c r="K254" i="5"/>
  <c r="J254" i="5"/>
  <c r="I254" i="5"/>
  <c r="H254" i="5"/>
  <c r="G254" i="5"/>
  <c r="F254" i="5"/>
  <c r="E254" i="5"/>
  <c r="D254" i="5"/>
  <c r="C254" i="5"/>
  <c r="B254" i="5"/>
  <c r="A254" i="5"/>
  <c r="BZ253" i="5"/>
  <c r="BY253" i="5"/>
  <c r="BX253" i="5"/>
  <c r="BW253" i="5"/>
  <c r="BV253" i="5"/>
  <c r="BU253" i="5"/>
  <c r="BT253" i="5"/>
  <c r="BS253" i="5"/>
  <c r="BR253" i="5"/>
  <c r="BQ253" i="5"/>
  <c r="BO253" i="5"/>
  <c r="BN253" i="5"/>
  <c r="BM253" i="5"/>
  <c r="BL253" i="5"/>
  <c r="BK253" i="5"/>
  <c r="BJ253" i="5"/>
  <c r="BI253" i="5"/>
  <c r="BH253" i="5"/>
  <c r="BG253" i="5"/>
  <c r="BF253" i="5"/>
  <c r="BD253" i="5"/>
  <c r="BC253" i="5"/>
  <c r="BB253" i="5"/>
  <c r="BA253" i="5"/>
  <c r="AZ253" i="5"/>
  <c r="AY253" i="5"/>
  <c r="AX253" i="5"/>
  <c r="AW253" i="5"/>
  <c r="AV253" i="5"/>
  <c r="AU253" i="5"/>
  <c r="AS253" i="5"/>
  <c r="AR253" i="5"/>
  <c r="AQ253" i="5"/>
  <c r="AP253" i="5"/>
  <c r="AO253" i="5"/>
  <c r="AN253" i="5"/>
  <c r="AM253" i="5"/>
  <c r="AL253" i="5"/>
  <c r="AK253" i="5"/>
  <c r="AJ253" i="5"/>
  <c r="AH253" i="5"/>
  <c r="AG253" i="5"/>
  <c r="AF253" i="5"/>
  <c r="AE253" i="5"/>
  <c r="AD253" i="5"/>
  <c r="AC253" i="5"/>
  <c r="AB253" i="5"/>
  <c r="AA253" i="5"/>
  <c r="Z253" i="5"/>
  <c r="Y253" i="5"/>
  <c r="W253" i="5"/>
  <c r="V253" i="5"/>
  <c r="U253" i="5"/>
  <c r="T253" i="5"/>
  <c r="S253" i="5"/>
  <c r="R253" i="5"/>
  <c r="Q253" i="5"/>
  <c r="P253" i="5"/>
  <c r="O253" i="5"/>
  <c r="N253" i="5"/>
  <c r="L253" i="5"/>
  <c r="K253" i="5"/>
  <c r="J253" i="5"/>
  <c r="I253" i="5"/>
  <c r="H253" i="5"/>
  <c r="G253" i="5"/>
  <c r="F253" i="5"/>
  <c r="E253" i="5"/>
  <c r="D253" i="5"/>
  <c r="C253" i="5"/>
  <c r="B253" i="5"/>
  <c r="A253" i="5"/>
  <c r="BZ252" i="5"/>
  <c r="BY252" i="5"/>
  <c r="BX252" i="5"/>
  <c r="BW252" i="5"/>
  <c r="BV252" i="5"/>
  <c r="BU252" i="5"/>
  <c r="BT252" i="5"/>
  <c r="BS252" i="5"/>
  <c r="BR252" i="5"/>
  <c r="BQ252" i="5"/>
  <c r="BO252" i="5"/>
  <c r="BN252" i="5"/>
  <c r="BM252" i="5"/>
  <c r="BL252" i="5"/>
  <c r="BK252" i="5"/>
  <c r="BJ252" i="5"/>
  <c r="BI252" i="5"/>
  <c r="BH252" i="5"/>
  <c r="BG252" i="5"/>
  <c r="BF252" i="5"/>
  <c r="BD252" i="5"/>
  <c r="BC252" i="5"/>
  <c r="BB252" i="5"/>
  <c r="BA252" i="5"/>
  <c r="AZ252" i="5"/>
  <c r="AY252" i="5"/>
  <c r="AX252" i="5"/>
  <c r="AW252" i="5"/>
  <c r="AV252" i="5"/>
  <c r="AU252" i="5"/>
  <c r="AS252" i="5"/>
  <c r="AR252" i="5"/>
  <c r="AQ252" i="5"/>
  <c r="AP252" i="5"/>
  <c r="AO252" i="5"/>
  <c r="AN252" i="5"/>
  <c r="AM252" i="5"/>
  <c r="AL252" i="5"/>
  <c r="AK252" i="5"/>
  <c r="AJ252" i="5"/>
  <c r="AH252" i="5"/>
  <c r="AG252" i="5"/>
  <c r="AF252" i="5"/>
  <c r="AE252" i="5"/>
  <c r="AD252" i="5"/>
  <c r="AC252" i="5"/>
  <c r="AB252" i="5"/>
  <c r="AA252" i="5"/>
  <c r="Z252" i="5"/>
  <c r="Y252" i="5"/>
  <c r="W252" i="5"/>
  <c r="V252" i="5"/>
  <c r="U252" i="5"/>
  <c r="T252" i="5"/>
  <c r="S252" i="5"/>
  <c r="R252" i="5"/>
  <c r="Q252" i="5"/>
  <c r="P252" i="5"/>
  <c r="O252" i="5"/>
  <c r="N252" i="5"/>
  <c r="L252" i="5"/>
  <c r="K252" i="5"/>
  <c r="J252" i="5"/>
  <c r="I252" i="5"/>
  <c r="H252" i="5"/>
  <c r="G252" i="5"/>
  <c r="F252" i="5"/>
  <c r="E252" i="5"/>
  <c r="D252" i="5"/>
  <c r="B252" i="5"/>
  <c r="A252" i="5"/>
  <c r="BZ251" i="5"/>
  <c r="BY251" i="5"/>
  <c r="BX251" i="5"/>
  <c r="BW251" i="5"/>
  <c r="BV251" i="5"/>
  <c r="BU251" i="5"/>
  <c r="BT251" i="5"/>
  <c r="BS251" i="5"/>
  <c r="BR251" i="5"/>
  <c r="BQ251" i="5"/>
  <c r="BO251" i="5"/>
  <c r="BN251" i="5"/>
  <c r="BM251" i="5"/>
  <c r="BL251" i="5"/>
  <c r="BK251" i="5"/>
  <c r="BJ251" i="5"/>
  <c r="BI251" i="5"/>
  <c r="BH251" i="5"/>
  <c r="BG251" i="5"/>
  <c r="BF251" i="5"/>
  <c r="BD251" i="5"/>
  <c r="BC251" i="5"/>
  <c r="BB251" i="5"/>
  <c r="BA251" i="5"/>
  <c r="AZ251" i="5"/>
  <c r="AY251" i="5"/>
  <c r="AX251" i="5"/>
  <c r="AW251" i="5"/>
  <c r="AV251" i="5"/>
  <c r="AU251" i="5"/>
  <c r="AS251" i="5"/>
  <c r="AR251" i="5"/>
  <c r="AQ251" i="5"/>
  <c r="AP251" i="5"/>
  <c r="AO251" i="5"/>
  <c r="AN251" i="5"/>
  <c r="AM251" i="5"/>
  <c r="AL251" i="5"/>
  <c r="AK251" i="5"/>
  <c r="AJ251" i="5"/>
  <c r="AH251" i="5"/>
  <c r="AG251" i="5"/>
  <c r="AF251" i="5"/>
  <c r="AE251" i="5"/>
  <c r="AD251" i="5"/>
  <c r="AC251" i="5"/>
  <c r="AB251" i="5"/>
  <c r="AA251" i="5"/>
  <c r="Z251" i="5"/>
  <c r="Y251" i="5"/>
  <c r="W251" i="5"/>
  <c r="V251" i="5"/>
  <c r="U251" i="5"/>
  <c r="T251" i="5"/>
  <c r="S251" i="5"/>
  <c r="R251" i="5"/>
  <c r="Q251" i="5"/>
  <c r="P251" i="5"/>
  <c r="O251" i="5"/>
  <c r="N251" i="5"/>
  <c r="L251" i="5"/>
  <c r="K251" i="5"/>
  <c r="J251" i="5"/>
  <c r="I251" i="5"/>
  <c r="H251" i="5"/>
  <c r="G251" i="5"/>
  <c r="F251" i="5"/>
  <c r="E251" i="5"/>
  <c r="D251" i="5"/>
  <c r="C251" i="5"/>
  <c r="B251" i="5"/>
  <c r="A251" i="5"/>
  <c r="BZ250" i="5"/>
  <c r="BY250" i="5"/>
  <c r="BX250" i="5"/>
  <c r="BW250" i="5"/>
  <c r="BV250" i="5"/>
  <c r="BU250" i="5"/>
  <c r="BT250" i="5"/>
  <c r="BS250" i="5"/>
  <c r="BR250" i="5"/>
  <c r="BQ250" i="5"/>
  <c r="BO250" i="5"/>
  <c r="BN250" i="5"/>
  <c r="BM250" i="5"/>
  <c r="BL250" i="5"/>
  <c r="BK250" i="5"/>
  <c r="BJ250" i="5"/>
  <c r="BI250" i="5"/>
  <c r="BH250" i="5"/>
  <c r="BG250" i="5"/>
  <c r="BF250" i="5"/>
  <c r="BD250" i="5"/>
  <c r="BC250" i="5"/>
  <c r="BB250" i="5"/>
  <c r="BA250" i="5"/>
  <c r="AZ250" i="5"/>
  <c r="AY250" i="5"/>
  <c r="AX250" i="5"/>
  <c r="AW250" i="5"/>
  <c r="AV250" i="5"/>
  <c r="AU250" i="5"/>
  <c r="AS250" i="5"/>
  <c r="AR250" i="5"/>
  <c r="AQ250" i="5"/>
  <c r="AP250" i="5"/>
  <c r="AO250" i="5"/>
  <c r="AN250" i="5"/>
  <c r="AM250" i="5"/>
  <c r="AL250" i="5"/>
  <c r="AK250" i="5"/>
  <c r="AJ250" i="5"/>
  <c r="AH250" i="5"/>
  <c r="AG250" i="5"/>
  <c r="AF250" i="5"/>
  <c r="AE250" i="5"/>
  <c r="AD250" i="5"/>
  <c r="AC250" i="5"/>
  <c r="AB250" i="5"/>
  <c r="AA250" i="5"/>
  <c r="Z250" i="5"/>
  <c r="Y250" i="5"/>
  <c r="W250" i="5"/>
  <c r="V250" i="5"/>
  <c r="U250" i="5"/>
  <c r="T250" i="5"/>
  <c r="S250" i="5"/>
  <c r="R250" i="5"/>
  <c r="Q250" i="5"/>
  <c r="P250" i="5"/>
  <c r="O250" i="5"/>
  <c r="N250" i="5"/>
  <c r="L250" i="5"/>
  <c r="K250" i="5"/>
  <c r="J250" i="5"/>
  <c r="I250" i="5"/>
  <c r="H250" i="5"/>
  <c r="G250" i="5"/>
  <c r="F250" i="5"/>
  <c r="E250" i="5"/>
  <c r="D250" i="5"/>
  <c r="C250" i="5"/>
  <c r="B250" i="5"/>
  <c r="A250" i="5"/>
  <c r="BZ249" i="5"/>
  <c r="BY249" i="5"/>
  <c r="BX249" i="5"/>
  <c r="BW249" i="5"/>
  <c r="BV249" i="5"/>
  <c r="BU249" i="5"/>
  <c r="BT249" i="5"/>
  <c r="BS249" i="5"/>
  <c r="BR249" i="5"/>
  <c r="BQ249" i="5"/>
  <c r="BO249" i="5"/>
  <c r="BN249" i="5"/>
  <c r="BM249" i="5"/>
  <c r="BL249" i="5"/>
  <c r="BK249" i="5"/>
  <c r="BJ249" i="5"/>
  <c r="BI249" i="5"/>
  <c r="BH249" i="5"/>
  <c r="BG249" i="5"/>
  <c r="BF249" i="5"/>
  <c r="BD249" i="5"/>
  <c r="BC249" i="5"/>
  <c r="BB249" i="5"/>
  <c r="BA249" i="5"/>
  <c r="AZ249" i="5"/>
  <c r="AY249" i="5"/>
  <c r="AX249" i="5"/>
  <c r="AW249" i="5"/>
  <c r="AV249" i="5"/>
  <c r="AU249" i="5"/>
  <c r="AS249" i="5"/>
  <c r="AR249" i="5"/>
  <c r="AQ249" i="5"/>
  <c r="AP249" i="5"/>
  <c r="AO249" i="5"/>
  <c r="AN249" i="5"/>
  <c r="AM249" i="5"/>
  <c r="AL249" i="5"/>
  <c r="AK249" i="5"/>
  <c r="AJ249" i="5"/>
  <c r="AH249" i="5"/>
  <c r="AG249" i="5"/>
  <c r="AF249" i="5"/>
  <c r="AE249" i="5"/>
  <c r="AD249" i="5"/>
  <c r="AC249" i="5"/>
  <c r="AB249" i="5"/>
  <c r="AA249" i="5"/>
  <c r="Z249" i="5"/>
  <c r="Y249" i="5"/>
  <c r="W249" i="5"/>
  <c r="V249" i="5"/>
  <c r="U249" i="5"/>
  <c r="T249" i="5"/>
  <c r="S249" i="5"/>
  <c r="R249" i="5"/>
  <c r="Q249" i="5"/>
  <c r="P249" i="5"/>
  <c r="O249" i="5"/>
  <c r="N249" i="5"/>
  <c r="L249" i="5"/>
  <c r="K249" i="5"/>
  <c r="J249" i="5"/>
  <c r="I249" i="5"/>
  <c r="H249" i="5"/>
  <c r="G249" i="5"/>
  <c r="F249" i="5"/>
  <c r="E249" i="5"/>
  <c r="D249" i="5"/>
  <c r="C249" i="5"/>
  <c r="B249" i="5"/>
  <c r="A249" i="5"/>
  <c r="BZ248" i="5"/>
  <c r="BY248" i="5"/>
  <c r="BX248" i="5"/>
  <c r="BW248" i="5"/>
  <c r="BV248" i="5"/>
  <c r="BU248" i="5"/>
  <c r="BT248" i="5"/>
  <c r="BS248" i="5"/>
  <c r="BR248" i="5"/>
  <c r="BQ248" i="5"/>
  <c r="BO248" i="5"/>
  <c r="BN248" i="5"/>
  <c r="BM248" i="5"/>
  <c r="BL248" i="5"/>
  <c r="BK248" i="5"/>
  <c r="BJ248" i="5"/>
  <c r="BI248" i="5"/>
  <c r="BH248" i="5"/>
  <c r="BG248" i="5"/>
  <c r="BF248" i="5"/>
  <c r="BD248" i="5"/>
  <c r="BC248" i="5"/>
  <c r="BB248" i="5"/>
  <c r="BA248" i="5"/>
  <c r="AZ248" i="5"/>
  <c r="AY248" i="5"/>
  <c r="AX248" i="5"/>
  <c r="AW248" i="5"/>
  <c r="AV248" i="5"/>
  <c r="AU248" i="5"/>
  <c r="AS248" i="5"/>
  <c r="AR248" i="5"/>
  <c r="AQ248" i="5"/>
  <c r="AP248" i="5"/>
  <c r="AO248" i="5"/>
  <c r="AN248" i="5"/>
  <c r="AM248" i="5"/>
  <c r="AL248" i="5"/>
  <c r="AK248" i="5"/>
  <c r="AJ248" i="5"/>
  <c r="AH248" i="5"/>
  <c r="AG248" i="5"/>
  <c r="AF248" i="5"/>
  <c r="AE248" i="5"/>
  <c r="AD248" i="5"/>
  <c r="AC248" i="5"/>
  <c r="AB248" i="5"/>
  <c r="AA248" i="5"/>
  <c r="Z248" i="5"/>
  <c r="Y248" i="5"/>
  <c r="W248" i="5"/>
  <c r="V248" i="5"/>
  <c r="U248" i="5"/>
  <c r="T248" i="5"/>
  <c r="S248" i="5"/>
  <c r="R248" i="5"/>
  <c r="Q248" i="5"/>
  <c r="P248" i="5"/>
  <c r="O248" i="5"/>
  <c r="N248" i="5"/>
  <c r="L248" i="5"/>
  <c r="K248" i="5"/>
  <c r="J248" i="5"/>
  <c r="I248" i="5"/>
  <c r="H248" i="5"/>
  <c r="G248" i="5"/>
  <c r="F248" i="5"/>
  <c r="E248" i="5"/>
  <c r="D248" i="5"/>
  <c r="C248" i="5"/>
  <c r="B248" i="5"/>
  <c r="A248" i="5"/>
  <c r="BZ247" i="5"/>
  <c r="BY247" i="5"/>
  <c r="BX247" i="5"/>
  <c r="BW247" i="5"/>
  <c r="BV247" i="5"/>
  <c r="BU247" i="5"/>
  <c r="BT247" i="5"/>
  <c r="BS247" i="5"/>
  <c r="BR247" i="5"/>
  <c r="BQ247" i="5"/>
  <c r="BO247" i="5"/>
  <c r="BN247" i="5"/>
  <c r="BM247" i="5"/>
  <c r="BL247" i="5"/>
  <c r="BK247" i="5"/>
  <c r="BJ247" i="5"/>
  <c r="BI247" i="5"/>
  <c r="BH247" i="5"/>
  <c r="BG247" i="5"/>
  <c r="BF247" i="5"/>
  <c r="BD247" i="5"/>
  <c r="BC247" i="5"/>
  <c r="BB247" i="5"/>
  <c r="BA247" i="5"/>
  <c r="AZ247" i="5"/>
  <c r="AY247" i="5"/>
  <c r="AX247" i="5"/>
  <c r="AW247" i="5"/>
  <c r="AV247" i="5"/>
  <c r="AU247" i="5"/>
  <c r="AS247" i="5"/>
  <c r="AR247" i="5"/>
  <c r="AQ247" i="5"/>
  <c r="AP247" i="5"/>
  <c r="AO247" i="5"/>
  <c r="AN247" i="5"/>
  <c r="AM247" i="5"/>
  <c r="AL247" i="5"/>
  <c r="AK247" i="5"/>
  <c r="AJ247" i="5"/>
  <c r="AH247" i="5"/>
  <c r="AG247" i="5"/>
  <c r="AF247" i="5"/>
  <c r="AE247" i="5"/>
  <c r="AD247" i="5"/>
  <c r="AC247" i="5"/>
  <c r="AB247" i="5"/>
  <c r="AA247" i="5"/>
  <c r="Z247" i="5"/>
  <c r="Y247" i="5"/>
  <c r="W247" i="5"/>
  <c r="V247" i="5"/>
  <c r="U247" i="5"/>
  <c r="T247" i="5"/>
  <c r="S247" i="5"/>
  <c r="R247" i="5"/>
  <c r="Q247" i="5"/>
  <c r="P247" i="5"/>
  <c r="O247" i="5"/>
  <c r="N247" i="5"/>
  <c r="L247" i="5"/>
  <c r="K247" i="5"/>
  <c r="J247" i="5"/>
  <c r="I247" i="5"/>
  <c r="H247" i="5"/>
  <c r="G247" i="5"/>
  <c r="F247" i="5"/>
  <c r="E247" i="5"/>
  <c r="D247" i="5"/>
  <c r="C247" i="5"/>
  <c r="B247" i="5"/>
  <c r="A247" i="5"/>
  <c r="BZ246" i="5"/>
  <c r="BY246" i="5"/>
  <c r="BX246" i="5"/>
  <c r="BW246" i="5"/>
  <c r="BV246" i="5"/>
  <c r="BU246" i="5"/>
  <c r="BT246" i="5"/>
  <c r="BS246" i="5"/>
  <c r="BR246" i="5"/>
  <c r="BQ246" i="5"/>
  <c r="BO246" i="5"/>
  <c r="BN246" i="5"/>
  <c r="BM246" i="5"/>
  <c r="BL246" i="5"/>
  <c r="BK246" i="5"/>
  <c r="BJ246" i="5"/>
  <c r="BI246" i="5"/>
  <c r="BH246" i="5"/>
  <c r="BG246" i="5"/>
  <c r="BF246" i="5"/>
  <c r="BD246" i="5"/>
  <c r="BC246" i="5"/>
  <c r="BB246" i="5"/>
  <c r="BA246" i="5"/>
  <c r="AZ246" i="5"/>
  <c r="AY246" i="5"/>
  <c r="AX246" i="5"/>
  <c r="AW246" i="5"/>
  <c r="AV246" i="5"/>
  <c r="AU246" i="5"/>
  <c r="AS246" i="5"/>
  <c r="AR246" i="5"/>
  <c r="AQ246" i="5"/>
  <c r="AP246" i="5"/>
  <c r="AO246" i="5"/>
  <c r="AN246" i="5"/>
  <c r="AM246" i="5"/>
  <c r="AL246" i="5"/>
  <c r="AK246" i="5"/>
  <c r="AJ246" i="5"/>
  <c r="AH246" i="5"/>
  <c r="AG246" i="5"/>
  <c r="AF246" i="5"/>
  <c r="AE246" i="5"/>
  <c r="AD246" i="5"/>
  <c r="AC246" i="5"/>
  <c r="AB246" i="5"/>
  <c r="AA246" i="5"/>
  <c r="Z246" i="5"/>
  <c r="Y246" i="5"/>
  <c r="W246" i="5"/>
  <c r="V246" i="5"/>
  <c r="U246" i="5"/>
  <c r="T246" i="5"/>
  <c r="S246" i="5"/>
  <c r="R246" i="5"/>
  <c r="Q246" i="5"/>
  <c r="P246" i="5"/>
  <c r="O246" i="5"/>
  <c r="N246" i="5"/>
  <c r="L246" i="5"/>
  <c r="K246" i="5"/>
  <c r="J246" i="5"/>
  <c r="I246" i="5"/>
  <c r="H246" i="5"/>
  <c r="G246" i="5"/>
  <c r="F246" i="5"/>
  <c r="E246" i="5"/>
  <c r="D246" i="5"/>
  <c r="C246" i="5"/>
  <c r="B246" i="5"/>
  <c r="A246" i="5"/>
  <c r="BZ245" i="5"/>
  <c r="BY245" i="5"/>
  <c r="BX245" i="5"/>
  <c r="BW245" i="5"/>
  <c r="BV245" i="5"/>
  <c r="BU245" i="5"/>
  <c r="BT245" i="5"/>
  <c r="BS245" i="5"/>
  <c r="BR245" i="5"/>
  <c r="BQ245" i="5"/>
  <c r="BO245" i="5"/>
  <c r="BN245" i="5"/>
  <c r="BM245" i="5"/>
  <c r="BL245" i="5"/>
  <c r="BK245" i="5"/>
  <c r="BJ245" i="5"/>
  <c r="BI245" i="5"/>
  <c r="BH245" i="5"/>
  <c r="BG245" i="5"/>
  <c r="BF245" i="5"/>
  <c r="BD245" i="5"/>
  <c r="BC245" i="5"/>
  <c r="BB245" i="5"/>
  <c r="BA245" i="5"/>
  <c r="AZ245" i="5"/>
  <c r="AY245" i="5"/>
  <c r="AX245" i="5"/>
  <c r="AW245" i="5"/>
  <c r="AV245" i="5"/>
  <c r="AU245" i="5"/>
  <c r="AS245" i="5"/>
  <c r="AR245" i="5"/>
  <c r="AQ245" i="5"/>
  <c r="AP245" i="5"/>
  <c r="AO245" i="5"/>
  <c r="AN245" i="5"/>
  <c r="AM245" i="5"/>
  <c r="AL245" i="5"/>
  <c r="AK245" i="5"/>
  <c r="AJ245" i="5"/>
  <c r="AH245" i="5"/>
  <c r="AG245" i="5"/>
  <c r="AF245" i="5"/>
  <c r="AE245" i="5"/>
  <c r="AD245" i="5"/>
  <c r="AC245" i="5"/>
  <c r="AB245" i="5"/>
  <c r="AA245" i="5"/>
  <c r="Z245" i="5"/>
  <c r="Y245" i="5"/>
  <c r="W245" i="5"/>
  <c r="V245" i="5"/>
  <c r="U245" i="5"/>
  <c r="T245" i="5"/>
  <c r="S245" i="5"/>
  <c r="R245" i="5"/>
  <c r="Q245" i="5"/>
  <c r="P245" i="5"/>
  <c r="O245" i="5"/>
  <c r="N245" i="5"/>
  <c r="L245" i="5"/>
  <c r="K245" i="5"/>
  <c r="J245" i="5"/>
  <c r="I245" i="5"/>
  <c r="H245" i="5"/>
  <c r="G245" i="5"/>
  <c r="F245" i="5"/>
  <c r="E245" i="5"/>
  <c r="D245" i="5"/>
  <c r="C245" i="5"/>
  <c r="B245" i="5"/>
  <c r="A245" i="5"/>
  <c r="BZ244" i="5"/>
  <c r="BY244" i="5"/>
  <c r="BX244" i="5"/>
  <c r="BW244" i="5"/>
  <c r="BV244" i="5"/>
  <c r="BU244" i="5"/>
  <c r="BT244" i="5"/>
  <c r="BS244" i="5"/>
  <c r="BR244" i="5"/>
  <c r="BQ244" i="5"/>
  <c r="BO244" i="5"/>
  <c r="BN244" i="5"/>
  <c r="BM244" i="5"/>
  <c r="BL244" i="5"/>
  <c r="BK244" i="5"/>
  <c r="BJ244" i="5"/>
  <c r="BI244" i="5"/>
  <c r="BH244" i="5"/>
  <c r="BG244" i="5"/>
  <c r="BF244" i="5"/>
  <c r="BD244" i="5"/>
  <c r="BC244" i="5"/>
  <c r="BB244" i="5"/>
  <c r="BA244" i="5"/>
  <c r="AZ244" i="5"/>
  <c r="AY244" i="5"/>
  <c r="AX244" i="5"/>
  <c r="AW244" i="5"/>
  <c r="AV244" i="5"/>
  <c r="AU244" i="5"/>
  <c r="AS244" i="5"/>
  <c r="AR244" i="5"/>
  <c r="AQ244" i="5"/>
  <c r="AP244" i="5"/>
  <c r="AO244" i="5"/>
  <c r="AN244" i="5"/>
  <c r="AM244" i="5"/>
  <c r="AL244" i="5"/>
  <c r="AK244" i="5"/>
  <c r="AJ244" i="5"/>
  <c r="AH244" i="5"/>
  <c r="AG244" i="5"/>
  <c r="AF244" i="5"/>
  <c r="AE244" i="5"/>
  <c r="AD244" i="5"/>
  <c r="AC244" i="5"/>
  <c r="AB244" i="5"/>
  <c r="AA244" i="5"/>
  <c r="Z244" i="5"/>
  <c r="Y244" i="5"/>
  <c r="W244" i="5"/>
  <c r="V244" i="5"/>
  <c r="U244" i="5"/>
  <c r="T244" i="5"/>
  <c r="S244" i="5"/>
  <c r="R244" i="5"/>
  <c r="Q244" i="5"/>
  <c r="P244" i="5"/>
  <c r="O244" i="5"/>
  <c r="N244" i="5"/>
  <c r="L244" i="5"/>
  <c r="K244" i="5"/>
  <c r="J244" i="5"/>
  <c r="I244" i="5"/>
  <c r="H244" i="5"/>
  <c r="G244" i="5"/>
  <c r="F244" i="5"/>
  <c r="E244" i="5"/>
  <c r="D244" i="5"/>
  <c r="C244" i="5"/>
  <c r="B244" i="5"/>
  <c r="A244" i="5"/>
  <c r="BZ243" i="5"/>
  <c r="BY243" i="5"/>
  <c r="BX243" i="5"/>
  <c r="BW243" i="5"/>
  <c r="BV243" i="5"/>
  <c r="BU243" i="5"/>
  <c r="BT243" i="5"/>
  <c r="BS243" i="5"/>
  <c r="BR243" i="5"/>
  <c r="BQ243" i="5"/>
  <c r="BO243" i="5"/>
  <c r="BN243" i="5"/>
  <c r="BM243" i="5"/>
  <c r="BL243" i="5"/>
  <c r="BK243" i="5"/>
  <c r="BJ243" i="5"/>
  <c r="BI243" i="5"/>
  <c r="BH243" i="5"/>
  <c r="BG243" i="5"/>
  <c r="BF243" i="5"/>
  <c r="BD243" i="5"/>
  <c r="BC243" i="5"/>
  <c r="BB243" i="5"/>
  <c r="BA243" i="5"/>
  <c r="AZ243" i="5"/>
  <c r="AY243" i="5"/>
  <c r="AX243" i="5"/>
  <c r="AW243" i="5"/>
  <c r="AV243" i="5"/>
  <c r="AU243" i="5"/>
  <c r="AS243" i="5"/>
  <c r="AR243" i="5"/>
  <c r="AQ243" i="5"/>
  <c r="AP243" i="5"/>
  <c r="AO243" i="5"/>
  <c r="AN243" i="5"/>
  <c r="AM243" i="5"/>
  <c r="AL243" i="5"/>
  <c r="AK243" i="5"/>
  <c r="AJ243" i="5"/>
  <c r="AH243" i="5"/>
  <c r="AG243" i="5"/>
  <c r="AF243" i="5"/>
  <c r="AE243" i="5"/>
  <c r="AD243" i="5"/>
  <c r="AC243" i="5"/>
  <c r="AB243" i="5"/>
  <c r="AA243" i="5"/>
  <c r="Z243" i="5"/>
  <c r="Y243" i="5"/>
  <c r="W243" i="5"/>
  <c r="V243" i="5"/>
  <c r="U243" i="5"/>
  <c r="T243" i="5"/>
  <c r="S243" i="5"/>
  <c r="R243" i="5"/>
  <c r="Q243" i="5"/>
  <c r="P243" i="5"/>
  <c r="O243" i="5"/>
  <c r="N243" i="5"/>
  <c r="L243" i="5"/>
  <c r="K243" i="5"/>
  <c r="J243" i="5"/>
  <c r="I243" i="5"/>
  <c r="H243" i="5"/>
  <c r="G243" i="5"/>
  <c r="F243" i="5"/>
  <c r="E243" i="5"/>
  <c r="D243" i="5"/>
  <c r="C243" i="5"/>
  <c r="B243" i="5"/>
  <c r="A243" i="5"/>
  <c r="BZ242" i="5"/>
  <c r="BY242" i="5"/>
  <c r="BX242" i="5"/>
  <c r="BW242" i="5"/>
  <c r="BV242" i="5"/>
  <c r="BU242" i="5"/>
  <c r="BT242" i="5"/>
  <c r="BS242" i="5"/>
  <c r="BR242" i="5"/>
  <c r="BQ242" i="5"/>
  <c r="BO242" i="5"/>
  <c r="BN242" i="5"/>
  <c r="BM242" i="5"/>
  <c r="BL242" i="5"/>
  <c r="BK242" i="5"/>
  <c r="BJ242" i="5"/>
  <c r="BI242" i="5"/>
  <c r="BH242" i="5"/>
  <c r="BG242" i="5"/>
  <c r="BF242" i="5"/>
  <c r="BD242" i="5"/>
  <c r="BC242" i="5"/>
  <c r="BB242" i="5"/>
  <c r="BA242" i="5"/>
  <c r="AZ242" i="5"/>
  <c r="AY242" i="5"/>
  <c r="AX242" i="5"/>
  <c r="AW242" i="5"/>
  <c r="AV242" i="5"/>
  <c r="AU242" i="5"/>
  <c r="AS242" i="5"/>
  <c r="AR242" i="5"/>
  <c r="AQ242" i="5"/>
  <c r="AP242" i="5"/>
  <c r="AO242" i="5"/>
  <c r="AN242" i="5"/>
  <c r="AM242" i="5"/>
  <c r="AL242" i="5"/>
  <c r="AK242" i="5"/>
  <c r="AJ242" i="5"/>
  <c r="AH242" i="5"/>
  <c r="AG242" i="5"/>
  <c r="AF242" i="5"/>
  <c r="AE242" i="5"/>
  <c r="AD242" i="5"/>
  <c r="AC242" i="5"/>
  <c r="AB242" i="5"/>
  <c r="AA242" i="5"/>
  <c r="Z242" i="5"/>
  <c r="Y242" i="5"/>
  <c r="W242" i="5"/>
  <c r="V242" i="5"/>
  <c r="U242" i="5"/>
  <c r="T242" i="5"/>
  <c r="S242" i="5"/>
  <c r="R242" i="5"/>
  <c r="Q242" i="5"/>
  <c r="P242" i="5"/>
  <c r="O242" i="5"/>
  <c r="N242" i="5"/>
  <c r="L242" i="5"/>
  <c r="K242" i="5"/>
  <c r="J242" i="5"/>
  <c r="I242" i="5"/>
  <c r="H242" i="5"/>
  <c r="G242" i="5"/>
  <c r="F242" i="5"/>
  <c r="E242" i="5"/>
  <c r="D242" i="5"/>
  <c r="C242" i="5"/>
  <c r="B242" i="5"/>
  <c r="A242" i="5"/>
  <c r="BZ241" i="5"/>
  <c r="BY241" i="5"/>
  <c r="BX241" i="5"/>
  <c r="BW241" i="5"/>
  <c r="BV241" i="5"/>
  <c r="BU241" i="5"/>
  <c r="BT241" i="5"/>
  <c r="BS241" i="5"/>
  <c r="BR241" i="5"/>
  <c r="BQ241" i="5"/>
  <c r="BO241" i="5"/>
  <c r="BN241" i="5"/>
  <c r="BM241" i="5"/>
  <c r="BL241" i="5"/>
  <c r="BK241" i="5"/>
  <c r="BJ241" i="5"/>
  <c r="BI241" i="5"/>
  <c r="BH241" i="5"/>
  <c r="BG241" i="5"/>
  <c r="BF241" i="5"/>
  <c r="BD241" i="5"/>
  <c r="BC241" i="5"/>
  <c r="BB241" i="5"/>
  <c r="BA241" i="5"/>
  <c r="AZ241" i="5"/>
  <c r="AY241" i="5"/>
  <c r="AX241" i="5"/>
  <c r="AW241" i="5"/>
  <c r="AV241" i="5"/>
  <c r="AU241" i="5"/>
  <c r="AS241" i="5"/>
  <c r="AR241" i="5"/>
  <c r="AQ241" i="5"/>
  <c r="AP241" i="5"/>
  <c r="AO241" i="5"/>
  <c r="AN241" i="5"/>
  <c r="AM241" i="5"/>
  <c r="AL241" i="5"/>
  <c r="AK241" i="5"/>
  <c r="AJ241" i="5"/>
  <c r="AH241" i="5"/>
  <c r="AG241" i="5"/>
  <c r="AF241" i="5"/>
  <c r="AE241" i="5"/>
  <c r="AD241" i="5"/>
  <c r="AC241" i="5"/>
  <c r="AB241" i="5"/>
  <c r="AA241" i="5"/>
  <c r="Z241" i="5"/>
  <c r="AI241" i="5" s="1"/>
  <c r="CD241" i="5" s="1"/>
  <c r="Y241" i="5"/>
  <c r="W241" i="5"/>
  <c r="V241" i="5"/>
  <c r="U241" i="5"/>
  <c r="T241" i="5"/>
  <c r="S241" i="5"/>
  <c r="R241" i="5"/>
  <c r="Q241" i="5"/>
  <c r="P241" i="5"/>
  <c r="O241" i="5"/>
  <c r="N241" i="5"/>
  <c r="L241" i="5"/>
  <c r="K241" i="5"/>
  <c r="J241" i="5"/>
  <c r="I241" i="5"/>
  <c r="H241" i="5"/>
  <c r="G241" i="5"/>
  <c r="F241" i="5"/>
  <c r="E241" i="5"/>
  <c r="D241" i="5"/>
  <c r="C241" i="5"/>
  <c r="B241" i="5"/>
  <c r="A241" i="5"/>
  <c r="BZ240" i="5"/>
  <c r="BY240" i="5"/>
  <c r="BX240" i="5"/>
  <c r="BW240" i="5"/>
  <c r="BV240" i="5"/>
  <c r="BU240" i="5"/>
  <c r="BT240" i="5"/>
  <c r="BS240" i="5"/>
  <c r="BR240" i="5"/>
  <c r="BQ240" i="5"/>
  <c r="BO240" i="5"/>
  <c r="BN240" i="5"/>
  <c r="BM240" i="5"/>
  <c r="BL240" i="5"/>
  <c r="BK240" i="5"/>
  <c r="BJ240" i="5"/>
  <c r="BI240" i="5"/>
  <c r="BH240" i="5"/>
  <c r="BG240" i="5"/>
  <c r="BF240" i="5"/>
  <c r="BD240" i="5"/>
  <c r="BC240" i="5"/>
  <c r="BB240" i="5"/>
  <c r="BA240" i="5"/>
  <c r="AZ240" i="5"/>
  <c r="AY240" i="5"/>
  <c r="AX240" i="5"/>
  <c r="AW240" i="5"/>
  <c r="AV240" i="5"/>
  <c r="AU240" i="5"/>
  <c r="AS240" i="5"/>
  <c r="AR240" i="5"/>
  <c r="AQ240" i="5"/>
  <c r="AP240" i="5"/>
  <c r="AO240" i="5"/>
  <c r="AN240" i="5"/>
  <c r="AM240" i="5"/>
  <c r="AL240" i="5"/>
  <c r="AK240" i="5"/>
  <c r="AJ240" i="5"/>
  <c r="AH240" i="5"/>
  <c r="AG240" i="5"/>
  <c r="AF240" i="5"/>
  <c r="AE240" i="5"/>
  <c r="AD240" i="5"/>
  <c r="AC240" i="5"/>
  <c r="AB240" i="5"/>
  <c r="AA240" i="5"/>
  <c r="Z240" i="5"/>
  <c r="Y240" i="5"/>
  <c r="W240" i="5"/>
  <c r="V240" i="5"/>
  <c r="U240" i="5"/>
  <c r="T240" i="5"/>
  <c r="S240" i="5"/>
  <c r="R240" i="5"/>
  <c r="Q240" i="5"/>
  <c r="P240" i="5"/>
  <c r="O240" i="5"/>
  <c r="N240" i="5"/>
  <c r="L240" i="5"/>
  <c r="K240" i="5"/>
  <c r="J240" i="5"/>
  <c r="I240" i="5"/>
  <c r="H240" i="5"/>
  <c r="G240" i="5"/>
  <c r="F240" i="5"/>
  <c r="E240" i="5"/>
  <c r="D240" i="5"/>
  <c r="C240" i="5"/>
  <c r="B240" i="5"/>
  <c r="A240" i="5"/>
  <c r="BZ239" i="5"/>
  <c r="BY239" i="5"/>
  <c r="BX239" i="5"/>
  <c r="BW239" i="5"/>
  <c r="BV239" i="5"/>
  <c r="BU239" i="5"/>
  <c r="BT239" i="5"/>
  <c r="BS239" i="5"/>
  <c r="BR239" i="5"/>
  <c r="BQ239" i="5"/>
  <c r="BO239" i="5"/>
  <c r="BN239" i="5"/>
  <c r="BM239" i="5"/>
  <c r="BL239" i="5"/>
  <c r="BK239" i="5"/>
  <c r="BJ239" i="5"/>
  <c r="BI239" i="5"/>
  <c r="BH239" i="5"/>
  <c r="BG239" i="5"/>
  <c r="BF239" i="5"/>
  <c r="BD239" i="5"/>
  <c r="BC239" i="5"/>
  <c r="BB239" i="5"/>
  <c r="BA239" i="5"/>
  <c r="AZ239" i="5"/>
  <c r="AY239" i="5"/>
  <c r="AX239" i="5"/>
  <c r="AW239" i="5"/>
  <c r="AV239" i="5"/>
  <c r="AU239" i="5"/>
  <c r="AS239" i="5"/>
  <c r="AR239" i="5"/>
  <c r="AQ239" i="5"/>
  <c r="AP239" i="5"/>
  <c r="AO239" i="5"/>
  <c r="AN239" i="5"/>
  <c r="AM239" i="5"/>
  <c r="AL239" i="5"/>
  <c r="AK239" i="5"/>
  <c r="AJ239" i="5"/>
  <c r="AH239" i="5"/>
  <c r="AG239" i="5"/>
  <c r="AF239" i="5"/>
  <c r="AE239" i="5"/>
  <c r="AD239" i="5"/>
  <c r="AC239" i="5"/>
  <c r="AB239" i="5"/>
  <c r="AA239" i="5"/>
  <c r="Z239" i="5"/>
  <c r="Y239" i="5"/>
  <c r="W239" i="5"/>
  <c r="V239" i="5"/>
  <c r="U239" i="5"/>
  <c r="T239" i="5"/>
  <c r="S239" i="5"/>
  <c r="R239" i="5"/>
  <c r="Q239" i="5"/>
  <c r="P239" i="5"/>
  <c r="O239" i="5"/>
  <c r="N239" i="5"/>
  <c r="L239" i="5"/>
  <c r="K239" i="5"/>
  <c r="J239" i="5"/>
  <c r="I239" i="5"/>
  <c r="H239" i="5"/>
  <c r="G239" i="5"/>
  <c r="F239" i="5"/>
  <c r="E239" i="5"/>
  <c r="D239" i="5"/>
  <c r="C239" i="5"/>
  <c r="B239" i="5"/>
  <c r="A239" i="5"/>
  <c r="BZ238" i="5"/>
  <c r="BY238" i="5"/>
  <c r="BX238" i="5"/>
  <c r="BW238" i="5"/>
  <c r="BV238" i="5"/>
  <c r="BU238" i="5"/>
  <c r="BT238" i="5"/>
  <c r="BS238" i="5"/>
  <c r="BR238" i="5"/>
  <c r="BQ238" i="5"/>
  <c r="BO238" i="5"/>
  <c r="BN238" i="5"/>
  <c r="BM238" i="5"/>
  <c r="BL238" i="5"/>
  <c r="BK238" i="5"/>
  <c r="BJ238" i="5"/>
  <c r="BI238" i="5"/>
  <c r="BH238" i="5"/>
  <c r="BG238" i="5"/>
  <c r="BF238" i="5"/>
  <c r="BD238" i="5"/>
  <c r="BC238" i="5"/>
  <c r="BB238" i="5"/>
  <c r="BA238" i="5"/>
  <c r="AZ238" i="5"/>
  <c r="AY238" i="5"/>
  <c r="AX238" i="5"/>
  <c r="AW238" i="5"/>
  <c r="AV238" i="5"/>
  <c r="AU238" i="5"/>
  <c r="AS238" i="5"/>
  <c r="AR238" i="5"/>
  <c r="AQ238" i="5"/>
  <c r="AP238" i="5"/>
  <c r="AO238" i="5"/>
  <c r="AN238" i="5"/>
  <c r="AM238" i="5"/>
  <c r="AL238" i="5"/>
  <c r="AK238" i="5"/>
  <c r="AJ238" i="5"/>
  <c r="AH238" i="5"/>
  <c r="AG238" i="5"/>
  <c r="AF238" i="5"/>
  <c r="AE238" i="5"/>
  <c r="AD238" i="5"/>
  <c r="AC238" i="5"/>
  <c r="AB238" i="5"/>
  <c r="AA238" i="5"/>
  <c r="Z238" i="5"/>
  <c r="Y238" i="5"/>
  <c r="W238" i="5"/>
  <c r="V238" i="5"/>
  <c r="U238" i="5"/>
  <c r="T238" i="5"/>
  <c r="S238" i="5"/>
  <c r="R238" i="5"/>
  <c r="Q238" i="5"/>
  <c r="P238" i="5"/>
  <c r="O238" i="5"/>
  <c r="N238" i="5"/>
  <c r="L238" i="5"/>
  <c r="K238" i="5"/>
  <c r="J238" i="5"/>
  <c r="I238" i="5"/>
  <c r="H238" i="5"/>
  <c r="G238" i="5"/>
  <c r="F238" i="5"/>
  <c r="E238" i="5"/>
  <c r="D238" i="5"/>
  <c r="C238" i="5"/>
  <c r="B238" i="5"/>
  <c r="A238" i="5"/>
  <c r="BZ237" i="5"/>
  <c r="BY237" i="5"/>
  <c r="BX237" i="5"/>
  <c r="BW237" i="5"/>
  <c r="BV237" i="5"/>
  <c r="BU237" i="5"/>
  <c r="BT237" i="5"/>
  <c r="BS237" i="5"/>
  <c r="BR237" i="5"/>
  <c r="BQ237" i="5"/>
  <c r="BO237" i="5"/>
  <c r="BN237" i="5"/>
  <c r="BM237" i="5"/>
  <c r="BL237" i="5"/>
  <c r="BK237" i="5"/>
  <c r="BJ237" i="5"/>
  <c r="BI237" i="5"/>
  <c r="BH237" i="5"/>
  <c r="BG237" i="5"/>
  <c r="BF237" i="5"/>
  <c r="BD237" i="5"/>
  <c r="BC237" i="5"/>
  <c r="BB237" i="5"/>
  <c r="BA237" i="5"/>
  <c r="AZ237" i="5"/>
  <c r="AY237" i="5"/>
  <c r="AX237" i="5"/>
  <c r="AW237" i="5"/>
  <c r="AV237" i="5"/>
  <c r="AU237" i="5"/>
  <c r="AS237" i="5"/>
  <c r="AR237" i="5"/>
  <c r="AQ237" i="5"/>
  <c r="AP237" i="5"/>
  <c r="AO237" i="5"/>
  <c r="AN237" i="5"/>
  <c r="AM237" i="5"/>
  <c r="AL237" i="5"/>
  <c r="AK237" i="5"/>
  <c r="AJ237" i="5"/>
  <c r="AH237" i="5"/>
  <c r="AG237" i="5"/>
  <c r="AF237" i="5"/>
  <c r="AE237" i="5"/>
  <c r="AD237" i="5"/>
  <c r="AC237" i="5"/>
  <c r="AB237" i="5"/>
  <c r="AA237" i="5"/>
  <c r="Z237" i="5"/>
  <c r="Y237" i="5"/>
  <c r="W237" i="5"/>
  <c r="V237" i="5"/>
  <c r="U237" i="5"/>
  <c r="T237" i="5"/>
  <c r="S237" i="5"/>
  <c r="R237" i="5"/>
  <c r="Q237" i="5"/>
  <c r="P237" i="5"/>
  <c r="O237" i="5"/>
  <c r="N237" i="5"/>
  <c r="L237" i="5"/>
  <c r="K237" i="5"/>
  <c r="J237" i="5"/>
  <c r="I237" i="5"/>
  <c r="H237" i="5"/>
  <c r="G237" i="5"/>
  <c r="F237" i="5"/>
  <c r="E237" i="5"/>
  <c r="D237" i="5"/>
  <c r="C237" i="5"/>
  <c r="B237" i="5"/>
  <c r="A237" i="5"/>
  <c r="BZ236" i="5"/>
  <c r="BY236" i="5"/>
  <c r="BX236" i="5"/>
  <c r="BW236" i="5"/>
  <c r="BV236" i="5"/>
  <c r="BU236" i="5"/>
  <c r="BT236" i="5"/>
  <c r="BS236" i="5"/>
  <c r="BR236" i="5"/>
  <c r="BQ236" i="5"/>
  <c r="BO236" i="5"/>
  <c r="BN236" i="5"/>
  <c r="BM236" i="5"/>
  <c r="BL236" i="5"/>
  <c r="BK236" i="5"/>
  <c r="BJ236" i="5"/>
  <c r="BI236" i="5"/>
  <c r="BH236" i="5"/>
  <c r="BG236" i="5"/>
  <c r="BF236" i="5"/>
  <c r="BD236" i="5"/>
  <c r="BC236" i="5"/>
  <c r="BB236" i="5"/>
  <c r="BA236" i="5"/>
  <c r="AZ236" i="5"/>
  <c r="AY236" i="5"/>
  <c r="AX236" i="5"/>
  <c r="AW236" i="5"/>
  <c r="AV236" i="5"/>
  <c r="AU236" i="5"/>
  <c r="AS236" i="5"/>
  <c r="AR236" i="5"/>
  <c r="AQ236" i="5"/>
  <c r="AP236" i="5"/>
  <c r="AO236" i="5"/>
  <c r="AN236" i="5"/>
  <c r="AM236" i="5"/>
  <c r="AL236" i="5"/>
  <c r="AK236" i="5"/>
  <c r="AJ236" i="5"/>
  <c r="AH236" i="5"/>
  <c r="AG236" i="5"/>
  <c r="AF236" i="5"/>
  <c r="AE236" i="5"/>
  <c r="AD236" i="5"/>
  <c r="AC236" i="5"/>
  <c r="AB236" i="5"/>
  <c r="AA236" i="5"/>
  <c r="Z236" i="5"/>
  <c r="Y236" i="5"/>
  <c r="W236" i="5"/>
  <c r="V236" i="5"/>
  <c r="U236" i="5"/>
  <c r="T236" i="5"/>
  <c r="S236" i="5"/>
  <c r="R236" i="5"/>
  <c r="Q236" i="5"/>
  <c r="P236" i="5"/>
  <c r="O236" i="5"/>
  <c r="N236" i="5"/>
  <c r="L236" i="5"/>
  <c r="K236" i="5"/>
  <c r="J236" i="5"/>
  <c r="I236" i="5"/>
  <c r="H236" i="5"/>
  <c r="G236" i="5"/>
  <c r="F236" i="5"/>
  <c r="E236" i="5"/>
  <c r="D236" i="5"/>
  <c r="C236" i="5"/>
  <c r="B236" i="5"/>
  <c r="A236" i="5"/>
  <c r="BZ235" i="5"/>
  <c r="BY235" i="5"/>
  <c r="BX235" i="5"/>
  <c r="BW235" i="5"/>
  <c r="BV235" i="5"/>
  <c r="BU235" i="5"/>
  <c r="BT235" i="5"/>
  <c r="BS235" i="5"/>
  <c r="BR235" i="5"/>
  <c r="BQ235" i="5"/>
  <c r="BO235" i="5"/>
  <c r="BN235" i="5"/>
  <c r="BM235" i="5"/>
  <c r="BL235" i="5"/>
  <c r="BK235" i="5"/>
  <c r="BJ235" i="5"/>
  <c r="BI235" i="5"/>
  <c r="BH235" i="5"/>
  <c r="BG235" i="5"/>
  <c r="BF235" i="5"/>
  <c r="BD235" i="5"/>
  <c r="BC235" i="5"/>
  <c r="BB235" i="5"/>
  <c r="BA235" i="5"/>
  <c r="AZ235" i="5"/>
  <c r="AY235" i="5"/>
  <c r="AX235" i="5"/>
  <c r="AW235" i="5"/>
  <c r="AV235" i="5"/>
  <c r="AU235" i="5"/>
  <c r="AS235" i="5"/>
  <c r="AR235" i="5"/>
  <c r="AQ235" i="5"/>
  <c r="AP235" i="5"/>
  <c r="AO235" i="5"/>
  <c r="AN235" i="5"/>
  <c r="AM235" i="5"/>
  <c r="AL235" i="5"/>
  <c r="AK235" i="5"/>
  <c r="AJ235" i="5"/>
  <c r="AH235" i="5"/>
  <c r="AG235" i="5"/>
  <c r="AF235" i="5"/>
  <c r="AE235" i="5"/>
  <c r="AD235" i="5"/>
  <c r="AC235" i="5"/>
  <c r="AB235" i="5"/>
  <c r="AA235" i="5"/>
  <c r="Z235" i="5"/>
  <c r="Y235" i="5"/>
  <c r="W235" i="5"/>
  <c r="V235" i="5"/>
  <c r="U235" i="5"/>
  <c r="T235" i="5"/>
  <c r="S235" i="5"/>
  <c r="R235" i="5"/>
  <c r="Q235" i="5"/>
  <c r="P235" i="5"/>
  <c r="O235" i="5"/>
  <c r="N235" i="5"/>
  <c r="L235" i="5"/>
  <c r="K235" i="5"/>
  <c r="J235" i="5"/>
  <c r="I235" i="5"/>
  <c r="H235" i="5"/>
  <c r="G235" i="5"/>
  <c r="F235" i="5"/>
  <c r="E235" i="5"/>
  <c r="D235" i="5"/>
  <c r="C235" i="5"/>
  <c r="B235" i="5"/>
  <c r="A235" i="5"/>
  <c r="BZ234" i="5"/>
  <c r="BY234" i="5"/>
  <c r="BX234" i="5"/>
  <c r="BW234" i="5"/>
  <c r="BV234" i="5"/>
  <c r="BU234" i="5"/>
  <c r="BT234" i="5"/>
  <c r="BS234" i="5"/>
  <c r="BR234" i="5"/>
  <c r="BQ234" i="5"/>
  <c r="BO234" i="5"/>
  <c r="BN234" i="5"/>
  <c r="BM234" i="5"/>
  <c r="BL234" i="5"/>
  <c r="BK234" i="5"/>
  <c r="BJ234" i="5"/>
  <c r="BI234" i="5"/>
  <c r="BH234" i="5"/>
  <c r="BG234" i="5"/>
  <c r="BF234" i="5"/>
  <c r="BD234" i="5"/>
  <c r="BC234" i="5"/>
  <c r="BB234" i="5"/>
  <c r="BA234" i="5"/>
  <c r="AZ234" i="5"/>
  <c r="AY234" i="5"/>
  <c r="AX234" i="5"/>
  <c r="AW234" i="5"/>
  <c r="AV234" i="5"/>
  <c r="AU234" i="5"/>
  <c r="AS234" i="5"/>
  <c r="AR234" i="5"/>
  <c r="AQ234" i="5"/>
  <c r="AP234" i="5"/>
  <c r="AO234" i="5"/>
  <c r="AN234" i="5"/>
  <c r="AM234" i="5"/>
  <c r="AL234" i="5"/>
  <c r="AK234" i="5"/>
  <c r="AJ234" i="5"/>
  <c r="AH234" i="5"/>
  <c r="AG234" i="5"/>
  <c r="AF234" i="5"/>
  <c r="AE234" i="5"/>
  <c r="AD234" i="5"/>
  <c r="AC234" i="5"/>
  <c r="AB234" i="5"/>
  <c r="AA234" i="5"/>
  <c r="Z234" i="5"/>
  <c r="Y234" i="5"/>
  <c r="W234" i="5"/>
  <c r="V234" i="5"/>
  <c r="U234" i="5"/>
  <c r="T234" i="5"/>
  <c r="S234" i="5"/>
  <c r="R234" i="5"/>
  <c r="Q234" i="5"/>
  <c r="P234" i="5"/>
  <c r="O234" i="5"/>
  <c r="N234" i="5"/>
  <c r="L234" i="5"/>
  <c r="K234" i="5"/>
  <c r="J234" i="5"/>
  <c r="I234" i="5"/>
  <c r="H234" i="5"/>
  <c r="G234" i="5"/>
  <c r="F234" i="5"/>
  <c r="E234" i="5"/>
  <c r="D234" i="5"/>
  <c r="C234" i="5"/>
  <c r="B234" i="5"/>
  <c r="A234" i="5"/>
  <c r="BZ233" i="5"/>
  <c r="BY233" i="5"/>
  <c r="BX233" i="5"/>
  <c r="BW233" i="5"/>
  <c r="BV233" i="5"/>
  <c r="BU233" i="5"/>
  <c r="BT233" i="5"/>
  <c r="BS233" i="5"/>
  <c r="BR233" i="5"/>
  <c r="BQ233" i="5"/>
  <c r="BO233" i="5"/>
  <c r="BN233" i="5"/>
  <c r="BM233" i="5"/>
  <c r="BL233" i="5"/>
  <c r="BK233" i="5"/>
  <c r="BJ233" i="5"/>
  <c r="BI233" i="5"/>
  <c r="BH233" i="5"/>
  <c r="BG233" i="5"/>
  <c r="BF233" i="5"/>
  <c r="BD233" i="5"/>
  <c r="BC233" i="5"/>
  <c r="BB233" i="5"/>
  <c r="BA233" i="5"/>
  <c r="AZ233" i="5"/>
  <c r="AY233" i="5"/>
  <c r="AX233" i="5"/>
  <c r="AW233" i="5"/>
  <c r="AV233" i="5"/>
  <c r="AU233" i="5"/>
  <c r="AS233" i="5"/>
  <c r="AR233" i="5"/>
  <c r="AQ233" i="5"/>
  <c r="AP233" i="5"/>
  <c r="AO233" i="5"/>
  <c r="AN233" i="5"/>
  <c r="AM233" i="5"/>
  <c r="AL233" i="5"/>
  <c r="AK233" i="5"/>
  <c r="AJ233" i="5"/>
  <c r="AH233" i="5"/>
  <c r="AG233" i="5"/>
  <c r="AF233" i="5"/>
  <c r="AE233" i="5"/>
  <c r="AD233" i="5"/>
  <c r="AC233" i="5"/>
  <c r="AB233" i="5"/>
  <c r="AA233" i="5"/>
  <c r="Z233" i="5"/>
  <c r="Y233" i="5"/>
  <c r="W233" i="5"/>
  <c r="V233" i="5"/>
  <c r="U233" i="5"/>
  <c r="T233" i="5"/>
  <c r="S233" i="5"/>
  <c r="R233" i="5"/>
  <c r="Q233" i="5"/>
  <c r="P233" i="5"/>
  <c r="O233" i="5"/>
  <c r="X233" i="5" s="1"/>
  <c r="CC233" i="5" s="1"/>
  <c r="N233" i="5"/>
  <c r="L233" i="5"/>
  <c r="K233" i="5"/>
  <c r="J233" i="5"/>
  <c r="I233" i="5"/>
  <c r="H233" i="5"/>
  <c r="G233" i="5"/>
  <c r="F233" i="5"/>
  <c r="E233" i="5"/>
  <c r="D233" i="5"/>
  <c r="C233" i="5"/>
  <c r="B233" i="5"/>
  <c r="A233" i="5"/>
  <c r="BZ232" i="5"/>
  <c r="BY232" i="5"/>
  <c r="BX232" i="5"/>
  <c r="BW232" i="5"/>
  <c r="BV232" i="5"/>
  <c r="BU232" i="5"/>
  <c r="BT232" i="5"/>
  <c r="BS232" i="5"/>
  <c r="BR232" i="5"/>
  <c r="BQ232" i="5"/>
  <c r="BO232" i="5"/>
  <c r="BN232" i="5"/>
  <c r="BM232" i="5"/>
  <c r="BL232" i="5"/>
  <c r="BK232" i="5"/>
  <c r="BJ232" i="5"/>
  <c r="BI232" i="5"/>
  <c r="BH232" i="5"/>
  <c r="BG232" i="5"/>
  <c r="BP232" i="5" s="1"/>
  <c r="CG232" i="5" s="1"/>
  <c r="BF232" i="5"/>
  <c r="BD232" i="5"/>
  <c r="BC232" i="5"/>
  <c r="BB232" i="5"/>
  <c r="BA232" i="5"/>
  <c r="AZ232" i="5"/>
  <c r="AY232" i="5"/>
  <c r="AX232" i="5"/>
  <c r="AW232" i="5"/>
  <c r="AV232" i="5"/>
  <c r="AU232" i="5"/>
  <c r="AS232" i="5"/>
  <c r="AR232" i="5"/>
  <c r="AQ232" i="5"/>
  <c r="AP232" i="5"/>
  <c r="AO232" i="5"/>
  <c r="AN232" i="5"/>
  <c r="AM232" i="5"/>
  <c r="AL232" i="5"/>
  <c r="AK232" i="5"/>
  <c r="AJ232" i="5"/>
  <c r="AH232" i="5"/>
  <c r="AG232" i="5"/>
  <c r="AF232" i="5"/>
  <c r="AE232" i="5"/>
  <c r="AD232" i="5"/>
  <c r="AC232" i="5"/>
  <c r="AB232" i="5"/>
  <c r="AA232" i="5"/>
  <c r="Z232" i="5"/>
  <c r="Y232" i="5"/>
  <c r="W232" i="5"/>
  <c r="V232" i="5"/>
  <c r="U232" i="5"/>
  <c r="T232" i="5"/>
  <c r="S232" i="5"/>
  <c r="R232" i="5"/>
  <c r="Q232" i="5"/>
  <c r="P232" i="5"/>
  <c r="O232" i="5"/>
  <c r="N232" i="5"/>
  <c r="L232" i="5"/>
  <c r="K232" i="5"/>
  <c r="J232" i="5"/>
  <c r="I232" i="5"/>
  <c r="H232" i="5"/>
  <c r="G232" i="5"/>
  <c r="F232" i="5"/>
  <c r="E232" i="5"/>
  <c r="D232" i="5"/>
  <c r="C232" i="5"/>
  <c r="B232" i="5"/>
  <c r="A232" i="5"/>
  <c r="BZ231" i="5"/>
  <c r="BY231" i="5"/>
  <c r="BX231" i="5"/>
  <c r="BW231" i="5"/>
  <c r="BV231" i="5"/>
  <c r="BU231" i="5"/>
  <c r="BT231" i="5"/>
  <c r="BS231" i="5"/>
  <c r="BR231" i="5"/>
  <c r="BQ231" i="5"/>
  <c r="BO231" i="5"/>
  <c r="BN231" i="5"/>
  <c r="BM231" i="5"/>
  <c r="BL231" i="5"/>
  <c r="BK231" i="5"/>
  <c r="BJ231" i="5"/>
  <c r="BI231" i="5"/>
  <c r="BH231" i="5"/>
  <c r="BG231" i="5"/>
  <c r="BF231" i="5"/>
  <c r="BD231" i="5"/>
  <c r="BC231" i="5"/>
  <c r="BB231" i="5"/>
  <c r="BA231" i="5"/>
  <c r="AZ231" i="5"/>
  <c r="AY231" i="5"/>
  <c r="AX231" i="5"/>
  <c r="AW231" i="5"/>
  <c r="AV231" i="5"/>
  <c r="AU231" i="5"/>
  <c r="AS231" i="5"/>
  <c r="AR231" i="5"/>
  <c r="AQ231" i="5"/>
  <c r="AP231" i="5"/>
  <c r="AO231" i="5"/>
  <c r="AN231" i="5"/>
  <c r="AM231" i="5"/>
  <c r="AL231" i="5"/>
  <c r="AK231" i="5"/>
  <c r="AJ231" i="5"/>
  <c r="AH231" i="5"/>
  <c r="AG231" i="5"/>
  <c r="AF231" i="5"/>
  <c r="AE231" i="5"/>
  <c r="AD231" i="5"/>
  <c r="AC231" i="5"/>
  <c r="AB231" i="5"/>
  <c r="AA231" i="5"/>
  <c r="Z231" i="5"/>
  <c r="Y231" i="5"/>
  <c r="W231" i="5"/>
  <c r="V231" i="5"/>
  <c r="U231" i="5"/>
  <c r="T231" i="5"/>
  <c r="S231" i="5"/>
  <c r="R231" i="5"/>
  <c r="Q231" i="5"/>
  <c r="P231" i="5"/>
  <c r="O231" i="5"/>
  <c r="N231" i="5"/>
  <c r="L231" i="5"/>
  <c r="K231" i="5"/>
  <c r="J231" i="5"/>
  <c r="I231" i="5"/>
  <c r="H231" i="5"/>
  <c r="G231" i="5"/>
  <c r="F231" i="5"/>
  <c r="E231" i="5"/>
  <c r="D231" i="5"/>
  <c r="C231" i="5"/>
  <c r="B231" i="5"/>
  <c r="A231" i="5"/>
  <c r="BZ230" i="5"/>
  <c r="BY230" i="5"/>
  <c r="BX230" i="5"/>
  <c r="BW230" i="5"/>
  <c r="BV230" i="5"/>
  <c r="BU230" i="5"/>
  <c r="BT230" i="5"/>
  <c r="BS230" i="5"/>
  <c r="BR230" i="5"/>
  <c r="BQ230" i="5"/>
  <c r="BO230" i="5"/>
  <c r="BN230" i="5"/>
  <c r="BM230" i="5"/>
  <c r="BL230" i="5"/>
  <c r="BK230" i="5"/>
  <c r="BJ230" i="5"/>
  <c r="BI230" i="5"/>
  <c r="BH230" i="5"/>
  <c r="BG230" i="5"/>
  <c r="BF230" i="5"/>
  <c r="BD230" i="5"/>
  <c r="BC230" i="5"/>
  <c r="BB230" i="5"/>
  <c r="BA230" i="5"/>
  <c r="AZ230" i="5"/>
  <c r="AY230" i="5"/>
  <c r="AX230" i="5"/>
  <c r="AW230" i="5"/>
  <c r="AV230" i="5"/>
  <c r="AU230" i="5"/>
  <c r="AS230" i="5"/>
  <c r="AR230" i="5"/>
  <c r="AQ230" i="5"/>
  <c r="AP230" i="5"/>
  <c r="AO230" i="5"/>
  <c r="AN230" i="5"/>
  <c r="AM230" i="5"/>
  <c r="AL230" i="5"/>
  <c r="AK230" i="5"/>
  <c r="AJ230" i="5"/>
  <c r="AH230" i="5"/>
  <c r="AG230" i="5"/>
  <c r="AF230" i="5"/>
  <c r="AE230" i="5"/>
  <c r="AD230" i="5"/>
  <c r="AC230" i="5"/>
  <c r="AB230" i="5"/>
  <c r="AA230" i="5"/>
  <c r="Z230" i="5"/>
  <c r="Y230" i="5"/>
  <c r="W230" i="5"/>
  <c r="V230" i="5"/>
  <c r="U230" i="5"/>
  <c r="T230" i="5"/>
  <c r="S230" i="5"/>
  <c r="R230" i="5"/>
  <c r="Q230" i="5"/>
  <c r="P230" i="5"/>
  <c r="O230" i="5"/>
  <c r="N230" i="5"/>
  <c r="L230" i="5"/>
  <c r="K230" i="5"/>
  <c r="J230" i="5"/>
  <c r="I230" i="5"/>
  <c r="H230" i="5"/>
  <c r="G230" i="5"/>
  <c r="F230" i="5"/>
  <c r="E230" i="5"/>
  <c r="D230" i="5"/>
  <c r="C230" i="5"/>
  <c r="B230" i="5"/>
  <c r="A230" i="5"/>
  <c r="BZ229" i="5"/>
  <c r="BY229" i="5"/>
  <c r="BX229" i="5"/>
  <c r="BW229" i="5"/>
  <c r="BV229" i="5"/>
  <c r="BU229" i="5"/>
  <c r="BT229" i="5"/>
  <c r="BS229" i="5"/>
  <c r="BR229" i="5"/>
  <c r="BQ229" i="5"/>
  <c r="BO229" i="5"/>
  <c r="BN229" i="5"/>
  <c r="BM229" i="5"/>
  <c r="BL229" i="5"/>
  <c r="BK229" i="5"/>
  <c r="BJ229" i="5"/>
  <c r="BI229" i="5"/>
  <c r="BH229" i="5"/>
  <c r="BG229" i="5"/>
  <c r="BF229" i="5"/>
  <c r="BD229" i="5"/>
  <c r="BC229" i="5"/>
  <c r="BB229" i="5"/>
  <c r="BA229" i="5"/>
  <c r="AZ229" i="5"/>
  <c r="AY229" i="5"/>
  <c r="AX229" i="5"/>
  <c r="AW229" i="5"/>
  <c r="AV229" i="5"/>
  <c r="AU229" i="5"/>
  <c r="AS229" i="5"/>
  <c r="AR229" i="5"/>
  <c r="AQ229" i="5"/>
  <c r="AP229" i="5"/>
  <c r="AO229" i="5"/>
  <c r="AN229" i="5"/>
  <c r="AM229" i="5"/>
  <c r="AL229" i="5"/>
  <c r="AK229" i="5"/>
  <c r="AJ229" i="5"/>
  <c r="AH229" i="5"/>
  <c r="AG229" i="5"/>
  <c r="AF229" i="5"/>
  <c r="AE229" i="5"/>
  <c r="AD229" i="5"/>
  <c r="AC229" i="5"/>
  <c r="AB229" i="5"/>
  <c r="AA229" i="5"/>
  <c r="Z229" i="5"/>
  <c r="Y229" i="5"/>
  <c r="W229" i="5"/>
  <c r="V229" i="5"/>
  <c r="U229" i="5"/>
  <c r="T229" i="5"/>
  <c r="S229" i="5"/>
  <c r="R229" i="5"/>
  <c r="Q229" i="5"/>
  <c r="P229" i="5"/>
  <c r="O229" i="5"/>
  <c r="N229" i="5"/>
  <c r="L229" i="5"/>
  <c r="K229" i="5"/>
  <c r="J229" i="5"/>
  <c r="I229" i="5"/>
  <c r="H229" i="5"/>
  <c r="G229" i="5"/>
  <c r="F229" i="5"/>
  <c r="E229" i="5"/>
  <c r="D229" i="5"/>
  <c r="C229" i="5"/>
  <c r="B229" i="5"/>
  <c r="A229" i="5"/>
  <c r="BZ228" i="5"/>
  <c r="BY228" i="5"/>
  <c r="BX228" i="5"/>
  <c r="BW228" i="5"/>
  <c r="BV228" i="5"/>
  <c r="BU228" i="5"/>
  <c r="BT228" i="5"/>
  <c r="BS228" i="5"/>
  <c r="BR228" i="5"/>
  <c r="BQ228" i="5"/>
  <c r="BO228" i="5"/>
  <c r="BN228" i="5"/>
  <c r="BM228" i="5"/>
  <c r="BL228" i="5"/>
  <c r="BK228" i="5"/>
  <c r="BJ228" i="5"/>
  <c r="BI228" i="5"/>
  <c r="BH228" i="5"/>
  <c r="BG228" i="5"/>
  <c r="BF228" i="5"/>
  <c r="BD228" i="5"/>
  <c r="BC228" i="5"/>
  <c r="BB228" i="5"/>
  <c r="BA228" i="5"/>
  <c r="AZ228" i="5"/>
  <c r="AY228" i="5"/>
  <c r="AX228" i="5"/>
  <c r="AW228" i="5"/>
  <c r="AV228" i="5"/>
  <c r="AU228" i="5"/>
  <c r="AS228" i="5"/>
  <c r="AR228" i="5"/>
  <c r="AQ228" i="5"/>
  <c r="AP228" i="5"/>
  <c r="AO228" i="5"/>
  <c r="AN228" i="5"/>
  <c r="AM228" i="5"/>
  <c r="AL228" i="5"/>
  <c r="AK228" i="5"/>
  <c r="AJ228" i="5"/>
  <c r="AH228" i="5"/>
  <c r="AG228" i="5"/>
  <c r="AF228" i="5"/>
  <c r="AE228" i="5"/>
  <c r="AD228" i="5"/>
  <c r="AC228" i="5"/>
  <c r="AB228" i="5"/>
  <c r="AA228" i="5"/>
  <c r="Z228" i="5"/>
  <c r="Y228" i="5"/>
  <c r="W228" i="5"/>
  <c r="V228" i="5"/>
  <c r="U228" i="5"/>
  <c r="T228" i="5"/>
  <c r="S228" i="5"/>
  <c r="R228" i="5"/>
  <c r="Q228" i="5"/>
  <c r="P228" i="5"/>
  <c r="O228" i="5"/>
  <c r="N228" i="5"/>
  <c r="L228" i="5"/>
  <c r="K228" i="5"/>
  <c r="J228" i="5"/>
  <c r="I228" i="5"/>
  <c r="H228" i="5"/>
  <c r="G228" i="5"/>
  <c r="F228" i="5"/>
  <c r="E228" i="5"/>
  <c r="D228" i="5"/>
  <c r="C228" i="5"/>
  <c r="B228" i="5"/>
  <c r="A228" i="5"/>
  <c r="BZ227" i="5"/>
  <c r="BY227" i="5"/>
  <c r="BX227" i="5"/>
  <c r="BW227" i="5"/>
  <c r="BV227" i="5"/>
  <c r="BU227" i="5"/>
  <c r="BT227" i="5"/>
  <c r="BS227" i="5"/>
  <c r="BR227" i="5"/>
  <c r="BQ227" i="5"/>
  <c r="BO227" i="5"/>
  <c r="BN227" i="5"/>
  <c r="BM227" i="5"/>
  <c r="BL227" i="5"/>
  <c r="BK227" i="5"/>
  <c r="BJ227" i="5"/>
  <c r="BI227" i="5"/>
  <c r="BH227" i="5"/>
  <c r="BG227" i="5"/>
  <c r="BF227" i="5"/>
  <c r="BD227" i="5"/>
  <c r="BC227" i="5"/>
  <c r="BB227" i="5"/>
  <c r="BA227" i="5"/>
  <c r="AZ227" i="5"/>
  <c r="AY227" i="5"/>
  <c r="AX227" i="5"/>
  <c r="AW227" i="5"/>
  <c r="AV227" i="5"/>
  <c r="AU227" i="5"/>
  <c r="AS227" i="5"/>
  <c r="AR227" i="5"/>
  <c r="AQ227" i="5"/>
  <c r="AP227" i="5"/>
  <c r="AO227" i="5"/>
  <c r="AN227" i="5"/>
  <c r="AM227" i="5"/>
  <c r="AL227" i="5"/>
  <c r="AK227" i="5"/>
  <c r="AJ227" i="5"/>
  <c r="AH227" i="5"/>
  <c r="AG227" i="5"/>
  <c r="AF227" i="5"/>
  <c r="AE227" i="5"/>
  <c r="AD227" i="5"/>
  <c r="AC227" i="5"/>
  <c r="AB227" i="5"/>
  <c r="AA227" i="5"/>
  <c r="Z227" i="5"/>
  <c r="Y227" i="5"/>
  <c r="W227" i="5"/>
  <c r="V227" i="5"/>
  <c r="U227" i="5"/>
  <c r="T227" i="5"/>
  <c r="S227" i="5"/>
  <c r="R227" i="5"/>
  <c r="Q227" i="5"/>
  <c r="P227" i="5"/>
  <c r="O227" i="5"/>
  <c r="N227" i="5"/>
  <c r="L227" i="5"/>
  <c r="K227" i="5"/>
  <c r="J227" i="5"/>
  <c r="I227" i="5"/>
  <c r="H227" i="5"/>
  <c r="G227" i="5"/>
  <c r="F227" i="5"/>
  <c r="E227" i="5"/>
  <c r="D227" i="5"/>
  <c r="C227" i="5"/>
  <c r="B227" i="5"/>
  <c r="A227" i="5"/>
  <c r="BZ226" i="5"/>
  <c r="BY226" i="5"/>
  <c r="BX226" i="5"/>
  <c r="BW226" i="5"/>
  <c r="BV226" i="5"/>
  <c r="BU226" i="5"/>
  <c r="BT226" i="5"/>
  <c r="BS226" i="5"/>
  <c r="BR226" i="5"/>
  <c r="BQ226" i="5"/>
  <c r="BO226" i="5"/>
  <c r="BN226" i="5"/>
  <c r="BM226" i="5"/>
  <c r="BL226" i="5"/>
  <c r="BK226" i="5"/>
  <c r="BJ226" i="5"/>
  <c r="BI226" i="5"/>
  <c r="BH226" i="5"/>
  <c r="BG226" i="5"/>
  <c r="BF226" i="5"/>
  <c r="BD226" i="5"/>
  <c r="BC226" i="5"/>
  <c r="BB226" i="5"/>
  <c r="BA226" i="5"/>
  <c r="AZ226" i="5"/>
  <c r="AY226" i="5"/>
  <c r="AX226" i="5"/>
  <c r="AW226" i="5"/>
  <c r="AV226" i="5"/>
  <c r="AU226" i="5"/>
  <c r="AS226" i="5"/>
  <c r="AR226" i="5"/>
  <c r="AQ226" i="5"/>
  <c r="AP226" i="5"/>
  <c r="AO226" i="5"/>
  <c r="AN226" i="5"/>
  <c r="AM226" i="5"/>
  <c r="AL226" i="5"/>
  <c r="AK226" i="5"/>
  <c r="AJ226" i="5"/>
  <c r="AH226" i="5"/>
  <c r="AG226" i="5"/>
  <c r="AF226" i="5"/>
  <c r="AE226" i="5"/>
  <c r="AD226" i="5"/>
  <c r="AC226" i="5"/>
  <c r="AB226" i="5"/>
  <c r="AA226" i="5"/>
  <c r="Z226" i="5"/>
  <c r="Y226" i="5"/>
  <c r="W226" i="5"/>
  <c r="V226" i="5"/>
  <c r="U226" i="5"/>
  <c r="T226" i="5"/>
  <c r="S226" i="5"/>
  <c r="R226" i="5"/>
  <c r="Q226" i="5"/>
  <c r="P226" i="5"/>
  <c r="O226" i="5"/>
  <c r="N226" i="5"/>
  <c r="L226" i="5"/>
  <c r="K226" i="5"/>
  <c r="J226" i="5"/>
  <c r="I226" i="5"/>
  <c r="H226" i="5"/>
  <c r="G226" i="5"/>
  <c r="F226" i="5"/>
  <c r="E226" i="5"/>
  <c r="D226" i="5"/>
  <c r="C226" i="5"/>
  <c r="B226" i="5"/>
  <c r="A226" i="5"/>
  <c r="BZ225" i="5"/>
  <c r="BY225" i="5"/>
  <c r="BX225" i="5"/>
  <c r="BW225" i="5"/>
  <c r="BV225" i="5"/>
  <c r="BU225" i="5"/>
  <c r="BT225" i="5"/>
  <c r="BS225" i="5"/>
  <c r="BR225" i="5"/>
  <c r="BQ225" i="5"/>
  <c r="BO225" i="5"/>
  <c r="BN225" i="5"/>
  <c r="BM225" i="5"/>
  <c r="BL225" i="5"/>
  <c r="BK225" i="5"/>
  <c r="BJ225" i="5"/>
  <c r="BI225" i="5"/>
  <c r="BH225" i="5"/>
  <c r="BG225" i="5"/>
  <c r="BF225" i="5"/>
  <c r="BD225" i="5"/>
  <c r="BC225" i="5"/>
  <c r="BB225" i="5"/>
  <c r="BA225" i="5"/>
  <c r="AZ225" i="5"/>
  <c r="AY225" i="5"/>
  <c r="AX225" i="5"/>
  <c r="AW225" i="5"/>
  <c r="AV225" i="5"/>
  <c r="AU225" i="5"/>
  <c r="AS225" i="5"/>
  <c r="AR225" i="5"/>
  <c r="AQ225" i="5"/>
  <c r="AP225" i="5"/>
  <c r="AO225" i="5"/>
  <c r="AN225" i="5"/>
  <c r="AM225" i="5"/>
  <c r="AL225" i="5"/>
  <c r="AK225" i="5"/>
  <c r="AJ225" i="5"/>
  <c r="AH225" i="5"/>
  <c r="AG225" i="5"/>
  <c r="AF225" i="5"/>
  <c r="AE225" i="5"/>
  <c r="AD225" i="5"/>
  <c r="AC225" i="5"/>
  <c r="AB225" i="5"/>
  <c r="AA225" i="5"/>
  <c r="Z225" i="5"/>
  <c r="Y225" i="5"/>
  <c r="W225" i="5"/>
  <c r="V225" i="5"/>
  <c r="U225" i="5"/>
  <c r="T225" i="5"/>
  <c r="S225" i="5"/>
  <c r="R225" i="5"/>
  <c r="Q225" i="5"/>
  <c r="P225" i="5"/>
  <c r="O225" i="5"/>
  <c r="N225" i="5"/>
  <c r="L225" i="5"/>
  <c r="K225" i="5"/>
  <c r="J225" i="5"/>
  <c r="I225" i="5"/>
  <c r="H225" i="5"/>
  <c r="G225" i="5"/>
  <c r="F225" i="5"/>
  <c r="E225" i="5"/>
  <c r="D225" i="5"/>
  <c r="C225" i="5"/>
  <c r="B225" i="5"/>
  <c r="A225" i="5"/>
  <c r="BZ224" i="5"/>
  <c r="BY224" i="5"/>
  <c r="BX224" i="5"/>
  <c r="BW224" i="5"/>
  <c r="BV224" i="5"/>
  <c r="BU224" i="5"/>
  <c r="BT224" i="5"/>
  <c r="BS224" i="5"/>
  <c r="BR224" i="5"/>
  <c r="BQ224" i="5"/>
  <c r="BO224" i="5"/>
  <c r="BN224" i="5"/>
  <c r="BM224" i="5"/>
  <c r="BL224" i="5"/>
  <c r="BK224" i="5"/>
  <c r="BJ224" i="5"/>
  <c r="BI224" i="5"/>
  <c r="BH224" i="5"/>
  <c r="BG224" i="5"/>
  <c r="BF224" i="5"/>
  <c r="BD224" i="5"/>
  <c r="BC224" i="5"/>
  <c r="BB224" i="5"/>
  <c r="BA224" i="5"/>
  <c r="AZ224" i="5"/>
  <c r="AY224" i="5"/>
  <c r="AX224" i="5"/>
  <c r="AW224" i="5"/>
  <c r="AV224" i="5"/>
  <c r="AU224" i="5"/>
  <c r="AS224" i="5"/>
  <c r="AR224" i="5"/>
  <c r="AQ224" i="5"/>
  <c r="AP224" i="5"/>
  <c r="AO224" i="5"/>
  <c r="AN224" i="5"/>
  <c r="AM224" i="5"/>
  <c r="AL224" i="5"/>
  <c r="AK224" i="5"/>
  <c r="AJ224" i="5"/>
  <c r="AH224" i="5"/>
  <c r="AG224" i="5"/>
  <c r="AF224" i="5"/>
  <c r="AE224" i="5"/>
  <c r="AD224" i="5"/>
  <c r="AC224" i="5"/>
  <c r="AB224" i="5"/>
  <c r="AA224" i="5"/>
  <c r="Z224" i="5"/>
  <c r="Y224" i="5"/>
  <c r="W224" i="5"/>
  <c r="V224" i="5"/>
  <c r="U224" i="5"/>
  <c r="T224" i="5"/>
  <c r="S224" i="5"/>
  <c r="R224" i="5"/>
  <c r="Q224" i="5"/>
  <c r="P224" i="5"/>
  <c r="O224" i="5"/>
  <c r="N224" i="5"/>
  <c r="L224" i="5"/>
  <c r="K224" i="5"/>
  <c r="J224" i="5"/>
  <c r="I224" i="5"/>
  <c r="H224" i="5"/>
  <c r="G224" i="5"/>
  <c r="F224" i="5"/>
  <c r="E224" i="5"/>
  <c r="D224" i="5"/>
  <c r="C224" i="5"/>
  <c r="B224" i="5"/>
  <c r="A224" i="5"/>
  <c r="BZ223" i="5"/>
  <c r="BY223" i="5"/>
  <c r="BX223" i="5"/>
  <c r="BW223" i="5"/>
  <c r="BV223" i="5"/>
  <c r="BU223" i="5"/>
  <c r="BT223" i="5"/>
  <c r="BS223" i="5"/>
  <c r="BR223" i="5"/>
  <c r="BQ223" i="5"/>
  <c r="BO223" i="5"/>
  <c r="BN223" i="5"/>
  <c r="BM223" i="5"/>
  <c r="BL223" i="5"/>
  <c r="BK223" i="5"/>
  <c r="BJ223" i="5"/>
  <c r="BI223" i="5"/>
  <c r="BH223" i="5"/>
  <c r="BG223" i="5"/>
  <c r="BF223" i="5"/>
  <c r="BD223" i="5"/>
  <c r="BC223" i="5"/>
  <c r="BB223" i="5"/>
  <c r="BA223" i="5"/>
  <c r="AZ223" i="5"/>
  <c r="AY223" i="5"/>
  <c r="AX223" i="5"/>
  <c r="AW223" i="5"/>
  <c r="AV223" i="5"/>
  <c r="AU223" i="5"/>
  <c r="AS223" i="5"/>
  <c r="AR223" i="5"/>
  <c r="AQ223" i="5"/>
  <c r="AP223" i="5"/>
  <c r="AO223" i="5"/>
  <c r="AN223" i="5"/>
  <c r="AM223" i="5"/>
  <c r="AL223" i="5"/>
  <c r="AK223" i="5"/>
  <c r="AJ223" i="5"/>
  <c r="AH223" i="5"/>
  <c r="AG223" i="5"/>
  <c r="AF223" i="5"/>
  <c r="AE223" i="5"/>
  <c r="AD223" i="5"/>
  <c r="AC223" i="5"/>
  <c r="AB223" i="5"/>
  <c r="AA223" i="5"/>
  <c r="Z223" i="5"/>
  <c r="Y223" i="5"/>
  <c r="W223" i="5"/>
  <c r="V223" i="5"/>
  <c r="U223" i="5"/>
  <c r="T223" i="5"/>
  <c r="S223" i="5"/>
  <c r="R223" i="5"/>
  <c r="Q223" i="5"/>
  <c r="P223" i="5"/>
  <c r="O223" i="5"/>
  <c r="N223" i="5"/>
  <c r="L223" i="5"/>
  <c r="K223" i="5"/>
  <c r="J223" i="5"/>
  <c r="I223" i="5"/>
  <c r="H223" i="5"/>
  <c r="G223" i="5"/>
  <c r="F223" i="5"/>
  <c r="E223" i="5"/>
  <c r="D223" i="5"/>
  <c r="C223" i="5"/>
  <c r="B223" i="5"/>
  <c r="A223" i="5"/>
  <c r="BZ222" i="5"/>
  <c r="BY222" i="5"/>
  <c r="BX222" i="5"/>
  <c r="BW222" i="5"/>
  <c r="BV222" i="5"/>
  <c r="BU222" i="5"/>
  <c r="BT222" i="5"/>
  <c r="BS222" i="5"/>
  <c r="BR222" i="5"/>
  <c r="BQ222" i="5"/>
  <c r="BO222" i="5"/>
  <c r="BN222" i="5"/>
  <c r="BM222" i="5"/>
  <c r="BL222" i="5"/>
  <c r="BK222" i="5"/>
  <c r="BJ222" i="5"/>
  <c r="BI222" i="5"/>
  <c r="BH222" i="5"/>
  <c r="BG222" i="5"/>
  <c r="BF222" i="5"/>
  <c r="BD222" i="5"/>
  <c r="BC222" i="5"/>
  <c r="BB222" i="5"/>
  <c r="BA222" i="5"/>
  <c r="AZ222" i="5"/>
  <c r="AY222" i="5"/>
  <c r="AX222" i="5"/>
  <c r="AW222" i="5"/>
  <c r="AV222" i="5"/>
  <c r="AU222" i="5"/>
  <c r="AS222" i="5"/>
  <c r="AR222" i="5"/>
  <c r="AQ222" i="5"/>
  <c r="AP222" i="5"/>
  <c r="AO222" i="5"/>
  <c r="AN222" i="5"/>
  <c r="AM222" i="5"/>
  <c r="AL222" i="5"/>
  <c r="AK222" i="5"/>
  <c r="AJ222" i="5"/>
  <c r="AH222" i="5"/>
  <c r="AG222" i="5"/>
  <c r="AF222" i="5"/>
  <c r="AE222" i="5"/>
  <c r="AD222" i="5"/>
  <c r="AC222" i="5"/>
  <c r="AB222" i="5"/>
  <c r="AA222" i="5"/>
  <c r="Z222" i="5"/>
  <c r="Y222" i="5"/>
  <c r="W222" i="5"/>
  <c r="V222" i="5"/>
  <c r="U222" i="5"/>
  <c r="T222" i="5"/>
  <c r="S222" i="5"/>
  <c r="R222" i="5"/>
  <c r="Q222" i="5"/>
  <c r="P222" i="5"/>
  <c r="O222" i="5"/>
  <c r="N222" i="5"/>
  <c r="L222" i="5"/>
  <c r="K222" i="5"/>
  <c r="J222" i="5"/>
  <c r="I222" i="5"/>
  <c r="H222" i="5"/>
  <c r="G222" i="5"/>
  <c r="F222" i="5"/>
  <c r="E222" i="5"/>
  <c r="D222" i="5"/>
  <c r="C222" i="5"/>
  <c r="B222" i="5"/>
  <c r="A222" i="5"/>
  <c r="BZ221" i="5"/>
  <c r="BY221" i="5"/>
  <c r="BX221" i="5"/>
  <c r="BW221" i="5"/>
  <c r="BV221" i="5"/>
  <c r="BU221" i="5"/>
  <c r="BT221" i="5"/>
  <c r="BS221" i="5"/>
  <c r="BR221" i="5"/>
  <c r="BQ221" i="5"/>
  <c r="BO221" i="5"/>
  <c r="BN221" i="5"/>
  <c r="BM221" i="5"/>
  <c r="BL221" i="5"/>
  <c r="BK221" i="5"/>
  <c r="BJ221" i="5"/>
  <c r="BI221" i="5"/>
  <c r="BH221" i="5"/>
  <c r="BG221" i="5"/>
  <c r="BF221" i="5"/>
  <c r="BD221" i="5"/>
  <c r="BC221" i="5"/>
  <c r="BB221" i="5"/>
  <c r="BA221" i="5"/>
  <c r="AZ221" i="5"/>
  <c r="AY221" i="5"/>
  <c r="AX221" i="5"/>
  <c r="AW221" i="5"/>
  <c r="AV221" i="5"/>
  <c r="AU221" i="5"/>
  <c r="AS221" i="5"/>
  <c r="AR221" i="5"/>
  <c r="AQ221" i="5"/>
  <c r="AP221" i="5"/>
  <c r="AO221" i="5"/>
  <c r="AN221" i="5"/>
  <c r="AM221" i="5"/>
  <c r="AL221" i="5"/>
  <c r="AK221" i="5"/>
  <c r="AJ221" i="5"/>
  <c r="AH221" i="5"/>
  <c r="AG221" i="5"/>
  <c r="AF221" i="5"/>
  <c r="AE221" i="5"/>
  <c r="AD221" i="5"/>
  <c r="AC221" i="5"/>
  <c r="AB221" i="5"/>
  <c r="AA221" i="5"/>
  <c r="Z221" i="5"/>
  <c r="Y221" i="5"/>
  <c r="W221" i="5"/>
  <c r="V221" i="5"/>
  <c r="U221" i="5"/>
  <c r="T221" i="5"/>
  <c r="S221" i="5"/>
  <c r="R221" i="5"/>
  <c r="Q221" i="5"/>
  <c r="P221" i="5"/>
  <c r="O221" i="5"/>
  <c r="N221" i="5"/>
  <c r="L221" i="5"/>
  <c r="K221" i="5"/>
  <c r="J221" i="5"/>
  <c r="I221" i="5"/>
  <c r="H221" i="5"/>
  <c r="G221" i="5"/>
  <c r="F221" i="5"/>
  <c r="E221" i="5"/>
  <c r="D221" i="5"/>
  <c r="C221" i="5"/>
  <c r="B221" i="5"/>
  <c r="A221" i="5"/>
  <c r="BZ220" i="5"/>
  <c r="BY220" i="5"/>
  <c r="BX220" i="5"/>
  <c r="BW220" i="5"/>
  <c r="BV220" i="5"/>
  <c r="BU220" i="5"/>
  <c r="BT220" i="5"/>
  <c r="BS220" i="5"/>
  <c r="BR220" i="5"/>
  <c r="BQ220" i="5"/>
  <c r="BO220" i="5"/>
  <c r="BN220" i="5"/>
  <c r="BM220" i="5"/>
  <c r="BL220" i="5"/>
  <c r="BK220" i="5"/>
  <c r="BJ220" i="5"/>
  <c r="BI220" i="5"/>
  <c r="BH220" i="5"/>
  <c r="BG220" i="5"/>
  <c r="BF220" i="5"/>
  <c r="BD220" i="5"/>
  <c r="BC220" i="5"/>
  <c r="BB220" i="5"/>
  <c r="BA220" i="5"/>
  <c r="AZ220" i="5"/>
  <c r="AY220" i="5"/>
  <c r="AX220" i="5"/>
  <c r="AW220" i="5"/>
  <c r="AV220" i="5"/>
  <c r="AU220" i="5"/>
  <c r="AS220" i="5"/>
  <c r="AR220" i="5"/>
  <c r="AQ220" i="5"/>
  <c r="AP220" i="5"/>
  <c r="AO220" i="5"/>
  <c r="AN220" i="5"/>
  <c r="AM220" i="5"/>
  <c r="AL220" i="5"/>
  <c r="AK220" i="5"/>
  <c r="AJ220" i="5"/>
  <c r="AH220" i="5"/>
  <c r="AG220" i="5"/>
  <c r="AF220" i="5"/>
  <c r="AE220" i="5"/>
  <c r="AD220" i="5"/>
  <c r="AC220" i="5"/>
  <c r="AB220" i="5"/>
  <c r="AA220" i="5"/>
  <c r="Z220" i="5"/>
  <c r="Y220" i="5"/>
  <c r="W220" i="5"/>
  <c r="V220" i="5"/>
  <c r="U220" i="5"/>
  <c r="T220" i="5"/>
  <c r="S220" i="5"/>
  <c r="R220" i="5"/>
  <c r="Q220" i="5"/>
  <c r="P220" i="5"/>
  <c r="O220" i="5"/>
  <c r="N220" i="5"/>
  <c r="L220" i="5"/>
  <c r="K220" i="5"/>
  <c r="J220" i="5"/>
  <c r="I220" i="5"/>
  <c r="H220" i="5"/>
  <c r="G220" i="5"/>
  <c r="F220" i="5"/>
  <c r="E220" i="5"/>
  <c r="D220" i="5"/>
  <c r="C220" i="5"/>
  <c r="B220" i="5"/>
  <c r="A220" i="5"/>
  <c r="BZ219" i="5"/>
  <c r="BY219" i="5"/>
  <c r="BX219" i="5"/>
  <c r="BW219" i="5"/>
  <c r="BV219" i="5"/>
  <c r="BU219" i="5"/>
  <c r="BT219" i="5"/>
  <c r="BS219" i="5"/>
  <c r="BR219" i="5"/>
  <c r="BQ219" i="5"/>
  <c r="BO219" i="5"/>
  <c r="BN219" i="5"/>
  <c r="BM219" i="5"/>
  <c r="BL219" i="5"/>
  <c r="BK219" i="5"/>
  <c r="BJ219" i="5"/>
  <c r="BI219" i="5"/>
  <c r="BH219" i="5"/>
  <c r="BG219" i="5"/>
  <c r="BF219" i="5"/>
  <c r="BD219" i="5"/>
  <c r="BC219" i="5"/>
  <c r="BB219" i="5"/>
  <c r="BA219" i="5"/>
  <c r="AZ219" i="5"/>
  <c r="AY219" i="5"/>
  <c r="AX219" i="5"/>
  <c r="AW219" i="5"/>
  <c r="AV219" i="5"/>
  <c r="AU219" i="5"/>
  <c r="AS219" i="5"/>
  <c r="AR219" i="5"/>
  <c r="AQ219" i="5"/>
  <c r="AP219" i="5"/>
  <c r="AO219" i="5"/>
  <c r="AN219" i="5"/>
  <c r="AM219" i="5"/>
  <c r="AL219" i="5"/>
  <c r="AK219" i="5"/>
  <c r="AJ219" i="5"/>
  <c r="AH219" i="5"/>
  <c r="AG219" i="5"/>
  <c r="AF219" i="5"/>
  <c r="AE219" i="5"/>
  <c r="AD219" i="5"/>
  <c r="AC219" i="5"/>
  <c r="AB219" i="5"/>
  <c r="AA219" i="5"/>
  <c r="Z219" i="5"/>
  <c r="Y219" i="5"/>
  <c r="W219" i="5"/>
  <c r="V219" i="5"/>
  <c r="U219" i="5"/>
  <c r="T219" i="5"/>
  <c r="S219" i="5"/>
  <c r="R219" i="5"/>
  <c r="Q219" i="5"/>
  <c r="P219" i="5"/>
  <c r="O219" i="5"/>
  <c r="N219" i="5"/>
  <c r="L219" i="5"/>
  <c r="K219" i="5"/>
  <c r="J219" i="5"/>
  <c r="I219" i="5"/>
  <c r="H219" i="5"/>
  <c r="G219" i="5"/>
  <c r="F219" i="5"/>
  <c r="E219" i="5"/>
  <c r="D219" i="5"/>
  <c r="C219" i="5"/>
  <c r="B219" i="5"/>
  <c r="A219" i="5"/>
  <c r="BZ218" i="5"/>
  <c r="BY218" i="5"/>
  <c r="BX218" i="5"/>
  <c r="BW218" i="5"/>
  <c r="BV218" i="5"/>
  <c r="BU218" i="5"/>
  <c r="BT218" i="5"/>
  <c r="BS218" i="5"/>
  <c r="BR218" i="5"/>
  <c r="BQ218" i="5"/>
  <c r="BO218" i="5"/>
  <c r="BN218" i="5"/>
  <c r="BM218" i="5"/>
  <c r="BL218" i="5"/>
  <c r="BK218" i="5"/>
  <c r="BJ218" i="5"/>
  <c r="BI218" i="5"/>
  <c r="BH218" i="5"/>
  <c r="BG218" i="5"/>
  <c r="BF218" i="5"/>
  <c r="BD218" i="5"/>
  <c r="BC218" i="5"/>
  <c r="BB218" i="5"/>
  <c r="BA218" i="5"/>
  <c r="AZ218" i="5"/>
  <c r="AY218" i="5"/>
  <c r="AX218" i="5"/>
  <c r="AW218" i="5"/>
  <c r="AV218" i="5"/>
  <c r="AU218" i="5"/>
  <c r="AS218" i="5"/>
  <c r="AR218" i="5"/>
  <c r="AQ218" i="5"/>
  <c r="AP218" i="5"/>
  <c r="AO218" i="5"/>
  <c r="AN218" i="5"/>
  <c r="AM218" i="5"/>
  <c r="AL218" i="5"/>
  <c r="AK218" i="5"/>
  <c r="AJ218" i="5"/>
  <c r="AH218" i="5"/>
  <c r="AG218" i="5"/>
  <c r="AF218" i="5"/>
  <c r="AE218" i="5"/>
  <c r="AD218" i="5"/>
  <c r="AC218" i="5"/>
  <c r="AB218" i="5"/>
  <c r="AA218" i="5"/>
  <c r="Z218" i="5"/>
  <c r="Y218" i="5"/>
  <c r="W218" i="5"/>
  <c r="V218" i="5"/>
  <c r="U218" i="5"/>
  <c r="T218" i="5"/>
  <c r="S218" i="5"/>
  <c r="R218" i="5"/>
  <c r="Q218" i="5"/>
  <c r="P218" i="5"/>
  <c r="O218" i="5"/>
  <c r="N218" i="5"/>
  <c r="L218" i="5"/>
  <c r="K218" i="5"/>
  <c r="J218" i="5"/>
  <c r="I218" i="5"/>
  <c r="H218" i="5"/>
  <c r="G218" i="5"/>
  <c r="F218" i="5"/>
  <c r="E218" i="5"/>
  <c r="D218" i="5"/>
  <c r="C218" i="5"/>
  <c r="B218" i="5"/>
  <c r="A218" i="5"/>
  <c r="BZ217" i="5"/>
  <c r="BY217" i="5"/>
  <c r="BX217" i="5"/>
  <c r="BW217" i="5"/>
  <c r="BV217" i="5"/>
  <c r="BU217" i="5"/>
  <c r="BT217" i="5"/>
  <c r="BS217" i="5"/>
  <c r="BR217" i="5"/>
  <c r="BQ217" i="5"/>
  <c r="BO217" i="5"/>
  <c r="BN217" i="5"/>
  <c r="BM217" i="5"/>
  <c r="BL217" i="5"/>
  <c r="BK217" i="5"/>
  <c r="BJ217" i="5"/>
  <c r="BI217" i="5"/>
  <c r="BH217" i="5"/>
  <c r="BG217" i="5"/>
  <c r="BF217" i="5"/>
  <c r="BD217" i="5"/>
  <c r="BC217" i="5"/>
  <c r="BB217" i="5"/>
  <c r="BA217" i="5"/>
  <c r="AZ217" i="5"/>
  <c r="AY217" i="5"/>
  <c r="AX217" i="5"/>
  <c r="AW217" i="5"/>
  <c r="AV217" i="5"/>
  <c r="AU217" i="5"/>
  <c r="AS217" i="5"/>
  <c r="AR217" i="5"/>
  <c r="AQ217" i="5"/>
  <c r="AP217" i="5"/>
  <c r="AO217" i="5"/>
  <c r="AN217" i="5"/>
  <c r="AM217" i="5"/>
  <c r="AL217" i="5"/>
  <c r="AK217" i="5"/>
  <c r="AJ217" i="5"/>
  <c r="AH217" i="5"/>
  <c r="AG217" i="5"/>
  <c r="AF217" i="5"/>
  <c r="AE217" i="5"/>
  <c r="AD217" i="5"/>
  <c r="AC217" i="5"/>
  <c r="AB217" i="5"/>
  <c r="AA217" i="5"/>
  <c r="Z217" i="5"/>
  <c r="Y217" i="5"/>
  <c r="W217" i="5"/>
  <c r="V217" i="5"/>
  <c r="U217" i="5"/>
  <c r="T217" i="5"/>
  <c r="S217" i="5"/>
  <c r="R217" i="5"/>
  <c r="Q217" i="5"/>
  <c r="P217" i="5"/>
  <c r="O217" i="5"/>
  <c r="N217" i="5"/>
  <c r="L217" i="5"/>
  <c r="K217" i="5"/>
  <c r="J217" i="5"/>
  <c r="I217" i="5"/>
  <c r="H217" i="5"/>
  <c r="G217" i="5"/>
  <c r="F217" i="5"/>
  <c r="E217" i="5"/>
  <c r="D217" i="5"/>
  <c r="C217" i="5"/>
  <c r="B217" i="5"/>
  <c r="A217" i="5"/>
  <c r="BZ216" i="5"/>
  <c r="BY216" i="5"/>
  <c r="BX216" i="5"/>
  <c r="BW216" i="5"/>
  <c r="BV216" i="5"/>
  <c r="BU216" i="5"/>
  <c r="BT216" i="5"/>
  <c r="BS216" i="5"/>
  <c r="BR216" i="5"/>
  <c r="BQ216" i="5"/>
  <c r="BO216" i="5"/>
  <c r="BN216" i="5"/>
  <c r="BM216" i="5"/>
  <c r="BL216" i="5"/>
  <c r="BK216" i="5"/>
  <c r="BJ216" i="5"/>
  <c r="BI216" i="5"/>
  <c r="BH216" i="5"/>
  <c r="BG216" i="5"/>
  <c r="BF216" i="5"/>
  <c r="BD216" i="5"/>
  <c r="BC216" i="5"/>
  <c r="BB216" i="5"/>
  <c r="BA216" i="5"/>
  <c r="AZ216" i="5"/>
  <c r="AY216" i="5"/>
  <c r="AX216" i="5"/>
  <c r="AW216" i="5"/>
  <c r="AV216" i="5"/>
  <c r="AU216" i="5"/>
  <c r="AS216" i="5"/>
  <c r="AR216" i="5"/>
  <c r="AQ216" i="5"/>
  <c r="AP216" i="5"/>
  <c r="AO216" i="5"/>
  <c r="AN216" i="5"/>
  <c r="AM216" i="5"/>
  <c r="AL216" i="5"/>
  <c r="AK216" i="5"/>
  <c r="AJ216" i="5"/>
  <c r="AH216" i="5"/>
  <c r="AG216" i="5"/>
  <c r="AF216" i="5"/>
  <c r="AE216" i="5"/>
  <c r="AD216" i="5"/>
  <c r="AC216" i="5"/>
  <c r="AB216" i="5"/>
  <c r="AA216" i="5"/>
  <c r="Z216" i="5"/>
  <c r="Y216" i="5"/>
  <c r="W216" i="5"/>
  <c r="V216" i="5"/>
  <c r="U216" i="5"/>
  <c r="T216" i="5"/>
  <c r="S216" i="5"/>
  <c r="R216" i="5"/>
  <c r="Q216" i="5"/>
  <c r="P216" i="5"/>
  <c r="O216" i="5"/>
  <c r="N216" i="5"/>
  <c r="L216" i="5"/>
  <c r="K216" i="5"/>
  <c r="J216" i="5"/>
  <c r="I216" i="5"/>
  <c r="H216" i="5"/>
  <c r="G216" i="5"/>
  <c r="F216" i="5"/>
  <c r="E216" i="5"/>
  <c r="D216" i="5"/>
  <c r="C216" i="5"/>
  <c r="B216" i="5"/>
  <c r="A216" i="5"/>
  <c r="BZ215" i="5"/>
  <c r="BY215" i="5"/>
  <c r="BX215" i="5"/>
  <c r="BW215" i="5"/>
  <c r="BV215" i="5"/>
  <c r="BU215" i="5"/>
  <c r="BT215" i="5"/>
  <c r="BS215" i="5"/>
  <c r="BR215" i="5"/>
  <c r="BQ215" i="5"/>
  <c r="BO215" i="5"/>
  <c r="BN215" i="5"/>
  <c r="BM215" i="5"/>
  <c r="BL215" i="5"/>
  <c r="BK215" i="5"/>
  <c r="BJ215" i="5"/>
  <c r="BI215" i="5"/>
  <c r="BH215" i="5"/>
  <c r="BG215" i="5"/>
  <c r="BF215" i="5"/>
  <c r="BD215" i="5"/>
  <c r="BC215" i="5"/>
  <c r="BB215" i="5"/>
  <c r="BA215" i="5"/>
  <c r="AZ215" i="5"/>
  <c r="AY215" i="5"/>
  <c r="AX215" i="5"/>
  <c r="AW215" i="5"/>
  <c r="AV215" i="5"/>
  <c r="AU215" i="5"/>
  <c r="AS215" i="5"/>
  <c r="AR215" i="5"/>
  <c r="AQ215" i="5"/>
  <c r="AP215" i="5"/>
  <c r="AO215" i="5"/>
  <c r="AN215" i="5"/>
  <c r="AM215" i="5"/>
  <c r="AL215" i="5"/>
  <c r="AK215" i="5"/>
  <c r="AJ215" i="5"/>
  <c r="AH215" i="5"/>
  <c r="AG215" i="5"/>
  <c r="AF215" i="5"/>
  <c r="AE215" i="5"/>
  <c r="AD215" i="5"/>
  <c r="AC215" i="5"/>
  <c r="AB215" i="5"/>
  <c r="AA215" i="5"/>
  <c r="Z215" i="5"/>
  <c r="Y215" i="5"/>
  <c r="W215" i="5"/>
  <c r="V215" i="5"/>
  <c r="U215" i="5"/>
  <c r="T215" i="5"/>
  <c r="S215" i="5"/>
  <c r="R215" i="5"/>
  <c r="Q215" i="5"/>
  <c r="P215" i="5"/>
  <c r="O215" i="5"/>
  <c r="N215" i="5"/>
  <c r="L215" i="5"/>
  <c r="K215" i="5"/>
  <c r="J215" i="5"/>
  <c r="I215" i="5"/>
  <c r="H215" i="5"/>
  <c r="G215" i="5"/>
  <c r="F215" i="5"/>
  <c r="E215" i="5"/>
  <c r="D215" i="5"/>
  <c r="C215" i="5"/>
  <c r="B215" i="5"/>
  <c r="A215" i="5"/>
  <c r="BZ214" i="5"/>
  <c r="BY214" i="5"/>
  <c r="BX214" i="5"/>
  <c r="BW214" i="5"/>
  <c r="BV214" i="5"/>
  <c r="BU214" i="5"/>
  <c r="BT214" i="5"/>
  <c r="BS214" i="5"/>
  <c r="BR214" i="5"/>
  <c r="BQ214" i="5"/>
  <c r="BO214" i="5"/>
  <c r="BN214" i="5"/>
  <c r="BM214" i="5"/>
  <c r="BL214" i="5"/>
  <c r="BK214" i="5"/>
  <c r="BJ214" i="5"/>
  <c r="BI214" i="5"/>
  <c r="BH214" i="5"/>
  <c r="BG214" i="5"/>
  <c r="BF214" i="5"/>
  <c r="BD214" i="5"/>
  <c r="BC214" i="5"/>
  <c r="BB214" i="5"/>
  <c r="BA214" i="5"/>
  <c r="AZ214" i="5"/>
  <c r="AY214" i="5"/>
  <c r="AX214" i="5"/>
  <c r="AW214" i="5"/>
  <c r="AV214" i="5"/>
  <c r="AU214" i="5"/>
  <c r="AS214" i="5"/>
  <c r="AR214" i="5"/>
  <c r="AQ214" i="5"/>
  <c r="AP214" i="5"/>
  <c r="AO214" i="5"/>
  <c r="AN214" i="5"/>
  <c r="AM214" i="5"/>
  <c r="AL214" i="5"/>
  <c r="AK214" i="5"/>
  <c r="AJ214" i="5"/>
  <c r="AH214" i="5"/>
  <c r="AG214" i="5"/>
  <c r="AF214" i="5"/>
  <c r="AE214" i="5"/>
  <c r="AD214" i="5"/>
  <c r="AC214" i="5"/>
  <c r="AB214" i="5"/>
  <c r="AA214" i="5"/>
  <c r="Z214" i="5"/>
  <c r="Y214" i="5"/>
  <c r="W214" i="5"/>
  <c r="V214" i="5"/>
  <c r="U214" i="5"/>
  <c r="T214" i="5"/>
  <c r="S214" i="5"/>
  <c r="R214" i="5"/>
  <c r="Q214" i="5"/>
  <c r="P214" i="5"/>
  <c r="O214" i="5"/>
  <c r="N214" i="5"/>
  <c r="L214" i="5"/>
  <c r="K214" i="5"/>
  <c r="J214" i="5"/>
  <c r="I214" i="5"/>
  <c r="H214" i="5"/>
  <c r="G214" i="5"/>
  <c r="F214" i="5"/>
  <c r="E214" i="5"/>
  <c r="D214" i="5"/>
  <c r="C214" i="5"/>
  <c r="B214" i="5"/>
  <c r="A214" i="5"/>
  <c r="BZ213" i="5"/>
  <c r="BY213" i="5"/>
  <c r="BX213" i="5"/>
  <c r="BW213" i="5"/>
  <c r="BV213" i="5"/>
  <c r="BU213" i="5"/>
  <c r="BT213" i="5"/>
  <c r="BS213" i="5"/>
  <c r="BR213" i="5"/>
  <c r="BQ213" i="5"/>
  <c r="BO213" i="5"/>
  <c r="BN213" i="5"/>
  <c r="BM213" i="5"/>
  <c r="BL213" i="5"/>
  <c r="BK213" i="5"/>
  <c r="BJ213" i="5"/>
  <c r="BI213" i="5"/>
  <c r="BH213" i="5"/>
  <c r="BG213" i="5"/>
  <c r="BF213" i="5"/>
  <c r="BD213" i="5"/>
  <c r="BC213" i="5"/>
  <c r="BB213" i="5"/>
  <c r="BA213" i="5"/>
  <c r="AZ213" i="5"/>
  <c r="AY213" i="5"/>
  <c r="AX213" i="5"/>
  <c r="AW213" i="5"/>
  <c r="AV213" i="5"/>
  <c r="AU213" i="5"/>
  <c r="AS213" i="5"/>
  <c r="AR213" i="5"/>
  <c r="AQ213" i="5"/>
  <c r="AP213" i="5"/>
  <c r="AO213" i="5"/>
  <c r="AN213" i="5"/>
  <c r="AM213" i="5"/>
  <c r="AL213" i="5"/>
  <c r="AK213" i="5"/>
  <c r="AJ213" i="5"/>
  <c r="AH213" i="5"/>
  <c r="AG213" i="5"/>
  <c r="AF213" i="5"/>
  <c r="AE213" i="5"/>
  <c r="AD213" i="5"/>
  <c r="AC213" i="5"/>
  <c r="AB213" i="5"/>
  <c r="AA213" i="5"/>
  <c r="Z213" i="5"/>
  <c r="Y213" i="5"/>
  <c r="W213" i="5"/>
  <c r="V213" i="5"/>
  <c r="U213" i="5"/>
  <c r="T213" i="5"/>
  <c r="S213" i="5"/>
  <c r="R213" i="5"/>
  <c r="Q213" i="5"/>
  <c r="P213" i="5"/>
  <c r="O213" i="5"/>
  <c r="N213" i="5"/>
  <c r="L213" i="5"/>
  <c r="K213" i="5"/>
  <c r="J213" i="5"/>
  <c r="I213" i="5"/>
  <c r="H213" i="5"/>
  <c r="G213" i="5"/>
  <c r="F213" i="5"/>
  <c r="E213" i="5"/>
  <c r="D213" i="5"/>
  <c r="C213" i="5"/>
  <c r="B213" i="5"/>
  <c r="A213" i="5"/>
  <c r="BZ212" i="5"/>
  <c r="BY212" i="5"/>
  <c r="BX212" i="5"/>
  <c r="BW212" i="5"/>
  <c r="BV212" i="5"/>
  <c r="BU212" i="5"/>
  <c r="BT212" i="5"/>
  <c r="BS212" i="5"/>
  <c r="BR212" i="5"/>
  <c r="BQ212" i="5"/>
  <c r="BO212" i="5"/>
  <c r="BN212" i="5"/>
  <c r="BM212" i="5"/>
  <c r="BL212" i="5"/>
  <c r="BK212" i="5"/>
  <c r="BJ212" i="5"/>
  <c r="BI212" i="5"/>
  <c r="BH212" i="5"/>
  <c r="BG212" i="5"/>
  <c r="BF212" i="5"/>
  <c r="BD212" i="5"/>
  <c r="BC212" i="5"/>
  <c r="BB212" i="5"/>
  <c r="BA212" i="5"/>
  <c r="AZ212" i="5"/>
  <c r="AY212" i="5"/>
  <c r="AX212" i="5"/>
  <c r="AW212" i="5"/>
  <c r="AV212" i="5"/>
  <c r="AU212" i="5"/>
  <c r="AS212" i="5"/>
  <c r="AR212" i="5"/>
  <c r="AQ212" i="5"/>
  <c r="AP212" i="5"/>
  <c r="AO212" i="5"/>
  <c r="AN212" i="5"/>
  <c r="AM212" i="5"/>
  <c r="AL212" i="5"/>
  <c r="AK212" i="5"/>
  <c r="AJ212" i="5"/>
  <c r="AH212" i="5"/>
  <c r="AG212" i="5"/>
  <c r="AF212" i="5"/>
  <c r="AE212" i="5"/>
  <c r="AD212" i="5"/>
  <c r="AC212" i="5"/>
  <c r="AB212" i="5"/>
  <c r="AA212" i="5"/>
  <c r="Z212" i="5"/>
  <c r="Y212" i="5"/>
  <c r="W212" i="5"/>
  <c r="V212" i="5"/>
  <c r="U212" i="5"/>
  <c r="T212" i="5"/>
  <c r="S212" i="5"/>
  <c r="R212" i="5"/>
  <c r="Q212" i="5"/>
  <c r="P212" i="5"/>
  <c r="O212" i="5"/>
  <c r="N212" i="5"/>
  <c r="L212" i="5"/>
  <c r="K212" i="5"/>
  <c r="J212" i="5"/>
  <c r="I212" i="5"/>
  <c r="H212" i="5"/>
  <c r="G212" i="5"/>
  <c r="F212" i="5"/>
  <c r="E212" i="5"/>
  <c r="D212" i="5"/>
  <c r="C212" i="5"/>
  <c r="B212" i="5"/>
  <c r="A212" i="5"/>
  <c r="BZ211" i="5"/>
  <c r="BY211" i="5"/>
  <c r="BX211" i="5"/>
  <c r="BW211" i="5"/>
  <c r="BV211" i="5"/>
  <c r="BU211" i="5"/>
  <c r="BT211" i="5"/>
  <c r="BS211" i="5"/>
  <c r="BR211" i="5"/>
  <c r="BQ211" i="5"/>
  <c r="BO211" i="5"/>
  <c r="BN211" i="5"/>
  <c r="BM211" i="5"/>
  <c r="BL211" i="5"/>
  <c r="BK211" i="5"/>
  <c r="BJ211" i="5"/>
  <c r="BI211" i="5"/>
  <c r="BH211" i="5"/>
  <c r="BG211" i="5"/>
  <c r="BF211" i="5"/>
  <c r="BD211" i="5"/>
  <c r="BC211" i="5"/>
  <c r="BB211" i="5"/>
  <c r="BA211" i="5"/>
  <c r="AZ211" i="5"/>
  <c r="AY211" i="5"/>
  <c r="AX211" i="5"/>
  <c r="AW211" i="5"/>
  <c r="AV211" i="5"/>
  <c r="AU211" i="5"/>
  <c r="AS211" i="5"/>
  <c r="AR211" i="5"/>
  <c r="AQ211" i="5"/>
  <c r="AP211" i="5"/>
  <c r="AO211" i="5"/>
  <c r="AN211" i="5"/>
  <c r="AM211" i="5"/>
  <c r="AL211" i="5"/>
  <c r="AK211" i="5"/>
  <c r="AJ211" i="5"/>
  <c r="AH211" i="5"/>
  <c r="AG211" i="5"/>
  <c r="AF211" i="5"/>
  <c r="AE211" i="5"/>
  <c r="AD211" i="5"/>
  <c r="AC211" i="5"/>
  <c r="AB211" i="5"/>
  <c r="AA211" i="5"/>
  <c r="Z211" i="5"/>
  <c r="Y211" i="5"/>
  <c r="W211" i="5"/>
  <c r="V211" i="5"/>
  <c r="U211" i="5"/>
  <c r="T211" i="5"/>
  <c r="S211" i="5"/>
  <c r="R211" i="5"/>
  <c r="Q211" i="5"/>
  <c r="P211" i="5"/>
  <c r="O211" i="5"/>
  <c r="N211" i="5"/>
  <c r="L211" i="5"/>
  <c r="K211" i="5"/>
  <c r="J211" i="5"/>
  <c r="I211" i="5"/>
  <c r="H211" i="5"/>
  <c r="G211" i="5"/>
  <c r="F211" i="5"/>
  <c r="E211" i="5"/>
  <c r="D211" i="5"/>
  <c r="C211" i="5"/>
  <c r="B211" i="5"/>
  <c r="A211" i="5"/>
  <c r="BZ210" i="5"/>
  <c r="BY210" i="5"/>
  <c r="BX210" i="5"/>
  <c r="BW210" i="5"/>
  <c r="BV210" i="5"/>
  <c r="BU210" i="5"/>
  <c r="BT210" i="5"/>
  <c r="BS210" i="5"/>
  <c r="BR210" i="5"/>
  <c r="BQ210" i="5"/>
  <c r="BO210" i="5"/>
  <c r="BN210" i="5"/>
  <c r="BM210" i="5"/>
  <c r="BL210" i="5"/>
  <c r="BK210" i="5"/>
  <c r="BJ210" i="5"/>
  <c r="BI210" i="5"/>
  <c r="BH210" i="5"/>
  <c r="BG210" i="5"/>
  <c r="BF210" i="5"/>
  <c r="BD210" i="5"/>
  <c r="BC210" i="5"/>
  <c r="BB210" i="5"/>
  <c r="BA210" i="5"/>
  <c r="AZ210" i="5"/>
  <c r="AY210" i="5"/>
  <c r="AX210" i="5"/>
  <c r="AW210" i="5"/>
  <c r="AV210" i="5"/>
  <c r="AU210" i="5"/>
  <c r="AS210" i="5"/>
  <c r="AR210" i="5"/>
  <c r="AQ210" i="5"/>
  <c r="AP210" i="5"/>
  <c r="AO210" i="5"/>
  <c r="AN210" i="5"/>
  <c r="AM210" i="5"/>
  <c r="AL210" i="5"/>
  <c r="AK210" i="5"/>
  <c r="AJ210" i="5"/>
  <c r="AH210" i="5"/>
  <c r="AG210" i="5"/>
  <c r="AF210" i="5"/>
  <c r="AE210" i="5"/>
  <c r="AD210" i="5"/>
  <c r="AC210" i="5"/>
  <c r="AB210" i="5"/>
  <c r="AA210" i="5"/>
  <c r="Z210" i="5"/>
  <c r="Y210" i="5"/>
  <c r="W210" i="5"/>
  <c r="V210" i="5"/>
  <c r="U210" i="5"/>
  <c r="T210" i="5"/>
  <c r="S210" i="5"/>
  <c r="R210" i="5"/>
  <c r="Q210" i="5"/>
  <c r="P210" i="5"/>
  <c r="O210" i="5"/>
  <c r="N210" i="5"/>
  <c r="L210" i="5"/>
  <c r="K210" i="5"/>
  <c r="J210" i="5"/>
  <c r="I210" i="5"/>
  <c r="H210" i="5"/>
  <c r="G210" i="5"/>
  <c r="F210" i="5"/>
  <c r="E210" i="5"/>
  <c r="D210" i="5"/>
  <c r="C210" i="5"/>
  <c r="B210" i="5"/>
  <c r="A210" i="5"/>
  <c r="BZ209" i="5"/>
  <c r="BY209" i="5"/>
  <c r="BX209" i="5"/>
  <c r="BW209" i="5"/>
  <c r="BV209" i="5"/>
  <c r="BU209" i="5"/>
  <c r="BT209" i="5"/>
  <c r="BS209" i="5"/>
  <c r="BR209" i="5"/>
  <c r="BQ209" i="5"/>
  <c r="BO209" i="5"/>
  <c r="BN209" i="5"/>
  <c r="BM209" i="5"/>
  <c r="BL209" i="5"/>
  <c r="BK209" i="5"/>
  <c r="BJ209" i="5"/>
  <c r="BI209" i="5"/>
  <c r="BH209" i="5"/>
  <c r="BG209" i="5"/>
  <c r="BF209" i="5"/>
  <c r="BD209" i="5"/>
  <c r="BC209" i="5"/>
  <c r="BB209" i="5"/>
  <c r="BA209" i="5"/>
  <c r="AZ209" i="5"/>
  <c r="AY209" i="5"/>
  <c r="BE209" i="5" s="1"/>
  <c r="CF209" i="5" s="1"/>
  <c r="AX209" i="5"/>
  <c r="AW209" i="5"/>
  <c r="AV209" i="5"/>
  <c r="AU209" i="5"/>
  <c r="AS209" i="5"/>
  <c r="AR209" i="5"/>
  <c r="AQ209" i="5"/>
  <c r="AP209" i="5"/>
  <c r="AO209" i="5"/>
  <c r="AN209" i="5"/>
  <c r="AM209" i="5"/>
  <c r="AL209" i="5"/>
  <c r="AK209" i="5"/>
  <c r="AJ209" i="5"/>
  <c r="AH209" i="5"/>
  <c r="AG209" i="5"/>
  <c r="AF209" i="5"/>
  <c r="AE209" i="5"/>
  <c r="AD209" i="5"/>
  <c r="AC209" i="5"/>
  <c r="AB209" i="5"/>
  <c r="AA209" i="5"/>
  <c r="Z209" i="5"/>
  <c r="Y209" i="5"/>
  <c r="W209" i="5"/>
  <c r="V209" i="5"/>
  <c r="U209" i="5"/>
  <c r="T209" i="5"/>
  <c r="S209" i="5"/>
  <c r="R209" i="5"/>
  <c r="Q209" i="5"/>
  <c r="P209" i="5"/>
  <c r="O209" i="5"/>
  <c r="N209" i="5"/>
  <c r="L209" i="5"/>
  <c r="K209" i="5"/>
  <c r="J209" i="5"/>
  <c r="I209" i="5"/>
  <c r="H209" i="5"/>
  <c r="G209" i="5"/>
  <c r="F209" i="5"/>
  <c r="E209" i="5"/>
  <c r="D209" i="5"/>
  <c r="C209" i="5"/>
  <c r="B209" i="5"/>
  <c r="A209" i="5"/>
  <c r="BZ208" i="5"/>
  <c r="BY208" i="5"/>
  <c r="BX208" i="5"/>
  <c r="BW208" i="5"/>
  <c r="BV208" i="5"/>
  <c r="BU208" i="5"/>
  <c r="BT208" i="5"/>
  <c r="BS208" i="5"/>
  <c r="BR208" i="5"/>
  <c r="BQ208" i="5"/>
  <c r="BO208" i="5"/>
  <c r="BN208" i="5"/>
  <c r="BM208" i="5"/>
  <c r="BL208" i="5"/>
  <c r="BK208" i="5"/>
  <c r="BJ208" i="5"/>
  <c r="BI208" i="5"/>
  <c r="BH208" i="5"/>
  <c r="BG208" i="5"/>
  <c r="BF208" i="5"/>
  <c r="BD208" i="5"/>
  <c r="BC208" i="5"/>
  <c r="BB208" i="5"/>
  <c r="BA208" i="5"/>
  <c r="AZ208" i="5"/>
  <c r="AY208" i="5"/>
  <c r="BE208" i="5" s="1"/>
  <c r="CF208" i="5" s="1"/>
  <c r="AX208" i="5"/>
  <c r="AW208" i="5"/>
  <c r="AV208" i="5"/>
  <c r="AU208" i="5"/>
  <c r="AS208" i="5"/>
  <c r="AR208" i="5"/>
  <c r="AQ208" i="5"/>
  <c r="AP208" i="5"/>
  <c r="AO208" i="5"/>
  <c r="AN208" i="5"/>
  <c r="AM208" i="5"/>
  <c r="AL208" i="5"/>
  <c r="AK208" i="5"/>
  <c r="AJ208" i="5"/>
  <c r="AH208" i="5"/>
  <c r="AG208" i="5"/>
  <c r="AF208" i="5"/>
  <c r="AE208" i="5"/>
  <c r="AD208" i="5"/>
  <c r="AC208" i="5"/>
  <c r="AB208" i="5"/>
  <c r="AA208" i="5"/>
  <c r="Z208" i="5"/>
  <c r="Y208" i="5"/>
  <c r="W208" i="5"/>
  <c r="V208" i="5"/>
  <c r="U208" i="5"/>
  <c r="T208" i="5"/>
  <c r="S208" i="5"/>
  <c r="R208" i="5"/>
  <c r="Q208" i="5"/>
  <c r="P208" i="5"/>
  <c r="O208" i="5"/>
  <c r="N208" i="5"/>
  <c r="L208" i="5"/>
  <c r="K208" i="5"/>
  <c r="J208" i="5"/>
  <c r="I208" i="5"/>
  <c r="H208" i="5"/>
  <c r="G208" i="5"/>
  <c r="F208" i="5"/>
  <c r="E208" i="5"/>
  <c r="D208" i="5"/>
  <c r="C208" i="5"/>
  <c r="B208" i="5"/>
  <c r="A208" i="5"/>
  <c r="BZ207" i="5"/>
  <c r="BY207" i="5"/>
  <c r="BX207" i="5"/>
  <c r="BW207" i="5"/>
  <c r="BV207" i="5"/>
  <c r="BU207" i="5"/>
  <c r="BT207" i="5"/>
  <c r="BS207" i="5"/>
  <c r="BR207" i="5"/>
  <c r="BQ207" i="5"/>
  <c r="BO207" i="5"/>
  <c r="BN207" i="5"/>
  <c r="BM207" i="5"/>
  <c r="BL207" i="5"/>
  <c r="BK207" i="5"/>
  <c r="BJ207" i="5"/>
  <c r="BI207" i="5"/>
  <c r="BH207" i="5"/>
  <c r="BG207" i="5"/>
  <c r="BF207" i="5"/>
  <c r="BD207" i="5"/>
  <c r="BC207" i="5"/>
  <c r="BB207" i="5"/>
  <c r="BA207" i="5"/>
  <c r="AZ207" i="5"/>
  <c r="AY207" i="5"/>
  <c r="AX207" i="5"/>
  <c r="AW207" i="5"/>
  <c r="AV207" i="5"/>
  <c r="AU207" i="5"/>
  <c r="AS207" i="5"/>
  <c r="AR207" i="5"/>
  <c r="AQ207" i="5"/>
  <c r="AP207" i="5"/>
  <c r="AO207" i="5"/>
  <c r="AN207" i="5"/>
  <c r="AM207" i="5"/>
  <c r="AL207" i="5"/>
  <c r="AK207" i="5"/>
  <c r="AJ207" i="5"/>
  <c r="AH207" i="5"/>
  <c r="AG207" i="5"/>
  <c r="AF207" i="5"/>
  <c r="AE207" i="5"/>
  <c r="AD207" i="5"/>
  <c r="AC207" i="5"/>
  <c r="AB207" i="5"/>
  <c r="AA207" i="5"/>
  <c r="Z207" i="5"/>
  <c r="Y207" i="5"/>
  <c r="W207" i="5"/>
  <c r="V207" i="5"/>
  <c r="U207" i="5"/>
  <c r="T207" i="5"/>
  <c r="S207" i="5"/>
  <c r="R207" i="5"/>
  <c r="Q207" i="5"/>
  <c r="P207" i="5"/>
  <c r="O207" i="5"/>
  <c r="N207" i="5"/>
  <c r="L207" i="5"/>
  <c r="K207" i="5"/>
  <c r="J207" i="5"/>
  <c r="I207" i="5"/>
  <c r="H207" i="5"/>
  <c r="G207" i="5"/>
  <c r="F207" i="5"/>
  <c r="E207" i="5"/>
  <c r="D207" i="5"/>
  <c r="C207" i="5"/>
  <c r="B207" i="5"/>
  <c r="A207" i="5"/>
  <c r="BZ206" i="5"/>
  <c r="BY206" i="5"/>
  <c r="BX206" i="5"/>
  <c r="BW206" i="5"/>
  <c r="BV206" i="5"/>
  <c r="BU206" i="5"/>
  <c r="BT206" i="5"/>
  <c r="BS206" i="5"/>
  <c r="BR206" i="5"/>
  <c r="BQ206" i="5"/>
  <c r="BO206" i="5"/>
  <c r="BN206" i="5"/>
  <c r="BM206" i="5"/>
  <c r="BL206" i="5"/>
  <c r="BK206" i="5"/>
  <c r="BJ206" i="5"/>
  <c r="BI206" i="5"/>
  <c r="BH206" i="5"/>
  <c r="BG206" i="5"/>
  <c r="BF206" i="5"/>
  <c r="BD206" i="5"/>
  <c r="BC206" i="5"/>
  <c r="BB206" i="5"/>
  <c r="BA206" i="5"/>
  <c r="AZ206" i="5"/>
  <c r="AY206" i="5"/>
  <c r="AX206" i="5"/>
  <c r="AW206" i="5"/>
  <c r="AV206" i="5"/>
  <c r="AU206" i="5"/>
  <c r="AS206" i="5"/>
  <c r="AR206" i="5"/>
  <c r="AQ206" i="5"/>
  <c r="AP206" i="5"/>
  <c r="AO206" i="5"/>
  <c r="AN206" i="5"/>
  <c r="AM206" i="5"/>
  <c r="AL206" i="5"/>
  <c r="AK206" i="5"/>
  <c r="AJ206" i="5"/>
  <c r="AH206" i="5"/>
  <c r="AG206" i="5"/>
  <c r="AF206" i="5"/>
  <c r="AE206" i="5"/>
  <c r="AD206" i="5"/>
  <c r="AC206" i="5"/>
  <c r="AB206" i="5"/>
  <c r="AA206" i="5"/>
  <c r="Z206" i="5"/>
  <c r="Y206" i="5"/>
  <c r="W206" i="5"/>
  <c r="V206" i="5"/>
  <c r="U206" i="5"/>
  <c r="T206" i="5"/>
  <c r="S206" i="5"/>
  <c r="R206" i="5"/>
  <c r="Q206" i="5"/>
  <c r="P206" i="5"/>
  <c r="O206" i="5"/>
  <c r="N206" i="5"/>
  <c r="L206" i="5"/>
  <c r="K206" i="5"/>
  <c r="J206" i="5"/>
  <c r="I206" i="5"/>
  <c r="H206" i="5"/>
  <c r="G206" i="5"/>
  <c r="F206" i="5"/>
  <c r="E206" i="5"/>
  <c r="D206" i="5"/>
  <c r="C206" i="5"/>
  <c r="B206" i="5"/>
  <c r="A206" i="5"/>
  <c r="BZ205" i="5"/>
  <c r="BY205" i="5"/>
  <c r="BX205" i="5"/>
  <c r="BW205" i="5"/>
  <c r="BV205" i="5"/>
  <c r="BU205" i="5"/>
  <c r="BT205" i="5"/>
  <c r="BS205" i="5"/>
  <c r="BR205" i="5"/>
  <c r="BQ205" i="5"/>
  <c r="BO205" i="5"/>
  <c r="BN205" i="5"/>
  <c r="BM205" i="5"/>
  <c r="BL205" i="5"/>
  <c r="BK205" i="5"/>
  <c r="BJ205" i="5"/>
  <c r="BI205" i="5"/>
  <c r="BH205" i="5"/>
  <c r="BG205" i="5"/>
  <c r="BF205" i="5"/>
  <c r="BD205" i="5"/>
  <c r="BC205" i="5"/>
  <c r="BB205" i="5"/>
  <c r="BA205" i="5"/>
  <c r="AZ205" i="5"/>
  <c r="AY205" i="5"/>
  <c r="AX205" i="5"/>
  <c r="AW205" i="5"/>
  <c r="AV205" i="5"/>
  <c r="AU205" i="5"/>
  <c r="AS205" i="5"/>
  <c r="AR205" i="5"/>
  <c r="AQ205" i="5"/>
  <c r="AP205" i="5"/>
  <c r="AO205" i="5"/>
  <c r="AN205" i="5"/>
  <c r="AM205" i="5"/>
  <c r="AL205" i="5"/>
  <c r="AK205" i="5"/>
  <c r="AJ205" i="5"/>
  <c r="AH205" i="5"/>
  <c r="AG205" i="5"/>
  <c r="AF205" i="5"/>
  <c r="AE205" i="5"/>
  <c r="AD205" i="5"/>
  <c r="AC205" i="5"/>
  <c r="AB205" i="5"/>
  <c r="AA205" i="5"/>
  <c r="Z205" i="5"/>
  <c r="Y205" i="5"/>
  <c r="W205" i="5"/>
  <c r="V205" i="5"/>
  <c r="U205" i="5"/>
  <c r="T205" i="5"/>
  <c r="S205" i="5"/>
  <c r="R205" i="5"/>
  <c r="Q205" i="5"/>
  <c r="P205" i="5"/>
  <c r="O205" i="5"/>
  <c r="N205" i="5"/>
  <c r="L205" i="5"/>
  <c r="K205" i="5"/>
  <c r="J205" i="5"/>
  <c r="I205" i="5"/>
  <c r="H205" i="5"/>
  <c r="G205" i="5"/>
  <c r="F205" i="5"/>
  <c r="E205" i="5"/>
  <c r="D205" i="5"/>
  <c r="C205" i="5"/>
  <c r="B205" i="5"/>
  <c r="A205" i="5"/>
  <c r="BZ204" i="5"/>
  <c r="BY204" i="5"/>
  <c r="BX204" i="5"/>
  <c r="BW204" i="5"/>
  <c r="BV204" i="5"/>
  <c r="BU204" i="5"/>
  <c r="BT204" i="5"/>
  <c r="BS204" i="5"/>
  <c r="BR204" i="5"/>
  <c r="BQ204" i="5"/>
  <c r="BO204" i="5"/>
  <c r="BN204" i="5"/>
  <c r="BM204" i="5"/>
  <c r="BL204" i="5"/>
  <c r="BK204" i="5"/>
  <c r="BJ204" i="5"/>
  <c r="BI204" i="5"/>
  <c r="BH204" i="5"/>
  <c r="BG204" i="5"/>
  <c r="BF204" i="5"/>
  <c r="BD204" i="5"/>
  <c r="BC204" i="5"/>
  <c r="BB204" i="5"/>
  <c r="BA204" i="5"/>
  <c r="AZ204" i="5"/>
  <c r="AY204" i="5"/>
  <c r="AX204" i="5"/>
  <c r="AW204" i="5"/>
  <c r="AV204" i="5"/>
  <c r="AU204" i="5"/>
  <c r="AS204" i="5"/>
  <c r="AR204" i="5"/>
  <c r="AQ204" i="5"/>
  <c r="AP204" i="5"/>
  <c r="AO204" i="5"/>
  <c r="AN204" i="5"/>
  <c r="AM204" i="5"/>
  <c r="AL204" i="5"/>
  <c r="AK204" i="5"/>
  <c r="AJ204" i="5"/>
  <c r="AH204" i="5"/>
  <c r="AG204" i="5"/>
  <c r="AF204" i="5"/>
  <c r="AE204" i="5"/>
  <c r="AD204" i="5"/>
  <c r="AC204" i="5"/>
  <c r="AB204" i="5"/>
  <c r="AA204" i="5"/>
  <c r="Z204" i="5"/>
  <c r="Y204" i="5"/>
  <c r="W204" i="5"/>
  <c r="V204" i="5"/>
  <c r="U204" i="5"/>
  <c r="T204" i="5"/>
  <c r="S204" i="5"/>
  <c r="R204" i="5"/>
  <c r="Q204" i="5"/>
  <c r="P204" i="5"/>
  <c r="O204" i="5"/>
  <c r="N204" i="5"/>
  <c r="L204" i="5"/>
  <c r="K204" i="5"/>
  <c r="J204" i="5"/>
  <c r="I204" i="5"/>
  <c r="H204" i="5"/>
  <c r="G204" i="5"/>
  <c r="F204" i="5"/>
  <c r="E204" i="5"/>
  <c r="D204" i="5"/>
  <c r="C204" i="5"/>
  <c r="B204" i="5"/>
  <c r="A204" i="5"/>
  <c r="BZ203" i="5"/>
  <c r="BY203" i="5"/>
  <c r="BX203" i="5"/>
  <c r="BW203" i="5"/>
  <c r="BV203" i="5"/>
  <c r="BU203" i="5"/>
  <c r="BT203" i="5"/>
  <c r="BS203" i="5"/>
  <c r="BR203" i="5"/>
  <c r="BQ203" i="5"/>
  <c r="BO203" i="5"/>
  <c r="BN203" i="5"/>
  <c r="BM203" i="5"/>
  <c r="BL203" i="5"/>
  <c r="BK203" i="5"/>
  <c r="BJ203" i="5"/>
  <c r="BI203" i="5"/>
  <c r="BH203" i="5"/>
  <c r="BG203" i="5"/>
  <c r="BF203" i="5"/>
  <c r="BD203" i="5"/>
  <c r="BC203" i="5"/>
  <c r="BB203" i="5"/>
  <c r="BA203" i="5"/>
  <c r="AZ203" i="5"/>
  <c r="AY203" i="5"/>
  <c r="BE203" i="5" s="1"/>
  <c r="CF203" i="5" s="1"/>
  <c r="AX203" i="5"/>
  <c r="AW203" i="5"/>
  <c r="AV203" i="5"/>
  <c r="AU203" i="5"/>
  <c r="AS203" i="5"/>
  <c r="AR203" i="5"/>
  <c r="AQ203" i="5"/>
  <c r="AP203" i="5"/>
  <c r="AO203" i="5"/>
  <c r="AN203" i="5"/>
  <c r="AM203" i="5"/>
  <c r="AL203" i="5"/>
  <c r="AK203" i="5"/>
  <c r="AJ203" i="5"/>
  <c r="AH203" i="5"/>
  <c r="AG203" i="5"/>
  <c r="AF203" i="5"/>
  <c r="AE203" i="5"/>
  <c r="AD203" i="5"/>
  <c r="AC203" i="5"/>
  <c r="AB203" i="5"/>
  <c r="AA203" i="5"/>
  <c r="Z203" i="5"/>
  <c r="Y203" i="5"/>
  <c r="W203" i="5"/>
  <c r="V203" i="5"/>
  <c r="U203" i="5"/>
  <c r="T203" i="5"/>
  <c r="S203" i="5"/>
  <c r="R203" i="5"/>
  <c r="Q203" i="5"/>
  <c r="P203" i="5"/>
  <c r="O203" i="5"/>
  <c r="N203" i="5"/>
  <c r="L203" i="5"/>
  <c r="K203" i="5"/>
  <c r="J203" i="5"/>
  <c r="I203" i="5"/>
  <c r="H203" i="5"/>
  <c r="G203" i="5"/>
  <c r="F203" i="5"/>
  <c r="E203" i="5"/>
  <c r="D203" i="5"/>
  <c r="C203" i="5"/>
  <c r="B203" i="5"/>
  <c r="A203" i="5"/>
  <c r="BZ202" i="5"/>
  <c r="BY202" i="5"/>
  <c r="BX202" i="5"/>
  <c r="BW202" i="5"/>
  <c r="BV202" i="5"/>
  <c r="BU202" i="5"/>
  <c r="BT202" i="5"/>
  <c r="BS202" i="5"/>
  <c r="BR202" i="5"/>
  <c r="BQ202" i="5"/>
  <c r="BO202" i="5"/>
  <c r="BN202" i="5"/>
  <c r="BM202" i="5"/>
  <c r="BL202" i="5"/>
  <c r="BK202" i="5"/>
  <c r="BJ202" i="5"/>
  <c r="BI202" i="5"/>
  <c r="BH202" i="5"/>
  <c r="BG202" i="5"/>
  <c r="BF202" i="5"/>
  <c r="BD202" i="5"/>
  <c r="BC202" i="5"/>
  <c r="BB202" i="5"/>
  <c r="BA202" i="5"/>
  <c r="AZ202" i="5"/>
  <c r="AY202" i="5"/>
  <c r="AX202" i="5"/>
  <c r="AW202" i="5"/>
  <c r="AV202" i="5"/>
  <c r="AU202" i="5"/>
  <c r="AS202" i="5"/>
  <c r="AR202" i="5"/>
  <c r="AQ202" i="5"/>
  <c r="AP202" i="5"/>
  <c r="AO202" i="5"/>
  <c r="AN202" i="5"/>
  <c r="AM202" i="5"/>
  <c r="AL202" i="5"/>
  <c r="AK202" i="5"/>
  <c r="AJ202" i="5"/>
  <c r="AH202" i="5"/>
  <c r="AG202" i="5"/>
  <c r="AF202" i="5"/>
  <c r="AE202" i="5"/>
  <c r="AD202" i="5"/>
  <c r="AC202" i="5"/>
  <c r="AB202" i="5"/>
  <c r="AA202" i="5"/>
  <c r="Z202" i="5"/>
  <c r="Y202" i="5"/>
  <c r="W202" i="5"/>
  <c r="V202" i="5"/>
  <c r="U202" i="5"/>
  <c r="T202" i="5"/>
  <c r="S202" i="5"/>
  <c r="R202" i="5"/>
  <c r="Q202" i="5"/>
  <c r="P202" i="5"/>
  <c r="O202" i="5"/>
  <c r="N202" i="5"/>
  <c r="L202" i="5"/>
  <c r="K202" i="5"/>
  <c r="J202" i="5"/>
  <c r="I202" i="5"/>
  <c r="H202" i="5"/>
  <c r="G202" i="5"/>
  <c r="F202" i="5"/>
  <c r="E202" i="5"/>
  <c r="D202" i="5"/>
  <c r="C202" i="5"/>
  <c r="B202" i="5"/>
  <c r="A202" i="5"/>
  <c r="BZ201" i="5"/>
  <c r="BY201" i="5"/>
  <c r="BX201" i="5"/>
  <c r="BW201" i="5"/>
  <c r="BV201" i="5"/>
  <c r="BU201" i="5"/>
  <c r="BT201" i="5"/>
  <c r="BS201" i="5"/>
  <c r="BR201" i="5"/>
  <c r="BQ201" i="5"/>
  <c r="BO201" i="5"/>
  <c r="BN201" i="5"/>
  <c r="BM201" i="5"/>
  <c r="BL201" i="5"/>
  <c r="BK201" i="5"/>
  <c r="BJ201" i="5"/>
  <c r="BI201" i="5"/>
  <c r="BH201" i="5"/>
  <c r="BG201" i="5"/>
  <c r="BF201" i="5"/>
  <c r="BD201" i="5"/>
  <c r="BC201" i="5"/>
  <c r="BB201" i="5"/>
  <c r="BA201" i="5"/>
  <c r="AZ201" i="5"/>
  <c r="AY201" i="5"/>
  <c r="AX201" i="5"/>
  <c r="AW201" i="5"/>
  <c r="AV201" i="5"/>
  <c r="AU201" i="5"/>
  <c r="AS201" i="5"/>
  <c r="AR201" i="5"/>
  <c r="AQ201" i="5"/>
  <c r="AP201" i="5"/>
  <c r="AO201" i="5"/>
  <c r="AN201" i="5"/>
  <c r="AM201" i="5"/>
  <c r="AL201" i="5"/>
  <c r="AK201" i="5"/>
  <c r="AJ201" i="5"/>
  <c r="AH201" i="5"/>
  <c r="AG201" i="5"/>
  <c r="AF201" i="5"/>
  <c r="AE201" i="5"/>
  <c r="AD201" i="5"/>
  <c r="AC201" i="5"/>
  <c r="AB201" i="5"/>
  <c r="AA201" i="5"/>
  <c r="Z201" i="5"/>
  <c r="Y201" i="5"/>
  <c r="W201" i="5"/>
  <c r="V201" i="5"/>
  <c r="U201" i="5"/>
  <c r="T201" i="5"/>
  <c r="S201" i="5"/>
  <c r="R201" i="5"/>
  <c r="Q201" i="5"/>
  <c r="P201" i="5"/>
  <c r="O201" i="5"/>
  <c r="N201" i="5"/>
  <c r="L201" i="5"/>
  <c r="K201" i="5"/>
  <c r="J201" i="5"/>
  <c r="I201" i="5"/>
  <c r="H201" i="5"/>
  <c r="G201" i="5"/>
  <c r="F201" i="5"/>
  <c r="E201" i="5"/>
  <c r="D201" i="5"/>
  <c r="C201" i="5"/>
  <c r="B201" i="5"/>
  <c r="A201" i="5"/>
  <c r="BZ200" i="5"/>
  <c r="BY200" i="5"/>
  <c r="BX200" i="5"/>
  <c r="BW200" i="5"/>
  <c r="BV200" i="5"/>
  <c r="BU200" i="5"/>
  <c r="BT200" i="5"/>
  <c r="BS200" i="5"/>
  <c r="BR200" i="5"/>
  <c r="BQ200" i="5"/>
  <c r="BO200" i="5"/>
  <c r="BN200" i="5"/>
  <c r="BM200" i="5"/>
  <c r="BL200" i="5"/>
  <c r="BK200" i="5"/>
  <c r="BJ200" i="5"/>
  <c r="BI200" i="5"/>
  <c r="BH200" i="5"/>
  <c r="BG200" i="5"/>
  <c r="BF200" i="5"/>
  <c r="BD200" i="5"/>
  <c r="BC200" i="5"/>
  <c r="BB200" i="5"/>
  <c r="BA200" i="5"/>
  <c r="AZ200" i="5"/>
  <c r="AY200" i="5"/>
  <c r="AX200" i="5"/>
  <c r="AW200" i="5"/>
  <c r="BE200" i="5" s="1"/>
  <c r="CF200" i="5" s="1"/>
  <c r="AV200" i="5"/>
  <c r="AU200" i="5"/>
  <c r="AS200" i="5"/>
  <c r="AR200" i="5"/>
  <c r="AQ200" i="5"/>
  <c r="AP200" i="5"/>
  <c r="AO200" i="5"/>
  <c r="AN200" i="5"/>
  <c r="AM200" i="5"/>
  <c r="AL200" i="5"/>
  <c r="AK200" i="5"/>
  <c r="AJ200" i="5"/>
  <c r="AH200" i="5"/>
  <c r="AG200" i="5"/>
  <c r="AF200" i="5"/>
  <c r="AE200" i="5"/>
  <c r="AD200" i="5"/>
  <c r="AC200" i="5"/>
  <c r="AB200" i="5"/>
  <c r="AA200" i="5"/>
  <c r="Z200" i="5"/>
  <c r="Y200" i="5"/>
  <c r="W200" i="5"/>
  <c r="V200" i="5"/>
  <c r="U200" i="5"/>
  <c r="T200" i="5"/>
  <c r="S200" i="5"/>
  <c r="R200" i="5"/>
  <c r="Q200" i="5"/>
  <c r="P200" i="5"/>
  <c r="O200" i="5"/>
  <c r="N200" i="5"/>
  <c r="L200" i="5"/>
  <c r="K200" i="5"/>
  <c r="J200" i="5"/>
  <c r="I200" i="5"/>
  <c r="H200" i="5"/>
  <c r="G200" i="5"/>
  <c r="F200" i="5"/>
  <c r="E200" i="5"/>
  <c r="D200" i="5"/>
  <c r="C200" i="5"/>
  <c r="B200" i="5"/>
  <c r="A200" i="5"/>
  <c r="BZ199" i="5"/>
  <c r="BY199" i="5"/>
  <c r="BX199" i="5"/>
  <c r="BW199" i="5"/>
  <c r="BV199" i="5"/>
  <c r="BU199" i="5"/>
  <c r="BT199" i="5"/>
  <c r="BS199" i="5"/>
  <c r="BR199" i="5"/>
  <c r="BQ199" i="5"/>
  <c r="BO199" i="5"/>
  <c r="BN199" i="5"/>
  <c r="BM199" i="5"/>
  <c r="BL199" i="5"/>
  <c r="BK199" i="5"/>
  <c r="BJ199" i="5"/>
  <c r="BI199" i="5"/>
  <c r="BH199" i="5"/>
  <c r="BG199" i="5"/>
  <c r="BF199" i="5"/>
  <c r="BD199" i="5"/>
  <c r="BC199" i="5"/>
  <c r="BB199" i="5"/>
  <c r="BA199" i="5"/>
  <c r="AZ199" i="5"/>
  <c r="AY199" i="5"/>
  <c r="AX199" i="5"/>
  <c r="AW199" i="5"/>
  <c r="AV199" i="5"/>
  <c r="AU199" i="5"/>
  <c r="AS199" i="5"/>
  <c r="AR199" i="5"/>
  <c r="AQ199" i="5"/>
  <c r="AP199" i="5"/>
  <c r="AO199" i="5"/>
  <c r="AN199" i="5"/>
  <c r="AT199" i="5" s="1"/>
  <c r="CE199" i="5" s="1"/>
  <c r="AM199" i="5"/>
  <c r="AL199" i="5"/>
  <c r="AK199" i="5"/>
  <c r="AJ199" i="5"/>
  <c r="AH199" i="5"/>
  <c r="AG199" i="5"/>
  <c r="AF199" i="5"/>
  <c r="AE199" i="5"/>
  <c r="AD199" i="5"/>
  <c r="AC199" i="5"/>
  <c r="AB199" i="5"/>
  <c r="AA199" i="5"/>
  <c r="Z199" i="5"/>
  <c r="Y199" i="5"/>
  <c r="W199" i="5"/>
  <c r="V199" i="5"/>
  <c r="U199" i="5"/>
  <c r="T199" i="5"/>
  <c r="S199" i="5"/>
  <c r="R199" i="5"/>
  <c r="Q199" i="5"/>
  <c r="P199" i="5"/>
  <c r="O199" i="5"/>
  <c r="N199" i="5"/>
  <c r="L199" i="5"/>
  <c r="K199" i="5"/>
  <c r="J199" i="5"/>
  <c r="I199" i="5"/>
  <c r="H199" i="5"/>
  <c r="G199" i="5"/>
  <c r="F199" i="5"/>
  <c r="E199" i="5"/>
  <c r="D199" i="5"/>
  <c r="C199" i="5"/>
  <c r="B199" i="5"/>
  <c r="A199" i="5"/>
  <c r="BZ198" i="5"/>
  <c r="BY198" i="5"/>
  <c r="BX198" i="5"/>
  <c r="BW198" i="5"/>
  <c r="BV198" i="5"/>
  <c r="BU198" i="5"/>
  <c r="BT198" i="5"/>
  <c r="BS198" i="5"/>
  <c r="BR198" i="5"/>
  <c r="BQ198" i="5"/>
  <c r="BO198" i="5"/>
  <c r="BN198" i="5"/>
  <c r="BM198" i="5"/>
  <c r="BL198" i="5"/>
  <c r="BK198" i="5"/>
  <c r="BJ198" i="5"/>
  <c r="BI198" i="5"/>
  <c r="BH198" i="5"/>
  <c r="BG198" i="5"/>
  <c r="BF198" i="5"/>
  <c r="BD198" i="5"/>
  <c r="BC198" i="5"/>
  <c r="BB198" i="5"/>
  <c r="BA198" i="5"/>
  <c r="AZ198" i="5"/>
  <c r="AY198" i="5"/>
  <c r="AX198" i="5"/>
  <c r="AW198" i="5"/>
  <c r="AV198" i="5"/>
  <c r="AU198" i="5"/>
  <c r="AS198" i="5"/>
  <c r="AR198" i="5"/>
  <c r="AQ198" i="5"/>
  <c r="AP198" i="5"/>
  <c r="AO198" i="5"/>
  <c r="AN198" i="5"/>
  <c r="AM198" i="5"/>
  <c r="AL198" i="5"/>
  <c r="AK198" i="5"/>
  <c r="AJ198" i="5"/>
  <c r="AH198" i="5"/>
  <c r="AG198" i="5"/>
  <c r="AF198" i="5"/>
  <c r="AE198" i="5"/>
  <c r="AD198" i="5"/>
  <c r="AC198" i="5"/>
  <c r="AB198" i="5"/>
  <c r="AA198" i="5"/>
  <c r="Z198" i="5"/>
  <c r="Y198" i="5"/>
  <c r="W198" i="5"/>
  <c r="V198" i="5"/>
  <c r="U198" i="5"/>
  <c r="T198" i="5"/>
  <c r="S198" i="5"/>
  <c r="R198" i="5"/>
  <c r="Q198" i="5"/>
  <c r="P198" i="5"/>
  <c r="O198" i="5"/>
  <c r="N198" i="5"/>
  <c r="L198" i="5"/>
  <c r="K198" i="5"/>
  <c r="J198" i="5"/>
  <c r="I198" i="5"/>
  <c r="H198" i="5"/>
  <c r="G198" i="5"/>
  <c r="F198" i="5"/>
  <c r="E198" i="5"/>
  <c r="D198" i="5"/>
  <c r="C198" i="5"/>
  <c r="B198" i="5"/>
  <c r="A198" i="5"/>
  <c r="BZ197" i="5"/>
  <c r="BY197" i="5"/>
  <c r="BX197" i="5"/>
  <c r="BW197" i="5"/>
  <c r="BV197" i="5"/>
  <c r="BU197" i="5"/>
  <c r="BT197" i="5"/>
  <c r="BS197" i="5"/>
  <c r="BR197" i="5"/>
  <c r="BQ197" i="5"/>
  <c r="BO197" i="5"/>
  <c r="BN197" i="5"/>
  <c r="BM197" i="5"/>
  <c r="BL197" i="5"/>
  <c r="BK197" i="5"/>
  <c r="BJ197" i="5"/>
  <c r="BI197" i="5"/>
  <c r="BH197" i="5"/>
  <c r="BG197" i="5"/>
  <c r="BF197" i="5"/>
  <c r="BD197" i="5"/>
  <c r="BC197" i="5"/>
  <c r="BB197" i="5"/>
  <c r="BA197" i="5"/>
  <c r="AZ197" i="5"/>
  <c r="AY197" i="5"/>
  <c r="AX197" i="5"/>
  <c r="AW197" i="5"/>
  <c r="AV197" i="5"/>
  <c r="AU197" i="5"/>
  <c r="AS197" i="5"/>
  <c r="AR197" i="5"/>
  <c r="AQ197" i="5"/>
  <c r="AP197" i="5"/>
  <c r="AO197" i="5"/>
  <c r="AN197" i="5"/>
  <c r="AM197" i="5"/>
  <c r="AL197" i="5"/>
  <c r="AK197" i="5"/>
  <c r="AJ197" i="5"/>
  <c r="AH197" i="5"/>
  <c r="AG197" i="5"/>
  <c r="AF197" i="5"/>
  <c r="AE197" i="5"/>
  <c r="AD197" i="5"/>
  <c r="AC197" i="5"/>
  <c r="AB197" i="5"/>
  <c r="AA197" i="5"/>
  <c r="Z197" i="5"/>
  <c r="Y197" i="5"/>
  <c r="W197" i="5"/>
  <c r="V197" i="5"/>
  <c r="U197" i="5"/>
  <c r="T197" i="5"/>
  <c r="S197" i="5"/>
  <c r="R197" i="5"/>
  <c r="Q197" i="5"/>
  <c r="P197" i="5"/>
  <c r="O197" i="5"/>
  <c r="N197" i="5"/>
  <c r="L197" i="5"/>
  <c r="K197" i="5"/>
  <c r="J197" i="5"/>
  <c r="I197" i="5"/>
  <c r="H197" i="5"/>
  <c r="G197" i="5"/>
  <c r="F197" i="5"/>
  <c r="E197" i="5"/>
  <c r="D197" i="5"/>
  <c r="C197" i="5"/>
  <c r="B197" i="5"/>
  <c r="A197" i="5"/>
  <c r="BZ196" i="5"/>
  <c r="BY196" i="5"/>
  <c r="BX196" i="5"/>
  <c r="BW196" i="5"/>
  <c r="BV196" i="5"/>
  <c r="BU196" i="5"/>
  <c r="BT196" i="5"/>
  <c r="BS196" i="5"/>
  <c r="BR196" i="5"/>
  <c r="BQ196" i="5"/>
  <c r="BO196" i="5"/>
  <c r="BN196" i="5"/>
  <c r="BM196" i="5"/>
  <c r="BL196" i="5"/>
  <c r="BK196" i="5"/>
  <c r="BJ196" i="5"/>
  <c r="BI196" i="5"/>
  <c r="BH196" i="5"/>
  <c r="BG196" i="5"/>
  <c r="BF196" i="5"/>
  <c r="BD196" i="5"/>
  <c r="BC196" i="5"/>
  <c r="BB196" i="5"/>
  <c r="BA196" i="5"/>
  <c r="AZ196" i="5"/>
  <c r="AY196" i="5"/>
  <c r="AX196" i="5"/>
  <c r="AW196" i="5"/>
  <c r="AV196" i="5"/>
  <c r="AU196" i="5"/>
  <c r="AS196" i="5"/>
  <c r="AR196" i="5"/>
  <c r="AQ196" i="5"/>
  <c r="AP196" i="5"/>
  <c r="AO196" i="5"/>
  <c r="AN196" i="5"/>
  <c r="AM196" i="5"/>
  <c r="AL196" i="5"/>
  <c r="AK196" i="5"/>
  <c r="AJ196" i="5"/>
  <c r="AH196" i="5"/>
  <c r="AG196" i="5"/>
  <c r="AF196" i="5"/>
  <c r="AE196" i="5"/>
  <c r="AD196" i="5"/>
  <c r="AC196" i="5"/>
  <c r="AB196" i="5"/>
  <c r="AA196" i="5"/>
  <c r="Z196" i="5"/>
  <c r="Y196" i="5"/>
  <c r="W196" i="5"/>
  <c r="V196" i="5"/>
  <c r="U196" i="5"/>
  <c r="T196" i="5"/>
  <c r="S196" i="5"/>
  <c r="R196" i="5"/>
  <c r="Q196" i="5"/>
  <c r="P196" i="5"/>
  <c r="O196" i="5"/>
  <c r="N196" i="5"/>
  <c r="L196" i="5"/>
  <c r="K196" i="5"/>
  <c r="J196" i="5"/>
  <c r="I196" i="5"/>
  <c r="H196" i="5"/>
  <c r="G196" i="5"/>
  <c r="F196" i="5"/>
  <c r="E196" i="5"/>
  <c r="D196" i="5"/>
  <c r="C196" i="5"/>
  <c r="B196" i="5"/>
  <c r="A196" i="5"/>
  <c r="BZ195" i="5"/>
  <c r="BY195" i="5"/>
  <c r="BX195" i="5"/>
  <c r="BW195" i="5"/>
  <c r="BV195" i="5"/>
  <c r="BU195" i="5"/>
  <c r="BT195" i="5"/>
  <c r="BS195" i="5"/>
  <c r="BR195" i="5"/>
  <c r="BQ195" i="5"/>
  <c r="BO195" i="5"/>
  <c r="BN195" i="5"/>
  <c r="BM195" i="5"/>
  <c r="BL195" i="5"/>
  <c r="BK195" i="5"/>
  <c r="BJ195" i="5"/>
  <c r="BI195" i="5"/>
  <c r="BH195" i="5"/>
  <c r="BG195" i="5"/>
  <c r="BF195" i="5"/>
  <c r="BD195" i="5"/>
  <c r="BC195" i="5"/>
  <c r="BB195" i="5"/>
  <c r="BA195" i="5"/>
  <c r="AZ195" i="5"/>
  <c r="AY195" i="5"/>
  <c r="AX195" i="5"/>
  <c r="AW195" i="5"/>
  <c r="AV195" i="5"/>
  <c r="AU195" i="5"/>
  <c r="AS195" i="5"/>
  <c r="AR195" i="5"/>
  <c r="AQ195" i="5"/>
  <c r="AP195" i="5"/>
  <c r="AO195" i="5"/>
  <c r="AN195" i="5"/>
  <c r="AM195" i="5"/>
  <c r="AL195" i="5"/>
  <c r="AK195" i="5"/>
  <c r="AJ195" i="5"/>
  <c r="AH195" i="5"/>
  <c r="AG195" i="5"/>
  <c r="AF195" i="5"/>
  <c r="AE195" i="5"/>
  <c r="AD195" i="5"/>
  <c r="AC195" i="5"/>
  <c r="AB195" i="5"/>
  <c r="AA195" i="5"/>
  <c r="Z195" i="5"/>
  <c r="Y195" i="5"/>
  <c r="W195" i="5"/>
  <c r="V195" i="5"/>
  <c r="U195" i="5"/>
  <c r="T195" i="5"/>
  <c r="S195" i="5"/>
  <c r="R195" i="5"/>
  <c r="Q195" i="5"/>
  <c r="P195" i="5"/>
  <c r="O195" i="5"/>
  <c r="N195" i="5"/>
  <c r="L195" i="5"/>
  <c r="K195" i="5"/>
  <c r="J195" i="5"/>
  <c r="I195" i="5"/>
  <c r="H195" i="5"/>
  <c r="G195" i="5"/>
  <c r="F195" i="5"/>
  <c r="E195" i="5"/>
  <c r="D195" i="5"/>
  <c r="C195" i="5"/>
  <c r="B195" i="5"/>
  <c r="A195" i="5"/>
  <c r="BZ194" i="5"/>
  <c r="BY194" i="5"/>
  <c r="BX194" i="5"/>
  <c r="BW194" i="5"/>
  <c r="BV194" i="5"/>
  <c r="BU194" i="5"/>
  <c r="BT194" i="5"/>
  <c r="BS194" i="5"/>
  <c r="BR194" i="5"/>
  <c r="BQ194" i="5"/>
  <c r="BO194" i="5"/>
  <c r="BN194" i="5"/>
  <c r="BM194" i="5"/>
  <c r="BL194" i="5"/>
  <c r="BK194" i="5"/>
  <c r="BJ194" i="5"/>
  <c r="BI194" i="5"/>
  <c r="BH194" i="5"/>
  <c r="BG194" i="5"/>
  <c r="BF194" i="5"/>
  <c r="BD194" i="5"/>
  <c r="BC194" i="5"/>
  <c r="BB194" i="5"/>
  <c r="BA194" i="5"/>
  <c r="AZ194" i="5"/>
  <c r="AY194" i="5"/>
  <c r="AX194" i="5"/>
  <c r="AW194" i="5"/>
  <c r="AV194" i="5"/>
  <c r="AU194" i="5"/>
  <c r="AS194" i="5"/>
  <c r="AR194" i="5"/>
  <c r="AQ194" i="5"/>
  <c r="AP194" i="5"/>
  <c r="AO194" i="5"/>
  <c r="AN194" i="5"/>
  <c r="AM194" i="5"/>
  <c r="AL194" i="5"/>
  <c r="AK194" i="5"/>
  <c r="AJ194" i="5"/>
  <c r="AH194" i="5"/>
  <c r="AG194" i="5"/>
  <c r="AF194" i="5"/>
  <c r="AE194" i="5"/>
  <c r="AD194" i="5"/>
  <c r="AC194" i="5"/>
  <c r="AB194" i="5"/>
  <c r="AA194" i="5"/>
  <c r="Z194" i="5"/>
  <c r="Y194" i="5"/>
  <c r="W194" i="5"/>
  <c r="V194" i="5"/>
  <c r="U194" i="5"/>
  <c r="T194" i="5"/>
  <c r="S194" i="5"/>
  <c r="R194" i="5"/>
  <c r="Q194" i="5"/>
  <c r="P194" i="5"/>
  <c r="O194" i="5"/>
  <c r="N194" i="5"/>
  <c r="L194" i="5"/>
  <c r="K194" i="5"/>
  <c r="J194" i="5"/>
  <c r="I194" i="5"/>
  <c r="H194" i="5"/>
  <c r="G194" i="5"/>
  <c r="F194" i="5"/>
  <c r="E194" i="5"/>
  <c r="D194" i="5"/>
  <c r="C194" i="5"/>
  <c r="B194" i="5"/>
  <c r="A194" i="5"/>
  <c r="BZ193" i="5"/>
  <c r="BY193" i="5"/>
  <c r="BX193" i="5"/>
  <c r="BW193" i="5"/>
  <c r="BV193" i="5"/>
  <c r="BU193" i="5"/>
  <c r="BT193" i="5"/>
  <c r="BS193" i="5"/>
  <c r="BR193" i="5"/>
  <c r="BQ193" i="5"/>
  <c r="BO193" i="5"/>
  <c r="BN193" i="5"/>
  <c r="BM193" i="5"/>
  <c r="BL193" i="5"/>
  <c r="BK193" i="5"/>
  <c r="BJ193" i="5"/>
  <c r="BI193" i="5"/>
  <c r="BH193" i="5"/>
  <c r="BG193" i="5"/>
  <c r="BF193" i="5"/>
  <c r="BD193" i="5"/>
  <c r="BC193" i="5"/>
  <c r="BB193" i="5"/>
  <c r="BA193" i="5"/>
  <c r="AZ193" i="5"/>
  <c r="AY193" i="5"/>
  <c r="AX193" i="5"/>
  <c r="AW193" i="5"/>
  <c r="AV193" i="5"/>
  <c r="AU193" i="5"/>
  <c r="AS193" i="5"/>
  <c r="AR193" i="5"/>
  <c r="AQ193" i="5"/>
  <c r="AP193" i="5"/>
  <c r="AO193" i="5"/>
  <c r="AN193" i="5"/>
  <c r="AM193" i="5"/>
  <c r="AL193" i="5"/>
  <c r="AK193" i="5"/>
  <c r="AJ193" i="5"/>
  <c r="AH193" i="5"/>
  <c r="AG193" i="5"/>
  <c r="AF193" i="5"/>
  <c r="AE193" i="5"/>
  <c r="AD193" i="5"/>
  <c r="AC193" i="5"/>
  <c r="AB193" i="5"/>
  <c r="AA193" i="5"/>
  <c r="Z193" i="5"/>
  <c r="Y193" i="5"/>
  <c r="W193" i="5"/>
  <c r="V193" i="5"/>
  <c r="U193" i="5"/>
  <c r="T193" i="5"/>
  <c r="S193" i="5"/>
  <c r="R193" i="5"/>
  <c r="Q193" i="5"/>
  <c r="P193" i="5"/>
  <c r="O193" i="5"/>
  <c r="N193" i="5"/>
  <c r="L193" i="5"/>
  <c r="K193" i="5"/>
  <c r="J193" i="5"/>
  <c r="I193" i="5"/>
  <c r="H193" i="5"/>
  <c r="G193" i="5"/>
  <c r="F193" i="5"/>
  <c r="E193" i="5"/>
  <c r="D193" i="5"/>
  <c r="C193" i="5"/>
  <c r="B193" i="5"/>
  <c r="A193" i="5"/>
  <c r="BZ192" i="5"/>
  <c r="BY192" i="5"/>
  <c r="BX192" i="5"/>
  <c r="BW192" i="5"/>
  <c r="BV192" i="5"/>
  <c r="BU192" i="5"/>
  <c r="BT192" i="5"/>
  <c r="BS192" i="5"/>
  <c r="BR192" i="5"/>
  <c r="BQ192" i="5"/>
  <c r="BO192" i="5"/>
  <c r="BN192" i="5"/>
  <c r="BM192" i="5"/>
  <c r="BL192" i="5"/>
  <c r="BK192" i="5"/>
  <c r="BJ192" i="5"/>
  <c r="BI192" i="5"/>
  <c r="BH192" i="5"/>
  <c r="BG192" i="5"/>
  <c r="BF192" i="5"/>
  <c r="BD192" i="5"/>
  <c r="BC192" i="5"/>
  <c r="BB192" i="5"/>
  <c r="BA192" i="5"/>
  <c r="AZ192" i="5"/>
  <c r="AY192" i="5"/>
  <c r="AX192" i="5"/>
  <c r="AW192" i="5"/>
  <c r="AV192" i="5"/>
  <c r="AU192" i="5"/>
  <c r="AS192" i="5"/>
  <c r="AR192" i="5"/>
  <c r="AQ192" i="5"/>
  <c r="AP192" i="5"/>
  <c r="AO192" i="5"/>
  <c r="AN192" i="5"/>
  <c r="AM192" i="5"/>
  <c r="AL192" i="5"/>
  <c r="AK192" i="5"/>
  <c r="AJ192" i="5"/>
  <c r="AH192" i="5"/>
  <c r="AG192" i="5"/>
  <c r="AF192" i="5"/>
  <c r="AE192" i="5"/>
  <c r="AD192" i="5"/>
  <c r="AC192" i="5"/>
  <c r="AB192" i="5"/>
  <c r="AA192" i="5"/>
  <c r="Z192" i="5"/>
  <c r="Y192" i="5"/>
  <c r="W192" i="5"/>
  <c r="V192" i="5"/>
  <c r="U192" i="5"/>
  <c r="T192" i="5"/>
  <c r="S192" i="5"/>
  <c r="R192" i="5"/>
  <c r="Q192" i="5"/>
  <c r="P192" i="5"/>
  <c r="O192" i="5"/>
  <c r="N192" i="5"/>
  <c r="L192" i="5"/>
  <c r="K192" i="5"/>
  <c r="J192" i="5"/>
  <c r="I192" i="5"/>
  <c r="H192" i="5"/>
  <c r="G192" i="5"/>
  <c r="F192" i="5"/>
  <c r="E192" i="5"/>
  <c r="D192" i="5"/>
  <c r="C192" i="5"/>
  <c r="B192" i="5"/>
  <c r="A192" i="5"/>
  <c r="BZ191" i="5"/>
  <c r="BY191" i="5"/>
  <c r="BX191" i="5"/>
  <c r="BW191" i="5"/>
  <c r="BV191" i="5"/>
  <c r="BU191" i="5"/>
  <c r="BT191" i="5"/>
  <c r="BS191" i="5"/>
  <c r="BR191" i="5"/>
  <c r="BQ191" i="5"/>
  <c r="BO191" i="5"/>
  <c r="BN191" i="5"/>
  <c r="BM191" i="5"/>
  <c r="BL191" i="5"/>
  <c r="BK191" i="5"/>
  <c r="BJ191" i="5"/>
  <c r="BI191" i="5"/>
  <c r="BH191" i="5"/>
  <c r="BG191" i="5"/>
  <c r="BF191" i="5"/>
  <c r="BD191" i="5"/>
  <c r="BC191" i="5"/>
  <c r="BB191" i="5"/>
  <c r="BA191" i="5"/>
  <c r="AZ191" i="5"/>
  <c r="AY191" i="5"/>
  <c r="AX191" i="5"/>
  <c r="AW191" i="5"/>
  <c r="AV191" i="5"/>
  <c r="AU191" i="5"/>
  <c r="AS191" i="5"/>
  <c r="AR191" i="5"/>
  <c r="AQ191" i="5"/>
  <c r="AP191" i="5"/>
  <c r="AO191" i="5"/>
  <c r="AN191" i="5"/>
  <c r="AM191" i="5"/>
  <c r="AL191" i="5"/>
  <c r="AK191" i="5"/>
  <c r="AJ191" i="5"/>
  <c r="AH191" i="5"/>
  <c r="AG191" i="5"/>
  <c r="AF191" i="5"/>
  <c r="AE191" i="5"/>
  <c r="AD191" i="5"/>
  <c r="AC191" i="5"/>
  <c r="AB191" i="5"/>
  <c r="AA191" i="5"/>
  <c r="Z191" i="5"/>
  <c r="Y191" i="5"/>
  <c r="W191" i="5"/>
  <c r="V191" i="5"/>
  <c r="U191" i="5"/>
  <c r="T191" i="5"/>
  <c r="S191" i="5"/>
  <c r="R191" i="5"/>
  <c r="Q191" i="5"/>
  <c r="P191" i="5"/>
  <c r="O191" i="5"/>
  <c r="N191" i="5"/>
  <c r="L191" i="5"/>
  <c r="K191" i="5"/>
  <c r="J191" i="5"/>
  <c r="I191" i="5"/>
  <c r="H191" i="5"/>
  <c r="G191" i="5"/>
  <c r="F191" i="5"/>
  <c r="E191" i="5"/>
  <c r="D191" i="5"/>
  <c r="C191" i="5"/>
  <c r="B191" i="5"/>
  <c r="A191" i="5"/>
  <c r="BZ190" i="5"/>
  <c r="BY190" i="5"/>
  <c r="BX190" i="5"/>
  <c r="BW190" i="5"/>
  <c r="BV190" i="5"/>
  <c r="BU190" i="5"/>
  <c r="BT190" i="5"/>
  <c r="BS190" i="5"/>
  <c r="BR190" i="5"/>
  <c r="BQ190" i="5"/>
  <c r="BO190" i="5"/>
  <c r="BN190" i="5"/>
  <c r="BM190" i="5"/>
  <c r="BL190" i="5"/>
  <c r="BK190" i="5"/>
  <c r="BJ190" i="5"/>
  <c r="BI190" i="5"/>
  <c r="BH190" i="5"/>
  <c r="BG190" i="5"/>
  <c r="BF190" i="5"/>
  <c r="BD190" i="5"/>
  <c r="BC190" i="5"/>
  <c r="BB190" i="5"/>
  <c r="BA190" i="5"/>
  <c r="AZ190" i="5"/>
  <c r="AY190" i="5"/>
  <c r="AX190" i="5"/>
  <c r="AW190" i="5"/>
  <c r="AV190" i="5"/>
  <c r="AU190" i="5"/>
  <c r="AS190" i="5"/>
  <c r="AR190" i="5"/>
  <c r="AQ190" i="5"/>
  <c r="AP190" i="5"/>
  <c r="AO190" i="5"/>
  <c r="AN190" i="5"/>
  <c r="AM190" i="5"/>
  <c r="AL190" i="5"/>
  <c r="AK190" i="5"/>
  <c r="AJ190" i="5"/>
  <c r="AH190" i="5"/>
  <c r="AG190" i="5"/>
  <c r="AF190" i="5"/>
  <c r="AE190" i="5"/>
  <c r="AD190" i="5"/>
  <c r="AC190" i="5"/>
  <c r="AB190" i="5"/>
  <c r="AA190" i="5"/>
  <c r="Z190" i="5"/>
  <c r="Y190" i="5"/>
  <c r="W190" i="5"/>
  <c r="V190" i="5"/>
  <c r="U190" i="5"/>
  <c r="T190" i="5"/>
  <c r="S190" i="5"/>
  <c r="R190" i="5"/>
  <c r="Q190" i="5"/>
  <c r="P190" i="5"/>
  <c r="O190" i="5"/>
  <c r="N190" i="5"/>
  <c r="L190" i="5"/>
  <c r="K190" i="5"/>
  <c r="J190" i="5"/>
  <c r="I190" i="5"/>
  <c r="H190" i="5"/>
  <c r="G190" i="5"/>
  <c r="F190" i="5"/>
  <c r="E190" i="5"/>
  <c r="D190" i="5"/>
  <c r="C190" i="5"/>
  <c r="B190" i="5"/>
  <c r="A190" i="5"/>
  <c r="BZ189" i="5"/>
  <c r="BY189" i="5"/>
  <c r="BX189" i="5"/>
  <c r="BW189" i="5"/>
  <c r="BV189" i="5"/>
  <c r="BU189" i="5"/>
  <c r="BT189" i="5"/>
  <c r="BS189" i="5"/>
  <c r="BR189" i="5"/>
  <c r="BQ189" i="5"/>
  <c r="BO189" i="5"/>
  <c r="BN189" i="5"/>
  <c r="BM189" i="5"/>
  <c r="BL189" i="5"/>
  <c r="BK189" i="5"/>
  <c r="BJ189" i="5"/>
  <c r="BI189" i="5"/>
  <c r="BH189" i="5"/>
  <c r="BG189" i="5"/>
  <c r="BF189" i="5"/>
  <c r="BD189" i="5"/>
  <c r="BC189" i="5"/>
  <c r="BB189" i="5"/>
  <c r="BA189" i="5"/>
  <c r="AZ189" i="5"/>
  <c r="AY189" i="5"/>
  <c r="AX189" i="5"/>
  <c r="AW189" i="5"/>
  <c r="AV189" i="5"/>
  <c r="AU189" i="5"/>
  <c r="AS189" i="5"/>
  <c r="AR189" i="5"/>
  <c r="AQ189" i="5"/>
  <c r="AP189" i="5"/>
  <c r="AO189" i="5"/>
  <c r="AN189" i="5"/>
  <c r="AM189" i="5"/>
  <c r="AL189" i="5"/>
  <c r="AK189" i="5"/>
  <c r="AJ189" i="5"/>
  <c r="AH189" i="5"/>
  <c r="AG189" i="5"/>
  <c r="AF189" i="5"/>
  <c r="AE189" i="5"/>
  <c r="AD189" i="5"/>
  <c r="AC189" i="5"/>
  <c r="AB189" i="5"/>
  <c r="AA189" i="5"/>
  <c r="Z189" i="5"/>
  <c r="Y189" i="5"/>
  <c r="W189" i="5"/>
  <c r="V189" i="5"/>
  <c r="U189" i="5"/>
  <c r="T189" i="5"/>
  <c r="S189" i="5"/>
  <c r="R189" i="5"/>
  <c r="Q189" i="5"/>
  <c r="P189" i="5"/>
  <c r="O189" i="5"/>
  <c r="N189" i="5"/>
  <c r="L189" i="5"/>
  <c r="K189" i="5"/>
  <c r="J189" i="5"/>
  <c r="I189" i="5"/>
  <c r="H189" i="5"/>
  <c r="G189" i="5"/>
  <c r="F189" i="5"/>
  <c r="E189" i="5"/>
  <c r="D189" i="5"/>
  <c r="C189" i="5"/>
  <c r="B189" i="5"/>
  <c r="A189" i="5"/>
  <c r="BZ188" i="5"/>
  <c r="BY188" i="5"/>
  <c r="BX188" i="5"/>
  <c r="BW188" i="5"/>
  <c r="BV188" i="5"/>
  <c r="BU188" i="5"/>
  <c r="BT188" i="5"/>
  <c r="BS188" i="5"/>
  <c r="BR188" i="5"/>
  <c r="BQ188" i="5"/>
  <c r="BO188" i="5"/>
  <c r="BN188" i="5"/>
  <c r="BM188" i="5"/>
  <c r="BL188" i="5"/>
  <c r="BK188" i="5"/>
  <c r="BJ188" i="5"/>
  <c r="BI188" i="5"/>
  <c r="BH188" i="5"/>
  <c r="BG188" i="5"/>
  <c r="BF188" i="5"/>
  <c r="BD188" i="5"/>
  <c r="BC188" i="5"/>
  <c r="BB188" i="5"/>
  <c r="BA188" i="5"/>
  <c r="AZ188" i="5"/>
  <c r="AY188" i="5"/>
  <c r="AX188" i="5"/>
  <c r="AW188" i="5"/>
  <c r="AV188" i="5"/>
  <c r="AU188" i="5"/>
  <c r="AS188" i="5"/>
  <c r="AR188" i="5"/>
  <c r="AQ188" i="5"/>
  <c r="AP188" i="5"/>
  <c r="AO188" i="5"/>
  <c r="AN188" i="5"/>
  <c r="AM188" i="5"/>
  <c r="AL188" i="5"/>
  <c r="AK188" i="5"/>
  <c r="AJ188" i="5"/>
  <c r="AH188" i="5"/>
  <c r="AG188" i="5"/>
  <c r="AF188" i="5"/>
  <c r="AE188" i="5"/>
  <c r="AD188" i="5"/>
  <c r="AC188" i="5"/>
  <c r="AB188" i="5"/>
  <c r="AA188" i="5"/>
  <c r="Z188" i="5"/>
  <c r="Y188" i="5"/>
  <c r="W188" i="5"/>
  <c r="V188" i="5"/>
  <c r="U188" i="5"/>
  <c r="T188" i="5"/>
  <c r="S188" i="5"/>
  <c r="R188" i="5"/>
  <c r="Q188" i="5"/>
  <c r="P188" i="5"/>
  <c r="O188" i="5"/>
  <c r="N188" i="5"/>
  <c r="L188" i="5"/>
  <c r="K188" i="5"/>
  <c r="J188" i="5"/>
  <c r="I188" i="5"/>
  <c r="H188" i="5"/>
  <c r="G188" i="5"/>
  <c r="F188" i="5"/>
  <c r="E188" i="5"/>
  <c r="D188" i="5"/>
  <c r="C188" i="5"/>
  <c r="B188" i="5"/>
  <c r="A188" i="5"/>
  <c r="BZ187" i="5"/>
  <c r="BY187" i="5"/>
  <c r="BX187" i="5"/>
  <c r="BW187" i="5"/>
  <c r="BV187" i="5"/>
  <c r="BU187" i="5"/>
  <c r="BT187" i="5"/>
  <c r="BS187" i="5"/>
  <c r="BR187" i="5"/>
  <c r="BQ187" i="5"/>
  <c r="BO187" i="5"/>
  <c r="BN187" i="5"/>
  <c r="BM187" i="5"/>
  <c r="BL187" i="5"/>
  <c r="BK187" i="5"/>
  <c r="BJ187" i="5"/>
  <c r="BI187" i="5"/>
  <c r="BH187" i="5"/>
  <c r="BG187" i="5"/>
  <c r="BF187" i="5"/>
  <c r="BD187" i="5"/>
  <c r="BC187" i="5"/>
  <c r="BB187" i="5"/>
  <c r="BA187" i="5"/>
  <c r="AZ187" i="5"/>
  <c r="AY187" i="5"/>
  <c r="AX187" i="5"/>
  <c r="AW187" i="5"/>
  <c r="AV187" i="5"/>
  <c r="AU187" i="5"/>
  <c r="AS187" i="5"/>
  <c r="AR187" i="5"/>
  <c r="AQ187" i="5"/>
  <c r="AP187" i="5"/>
  <c r="AO187" i="5"/>
  <c r="AN187" i="5"/>
  <c r="AM187" i="5"/>
  <c r="AL187" i="5"/>
  <c r="AK187" i="5"/>
  <c r="AJ187" i="5"/>
  <c r="AH187" i="5"/>
  <c r="AG187" i="5"/>
  <c r="AF187" i="5"/>
  <c r="AE187" i="5"/>
  <c r="AD187" i="5"/>
  <c r="AC187" i="5"/>
  <c r="AB187" i="5"/>
  <c r="AA187" i="5"/>
  <c r="Z187" i="5"/>
  <c r="Y187" i="5"/>
  <c r="W187" i="5"/>
  <c r="V187" i="5"/>
  <c r="U187" i="5"/>
  <c r="T187" i="5"/>
  <c r="S187" i="5"/>
  <c r="R187" i="5"/>
  <c r="Q187" i="5"/>
  <c r="P187" i="5"/>
  <c r="O187" i="5"/>
  <c r="N187" i="5"/>
  <c r="L187" i="5"/>
  <c r="K187" i="5"/>
  <c r="J187" i="5"/>
  <c r="I187" i="5"/>
  <c r="H187" i="5"/>
  <c r="G187" i="5"/>
  <c r="F187" i="5"/>
  <c r="E187" i="5"/>
  <c r="D187" i="5"/>
  <c r="C187" i="5"/>
  <c r="B187" i="5"/>
  <c r="A187" i="5"/>
  <c r="BZ186" i="5"/>
  <c r="BY186" i="5"/>
  <c r="BX186" i="5"/>
  <c r="BW186" i="5"/>
  <c r="BV186" i="5"/>
  <c r="BU186" i="5"/>
  <c r="BT186" i="5"/>
  <c r="BS186" i="5"/>
  <c r="BR186" i="5"/>
  <c r="BQ186" i="5"/>
  <c r="BO186" i="5"/>
  <c r="BN186" i="5"/>
  <c r="BM186" i="5"/>
  <c r="BL186" i="5"/>
  <c r="BK186" i="5"/>
  <c r="BJ186" i="5"/>
  <c r="BI186" i="5"/>
  <c r="BH186" i="5"/>
  <c r="BG186" i="5"/>
  <c r="BF186" i="5"/>
  <c r="BD186" i="5"/>
  <c r="BC186" i="5"/>
  <c r="BB186" i="5"/>
  <c r="BA186" i="5"/>
  <c r="AZ186" i="5"/>
  <c r="AY186" i="5"/>
  <c r="AX186" i="5"/>
  <c r="AW186" i="5"/>
  <c r="AV186" i="5"/>
  <c r="AU186" i="5"/>
  <c r="AS186" i="5"/>
  <c r="AR186" i="5"/>
  <c r="AQ186" i="5"/>
  <c r="AP186" i="5"/>
  <c r="AO186" i="5"/>
  <c r="AN186" i="5"/>
  <c r="AM186" i="5"/>
  <c r="AL186" i="5"/>
  <c r="AK186" i="5"/>
  <c r="AJ186" i="5"/>
  <c r="AH186" i="5"/>
  <c r="AG186" i="5"/>
  <c r="AF186" i="5"/>
  <c r="AE186" i="5"/>
  <c r="AD186" i="5"/>
  <c r="AC186" i="5"/>
  <c r="AB186" i="5"/>
  <c r="AA186" i="5"/>
  <c r="Z186" i="5"/>
  <c r="Y186" i="5"/>
  <c r="W186" i="5"/>
  <c r="V186" i="5"/>
  <c r="U186" i="5"/>
  <c r="T186" i="5"/>
  <c r="S186" i="5"/>
  <c r="R186" i="5"/>
  <c r="Q186" i="5"/>
  <c r="P186" i="5"/>
  <c r="O186" i="5"/>
  <c r="N186" i="5"/>
  <c r="L186" i="5"/>
  <c r="K186" i="5"/>
  <c r="J186" i="5"/>
  <c r="I186" i="5"/>
  <c r="H186" i="5"/>
  <c r="G186" i="5"/>
  <c r="F186" i="5"/>
  <c r="E186" i="5"/>
  <c r="D186" i="5"/>
  <c r="C186" i="5"/>
  <c r="B186" i="5"/>
  <c r="A186" i="5"/>
  <c r="BZ185" i="5"/>
  <c r="BY185" i="5"/>
  <c r="BX185" i="5"/>
  <c r="BW185" i="5"/>
  <c r="BV185" i="5"/>
  <c r="BU185" i="5"/>
  <c r="BT185" i="5"/>
  <c r="BS185" i="5"/>
  <c r="BR185" i="5"/>
  <c r="BQ185" i="5"/>
  <c r="BO185" i="5"/>
  <c r="BN185" i="5"/>
  <c r="BM185" i="5"/>
  <c r="BL185" i="5"/>
  <c r="BK185" i="5"/>
  <c r="BJ185" i="5"/>
  <c r="BI185" i="5"/>
  <c r="BH185" i="5"/>
  <c r="BG185" i="5"/>
  <c r="BF185" i="5"/>
  <c r="BD185" i="5"/>
  <c r="BC185" i="5"/>
  <c r="BB185" i="5"/>
  <c r="BA185" i="5"/>
  <c r="AZ185" i="5"/>
  <c r="AY185" i="5"/>
  <c r="AX185" i="5"/>
  <c r="AW185" i="5"/>
  <c r="AV185" i="5"/>
  <c r="AU185" i="5"/>
  <c r="AS185" i="5"/>
  <c r="AR185" i="5"/>
  <c r="AQ185" i="5"/>
  <c r="AP185" i="5"/>
  <c r="AO185" i="5"/>
  <c r="AN185" i="5"/>
  <c r="AM185" i="5"/>
  <c r="AL185" i="5"/>
  <c r="AK185" i="5"/>
  <c r="AJ185" i="5"/>
  <c r="AH185" i="5"/>
  <c r="AG185" i="5"/>
  <c r="AF185" i="5"/>
  <c r="AE185" i="5"/>
  <c r="AD185" i="5"/>
  <c r="AC185" i="5"/>
  <c r="AB185" i="5"/>
  <c r="AA185" i="5"/>
  <c r="Z185" i="5"/>
  <c r="Y185" i="5"/>
  <c r="W185" i="5"/>
  <c r="V185" i="5"/>
  <c r="U185" i="5"/>
  <c r="T185" i="5"/>
  <c r="S185" i="5"/>
  <c r="R185" i="5"/>
  <c r="Q185" i="5"/>
  <c r="P185" i="5"/>
  <c r="O185" i="5"/>
  <c r="N185" i="5"/>
  <c r="L185" i="5"/>
  <c r="K185" i="5"/>
  <c r="J185" i="5"/>
  <c r="I185" i="5"/>
  <c r="H185" i="5"/>
  <c r="G185" i="5"/>
  <c r="F185" i="5"/>
  <c r="E185" i="5"/>
  <c r="D185" i="5"/>
  <c r="C185" i="5"/>
  <c r="B185" i="5"/>
  <c r="A185" i="5"/>
  <c r="BZ184" i="5"/>
  <c r="BY184" i="5"/>
  <c r="BX184" i="5"/>
  <c r="BW184" i="5"/>
  <c r="BV184" i="5"/>
  <c r="BU184" i="5"/>
  <c r="BT184" i="5"/>
  <c r="BS184" i="5"/>
  <c r="BR184" i="5"/>
  <c r="BQ184" i="5"/>
  <c r="BO184" i="5"/>
  <c r="BN184" i="5"/>
  <c r="BM184" i="5"/>
  <c r="BL184" i="5"/>
  <c r="BK184" i="5"/>
  <c r="BJ184" i="5"/>
  <c r="BI184" i="5"/>
  <c r="BH184" i="5"/>
  <c r="BG184" i="5"/>
  <c r="BF184" i="5"/>
  <c r="BD184" i="5"/>
  <c r="BC184" i="5"/>
  <c r="BB184" i="5"/>
  <c r="BA184" i="5"/>
  <c r="AZ184" i="5"/>
  <c r="AY184" i="5"/>
  <c r="AX184" i="5"/>
  <c r="AW184" i="5"/>
  <c r="AV184" i="5"/>
  <c r="AU184" i="5"/>
  <c r="AS184" i="5"/>
  <c r="AR184" i="5"/>
  <c r="AQ184" i="5"/>
  <c r="AP184" i="5"/>
  <c r="AO184" i="5"/>
  <c r="AN184" i="5"/>
  <c r="AM184" i="5"/>
  <c r="AL184" i="5"/>
  <c r="AK184" i="5"/>
  <c r="AJ184" i="5"/>
  <c r="AH184" i="5"/>
  <c r="AG184" i="5"/>
  <c r="AF184" i="5"/>
  <c r="AE184" i="5"/>
  <c r="AD184" i="5"/>
  <c r="AC184" i="5"/>
  <c r="AB184" i="5"/>
  <c r="AA184" i="5"/>
  <c r="Z184" i="5"/>
  <c r="Y184" i="5"/>
  <c r="W184" i="5"/>
  <c r="V184" i="5"/>
  <c r="U184" i="5"/>
  <c r="T184" i="5"/>
  <c r="S184" i="5"/>
  <c r="R184" i="5"/>
  <c r="Q184" i="5"/>
  <c r="P184" i="5"/>
  <c r="O184" i="5"/>
  <c r="N184" i="5"/>
  <c r="L184" i="5"/>
  <c r="K184" i="5"/>
  <c r="J184" i="5"/>
  <c r="I184" i="5"/>
  <c r="H184" i="5"/>
  <c r="G184" i="5"/>
  <c r="F184" i="5"/>
  <c r="E184" i="5"/>
  <c r="D184" i="5"/>
  <c r="C184" i="5"/>
  <c r="B184" i="5"/>
  <c r="A184" i="5"/>
  <c r="BZ183" i="5"/>
  <c r="BY183" i="5"/>
  <c r="BX183" i="5"/>
  <c r="BW183" i="5"/>
  <c r="BV183" i="5"/>
  <c r="BU183" i="5"/>
  <c r="BT183" i="5"/>
  <c r="BS183" i="5"/>
  <c r="BR183" i="5"/>
  <c r="BQ183" i="5"/>
  <c r="BO183" i="5"/>
  <c r="BN183" i="5"/>
  <c r="BM183" i="5"/>
  <c r="BL183" i="5"/>
  <c r="BK183" i="5"/>
  <c r="BJ183" i="5"/>
  <c r="BI183" i="5"/>
  <c r="BH183" i="5"/>
  <c r="BG183" i="5"/>
  <c r="BF183" i="5"/>
  <c r="BD183" i="5"/>
  <c r="BC183" i="5"/>
  <c r="BB183" i="5"/>
  <c r="BA183" i="5"/>
  <c r="AZ183" i="5"/>
  <c r="AY183" i="5"/>
  <c r="AX183" i="5"/>
  <c r="AW183" i="5"/>
  <c r="AV183" i="5"/>
  <c r="AU183" i="5"/>
  <c r="AS183" i="5"/>
  <c r="AR183" i="5"/>
  <c r="AQ183" i="5"/>
  <c r="AP183" i="5"/>
  <c r="AO183" i="5"/>
  <c r="AN183" i="5"/>
  <c r="AM183" i="5"/>
  <c r="AL183" i="5"/>
  <c r="AK183" i="5"/>
  <c r="AJ183" i="5"/>
  <c r="AH183" i="5"/>
  <c r="AG183" i="5"/>
  <c r="AF183" i="5"/>
  <c r="AE183" i="5"/>
  <c r="AD183" i="5"/>
  <c r="AC183" i="5"/>
  <c r="AB183" i="5"/>
  <c r="AA183" i="5"/>
  <c r="Z183" i="5"/>
  <c r="Y183" i="5"/>
  <c r="W183" i="5"/>
  <c r="V183" i="5"/>
  <c r="U183" i="5"/>
  <c r="T183" i="5"/>
  <c r="S183" i="5"/>
  <c r="R183" i="5"/>
  <c r="Q183" i="5"/>
  <c r="P183" i="5"/>
  <c r="O183" i="5"/>
  <c r="N183" i="5"/>
  <c r="L183" i="5"/>
  <c r="K183" i="5"/>
  <c r="J183" i="5"/>
  <c r="I183" i="5"/>
  <c r="H183" i="5"/>
  <c r="G183" i="5"/>
  <c r="F183" i="5"/>
  <c r="E183" i="5"/>
  <c r="D183" i="5"/>
  <c r="C183" i="5"/>
  <c r="B183" i="5"/>
  <c r="A183" i="5"/>
  <c r="BZ182" i="5"/>
  <c r="BY182" i="5"/>
  <c r="BX182" i="5"/>
  <c r="BW182" i="5"/>
  <c r="BV182" i="5"/>
  <c r="BU182" i="5"/>
  <c r="BT182" i="5"/>
  <c r="BS182" i="5"/>
  <c r="BR182" i="5"/>
  <c r="BQ182" i="5"/>
  <c r="BO182" i="5"/>
  <c r="BN182" i="5"/>
  <c r="BM182" i="5"/>
  <c r="BL182" i="5"/>
  <c r="BK182" i="5"/>
  <c r="BJ182" i="5"/>
  <c r="BI182" i="5"/>
  <c r="BH182" i="5"/>
  <c r="BG182" i="5"/>
  <c r="BF182" i="5"/>
  <c r="BD182" i="5"/>
  <c r="BC182" i="5"/>
  <c r="BB182" i="5"/>
  <c r="BA182" i="5"/>
  <c r="AZ182" i="5"/>
  <c r="AY182" i="5"/>
  <c r="AX182" i="5"/>
  <c r="AW182" i="5"/>
  <c r="AV182" i="5"/>
  <c r="AU182" i="5"/>
  <c r="AS182" i="5"/>
  <c r="AR182" i="5"/>
  <c r="AQ182" i="5"/>
  <c r="AP182" i="5"/>
  <c r="AO182" i="5"/>
  <c r="AN182" i="5"/>
  <c r="AM182" i="5"/>
  <c r="AL182" i="5"/>
  <c r="AK182" i="5"/>
  <c r="AJ182" i="5"/>
  <c r="AH182" i="5"/>
  <c r="AG182" i="5"/>
  <c r="AF182" i="5"/>
  <c r="AE182" i="5"/>
  <c r="AD182" i="5"/>
  <c r="AC182" i="5"/>
  <c r="AB182" i="5"/>
  <c r="AA182" i="5"/>
  <c r="Z182" i="5"/>
  <c r="Y182" i="5"/>
  <c r="W182" i="5"/>
  <c r="V182" i="5"/>
  <c r="U182" i="5"/>
  <c r="T182" i="5"/>
  <c r="S182" i="5"/>
  <c r="R182" i="5"/>
  <c r="Q182" i="5"/>
  <c r="P182" i="5"/>
  <c r="O182" i="5"/>
  <c r="N182" i="5"/>
  <c r="L182" i="5"/>
  <c r="K182" i="5"/>
  <c r="J182" i="5"/>
  <c r="I182" i="5"/>
  <c r="H182" i="5"/>
  <c r="G182" i="5"/>
  <c r="F182" i="5"/>
  <c r="E182" i="5"/>
  <c r="D182" i="5"/>
  <c r="C182" i="5"/>
  <c r="B182" i="5"/>
  <c r="A182" i="5"/>
  <c r="BZ181" i="5"/>
  <c r="BY181" i="5"/>
  <c r="BX181" i="5"/>
  <c r="BW181" i="5"/>
  <c r="BV181" i="5"/>
  <c r="BU181" i="5"/>
  <c r="BT181" i="5"/>
  <c r="BS181" i="5"/>
  <c r="BR181" i="5"/>
  <c r="BQ181" i="5"/>
  <c r="BO181" i="5"/>
  <c r="BN181" i="5"/>
  <c r="BM181" i="5"/>
  <c r="BL181" i="5"/>
  <c r="BK181" i="5"/>
  <c r="BJ181" i="5"/>
  <c r="BI181" i="5"/>
  <c r="BH181" i="5"/>
  <c r="BG181" i="5"/>
  <c r="BF181" i="5"/>
  <c r="BD181" i="5"/>
  <c r="BC181" i="5"/>
  <c r="BB181" i="5"/>
  <c r="BA181" i="5"/>
  <c r="AZ181" i="5"/>
  <c r="AY181" i="5"/>
  <c r="AX181" i="5"/>
  <c r="AW181" i="5"/>
  <c r="AV181" i="5"/>
  <c r="AU181" i="5"/>
  <c r="AS181" i="5"/>
  <c r="AR181" i="5"/>
  <c r="AQ181" i="5"/>
  <c r="AP181" i="5"/>
  <c r="AO181" i="5"/>
  <c r="AN181" i="5"/>
  <c r="AM181" i="5"/>
  <c r="AL181" i="5"/>
  <c r="AK181" i="5"/>
  <c r="AJ181" i="5"/>
  <c r="AH181" i="5"/>
  <c r="AG181" i="5"/>
  <c r="AF181" i="5"/>
  <c r="AE181" i="5"/>
  <c r="AD181" i="5"/>
  <c r="AC181" i="5"/>
  <c r="AB181" i="5"/>
  <c r="AA181" i="5"/>
  <c r="Z181" i="5"/>
  <c r="Y181" i="5"/>
  <c r="W181" i="5"/>
  <c r="V181" i="5"/>
  <c r="U181" i="5"/>
  <c r="T181" i="5"/>
  <c r="S181" i="5"/>
  <c r="R181" i="5"/>
  <c r="Q181" i="5"/>
  <c r="P181" i="5"/>
  <c r="O181" i="5"/>
  <c r="N181" i="5"/>
  <c r="L181" i="5"/>
  <c r="K181" i="5"/>
  <c r="J181" i="5"/>
  <c r="I181" i="5"/>
  <c r="H181" i="5"/>
  <c r="G181" i="5"/>
  <c r="F181" i="5"/>
  <c r="E181" i="5"/>
  <c r="D181" i="5"/>
  <c r="C181" i="5"/>
  <c r="B181" i="5"/>
  <c r="A181" i="5"/>
  <c r="BZ180" i="5"/>
  <c r="BY180" i="5"/>
  <c r="BX180" i="5"/>
  <c r="BW180" i="5"/>
  <c r="BV180" i="5"/>
  <c r="BU180" i="5"/>
  <c r="BT180" i="5"/>
  <c r="BS180" i="5"/>
  <c r="BR180" i="5"/>
  <c r="BQ180" i="5"/>
  <c r="BO180" i="5"/>
  <c r="BN180" i="5"/>
  <c r="BM180" i="5"/>
  <c r="BL180" i="5"/>
  <c r="BK180" i="5"/>
  <c r="BJ180" i="5"/>
  <c r="BI180" i="5"/>
  <c r="BH180" i="5"/>
  <c r="BG180" i="5"/>
  <c r="BF180" i="5"/>
  <c r="BD180" i="5"/>
  <c r="BC180" i="5"/>
  <c r="BB180" i="5"/>
  <c r="BA180" i="5"/>
  <c r="AZ180" i="5"/>
  <c r="AY180" i="5"/>
  <c r="AX180" i="5"/>
  <c r="AW180" i="5"/>
  <c r="AV180" i="5"/>
  <c r="AU180" i="5"/>
  <c r="AS180" i="5"/>
  <c r="AR180" i="5"/>
  <c r="AQ180" i="5"/>
  <c r="AP180" i="5"/>
  <c r="AO180" i="5"/>
  <c r="AN180" i="5"/>
  <c r="AM180" i="5"/>
  <c r="AL180" i="5"/>
  <c r="AK180" i="5"/>
  <c r="AJ180" i="5"/>
  <c r="AH180" i="5"/>
  <c r="AG180" i="5"/>
  <c r="AF180" i="5"/>
  <c r="AE180" i="5"/>
  <c r="AD180" i="5"/>
  <c r="AC180" i="5"/>
  <c r="AB180" i="5"/>
  <c r="AA180" i="5"/>
  <c r="Z180" i="5"/>
  <c r="Y180" i="5"/>
  <c r="W180" i="5"/>
  <c r="V180" i="5"/>
  <c r="U180" i="5"/>
  <c r="T180" i="5"/>
  <c r="S180" i="5"/>
  <c r="R180" i="5"/>
  <c r="Q180" i="5"/>
  <c r="P180" i="5"/>
  <c r="O180" i="5"/>
  <c r="N180" i="5"/>
  <c r="L180" i="5"/>
  <c r="K180" i="5"/>
  <c r="J180" i="5"/>
  <c r="I180" i="5"/>
  <c r="H180" i="5"/>
  <c r="G180" i="5"/>
  <c r="F180" i="5"/>
  <c r="E180" i="5"/>
  <c r="D180" i="5"/>
  <c r="C180" i="5"/>
  <c r="B180" i="5"/>
  <c r="A180" i="5"/>
  <c r="BZ179" i="5"/>
  <c r="BY179" i="5"/>
  <c r="BX179" i="5"/>
  <c r="BW179" i="5"/>
  <c r="BV179" i="5"/>
  <c r="BU179" i="5"/>
  <c r="BT179" i="5"/>
  <c r="BS179" i="5"/>
  <c r="BR179" i="5"/>
  <c r="BQ179" i="5"/>
  <c r="BO179" i="5"/>
  <c r="BN179" i="5"/>
  <c r="BM179" i="5"/>
  <c r="BL179" i="5"/>
  <c r="BK179" i="5"/>
  <c r="BJ179" i="5"/>
  <c r="BI179" i="5"/>
  <c r="BH179" i="5"/>
  <c r="BG179" i="5"/>
  <c r="BF179" i="5"/>
  <c r="BD179" i="5"/>
  <c r="BC179" i="5"/>
  <c r="BB179" i="5"/>
  <c r="BA179" i="5"/>
  <c r="AZ179" i="5"/>
  <c r="AY179" i="5"/>
  <c r="AX179" i="5"/>
  <c r="AW179" i="5"/>
  <c r="AV179" i="5"/>
  <c r="AU179" i="5"/>
  <c r="AS179" i="5"/>
  <c r="AR179" i="5"/>
  <c r="AQ179" i="5"/>
  <c r="AP179" i="5"/>
  <c r="AO179" i="5"/>
  <c r="AN179" i="5"/>
  <c r="AM179" i="5"/>
  <c r="AL179" i="5"/>
  <c r="AK179" i="5"/>
  <c r="AJ179" i="5"/>
  <c r="AH179" i="5"/>
  <c r="AG179" i="5"/>
  <c r="AF179" i="5"/>
  <c r="AE179" i="5"/>
  <c r="AD179" i="5"/>
  <c r="AC179" i="5"/>
  <c r="AB179" i="5"/>
  <c r="AA179" i="5"/>
  <c r="Z179" i="5"/>
  <c r="Y179" i="5"/>
  <c r="W179" i="5"/>
  <c r="V179" i="5"/>
  <c r="U179" i="5"/>
  <c r="T179" i="5"/>
  <c r="S179" i="5"/>
  <c r="R179" i="5"/>
  <c r="Q179" i="5"/>
  <c r="P179" i="5"/>
  <c r="O179" i="5"/>
  <c r="N179" i="5"/>
  <c r="L179" i="5"/>
  <c r="K179" i="5"/>
  <c r="J179" i="5"/>
  <c r="I179" i="5"/>
  <c r="H179" i="5"/>
  <c r="G179" i="5"/>
  <c r="F179" i="5"/>
  <c r="E179" i="5"/>
  <c r="D179" i="5"/>
  <c r="C179" i="5"/>
  <c r="B179" i="5"/>
  <c r="A179" i="5"/>
  <c r="BZ178" i="5"/>
  <c r="BY178" i="5"/>
  <c r="BX178" i="5"/>
  <c r="BW178" i="5"/>
  <c r="BV178" i="5"/>
  <c r="BU178" i="5"/>
  <c r="BT178" i="5"/>
  <c r="BS178" i="5"/>
  <c r="BR178" i="5"/>
  <c r="BQ178" i="5"/>
  <c r="BO178" i="5"/>
  <c r="BN178" i="5"/>
  <c r="BM178" i="5"/>
  <c r="BL178" i="5"/>
  <c r="BK178" i="5"/>
  <c r="BJ178" i="5"/>
  <c r="BI178" i="5"/>
  <c r="BH178" i="5"/>
  <c r="BG178" i="5"/>
  <c r="BF178" i="5"/>
  <c r="BD178" i="5"/>
  <c r="BC178" i="5"/>
  <c r="BB178" i="5"/>
  <c r="BA178" i="5"/>
  <c r="AZ178" i="5"/>
  <c r="AY178" i="5"/>
  <c r="AX178" i="5"/>
  <c r="AW178" i="5"/>
  <c r="AV178" i="5"/>
  <c r="AU178" i="5"/>
  <c r="AS178" i="5"/>
  <c r="AR178" i="5"/>
  <c r="AQ178" i="5"/>
  <c r="AP178" i="5"/>
  <c r="AO178" i="5"/>
  <c r="AN178" i="5"/>
  <c r="AM178" i="5"/>
  <c r="AL178" i="5"/>
  <c r="AK178" i="5"/>
  <c r="AJ178" i="5"/>
  <c r="AH178" i="5"/>
  <c r="AG178" i="5"/>
  <c r="AF178" i="5"/>
  <c r="AE178" i="5"/>
  <c r="AD178" i="5"/>
  <c r="AC178" i="5"/>
  <c r="AB178" i="5"/>
  <c r="AA178" i="5"/>
  <c r="Z178" i="5"/>
  <c r="Y178" i="5"/>
  <c r="W178" i="5"/>
  <c r="V178" i="5"/>
  <c r="U178" i="5"/>
  <c r="T178" i="5"/>
  <c r="S178" i="5"/>
  <c r="R178" i="5"/>
  <c r="Q178" i="5"/>
  <c r="P178" i="5"/>
  <c r="O178" i="5"/>
  <c r="N178" i="5"/>
  <c r="L178" i="5"/>
  <c r="K178" i="5"/>
  <c r="J178" i="5"/>
  <c r="I178" i="5"/>
  <c r="H178" i="5"/>
  <c r="G178" i="5"/>
  <c r="F178" i="5"/>
  <c r="E178" i="5"/>
  <c r="D178" i="5"/>
  <c r="C178" i="5"/>
  <c r="B178" i="5"/>
  <c r="A178" i="5"/>
  <c r="BZ177" i="5"/>
  <c r="BY177" i="5"/>
  <c r="BX177" i="5"/>
  <c r="BW177" i="5"/>
  <c r="BV177" i="5"/>
  <c r="BU177" i="5"/>
  <c r="BT177" i="5"/>
  <c r="BS177" i="5"/>
  <c r="BR177" i="5"/>
  <c r="BQ177" i="5"/>
  <c r="BO177" i="5"/>
  <c r="BN177" i="5"/>
  <c r="BM177" i="5"/>
  <c r="BL177" i="5"/>
  <c r="BK177" i="5"/>
  <c r="BJ177" i="5"/>
  <c r="BI177" i="5"/>
  <c r="BH177" i="5"/>
  <c r="BG177" i="5"/>
  <c r="BF177" i="5"/>
  <c r="BD177" i="5"/>
  <c r="BC177" i="5"/>
  <c r="BB177" i="5"/>
  <c r="BA177" i="5"/>
  <c r="AZ177" i="5"/>
  <c r="AY177" i="5"/>
  <c r="AX177" i="5"/>
  <c r="AW177" i="5"/>
  <c r="AV177" i="5"/>
  <c r="AU177" i="5"/>
  <c r="AS177" i="5"/>
  <c r="AR177" i="5"/>
  <c r="AQ177" i="5"/>
  <c r="AP177" i="5"/>
  <c r="AO177" i="5"/>
  <c r="AN177" i="5"/>
  <c r="AM177" i="5"/>
  <c r="AL177" i="5"/>
  <c r="AK177" i="5"/>
  <c r="AJ177" i="5"/>
  <c r="AH177" i="5"/>
  <c r="AG177" i="5"/>
  <c r="AF177" i="5"/>
  <c r="AE177" i="5"/>
  <c r="AD177" i="5"/>
  <c r="AC177" i="5"/>
  <c r="AB177" i="5"/>
  <c r="AA177" i="5"/>
  <c r="Z177" i="5"/>
  <c r="Y177" i="5"/>
  <c r="W177" i="5"/>
  <c r="V177" i="5"/>
  <c r="U177" i="5"/>
  <c r="T177" i="5"/>
  <c r="S177" i="5"/>
  <c r="R177" i="5"/>
  <c r="Q177" i="5"/>
  <c r="P177" i="5"/>
  <c r="O177" i="5"/>
  <c r="N177" i="5"/>
  <c r="L177" i="5"/>
  <c r="K177" i="5"/>
  <c r="J177" i="5"/>
  <c r="I177" i="5"/>
  <c r="H177" i="5"/>
  <c r="G177" i="5"/>
  <c r="F177" i="5"/>
  <c r="E177" i="5"/>
  <c r="D177" i="5"/>
  <c r="C177" i="5"/>
  <c r="B177" i="5"/>
  <c r="A177" i="5"/>
  <c r="BZ176" i="5"/>
  <c r="BY176" i="5"/>
  <c r="BX176" i="5"/>
  <c r="BW176" i="5"/>
  <c r="BV176" i="5"/>
  <c r="BU176" i="5"/>
  <c r="BT176" i="5"/>
  <c r="BS176" i="5"/>
  <c r="BR176" i="5"/>
  <c r="BQ176" i="5"/>
  <c r="BO176" i="5"/>
  <c r="BN176" i="5"/>
  <c r="BM176" i="5"/>
  <c r="BL176" i="5"/>
  <c r="BK176" i="5"/>
  <c r="BJ176" i="5"/>
  <c r="BI176" i="5"/>
  <c r="BH176" i="5"/>
  <c r="BG176" i="5"/>
  <c r="BF176" i="5"/>
  <c r="BD176" i="5"/>
  <c r="BC176" i="5"/>
  <c r="BB176" i="5"/>
  <c r="BA176" i="5"/>
  <c r="AZ176" i="5"/>
  <c r="AY176" i="5"/>
  <c r="AX176" i="5"/>
  <c r="AW176" i="5"/>
  <c r="AV176" i="5"/>
  <c r="AU176" i="5"/>
  <c r="AS176" i="5"/>
  <c r="AR176" i="5"/>
  <c r="AQ176" i="5"/>
  <c r="AP176" i="5"/>
  <c r="AO176" i="5"/>
  <c r="AN176" i="5"/>
  <c r="AM176" i="5"/>
  <c r="AL176" i="5"/>
  <c r="AK176" i="5"/>
  <c r="AJ176" i="5"/>
  <c r="AH176" i="5"/>
  <c r="AG176" i="5"/>
  <c r="AF176" i="5"/>
  <c r="AE176" i="5"/>
  <c r="AD176" i="5"/>
  <c r="AC176" i="5"/>
  <c r="AB176" i="5"/>
  <c r="AA176" i="5"/>
  <c r="Z176" i="5"/>
  <c r="Y176" i="5"/>
  <c r="W176" i="5"/>
  <c r="V176" i="5"/>
  <c r="U176" i="5"/>
  <c r="T176" i="5"/>
  <c r="S176" i="5"/>
  <c r="R176" i="5"/>
  <c r="Q176" i="5"/>
  <c r="P176" i="5"/>
  <c r="O176" i="5"/>
  <c r="N176" i="5"/>
  <c r="L176" i="5"/>
  <c r="K176" i="5"/>
  <c r="J176" i="5"/>
  <c r="I176" i="5"/>
  <c r="H176" i="5"/>
  <c r="G176" i="5"/>
  <c r="F176" i="5"/>
  <c r="E176" i="5"/>
  <c r="D176" i="5"/>
  <c r="C176" i="5"/>
  <c r="B176" i="5"/>
  <c r="A176" i="5"/>
  <c r="BZ175" i="5"/>
  <c r="BY175" i="5"/>
  <c r="BX175" i="5"/>
  <c r="BW175" i="5"/>
  <c r="BV175" i="5"/>
  <c r="BU175" i="5"/>
  <c r="BT175" i="5"/>
  <c r="BS175" i="5"/>
  <c r="BR175" i="5"/>
  <c r="BQ175" i="5"/>
  <c r="BO175" i="5"/>
  <c r="BN175" i="5"/>
  <c r="BM175" i="5"/>
  <c r="BL175" i="5"/>
  <c r="BK175" i="5"/>
  <c r="BJ175" i="5"/>
  <c r="BI175" i="5"/>
  <c r="BH175" i="5"/>
  <c r="BG175" i="5"/>
  <c r="BF175" i="5"/>
  <c r="BD175" i="5"/>
  <c r="BC175" i="5"/>
  <c r="BB175" i="5"/>
  <c r="BA175" i="5"/>
  <c r="AZ175" i="5"/>
  <c r="AY175" i="5"/>
  <c r="AX175" i="5"/>
  <c r="AW175" i="5"/>
  <c r="AV175" i="5"/>
  <c r="AU175" i="5"/>
  <c r="AS175" i="5"/>
  <c r="AR175" i="5"/>
  <c r="AQ175" i="5"/>
  <c r="AP175" i="5"/>
  <c r="AO175" i="5"/>
  <c r="AN175" i="5"/>
  <c r="AM175" i="5"/>
  <c r="AL175" i="5"/>
  <c r="AK175" i="5"/>
  <c r="AJ175" i="5"/>
  <c r="AH175" i="5"/>
  <c r="AG175" i="5"/>
  <c r="AF175" i="5"/>
  <c r="AE175" i="5"/>
  <c r="AD175" i="5"/>
  <c r="AC175" i="5"/>
  <c r="AB175" i="5"/>
  <c r="AA175" i="5"/>
  <c r="Z175" i="5"/>
  <c r="Y175" i="5"/>
  <c r="W175" i="5"/>
  <c r="V175" i="5"/>
  <c r="U175" i="5"/>
  <c r="T175" i="5"/>
  <c r="S175" i="5"/>
  <c r="R175" i="5"/>
  <c r="Q175" i="5"/>
  <c r="P175" i="5"/>
  <c r="O175" i="5"/>
  <c r="N175" i="5"/>
  <c r="L175" i="5"/>
  <c r="K175" i="5"/>
  <c r="J175" i="5"/>
  <c r="I175" i="5"/>
  <c r="H175" i="5"/>
  <c r="G175" i="5"/>
  <c r="F175" i="5"/>
  <c r="E175" i="5"/>
  <c r="D175" i="5"/>
  <c r="C175" i="5"/>
  <c r="B175" i="5"/>
  <c r="A175" i="5"/>
  <c r="BZ174" i="5"/>
  <c r="BY174" i="5"/>
  <c r="BX174" i="5"/>
  <c r="BW174" i="5"/>
  <c r="BV174" i="5"/>
  <c r="BU174" i="5"/>
  <c r="BT174" i="5"/>
  <c r="BS174" i="5"/>
  <c r="BR174" i="5"/>
  <c r="BQ174" i="5"/>
  <c r="BO174" i="5"/>
  <c r="BN174" i="5"/>
  <c r="BM174" i="5"/>
  <c r="BL174" i="5"/>
  <c r="BK174" i="5"/>
  <c r="BJ174" i="5"/>
  <c r="BI174" i="5"/>
  <c r="BH174" i="5"/>
  <c r="BG174" i="5"/>
  <c r="BF174" i="5"/>
  <c r="BD174" i="5"/>
  <c r="BC174" i="5"/>
  <c r="BB174" i="5"/>
  <c r="BA174" i="5"/>
  <c r="AZ174" i="5"/>
  <c r="AY174" i="5"/>
  <c r="AX174" i="5"/>
  <c r="AW174" i="5"/>
  <c r="AV174" i="5"/>
  <c r="AU174" i="5"/>
  <c r="AS174" i="5"/>
  <c r="AR174" i="5"/>
  <c r="AQ174" i="5"/>
  <c r="AP174" i="5"/>
  <c r="AO174" i="5"/>
  <c r="AN174" i="5"/>
  <c r="AM174" i="5"/>
  <c r="AL174" i="5"/>
  <c r="AK174" i="5"/>
  <c r="AJ174" i="5"/>
  <c r="AH174" i="5"/>
  <c r="AG174" i="5"/>
  <c r="AF174" i="5"/>
  <c r="AE174" i="5"/>
  <c r="AD174" i="5"/>
  <c r="AC174" i="5"/>
  <c r="AB174" i="5"/>
  <c r="AA174" i="5"/>
  <c r="Z174" i="5"/>
  <c r="Y174" i="5"/>
  <c r="W174" i="5"/>
  <c r="V174" i="5"/>
  <c r="U174" i="5"/>
  <c r="T174" i="5"/>
  <c r="S174" i="5"/>
  <c r="R174" i="5"/>
  <c r="Q174" i="5"/>
  <c r="P174" i="5"/>
  <c r="O174" i="5"/>
  <c r="N174" i="5"/>
  <c r="L174" i="5"/>
  <c r="K174" i="5"/>
  <c r="J174" i="5"/>
  <c r="I174" i="5"/>
  <c r="H174" i="5"/>
  <c r="G174" i="5"/>
  <c r="F174" i="5"/>
  <c r="E174" i="5"/>
  <c r="D174" i="5"/>
  <c r="C174" i="5"/>
  <c r="B174" i="5"/>
  <c r="A174" i="5"/>
  <c r="BZ173" i="5"/>
  <c r="BY173" i="5"/>
  <c r="BX173" i="5"/>
  <c r="BW173" i="5"/>
  <c r="BV173" i="5"/>
  <c r="BU173" i="5"/>
  <c r="BT173" i="5"/>
  <c r="BS173" i="5"/>
  <c r="BR173" i="5"/>
  <c r="BQ173" i="5"/>
  <c r="BO173" i="5"/>
  <c r="BN173" i="5"/>
  <c r="BM173" i="5"/>
  <c r="BL173" i="5"/>
  <c r="BK173" i="5"/>
  <c r="BJ173" i="5"/>
  <c r="BI173" i="5"/>
  <c r="BH173" i="5"/>
  <c r="BG173" i="5"/>
  <c r="BF173" i="5"/>
  <c r="BD173" i="5"/>
  <c r="BC173" i="5"/>
  <c r="BB173" i="5"/>
  <c r="BA173" i="5"/>
  <c r="AZ173" i="5"/>
  <c r="AY173" i="5"/>
  <c r="AX173" i="5"/>
  <c r="AW173" i="5"/>
  <c r="AV173" i="5"/>
  <c r="AU173" i="5"/>
  <c r="AS173" i="5"/>
  <c r="AR173" i="5"/>
  <c r="AQ173" i="5"/>
  <c r="AP173" i="5"/>
  <c r="AO173" i="5"/>
  <c r="AN173" i="5"/>
  <c r="AM173" i="5"/>
  <c r="AL173" i="5"/>
  <c r="AK173" i="5"/>
  <c r="AJ173" i="5"/>
  <c r="AH173" i="5"/>
  <c r="AG173" i="5"/>
  <c r="AF173" i="5"/>
  <c r="AE173" i="5"/>
  <c r="AD173" i="5"/>
  <c r="AC173" i="5"/>
  <c r="AB173" i="5"/>
  <c r="AA173" i="5"/>
  <c r="Z173" i="5"/>
  <c r="Y173" i="5"/>
  <c r="W173" i="5"/>
  <c r="V173" i="5"/>
  <c r="U173" i="5"/>
  <c r="T173" i="5"/>
  <c r="S173" i="5"/>
  <c r="R173" i="5"/>
  <c r="Q173" i="5"/>
  <c r="P173" i="5"/>
  <c r="O173" i="5"/>
  <c r="N173" i="5"/>
  <c r="L173" i="5"/>
  <c r="K173" i="5"/>
  <c r="J173" i="5"/>
  <c r="I173" i="5"/>
  <c r="H173" i="5"/>
  <c r="G173" i="5"/>
  <c r="F173" i="5"/>
  <c r="E173" i="5"/>
  <c r="D173" i="5"/>
  <c r="C173" i="5"/>
  <c r="B173" i="5"/>
  <c r="A173" i="5"/>
  <c r="BZ172" i="5"/>
  <c r="BY172" i="5"/>
  <c r="BX172" i="5"/>
  <c r="BW172" i="5"/>
  <c r="BV172" i="5"/>
  <c r="BU172" i="5"/>
  <c r="BT172" i="5"/>
  <c r="BS172" i="5"/>
  <c r="BR172" i="5"/>
  <c r="BQ172" i="5"/>
  <c r="BO172" i="5"/>
  <c r="BN172" i="5"/>
  <c r="BM172" i="5"/>
  <c r="BL172" i="5"/>
  <c r="BK172" i="5"/>
  <c r="BJ172" i="5"/>
  <c r="BI172" i="5"/>
  <c r="BH172" i="5"/>
  <c r="BG172" i="5"/>
  <c r="BF172" i="5"/>
  <c r="BD172" i="5"/>
  <c r="BC172" i="5"/>
  <c r="BB172" i="5"/>
  <c r="BA172" i="5"/>
  <c r="AZ172" i="5"/>
  <c r="AY172" i="5"/>
  <c r="AX172" i="5"/>
  <c r="AW172" i="5"/>
  <c r="AV172" i="5"/>
  <c r="AU172" i="5"/>
  <c r="AS172" i="5"/>
  <c r="AR172" i="5"/>
  <c r="AQ172" i="5"/>
  <c r="AP172" i="5"/>
  <c r="AO172" i="5"/>
  <c r="AN172" i="5"/>
  <c r="AM172" i="5"/>
  <c r="AL172" i="5"/>
  <c r="AK172" i="5"/>
  <c r="AJ172" i="5"/>
  <c r="AH172" i="5"/>
  <c r="AG172" i="5"/>
  <c r="AF172" i="5"/>
  <c r="AE172" i="5"/>
  <c r="AD172" i="5"/>
  <c r="AC172" i="5"/>
  <c r="AB172" i="5"/>
  <c r="AA172" i="5"/>
  <c r="Z172" i="5"/>
  <c r="Y172" i="5"/>
  <c r="W172" i="5"/>
  <c r="V172" i="5"/>
  <c r="U172" i="5"/>
  <c r="T172" i="5"/>
  <c r="S172" i="5"/>
  <c r="R172" i="5"/>
  <c r="Q172" i="5"/>
  <c r="P172" i="5"/>
  <c r="O172" i="5"/>
  <c r="N172" i="5"/>
  <c r="L172" i="5"/>
  <c r="K172" i="5"/>
  <c r="J172" i="5"/>
  <c r="I172" i="5"/>
  <c r="H172" i="5"/>
  <c r="G172" i="5"/>
  <c r="F172" i="5"/>
  <c r="E172" i="5"/>
  <c r="D172" i="5"/>
  <c r="C172" i="5"/>
  <c r="B172" i="5"/>
  <c r="A172" i="5"/>
  <c r="BZ171" i="5"/>
  <c r="BY171" i="5"/>
  <c r="BX171" i="5"/>
  <c r="BW171" i="5"/>
  <c r="BV171" i="5"/>
  <c r="BU171" i="5"/>
  <c r="BT171" i="5"/>
  <c r="BS171" i="5"/>
  <c r="BR171" i="5"/>
  <c r="BQ171" i="5"/>
  <c r="BO171" i="5"/>
  <c r="BN171" i="5"/>
  <c r="BM171" i="5"/>
  <c r="BL171" i="5"/>
  <c r="BK171" i="5"/>
  <c r="BJ171" i="5"/>
  <c r="BI171" i="5"/>
  <c r="BH171" i="5"/>
  <c r="BG171" i="5"/>
  <c r="BF171" i="5"/>
  <c r="BD171" i="5"/>
  <c r="BC171" i="5"/>
  <c r="BB171" i="5"/>
  <c r="BA171" i="5"/>
  <c r="AZ171" i="5"/>
  <c r="AY171" i="5"/>
  <c r="AX171" i="5"/>
  <c r="AW171" i="5"/>
  <c r="AV171" i="5"/>
  <c r="AU171" i="5"/>
  <c r="AS171" i="5"/>
  <c r="AR171" i="5"/>
  <c r="AQ171" i="5"/>
  <c r="AP171" i="5"/>
  <c r="AO171" i="5"/>
  <c r="AN171" i="5"/>
  <c r="AM171" i="5"/>
  <c r="AL171" i="5"/>
  <c r="AK171" i="5"/>
  <c r="AJ171" i="5"/>
  <c r="AH171" i="5"/>
  <c r="AG171" i="5"/>
  <c r="AF171" i="5"/>
  <c r="AE171" i="5"/>
  <c r="AD171" i="5"/>
  <c r="AC171" i="5"/>
  <c r="AB171" i="5"/>
  <c r="AA171" i="5"/>
  <c r="Z171" i="5"/>
  <c r="Y171" i="5"/>
  <c r="W171" i="5"/>
  <c r="V171" i="5"/>
  <c r="U171" i="5"/>
  <c r="T171" i="5"/>
  <c r="S171" i="5"/>
  <c r="R171" i="5"/>
  <c r="Q171" i="5"/>
  <c r="P171" i="5"/>
  <c r="O171" i="5"/>
  <c r="N171" i="5"/>
  <c r="L171" i="5"/>
  <c r="K171" i="5"/>
  <c r="J171" i="5"/>
  <c r="I171" i="5"/>
  <c r="H171" i="5"/>
  <c r="G171" i="5"/>
  <c r="F171" i="5"/>
  <c r="E171" i="5"/>
  <c r="D171" i="5"/>
  <c r="C171" i="5"/>
  <c r="B171" i="5"/>
  <c r="A171" i="5"/>
  <c r="BZ170" i="5"/>
  <c r="BY170" i="5"/>
  <c r="BX170" i="5"/>
  <c r="BW170" i="5"/>
  <c r="BV170" i="5"/>
  <c r="BU170" i="5"/>
  <c r="BT170" i="5"/>
  <c r="BS170" i="5"/>
  <c r="BR170" i="5"/>
  <c r="BQ170" i="5"/>
  <c r="BO170" i="5"/>
  <c r="BN170" i="5"/>
  <c r="BM170" i="5"/>
  <c r="BL170" i="5"/>
  <c r="BK170" i="5"/>
  <c r="BJ170" i="5"/>
  <c r="BI170" i="5"/>
  <c r="BH170" i="5"/>
  <c r="BG170" i="5"/>
  <c r="BF170" i="5"/>
  <c r="BD170" i="5"/>
  <c r="BC170" i="5"/>
  <c r="BB170" i="5"/>
  <c r="BA170" i="5"/>
  <c r="AZ170" i="5"/>
  <c r="AY170" i="5"/>
  <c r="AX170" i="5"/>
  <c r="AW170" i="5"/>
  <c r="AV170" i="5"/>
  <c r="AU170" i="5"/>
  <c r="AS170" i="5"/>
  <c r="AR170" i="5"/>
  <c r="AQ170" i="5"/>
  <c r="AP170" i="5"/>
  <c r="AO170" i="5"/>
  <c r="AN170" i="5"/>
  <c r="AM170" i="5"/>
  <c r="AL170" i="5"/>
  <c r="AK170" i="5"/>
  <c r="AJ170" i="5"/>
  <c r="AH170" i="5"/>
  <c r="AG170" i="5"/>
  <c r="AF170" i="5"/>
  <c r="AE170" i="5"/>
  <c r="AD170" i="5"/>
  <c r="AC170" i="5"/>
  <c r="AB170" i="5"/>
  <c r="AA170" i="5"/>
  <c r="Z170" i="5"/>
  <c r="Y170" i="5"/>
  <c r="W170" i="5"/>
  <c r="V170" i="5"/>
  <c r="U170" i="5"/>
  <c r="T170" i="5"/>
  <c r="S170" i="5"/>
  <c r="R170" i="5"/>
  <c r="Q170" i="5"/>
  <c r="P170" i="5"/>
  <c r="O170" i="5"/>
  <c r="N170" i="5"/>
  <c r="L170" i="5"/>
  <c r="K170" i="5"/>
  <c r="J170" i="5"/>
  <c r="I170" i="5"/>
  <c r="H170" i="5"/>
  <c r="G170" i="5"/>
  <c r="F170" i="5"/>
  <c r="E170" i="5"/>
  <c r="D170" i="5"/>
  <c r="C170" i="5"/>
  <c r="B170" i="5"/>
  <c r="A170" i="5"/>
  <c r="BZ169" i="5"/>
  <c r="BY169" i="5"/>
  <c r="BX169" i="5"/>
  <c r="BW169" i="5"/>
  <c r="BV169" i="5"/>
  <c r="BU169" i="5"/>
  <c r="BT169" i="5"/>
  <c r="BS169" i="5"/>
  <c r="BR169" i="5"/>
  <c r="BQ169" i="5"/>
  <c r="BO169" i="5"/>
  <c r="BN169" i="5"/>
  <c r="BM169" i="5"/>
  <c r="BL169" i="5"/>
  <c r="BK169" i="5"/>
  <c r="BJ169" i="5"/>
  <c r="BI169" i="5"/>
  <c r="BH169" i="5"/>
  <c r="BG169" i="5"/>
  <c r="BF169" i="5"/>
  <c r="BD169" i="5"/>
  <c r="BC169" i="5"/>
  <c r="BB169" i="5"/>
  <c r="BA169" i="5"/>
  <c r="AZ169" i="5"/>
  <c r="AY169" i="5"/>
  <c r="AX169" i="5"/>
  <c r="AW169" i="5"/>
  <c r="AV169" i="5"/>
  <c r="AU169" i="5"/>
  <c r="AS169" i="5"/>
  <c r="AR169" i="5"/>
  <c r="AQ169" i="5"/>
  <c r="AP169" i="5"/>
  <c r="AO169" i="5"/>
  <c r="AN169" i="5"/>
  <c r="AM169" i="5"/>
  <c r="AL169" i="5"/>
  <c r="AK169" i="5"/>
  <c r="AJ169" i="5"/>
  <c r="AH169" i="5"/>
  <c r="AG169" i="5"/>
  <c r="AF169" i="5"/>
  <c r="AE169" i="5"/>
  <c r="AD169" i="5"/>
  <c r="AC169" i="5"/>
  <c r="AB169" i="5"/>
  <c r="AA169" i="5"/>
  <c r="Z169" i="5"/>
  <c r="Y169" i="5"/>
  <c r="W169" i="5"/>
  <c r="V169" i="5"/>
  <c r="U169" i="5"/>
  <c r="T169" i="5"/>
  <c r="S169" i="5"/>
  <c r="R169" i="5"/>
  <c r="Q169" i="5"/>
  <c r="P169" i="5"/>
  <c r="O169" i="5"/>
  <c r="N169" i="5"/>
  <c r="L169" i="5"/>
  <c r="K169" i="5"/>
  <c r="J169" i="5"/>
  <c r="I169" i="5"/>
  <c r="H169" i="5"/>
  <c r="G169" i="5"/>
  <c r="F169" i="5"/>
  <c r="E169" i="5"/>
  <c r="D169" i="5"/>
  <c r="C169" i="5"/>
  <c r="B169" i="5"/>
  <c r="A169" i="5"/>
  <c r="BZ168" i="5"/>
  <c r="BY168" i="5"/>
  <c r="BX168" i="5"/>
  <c r="BW168" i="5"/>
  <c r="BV168" i="5"/>
  <c r="BU168" i="5"/>
  <c r="BT168" i="5"/>
  <c r="BS168" i="5"/>
  <c r="BR168" i="5"/>
  <c r="BQ168" i="5"/>
  <c r="BO168" i="5"/>
  <c r="BN168" i="5"/>
  <c r="BM168" i="5"/>
  <c r="BL168" i="5"/>
  <c r="BK168" i="5"/>
  <c r="BJ168" i="5"/>
  <c r="BI168" i="5"/>
  <c r="BH168" i="5"/>
  <c r="BG168" i="5"/>
  <c r="BF168" i="5"/>
  <c r="BD168" i="5"/>
  <c r="BC168" i="5"/>
  <c r="BB168" i="5"/>
  <c r="BA168" i="5"/>
  <c r="AZ168" i="5"/>
  <c r="AY168" i="5"/>
  <c r="AX168" i="5"/>
  <c r="AW168" i="5"/>
  <c r="AV168" i="5"/>
  <c r="AU168" i="5"/>
  <c r="AS168" i="5"/>
  <c r="AR168" i="5"/>
  <c r="AQ168" i="5"/>
  <c r="AP168" i="5"/>
  <c r="AO168" i="5"/>
  <c r="AN168" i="5"/>
  <c r="AM168" i="5"/>
  <c r="AL168" i="5"/>
  <c r="AK168" i="5"/>
  <c r="AJ168" i="5"/>
  <c r="AH168" i="5"/>
  <c r="AG168" i="5"/>
  <c r="AF168" i="5"/>
  <c r="AE168" i="5"/>
  <c r="AD168" i="5"/>
  <c r="AC168" i="5"/>
  <c r="AB168" i="5"/>
  <c r="AA168" i="5"/>
  <c r="Z168" i="5"/>
  <c r="Y168" i="5"/>
  <c r="W168" i="5"/>
  <c r="V168" i="5"/>
  <c r="U168" i="5"/>
  <c r="T168" i="5"/>
  <c r="S168" i="5"/>
  <c r="R168" i="5"/>
  <c r="Q168" i="5"/>
  <c r="P168" i="5"/>
  <c r="O168" i="5"/>
  <c r="N168" i="5"/>
  <c r="L168" i="5"/>
  <c r="K168" i="5"/>
  <c r="J168" i="5"/>
  <c r="I168" i="5"/>
  <c r="H168" i="5"/>
  <c r="G168" i="5"/>
  <c r="F168" i="5"/>
  <c r="E168" i="5"/>
  <c r="D168" i="5"/>
  <c r="C168" i="5"/>
  <c r="B168" i="5"/>
  <c r="A168" i="5"/>
  <c r="BZ167" i="5"/>
  <c r="BY167" i="5"/>
  <c r="BX167" i="5"/>
  <c r="BW167" i="5"/>
  <c r="BV167" i="5"/>
  <c r="BU167" i="5"/>
  <c r="BT167" i="5"/>
  <c r="BS167" i="5"/>
  <c r="BR167" i="5"/>
  <c r="BQ167" i="5"/>
  <c r="BO167" i="5"/>
  <c r="BN167" i="5"/>
  <c r="BM167" i="5"/>
  <c r="BL167" i="5"/>
  <c r="BK167" i="5"/>
  <c r="BJ167" i="5"/>
  <c r="BI167" i="5"/>
  <c r="BH167" i="5"/>
  <c r="BG167" i="5"/>
  <c r="BF167" i="5"/>
  <c r="BD167" i="5"/>
  <c r="BC167" i="5"/>
  <c r="BB167" i="5"/>
  <c r="BA167" i="5"/>
  <c r="AZ167" i="5"/>
  <c r="AY167" i="5"/>
  <c r="AX167" i="5"/>
  <c r="AW167" i="5"/>
  <c r="AV167" i="5"/>
  <c r="AU167" i="5"/>
  <c r="AS167" i="5"/>
  <c r="AR167" i="5"/>
  <c r="AQ167" i="5"/>
  <c r="AP167" i="5"/>
  <c r="AO167" i="5"/>
  <c r="AN167" i="5"/>
  <c r="AM167" i="5"/>
  <c r="AL167" i="5"/>
  <c r="AK167" i="5"/>
  <c r="AJ167" i="5"/>
  <c r="AH167" i="5"/>
  <c r="AG167" i="5"/>
  <c r="AF167" i="5"/>
  <c r="AE167" i="5"/>
  <c r="AD167" i="5"/>
  <c r="AC167" i="5"/>
  <c r="AB167" i="5"/>
  <c r="AA167" i="5"/>
  <c r="Z167" i="5"/>
  <c r="Y167" i="5"/>
  <c r="W167" i="5"/>
  <c r="V167" i="5"/>
  <c r="U167" i="5"/>
  <c r="T167" i="5"/>
  <c r="S167" i="5"/>
  <c r="R167" i="5"/>
  <c r="Q167" i="5"/>
  <c r="P167" i="5"/>
  <c r="O167" i="5"/>
  <c r="N167" i="5"/>
  <c r="L167" i="5"/>
  <c r="K167" i="5"/>
  <c r="J167" i="5"/>
  <c r="I167" i="5"/>
  <c r="H167" i="5"/>
  <c r="G167" i="5"/>
  <c r="F167" i="5"/>
  <c r="E167" i="5"/>
  <c r="D167" i="5"/>
  <c r="C167" i="5"/>
  <c r="B167" i="5"/>
  <c r="A167" i="5"/>
  <c r="BZ166" i="5"/>
  <c r="BY166" i="5"/>
  <c r="BX166" i="5"/>
  <c r="BW166" i="5"/>
  <c r="BV166" i="5"/>
  <c r="BU166" i="5"/>
  <c r="BT166" i="5"/>
  <c r="BS166" i="5"/>
  <c r="BR166" i="5"/>
  <c r="BQ166" i="5"/>
  <c r="BO166" i="5"/>
  <c r="BN166" i="5"/>
  <c r="BM166" i="5"/>
  <c r="BL166" i="5"/>
  <c r="BK166" i="5"/>
  <c r="BJ166" i="5"/>
  <c r="BI166" i="5"/>
  <c r="BH166" i="5"/>
  <c r="BG166" i="5"/>
  <c r="BF166" i="5"/>
  <c r="BD166" i="5"/>
  <c r="BC166" i="5"/>
  <c r="BB166" i="5"/>
  <c r="BA166" i="5"/>
  <c r="AZ166" i="5"/>
  <c r="AY166" i="5"/>
  <c r="AX166" i="5"/>
  <c r="AW166" i="5"/>
  <c r="AV166" i="5"/>
  <c r="AU166" i="5"/>
  <c r="AS166" i="5"/>
  <c r="AR166" i="5"/>
  <c r="AQ166" i="5"/>
  <c r="AP166" i="5"/>
  <c r="AO166" i="5"/>
  <c r="AN166" i="5"/>
  <c r="AM166" i="5"/>
  <c r="AL166" i="5"/>
  <c r="AK166" i="5"/>
  <c r="AJ166" i="5"/>
  <c r="AH166" i="5"/>
  <c r="AG166" i="5"/>
  <c r="AF166" i="5"/>
  <c r="AE166" i="5"/>
  <c r="AD166" i="5"/>
  <c r="AC166" i="5"/>
  <c r="AB166" i="5"/>
  <c r="AA166" i="5"/>
  <c r="Z166" i="5"/>
  <c r="Y166" i="5"/>
  <c r="W166" i="5"/>
  <c r="V166" i="5"/>
  <c r="U166" i="5"/>
  <c r="T166" i="5"/>
  <c r="S166" i="5"/>
  <c r="R166" i="5"/>
  <c r="Q166" i="5"/>
  <c r="P166" i="5"/>
  <c r="O166" i="5"/>
  <c r="N166" i="5"/>
  <c r="L166" i="5"/>
  <c r="K166" i="5"/>
  <c r="J166" i="5"/>
  <c r="I166" i="5"/>
  <c r="H166" i="5"/>
  <c r="G166" i="5"/>
  <c r="F166" i="5"/>
  <c r="E166" i="5"/>
  <c r="D166" i="5"/>
  <c r="C166" i="5"/>
  <c r="B166" i="5"/>
  <c r="A166" i="5"/>
  <c r="BZ165" i="5"/>
  <c r="BY165" i="5"/>
  <c r="BX165" i="5"/>
  <c r="BW165" i="5"/>
  <c r="BV165" i="5"/>
  <c r="BU165" i="5"/>
  <c r="BT165" i="5"/>
  <c r="BS165" i="5"/>
  <c r="BR165" i="5"/>
  <c r="BQ165" i="5"/>
  <c r="BO165" i="5"/>
  <c r="BN165" i="5"/>
  <c r="BM165" i="5"/>
  <c r="BL165" i="5"/>
  <c r="BK165" i="5"/>
  <c r="BJ165" i="5"/>
  <c r="BI165" i="5"/>
  <c r="BH165" i="5"/>
  <c r="BG165" i="5"/>
  <c r="BF165" i="5"/>
  <c r="BD165" i="5"/>
  <c r="BC165" i="5"/>
  <c r="BB165" i="5"/>
  <c r="BA165" i="5"/>
  <c r="AZ165" i="5"/>
  <c r="AY165" i="5"/>
  <c r="AX165" i="5"/>
  <c r="AW165" i="5"/>
  <c r="AV165" i="5"/>
  <c r="AU165" i="5"/>
  <c r="AS165" i="5"/>
  <c r="AR165" i="5"/>
  <c r="AQ165" i="5"/>
  <c r="AP165" i="5"/>
  <c r="AO165" i="5"/>
  <c r="AN165" i="5"/>
  <c r="AM165" i="5"/>
  <c r="AL165" i="5"/>
  <c r="AK165" i="5"/>
  <c r="AJ165" i="5"/>
  <c r="AH165" i="5"/>
  <c r="AG165" i="5"/>
  <c r="AF165" i="5"/>
  <c r="AE165" i="5"/>
  <c r="AD165" i="5"/>
  <c r="AC165" i="5"/>
  <c r="AB165" i="5"/>
  <c r="AA165" i="5"/>
  <c r="Z165" i="5"/>
  <c r="Y165" i="5"/>
  <c r="W165" i="5"/>
  <c r="V165" i="5"/>
  <c r="U165" i="5"/>
  <c r="T165" i="5"/>
  <c r="S165" i="5"/>
  <c r="R165" i="5"/>
  <c r="Q165" i="5"/>
  <c r="P165" i="5"/>
  <c r="O165" i="5"/>
  <c r="N165" i="5"/>
  <c r="L165" i="5"/>
  <c r="K165" i="5"/>
  <c r="J165" i="5"/>
  <c r="I165" i="5"/>
  <c r="H165" i="5"/>
  <c r="G165" i="5"/>
  <c r="F165" i="5"/>
  <c r="E165" i="5"/>
  <c r="D165" i="5"/>
  <c r="C165" i="5"/>
  <c r="B165" i="5"/>
  <c r="A165" i="5"/>
  <c r="BZ164" i="5"/>
  <c r="BY164" i="5"/>
  <c r="BX164" i="5"/>
  <c r="BW164" i="5"/>
  <c r="BV164" i="5"/>
  <c r="BU164" i="5"/>
  <c r="BT164" i="5"/>
  <c r="BS164" i="5"/>
  <c r="BR164" i="5"/>
  <c r="BQ164" i="5"/>
  <c r="BO164" i="5"/>
  <c r="BN164" i="5"/>
  <c r="BM164" i="5"/>
  <c r="BL164" i="5"/>
  <c r="BK164" i="5"/>
  <c r="BJ164" i="5"/>
  <c r="BI164" i="5"/>
  <c r="BH164" i="5"/>
  <c r="BG164" i="5"/>
  <c r="BF164" i="5"/>
  <c r="BD164" i="5"/>
  <c r="BC164" i="5"/>
  <c r="BB164" i="5"/>
  <c r="BA164" i="5"/>
  <c r="AZ164" i="5"/>
  <c r="AY164" i="5"/>
  <c r="AX164" i="5"/>
  <c r="AW164" i="5"/>
  <c r="AV164" i="5"/>
  <c r="AU164" i="5"/>
  <c r="AS164" i="5"/>
  <c r="AR164" i="5"/>
  <c r="AQ164" i="5"/>
  <c r="AP164" i="5"/>
  <c r="AO164" i="5"/>
  <c r="AN164" i="5"/>
  <c r="AM164" i="5"/>
  <c r="AL164" i="5"/>
  <c r="AK164" i="5"/>
  <c r="AJ164" i="5"/>
  <c r="AH164" i="5"/>
  <c r="AG164" i="5"/>
  <c r="AF164" i="5"/>
  <c r="AE164" i="5"/>
  <c r="AD164" i="5"/>
  <c r="AC164" i="5"/>
  <c r="AB164" i="5"/>
  <c r="AA164" i="5"/>
  <c r="Z164" i="5"/>
  <c r="Y164" i="5"/>
  <c r="W164" i="5"/>
  <c r="V164" i="5"/>
  <c r="U164" i="5"/>
  <c r="T164" i="5"/>
  <c r="S164" i="5"/>
  <c r="R164" i="5"/>
  <c r="Q164" i="5"/>
  <c r="P164" i="5"/>
  <c r="O164" i="5"/>
  <c r="N164" i="5"/>
  <c r="L164" i="5"/>
  <c r="K164" i="5"/>
  <c r="J164" i="5"/>
  <c r="I164" i="5"/>
  <c r="H164" i="5"/>
  <c r="G164" i="5"/>
  <c r="F164" i="5"/>
  <c r="E164" i="5"/>
  <c r="D164" i="5"/>
  <c r="C164" i="5"/>
  <c r="B164" i="5"/>
  <c r="A164" i="5"/>
  <c r="BZ163" i="5"/>
  <c r="BY163" i="5"/>
  <c r="BX163" i="5"/>
  <c r="BW163" i="5"/>
  <c r="BV163" i="5"/>
  <c r="BU163" i="5"/>
  <c r="BT163" i="5"/>
  <c r="BS163" i="5"/>
  <c r="BR163" i="5"/>
  <c r="BQ163" i="5"/>
  <c r="BO163" i="5"/>
  <c r="BN163" i="5"/>
  <c r="BM163" i="5"/>
  <c r="BL163" i="5"/>
  <c r="BK163" i="5"/>
  <c r="BJ163" i="5"/>
  <c r="BI163" i="5"/>
  <c r="BH163" i="5"/>
  <c r="BG163" i="5"/>
  <c r="BF163" i="5"/>
  <c r="BD163" i="5"/>
  <c r="BC163" i="5"/>
  <c r="BB163" i="5"/>
  <c r="BA163" i="5"/>
  <c r="AZ163" i="5"/>
  <c r="AY163" i="5"/>
  <c r="AX163" i="5"/>
  <c r="AW163" i="5"/>
  <c r="AV163" i="5"/>
  <c r="AU163" i="5"/>
  <c r="AS163" i="5"/>
  <c r="AR163" i="5"/>
  <c r="AQ163" i="5"/>
  <c r="AP163" i="5"/>
  <c r="AO163" i="5"/>
  <c r="AN163" i="5"/>
  <c r="AM163" i="5"/>
  <c r="AL163" i="5"/>
  <c r="AK163" i="5"/>
  <c r="AJ163" i="5"/>
  <c r="AH163" i="5"/>
  <c r="AG163" i="5"/>
  <c r="AF163" i="5"/>
  <c r="AE163" i="5"/>
  <c r="AD163" i="5"/>
  <c r="AC163" i="5"/>
  <c r="AB163" i="5"/>
  <c r="AA163" i="5"/>
  <c r="Z163" i="5"/>
  <c r="Y163" i="5"/>
  <c r="W163" i="5"/>
  <c r="V163" i="5"/>
  <c r="U163" i="5"/>
  <c r="T163" i="5"/>
  <c r="S163" i="5"/>
  <c r="R163" i="5"/>
  <c r="Q163" i="5"/>
  <c r="P163" i="5"/>
  <c r="O163" i="5"/>
  <c r="N163" i="5"/>
  <c r="L163" i="5"/>
  <c r="K163" i="5"/>
  <c r="J163" i="5"/>
  <c r="I163" i="5"/>
  <c r="H163" i="5"/>
  <c r="G163" i="5"/>
  <c r="F163" i="5"/>
  <c r="E163" i="5"/>
  <c r="D163" i="5"/>
  <c r="C163" i="5"/>
  <c r="B163" i="5"/>
  <c r="A163" i="5"/>
  <c r="BZ162" i="5"/>
  <c r="BY162" i="5"/>
  <c r="BX162" i="5"/>
  <c r="BW162" i="5"/>
  <c r="BV162" i="5"/>
  <c r="BU162" i="5"/>
  <c r="BT162" i="5"/>
  <c r="BS162" i="5"/>
  <c r="BR162" i="5"/>
  <c r="BQ162" i="5"/>
  <c r="BO162" i="5"/>
  <c r="BN162" i="5"/>
  <c r="BM162" i="5"/>
  <c r="BL162" i="5"/>
  <c r="BK162" i="5"/>
  <c r="BJ162" i="5"/>
  <c r="BI162" i="5"/>
  <c r="BH162" i="5"/>
  <c r="BG162" i="5"/>
  <c r="BF162" i="5"/>
  <c r="BD162" i="5"/>
  <c r="BC162" i="5"/>
  <c r="BB162" i="5"/>
  <c r="BA162" i="5"/>
  <c r="AZ162" i="5"/>
  <c r="AY162" i="5"/>
  <c r="AX162" i="5"/>
  <c r="AW162" i="5"/>
  <c r="AV162" i="5"/>
  <c r="AU162" i="5"/>
  <c r="AS162" i="5"/>
  <c r="AR162" i="5"/>
  <c r="AQ162" i="5"/>
  <c r="AP162" i="5"/>
  <c r="AO162" i="5"/>
  <c r="AN162" i="5"/>
  <c r="AM162" i="5"/>
  <c r="AL162" i="5"/>
  <c r="AK162" i="5"/>
  <c r="AJ162" i="5"/>
  <c r="AH162" i="5"/>
  <c r="AG162" i="5"/>
  <c r="AF162" i="5"/>
  <c r="AE162" i="5"/>
  <c r="AD162" i="5"/>
  <c r="AC162" i="5"/>
  <c r="AB162" i="5"/>
  <c r="AA162" i="5"/>
  <c r="Z162" i="5"/>
  <c r="Y162" i="5"/>
  <c r="W162" i="5"/>
  <c r="V162" i="5"/>
  <c r="U162" i="5"/>
  <c r="T162" i="5"/>
  <c r="S162" i="5"/>
  <c r="R162" i="5"/>
  <c r="Q162" i="5"/>
  <c r="P162" i="5"/>
  <c r="O162" i="5"/>
  <c r="N162" i="5"/>
  <c r="L162" i="5"/>
  <c r="K162" i="5"/>
  <c r="J162" i="5"/>
  <c r="I162" i="5"/>
  <c r="H162" i="5"/>
  <c r="G162" i="5"/>
  <c r="F162" i="5"/>
  <c r="E162" i="5"/>
  <c r="D162" i="5"/>
  <c r="C162" i="5"/>
  <c r="B162" i="5"/>
  <c r="A162" i="5"/>
  <c r="BZ161" i="5"/>
  <c r="BY161" i="5"/>
  <c r="BX161" i="5"/>
  <c r="BW161" i="5"/>
  <c r="BV161" i="5"/>
  <c r="BU161" i="5"/>
  <c r="BT161" i="5"/>
  <c r="BS161" i="5"/>
  <c r="BR161" i="5"/>
  <c r="BQ161" i="5"/>
  <c r="BO161" i="5"/>
  <c r="BN161" i="5"/>
  <c r="BM161" i="5"/>
  <c r="BL161" i="5"/>
  <c r="BK161" i="5"/>
  <c r="BJ161" i="5"/>
  <c r="BI161" i="5"/>
  <c r="BH161" i="5"/>
  <c r="BG161" i="5"/>
  <c r="BF161" i="5"/>
  <c r="BD161" i="5"/>
  <c r="BC161" i="5"/>
  <c r="BB161" i="5"/>
  <c r="BA161" i="5"/>
  <c r="AZ161" i="5"/>
  <c r="AY161" i="5"/>
  <c r="AX161" i="5"/>
  <c r="AW161" i="5"/>
  <c r="AV161" i="5"/>
  <c r="AU161" i="5"/>
  <c r="AS161" i="5"/>
  <c r="AR161" i="5"/>
  <c r="AQ161" i="5"/>
  <c r="AP161" i="5"/>
  <c r="AO161" i="5"/>
  <c r="AN161" i="5"/>
  <c r="AM161" i="5"/>
  <c r="AL161" i="5"/>
  <c r="AK161" i="5"/>
  <c r="AJ161" i="5"/>
  <c r="AH161" i="5"/>
  <c r="AG161" i="5"/>
  <c r="AF161" i="5"/>
  <c r="AE161" i="5"/>
  <c r="AD161" i="5"/>
  <c r="AC161" i="5"/>
  <c r="AB161" i="5"/>
  <c r="AA161" i="5"/>
  <c r="Z161" i="5"/>
  <c r="Y161" i="5"/>
  <c r="W161" i="5"/>
  <c r="V161" i="5"/>
  <c r="U161" i="5"/>
  <c r="T161" i="5"/>
  <c r="S161" i="5"/>
  <c r="R161" i="5"/>
  <c r="Q161" i="5"/>
  <c r="P161" i="5"/>
  <c r="O161" i="5"/>
  <c r="N161" i="5"/>
  <c r="L161" i="5"/>
  <c r="K161" i="5"/>
  <c r="J161" i="5"/>
  <c r="I161" i="5"/>
  <c r="H161" i="5"/>
  <c r="G161" i="5"/>
  <c r="F161" i="5"/>
  <c r="E161" i="5"/>
  <c r="D161" i="5"/>
  <c r="C161" i="5"/>
  <c r="B161" i="5"/>
  <c r="A161" i="5"/>
  <c r="BZ160" i="5"/>
  <c r="BY160" i="5"/>
  <c r="BX160" i="5"/>
  <c r="BW160" i="5"/>
  <c r="BV160" i="5"/>
  <c r="BU160" i="5"/>
  <c r="BT160" i="5"/>
  <c r="BS160" i="5"/>
  <c r="BR160" i="5"/>
  <c r="BQ160" i="5"/>
  <c r="BO160" i="5"/>
  <c r="BN160" i="5"/>
  <c r="BM160" i="5"/>
  <c r="BL160" i="5"/>
  <c r="BK160" i="5"/>
  <c r="BJ160" i="5"/>
  <c r="BI160" i="5"/>
  <c r="BH160" i="5"/>
  <c r="BG160" i="5"/>
  <c r="BF160" i="5"/>
  <c r="BD160" i="5"/>
  <c r="BC160" i="5"/>
  <c r="BB160" i="5"/>
  <c r="BA160" i="5"/>
  <c r="AZ160" i="5"/>
  <c r="AY160" i="5"/>
  <c r="AX160" i="5"/>
  <c r="AW160" i="5"/>
  <c r="AV160" i="5"/>
  <c r="AU160" i="5"/>
  <c r="AS160" i="5"/>
  <c r="AR160" i="5"/>
  <c r="AQ160" i="5"/>
  <c r="AP160" i="5"/>
  <c r="AO160" i="5"/>
  <c r="AN160" i="5"/>
  <c r="AM160" i="5"/>
  <c r="AL160" i="5"/>
  <c r="AK160" i="5"/>
  <c r="AJ160" i="5"/>
  <c r="AH160" i="5"/>
  <c r="AG160" i="5"/>
  <c r="AF160" i="5"/>
  <c r="AE160" i="5"/>
  <c r="AD160" i="5"/>
  <c r="AC160" i="5"/>
  <c r="AB160" i="5"/>
  <c r="AA160" i="5"/>
  <c r="Z160" i="5"/>
  <c r="Y160" i="5"/>
  <c r="W160" i="5"/>
  <c r="V160" i="5"/>
  <c r="U160" i="5"/>
  <c r="T160" i="5"/>
  <c r="S160" i="5"/>
  <c r="R160" i="5"/>
  <c r="Q160" i="5"/>
  <c r="P160" i="5"/>
  <c r="O160" i="5"/>
  <c r="N160" i="5"/>
  <c r="L160" i="5"/>
  <c r="K160" i="5"/>
  <c r="J160" i="5"/>
  <c r="I160" i="5"/>
  <c r="H160" i="5"/>
  <c r="G160" i="5"/>
  <c r="F160" i="5"/>
  <c r="E160" i="5"/>
  <c r="D160" i="5"/>
  <c r="C160" i="5"/>
  <c r="B160" i="5"/>
  <c r="A160" i="5"/>
  <c r="BZ159" i="5"/>
  <c r="BY159" i="5"/>
  <c r="BX159" i="5"/>
  <c r="BW159" i="5"/>
  <c r="BV159" i="5"/>
  <c r="BU159" i="5"/>
  <c r="BT159" i="5"/>
  <c r="BS159" i="5"/>
  <c r="BR159" i="5"/>
  <c r="BQ159" i="5"/>
  <c r="BO159" i="5"/>
  <c r="BN159" i="5"/>
  <c r="BM159" i="5"/>
  <c r="BL159" i="5"/>
  <c r="BK159" i="5"/>
  <c r="BJ159" i="5"/>
  <c r="BI159" i="5"/>
  <c r="BH159" i="5"/>
  <c r="BG159" i="5"/>
  <c r="BF159" i="5"/>
  <c r="BD159" i="5"/>
  <c r="BC159" i="5"/>
  <c r="BB159" i="5"/>
  <c r="BA159" i="5"/>
  <c r="AZ159" i="5"/>
  <c r="AY159" i="5"/>
  <c r="AX159" i="5"/>
  <c r="AW159" i="5"/>
  <c r="AV159" i="5"/>
  <c r="AU159" i="5"/>
  <c r="AS159" i="5"/>
  <c r="AR159" i="5"/>
  <c r="AQ159" i="5"/>
  <c r="AP159" i="5"/>
  <c r="AO159" i="5"/>
  <c r="AN159" i="5"/>
  <c r="AM159" i="5"/>
  <c r="AL159" i="5"/>
  <c r="AK159" i="5"/>
  <c r="AJ159" i="5"/>
  <c r="AH159" i="5"/>
  <c r="AG159" i="5"/>
  <c r="AF159" i="5"/>
  <c r="AE159" i="5"/>
  <c r="AD159" i="5"/>
  <c r="AC159" i="5"/>
  <c r="AB159" i="5"/>
  <c r="AA159" i="5"/>
  <c r="Z159" i="5"/>
  <c r="Y159" i="5"/>
  <c r="W159" i="5"/>
  <c r="V159" i="5"/>
  <c r="U159" i="5"/>
  <c r="T159" i="5"/>
  <c r="S159" i="5"/>
  <c r="R159" i="5"/>
  <c r="Q159" i="5"/>
  <c r="P159" i="5"/>
  <c r="O159" i="5"/>
  <c r="N159" i="5"/>
  <c r="L159" i="5"/>
  <c r="K159" i="5"/>
  <c r="J159" i="5"/>
  <c r="I159" i="5"/>
  <c r="H159" i="5"/>
  <c r="G159" i="5"/>
  <c r="F159" i="5"/>
  <c r="E159" i="5"/>
  <c r="D159" i="5"/>
  <c r="C159" i="5"/>
  <c r="B159" i="5"/>
  <c r="A159" i="5"/>
  <c r="BZ158" i="5"/>
  <c r="BY158" i="5"/>
  <c r="BX158" i="5"/>
  <c r="BW158" i="5"/>
  <c r="BV158" i="5"/>
  <c r="BU158" i="5"/>
  <c r="BT158" i="5"/>
  <c r="BS158" i="5"/>
  <c r="BR158" i="5"/>
  <c r="BQ158" i="5"/>
  <c r="BO158" i="5"/>
  <c r="BN158" i="5"/>
  <c r="BM158" i="5"/>
  <c r="BL158" i="5"/>
  <c r="BK158" i="5"/>
  <c r="BJ158" i="5"/>
  <c r="BI158" i="5"/>
  <c r="BH158" i="5"/>
  <c r="BG158" i="5"/>
  <c r="BF158" i="5"/>
  <c r="BD158" i="5"/>
  <c r="BC158" i="5"/>
  <c r="BB158" i="5"/>
  <c r="BA158" i="5"/>
  <c r="AZ158" i="5"/>
  <c r="AY158" i="5"/>
  <c r="AX158" i="5"/>
  <c r="AW158" i="5"/>
  <c r="AV158" i="5"/>
  <c r="AU158" i="5"/>
  <c r="AS158" i="5"/>
  <c r="AR158" i="5"/>
  <c r="AQ158" i="5"/>
  <c r="AP158" i="5"/>
  <c r="AO158" i="5"/>
  <c r="AN158" i="5"/>
  <c r="AM158" i="5"/>
  <c r="AL158" i="5"/>
  <c r="AK158" i="5"/>
  <c r="AJ158" i="5"/>
  <c r="AH158" i="5"/>
  <c r="AG158" i="5"/>
  <c r="AF158" i="5"/>
  <c r="AE158" i="5"/>
  <c r="AD158" i="5"/>
  <c r="AC158" i="5"/>
  <c r="AB158" i="5"/>
  <c r="AA158" i="5"/>
  <c r="Z158" i="5"/>
  <c r="Y158" i="5"/>
  <c r="W158" i="5"/>
  <c r="V158" i="5"/>
  <c r="U158" i="5"/>
  <c r="T158" i="5"/>
  <c r="S158" i="5"/>
  <c r="R158" i="5"/>
  <c r="Q158" i="5"/>
  <c r="P158" i="5"/>
  <c r="O158" i="5"/>
  <c r="N158" i="5"/>
  <c r="L158" i="5"/>
  <c r="K158" i="5"/>
  <c r="J158" i="5"/>
  <c r="I158" i="5"/>
  <c r="H158" i="5"/>
  <c r="G158" i="5"/>
  <c r="F158" i="5"/>
  <c r="E158" i="5"/>
  <c r="D158" i="5"/>
  <c r="C158" i="5"/>
  <c r="B158" i="5"/>
  <c r="A158" i="5"/>
  <c r="BZ157" i="5"/>
  <c r="BY157" i="5"/>
  <c r="BX157" i="5"/>
  <c r="BW157" i="5"/>
  <c r="BV157" i="5"/>
  <c r="BU157" i="5"/>
  <c r="BT157" i="5"/>
  <c r="BS157" i="5"/>
  <c r="BR157" i="5"/>
  <c r="BQ157" i="5"/>
  <c r="BO157" i="5"/>
  <c r="BN157" i="5"/>
  <c r="BM157" i="5"/>
  <c r="BL157" i="5"/>
  <c r="BK157" i="5"/>
  <c r="BJ157" i="5"/>
  <c r="BI157" i="5"/>
  <c r="BH157" i="5"/>
  <c r="BG157" i="5"/>
  <c r="BF157" i="5"/>
  <c r="BD157" i="5"/>
  <c r="BC157" i="5"/>
  <c r="BB157" i="5"/>
  <c r="BA157" i="5"/>
  <c r="AZ157" i="5"/>
  <c r="AY157" i="5"/>
  <c r="AX157" i="5"/>
  <c r="AW157" i="5"/>
  <c r="AV157" i="5"/>
  <c r="AU157" i="5"/>
  <c r="AS157" i="5"/>
  <c r="AR157" i="5"/>
  <c r="AQ157" i="5"/>
  <c r="AP157" i="5"/>
  <c r="AO157" i="5"/>
  <c r="AN157" i="5"/>
  <c r="AM157" i="5"/>
  <c r="AL157" i="5"/>
  <c r="AK157" i="5"/>
  <c r="AJ157" i="5"/>
  <c r="AH157" i="5"/>
  <c r="AG157" i="5"/>
  <c r="AF157" i="5"/>
  <c r="AE157" i="5"/>
  <c r="AD157" i="5"/>
  <c r="AC157" i="5"/>
  <c r="AB157" i="5"/>
  <c r="AA157" i="5"/>
  <c r="Z157" i="5"/>
  <c r="Y157" i="5"/>
  <c r="W157" i="5"/>
  <c r="V157" i="5"/>
  <c r="U157" i="5"/>
  <c r="T157" i="5"/>
  <c r="S157" i="5"/>
  <c r="R157" i="5"/>
  <c r="Q157" i="5"/>
  <c r="P157" i="5"/>
  <c r="O157" i="5"/>
  <c r="N157" i="5"/>
  <c r="L157" i="5"/>
  <c r="K157" i="5"/>
  <c r="J157" i="5"/>
  <c r="I157" i="5"/>
  <c r="H157" i="5"/>
  <c r="G157" i="5"/>
  <c r="F157" i="5"/>
  <c r="E157" i="5"/>
  <c r="D157" i="5"/>
  <c r="C157" i="5"/>
  <c r="B157" i="5"/>
  <c r="A157" i="5"/>
  <c r="BZ156" i="5"/>
  <c r="BY156" i="5"/>
  <c r="BX156" i="5"/>
  <c r="BW156" i="5"/>
  <c r="BV156" i="5"/>
  <c r="BU156" i="5"/>
  <c r="BT156" i="5"/>
  <c r="BS156" i="5"/>
  <c r="BR156" i="5"/>
  <c r="BQ156" i="5"/>
  <c r="BO156" i="5"/>
  <c r="BN156" i="5"/>
  <c r="BM156" i="5"/>
  <c r="BL156" i="5"/>
  <c r="BK156" i="5"/>
  <c r="BJ156" i="5"/>
  <c r="BI156" i="5"/>
  <c r="BH156" i="5"/>
  <c r="BG156" i="5"/>
  <c r="BF156" i="5"/>
  <c r="BD156" i="5"/>
  <c r="BC156" i="5"/>
  <c r="BB156" i="5"/>
  <c r="BA156" i="5"/>
  <c r="AZ156" i="5"/>
  <c r="AY156" i="5"/>
  <c r="AX156" i="5"/>
  <c r="AW156" i="5"/>
  <c r="AV156" i="5"/>
  <c r="AU156" i="5"/>
  <c r="AS156" i="5"/>
  <c r="AR156" i="5"/>
  <c r="AQ156" i="5"/>
  <c r="AP156" i="5"/>
  <c r="AO156" i="5"/>
  <c r="AN156" i="5"/>
  <c r="AM156" i="5"/>
  <c r="AL156" i="5"/>
  <c r="AK156" i="5"/>
  <c r="AJ156" i="5"/>
  <c r="AH156" i="5"/>
  <c r="AG156" i="5"/>
  <c r="AF156" i="5"/>
  <c r="AE156" i="5"/>
  <c r="AD156" i="5"/>
  <c r="AC156" i="5"/>
  <c r="AB156" i="5"/>
  <c r="AA156" i="5"/>
  <c r="Z156" i="5"/>
  <c r="Y156" i="5"/>
  <c r="W156" i="5"/>
  <c r="V156" i="5"/>
  <c r="U156" i="5"/>
  <c r="T156" i="5"/>
  <c r="S156" i="5"/>
  <c r="R156" i="5"/>
  <c r="Q156" i="5"/>
  <c r="P156" i="5"/>
  <c r="O156" i="5"/>
  <c r="N156" i="5"/>
  <c r="L156" i="5"/>
  <c r="K156" i="5"/>
  <c r="J156" i="5"/>
  <c r="I156" i="5"/>
  <c r="H156" i="5"/>
  <c r="G156" i="5"/>
  <c r="F156" i="5"/>
  <c r="E156" i="5"/>
  <c r="D156" i="5"/>
  <c r="C156" i="5"/>
  <c r="B156" i="5"/>
  <c r="A156" i="5"/>
  <c r="BZ155" i="5"/>
  <c r="BY155" i="5"/>
  <c r="BX155" i="5"/>
  <c r="BW155" i="5"/>
  <c r="BV155" i="5"/>
  <c r="BU155" i="5"/>
  <c r="BT155" i="5"/>
  <c r="BS155" i="5"/>
  <c r="BR155" i="5"/>
  <c r="BQ155" i="5"/>
  <c r="BO155" i="5"/>
  <c r="BN155" i="5"/>
  <c r="BM155" i="5"/>
  <c r="BL155" i="5"/>
  <c r="BK155" i="5"/>
  <c r="BJ155" i="5"/>
  <c r="BI155" i="5"/>
  <c r="BH155" i="5"/>
  <c r="BG155" i="5"/>
  <c r="BF155" i="5"/>
  <c r="BD155" i="5"/>
  <c r="BC155" i="5"/>
  <c r="BB155" i="5"/>
  <c r="BA155" i="5"/>
  <c r="AZ155" i="5"/>
  <c r="AY155" i="5"/>
  <c r="AX155" i="5"/>
  <c r="AW155" i="5"/>
  <c r="AV155" i="5"/>
  <c r="AU155" i="5"/>
  <c r="AS155" i="5"/>
  <c r="AR155" i="5"/>
  <c r="AQ155" i="5"/>
  <c r="AP155" i="5"/>
  <c r="AO155" i="5"/>
  <c r="AN155" i="5"/>
  <c r="AM155" i="5"/>
  <c r="AL155" i="5"/>
  <c r="AK155" i="5"/>
  <c r="AJ155" i="5"/>
  <c r="AH155" i="5"/>
  <c r="AG155" i="5"/>
  <c r="AF155" i="5"/>
  <c r="AE155" i="5"/>
  <c r="AD155" i="5"/>
  <c r="AC155" i="5"/>
  <c r="AB155" i="5"/>
  <c r="AA155" i="5"/>
  <c r="Z155" i="5"/>
  <c r="Y155" i="5"/>
  <c r="W155" i="5"/>
  <c r="V155" i="5"/>
  <c r="U155" i="5"/>
  <c r="T155" i="5"/>
  <c r="S155" i="5"/>
  <c r="R155" i="5"/>
  <c r="Q155" i="5"/>
  <c r="P155" i="5"/>
  <c r="O155" i="5"/>
  <c r="N155" i="5"/>
  <c r="L155" i="5"/>
  <c r="K155" i="5"/>
  <c r="J155" i="5"/>
  <c r="I155" i="5"/>
  <c r="H155" i="5"/>
  <c r="G155" i="5"/>
  <c r="F155" i="5"/>
  <c r="E155" i="5"/>
  <c r="D155" i="5"/>
  <c r="C155" i="5"/>
  <c r="B155" i="5"/>
  <c r="A155" i="5"/>
  <c r="BZ154" i="5"/>
  <c r="BY154" i="5"/>
  <c r="BX154" i="5"/>
  <c r="BW154" i="5"/>
  <c r="BV154" i="5"/>
  <c r="BU154" i="5"/>
  <c r="BT154" i="5"/>
  <c r="BS154" i="5"/>
  <c r="BR154" i="5"/>
  <c r="BQ154" i="5"/>
  <c r="BO154" i="5"/>
  <c r="BN154" i="5"/>
  <c r="BM154" i="5"/>
  <c r="BL154" i="5"/>
  <c r="BK154" i="5"/>
  <c r="BJ154" i="5"/>
  <c r="BI154" i="5"/>
  <c r="BH154" i="5"/>
  <c r="BG154" i="5"/>
  <c r="BF154" i="5"/>
  <c r="BD154" i="5"/>
  <c r="BC154" i="5"/>
  <c r="BB154" i="5"/>
  <c r="BA154" i="5"/>
  <c r="AZ154" i="5"/>
  <c r="AY154" i="5"/>
  <c r="AX154" i="5"/>
  <c r="AW154" i="5"/>
  <c r="AV154" i="5"/>
  <c r="AU154" i="5"/>
  <c r="AS154" i="5"/>
  <c r="AR154" i="5"/>
  <c r="AQ154" i="5"/>
  <c r="AP154" i="5"/>
  <c r="AO154" i="5"/>
  <c r="AN154" i="5"/>
  <c r="AM154" i="5"/>
  <c r="AL154" i="5"/>
  <c r="AK154" i="5"/>
  <c r="AJ154" i="5"/>
  <c r="AH154" i="5"/>
  <c r="AG154" i="5"/>
  <c r="AF154" i="5"/>
  <c r="AE154" i="5"/>
  <c r="AD154" i="5"/>
  <c r="AC154" i="5"/>
  <c r="AB154" i="5"/>
  <c r="AA154" i="5"/>
  <c r="Z154" i="5"/>
  <c r="Y154" i="5"/>
  <c r="W154" i="5"/>
  <c r="V154" i="5"/>
  <c r="U154" i="5"/>
  <c r="T154" i="5"/>
  <c r="S154" i="5"/>
  <c r="R154" i="5"/>
  <c r="Q154" i="5"/>
  <c r="P154" i="5"/>
  <c r="O154" i="5"/>
  <c r="N154" i="5"/>
  <c r="L154" i="5"/>
  <c r="K154" i="5"/>
  <c r="J154" i="5"/>
  <c r="I154" i="5"/>
  <c r="H154" i="5"/>
  <c r="G154" i="5"/>
  <c r="F154" i="5"/>
  <c r="E154" i="5"/>
  <c r="D154" i="5"/>
  <c r="C154" i="5"/>
  <c r="B154" i="5"/>
  <c r="A154" i="5"/>
  <c r="BZ153" i="5"/>
  <c r="BY153" i="5"/>
  <c r="BX153" i="5"/>
  <c r="BW153" i="5"/>
  <c r="BV153" i="5"/>
  <c r="BU153" i="5"/>
  <c r="BT153" i="5"/>
  <c r="BS153" i="5"/>
  <c r="BR153" i="5"/>
  <c r="BQ153" i="5"/>
  <c r="BO153" i="5"/>
  <c r="BN153" i="5"/>
  <c r="BM153" i="5"/>
  <c r="BL153" i="5"/>
  <c r="BK153" i="5"/>
  <c r="BJ153" i="5"/>
  <c r="BI153" i="5"/>
  <c r="BH153" i="5"/>
  <c r="BG153" i="5"/>
  <c r="BF153" i="5"/>
  <c r="BD153" i="5"/>
  <c r="BC153" i="5"/>
  <c r="BB153" i="5"/>
  <c r="BA153" i="5"/>
  <c r="AZ153" i="5"/>
  <c r="AY153" i="5"/>
  <c r="AX153" i="5"/>
  <c r="AW153" i="5"/>
  <c r="AV153" i="5"/>
  <c r="AU153" i="5"/>
  <c r="AS153" i="5"/>
  <c r="AR153" i="5"/>
  <c r="AQ153" i="5"/>
  <c r="AP153" i="5"/>
  <c r="AO153" i="5"/>
  <c r="AN153" i="5"/>
  <c r="AM153" i="5"/>
  <c r="AL153" i="5"/>
  <c r="AK153" i="5"/>
  <c r="AJ153" i="5"/>
  <c r="AH153" i="5"/>
  <c r="AG153" i="5"/>
  <c r="AF153" i="5"/>
  <c r="AE153" i="5"/>
  <c r="AD153" i="5"/>
  <c r="AC153" i="5"/>
  <c r="AB153" i="5"/>
  <c r="AA153" i="5"/>
  <c r="Z153" i="5"/>
  <c r="Y153" i="5"/>
  <c r="W153" i="5"/>
  <c r="V153" i="5"/>
  <c r="U153" i="5"/>
  <c r="T153" i="5"/>
  <c r="S153" i="5"/>
  <c r="R153" i="5"/>
  <c r="Q153" i="5"/>
  <c r="P153" i="5"/>
  <c r="O153" i="5"/>
  <c r="N153" i="5"/>
  <c r="L153" i="5"/>
  <c r="K153" i="5"/>
  <c r="J153" i="5"/>
  <c r="I153" i="5"/>
  <c r="H153" i="5"/>
  <c r="G153" i="5"/>
  <c r="F153" i="5"/>
  <c r="E153" i="5"/>
  <c r="D153" i="5"/>
  <c r="C153" i="5"/>
  <c r="B153" i="5"/>
  <c r="A153" i="5"/>
  <c r="BZ152" i="5"/>
  <c r="BY152" i="5"/>
  <c r="BX152" i="5"/>
  <c r="BW152" i="5"/>
  <c r="BV152" i="5"/>
  <c r="BU152" i="5"/>
  <c r="BT152" i="5"/>
  <c r="BS152" i="5"/>
  <c r="BR152" i="5"/>
  <c r="BQ152" i="5"/>
  <c r="BO152" i="5"/>
  <c r="BN152" i="5"/>
  <c r="BM152" i="5"/>
  <c r="BL152" i="5"/>
  <c r="BK152" i="5"/>
  <c r="BJ152" i="5"/>
  <c r="BI152" i="5"/>
  <c r="BH152" i="5"/>
  <c r="BG152" i="5"/>
  <c r="BF152" i="5"/>
  <c r="BD152" i="5"/>
  <c r="BC152" i="5"/>
  <c r="BB152" i="5"/>
  <c r="BA152" i="5"/>
  <c r="AZ152" i="5"/>
  <c r="AY152" i="5"/>
  <c r="AX152" i="5"/>
  <c r="AW152" i="5"/>
  <c r="AV152" i="5"/>
  <c r="AU152" i="5"/>
  <c r="AS152" i="5"/>
  <c r="AR152" i="5"/>
  <c r="AQ152" i="5"/>
  <c r="AP152" i="5"/>
  <c r="AO152" i="5"/>
  <c r="AN152" i="5"/>
  <c r="AM152" i="5"/>
  <c r="AL152" i="5"/>
  <c r="AK152" i="5"/>
  <c r="AJ152" i="5"/>
  <c r="AH152" i="5"/>
  <c r="AG152" i="5"/>
  <c r="AF152" i="5"/>
  <c r="AE152" i="5"/>
  <c r="AD152" i="5"/>
  <c r="AC152" i="5"/>
  <c r="AB152" i="5"/>
  <c r="AA152" i="5"/>
  <c r="Z152" i="5"/>
  <c r="Y152" i="5"/>
  <c r="W152" i="5"/>
  <c r="V152" i="5"/>
  <c r="U152" i="5"/>
  <c r="T152" i="5"/>
  <c r="S152" i="5"/>
  <c r="R152" i="5"/>
  <c r="Q152" i="5"/>
  <c r="P152" i="5"/>
  <c r="O152" i="5"/>
  <c r="N152" i="5"/>
  <c r="L152" i="5"/>
  <c r="K152" i="5"/>
  <c r="J152" i="5"/>
  <c r="I152" i="5"/>
  <c r="H152" i="5"/>
  <c r="G152" i="5"/>
  <c r="F152" i="5"/>
  <c r="E152" i="5"/>
  <c r="D152" i="5"/>
  <c r="C152" i="5"/>
  <c r="B152" i="5"/>
  <c r="A152" i="5"/>
  <c r="BZ151" i="5"/>
  <c r="BY151" i="5"/>
  <c r="BX151" i="5"/>
  <c r="BW151" i="5"/>
  <c r="BV151" i="5"/>
  <c r="BU151" i="5"/>
  <c r="BT151" i="5"/>
  <c r="BS151" i="5"/>
  <c r="BR151" i="5"/>
  <c r="BQ151" i="5"/>
  <c r="BO151" i="5"/>
  <c r="BN151" i="5"/>
  <c r="BM151" i="5"/>
  <c r="BL151" i="5"/>
  <c r="BK151" i="5"/>
  <c r="BJ151" i="5"/>
  <c r="BI151" i="5"/>
  <c r="BH151" i="5"/>
  <c r="BG151" i="5"/>
  <c r="BF151" i="5"/>
  <c r="BD151" i="5"/>
  <c r="BC151" i="5"/>
  <c r="BB151" i="5"/>
  <c r="BA151" i="5"/>
  <c r="AZ151" i="5"/>
  <c r="AY151" i="5"/>
  <c r="AX151" i="5"/>
  <c r="AW151" i="5"/>
  <c r="AV151" i="5"/>
  <c r="AU151" i="5"/>
  <c r="AS151" i="5"/>
  <c r="AR151" i="5"/>
  <c r="AQ151" i="5"/>
  <c r="AP151" i="5"/>
  <c r="AO151" i="5"/>
  <c r="AN151" i="5"/>
  <c r="AM151" i="5"/>
  <c r="AL151" i="5"/>
  <c r="AK151" i="5"/>
  <c r="AJ151" i="5"/>
  <c r="AH151" i="5"/>
  <c r="AG151" i="5"/>
  <c r="AF151" i="5"/>
  <c r="AE151" i="5"/>
  <c r="AD151" i="5"/>
  <c r="AC151" i="5"/>
  <c r="AB151" i="5"/>
  <c r="AA151" i="5"/>
  <c r="Z151" i="5"/>
  <c r="Y151" i="5"/>
  <c r="W151" i="5"/>
  <c r="V151" i="5"/>
  <c r="U151" i="5"/>
  <c r="T151" i="5"/>
  <c r="S151" i="5"/>
  <c r="R151" i="5"/>
  <c r="Q151" i="5"/>
  <c r="P151" i="5"/>
  <c r="O151" i="5"/>
  <c r="N151" i="5"/>
  <c r="L151" i="5"/>
  <c r="K151" i="5"/>
  <c r="J151" i="5"/>
  <c r="I151" i="5"/>
  <c r="H151" i="5"/>
  <c r="G151" i="5"/>
  <c r="F151" i="5"/>
  <c r="E151" i="5"/>
  <c r="D151" i="5"/>
  <c r="C151" i="5"/>
  <c r="B151" i="5"/>
  <c r="A151" i="5"/>
  <c r="BZ150" i="5"/>
  <c r="BY150" i="5"/>
  <c r="BX150" i="5"/>
  <c r="BW150" i="5"/>
  <c r="BV150" i="5"/>
  <c r="BU150" i="5"/>
  <c r="BT150" i="5"/>
  <c r="BS150" i="5"/>
  <c r="BR150" i="5"/>
  <c r="BQ150" i="5"/>
  <c r="BO150" i="5"/>
  <c r="BN150" i="5"/>
  <c r="BM150" i="5"/>
  <c r="BL150" i="5"/>
  <c r="BK150" i="5"/>
  <c r="BJ150" i="5"/>
  <c r="BI150" i="5"/>
  <c r="BH150" i="5"/>
  <c r="BG150" i="5"/>
  <c r="BF150" i="5"/>
  <c r="BD150" i="5"/>
  <c r="BC150" i="5"/>
  <c r="BB150" i="5"/>
  <c r="BA150" i="5"/>
  <c r="AZ150" i="5"/>
  <c r="AY150" i="5"/>
  <c r="AX150" i="5"/>
  <c r="AW150" i="5"/>
  <c r="AV150" i="5"/>
  <c r="AU150" i="5"/>
  <c r="AS150" i="5"/>
  <c r="AR150" i="5"/>
  <c r="AQ150" i="5"/>
  <c r="AP150" i="5"/>
  <c r="AO150" i="5"/>
  <c r="AN150" i="5"/>
  <c r="AM150" i="5"/>
  <c r="AL150" i="5"/>
  <c r="AK150" i="5"/>
  <c r="AJ150" i="5"/>
  <c r="AH150" i="5"/>
  <c r="AG150" i="5"/>
  <c r="AF150" i="5"/>
  <c r="AE150" i="5"/>
  <c r="AD150" i="5"/>
  <c r="AC150" i="5"/>
  <c r="AB150" i="5"/>
  <c r="AA150" i="5"/>
  <c r="Z150" i="5"/>
  <c r="Y150" i="5"/>
  <c r="W150" i="5"/>
  <c r="V150" i="5"/>
  <c r="U150" i="5"/>
  <c r="T150" i="5"/>
  <c r="S150" i="5"/>
  <c r="R150" i="5"/>
  <c r="Q150" i="5"/>
  <c r="P150" i="5"/>
  <c r="O150" i="5"/>
  <c r="N150" i="5"/>
  <c r="L150" i="5"/>
  <c r="K150" i="5"/>
  <c r="J150" i="5"/>
  <c r="I150" i="5"/>
  <c r="H150" i="5"/>
  <c r="G150" i="5"/>
  <c r="F150" i="5"/>
  <c r="E150" i="5"/>
  <c r="D150" i="5"/>
  <c r="C150" i="5"/>
  <c r="B150" i="5"/>
  <c r="A150" i="5"/>
  <c r="BZ149" i="5"/>
  <c r="BY149" i="5"/>
  <c r="BX149" i="5"/>
  <c r="BW149" i="5"/>
  <c r="BV149" i="5"/>
  <c r="BU149" i="5"/>
  <c r="BT149" i="5"/>
  <c r="BS149" i="5"/>
  <c r="BR149" i="5"/>
  <c r="BQ149" i="5"/>
  <c r="BO149" i="5"/>
  <c r="BN149" i="5"/>
  <c r="BM149" i="5"/>
  <c r="BL149" i="5"/>
  <c r="BK149" i="5"/>
  <c r="BJ149" i="5"/>
  <c r="BI149" i="5"/>
  <c r="BH149" i="5"/>
  <c r="BG149" i="5"/>
  <c r="BF149" i="5"/>
  <c r="BD149" i="5"/>
  <c r="BC149" i="5"/>
  <c r="BB149" i="5"/>
  <c r="BA149" i="5"/>
  <c r="AZ149" i="5"/>
  <c r="AY149" i="5"/>
  <c r="AX149" i="5"/>
  <c r="AW149" i="5"/>
  <c r="AV149" i="5"/>
  <c r="AU149" i="5"/>
  <c r="AS149" i="5"/>
  <c r="AR149" i="5"/>
  <c r="AQ149" i="5"/>
  <c r="AP149" i="5"/>
  <c r="AO149" i="5"/>
  <c r="AN149" i="5"/>
  <c r="AM149" i="5"/>
  <c r="AL149" i="5"/>
  <c r="AK149" i="5"/>
  <c r="AJ149" i="5"/>
  <c r="AH149" i="5"/>
  <c r="AG149" i="5"/>
  <c r="AF149" i="5"/>
  <c r="AE149" i="5"/>
  <c r="AD149" i="5"/>
  <c r="AC149" i="5"/>
  <c r="AB149" i="5"/>
  <c r="AA149" i="5"/>
  <c r="Z149" i="5"/>
  <c r="Y149" i="5"/>
  <c r="W149" i="5"/>
  <c r="V149" i="5"/>
  <c r="U149" i="5"/>
  <c r="T149" i="5"/>
  <c r="S149" i="5"/>
  <c r="R149" i="5"/>
  <c r="Q149" i="5"/>
  <c r="P149" i="5"/>
  <c r="O149" i="5"/>
  <c r="N149" i="5"/>
  <c r="L149" i="5"/>
  <c r="K149" i="5"/>
  <c r="J149" i="5"/>
  <c r="I149" i="5"/>
  <c r="H149" i="5"/>
  <c r="G149" i="5"/>
  <c r="F149" i="5"/>
  <c r="E149" i="5"/>
  <c r="D149" i="5"/>
  <c r="C149" i="5"/>
  <c r="B149" i="5"/>
  <c r="A149" i="5"/>
  <c r="BZ148" i="5"/>
  <c r="BY148" i="5"/>
  <c r="BX148" i="5"/>
  <c r="BW148" i="5"/>
  <c r="BV148" i="5"/>
  <c r="BU148" i="5"/>
  <c r="BT148" i="5"/>
  <c r="BS148" i="5"/>
  <c r="BR148" i="5"/>
  <c r="BQ148" i="5"/>
  <c r="BO148" i="5"/>
  <c r="BN148" i="5"/>
  <c r="BM148" i="5"/>
  <c r="BL148" i="5"/>
  <c r="BK148" i="5"/>
  <c r="BJ148" i="5"/>
  <c r="BI148" i="5"/>
  <c r="BH148" i="5"/>
  <c r="BG148" i="5"/>
  <c r="BF148" i="5"/>
  <c r="BD148" i="5"/>
  <c r="BC148" i="5"/>
  <c r="BB148" i="5"/>
  <c r="BA148" i="5"/>
  <c r="AZ148" i="5"/>
  <c r="AY148" i="5"/>
  <c r="AX148" i="5"/>
  <c r="AW148" i="5"/>
  <c r="AV148" i="5"/>
  <c r="AU148" i="5"/>
  <c r="AS148" i="5"/>
  <c r="AR148" i="5"/>
  <c r="AQ148" i="5"/>
  <c r="AP148" i="5"/>
  <c r="AO148" i="5"/>
  <c r="AN148" i="5"/>
  <c r="AM148" i="5"/>
  <c r="AL148" i="5"/>
  <c r="AK148" i="5"/>
  <c r="AJ148" i="5"/>
  <c r="AH148" i="5"/>
  <c r="AG148" i="5"/>
  <c r="AF148" i="5"/>
  <c r="AE148" i="5"/>
  <c r="AD148" i="5"/>
  <c r="AC148" i="5"/>
  <c r="AB148" i="5"/>
  <c r="AA148" i="5"/>
  <c r="Z148" i="5"/>
  <c r="Y148" i="5"/>
  <c r="W148" i="5"/>
  <c r="V148" i="5"/>
  <c r="U148" i="5"/>
  <c r="T148" i="5"/>
  <c r="S148" i="5"/>
  <c r="R148" i="5"/>
  <c r="Q148" i="5"/>
  <c r="P148" i="5"/>
  <c r="O148" i="5"/>
  <c r="N148" i="5"/>
  <c r="L148" i="5"/>
  <c r="K148" i="5"/>
  <c r="J148" i="5"/>
  <c r="I148" i="5"/>
  <c r="H148" i="5"/>
  <c r="G148" i="5"/>
  <c r="F148" i="5"/>
  <c r="E148" i="5"/>
  <c r="D148" i="5"/>
  <c r="C148" i="5"/>
  <c r="B148" i="5"/>
  <c r="A148" i="5"/>
  <c r="BZ147" i="5"/>
  <c r="BY147" i="5"/>
  <c r="BX147" i="5"/>
  <c r="BW147" i="5"/>
  <c r="BV147" i="5"/>
  <c r="BU147" i="5"/>
  <c r="BT147" i="5"/>
  <c r="BS147" i="5"/>
  <c r="BR147" i="5"/>
  <c r="BQ147" i="5"/>
  <c r="BO147" i="5"/>
  <c r="BN147" i="5"/>
  <c r="BM147" i="5"/>
  <c r="BL147" i="5"/>
  <c r="BK147" i="5"/>
  <c r="BJ147" i="5"/>
  <c r="BI147" i="5"/>
  <c r="BH147" i="5"/>
  <c r="BG147" i="5"/>
  <c r="BF147" i="5"/>
  <c r="BD147" i="5"/>
  <c r="BC147" i="5"/>
  <c r="BB147" i="5"/>
  <c r="BA147" i="5"/>
  <c r="AZ147" i="5"/>
  <c r="AY147" i="5"/>
  <c r="AX147" i="5"/>
  <c r="AW147" i="5"/>
  <c r="AV147" i="5"/>
  <c r="AU147" i="5"/>
  <c r="AS147" i="5"/>
  <c r="AR147" i="5"/>
  <c r="AQ147" i="5"/>
  <c r="AP147" i="5"/>
  <c r="AO147" i="5"/>
  <c r="AN147" i="5"/>
  <c r="AM147" i="5"/>
  <c r="AL147" i="5"/>
  <c r="AK147" i="5"/>
  <c r="AJ147" i="5"/>
  <c r="AH147" i="5"/>
  <c r="AG147" i="5"/>
  <c r="AF147" i="5"/>
  <c r="AE147" i="5"/>
  <c r="AD147" i="5"/>
  <c r="AC147" i="5"/>
  <c r="AB147" i="5"/>
  <c r="AA147" i="5"/>
  <c r="Z147" i="5"/>
  <c r="Y147" i="5"/>
  <c r="W147" i="5"/>
  <c r="V147" i="5"/>
  <c r="U147" i="5"/>
  <c r="T147" i="5"/>
  <c r="S147" i="5"/>
  <c r="R147" i="5"/>
  <c r="Q147" i="5"/>
  <c r="P147" i="5"/>
  <c r="O147" i="5"/>
  <c r="N147" i="5"/>
  <c r="L147" i="5"/>
  <c r="K147" i="5"/>
  <c r="J147" i="5"/>
  <c r="I147" i="5"/>
  <c r="H147" i="5"/>
  <c r="G147" i="5"/>
  <c r="F147" i="5"/>
  <c r="E147" i="5"/>
  <c r="D147" i="5"/>
  <c r="C147" i="5"/>
  <c r="B147" i="5"/>
  <c r="A147" i="5"/>
  <c r="BZ146" i="5"/>
  <c r="BY146" i="5"/>
  <c r="BX146" i="5"/>
  <c r="BW146" i="5"/>
  <c r="BV146" i="5"/>
  <c r="BU146" i="5"/>
  <c r="BT146" i="5"/>
  <c r="BS146" i="5"/>
  <c r="BR146" i="5"/>
  <c r="BQ146" i="5"/>
  <c r="BO146" i="5"/>
  <c r="BN146" i="5"/>
  <c r="BM146" i="5"/>
  <c r="BL146" i="5"/>
  <c r="BK146" i="5"/>
  <c r="BJ146" i="5"/>
  <c r="BI146" i="5"/>
  <c r="BH146" i="5"/>
  <c r="BG146" i="5"/>
  <c r="BF146" i="5"/>
  <c r="BD146" i="5"/>
  <c r="BC146" i="5"/>
  <c r="BB146" i="5"/>
  <c r="BA146" i="5"/>
  <c r="AZ146" i="5"/>
  <c r="AY146" i="5"/>
  <c r="AX146" i="5"/>
  <c r="AW146" i="5"/>
  <c r="AV146" i="5"/>
  <c r="AU146" i="5"/>
  <c r="AS146" i="5"/>
  <c r="AR146" i="5"/>
  <c r="AQ146" i="5"/>
  <c r="AP146" i="5"/>
  <c r="AO146" i="5"/>
  <c r="AN146" i="5"/>
  <c r="AM146" i="5"/>
  <c r="AL146" i="5"/>
  <c r="AK146" i="5"/>
  <c r="AJ146" i="5"/>
  <c r="AH146" i="5"/>
  <c r="AG146" i="5"/>
  <c r="AF146" i="5"/>
  <c r="AE146" i="5"/>
  <c r="AD146" i="5"/>
  <c r="AC146" i="5"/>
  <c r="AB146" i="5"/>
  <c r="AA146" i="5"/>
  <c r="Z146" i="5"/>
  <c r="Y146" i="5"/>
  <c r="W146" i="5"/>
  <c r="V146" i="5"/>
  <c r="U146" i="5"/>
  <c r="T146" i="5"/>
  <c r="S146" i="5"/>
  <c r="R146" i="5"/>
  <c r="Q146" i="5"/>
  <c r="P146" i="5"/>
  <c r="O146" i="5"/>
  <c r="N146" i="5"/>
  <c r="L146" i="5"/>
  <c r="K146" i="5"/>
  <c r="J146" i="5"/>
  <c r="I146" i="5"/>
  <c r="H146" i="5"/>
  <c r="G146" i="5"/>
  <c r="F146" i="5"/>
  <c r="E146" i="5"/>
  <c r="D146" i="5"/>
  <c r="C146" i="5"/>
  <c r="B146" i="5"/>
  <c r="A146" i="5"/>
  <c r="BZ145" i="5"/>
  <c r="BY145" i="5"/>
  <c r="BX145" i="5"/>
  <c r="BW145" i="5"/>
  <c r="BV145" i="5"/>
  <c r="BU145" i="5"/>
  <c r="BT145" i="5"/>
  <c r="BS145" i="5"/>
  <c r="BR145" i="5"/>
  <c r="BQ145" i="5"/>
  <c r="BO145" i="5"/>
  <c r="BN145" i="5"/>
  <c r="BM145" i="5"/>
  <c r="BL145" i="5"/>
  <c r="BK145" i="5"/>
  <c r="BJ145" i="5"/>
  <c r="BI145" i="5"/>
  <c r="BH145" i="5"/>
  <c r="BG145" i="5"/>
  <c r="BF145" i="5"/>
  <c r="BD145" i="5"/>
  <c r="BC145" i="5"/>
  <c r="BB145" i="5"/>
  <c r="BA145" i="5"/>
  <c r="AZ145" i="5"/>
  <c r="AY145" i="5"/>
  <c r="AX145" i="5"/>
  <c r="AW145" i="5"/>
  <c r="AV145" i="5"/>
  <c r="AU145" i="5"/>
  <c r="AS145" i="5"/>
  <c r="AR145" i="5"/>
  <c r="AQ145" i="5"/>
  <c r="AP145" i="5"/>
  <c r="AO145" i="5"/>
  <c r="AN145" i="5"/>
  <c r="AM145" i="5"/>
  <c r="AL145" i="5"/>
  <c r="AK145" i="5"/>
  <c r="AJ145" i="5"/>
  <c r="AH145" i="5"/>
  <c r="AG145" i="5"/>
  <c r="AF145" i="5"/>
  <c r="AE145" i="5"/>
  <c r="AD145" i="5"/>
  <c r="AC145" i="5"/>
  <c r="AB145" i="5"/>
  <c r="AA145" i="5"/>
  <c r="Z145" i="5"/>
  <c r="Y145" i="5"/>
  <c r="W145" i="5"/>
  <c r="V145" i="5"/>
  <c r="U145" i="5"/>
  <c r="T145" i="5"/>
  <c r="S145" i="5"/>
  <c r="R145" i="5"/>
  <c r="Q145" i="5"/>
  <c r="P145" i="5"/>
  <c r="O145" i="5"/>
  <c r="N145" i="5"/>
  <c r="L145" i="5"/>
  <c r="K145" i="5"/>
  <c r="J145" i="5"/>
  <c r="I145" i="5"/>
  <c r="H145" i="5"/>
  <c r="G145" i="5"/>
  <c r="F145" i="5"/>
  <c r="E145" i="5"/>
  <c r="D145" i="5"/>
  <c r="C145" i="5"/>
  <c r="B145" i="5"/>
  <c r="A145" i="5"/>
  <c r="BZ144" i="5"/>
  <c r="BY144" i="5"/>
  <c r="BX144" i="5"/>
  <c r="BW144" i="5"/>
  <c r="BV144" i="5"/>
  <c r="BU144" i="5"/>
  <c r="BT144" i="5"/>
  <c r="BS144" i="5"/>
  <c r="BR144" i="5"/>
  <c r="BQ144" i="5"/>
  <c r="BO144" i="5"/>
  <c r="BN144" i="5"/>
  <c r="BM144" i="5"/>
  <c r="BL144" i="5"/>
  <c r="BK144" i="5"/>
  <c r="BJ144" i="5"/>
  <c r="BI144" i="5"/>
  <c r="BH144" i="5"/>
  <c r="BG144" i="5"/>
  <c r="BF144" i="5"/>
  <c r="BD144" i="5"/>
  <c r="BC144" i="5"/>
  <c r="BB144" i="5"/>
  <c r="BA144" i="5"/>
  <c r="AZ144" i="5"/>
  <c r="AY144" i="5"/>
  <c r="AX144" i="5"/>
  <c r="AW144" i="5"/>
  <c r="AV144" i="5"/>
  <c r="AU144" i="5"/>
  <c r="AS144" i="5"/>
  <c r="AR144" i="5"/>
  <c r="AQ144" i="5"/>
  <c r="AP144" i="5"/>
  <c r="AO144" i="5"/>
  <c r="AN144" i="5"/>
  <c r="AM144" i="5"/>
  <c r="AL144" i="5"/>
  <c r="AK144" i="5"/>
  <c r="AJ144" i="5"/>
  <c r="AH144" i="5"/>
  <c r="AG144" i="5"/>
  <c r="AF144" i="5"/>
  <c r="AE144" i="5"/>
  <c r="AD144" i="5"/>
  <c r="AC144" i="5"/>
  <c r="AB144" i="5"/>
  <c r="AA144" i="5"/>
  <c r="Z144" i="5"/>
  <c r="Y144" i="5"/>
  <c r="W144" i="5"/>
  <c r="V144" i="5"/>
  <c r="U144" i="5"/>
  <c r="T144" i="5"/>
  <c r="S144" i="5"/>
  <c r="R144" i="5"/>
  <c r="Q144" i="5"/>
  <c r="P144" i="5"/>
  <c r="O144" i="5"/>
  <c r="N144" i="5"/>
  <c r="L144" i="5"/>
  <c r="K144" i="5"/>
  <c r="J144" i="5"/>
  <c r="I144" i="5"/>
  <c r="H144" i="5"/>
  <c r="G144" i="5"/>
  <c r="F144" i="5"/>
  <c r="E144" i="5"/>
  <c r="D144" i="5"/>
  <c r="C144" i="5"/>
  <c r="B144" i="5"/>
  <c r="A144" i="5"/>
  <c r="BZ143" i="5"/>
  <c r="BY143" i="5"/>
  <c r="BX143" i="5"/>
  <c r="BW143" i="5"/>
  <c r="BV143" i="5"/>
  <c r="BU143" i="5"/>
  <c r="BT143" i="5"/>
  <c r="BS143" i="5"/>
  <c r="BR143" i="5"/>
  <c r="BQ143" i="5"/>
  <c r="BO143" i="5"/>
  <c r="BN143" i="5"/>
  <c r="BM143" i="5"/>
  <c r="BL143" i="5"/>
  <c r="BK143" i="5"/>
  <c r="BJ143" i="5"/>
  <c r="BI143" i="5"/>
  <c r="BH143" i="5"/>
  <c r="BG143" i="5"/>
  <c r="BF143" i="5"/>
  <c r="BD143" i="5"/>
  <c r="BC143" i="5"/>
  <c r="BB143" i="5"/>
  <c r="BA143" i="5"/>
  <c r="AZ143" i="5"/>
  <c r="AY143" i="5"/>
  <c r="AX143" i="5"/>
  <c r="AW143" i="5"/>
  <c r="AV143" i="5"/>
  <c r="AU143" i="5"/>
  <c r="AS143" i="5"/>
  <c r="AR143" i="5"/>
  <c r="AQ143" i="5"/>
  <c r="AP143" i="5"/>
  <c r="AO143" i="5"/>
  <c r="AN143" i="5"/>
  <c r="AM143" i="5"/>
  <c r="AL143" i="5"/>
  <c r="AK143" i="5"/>
  <c r="AJ143" i="5"/>
  <c r="AH143" i="5"/>
  <c r="AG143" i="5"/>
  <c r="AF143" i="5"/>
  <c r="AE143" i="5"/>
  <c r="AD143" i="5"/>
  <c r="AC143" i="5"/>
  <c r="AB143" i="5"/>
  <c r="AA143" i="5"/>
  <c r="Z143" i="5"/>
  <c r="Y143" i="5"/>
  <c r="W143" i="5"/>
  <c r="V143" i="5"/>
  <c r="U143" i="5"/>
  <c r="T143" i="5"/>
  <c r="S143" i="5"/>
  <c r="R143" i="5"/>
  <c r="Q143" i="5"/>
  <c r="P143" i="5"/>
  <c r="O143" i="5"/>
  <c r="N143" i="5"/>
  <c r="L143" i="5"/>
  <c r="K143" i="5"/>
  <c r="J143" i="5"/>
  <c r="I143" i="5"/>
  <c r="H143" i="5"/>
  <c r="G143" i="5"/>
  <c r="F143" i="5"/>
  <c r="E143" i="5"/>
  <c r="D143" i="5"/>
  <c r="C143" i="5"/>
  <c r="B143" i="5"/>
  <c r="A143" i="5"/>
  <c r="BZ142" i="5"/>
  <c r="BY142" i="5"/>
  <c r="BX142" i="5"/>
  <c r="BW142" i="5"/>
  <c r="BV142" i="5"/>
  <c r="BU142" i="5"/>
  <c r="BT142" i="5"/>
  <c r="BS142" i="5"/>
  <c r="BR142" i="5"/>
  <c r="BQ142" i="5"/>
  <c r="BO142" i="5"/>
  <c r="BN142" i="5"/>
  <c r="BM142" i="5"/>
  <c r="BL142" i="5"/>
  <c r="BK142" i="5"/>
  <c r="BJ142" i="5"/>
  <c r="BI142" i="5"/>
  <c r="BH142" i="5"/>
  <c r="BG142" i="5"/>
  <c r="BF142" i="5"/>
  <c r="BD142" i="5"/>
  <c r="BC142" i="5"/>
  <c r="BB142" i="5"/>
  <c r="BA142" i="5"/>
  <c r="AZ142" i="5"/>
  <c r="AY142" i="5"/>
  <c r="AX142" i="5"/>
  <c r="AW142" i="5"/>
  <c r="AV142" i="5"/>
  <c r="AU142" i="5"/>
  <c r="AS142" i="5"/>
  <c r="AR142" i="5"/>
  <c r="AQ142" i="5"/>
  <c r="AP142" i="5"/>
  <c r="AO142" i="5"/>
  <c r="AN142" i="5"/>
  <c r="AM142" i="5"/>
  <c r="AL142" i="5"/>
  <c r="AK142" i="5"/>
  <c r="AJ142" i="5"/>
  <c r="AH142" i="5"/>
  <c r="AG142" i="5"/>
  <c r="AF142" i="5"/>
  <c r="AE142" i="5"/>
  <c r="AD142" i="5"/>
  <c r="AC142" i="5"/>
  <c r="AB142" i="5"/>
  <c r="AA142" i="5"/>
  <c r="Z142" i="5"/>
  <c r="Y142" i="5"/>
  <c r="W142" i="5"/>
  <c r="V142" i="5"/>
  <c r="U142" i="5"/>
  <c r="T142" i="5"/>
  <c r="S142" i="5"/>
  <c r="R142" i="5"/>
  <c r="Q142" i="5"/>
  <c r="P142" i="5"/>
  <c r="O142" i="5"/>
  <c r="N142" i="5"/>
  <c r="L142" i="5"/>
  <c r="K142" i="5"/>
  <c r="J142" i="5"/>
  <c r="I142" i="5"/>
  <c r="H142" i="5"/>
  <c r="G142" i="5"/>
  <c r="F142" i="5"/>
  <c r="E142" i="5"/>
  <c r="D142" i="5"/>
  <c r="C142" i="5"/>
  <c r="B142" i="5"/>
  <c r="A142" i="5"/>
  <c r="BZ141" i="5"/>
  <c r="BY141" i="5"/>
  <c r="BX141" i="5"/>
  <c r="BW141" i="5"/>
  <c r="BV141" i="5"/>
  <c r="BU141" i="5"/>
  <c r="BT141" i="5"/>
  <c r="BS141" i="5"/>
  <c r="BR141" i="5"/>
  <c r="BQ141" i="5"/>
  <c r="BO141" i="5"/>
  <c r="BN141" i="5"/>
  <c r="BM141" i="5"/>
  <c r="BL141" i="5"/>
  <c r="BK141" i="5"/>
  <c r="BJ141" i="5"/>
  <c r="BI141" i="5"/>
  <c r="BH141" i="5"/>
  <c r="BG141" i="5"/>
  <c r="BF141" i="5"/>
  <c r="BD141" i="5"/>
  <c r="BC141" i="5"/>
  <c r="BB141" i="5"/>
  <c r="BA141" i="5"/>
  <c r="AZ141" i="5"/>
  <c r="AY141" i="5"/>
  <c r="AX141" i="5"/>
  <c r="AW141" i="5"/>
  <c r="AV141" i="5"/>
  <c r="AU141" i="5"/>
  <c r="AS141" i="5"/>
  <c r="AR141" i="5"/>
  <c r="AQ141" i="5"/>
  <c r="AP141" i="5"/>
  <c r="AO141" i="5"/>
  <c r="AN141" i="5"/>
  <c r="AM141" i="5"/>
  <c r="AL141" i="5"/>
  <c r="AK141" i="5"/>
  <c r="AJ141" i="5"/>
  <c r="AH141" i="5"/>
  <c r="AG141" i="5"/>
  <c r="AF141" i="5"/>
  <c r="AE141" i="5"/>
  <c r="AD141" i="5"/>
  <c r="AC141" i="5"/>
  <c r="AB141" i="5"/>
  <c r="AA141" i="5"/>
  <c r="Z141" i="5"/>
  <c r="Y141" i="5"/>
  <c r="W141" i="5"/>
  <c r="V141" i="5"/>
  <c r="U141" i="5"/>
  <c r="T141" i="5"/>
  <c r="S141" i="5"/>
  <c r="R141" i="5"/>
  <c r="Q141" i="5"/>
  <c r="P141" i="5"/>
  <c r="O141" i="5"/>
  <c r="N141" i="5"/>
  <c r="L141" i="5"/>
  <c r="K141" i="5"/>
  <c r="J141" i="5"/>
  <c r="I141" i="5"/>
  <c r="H141" i="5"/>
  <c r="G141" i="5"/>
  <c r="F141" i="5"/>
  <c r="E141" i="5"/>
  <c r="D141" i="5"/>
  <c r="C141" i="5"/>
  <c r="B141" i="5"/>
  <c r="A141" i="5"/>
  <c r="BZ140" i="5"/>
  <c r="BY140" i="5"/>
  <c r="BX140" i="5"/>
  <c r="BW140" i="5"/>
  <c r="BV140" i="5"/>
  <c r="BU140" i="5"/>
  <c r="BT140" i="5"/>
  <c r="BS140" i="5"/>
  <c r="BR140" i="5"/>
  <c r="BQ140" i="5"/>
  <c r="BO140" i="5"/>
  <c r="BN140" i="5"/>
  <c r="BM140" i="5"/>
  <c r="BL140" i="5"/>
  <c r="BK140" i="5"/>
  <c r="BJ140" i="5"/>
  <c r="BI140" i="5"/>
  <c r="BH140" i="5"/>
  <c r="BG140" i="5"/>
  <c r="BF140" i="5"/>
  <c r="BD140" i="5"/>
  <c r="BC140" i="5"/>
  <c r="BB140" i="5"/>
  <c r="BA140" i="5"/>
  <c r="AZ140" i="5"/>
  <c r="AY140" i="5"/>
  <c r="AX140" i="5"/>
  <c r="AW140" i="5"/>
  <c r="AV140" i="5"/>
  <c r="AU140" i="5"/>
  <c r="AS140" i="5"/>
  <c r="AR140" i="5"/>
  <c r="AQ140" i="5"/>
  <c r="AP140" i="5"/>
  <c r="AO140" i="5"/>
  <c r="AN140" i="5"/>
  <c r="AM140" i="5"/>
  <c r="AL140" i="5"/>
  <c r="AK140" i="5"/>
  <c r="AJ140" i="5"/>
  <c r="AH140" i="5"/>
  <c r="AG140" i="5"/>
  <c r="AF140" i="5"/>
  <c r="AE140" i="5"/>
  <c r="AD140" i="5"/>
  <c r="AC140" i="5"/>
  <c r="AB140" i="5"/>
  <c r="AA140" i="5"/>
  <c r="Z140" i="5"/>
  <c r="Y140" i="5"/>
  <c r="W140" i="5"/>
  <c r="V140" i="5"/>
  <c r="U140" i="5"/>
  <c r="T140" i="5"/>
  <c r="S140" i="5"/>
  <c r="R140" i="5"/>
  <c r="Q140" i="5"/>
  <c r="P140" i="5"/>
  <c r="O140" i="5"/>
  <c r="N140" i="5"/>
  <c r="L140" i="5"/>
  <c r="K140" i="5"/>
  <c r="J140" i="5"/>
  <c r="I140" i="5"/>
  <c r="H140" i="5"/>
  <c r="G140" i="5"/>
  <c r="F140" i="5"/>
  <c r="E140" i="5"/>
  <c r="D140" i="5"/>
  <c r="C140" i="5"/>
  <c r="B140" i="5"/>
  <c r="A140" i="5"/>
  <c r="BZ139" i="5"/>
  <c r="BY139" i="5"/>
  <c r="BX139" i="5"/>
  <c r="BW139" i="5"/>
  <c r="BV139" i="5"/>
  <c r="BU139" i="5"/>
  <c r="BT139" i="5"/>
  <c r="BS139" i="5"/>
  <c r="BR139" i="5"/>
  <c r="BQ139" i="5"/>
  <c r="BO139" i="5"/>
  <c r="BN139" i="5"/>
  <c r="BM139" i="5"/>
  <c r="BL139" i="5"/>
  <c r="BK139" i="5"/>
  <c r="BJ139" i="5"/>
  <c r="BI139" i="5"/>
  <c r="BH139" i="5"/>
  <c r="BG139" i="5"/>
  <c r="BF139" i="5"/>
  <c r="BD139" i="5"/>
  <c r="BC139" i="5"/>
  <c r="BB139" i="5"/>
  <c r="BA139" i="5"/>
  <c r="AZ139" i="5"/>
  <c r="AY139" i="5"/>
  <c r="AX139" i="5"/>
  <c r="AW139" i="5"/>
  <c r="AV139" i="5"/>
  <c r="AU139" i="5"/>
  <c r="AS139" i="5"/>
  <c r="AR139" i="5"/>
  <c r="AQ139" i="5"/>
  <c r="AP139" i="5"/>
  <c r="AO139" i="5"/>
  <c r="AN139" i="5"/>
  <c r="AM139" i="5"/>
  <c r="AL139" i="5"/>
  <c r="AK139" i="5"/>
  <c r="AJ139" i="5"/>
  <c r="AH139" i="5"/>
  <c r="AG139" i="5"/>
  <c r="AF139" i="5"/>
  <c r="AE139" i="5"/>
  <c r="AD139" i="5"/>
  <c r="AC139" i="5"/>
  <c r="AB139" i="5"/>
  <c r="AA139" i="5"/>
  <c r="Z139" i="5"/>
  <c r="Y139" i="5"/>
  <c r="W139" i="5"/>
  <c r="V139" i="5"/>
  <c r="U139" i="5"/>
  <c r="T139" i="5"/>
  <c r="S139" i="5"/>
  <c r="R139" i="5"/>
  <c r="Q139" i="5"/>
  <c r="P139" i="5"/>
  <c r="O139" i="5"/>
  <c r="N139" i="5"/>
  <c r="L139" i="5"/>
  <c r="K139" i="5"/>
  <c r="J139" i="5"/>
  <c r="I139" i="5"/>
  <c r="H139" i="5"/>
  <c r="G139" i="5"/>
  <c r="F139" i="5"/>
  <c r="E139" i="5"/>
  <c r="D139" i="5"/>
  <c r="C139" i="5"/>
  <c r="B139" i="5"/>
  <c r="A139" i="5"/>
  <c r="BZ138" i="5"/>
  <c r="BY138" i="5"/>
  <c r="BX138" i="5"/>
  <c r="BW138" i="5"/>
  <c r="BV138" i="5"/>
  <c r="BU138" i="5"/>
  <c r="BT138" i="5"/>
  <c r="BS138" i="5"/>
  <c r="BR138" i="5"/>
  <c r="BQ138" i="5"/>
  <c r="BO138" i="5"/>
  <c r="BN138" i="5"/>
  <c r="BM138" i="5"/>
  <c r="BL138" i="5"/>
  <c r="BK138" i="5"/>
  <c r="BJ138" i="5"/>
  <c r="BI138" i="5"/>
  <c r="BH138" i="5"/>
  <c r="BG138" i="5"/>
  <c r="BF138" i="5"/>
  <c r="BD138" i="5"/>
  <c r="BC138" i="5"/>
  <c r="BB138" i="5"/>
  <c r="BA138" i="5"/>
  <c r="AZ138" i="5"/>
  <c r="AY138" i="5"/>
  <c r="AX138" i="5"/>
  <c r="AW138" i="5"/>
  <c r="AV138" i="5"/>
  <c r="AU138" i="5"/>
  <c r="AS138" i="5"/>
  <c r="AR138" i="5"/>
  <c r="AQ138" i="5"/>
  <c r="AP138" i="5"/>
  <c r="AO138" i="5"/>
  <c r="AN138" i="5"/>
  <c r="AM138" i="5"/>
  <c r="AL138" i="5"/>
  <c r="AK138" i="5"/>
  <c r="AJ138" i="5"/>
  <c r="AH138" i="5"/>
  <c r="AG138" i="5"/>
  <c r="AF138" i="5"/>
  <c r="AE138" i="5"/>
  <c r="AD138" i="5"/>
  <c r="AC138" i="5"/>
  <c r="AB138" i="5"/>
  <c r="AA138" i="5"/>
  <c r="Z138" i="5"/>
  <c r="Y138" i="5"/>
  <c r="W138" i="5"/>
  <c r="V138" i="5"/>
  <c r="U138" i="5"/>
  <c r="T138" i="5"/>
  <c r="S138" i="5"/>
  <c r="R138" i="5"/>
  <c r="Q138" i="5"/>
  <c r="P138" i="5"/>
  <c r="O138" i="5"/>
  <c r="N138" i="5"/>
  <c r="L138" i="5"/>
  <c r="K138" i="5"/>
  <c r="J138" i="5"/>
  <c r="I138" i="5"/>
  <c r="H138" i="5"/>
  <c r="G138" i="5"/>
  <c r="F138" i="5"/>
  <c r="E138" i="5"/>
  <c r="D138" i="5"/>
  <c r="C138" i="5"/>
  <c r="B138" i="5"/>
  <c r="A138" i="5"/>
  <c r="BZ137" i="5"/>
  <c r="BY137" i="5"/>
  <c r="BX137" i="5"/>
  <c r="BW137" i="5"/>
  <c r="BV137" i="5"/>
  <c r="BU137" i="5"/>
  <c r="BT137" i="5"/>
  <c r="BS137" i="5"/>
  <c r="BR137" i="5"/>
  <c r="BQ137" i="5"/>
  <c r="BO137" i="5"/>
  <c r="BN137" i="5"/>
  <c r="BM137" i="5"/>
  <c r="BL137" i="5"/>
  <c r="BK137" i="5"/>
  <c r="BJ137" i="5"/>
  <c r="BI137" i="5"/>
  <c r="BH137" i="5"/>
  <c r="BG137" i="5"/>
  <c r="BF137" i="5"/>
  <c r="BD137" i="5"/>
  <c r="BC137" i="5"/>
  <c r="BB137" i="5"/>
  <c r="BA137" i="5"/>
  <c r="AZ137" i="5"/>
  <c r="AY137" i="5"/>
  <c r="AX137" i="5"/>
  <c r="AW137" i="5"/>
  <c r="AV137" i="5"/>
  <c r="AU137" i="5"/>
  <c r="AS137" i="5"/>
  <c r="AR137" i="5"/>
  <c r="AQ137" i="5"/>
  <c r="AP137" i="5"/>
  <c r="AO137" i="5"/>
  <c r="AN137" i="5"/>
  <c r="AM137" i="5"/>
  <c r="AL137" i="5"/>
  <c r="AK137" i="5"/>
  <c r="AJ137" i="5"/>
  <c r="AH137" i="5"/>
  <c r="AG137" i="5"/>
  <c r="AF137" i="5"/>
  <c r="AE137" i="5"/>
  <c r="AD137" i="5"/>
  <c r="AC137" i="5"/>
  <c r="AB137" i="5"/>
  <c r="AA137" i="5"/>
  <c r="Z137" i="5"/>
  <c r="Y137" i="5"/>
  <c r="W137" i="5"/>
  <c r="V137" i="5"/>
  <c r="U137" i="5"/>
  <c r="T137" i="5"/>
  <c r="S137" i="5"/>
  <c r="R137" i="5"/>
  <c r="Q137" i="5"/>
  <c r="P137" i="5"/>
  <c r="O137" i="5"/>
  <c r="N137" i="5"/>
  <c r="L137" i="5"/>
  <c r="K137" i="5"/>
  <c r="J137" i="5"/>
  <c r="I137" i="5"/>
  <c r="H137" i="5"/>
  <c r="G137" i="5"/>
  <c r="F137" i="5"/>
  <c r="E137" i="5"/>
  <c r="D137" i="5"/>
  <c r="C137" i="5"/>
  <c r="B137" i="5"/>
  <c r="A137" i="5"/>
  <c r="BZ136" i="5"/>
  <c r="BY136" i="5"/>
  <c r="BX136" i="5"/>
  <c r="BW136" i="5"/>
  <c r="BV136" i="5"/>
  <c r="BU136" i="5"/>
  <c r="BT136" i="5"/>
  <c r="BS136" i="5"/>
  <c r="BR136" i="5"/>
  <c r="BQ136" i="5"/>
  <c r="BO136" i="5"/>
  <c r="BN136" i="5"/>
  <c r="BM136" i="5"/>
  <c r="BL136" i="5"/>
  <c r="BK136" i="5"/>
  <c r="BJ136" i="5"/>
  <c r="BI136" i="5"/>
  <c r="BH136" i="5"/>
  <c r="BG136" i="5"/>
  <c r="BF136" i="5"/>
  <c r="BD136" i="5"/>
  <c r="BC136" i="5"/>
  <c r="BB136" i="5"/>
  <c r="BA136" i="5"/>
  <c r="AZ136" i="5"/>
  <c r="AY136" i="5"/>
  <c r="AX136" i="5"/>
  <c r="AW136" i="5"/>
  <c r="AV136" i="5"/>
  <c r="AU136" i="5"/>
  <c r="AS136" i="5"/>
  <c r="AR136" i="5"/>
  <c r="AQ136" i="5"/>
  <c r="AP136" i="5"/>
  <c r="AO136" i="5"/>
  <c r="AN136" i="5"/>
  <c r="AM136" i="5"/>
  <c r="AL136" i="5"/>
  <c r="AK136" i="5"/>
  <c r="AJ136" i="5"/>
  <c r="AH136" i="5"/>
  <c r="AG136" i="5"/>
  <c r="AF136" i="5"/>
  <c r="AE136" i="5"/>
  <c r="AD136" i="5"/>
  <c r="AC136" i="5"/>
  <c r="AB136" i="5"/>
  <c r="AA136" i="5"/>
  <c r="Z136" i="5"/>
  <c r="Y136" i="5"/>
  <c r="W136" i="5"/>
  <c r="V136" i="5"/>
  <c r="U136" i="5"/>
  <c r="T136" i="5"/>
  <c r="S136" i="5"/>
  <c r="R136" i="5"/>
  <c r="Q136" i="5"/>
  <c r="P136" i="5"/>
  <c r="O136" i="5"/>
  <c r="N136" i="5"/>
  <c r="L136" i="5"/>
  <c r="K136" i="5"/>
  <c r="J136" i="5"/>
  <c r="I136" i="5"/>
  <c r="H136" i="5"/>
  <c r="G136" i="5"/>
  <c r="F136" i="5"/>
  <c r="E136" i="5"/>
  <c r="D136" i="5"/>
  <c r="C136" i="5"/>
  <c r="B136" i="5"/>
  <c r="A136" i="5"/>
  <c r="BZ135" i="5"/>
  <c r="BY135" i="5"/>
  <c r="BX135" i="5"/>
  <c r="BW135" i="5"/>
  <c r="BV135" i="5"/>
  <c r="BU135" i="5"/>
  <c r="BT135" i="5"/>
  <c r="BS135" i="5"/>
  <c r="BR135" i="5"/>
  <c r="BQ135" i="5"/>
  <c r="BO135" i="5"/>
  <c r="BN135" i="5"/>
  <c r="BM135" i="5"/>
  <c r="BL135" i="5"/>
  <c r="BK135" i="5"/>
  <c r="BJ135" i="5"/>
  <c r="BI135" i="5"/>
  <c r="BH135" i="5"/>
  <c r="BG135" i="5"/>
  <c r="BF135" i="5"/>
  <c r="BD135" i="5"/>
  <c r="BC135" i="5"/>
  <c r="BB135" i="5"/>
  <c r="BA135" i="5"/>
  <c r="AZ135" i="5"/>
  <c r="AY135" i="5"/>
  <c r="AX135" i="5"/>
  <c r="AW135" i="5"/>
  <c r="AV135" i="5"/>
  <c r="AU135" i="5"/>
  <c r="AS135" i="5"/>
  <c r="AR135" i="5"/>
  <c r="AQ135" i="5"/>
  <c r="AP135" i="5"/>
  <c r="AO135" i="5"/>
  <c r="AN135" i="5"/>
  <c r="AM135" i="5"/>
  <c r="AL135" i="5"/>
  <c r="AK135" i="5"/>
  <c r="AJ135" i="5"/>
  <c r="AH135" i="5"/>
  <c r="AG135" i="5"/>
  <c r="AF135" i="5"/>
  <c r="AE135" i="5"/>
  <c r="AD135" i="5"/>
  <c r="AC135" i="5"/>
  <c r="AB135" i="5"/>
  <c r="AA135" i="5"/>
  <c r="Z135" i="5"/>
  <c r="Y135" i="5"/>
  <c r="W135" i="5"/>
  <c r="V135" i="5"/>
  <c r="U135" i="5"/>
  <c r="T135" i="5"/>
  <c r="S135" i="5"/>
  <c r="R135" i="5"/>
  <c r="Q135" i="5"/>
  <c r="P135" i="5"/>
  <c r="O135" i="5"/>
  <c r="N135" i="5"/>
  <c r="L135" i="5"/>
  <c r="K135" i="5"/>
  <c r="J135" i="5"/>
  <c r="I135" i="5"/>
  <c r="H135" i="5"/>
  <c r="G135" i="5"/>
  <c r="F135" i="5"/>
  <c r="E135" i="5"/>
  <c r="D135" i="5"/>
  <c r="C135" i="5"/>
  <c r="B135" i="5"/>
  <c r="A135" i="5"/>
  <c r="BZ134" i="5"/>
  <c r="BY134" i="5"/>
  <c r="BX134" i="5"/>
  <c r="BW134" i="5"/>
  <c r="BV134" i="5"/>
  <c r="BU134" i="5"/>
  <c r="BT134" i="5"/>
  <c r="BS134" i="5"/>
  <c r="BR134" i="5"/>
  <c r="BQ134" i="5"/>
  <c r="BO134" i="5"/>
  <c r="BN134" i="5"/>
  <c r="BM134" i="5"/>
  <c r="BL134" i="5"/>
  <c r="BK134" i="5"/>
  <c r="BJ134" i="5"/>
  <c r="BI134" i="5"/>
  <c r="BH134" i="5"/>
  <c r="BG134" i="5"/>
  <c r="BF134" i="5"/>
  <c r="BD134" i="5"/>
  <c r="BC134" i="5"/>
  <c r="BB134" i="5"/>
  <c r="BA134" i="5"/>
  <c r="AZ134" i="5"/>
  <c r="AY134" i="5"/>
  <c r="AX134" i="5"/>
  <c r="AW134" i="5"/>
  <c r="AV134" i="5"/>
  <c r="AU134" i="5"/>
  <c r="AS134" i="5"/>
  <c r="AR134" i="5"/>
  <c r="AQ134" i="5"/>
  <c r="AP134" i="5"/>
  <c r="AO134" i="5"/>
  <c r="AN134" i="5"/>
  <c r="AM134" i="5"/>
  <c r="AL134" i="5"/>
  <c r="AK134" i="5"/>
  <c r="AJ134" i="5"/>
  <c r="AH134" i="5"/>
  <c r="AG134" i="5"/>
  <c r="AF134" i="5"/>
  <c r="AE134" i="5"/>
  <c r="AD134" i="5"/>
  <c r="AC134" i="5"/>
  <c r="AB134" i="5"/>
  <c r="AA134" i="5"/>
  <c r="Z134" i="5"/>
  <c r="Y134" i="5"/>
  <c r="W134" i="5"/>
  <c r="V134" i="5"/>
  <c r="U134" i="5"/>
  <c r="T134" i="5"/>
  <c r="S134" i="5"/>
  <c r="R134" i="5"/>
  <c r="Q134" i="5"/>
  <c r="P134" i="5"/>
  <c r="O134" i="5"/>
  <c r="N134" i="5"/>
  <c r="L134" i="5"/>
  <c r="K134" i="5"/>
  <c r="J134" i="5"/>
  <c r="I134" i="5"/>
  <c r="H134" i="5"/>
  <c r="G134" i="5"/>
  <c r="F134" i="5"/>
  <c r="E134" i="5"/>
  <c r="D134" i="5"/>
  <c r="C134" i="5"/>
  <c r="B134" i="5"/>
  <c r="A134" i="5"/>
  <c r="BZ133" i="5"/>
  <c r="BY133" i="5"/>
  <c r="BX133" i="5"/>
  <c r="BW133" i="5"/>
  <c r="BV133" i="5"/>
  <c r="BU133" i="5"/>
  <c r="BT133" i="5"/>
  <c r="BS133" i="5"/>
  <c r="BR133" i="5"/>
  <c r="BQ133" i="5"/>
  <c r="BO133" i="5"/>
  <c r="BN133" i="5"/>
  <c r="BM133" i="5"/>
  <c r="BL133" i="5"/>
  <c r="BK133" i="5"/>
  <c r="BJ133" i="5"/>
  <c r="BI133" i="5"/>
  <c r="BH133" i="5"/>
  <c r="BG133" i="5"/>
  <c r="BF133" i="5"/>
  <c r="BD133" i="5"/>
  <c r="BC133" i="5"/>
  <c r="BB133" i="5"/>
  <c r="BA133" i="5"/>
  <c r="AZ133" i="5"/>
  <c r="AY133" i="5"/>
  <c r="AX133" i="5"/>
  <c r="AW133" i="5"/>
  <c r="AV133" i="5"/>
  <c r="AU133" i="5"/>
  <c r="AS133" i="5"/>
  <c r="AR133" i="5"/>
  <c r="AQ133" i="5"/>
  <c r="AP133" i="5"/>
  <c r="AO133" i="5"/>
  <c r="AN133" i="5"/>
  <c r="AM133" i="5"/>
  <c r="AL133" i="5"/>
  <c r="AK133" i="5"/>
  <c r="AJ133" i="5"/>
  <c r="AH133" i="5"/>
  <c r="AG133" i="5"/>
  <c r="AF133" i="5"/>
  <c r="AE133" i="5"/>
  <c r="AD133" i="5"/>
  <c r="AC133" i="5"/>
  <c r="AB133" i="5"/>
  <c r="AA133" i="5"/>
  <c r="Z133" i="5"/>
  <c r="Y133" i="5"/>
  <c r="W133" i="5"/>
  <c r="V133" i="5"/>
  <c r="U133" i="5"/>
  <c r="T133" i="5"/>
  <c r="S133" i="5"/>
  <c r="R133" i="5"/>
  <c r="Q133" i="5"/>
  <c r="P133" i="5"/>
  <c r="O133" i="5"/>
  <c r="N133" i="5"/>
  <c r="L133" i="5"/>
  <c r="K133" i="5"/>
  <c r="J133" i="5"/>
  <c r="I133" i="5"/>
  <c r="H133" i="5"/>
  <c r="G133" i="5"/>
  <c r="F133" i="5"/>
  <c r="E133" i="5"/>
  <c r="D133" i="5"/>
  <c r="C133" i="5"/>
  <c r="B133" i="5"/>
  <c r="A133" i="5"/>
  <c r="BZ132" i="5"/>
  <c r="BY132" i="5"/>
  <c r="BX132" i="5"/>
  <c r="BW132" i="5"/>
  <c r="BV132" i="5"/>
  <c r="BU132" i="5"/>
  <c r="BT132" i="5"/>
  <c r="BS132" i="5"/>
  <c r="BR132" i="5"/>
  <c r="BQ132" i="5"/>
  <c r="BO132" i="5"/>
  <c r="BN132" i="5"/>
  <c r="BM132" i="5"/>
  <c r="BL132" i="5"/>
  <c r="BK132" i="5"/>
  <c r="BJ132" i="5"/>
  <c r="BI132" i="5"/>
  <c r="BH132" i="5"/>
  <c r="BG132" i="5"/>
  <c r="BF132" i="5"/>
  <c r="BD132" i="5"/>
  <c r="BC132" i="5"/>
  <c r="BB132" i="5"/>
  <c r="BA132" i="5"/>
  <c r="AZ132" i="5"/>
  <c r="AY132" i="5"/>
  <c r="AX132" i="5"/>
  <c r="AW132" i="5"/>
  <c r="AV132" i="5"/>
  <c r="AU132" i="5"/>
  <c r="AS132" i="5"/>
  <c r="AR132" i="5"/>
  <c r="AQ132" i="5"/>
  <c r="AP132" i="5"/>
  <c r="AO132" i="5"/>
  <c r="AN132" i="5"/>
  <c r="AM132" i="5"/>
  <c r="AL132" i="5"/>
  <c r="AK132" i="5"/>
  <c r="AJ132" i="5"/>
  <c r="AH132" i="5"/>
  <c r="AG132" i="5"/>
  <c r="AF132" i="5"/>
  <c r="AE132" i="5"/>
  <c r="AD132" i="5"/>
  <c r="AC132" i="5"/>
  <c r="AB132" i="5"/>
  <c r="AA132" i="5"/>
  <c r="Z132" i="5"/>
  <c r="Y132" i="5"/>
  <c r="W132" i="5"/>
  <c r="V132" i="5"/>
  <c r="U132" i="5"/>
  <c r="T132" i="5"/>
  <c r="S132" i="5"/>
  <c r="R132" i="5"/>
  <c r="Q132" i="5"/>
  <c r="P132" i="5"/>
  <c r="O132" i="5"/>
  <c r="N132" i="5"/>
  <c r="L132" i="5"/>
  <c r="K132" i="5"/>
  <c r="J132" i="5"/>
  <c r="I132" i="5"/>
  <c r="H132" i="5"/>
  <c r="G132" i="5"/>
  <c r="F132" i="5"/>
  <c r="E132" i="5"/>
  <c r="D132" i="5"/>
  <c r="C132" i="5"/>
  <c r="B132" i="5"/>
  <c r="A132" i="5"/>
  <c r="BZ131" i="5"/>
  <c r="BY131" i="5"/>
  <c r="BX131" i="5"/>
  <c r="BW131" i="5"/>
  <c r="BV131" i="5"/>
  <c r="BU131" i="5"/>
  <c r="BT131" i="5"/>
  <c r="BS131" i="5"/>
  <c r="BR131" i="5"/>
  <c r="BQ131" i="5"/>
  <c r="BO131" i="5"/>
  <c r="BN131" i="5"/>
  <c r="BM131" i="5"/>
  <c r="BL131" i="5"/>
  <c r="BK131" i="5"/>
  <c r="BJ131" i="5"/>
  <c r="BI131" i="5"/>
  <c r="BH131" i="5"/>
  <c r="BG131" i="5"/>
  <c r="BF131" i="5"/>
  <c r="BD131" i="5"/>
  <c r="BC131" i="5"/>
  <c r="BB131" i="5"/>
  <c r="BA131" i="5"/>
  <c r="AZ131" i="5"/>
  <c r="AY131" i="5"/>
  <c r="AX131" i="5"/>
  <c r="AW131" i="5"/>
  <c r="AV131" i="5"/>
  <c r="AU131" i="5"/>
  <c r="AS131" i="5"/>
  <c r="AR131" i="5"/>
  <c r="AQ131" i="5"/>
  <c r="AP131" i="5"/>
  <c r="AO131" i="5"/>
  <c r="AN131" i="5"/>
  <c r="AM131" i="5"/>
  <c r="AL131" i="5"/>
  <c r="AK131" i="5"/>
  <c r="AJ131" i="5"/>
  <c r="AH131" i="5"/>
  <c r="AG131" i="5"/>
  <c r="AF131" i="5"/>
  <c r="AE131" i="5"/>
  <c r="AD131" i="5"/>
  <c r="AC131" i="5"/>
  <c r="AB131" i="5"/>
  <c r="AA131" i="5"/>
  <c r="Z131" i="5"/>
  <c r="Y131" i="5"/>
  <c r="W131" i="5"/>
  <c r="V131" i="5"/>
  <c r="U131" i="5"/>
  <c r="T131" i="5"/>
  <c r="S131" i="5"/>
  <c r="R131" i="5"/>
  <c r="Q131" i="5"/>
  <c r="P131" i="5"/>
  <c r="O131" i="5"/>
  <c r="N131" i="5"/>
  <c r="L131" i="5"/>
  <c r="K131" i="5"/>
  <c r="J131" i="5"/>
  <c r="I131" i="5"/>
  <c r="H131" i="5"/>
  <c r="G131" i="5"/>
  <c r="F131" i="5"/>
  <c r="E131" i="5"/>
  <c r="D131" i="5"/>
  <c r="C131" i="5"/>
  <c r="B131" i="5"/>
  <c r="A131" i="5"/>
  <c r="BZ130" i="5"/>
  <c r="BY130" i="5"/>
  <c r="BX130" i="5"/>
  <c r="BW130" i="5"/>
  <c r="BV130" i="5"/>
  <c r="BU130" i="5"/>
  <c r="BT130" i="5"/>
  <c r="BS130" i="5"/>
  <c r="BR130" i="5"/>
  <c r="BQ130" i="5"/>
  <c r="BO130" i="5"/>
  <c r="BN130" i="5"/>
  <c r="BM130" i="5"/>
  <c r="BL130" i="5"/>
  <c r="BK130" i="5"/>
  <c r="BJ130" i="5"/>
  <c r="BI130" i="5"/>
  <c r="BH130" i="5"/>
  <c r="BG130" i="5"/>
  <c r="BF130" i="5"/>
  <c r="BD130" i="5"/>
  <c r="BC130" i="5"/>
  <c r="BB130" i="5"/>
  <c r="BA130" i="5"/>
  <c r="AZ130" i="5"/>
  <c r="AY130" i="5"/>
  <c r="AX130" i="5"/>
  <c r="AW130" i="5"/>
  <c r="AV130" i="5"/>
  <c r="AU130" i="5"/>
  <c r="AS130" i="5"/>
  <c r="AR130" i="5"/>
  <c r="AQ130" i="5"/>
  <c r="AP130" i="5"/>
  <c r="AO130" i="5"/>
  <c r="AN130" i="5"/>
  <c r="AM130" i="5"/>
  <c r="AL130" i="5"/>
  <c r="AK130" i="5"/>
  <c r="AJ130" i="5"/>
  <c r="AH130" i="5"/>
  <c r="AG130" i="5"/>
  <c r="AF130" i="5"/>
  <c r="AE130" i="5"/>
  <c r="AD130" i="5"/>
  <c r="AC130" i="5"/>
  <c r="AB130" i="5"/>
  <c r="AA130" i="5"/>
  <c r="Z130" i="5"/>
  <c r="Y130" i="5"/>
  <c r="W130" i="5"/>
  <c r="V130" i="5"/>
  <c r="U130" i="5"/>
  <c r="T130" i="5"/>
  <c r="S130" i="5"/>
  <c r="R130" i="5"/>
  <c r="Q130" i="5"/>
  <c r="P130" i="5"/>
  <c r="O130" i="5"/>
  <c r="N130" i="5"/>
  <c r="L130" i="5"/>
  <c r="K130" i="5"/>
  <c r="J130" i="5"/>
  <c r="I130" i="5"/>
  <c r="H130" i="5"/>
  <c r="G130" i="5"/>
  <c r="F130" i="5"/>
  <c r="E130" i="5"/>
  <c r="D130" i="5"/>
  <c r="C130" i="5"/>
  <c r="B130" i="5"/>
  <c r="A130" i="5"/>
  <c r="BZ129" i="5"/>
  <c r="BY129" i="5"/>
  <c r="BX129" i="5"/>
  <c r="BW129" i="5"/>
  <c r="BV129" i="5"/>
  <c r="BU129" i="5"/>
  <c r="BT129" i="5"/>
  <c r="BS129" i="5"/>
  <c r="BR129" i="5"/>
  <c r="BQ129" i="5"/>
  <c r="BO129" i="5"/>
  <c r="BN129" i="5"/>
  <c r="BM129" i="5"/>
  <c r="BL129" i="5"/>
  <c r="BK129" i="5"/>
  <c r="BJ129" i="5"/>
  <c r="BI129" i="5"/>
  <c r="BH129" i="5"/>
  <c r="BG129" i="5"/>
  <c r="BF129" i="5"/>
  <c r="BD129" i="5"/>
  <c r="BC129" i="5"/>
  <c r="BB129" i="5"/>
  <c r="BA129" i="5"/>
  <c r="AZ129" i="5"/>
  <c r="AY129" i="5"/>
  <c r="AX129" i="5"/>
  <c r="AW129" i="5"/>
  <c r="AV129" i="5"/>
  <c r="AU129" i="5"/>
  <c r="AS129" i="5"/>
  <c r="AR129" i="5"/>
  <c r="AQ129" i="5"/>
  <c r="AP129" i="5"/>
  <c r="AO129" i="5"/>
  <c r="AN129" i="5"/>
  <c r="AM129" i="5"/>
  <c r="AL129" i="5"/>
  <c r="AK129" i="5"/>
  <c r="AJ129" i="5"/>
  <c r="AH129" i="5"/>
  <c r="AG129" i="5"/>
  <c r="AF129" i="5"/>
  <c r="AE129" i="5"/>
  <c r="AD129" i="5"/>
  <c r="AC129" i="5"/>
  <c r="AB129" i="5"/>
  <c r="AA129" i="5"/>
  <c r="Z129" i="5"/>
  <c r="Y129" i="5"/>
  <c r="W129" i="5"/>
  <c r="V129" i="5"/>
  <c r="U129" i="5"/>
  <c r="T129" i="5"/>
  <c r="S129" i="5"/>
  <c r="R129" i="5"/>
  <c r="Q129" i="5"/>
  <c r="P129" i="5"/>
  <c r="O129" i="5"/>
  <c r="N129" i="5"/>
  <c r="L129" i="5"/>
  <c r="K129" i="5"/>
  <c r="J129" i="5"/>
  <c r="I129" i="5"/>
  <c r="H129" i="5"/>
  <c r="G129" i="5"/>
  <c r="F129" i="5"/>
  <c r="E129" i="5"/>
  <c r="D129" i="5"/>
  <c r="C129" i="5"/>
  <c r="B129" i="5"/>
  <c r="A129" i="5"/>
  <c r="BZ128" i="5"/>
  <c r="BY128" i="5"/>
  <c r="BX128" i="5"/>
  <c r="BW128" i="5"/>
  <c r="BV128" i="5"/>
  <c r="BU128" i="5"/>
  <c r="BT128" i="5"/>
  <c r="BS128" i="5"/>
  <c r="BR128" i="5"/>
  <c r="BQ128" i="5"/>
  <c r="BO128" i="5"/>
  <c r="BN128" i="5"/>
  <c r="BM128" i="5"/>
  <c r="BL128" i="5"/>
  <c r="BK128" i="5"/>
  <c r="BJ128" i="5"/>
  <c r="BI128" i="5"/>
  <c r="BH128" i="5"/>
  <c r="BG128" i="5"/>
  <c r="BF128" i="5"/>
  <c r="BD128" i="5"/>
  <c r="BC128" i="5"/>
  <c r="BB128" i="5"/>
  <c r="BA128" i="5"/>
  <c r="AZ128" i="5"/>
  <c r="AY128" i="5"/>
  <c r="AX128" i="5"/>
  <c r="AW128" i="5"/>
  <c r="AV128" i="5"/>
  <c r="AU128" i="5"/>
  <c r="AS128" i="5"/>
  <c r="AR128" i="5"/>
  <c r="AQ128" i="5"/>
  <c r="AP128" i="5"/>
  <c r="AO128" i="5"/>
  <c r="AN128" i="5"/>
  <c r="AM128" i="5"/>
  <c r="AL128" i="5"/>
  <c r="AK128" i="5"/>
  <c r="AJ128" i="5"/>
  <c r="AH128" i="5"/>
  <c r="AG128" i="5"/>
  <c r="AF128" i="5"/>
  <c r="AE128" i="5"/>
  <c r="AD128" i="5"/>
  <c r="AC128" i="5"/>
  <c r="AB128" i="5"/>
  <c r="AA128" i="5"/>
  <c r="Z128" i="5"/>
  <c r="Y128" i="5"/>
  <c r="W128" i="5"/>
  <c r="V128" i="5"/>
  <c r="U128" i="5"/>
  <c r="T128" i="5"/>
  <c r="S128" i="5"/>
  <c r="R128" i="5"/>
  <c r="Q128" i="5"/>
  <c r="P128" i="5"/>
  <c r="O128" i="5"/>
  <c r="N128" i="5"/>
  <c r="L128" i="5"/>
  <c r="K128" i="5"/>
  <c r="J128" i="5"/>
  <c r="I128" i="5"/>
  <c r="H128" i="5"/>
  <c r="G128" i="5"/>
  <c r="F128" i="5"/>
  <c r="E128" i="5"/>
  <c r="D128" i="5"/>
  <c r="C128" i="5"/>
  <c r="B128" i="5"/>
  <c r="A128" i="5"/>
  <c r="BZ127" i="5"/>
  <c r="BY127" i="5"/>
  <c r="BX127" i="5"/>
  <c r="BW127" i="5"/>
  <c r="BV127" i="5"/>
  <c r="BU127" i="5"/>
  <c r="BT127" i="5"/>
  <c r="BS127" i="5"/>
  <c r="BR127" i="5"/>
  <c r="BQ127" i="5"/>
  <c r="BO127" i="5"/>
  <c r="BN127" i="5"/>
  <c r="BM127" i="5"/>
  <c r="BL127" i="5"/>
  <c r="BK127" i="5"/>
  <c r="BJ127" i="5"/>
  <c r="BI127" i="5"/>
  <c r="BH127" i="5"/>
  <c r="BG127" i="5"/>
  <c r="BF127" i="5"/>
  <c r="BD127" i="5"/>
  <c r="BC127" i="5"/>
  <c r="BB127" i="5"/>
  <c r="BA127" i="5"/>
  <c r="AZ127" i="5"/>
  <c r="AY127" i="5"/>
  <c r="AX127" i="5"/>
  <c r="AW127" i="5"/>
  <c r="AV127" i="5"/>
  <c r="AU127" i="5"/>
  <c r="AS127" i="5"/>
  <c r="AR127" i="5"/>
  <c r="AQ127" i="5"/>
  <c r="AP127" i="5"/>
  <c r="AO127" i="5"/>
  <c r="AN127" i="5"/>
  <c r="AM127" i="5"/>
  <c r="AL127" i="5"/>
  <c r="AK127" i="5"/>
  <c r="AJ127" i="5"/>
  <c r="AH127" i="5"/>
  <c r="AG127" i="5"/>
  <c r="AF127" i="5"/>
  <c r="AE127" i="5"/>
  <c r="AD127" i="5"/>
  <c r="AC127" i="5"/>
  <c r="AB127" i="5"/>
  <c r="AA127" i="5"/>
  <c r="Z127" i="5"/>
  <c r="Y127" i="5"/>
  <c r="W127" i="5"/>
  <c r="V127" i="5"/>
  <c r="U127" i="5"/>
  <c r="T127" i="5"/>
  <c r="S127" i="5"/>
  <c r="R127" i="5"/>
  <c r="Q127" i="5"/>
  <c r="P127" i="5"/>
  <c r="O127" i="5"/>
  <c r="N127" i="5"/>
  <c r="L127" i="5"/>
  <c r="K127" i="5"/>
  <c r="J127" i="5"/>
  <c r="I127" i="5"/>
  <c r="H127" i="5"/>
  <c r="G127" i="5"/>
  <c r="F127" i="5"/>
  <c r="E127" i="5"/>
  <c r="D127" i="5"/>
  <c r="C127" i="5"/>
  <c r="B127" i="5"/>
  <c r="A127" i="5"/>
  <c r="BZ126" i="5"/>
  <c r="BY126" i="5"/>
  <c r="BX126" i="5"/>
  <c r="BW126" i="5"/>
  <c r="BV126" i="5"/>
  <c r="BU126" i="5"/>
  <c r="BT126" i="5"/>
  <c r="BS126" i="5"/>
  <c r="BR126" i="5"/>
  <c r="BQ126" i="5"/>
  <c r="BO126" i="5"/>
  <c r="BN126" i="5"/>
  <c r="BM126" i="5"/>
  <c r="BL126" i="5"/>
  <c r="BK126" i="5"/>
  <c r="BJ126" i="5"/>
  <c r="BI126" i="5"/>
  <c r="BH126" i="5"/>
  <c r="BG126" i="5"/>
  <c r="BF126" i="5"/>
  <c r="BD126" i="5"/>
  <c r="BC126" i="5"/>
  <c r="BB126" i="5"/>
  <c r="BA126" i="5"/>
  <c r="AZ126" i="5"/>
  <c r="AY126" i="5"/>
  <c r="AX126" i="5"/>
  <c r="AW126" i="5"/>
  <c r="AV126" i="5"/>
  <c r="AU126" i="5"/>
  <c r="AS126" i="5"/>
  <c r="AR126" i="5"/>
  <c r="AQ126" i="5"/>
  <c r="AP126" i="5"/>
  <c r="AO126" i="5"/>
  <c r="AN126" i="5"/>
  <c r="AM126" i="5"/>
  <c r="AL126" i="5"/>
  <c r="AK126" i="5"/>
  <c r="AJ126" i="5"/>
  <c r="AH126" i="5"/>
  <c r="AG126" i="5"/>
  <c r="AF126" i="5"/>
  <c r="AE126" i="5"/>
  <c r="AD126" i="5"/>
  <c r="AC126" i="5"/>
  <c r="AB126" i="5"/>
  <c r="AA126" i="5"/>
  <c r="Z126" i="5"/>
  <c r="Y126" i="5"/>
  <c r="W126" i="5"/>
  <c r="V126" i="5"/>
  <c r="U126" i="5"/>
  <c r="T126" i="5"/>
  <c r="S126" i="5"/>
  <c r="R126" i="5"/>
  <c r="Q126" i="5"/>
  <c r="P126" i="5"/>
  <c r="O126" i="5"/>
  <c r="N126" i="5"/>
  <c r="L126" i="5"/>
  <c r="K126" i="5"/>
  <c r="J126" i="5"/>
  <c r="I126" i="5"/>
  <c r="H126" i="5"/>
  <c r="G126" i="5"/>
  <c r="F126" i="5"/>
  <c r="E126" i="5"/>
  <c r="D126" i="5"/>
  <c r="C126" i="5"/>
  <c r="B126" i="5"/>
  <c r="A126" i="5"/>
  <c r="BZ125" i="5"/>
  <c r="BY125" i="5"/>
  <c r="BX125" i="5"/>
  <c r="BW125" i="5"/>
  <c r="BV125" i="5"/>
  <c r="BU125" i="5"/>
  <c r="BT125" i="5"/>
  <c r="BS125" i="5"/>
  <c r="BR125" i="5"/>
  <c r="BQ125" i="5"/>
  <c r="BO125" i="5"/>
  <c r="BN125" i="5"/>
  <c r="BM125" i="5"/>
  <c r="BL125" i="5"/>
  <c r="BK125" i="5"/>
  <c r="BJ125" i="5"/>
  <c r="BI125" i="5"/>
  <c r="BH125" i="5"/>
  <c r="BG125" i="5"/>
  <c r="BF125" i="5"/>
  <c r="BD125" i="5"/>
  <c r="BC125" i="5"/>
  <c r="BB125" i="5"/>
  <c r="BA125" i="5"/>
  <c r="AZ125" i="5"/>
  <c r="AY125" i="5"/>
  <c r="AX125" i="5"/>
  <c r="AW125" i="5"/>
  <c r="AV125" i="5"/>
  <c r="AU125" i="5"/>
  <c r="AS125" i="5"/>
  <c r="AR125" i="5"/>
  <c r="AQ125" i="5"/>
  <c r="AP125" i="5"/>
  <c r="AO125" i="5"/>
  <c r="AN125" i="5"/>
  <c r="AM125" i="5"/>
  <c r="AL125" i="5"/>
  <c r="AK125" i="5"/>
  <c r="AJ125" i="5"/>
  <c r="AH125" i="5"/>
  <c r="AG125" i="5"/>
  <c r="AF125" i="5"/>
  <c r="AE125" i="5"/>
  <c r="AD125" i="5"/>
  <c r="AC125" i="5"/>
  <c r="AB125" i="5"/>
  <c r="AA125" i="5"/>
  <c r="Z125" i="5"/>
  <c r="Y125" i="5"/>
  <c r="W125" i="5"/>
  <c r="V125" i="5"/>
  <c r="U125" i="5"/>
  <c r="T125" i="5"/>
  <c r="S125" i="5"/>
  <c r="R125" i="5"/>
  <c r="Q125" i="5"/>
  <c r="P125" i="5"/>
  <c r="O125" i="5"/>
  <c r="N125" i="5"/>
  <c r="L125" i="5"/>
  <c r="K125" i="5"/>
  <c r="J125" i="5"/>
  <c r="I125" i="5"/>
  <c r="H125" i="5"/>
  <c r="G125" i="5"/>
  <c r="F125" i="5"/>
  <c r="E125" i="5"/>
  <c r="D125" i="5"/>
  <c r="C125" i="5"/>
  <c r="B125" i="5"/>
  <c r="A125" i="5"/>
  <c r="BZ124" i="5"/>
  <c r="BY124" i="5"/>
  <c r="BX124" i="5"/>
  <c r="BW124" i="5"/>
  <c r="BV124" i="5"/>
  <c r="BU124" i="5"/>
  <c r="BT124" i="5"/>
  <c r="BS124" i="5"/>
  <c r="BR124" i="5"/>
  <c r="BQ124" i="5"/>
  <c r="BO124" i="5"/>
  <c r="BN124" i="5"/>
  <c r="BM124" i="5"/>
  <c r="BL124" i="5"/>
  <c r="BK124" i="5"/>
  <c r="BJ124" i="5"/>
  <c r="BI124" i="5"/>
  <c r="BH124" i="5"/>
  <c r="BG124" i="5"/>
  <c r="BF124" i="5"/>
  <c r="BD124" i="5"/>
  <c r="BC124" i="5"/>
  <c r="BB124" i="5"/>
  <c r="BA124" i="5"/>
  <c r="AZ124" i="5"/>
  <c r="AY124" i="5"/>
  <c r="AX124" i="5"/>
  <c r="AW124" i="5"/>
  <c r="AV124" i="5"/>
  <c r="AU124" i="5"/>
  <c r="AS124" i="5"/>
  <c r="AR124" i="5"/>
  <c r="AQ124" i="5"/>
  <c r="AP124" i="5"/>
  <c r="AO124" i="5"/>
  <c r="AN124" i="5"/>
  <c r="AM124" i="5"/>
  <c r="AL124" i="5"/>
  <c r="AK124" i="5"/>
  <c r="AJ124" i="5"/>
  <c r="AH124" i="5"/>
  <c r="AG124" i="5"/>
  <c r="AF124" i="5"/>
  <c r="AE124" i="5"/>
  <c r="AD124" i="5"/>
  <c r="AC124" i="5"/>
  <c r="AB124" i="5"/>
  <c r="AA124" i="5"/>
  <c r="Z124" i="5"/>
  <c r="Y124" i="5"/>
  <c r="W124" i="5"/>
  <c r="V124" i="5"/>
  <c r="U124" i="5"/>
  <c r="T124" i="5"/>
  <c r="S124" i="5"/>
  <c r="R124" i="5"/>
  <c r="Q124" i="5"/>
  <c r="P124" i="5"/>
  <c r="O124" i="5"/>
  <c r="N124" i="5"/>
  <c r="L124" i="5"/>
  <c r="K124" i="5"/>
  <c r="J124" i="5"/>
  <c r="I124" i="5"/>
  <c r="H124" i="5"/>
  <c r="G124" i="5"/>
  <c r="F124" i="5"/>
  <c r="E124" i="5"/>
  <c r="D124" i="5"/>
  <c r="C124" i="5"/>
  <c r="B124" i="5"/>
  <c r="A124" i="5"/>
  <c r="BZ123" i="5"/>
  <c r="BY123" i="5"/>
  <c r="BX123" i="5"/>
  <c r="BW123" i="5"/>
  <c r="BV123" i="5"/>
  <c r="BU123" i="5"/>
  <c r="BT123" i="5"/>
  <c r="BS123" i="5"/>
  <c r="BR123" i="5"/>
  <c r="BQ123" i="5"/>
  <c r="BO123" i="5"/>
  <c r="BN123" i="5"/>
  <c r="BM123" i="5"/>
  <c r="BL123" i="5"/>
  <c r="BK123" i="5"/>
  <c r="BJ123" i="5"/>
  <c r="BI123" i="5"/>
  <c r="BH123" i="5"/>
  <c r="BG123" i="5"/>
  <c r="BF123" i="5"/>
  <c r="BD123" i="5"/>
  <c r="BC123" i="5"/>
  <c r="BB123" i="5"/>
  <c r="BA123" i="5"/>
  <c r="AZ123" i="5"/>
  <c r="AY123" i="5"/>
  <c r="AX123" i="5"/>
  <c r="AW123" i="5"/>
  <c r="AV123" i="5"/>
  <c r="AU123" i="5"/>
  <c r="AS123" i="5"/>
  <c r="AR123" i="5"/>
  <c r="AQ123" i="5"/>
  <c r="AP123" i="5"/>
  <c r="AO123" i="5"/>
  <c r="AN123" i="5"/>
  <c r="AM123" i="5"/>
  <c r="AL123" i="5"/>
  <c r="AK123" i="5"/>
  <c r="AJ123" i="5"/>
  <c r="AH123" i="5"/>
  <c r="AG123" i="5"/>
  <c r="AF123" i="5"/>
  <c r="AE123" i="5"/>
  <c r="AD123" i="5"/>
  <c r="AC123" i="5"/>
  <c r="AB123" i="5"/>
  <c r="AA123" i="5"/>
  <c r="Z123" i="5"/>
  <c r="Y123" i="5"/>
  <c r="W123" i="5"/>
  <c r="V123" i="5"/>
  <c r="U123" i="5"/>
  <c r="T123" i="5"/>
  <c r="S123" i="5"/>
  <c r="R123" i="5"/>
  <c r="Q123" i="5"/>
  <c r="P123" i="5"/>
  <c r="O123" i="5"/>
  <c r="N123" i="5"/>
  <c r="L123" i="5"/>
  <c r="K123" i="5"/>
  <c r="J123" i="5"/>
  <c r="I123" i="5"/>
  <c r="H123" i="5"/>
  <c r="G123" i="5"/>
  <c r="F123" i="5"/>
  <c r="E123" i="5"/>
  <c r="D123" i="5"/>
  <c r="C123" i="5"/>
  <c r="B123" i="5"/>
  <c r="A123" i="5"/>
  <c r="BZ122" i="5"/>
  <c r="BY122" i="5"/>
  <c r="BX122" i="5"/>
  <c r="BW122" i="5"/>
  <c r="BV122" i="5"/>
  <c r="BU122" i="5"/>
  <c r="BT122" i="5"/>
  <c r="BS122" i="5"/>
  <c r="BR122" i="5"/>
  <c r="BQ122" i="5"/>
  <c r="BO122" i="5"/>
  <c r="BN122" i="5"/>
  <c r="BM122" i="5"/>
  <c r="BL122" i="5"/>
  <c r="BK122" i="5"/>
  <c r="BJ122" i="5"/>
  <c r="BI122" i="5"/>
  <c r="BH122" i="5"/>
  <c r="BG122" i="5"/>
  <c r="BF122" i="5"/>
  <c r="BD122" i="5"/>
  <c r="BC122" i="5"/>
  <c r="BB122" i="5"/>
  <c r="BA122" i="5"/>
  <c r="AZ122" i="5"/>
  <c r="AY122" i="5"/>
  <c r="AX122" i="5"/>
  <c r="AW122" i="5"/>
  <c r="AV122" i="5"/>
  <c r="AU122" i="5"/>
  <c r="AS122" i="5"/>
  <c r="AR122" i="5"/>
  <c r="AQ122" i="5"/>
  <c r="AP122" i="5"/>
  <c r="AO122" i="5"/>
  <c r="AN122" i="5"/>
  <c r="AM122" i="5"/>
  <c r="AL122" i="5"/>
  <c r="AK122" i="5"/>
  <c r="AJ122" i="5"/>
  <c r="AH122" i="5"/>
  <c r="AG122" i="5"/>
  <c r="AF122" i="5"/>
  <c r="AE122" i="5"/>
  <c r="AD122" i="5"/>
  <c r="AC122" i="5"/>
  <c r="AB122" i="5"/>
  <c r="AA122" i="5"/>
  <c r="Z122" i="5"/>
  <c r="Y122" i="5"/>
  <c r="W122" i="5"/>
  <c r="V122" i="5"/>
  <c r="U122" i="5"/>
  <c r="T122" i="5"/>
  <c r="S122" i="5"/>
  <c r="R122" i="5"/>
  <c r="Q122" i="5"/>
  <c r="P122" i="5"/>
  <c r="O122" i="5"/>
  <c r="N122" i="5"/>
  <c r="L122" i="5"/>
  <c r="K122" i="5"/>
  <c r="J122" i="5"/>
  <c r="I122" i="5"/>
  <c r="H122" i="5"/>
  <c r="G122" i="5"/>
  <c r="F122" i="5"/>
  <c r="E122" i="5"/>
  <c r="D122" i="5"/>
  <c r="C122" i="5"/>
  <c r="B122" i="5"/>
  <c r="A122" i="5"/>
  <c r="BZ121" i="5"/>
  <c r="BY121" i="5"/>
  <c r="BX121" i="5"/>
  <c r="BW121" i="5"/>
  <c r="BV121" i="5"/>
  <c r="BU121" i="5"/>
  <c r="BT121" i="5"/>
  <c r="BS121" i="5"/>
  <c r="BR121" i="5"/>
  <c r="BQ121" i="5"/>
  <c r="BO121" i="5"/>
  <c r="BN121" i="5"/>
  <c r="BM121" i="5"/>
  <c r="BL121" i="5"/>
  <c r="BK121" i="5"/>
  <c r="BJ121" i="5"/>
  <c r="BI121" i="5"/>
  <c r="BH121" i="5"/>
  <c r="BG121" i="5"/>
  <c r="BF121" i="5"/>
  <c r="BD121" i="5"/>
  <c r="BC121" i="5"/>
  <c r="BB121" i="5"/>
  <c r="BA121" i="5"/>
  <c r="AZ121" i="5"/>
  <c r="AY121" i="5"/>
  <c r="AX121" i="5"/>
  <c r="AW121" i="5"/>
  <c r="AV121" i="5"/>
  <c r="AU121" i="5"/>
  <c r="AS121" i="5"/>
  <c r="AR121" i="5"/>
  <c r="AQ121" i="5"/>
  <c r="AP121" i="5"/>
  <c r="AO121" i="5"/>
  <c r="AN121" i="5"/>
  <c r="AM121" i="5"/>
  <c r="AL121" i="5"/>
  <c r="AK121" i="5"/>
  <c r="AJ121" i="5"/>
  <c r="AH121" i="5"/>
  <c r="AG121" i="5"/>
  <c r="AF121" i="5"/>
  <c r="AE121" i="5"/>
  <c r="AD121" i="5"/>
  <c r="AC121" i="5"/>
  <c r="AB121" i="5"/>
  <c r="AA121" i="5"/>
  <c r="Z121" i="5"/>
  <c r="Y121" i="5"/>
  <c r="W121" i="5"/>
  <c r="V121" i="5"/>
  <c r="U121" i="5"/>
  <c r="T121" i="5"/>
  <c r="S121" i="5"/>
  <c r="R121" i="5"/>
  <c r="Q121" i="5"/>
  <c r="P121" i="5"/>
  <c r="O121" i="5"/>
  <c r="N121" i="5"/>
  <c r="L121" i="5"/>
  <c r="K121" i="5"/>
  <c r="J121" i="5"/>
  <c r="I121" i="5"/>
  <c r="H121" i="5"/>
  <c r="G121" i="5"/>
  <c r="F121" i="5"/>
  <c r="E121" i="5"/>
  <c r="D121" i="5"/>
  <c r="C121" i="5"/>
  <c r="B121" i="5"/>
  <c r="A121" i="5"/>
  <c r="BZ120" i="5"/>
  <c r="BY120" i="5"/>
  <c r="BX120" i="5"/>
  <c r="BW120" i="5"/>
  <c r="BV120" i="5"/>
  <c r="BU120" i="5"/>
  <c r="BT120" i="5"/>
  <c r="BS120" i="5"/>
  <c r="BR120" i="5"/>
  <c r="BQ120" i="5"/>
  <c r="BO120" i="5"/>
  <c r="BN120" i="5"/>
  <c r="BM120" i="5"/>
  <c r="BL120" i="5"/>
  <c r="BK120" i="5"/>
  <c r="BJ120" i="5"/>
  <c r="BI120" i="5"/>
  <c r="BH120" i="5"/>
  <c r="BG120" i="5"/>
  <c r="BF120" i="5"/>
  <c r="BD120" i="5"/>
  <c r="BC120" i="5"/>
  <c r="BB120" i="5"/>
  <c r="BA120" i="5"/>
  <c r="AZ120" i="5"/>
  <c r="AY120" i="5"/>
  <c r="AX120" i="5"/>
  <c r="AW120" i="5"/>
  <c r="AV120" i="5"/>
  <c r="AU120" i="5"/>
  <c r="AS120" i="5"/>
  <c r="AR120" i="5"/>
  <c r="AQ120" i="5"/>
  <c r="AP120" i="5"/>
  <c r="AO120" i="5"/>
  <c r="AN120" i="5"/>
  <c r="AM120" i="5"/>
  <c r="AL120" i="5"/>
  <c r="AK120" i="5"/>
  <c r="AJ120" i="5"/>
  <c r="AH120" i="5"/>
  <c r="AG120" i="5"/>
  <c r="AF120" i="5"/>
  <c r="AE120" i="5"/>
  <c r="AD120" i="5"/>
  <c r="AC120" i="5"/>
  <c r="AB120" i="5"/>
  <c r="AA120" i="5"/>
  <c r="Z120" i="5"/>
  <c r="Y120" i="5"/>
  <c r="W120" i="5"/>
  <c r="V120" i="5"/>
  <c r="U120" i="5"/>
  <c r="T120" i="5"/>
  <c r="S120" i="5"/>
  <c r="R120" i="5"/>
  <c r="Q120" i="5"/>
  <c r="P120" i="5"/>
  <c r="O120" i="5"/>
  <c r="N120" i="5"/>
  <c r="L120" i="5"/>
  <c r="K120" i="5"/>
  <c r="J120" i="5"/>
  <c r="I120" i="5"/>
  <c r="H120" i="5"/>
  <c r="G120" i="5"/>
  <c r="F120" i="5"/>
  <c r="E120" i="5"/>
  <c r="D120" i="5"/>
  <c r="C120" i="5"/>
  <c r="B120" i="5"/>
  <c r="A120" i="5"/>
  <c r="BZ119" i="5"/>
  <c r="BY119" i="5"/>
  <c r="BX119" i="5"/>
  <c r="BW119" i="5"/>
  <c r="BV119" i="5"/>
  <c r="BU119" i="5"/>
  <c r="BT119" i="5"/>
  <c r="BS119" i="5"/>
  <c r="BR119" i="5"/>
  <c r="BQ119" i="5"/>
  <c r="BO119" i="5"/>
  <c r="BN119" i="5"/>
  <c r="BM119" i="5"/>
  <c r="BL119" i="5"/>
  <c r="BK119" i="5"/>
  <c r="BJ119" i="5"/>
  <c r="BI119" i="5"/>
  <c r="BH119" i="5"/>
  <c r="BG119" i="5"/>
  <c r="BF119" i="5"/>
  <c r="BD119" i="5"/>
  <c r="BC119" i="5"/>
  <c r="BB119" i="5"/>
  <c r="BA119" i="5"/>
  <c r="AZ119" i="5"/>
  <c r="AY119" i="5"/>
  <c r="AX119" i="5"/>
  <c r="AW119" i="5"/>
  <c r="AV119" i="5"/>
  <c r="AU119" i="5"/>
  <c r="AS119" i="5"/>
  <c r="AR119" i="5"/>
  <c r="AQ119" i="5"/>
  <c r="AP119" i="5"/>
  <c r="AO119" i="5"/>
  <c r="AN119" i="5"/>
  <c r="AM119" i="5"/>
  <c r="AL119" i="5"/>
  <c r="AK119" i="5"/>
  <c r="AJ119" i="5"/>
  <c r="AH119" i="5"/>
  <c r="AG119" i="5"/>
  <c r="AF119" i="5"/>
  <c r="AE119" i="5"/>
  <c r="AD119" i="5"/>
  <c r="AC119" i="5"/>
  <c r="AB119" i="5"/>
  <c r="AA119" i="5"/>
  <c r="Z119" i="5"/>
  <c r="Y119" i="5"/>
  <c r="W119" i="5"/>
  <c r="V119" i="5"/>
  <c r="U119" i="5"/>
  <c r="T119" i="5"/>
  <c r="S119" i="5"/>
  <c r="R119" i="5"/>
  <c r="Q119" i="5"/>
  <c r="P119" i="5"/>
  <c r="O119" i="5"/>
  <c r="N119" i="5"/>
  <c r="L119" i="5"/>
  <c r="K119" i="5"/>
  <c r="J119" i="5"/>
  <c r="I119" i="5"/>
  <c r="H119" i="5"/>
  <c r="G119" i="5"/>
  <c r="F119" i="5"/>
  <c r="E119" i="5"/>
  <c r="D119" i="5"/>
  <c r="C119" i="5"/>
  <c r="B119" i="5"/>
  <c r="A119" i="5"/>
  <c r="BZ118" i="5"/>
  <c r="BY118" i="5"/>
  <c r="BX118" i="5"/>
  <c r="BW118" i="5"/>
  <c r="BV118" i="5"/>
  <c r="BU118" i="5"/>
  <c r="BT118" i="5"/>
  <c r="BS118" i="5"/>
  <c r="BR118" i="5"/>
  <c r="BQ118" i="5"/>
  <c r="BO118" i="5"/>
  <c r="BN118" i="5"/>
  <c r="BM118" i="5"/>
  <c r="BL118" i="5"/>
  <c r="BK118" i="5"/>
  <c r="BJ118" i="5"/>
  <c r="BI118" i="5"/>
  <c r="BH118" i="5"/>
  <c r="BG118" i="5"/>
  <c r="BF118" i="5"/>
  <c r="BD118" i="5"/>
  <c r="BC118" i="5"/>
  <c r="BB118" i="5"/>
  <c r="BA118" i="5"/>
  <c r="AZ118" i="5"/>
  <c r="AY118" i="5"/>
  <c r="AX118" i="5"/>
  <c r="AW118" i="5"/>
  <c r="AV118" i="5"/>
  <c r="AU118" i="5"/>
  <c r="AS118" i="5"/>
  <c r="AR118" i="5"/>
  <c r="AQ118" i="5"/>
  <c r="AP118" i="5"/>
  <c r="AO118" i="5"/>
  <c r="AN118" i="5"/>
  <c r="AM118" i="5"/>
  <c r="AL118" i="5"/>
  <c r="AK118" i="5"/>
  <c r="AJ118" i="5"/>
  <c r="AH118" i="5"/>
  <c r="AG118" i="5"/>
  <c r="AF118" i="5"/>
  <c r="AE118" i="5"/>
  <c r="AD118" i="5"/>
  <c r="AC118" i="5"/>
  <c r="AB118" i="5"/>
  <c r="AA118" i="5"/>
  <c r="Z118" i="5"/>
  <c r="Y118" i="5"/>
  <c r="W118" i="5"/>
  <c r="V118" i="5"/>
  <c r="U118" i="5"/>
  <c r="T118" i="5"/>
  <c r="S118" i="5"/>
  <c r="R118" i="5"/>
  <c r="Q118" i="5"/>
  <c r="P118" i="5"/>
  <c r="O118" i="5"/>
  <c r="N118" i="5"/>
  <c r="L118" i="5"/>
  <c r="K118" i="5"/>
  <c r="J118" i="5"/>
  <c r="I118" i="5"/>
  <c r="H118" i="5"/>
  <c r="G118" i="5"/>
  <c r="F118" i="5"/>
  <c r="E118" i="5"/>
  <c r="D118" i="5"/>
  <c r="C118" i="5"/>
  <c r="B118" i="5"/>
  <c r="A118" i="5"/>
  <c r="BZ117" i="5"/>
  <c r="BY117" i="5"/>
  <c r="BX117" i="5"/>
  <c r="BW117" i="5"/>
  <c r="BV117" i="5"/>
  <c r="BU117" i="5"/>
  <c r="BT117" i="5"/>
  <c r="BS117" i="5"/>
  <c r="BR117" i="5"/>
  <c r="BQ117" i="5"/>
  <c r="BO117" i="5"/>
  <c r="BN117" i="5"/>
  <c r="BM117" i="5"/>
  <c r="BL117" i="5"/>
  <c r="BK117" i="5"/>
  <c r="BJ117" i="5"/>
  <c r="BI117" i="5"/>
  <c r="BH117" i="5"/>
  <c r="BG117" i="5"/>
  <c r="BF117" i="5"/>
  <c r="BD117" i="5"/>
  <c r="BC117" i="5"/>
  <c r="BB117" i="5"/>
  <c r="BA117" i="5"/>
  <c r="AZ117" i="5"/>
  <c r="AY117" i="5"/>
  <c r="AX117" i="5"/>
  <c r="AW117" i="5"/>
  <c r="AV117" i="5"/>
  <c r="AU117" i="5"/>
  <c r="AS117" i="5"/>
  <c r="AR117" i="5"/>
  <c r="AQ117" i="5"/>
  <c r="AP117" i="5"/>
  <c r="AO117" i="5"/>
  <c r="AN117" i="5"/>
  <c r="AM117" i="5"/>
  <c r="AL117" i="5"/>
  <c r="AK117" i="5"/>
  <c r="AJ117" i="5"/>
  <c r="AH117" i="5"/>
  <c r="AG117" i="5"/>
  <c r="AF117" i="5"/>
  <c r="AE117" i="5"/>
  <c r="AD117" i="5"/>
  <c r="AC117" i="5"/>
  <c r="AB117" i="5"/>
  <c r="AA117" i="5"/>
  <c r="Z117" i="5"/>
  <c r="Y117" i="5"/>
  <c r="W117" i="5"/>
  <c r="V117" i="5"/>
  <c r="U117" i="5"/>
  <c r="T117" i="5"/>
  <c r="S117" i="5"/>
  <c r="R117" i="5"/>
  <c r="Q117" i="5"/>
  <c r="P117" i="5"/>
  <c r="O117" i="5"/>
  <c r="N117" i="5"/>
  <c r="L117" i="5"/>
  <c r="K117" i="5"/>
  <c r="J117" i="5"/>
  <c r="I117" i="5"/>
  <c r="H117" i="5"/>
  <c r="G117" i="5"/>
  <c r="F117" i="5"/>
  <c r="E117" i="5"/>
  <c r="D117" i="5"/>
  <c r="C117" i="5"/>
  <c r="B117" i="5"/>
  <c r="A117" i="5"/>
  <c r="BZ116" i="5"/>
  <c r="BY116" i="5"/>
  <c r="BX116" i="5"/>
  <c r="BW116" i="5"/>
  <c r="BV116" i="5"/>
  <c r="BU116" i="5"/>
  <c r="BT116" i="5"/>
  <c r="BS116" i="5"/>
  <c r="BR116" i="5"/>
  <c r="BQ116" i="5"/>
  <c r="BO116" i="5"/>
  <c r="BN116" i="5"/>
  <c r="BM116" i="5"/>
  <c r="BL116" i="5"/>
  <c r="BK116" i="5"/>
  <c r="BJ116" i="5"/>
  <c r="BI116" i="5"/>
  <c r="BH116" i="5"/>
  <c r="BG116" i="5"/>
  <c r="BF116" i="5"/>
  <c r="BD116" i="5"/>
  <c r="BC116" i="5"/>
  <c r="BB116" i="5"/>
  <c r="BA116" i="5"/>
  <c r="AZ116" i="5"/>
  <c r="AY116" i="5"/>
  <c r="AX116" i="5"/>
  <c r="AW116" i="5"/>
  <c r="AV116" i="5"/>
  <c r="AU116" i="5"/>
  <c r="AS116" i="5"/>
  <c r="AR116" i="5"/>
  <c r="AQ116" i="5"/>
  <c r="AP116" i="5"/>
  <c r="AO116" i="5"/>
  <c r="AN116" i="5"/>
  <c r="AM116" i="5"/>
  <c r="AL116" i="5"/>
  <c r="AK116" i="5"/>
  <c r="AJ116" i="5"/>
  <c r="AH116" i="5"/>
  <c r="AG116" i="5"/>
  <c r="AF116" i="5"/>
  <c r="AE116" i="5"/>
  <c r="AD116" i="5"/>
  <c r="AC116" i="5"/>
  <c r="AB116" i="5"/>
  <c r="AA116" i="5"/>
  <c r="Z116" i="5"/>
  <c r="Y116" i="5"/>
  <c r="W116" i="5"/>
  <c r="V116" i="5"/>
  <c r="U116" i="5"/>
  <c r="T116" i="5"/>
  <c r="S116" i="5"/>
  <c r="R116" i="5"/>
  <c r="Q116" i="5"/>
  <c r="P116" i="5"/>
  <c r="O116" i="5"/>
  <c r="N116" i="5"/>
  <c r="L116" i="5"/>
  <c r="K116" i="5"/>
  <c r="J116" i="5"/>
  <c r="I116" i="5"/>
  <c r="H116" i="5"/>
  <c r="G116" i="5"/>
  <c r="F116" i="5"/>
  <c r="E116" i="5"/>
  <c r="D116" i="5"/>
  <c r="C116" i="5"/>
  <c r="B116" i="5"/>
  <c r="A116" i="5"/>
  <c r="BZ115" i="5"/>
  <c r="BY115" i="5"/>
  <c r="BX115" i="5"/>
  <c r="BW115" i="5"/>
  <c r="BV115" i="5"/>
  <c r="BU115" i="5"/>
  <c r="BT115" i="5"/>
  <c r="BS115" i="5"/>
  <c r="BR115" i="5"/>
  <c r="BQ115" i="5"/>
  <c r="BO115" i="5"/>
  <c r="BN115" i="5"/>
  <c r="BM115" i="5"/>
  <c r="BL115" i="5"/>
  <c r="BK115" i="5"/>
  <c r="BJ115" i="5"/>
  <c r="BI115" i="5"/>
  <c r="BH115" i="5"/>
  <c r="BG115" i="5"/>
  <c r="BF115" i="5"/>
  <c r="BD115" i="5"/>
  <c r="BC115" i="5"/>
  <c r="BB115" i="5"/>
  <c r="BA115" i="5"/>
  <c r="AZ115" i="5"/>
  <c r="AY115" i="5"/>
  <c r="AX115" i="5"/>
  <c r="AW115" i="5"/>
  <c r="AV115" i="5"/>
  <c r="AU115" i="5"/>
  <c r="AS115" i="5"/>
  <c r="AR115" i="5"/>
  <c r="AQ115" i="5"/>
  <c r="AP115" i="5"/>
  <c r="AO115" i="5"/>
  <c r="AN115" i="5"/>
  <c r="AM115" i="5"/>
  <c r="AL115" i="5"/>
  <c r="AK115" i="5"/>
  <c r="AJ115" i="5"/>
  <c r="AH115" i="5"/>
  <c r="AG115" i="5"/>
  <c r="AF115" i="5"/>
  <c r="AE115" i="5"/>
  <c r="AD115" i="5"/>
  <c r="AC115" i="5"/>
  <c r="AB115" i="5"/>
  <c r="AA115" i="5"/>
  <c r="Z115" i="5"/>
  <c r="Y115" i="5"/>
  <c r="W115" i="5"/>
  <c r="V115" i="5"/>
  <c r="U115" i="5"/>
  <c r="T115" i="5"/>
  <c r="S115" i="5"/>
  <c r="R115" i="5"/>
  <c r="Q115" i="5"/>
  <c r="P115" i="5"/>
  <c r="O115" i="5"/>
  <c r="N115" i="5"/>
  <c r="L115" i="5"/>
  <c r="K115" i="5"/>
  <c r="J115" i="5"/>
  <c r="I115" i="5"/>
  <c r="H115" i="5"/>
  <c r="G115" i="5"/>
  <c r="F115" i="5"/>
  <c r="E115" i="5"/>
  <c r="D115" i="5"/>
  <c r="C115" i="5"/>
  <c r="B115" i="5"/>
  <c r="A115" i="5"/>
  <c r="BZ114" i="5"/>
  <c r="BY114" i="5"/>
  <c r="BX114" i="5"/>
  <c r="BW114" i="5"/>
  <c r="BV114" i="5"/>
  <c r="BU114" i="5"/>
  <c r="BT114" i="5"/>
  <c r="BS114" i="5"/>
  <c r="BR114" i="5"/>
  <c r="BQ114" i="5"/>
  <c r="BO114" i="5"/>
  <c r="BN114" i="5"/>
  <c r="BM114" i="5"/>
  <c r="BL114" i="5"/>
  <c r="BK114" i="5"/>
  <c r="BJ114" i="5"/>
  <c r="BI114" i="5"/>
  <c r="BH114" i="5"/>
  <c r="BG114" i="5"/>
  <c r="BF114" i="5"/>
  <c r="BD114" i="5"/>
  <c r="BC114" i="5"/>
  <c r="BB114" i="5"/>
  <c r="BA114" i="5"/>
  <c r="AZ114" i="5"/>
  <c r="AY114" i="5"/>
  <c r="AX114" i="5"/>
  <c r="AW114" i="5"/>
  <c r="AV114" i="5"/>
  <c r="AU114" i="5"/>
  <c r="AS114" i="5"/>
  <c r="AR114" i="5"/>
  <c r="AQ114" i="5"/>
  <c r="AP114" i="5"/>
  <c r="AO114" i="5"/>
  <c r="AN114" i="5"/>
  <c r="AM114" i="5"/>
  <c r="AL114" i="5"/>
  <c r="AK114" i="5"/>
  <c r="AJ114" i="5"/>
  <c r="AH114" i="5"/>
  <c r="AG114" i="5"/>
  <c r="AF114" i="5"/>
  <c r="AE114" i="5"/>
  <c r="AD114" i="5"/>
  <c r="AC114" i="5"/>
  <c r="AB114" i="5"/>
  <c r="AA114" i="5"/>
  <c r="Z114" i="5"/>
  <c r="Y114" i="5"/>
  <c r="W114" i="5"/>
  <c r="V114" i="5"/>
  <c r="U114" i="5"/>
  <c r="T114" i="5"/>
  <c r="S114" i="5"/>
  <c r="R114" i="5"/>
  <c r="Q114" i="5"/>
  <c r="P114" i="5"/>
  <c r="O114" i="5"/>
  <c r="N114" i="5"/>
  <c r="L114" i="5"/>
  <c r="K114" i="5"/>
  <c r="J114" i="5"/>
  <c r="I114" i="5"/>
  <c r="H114" i="5"/>
  <c r="G114" i="5"/>
  <c r="F114" i="5"/>
  <c r="E114" i="5"/>
  <c r="D114" i="5"/>
  <c r="C114" i="5"/>
  <c r="B114" i="5"/>
  <c r="A114" i="5"/>
  <c r="BZ113" i="5"/>
  <c r="BY113" i="5"/>
  <c r="BX113" i="5"/>
  <c r="BW113" i="5"/>
  <c r="BV113" i="5"/>
  <c r="BU113" i="5"/>
  <c r="BT113" i="5"/>
  <c r="BS113" i="5"/>
  <c r="BR113" i="5"/>
  <c r="BQ113" i="5"/>
  <c r="BO113" i="5"/>
  <c r="BN113" i="5"/>
  <c r="BM113" i="5"/>
  <c r="BL113" i="5"/>
  <c r="BK113" i="5"/>
  <c r="BJ113" i="5"/>
  <c r="BI113" i="5"/>
  <c r="BH113" i="5"/>
  <c r="BG113" i="5"/>
  <c r="BF113" i="5"/>
  <c r="BD113" i="5"/>
  <c r="BC113" i="5"/>
  <c r="BB113" i="5"/>
  <c r="BA113" i="5"/>
  <c r="AZ113" i="5"/>
  <c r="AY113" i="5"/>
  <c r="AX113" i="5"/>
  <c r="AW113" i="5"/>
  <c r="AV113" i="5"/>
  <c r="AU113" i="5"/>
  <c r="AS113" i="5"/>
  <c r="AR113" i="5"/>
  <c r="AQ113" i="5"/>
  <c r="AP113" i="5"/>
  <c r="AO113" i="5"/>
  <c r="AN113" i="5"/>
  <c r="AM113" i="5"/>
  <c r="AL113" i="5"/>
  <c r="AK113" i="5"/>
  <c r="AJ113" i="5"/>
  <c r="AH113" i="5"/>
  <c r="AG113" i="5"/>
  <c r="AF113" i="5"/>
  <c r="AE113" i="5"/>
  <c r="AD113" i="5"/>
  <c r="AC113" i="5"/>
  <c r="AB113" i="5"/>
  <c r="AA113" i="5"/>
  <c r="Z113" i="5"/>
  <c r="Y113" i="5"/>
  <c r="W113" i="5"/>
  <c r="V113" i="5"/>
  <c r="U113" i="5"/>
  <c r="T113" i="5"/>
  <c r="S113" i="5"/>
  <c r="R113" i="5"/>
  <c r="Q113" i="5"/>
  <c r="P113" i="5"/>
  <c r="O113" i="5"/>
  <c r="N113" i="5"/>
  <c r="L113" i="5"/>
  <c r="K113" i="5"/>
  <c r="J113" i="5"/>
  <c r="I113" i="5"/>
  <c r="H113" i="5"/>
  <c r="G113" i="5"/>
  <c r="F113" i="5"/>
  <c r="E113" i="5"/>
  <c r="D113" i="5"/>
  <c r="C113" i="5"/>
  <c r="B113" i="5"/>
  <c r="A113" i="5"/>
  <c r="BZ112" i="5"/>
  <c r="BY112" i="5"/>
  <c r="BX112" i="5"/>
  <c r="BW112" i="5"/>
  <c r="BV112" i="5"/>
  <c r="BU112" i="5"/>
  <c r="BT112" i="5"/>
  <c r="BS112" i="5"/>
  <c r="BR112" i="5"/>
  <c r="BQ112" i="5"/>
  <c r="BO112" i="5"/>
  <c r="BN112" i="5"/>
  <c r="BM112" i="5"/>
  <c r="BL112" i="5"/>
  <c r="BK112" i="5"/>
  <c r="BJ112" i="5"/>
  <c r="BI112" i="5"/>
  <c r="BH112" i="5"/>
  <c r="BG112" i="5"/>
  <c r="BF112" i="5"/>
  <c r="BD112" i="5"/>
  <c r="BC112" i="5"/>
  <c r="BB112" i="5"/>
  <c r="BA112" i="5"/>
  <c r="AZ112" i="5"/>
  <c r="AY112" i="5"/>
  <c r="AX112" i="5"/>
  <c r="AW112" i="5"/>
  <c r="AV112" i="5"/>
  <c r="AU112" i="5"/>
  <c r="AS112" i="5"/>
  <c r="AR112" i="5"/>
  <c r="AQ112" i="5"/>
  <c r="AP112" i="5"/>
  <c r="AO112" i="5"/>
  <c r="AN112" i="5"/>
  <c r="AM112" i="5"/>
  <c r="AL112" i="5"/>
  <c r="AK112" i="5"/>
  <c r="AJ112" i="5"/>
  <c r="AH112" i="5"/>
  <c r="AG112" i="5"/>
  <c r="AF112" i="5"/>
  <c r="AE112" i="5"/>
  <c r="AD112" i="5"/>
  <c r="AC112" i="5"/>
  <c r="AB112" i="5"/>
  <c r="AA112" i="5"/>
  <c r="Z112" i="5"/>
  <c r="Y112" i="5"/>
  <c r="W112" i="5"/>
  <c r="V112" i="5"/>
  <c r="U112" i="5"/>
  <c r="T112" i="5"/>
  <c r="S112" i="5"/>
  <c r="R112" i="5"/>
  <c r="Q112" i="5"/>
  <c r="P112" i="5"/>
  <c r="O112" i="5"/>
  <c r="N112" i="5"/>
  <c r="L112" i="5"/>
  <c r="K112" i="5"/>
  <c r="J112" i="5"/>
  <c r="I112" i="5"/>
  <c r="H112" i="5"/>
  <c r="G112" i="5"/>
  <c r="F112" i="5"/>
  <c r="E112" i="5"/>
  <c r="D112" i="5"/>
  <c r="C112" i="5"/>
  <c r="B112" i="5"/>
  <c r="A112" i="5"/>
  <c r="BZ111" i="5"/>
  <c r="BY111" i="5"/>
  <c r="BX111" i="5"/>
  <c r="BW111" i="5"/>
  <c r="BV111" i="5"/>
  <c r="BU111" i="5"/>
  <c r="BT111" i="5"/>
  <c r="BS111" i="5"/>
  <c r="BR111" i="5"/>
  <c r="BQ111" i="5"/>
  <c r="BO111" i="5"/>
  <c r="BN111" i="5"/>
  <c r="BM111" i="5"/>
  <c r="BL111" i="5"/>
  <c r="BK111" i="5"/>
  <c r="BJ111" i="5"/>
  <c r="BI111" i="5"/>
  <c r="BH111" i="5"/>
  <c r="BG111" i="5"/>
  <c r="BF111" i="5"/>
  <c r="BD111" i="5"/>
  <c r="BC111" i="5"/>
  <c r="BB111" i="5"/>
  <c r="BA111" i="5"/>
  <c r="AZ111" i="5"/>
  <c r="AY111" i="5"/>
  <c r="AX111" i="5"/>
  <c r="AW111" i="5"/>
  <c r="AV111" i="5"/>
  <c r="AU111" i="5"/>
  <c r="AS111" i="5"/>
  <c r="AR111" i="5"/>
  <c r="AQ111" i="5"/>
  <c r="AP111" i="5"/>
  <c r="AO111" i="5"/>
  <c r="AN111" i="5"/>
  <c r="AM111" i="5"/>
  <c r="AL111" i="5"/>
  <c r="AK111" i="5"/>
  <c r="AJ111" i="5"/>
  <c r="AH111" i="5"/>
  <c r="AG111" i="5"/>
  <c r="AF111" i="5"/>
  <c r="AE111" i="5"/>
  <c r="AD111" i="5"/>
  <c r="AC111" i="5"/>
  <c r="AB111" i="5"/>
  <c r="AA111" i="5"/>
  <c r="Z111" i="5"/>
  <c r="Y111" i="5"/>
  <c r="W111" i="5"/>
  <c r="V111" i="5"/>
  <c r="U111" i="5"/>
  <c r="T111" i="5"/>
  <c r="S111" i="5"/>
  <c r="R111" i="5"/>
  <c r="Q111" i="5"/>
  <c r="P111" i="5"/>
  <c r="O111" i="5"/>
  <c r="N111" i="5"/>
  <c r="L111" i="5"/>
  <c r="K111" i="5"/>
  <c r="J111" i="5"/>
  <c r="I111" i="5"/>
  <c r="H111" i="5"/>
  <c r="G111" i="5"/>
  <c r="F111" i="5"/>
  <c r="E111" i="5"/>
  <c r="D111" i="5"/>
  <c r="C111" i="5"/>
  <c r="B111" i="5"/>
  <c r="A111" i="5"/>
  <c r="BZ110" i="5"/>
  <c r="BY110" i="5"/>
  <c r="BX110" i="5"/>
  <c r="BW110" i="5"/>
  <c r="BV110" i="5"/>
  <c r="BU110" i="5"/>
  <c r="BT110" i="5"/>
  <c r="BS110" i="5"/>
  <c r="BR110" i="5"/>
  <c r="BQ110" i="5"/>
  <c r="BO110" i="5"/>
  <c r="BN110" i="5"/>
  <c r="BM110" i="5"/>
  <c r="BL110" i="5"/>
  <c r="BK110" i="5"/>
  <c r="BJ110" i="5"/>
  <c r="BI110" i="5"/>
  <c r="BH110" i="5"/>
  <c r="BG110" i="5"/>
  <c r="BF110" i="5"/>
  <c r="BD110" i="5"/>
  <c r="BC110" i="5"/>
  <c r="BB110" i="5"/>
  <c r="BA110" i="5"/>
  <c r="AZ110" i="5"/>
  <c r="AY110" i="5"/>
  <c r="AX110" i="5"/>
  <c r="AW110" i="5"/>
  <c r="AV110" i="5"/>
  <c r="AU110" i="5"/>
  <c r="AS110" i="5"/>
  <c r="AR110" i="5"/>
  <c r="AQ110" i="5"/>
  <c r="AP110" i="5"/>
  <c r="AO110" i="5"/>
  <c r="AN110" i="5"/>
  <c r="AM110" i="5"/>
  <c r="AL110" i="5"/>
  <c r="AK110" i="5"/>
  <c r="AJ110" i="5"/>
  <c r="AH110" i="5"/>
  <c r="AG110" i="5"/>
  <c r="AF110" i="5"/>
  <c r="AE110" i="5"/>
  <c r="AD110" i="5"/>
  <c r="AC110" i="5"/>
  <c r="AB110" i="5"/>
  <c r="AA110" i="5"/>
  <c r="Z110" i="5"/>
  <c r="Y110" i="5"/>
  <c r="W110" i="5"/>
  <c r="V110" i="5"/>
  <c r="U110" i="5"/>
  <c r="T110" i="5"/>
  <c r="S110" i="5"/>
  <c r="R110" i="5"/>
  <c r="Q110" i="5"/>
  <c r="P110" i="5"/>
  <c r="O110" i="5"/>
  <c r="N110" i="5"/>
  <c r="L110" i="5"/>
  <c r="K110" i="5"/>
  <c r="J110" i="5"/>
  <c r="I110" i="5"/>
  <c r="H110" i="5"/>
  <c r="G110" i="5"/>
  <c r="F110" i="5"/>
  <c r="E110" i="5"/>
  <c r="D110" i="5"/>
  <c r="C110" i="5"/>
  <c r="B110" i="5"/>
  <c r="A110" i="5"/>
  <c r="BZ109" i="5"/>
  <c r="BY109" i="5"/>
  <c r="BX109" i="5"/>
  <c r="BW109" i="5"/>
  <c r="BV109" i="5"/>
  <c r="BU109" i="5"/>
  <c r="BT109" i="5"/>
  <c r="BS109" i="5"/>
  <c r="BR109" i="5"/>
  <c r="BQ109" i="5"/>
  <c r="BO109" i="5"/>
  <c r="BN109" i="5"/>
  <c r="BM109" i="5"/>
  <c r="BL109" i="5"/>
  <c r="BK109" i="5"/>
  <c r="BJ109" i="5"/>
  <c r="BI109" i="5"/>
  <c r="BH109" i="5"/>
  <c r="BG109" i="5"/>
  <c r="BF109" i="5"/>
  <c r="BD109" i="5"/>
  <c r="BC109" i="5"/>
  <c r="BB109" i="5"/>
  <c r="BA109" i="5"/>
  <c r="AZ109" i="5"/>
  <c r="AY109" i="5"/>
  <c r="AX109" i="5"/>
  <c r="AW109" i="5"/>
  <c r="AV109" i="5"/>
  <c r="AU109" i="5"/>
  <c r="AS109" i="5"/>
  <c r="AR109" i="5"/>
  <c r="AQ109" i="5"/>
  <c r="AP109" i="5"/>
  <c r="AO109" i="5"/>
  <c r="AN109" i="5"/>
  <c r="AM109" i="5"/>
  <c r="AL109" i="5"/>
  <c r="AK109" i="5"/>
  <c r="AJ109" i="5"/>
  <c r="AH109" i="5"/>
  <c r="AG109" i="5"/>
  <c r="AF109" i="5"/>
  <c r="AE109" i="5"/>
  <c r="AD109" i="5"/>
  <c r="AC109" i="5"/>
  <c r="AB109" i="5"/>
  <c r="AA109" i="5"/>
  <c r="Z109" i="5"/>
  <c r="Y109" i="5"/>
  <c r="W109" i="5"/>
  <c r="V109" i="5"/>
  <c r="U109" i="5"/>
  <c r="T109" i="5"/>
  <c r="S109" i="5"/>
  <c r="R109" i="5"/>
  <c r="Q109" i="5"/>
  <c r="P109" i="5"/>
  <c r="O109" i="5"/>
  <c r="N109" i="5"/>
  <c r="L109" i="5"/>
  <c r="K109" i="5"/>
  <c r="J109" i="5"/>
  <c r="I109" i="5"/>
  <c r="H109" i="5"/>
  <c r="G109" i="5"/>
  <c r="F109" i="5"/>
  <c r="E109" i="5"/>
  <c r="D109" i="5"/>
  <c r="C109" i="5"/>
  <c r="B109" i="5"/>
  <c r="A109" i="5"/>
  <c r="BZ108" i="5"/>
  <c r="BY108" i="5"/>
  <c r="BX108" i="5"/>
  <c r="BW108" i="5"/>
  <c r="BV108" i="5"/>
  <c r="BU108" i="5"/>
  <c r="BT108" i="5"/>
  <c r="BS108" i="5"/>
  <c r="BR108" i="5"/>
  <c r="BQ108" i="5"/>
  <c r="BO108" i="5"/>
  <c r="BN108" i="5"/>
  <c r="BM108" i="5"/>
  <c r="BL108" i="5"/>
  <c r="BK108" i="5"/>
  <c r="BJ108" i="5"/>
  <c r="BI108" i="5"/>
  <c r="BH108" i="5"/>
  <c r="BG108" i="5"/>
  <c r="BF108" i="5"/>
  <c r="BD108" i="5"/>
  <c r="BC108" i="5"/>
  <c r="BB108" i="5"/>
  <c r="BA108" i="5"/>
  <c r="AZ108" i="5"/>
  <c r="AY108" i="5"/>
  <c r="AX108" i="5"/>
  <c r="AW108" i="5"/>
  <c r="AV108" i="5"/>
  <c r="AU108" i="5"/>
  <c r="AS108" i="5"/>
  <c r="AR108" i="5"/>
  <c r="AQ108" i="5"/>
  <c r="AP108" i="5"/>
  <c r="AO108" i="5"/>
  <c r="AN108" i="5"/>
  <c r="AM108" i="5"/>
  <c r="AL108" i="5"/>
  <c r="AK108" i="5"/>
  <c r="AJ108" i="5"/>
  <c r="AH108" i="5"/>
  <c r="AG108" i="5"/>
  <c r="AF108" i="5"/>
  <c r="AE108" i="5"/>
  <c r="AD108" i="5"/>
  <c r="AC108" i="5"/>
  <c r="AB108" i="5"/>
  <c r="AA108" i="5"/>
  <c r="Z108" i="5"/>
  <c r="Y108" i="5"/>
  <c r="W108" i="5"/>
  <c r="V108" i="5"/>
  <c r="U108" i="5"/>
  <c r="T108" i="5"/>
  <c r="S108" i="5"/>
  <c r="R108" i="5"/>
  <c r="Q108" i="5"/>
  <c r="P108" i="5"/>
  <c r="O108" i="5"/>
  <c r="N108" i="5"/>
  <c r="L108" i="5"/>
  <c r="K108" i="5"/>
  <c r="J108" i="5"/>
  <c r="I108" i="5"/>
  <c r="H108" i="5"/>
  <c r="G108" i="5"/>
  <c r="F108" i="5"/>
  <c r="E108" i="5"/>
  <c r="D108" i="5"/>
  <c r="C108" i="5"/>
  <c r="B108" i="5"/>
  <c r="A108" i="5"/>
  <c r="BZ107" i="5"/>
  <c r="BY107" i="5"/>
  <c r="BX107" i="5"/>
  <c r="BW107" i="5"/>
  <c r="BV107" i="5"/>
  <c r="BU107" i="5"/>
  <c r="BT107" i="5"/>
  <c r="BS107" i="5"/>
  <c r="BR107" i="5"/>
  <c r="BQ107" i="5"/>
  <c r="BO107" i="5"/>
  <c r="BN107" i="5"/>
  <c r="BM107" i="5"/>
  <c r="BL107" i="5"/>
  <c r="BK107" i="5"/>
  <c r="BJ107" i="5"/>
  <c r="BI107" i="5"/>
  <c r="BH107" i="5"/>
  <c r="BG107" i="5"/>
  <c r="BF107" i="5"/>
  <c r="BD107" i="5"/>
  <c r="BC107" i="5"/>
  <c r="BB107" i="5"/>
  <c r="BA107" i="5"/>
  <c r="AZ107" i="5"/>
  <c r="AY107" i="5"/>
  <c r="AX107" i="5"/>
  <c r="AW107" i="5"/>
  <c r="AV107" i="5"/>
  <c r="AU107" i="5"/>
  <c r="AS107" i="5"/>
  <c r="AR107" i="5"/>
  <c r="AQ107" i="5"/>
  <c r="AP107" i="5"/>
  <c r="AO107" i="5"/>
  <c r="AN107" i="5"/>
  <c r="AM107" i="5"/>
  <c r="AL107" i="5"/>
  <c r="AK107" i="5"/>
  <c r="AJ107" i="5"/>
  <c r="AH107" i="5"/>
  <c r="AG107" i="5"/>
  <c r="AF107" i="5"/>
  <c r="AE107" i="5"/>
  <c r="AD107" i="5"/>
  <c r="AC107" i="5"/>
  <c r="AB107" i="5"/>
  <c r="AA107" i="5"/>
  <c r="Z107" i="5"/>
  <c r="Y107" i="5"/>
  <c r="W107" i="5"/>
  <c r="V107" i="5"/>
  <c r="U107" i="5"/>
  <c r="T107" i="5"/>
  <c r="S107" i="5"/>
  <c r="R107" i="5"/>
  <c r="Q107" i="5"/>
  <c r="P107" i="5"/>
  <c r="O107" i="5"/>
  <c r="N107" i="5"/>
  <c r="L107" i="5"/>
  <c r="K107" i="5"/>
  <c r="J107" i="5"/>
  <c r="I107" i="5"/>
  <c r="H107" i="5"/>
  <c r="G107" i="5"/>
  <c r="F107" i="5"/>
  <c r="E107" i="5"/>
  <c r="D107" i="5"/>
  <c r="C107" i="5"/>
  <c r="B107" i="5"/>
  <c r="A107" i="5"/>
  <c r="BZ106" i="5"/>
  <c r="BY106" i="5"/>
  <c r="BX106" i="5"/>
  <c r="BW106" i="5"/>
  <c r="BV106" i="5"/>
  <c r="BU106" i="5"/>
  <c r="BT106" i="5"/>
  <c r="CA106" i="5" s="1"/>
  <c r="CH106" i="5" s="1"/>
  <c r="BS106" i="5"/>
  <c r="BR106" i="5"/>
  <c r="BQ106" i="5"/>
  <c r="BO106" i="5"/>
  <c r="BN106" i="5"/>
  <c r="BM106" i="5"/>
  <c r="BL106" i="5"/>
  <c r="BK106" i="5"/>
  <c r="BJ106" i="5"/>
  <c r="BI106" i="5"/>
  <c r="BH106" i="5"/>
  <c r="BG106" i="5"/>
  <c r="BF106" i="5"/>
  <c r="BD106" i="5"/>
  <c r="BC106" i="5"/>
  <c r="BB106" i="5"/>
  <c r="BA106" i="5"/>
  <c r="AZ106" i="5"/>
  <c r="AY106" i="5"/>
  <c r="AX106" i="5"/>
  <c r="AW106" i="5"/>
  <c r="AV106" i="5"/>
  <c r="AU106" i="5"/>
  <c r="AS106" i="5"/>
  <c r="AR106" i="5"/>
  <c r="AQ106" i="5"/>
  <c r="AP106" i="5"/>
  <c r="AO106" i="5"/>
  <c r="AN106" i="5"/>
  <c r="AM106" i="5"/>
  <c r="AL106" i="5"/>
  <c r="AK106" i="5"/>
  <c r="AJ106" i="5"/>
  <c r="AH106" i="5"/>
  <c r="AG106" i="5"/>
  <c r="AF106" i="5"/>
  <c r="AE106" i="5"/>
  <c r="AD106" i="5"/>
  <c r="AC106" i="5"/>
  <c r="AB106" i="5"/>
  <c r="AA106" i="5"/>
  <c r="Z106" i="5"/>
  <c r="Y106" i="5"/>
  <c r="W106" i="5"/>
  <c r="V106" i="5"/>
  <c r="U106" i="5"/>
  <c r="T106" i="5"/>
  <c r="S106" i="5"/>
  <c r="R106" i="5"/>
  <c r="Q106" i="5"/>
  <c r="P106" i="5"/>
  <c r="O106" i="5"/>
  <c r="N106" i="5"/>
  <c r="L106" i="5"/>
  <c r="K106" i="5"/>
  <c r="J106" i="5"/>
  <c r="I106" i="5"/>
  <c r="H106" i="5"/>
  <c r="G106" i="5"/>
  <c r="F106" i="5"/>
  <c r="E106" i="5"/>
  <c r="D106" i="5"/>
  <c r="C106" i="5"/>
  <c r="B106" i="5"/>
  <c r="A106" i="5"/>
  <c r="BZ105" i="5"/>
  <c r="BY105" i="5"/>
  <c r="BX105" i="5"/>
  <c r="BW105" i="5"/>
  <c r="BV105" i="5"/>
  <c r="BU105" i="5"/>
  <c r="BT105" i="5"/>
  <c r="BS105" i="5"/>
  <c r="BR105" i="5"/>
  <c r="BQ105" i="5"/>
  <c r="BO105" i="5"/>
  <c r="BN105" i="5"/>
  <c r="BM105" i="5"/>
  <c r="BL105" i="5"/>
  <c r="BK105" i="5"/>
  <c r="BJ105" i="5"/>
  <c r="BI105" i="5"/>
  <c r="BH105" i="5"/>
  <c r="BG105" i="5"/>
  <c r="BF105" i="5"/>
  <c r="BD105" i="5"/>
  <c r="BC105" i="5"/>
  <c r="BB105" i="5"/>
  <c r="BA105" i="5"/>
  <c r="AZ105" i="5"/>
  <c r="AY105" i="5"/>
  <c r="AX105" i="5"/>
  <c r="AW105" i="5"/>
  <c r="AV105" i="5"/>
  <c r="AU105" i="5"/>
  <c r="AS105" i="5"/>
  <c r="AR105" i="5"/>
  <c r="AQ105" i="5"/>
  <c r="AP105" i="5"/>
  <c r="AO105" i="5"/>
  <c r="AN105" i="5"/>
  <c r="AM105" i="5"/>
  <c r="AL105" i="5"/>
  <c r="AK105" i="5"/>
  <c r="AJ105" i="5"/>
  <c r="AH105" i="5"/>
  <c r="AG105" i="5"/>
  <c r="AF105" i="5"/>
  <c r="AE105" i="5"/>
  <c r="AD105" i="5"/>
  <c r="AC105" i="5"/>
  <c r="AB105" i="5"/>
  <c r="AA105" i="5"/>
  <c r="Z105" i="5"/>
  <c r="Y105" i="5"/>
  <c r="W105" i="5"/>
  <c r="V105" i="5"/>
  <c r="U105" i="5"/>
  <c r="T105" i="5"/>
  <c r="S105" i="5"/>
  <c r="R105" i="5"/>
  <c r="Q105" i="5"/>
  <c r="P105" i="5"/>
  <c r="O105" i="5"/>
  <c r="N105" i="5"/>
  <c r="L105" i="5"/>
  <c r="K105" i="5"/>
  <c r="J105" i="5"/>
  <c r="I105" i="5"/>
  <c r="H105" i="5"/>
  <c r="G105" i="5"/>
  <c r="F105" i="5"/>
  <c r="E105" i="5"/>
  <c r="D105" i="5"/>
  <c r="C105" i="5"/>
  <c r="B105" i="5"/>
  <c r="A105" i="5"/>
  <c r="BZ104" i="5"/>
  <c r="BY104" i="5"/>
  <c r="BX104" i="5"/>
  <c r="BW104" i="5"/>
  <c r="BV104" i="5"/>
  <c r="BU104" i="5"/>
  <c r="BT104" i="5"/>
  <c r="BS104" i="5"/>
  <c r="BR104" i="5"/>
  <c r="BQ104" i="5"/>
  <c r="BO104" i="5"/>
  <c r="BN104" i="5"/>
  <c r="BM104" i="5"/>
  <c r="BL104" i="5"/>
  <c r="BK104" i="5"/>
  <c r="BJ104" i="5"/>
  <c r="BI104" i="5"/>
  <c r="BH104" i="5"/>
  <c r="BG104" i="5"/>
  <c r="BF104" i="5"/>
  <c r="BD104" i="5"/>
  <c r="BC104" i="5"/>
  <c r="BB104" i="5"/>
  <c r="BA104" i="5"/>
  <c r="AZ104" i="5"/>
  <c r="AY104" i="5"/>
  <c r="AX104" i="5"/>
  <c r="AW104" i="5"/>
  <c r="AV104" i="5"/>
  <c r="AU104" i="5"/>
  <c r="AS104" i="5"/>
  <c r="AR104" i="5"/>
  <c r="AQ104" i="5"/>
  <c r="AP104" i="5"/>
  <c r="AO104" i="5"/>
  <c r="AN104" i="5"/>
  <c r="AM104" i="5"/>
  <c r="AL104" i="5"/>
  <c r="AK104" i="5"/>
  <c r="AJ104" i="5"/>
  <c r="AH104" i="5"/>
  <c r="AG104" i="5"/>
  <c r="AF104" i="5"/>
  <c r="AE104" i="5"/>
  <c r="AD104" i="5"/>
  <c r="AC104" i="5"/>
  <c r="AB104" i="5"/>
  <c r="AA104" i="5"/>
  <c r="Z104" i="5"/>
  <c r="Y104" i="5"/>
  <c r="W104" i="5"/>
  <c r="V104" i="5"/>
  <c r="U104" i="5"/>
  <c r="T104" i="5"/>
  <c r="S104" i="5"/>
  <c r="R104" i="5"/>
  <c r="Q104" i="5"/>
  <c r="P104" i="5"/>
  <c r="O104" i="5"/>
  <c r="N104" i="5"/>
  <c r="L104" i="5"/>
  <c r="K104" i="5"/>
  <c r="J104" i="5"/>
  <c r="I104" i="5"/>
  <c r="H104" i="5"/>
  <c r="G104" i="5"/>
  <c r="F104" i="5"/>
  <c r="E104" i="5"/>
  <c r="D104" i="5"/>
  <c r="C104" i="5"/>
  <c r="B104" i="5"/>
  <c r="A104" i="5"/>
  <c r="BZ103" i="5"/>
  <c r="BY103" i="5"/>
  <c r="BX103" i="5"/>
  <c r="BW103" i="5"/>
  <c r="BV103" i="5"/>
  <c r="BU103" i="5"/>
  <c r="BT103" i="5"/>
  <c r="BS103" i="5"/>
  <c r="BR103" i="5"/>
  <c r="BQ103" i="5"/>
  <c r="BO103" i="5"/>
  <c r="BN103" i="5"/>
  <c r="BM103" i="5"/>
  <c r="BL103" i="5"/>
  <c r="BK103" i="5"/>
  <c r="BJ103" i="5"/>
  <c r="BI103" i="5"/>
  <c r="BH103" i="5"/>
  <c r="BG103" i="5"/>
  <c r="BF103" i="5"/>
  <c r="BD103" i="5"/>
  <c r="BC103" i="5"/>
  <c r="BB103" i="5"/>
  <c r="BA103" i="5"/>
  <c r="AZ103" i="5"/>
  <c r="AY103" i="5"/>
  <c r="AX103" i="5"/>
  <c r="AW103" i="5"/>
  <c r="AV103" i="5"/>
  <c r="AU103" i="5"/>
  <c r="AS103" i="5"/>
  <c r="AR103" i="5"/>
  <c r="AQ103" i="5"/>
  <c r="AP103" i="5"/>
  <c r="AO103" i="5"/>
  <c r="AN103" i="5"/>
  <c r="AM103" i="5"/>
  <c r="AL103" i="5"/>
  <c r="AK103" i="5"/>
  <c r="AJ103" i="5"/>
  <c r="AH103" i="5"/>
  <c r="AG103" i="5"/>
  <c r="AF103" i="5"/>
  <c r="AE103" i="5"/>
  <c r="AD103" i="5"/>
  <c r="AC103" i="5"/>
  <c r="AB103" i="5"/>
  <c r="AA103" i="5"/>
  <c r="Z103" i="5"/>
  <c r="Y103" i="5"/>
  <c r="W103" i="5"/>
  <c r="V103" i="5"/>
  <c r="U103" i="5"/>
  <c r="T103" i="5"/>
  <c r="S103" i="5"/>
  <c r="R103" i="5"/>
  <c r="Q103" i="5"/>
  <c r="P103" i="5"/>
  <c r="O103" i="5"/>
  <c r="N103" i="5"/>
  <c r="L103" i="5"/>
  <c r="K103" i="5"/>
  <c r="J103" i="5"/>
  <c r="I103" i="5"/>
  <c r="H103" i="5"/>
  <c r="G103" i="5"/>
  <c r="F103" i="5"/>
  <c r="E103" i="5"/>
  <c r="D103" i="5"/>
  <c r="C103" i="5"/>
  <c r="B103" i="5"/>
  <c r="A103" i="5"/>
  <c r="BZ102" i="5"/>
  <c r="BY102" i="5"/>
  <c r="BX102" i="5"/>
  <c r="BW102" i="5"/>
  <c r="BV102" i="5"/>
  <c r="BU102" i="5"/>
  <c r="BT102" i="5"/>
  <c r="BS102" i="5"/>
  <c r="BR102" i="5"/>
  <c r="BQ102" i="5"/>
  <c r="BO102" i="5"/>
  <c r="BN102" i="5"/>
  <c r="BM102" i="5"/>
  <c r="BL102" i="5"/>
  <c r="BK102" i="5"/>
  <c r="BJ102" i="5"/>
  <c r="BI102" i="5"/>
  <c r="BH102" i="5"/>
  <c r="BG102" i="5"/>
  <c r="BF102" i="5"/>
  <c r="BD102" i="5"/>
  <c r="BC102" i="5"/>
  <c r="BB102" i="5"/>
  <c r="BA102" i="5"/>
  <c r="AZ102" i="5"/>
  <c r="AY102" i="5"/>
  <c r="AX102" i="5"/>
  <c r="AW102" i="5"/>
  <c r="AV102" i="5"/>
  <c r="AU102" i="5"/>
  <c r="AS102" i="5"/>
  <c r="AR102" i="5"/>
  <c r="AQ102" i="5"/>
  <c r="AP102" i="5"/>
  <c r="AO102" i="5"/>
  <c r="AN102" i="5"/>
  <c r="AM102" i="5"/>
  <c r="AL102" i="5"/>
  <c r="AK102" i="5"/>
  <c r="AJ102" i="5"/>
  <c r="AH102" i="5"/>
  <c r="AG102" i="5"/>
  <c r="AF102" i="5"/>
  <c r="AE102" i="5"/>
  <c r="AD102" i="5"/>
  <c r="AC102" i="5"/>
  <c r="AB102" i="5"/>
  <c r="AA102" i="5"/>
  <c r="Z102" i="5"/>
  <c r="Y102" i="5"/>
  <c r="W102" i="5"/>
  <c r="V102" i="5"/>
  <c r="U102" i="5"/>
  <c r="T102" i="5"/>
  <c r="S102" i="5"/>
  <c r="R102" i="5"/>
  <c r="Q102" i="5"/>
  <c r="P102" i="5"/>
  <c r="O102" i="5"/>
  <c r="N102" i="5"/>
  <c r="L102" i="5"/>
  <c r="K102" i="5"/>
  <c r="J102" i="5"/>
  <c r="I102" i="5"/>
  <c r="H102" i="5"/>
  <c r="G102" i="5"/>
  <c r="F102" i="5"/>
  <c r="E102" i="5"/>
  <c r="D102" i="5"/>
  <c r="C102" i="5"/>
  <c r="B102" i="5"/>
  <c r="A102" i="5"/>
  <c r="BZ101" i="5"/>
  <c r="BY101" i="5"/>
  <c r="BX101" i="5"/>
  <c r="BW101" i="5"/>
  <c r="BV101" i="5"/>
  <c r="BU101" i="5"/>
  <c r="BT101" i="5"/>
  <c r="BS101" i="5"/>
  <c r="BR101" i="5"/>
  <c r="BQ101" i="5"/>
  <c r="BO101" i="5"/>
  <c r="BN101" i="5"/>
  <c r="BM101" i="5"/>
  <c r="BL101" i="5"/>
  <c r="BK101" i="5"/>
  <c r="BJ101" i="5"/>
  <c r="BI101" i="5"/>
  <c r="BH101" i="5"/>
  <c r="BG101" i="5"/>
  <c r="BF101" i="5"/>
  <c r="BD101" i="5"/>
  <c r="BC101" i="5"/>
  <c r="BB101" i="5"/>
  <c r="BA101" i="5"/>
  <c r="AZ101" i="5"/>
  <c r="AY101" i="5"/>
  <c r="AX101" i="5"/>
  <c r="AW101" i="5"/>
  <c r="AV101" i="5"/>
  <c r="AU101" i="5"/>
  <c r="AS101" i="5"/>
  <c r="AR101" i="5"/>
  <c r="AQ101" i="5"/>
  <c r="AP101" i="5"/>
  <c r="AO101" i="5"/>
  <c r="AN101" i="5"/>
  <c r="AM101" i="5"/>
  <c r="AL101" i="5"/>
  <c r="AK101" i="5"/>
  <c r="AJ101" i="5"/>
  <c r="AH101" i="5"/>
  <c r="AG101" i="5"/>
  <c r="AF101" i="5"/>
  <c r="AE101" i="5"/>
  <c r="AD101" i="5"/>
  <c r="AC101" i="5"/>
  <c r="AB101" i="5"/>
  <c r="AA101" i="5"/>
  <c r="Z101" i="5"/>
  <c r="Y101" i="5"/>
  <c r="W101" i="5"/>
  <c r="V101" i="5"/>
  <c r="U101" i="5"/>
  <c r="T101" i="5"/>
  <c r="S101" i="5"/>
  <c r="R101" i="5"/>
  <c r="Q101" i="5"/>
  <c r="P101" i="5"/>
  <c r="O101" i="5"/>
  <c r="N101" i="5"/>
  <c r="L101" i="5"/>
  <c r="K101" i="5"/>
  <c r="J101" i="5"/>
  <c r="I101" i="5"/>
  <c r="H101" i="5"/>
  <c r="G101" i="5"/>
  <c r="F101" i="5"/>
  <c r="E101" i="5"/>
  <c r="D101" i="5"/>
  <c r="C101" i="5"/>
  <c r="B101" i="5"/>
  <c r="A101" i="5"/>
  <c r="BZ100" i="5"/>
  <c r="BY100" i="5"/>
  <c r="BX100" i="5"/>
  <c r="BW100" i="5"/>
  <c r="BV100" i="5"/>
  <c r="BU100" i="5"/>
  <c r="BT100" i="5"/>
  <c r="CA100" i="5" s="1"/>
  <c r="CH100" i="5" s="1"/>
  <c r="BS100" i="5"/>
  <c r="BR100" i="5"/>
  <c r="BQ100" i="5"/>
  <c r="BO100" i="5"/>
  <c r="BN100" i="5"/>
  <c r="BM100" i="5"/>
  <c r="BL100" i="5"/>
  <c r="BK100" i="5"/>
  <c r="BJ100" i="5"/>
  <c r="BI100" i="5"/>
  <c r="BH100" i="5"/>
  <c r="BG100" i="5"/>
  <c r="BF100" i="5"/>
  <c r="BD100" i="5"/>
  <c r="BC100" i="5"/>
  <c r="BB100" i="5"/>
  <c r="BA100" i="5"/>
  <c r="AZ100" i="5"/>
  <c r="AY100" i="5"/>
  <c r="AX100" i="5"/>
  <c r="AW100" i="5"/>
  <c r="AV100" i="5"/>
  <c r="AU100" i="5"/>
  <c r="AS100" i="5"/>
  <c r="AR100" i="5"/>
  <c r="AQ100" i="5"/>
  <c r="AP100" i="5"/>
  <c r="AO100" i="5"/>
  <c r="AN100" i="5"/>
  <c r="AM100" i="5"/>
  <c r="AL100" i="5"/>
  <c r="AK100" i="5"/>
  <c r="AJ100" i="5"/>
  <c r="AH100" i="5"/>
  <c r="AG100" i="5"/>
  <c r="AF100" i="5"/>
  <c r="AE100" i="5"/>
  <c r="AD100" i="5"/>
  <c r="AC100" i="5"/>
  <c r="AB100" i="5"/>
  <c r="AA100" i="5"/>
  <c r="Z100" i="5"/>
  <c r="Y100" i="5"/>
  <c r="W100" i="5"/>
  <c r="V100" i="5"/>
  <c r="U100" i="5"/>
  <c r="T100" i="5"/>
  <c r="S100" i="5"/>
  <c r="R100" i="5"/>
  <c r="Q100" i="5"/>
  <c r="P100" i="5"/>
  <c r="O100" i="5"/>
  <c r="N100" i="5"/>
  <c r="L100" i="5"/>
  <c r="K100" i="5"/>
  <c r="J100" i="5"/>
  <c r="I100" i="5"/>
  <c r="H100" i="5"/>
  <c r="G100" i="5"/>
  <c r="F100" i="5"/>
  <c r="E100" i="5"/>
  <c r="D100" i="5"/>
  <c r="C100" i="5"/>
  <c r="B100" i="5"/>
  <c r="A100" i="5"/>
  <c r="BZ99" i="5"/>
  <c r="BY99" i="5"/>
  <c r="BX99" i="5"/>
  <c r="BW99" i="5"/>
  <c r="BV99" i="5"/>
  <c r="BU99" i="5"/>
  <c r="BT99" i="5"/>
  <c r="BS99" i="5"/>
  <c r="BR99" i="5"/>
  <c r="BQ99" i="5"/>
  <c r="BO99" i="5"/>
  <c r="BN99" i="5"/>
  <c r="BM99" i="5"/>
  <c r="BL99" i="5"/>
  <c r="BK99" i="5"/>
  <c r="BJ99" i="5"/>
  <c r="BI99" i="5"/>
  <c r="BH99" i="5"/>
  <c r="BG99" i="5"/>
  <c r="BF99" i="5"/>
  <c r="BD99" i="5"/>
  <c r="BC99" i="5"/>
  <c r="BB99" i="5"/>
  <c r="BA99" i="5"/>
  <c r="AZ99" i="5"/>
  <c r="AY99" i="5"/>
  <c r="AX99" i="5"/>
  <c r="AW99" i="5"/>
  <c r="AV99" i="5"/>
  <c r="AU99" i="5"/>
  <c r="AS99" i="5"/>
  <c r="AR99" i="5"/>
  <c r="AQ99" i="5"/>
  <c r="AP99" i="5"/>
  <c r="AO99" i="5"/>
  <c r="AN99" i="5"/>
  <c r="AM99" i="5"/>
  <c r="AL99" i="5"/>
  <c r="AK99" i="5"/>
  <c r="AJ99" i="5"/>
  <c r="AH99" i="5"/>
  <c r="AG99" i="5"/>
  <c r="AF99" i="5"/>
  <c r="AE99" i="5"/>
  <c r="AD99" i="5"/>
  <c r="AC99" i="5"/>
  <c r="AB99" i="5"/>
  <c r="AA99" i="5"/>
  <c r="Z99" i="5"/>
  <c r="Y99" i="5"/>
  <c r="W99" i="5"/>
  <c r="V99" i="5"/>
  <c r="U99" i="5"/>
  <c r="T99" i="5"/>
  <c r="S99" i="5"/>
  <c r="R99" i="5"/>
  <c r="Q99" i="5"/>
  <c r="P99" i="5"/>
  <c r="O99" i="5"/>
  <c r="N99" i="5"/>
  <c r="L99" i="5"/>
  <c r="K99" i="5"/>
  <c r="J99" i="5"/>
  <c r="I99" i="5"/>
  <c r="H99" i="5"/>
  <c r="G99" i="5"/>
  <c r="F99" i="5"/>
  <c r="E99" i="5"/>
  <c r="D99" i="5"/>
  <c r="C99" i="5"/>
  <c r="B99" i="5"/>
  <c r="A99" i="5"/>
  <c r="BZ98" i="5"/>
  <c r="BY98" i="5"/>
  <c r="BX98" i="5"/>
  <c r="BW98" i="5"/>
  <c r="BV98" i="5"/>
  <c r="BU98" i="5"/>
  <c r="BT98" i="5"/>
  <c r="BS98" i="5"/>
  <c r="BR98" i="5"/>
  <c r="BQ98" i="5"/>
  <c r="BO98" i="5"/>
  <c r="BN98" i="5"/>
  <c r="BM98" i="5"/>
  <c r="BL98" i="5"/>
  <c r="BK98" i="5"/>
  <c r="BJ98" i="5"/>
  <c r="BI98" i="5"/>
  <c r="BH98" i="5"/>
  <c r="BG98" i="5"/>
  <c r="BF98" i="5"/>
  <c r="BD98" i="5"/>
  <c r="BC98" i="5"/>
  <c r="BB98" i="5"/>
  <c r="BA98" i="5"/>
  <c r="AZ98" i="5"/>
  <c r="AY98" i="5"/>
  <c r="AX98" i="5"/>
  <c r="AW98" i="5"/>
  <c r="AV98" i="5"/>
  <c r="AU98" i="5"/>
  <c r="AS98" i="5"/>
  <c r="AR98" i="5"/>
  <c r="AQ98" i="5"/>
  <c r="AP98" i="5"/>
  <c r="AO98" i="5"/>
  <c r="AN98" i="5"/>
  <c r="AM98" i="5"/>
  <c r="AL98" i="5"/>
  <c r="AK98" i="5"/>
  <c r="AJ98" i="5"/>
  <c r="AH98" i="5"/>
  <c r="AG98" i="5"/>
  <c r="AF98" i="5"/>
  <c r="AE98" i="5"/>
  <c r="AD98" i="5"/>
  <c r="AC98" i="5"/>
  <c r="AB98" i="5"/>
  <c r="AA98" i="5"/>
  <c r="Z98" i="5"/>
  <c r="Y98" i="5"/>
  <c r="W98" i="5"/>
  <c r="V98" i="5"/>
  <c r="U98" i="5"/>
  <c r="T98" i="5"/>
  <c r="S98" i="5"/>
  <c r="R98" i="5"/>
  <c r="Q98" i="5"/>
  <c r="P98" i="5"/>
  <c r="O98" i="5"/>
  <c r="N98" i="5"/>
  <c r="L98" i="5"/>
  <c r="K98" i="5"/>
  <c r="J98" i="5"/>
  <c r="I98" i="5"/>
  <c r="H98" i="5"/>
  <c r="G98" i="5"/>
  <c r="F98" i="5"/>
  <c r="E98" i="5"/>
  <c r="D98" i="5"/>
  <c r="C98" i="5"/>
  <c r="B98" i="5"/>
  <c r="A98" i="5"/>
  <c r="BZ97" i="5"/>
  <c r="BY97" i="5"/>
  <c r="BX97" i="5"/>
  <c r="BW97" i="5"/>
  <c r="BV97" i="5"/>
  <c r="BU97" i="5"/>
  <c r="BT97" i="5"/>
  <c r="BS97" i="5"/>
  <c r="BR97" i="5"/>
  <c r="BQ97" i="5"/>
  <c r="BO97" i="5"/>
  <c r="BN97" i="5"/>
  <c r="BM97" i="5"/>
  <c r="BL97" i="5"/>
  <c r="BK97" i="5"/>
  <c r="BJ97" i="5"/>
  <c r="BI97" i="5"/>
  <c r="BH97" i="5"/>
  <c r="BG97" i="5"/>
  <c r="BF97" i="5"/>
  <c r="BD97" i="5"/>
  <c r="BC97" i="5"/>
  <c r="BB97" i="5"/>
  <c r="BA97" i="5"/>
  <c r="AZ97" i="5"/>
  <c r="AY97" i="5"/>
  <c r="AX97" i="5"/>
  <c r="AW97" i="5"/>
  <c r="AV97" i="5"/>
  <c r="AU97" i="5"/>
  <c r="AS97" i="5"/>
  <c r="AR97" i="5"/>
  <c r="AQ97" i="5"/>
  <c r="AP97" i="5"/>
  <c r="AO97" i="5"/>
  <c r="AN97" i="5"/>
  <c r="AM97" i="5"/>
  <c r="AL97" i="5"/>
  <c r="AK97" i="5"/>
  <c r="AJ97" i="5"/>
  <c r="AH97" i="5"/>
  <c r="AG97" i="5"/>
  <c r="AF97" i="5"/>
  <c r="AE97" i="5"/>
  <c r="AD97" i="5"/>
  <c r="AC97" i="5"/>
  <c r="AB97" i="5"/>
  <c r="AA97" i="5"/>
  <c r="Z97" i="5"/>
  <c r="Y97" i="5"/>
  <c r="W97" i="5"/>
  <c r="V97" i="5"/>
  <c r="U97" i="5"/>
  <c r="T97" i="5"/>
  <c r="S97" i="5"/>
  <c r="R97" i="5"/>
  <c r="Q97" i="5"/>
  <c r="P97" i="5"/>
  <c r="O97" i="5"/>
  <c r="N97" i="5"/>
  <c r="L97" i="5"/>
  <c r="K97" i="5"/>
  <c r="J97" i="5"/>
  <c r="I97" i="5"/>
  <c r="H97" i="5"/>
  <c r="G97" i="5"/>
  <c r="F97" i="5"/>
  <c r="E97" i="5"/>
  <c r="D97" i="5"/>
  <c r="C97" i="5"/>
  <c r="B97" i="5"/>
  <c r="A97" i="5"/>
  <c r="BZ96" i="5"/>
  <c r="BY96" i="5"/>
  <c r="BX96" i="5"/>
  <c r="BW96" i="5"/>
  <c r="BV96" i="5"/>
  <c r="BU96" i="5"/>
  <c r="BT96" i="5"/>
  <c r="BS96" i="5"/>
  <c r="BR96" i="5"/>
  <c r="BQ96" i="5"/>
  <c r="BO96" i="5"/>
  <c r="BN96" i="5"/>
  <c r="BM96" i="5"/>
  <c r="BL96" i="5"/>
  <c r="BK96" i="5"/>
  <c r="BJ96" i="5"/>
  <c r="BI96" i="5"/>
  <c r="BH96" i="5"/>
  <c r="BG96" i="5"/>
  <c r="BF96" i="5"/>
  <c r="BD96" i="5"/>
  <c r="BC96" i="5"/>
  <c r="BB96" i="5"/>
  <c r="BA96" i="5"/>
  <c r="AZ96" i="5"/>
  <c r="AY96" i="5"/>
  <c r="AX96" i="5"/>
  <c r="AW96" i="5"/>
  <c r="AV96" i="5"/>
  <c r="AU96" i="5"/>
  <c r="AS96" i="5"/>
  <c r="AR96" i="5"/>
  <c r="AQ96" i="5"/>
  <c r="AP96" i="5"/>
  <c r="AO96" i="5"/>
  <c r="AN96" i="5"/>
  <c r="AM96" i="5"/>
  <c r="AL96" i="5"/>
  <c r="AK96" i="5"/>
  <c r="AJ96" i="5"/>
  <c r="AH96" i="5"/>
  <c r="AG96" i="5"/>
  <c r="AF96" i="5"/>
  <c r="AE96" i="5"/>
  <c r="AD96" i="5"/>
  <c r="AC96" i="5"/>
  <c r="AB96" i="5"/>
  <c r="AA96" i="5"/>
  <c r="Z96" i="5"/>
  <c r="Y96" i="5"/>
  <c r="W96" i="5"/>
  <c r="V96" i="5"/>
  <c r="U96" i="5"/>
  <c r="T96" i="5"/>
  <c r="S96" i="5"/>
  <c r="R96" i="5"/>
  <c r="Q96" i="5"/>
  <c r="P96" i="5"/>
  <c r="O96" i="5"/>
  <c r="N96" i="5"/>
  <c r="L96" i="5"/>
  <c r="K96" i="5"/>
  <c r="J96" i="5"/>
  <c r="I96" i="5"/>
  <c r="H96" i="5"/>
  <c r="G96" i="5"/>
  <c r="F96" i="5"/>
  <c r="E96" i="5"/>
  <c r="D96" i="5"/>
  <c r="C96" i="5"/>
  <c r="B96" i="5"/>
  <c r="A96" i="5"/>
  <c r="BZ95" i="5"/>
  <c r="BY95" i="5"/>
  <c r="BX95" i="5"/>
  <c r="BW95" i="5"/>
  <c r="BV95" i="5"/>
  <c r="BU95" i="5"/>
  <c r="BT95" i="5"/>
  <c r="BS95" i="5"/>
  <c r="BR95" i="5"/>
  <c r="BQ95" i="5"/>
  <c r="BO95" i="5"/>
  <c r="BN95" i="5"/>
  <c r="BM95" i="5"/>
  <c r="BL95" i="5"/>
  <c r="BK95" i="5"/>
  <c r="BJ95" i="5"/>
  <c r="BI95" i="5"/>
  <c r="BH95" i="5"/>
  <c r="BG95" i="5"/>
  <c r="BF95" i="5"/>
  <c r="BD95" i="5"/>
  <c r="BC95" i="5"/>
  <c r="BB95" i="5"/>
  <c r="BA95" i="5"/>
  <c r="AZ95" i="5"/>
  <c r="AY95" i="5"/>
  <c r="AX95" i="5"/>
  <c r="AW95" i="5"/>
  <c r="AV95" i="5"/>
  <c r="AU95" i="5"/>
  <c r="AS95" i="5"/>
  <c r="AR95" i="5"/>
  <c r="AQ95" i="5"/>
  <c r="AP95" i="5"/>
  <c r="AO95" i="5"/>
  <c r="AN95" i="5"/>
  <c r="AM95" i="5"/>
  <c r="AL95" i="5"/>
  <c r="AK95" i="5"/>
  <c r="AJ95" i="5"/>
  <c r="AH95" i="5"/>
  <c r="AG95" i="5"/>
  <c r="AF95" i="5"/>
  <c r="AE95" i="5"/>
  <c r="AD95" i="5"/>
  <c r="AC95" i="5"/>
  <c r="AB95" i="5"/>
  <c r="AA95" i="5"/>
  <c r="Z95" i="5"/>
  <c r="Y95" i="5"/>
  <c r="W95" i="5"/>
  <c r="V95" i="5"/>
  <c r="U95" i="5"/>
  <c r="T95" i="5"/>
  <c r="S95" i="5"/>
  <c r="R95" i="5"/>
  <c r="Q95" i="5"/>
  <c r="P95" i="5"/>
  <c r="O95" i="5"/>
  <c r="N95" i="5"/>
  <c r="L95" i="5"/>
  <c r="K95" i="5"/>
  <c r="J95" i="5"/>
  <c r="I95" i="5"/>
  <c r="H95" i="5"/>
  <c r="G95" i="5"/>
  <c r="F95" i="5"/>
  <c r="E95" i="5"/>
  <c r="D95" i="5"/>
  <c r="C95" i="5"/>
  <c r="B95" i="5"/>
  <c r="A95" i="5"/>
  <c r="BZ94" i="5"/>
  <c r="BY94" i="5"/>
  <c r="BX94" i="5"/>
  <c r="BW94" i="5"/>
  <c r="BV94" i="5"/>
  <c r="BU94" i="5"/>
  <c r="BT94" i="5"/>
  <c r="BS94" i="5"/>
  <c r="BR94" i="5"/>
  <c r="BQ94" i="5"/>
  <c r="BO94" i="5"/>
  <c r="BN94" i="5"/>
  <c r="BM94" i="5"/>
  <c r="BL94" i="5"/>
  <c r="BK94" i="5"/>
  <c r="BJ94" i="5"/>
  <c r="BI94" i="5"/>
  <c r="BH94" i="5"/>
  <c r="BG94" i="5"/>
  <c r="BF94" i="5"/>
  <c r="BD94" i="5"/>
  <c r="BC94" i="5"/>
  <c r="BB94" i="5"/>
  <c r="BA94" i="5"/>
  <c r="AZ94" i="5"/>
  <c r="AY94" i="5"/>
  <c r="AX94" i="5"/>
  <c r="AW94" i="5"/>
  <c r="AV94" i="5"/>
  <c r="AU94" i="5"/>
  <c r="AS94" i="5"/>
  <c r="AR94" i="5"/>
  <c r="AQ94" i="5"/>
  <c r="AP94" i="5"/>
  <c r="AO94" i="5"/>
  <c r="AN94" i="5"/>
  <c r="AM94" i="5"/>
  <c r="AL94" i="5"/>
  <c r="AK94" i="5"/>
  <c r="AJ94" i="5"/>
  <c r="AH94" i="5"/>
  <c r="AG94" i="5"/>
  <c r="AF94" i="5"/>
  <c r="AE94" i="5"/>
  <c r="AD94" i="5"/>
  <c r="AC94" i="5"/>
  <c r="AB94" i="5"/>
  <c r="AA94" i="5"/>
  <c r="Z94" i="5"/>
  <c r="Y94" i="5"/>
  <c r="W94" i="5"/>
  <c r="V94" i="5"/>
  <c r="U94" i="5"/>
  <c r="T94" i="5"/>
  <c r="S94" i="5"/>
  <c r="R94" i="5"/>
  <c r="Q94" i="5"/>
  <c r="P94" i="5"/>
  <c r="O94" i="5"/>
  <c r="N94" i="5"/>
  <c r="L94" i="5"/>
  <c r="K94" i="5"/>
  <c r="J94" i="5"/>
  <c r="I94" i="5"/>
  <c r="H94" i="5"/>
  <c r="G94" i="5"/>
  <c r="F94" i="5"/>
  <c r="E94" i="5"/>
  <c r="D94" i="5"/>
  <c r="C94" i="5"/>
  <c r="B94" i="5"/>
  <c r="A94" i="5"/>
  <c r="BZ93" i="5"/>
  <c r="BY93" i="5"/>
  <c r="BX93" i="5"/>
  <c r="BW93" i="5"/>
  <c r="BV93" i="5"/>
  <c r="BU93" i="5"/>
  <c r="BT93" i="5"/>
  <c r="BS93" i="5"/>
  <c r="BR93" i="5"/>
  <c r="BQ93" i="5"/>
  <c r="BO93" i="5"/>
  <c r="BN93" i="5"/>
  <c r="BM93" i="5"/>
  <c r="BL93" i="5"/>
  <c r="BK93" i="5"/>
  <c r="BJ93" i="5"/>
  <c r="BI93" i="5"/>
  <c r="BH93" i="5"/>
  <c r="BG93" i="5"/>
  <c r="BF93" i="5"/>
  <c r="BD93" i="5"/>
  <c r="BC93" i="5"/>
  <c r="BB93" i="5"/>
  <c r="BA93" i="5"/>
  <c r="AZ93" i="5"/>
  <c r="AY93" i="5"/>
  <c r="AX93" i="5"/>
  <c r="AW93" i="5"/>
  <c r="AV93" i="5"/>
  <c r="AU93" i="5"/>
  <c r="AS93" i="5"/>
  <c r="AR93" i="5"/>
  <c r="AQ93" i="5"/>
  <c r="AP93" i="5"/>
  <c r="AO93" i="5"/>
  <c r="AN93" i="5"/>
  <c r="AM93" i="5"/>
  <c r="AL93" i="5"/>
  <c r="AK93" i="5"/>
  <c r="AJ93" i="5"/>
  <c r="AH93" i="5"/>
  <c r="AG93" i="5"/>
  <c r="AF93" i="5"/>
  <c r="AE93" i="5"/>
  <c r="AD93" i="5"/>
  <c r="AC93" i="5"/>
  <c r="AB93" i="5"/>
  <c r="AA93" i="5"/>
  <c r="Z93" i="5"/>
  <c r="Y93" i="5"/>
  <c r="W93" i="5"/>
  <c r="V93" i="5"/>
  <c r="U93" i="5"/>
  <c r="T93" i="5"/>
  <c r="S93" i="5"/>
  <c r="R93" i="5"/>
  <c r="Q93" i="5"/>
  <c r="P93" i="5"/>
  <c r="O93" i="5"/>
  <c r="N93" i="5"/>
  <c r="L93" i="5"/>
  <c r="K93" i="5"/>
  <c r="J93" i="5"/>
  <c r="I93" i="5"/>
  <c r="H93" i="5"/>
  <c r="G93" i="5"/>
  <c r="F93" i="5"/>
  <c r="E93" i="5"/>
  <c r="D93" i="5"/>
  <c r="C93" i="5"/>
  <c r="B93" i="5"/>
  <c r="A93" i="5"/>
  <c r="BZ92" i="5"/>
  <c r="BY92" i="5"/>
  <c r="BX92" i="5"/>
  <c r="BW92" i="5"/>
  <c r="BV92" i="5"/>
  <c r="BU92" i="5"/>
  <c r="BT92" i="5"/>
  <c r="BS92" i="5"/>
  <c r="BR92" i="5"/>
  <c r="BQ92" i="5"/>
  <c r="BO92" i="5"/>
  <c r="BN92" i="5"/>
  <c r="BM92" i="5"/>
  <c r="BL92" i="5"/>
  <c r="BK92" i="5"/>
  <c r="BJ92" i="5"/>
  <c r="BI92" i="5"/>
  <c r="BH92" i="5"/>
  <c r="BG92" i="5"/>
  <c r="BF92" i="5"/>
  <c r="BD92" i="5"/>
  <c r="BC92" i="5"/>
  <c r="BB92" i="5"/>
  <c r="BA92" i="5"/>
  <c r="AZ92" i="5"/>
  <c r="AY92" i="5"/>
  <c r="AX92" i="5"/>
  <c r="AW92" i="5"/>
  <c r="AV92" i="5"/>
  <c r="AU92" i="5"/>
  <c r="AS92" i="5"/>
  <c r="AR92" i="5"/>
  <c r="AQ92" i="5"/>
  <c r="AP92" i="5"/>
  <c r="AO92" i="5"/>
  <c r="AN92" i="5"/>
  <c r="AM92" i="5"/>
  <c r="AL92" i="5"/>
  <c r="AK92" i="5"/>
  <c r="AJ92" i="5"/>
  <c r="AH92" i="5"/>
  <c r="AG92" i="5"/>
  <c r="AF92" i="5"/>
  <c r="AE92" i="5"/>
  <c r="AD92" i="5"/>
  <c r="AC92" i="5"/>
  <c r="AB92" i="5"/>
  <c r="AA92" i="5"/>
  <c r="Z92" i="5"/>
  <c r="Y92" i="5"/>
  <c r="W92" i="5"/>
  <c r="V92" i="5"/>
  <c r="U92" i="5"/>
  <c r="T92" i="5"/>
  <c r="S92" i="5"/>
  <c r="R92" i="5"/>
  <c r="Q92" i="5"/>
  <c r="P92" i="5"/>
  <c r="O92" i="5"/>
  <c r="N92" i="5"/>
  <c r="L92" i="5"/>
  <c r="K92" i="5"/>
  <c r="J92" i="5"/>
  <c r="I92" i="5"/>
  <c r="H92" i="5"/>
  <c r="G92" i="5"/>
  <c r="F92" i="5"/>
  <c r="E92" i="5"/>
  <c r="D92" i="5"/>
  <c r="C92" i="5"/>
  <c r="B92" i="5"/>
  <c r="A92" i="5"/>
  <c r="BZ91" i="5"/>
  <c r="BY91" i="5"/>
  <c r="BX91" i="5"/>
  <c r="BW91" i="5"/>
  <c r="BV91" i="5"/>
  <c r="BU91" i="5"/>
  <c r="BT91" i="5"/>
  <c r="BS91" i="5"/>
  <c r="BR91" i="5"/>
  <c r="BQ91" i="5"/>
  <c r="BO91" i="5"/>
  <c r="BN91" i="5"/>
  <c r="BM91" i="5"/>
  <c r="BL91" i="5"/>
  <c r="BK91" i="5"/>
  <c r="BJ91" i="5"/>
  <c r="BI91" i="5"/>
  <c r="BH91" i="5"/>
  <c r="BG91" i="5"/>
  <c r="BF91" i="5"/>
  <c r="BD91" i="5"/>
  <c r="BC91" i="5"/>
  <c r="BB91" i="5"/>
  <c r="BA91" i="5"/>
  <c r="AZ91" i="5"/>
  <c r="AY91" i="5"/>
  <c r="AX91" i="5"/>
  <c r="AW91" i="5"/>
  <c r="AV91" i="5"/>
  <c r="AU91" i="5"/>
  <c r="AS91" i="5"/>
  <c r="AR91" i="5"/>
  <c r="AQ91" i="5"/>
  <c r="AP91" i="5"/>
  <c r="AO91" i="5"/>
  <c r="AN91" i="5"/>
  <c r="AM91" i="5"/>
  <c r="AL91" i="5"/>
  <c r="AK91" i="5"/>
  <c r="AJ91" i="5"/>
  <c r="AH91" i="5"/>
  <c r="AG91" i="5"/>
  <c r="AF91" i="5"/>
  <c r="AE91" i="5"/>
  <c r="AD91" i="5"/>
  <c r="AC91" i="5"/>
  <c r="AB91" i="5"/>
  <c r="AA91" i="5"/>
  <c r="Z91" i="5"/>
  <c r="Y91" i="5"/>
  <c r="W91" i="5"/>
  <c r="V91" i="5"/>
  <c r="U91" i="5"/>
  <c r="T91" i="5"/>
  <c r="S91" i="5"/>
  <c r="R91" i="5"/>
  <c r="Q91" i="5"/>
  <c r="P91" i="5"/>
  <c r="O91" i="5"/>
  <c r="N91" i="5"/>
  <c r="L91" i="5"/>
  <c r="K91" i="5"/>
  <c r="J91" i="5"/>
  <c r="I91" i="5"/>
  <c r="H91" i="5"/>
  <c r="G91" i="5"/>
  <c r="F91" i="5"/>
  <c r="E91" i="5"/>
  <c r="D91" i="5"/>
  <c r="C91" i="5"/>
  <c r="B91" i="5"/>
  <c r="A91" i="5"/>
  <c r="BZ90" i="5"/>
  <c r="BY90" i="5"/>
  <c r="BX90" i="5"/>
  <c r="BW90" i="5"/>
  <c r="BV90" i="5"/>
  <c r="BU90" i="5"/>
  <c r="BT90" i="5"/>
  <c r="BS90" i="5"/>
  <c r="BR90" i="5"/>
  <c r="BQ90" i="5"/>
  <c r="BO90" i="5"/>
  <c r="BN90" i="5"/>
  <c r="BM90" i="5"/>
  <c r="BL90" i="5"/>
  <c r="BK90" i="5"/>
  <c r="BJ90" i="5"/>
  <c r="BI90" i="5"/>
  <c r="BH90" i="5"/>
  <c r="BG90" i="5"/>
  <c r="BF90" i="5"/>
  <c r="BD90" i="5"/>
  <c r="BC90" i="5"/>
  <c r="BB90" i="5"/>
  <c r="BA90" i="5"/>
  <c r="AZ90" i="5"/>
  <c r="AY90" i="5"/>
  <c r="AX90" i="5"/>
  <c r="AW90" i="5"/>
  <c r="AV90" i="5"/>
  <c r="AU90" i="5"/>
  <c r="AS90" i="5"/>
  <c r="AR90" i="5"/>
  <c r="AQ90" i="5"/>
  <c r="AP90" i="5"/>
  <c r="AO90" i="5"/>
  <c r="AN90" i="5"/>
  <c r="AM90" i="5"/>
  <c r="AL90" i="5"/>
  <c r="AK90" i="5"/>
  <c r="AJ90" i="5"/>
  <c r="AH90" i="5"/>
  <c r="AG90" i="5"/>
  <c r="AF90" i="5"/>
  <c r="AE90" i="5"/>
  <c r="AD90" i="5"/>
  <c r="AC90" i="5"/>
  <c r="AB90" i="5"/>
  <c r="AA90" i="5"/>
  <c r="Z90" i="5"/>
  <c r="Y90" i="5"/>
  <c r="W90" i="5"/>
  <c r="V90" i="5"/>
  <c r="U90" i="5"/>
  <c r="T90" i="5"/>
  <c r="S90" i="5"/>
  <c r="R90" i="5"/>
  <c r="Q90" i="5"/>
  <c r="P90" i="5"/>
  <c r="O90" i="5"/>
  <c r="N90" i="5"/>
  <c r="L90" i="5"/>
  <c r="K90" i="5"/>
  <c r="J90" i="5"/>
  <c r="I90" i="5"/>
  <c r="H90" i="5"/>
  <c r="G90" i="5"/>
  <c r="F90" i="5"/>
  <c r="E90" i="5"/>
  <c r="D90" i="5"/>
  <c r="C90" i="5"/>
  <c r="B90" i="5"/>
  <c r="A90" i="5"/>
  <c r="BZ89" i="5"/>
  <c r="BY89" i="5"/>
  <c r="BX89" i="5"/>
  <c r="BW89" i="5"/>
  <c r="BV89" i="5"/>
  <c r="BU89" i="5"/>
  <c r="BT89" i="5"/>
  <c r="BS89" i="5"/>
  <c r="BR89" i="5"/>
  <c r="BQ89" i="5"/>
  <c r="BO89" i="5"/>
  <c r="BN89" i="5"/>
  <c r="BM89" i="5"/>
  <c r="BL89" i="5"/>
  <c r="BK89" i="5"/>
  <c r="BJ89" i="5"/>
  <c r="BI89" i="5"/>
  <c r="BH89" i="5"/>
  <c r="BG89" i="5"/>
  <c r="BF89" i="5"/>
  <c r="BD89" i="5"/>
  <c r="BC89" i="5"/>
  <c r="BB89" i="5"/>
  <c r="BA89" i="5"/>
  <c r="AZ89" i="5"/>
  <c r="AY89" i="5"/>
  <c r="AX89" i="5"/>
  <c r="AW89" i="5"/>
  <c r="AV89" i="5"/>
  <c r="AU89" i="5"/>
  <c r="AS89" i="5"/>
  <c r="AR89" i="5"/>
  <c r="AQ89" i="5"/>
  <c r="AP89" i="5"/>
  <c r="AO89" i="5"/>
  <c r="AN89" i="5"/>
  <c r="AM89" i="5"/>
  <c r="AL89" i="5"/>
  <c r="AK89" i="5"/>
  <c r="AJ89" i="5"/>
  <c r="AH89" i="5"/>
  <c r="AG89" i="5"/>
  <c r="AF89" i="5"/>
  <c r="AE89" i="5"/>
  <c r="AD89" i="5"/>
  <c r="AC89" i="5"/>
  <c r="AB89" i="5"/>
  <c r="AA89" i="5"/>
  <c r="Z89" i="5"/>
  <c r="Y89" i="5"/>
  <c r="W89" i="5"/>
  <c r="V89" i="5"/>
  <c r="U89" i="5"/>
  <c r="T89" i="5"/>
  <c r="S89" i="5"/>
  <c r="R89" i="5"/>
  <c r="Q89" i="5"/>
  <c r="P89" i="5"/>
  <c r="O89" i="5"/>
  <c r="N89" i="5"/>
  <c r="L89" i="5"/>
  <c r="K89" i="5"/>
  <c r="J89" i="5"/>
  <c r="I89" i="5"/>
  <c r="H89" i="5"/>
  <c r="G89" i="5"/>
  <c r="F89" i="5"/>
  <c r="E89" i="5"/>
  <c r="D89" i="5"/>
  <c r="C89" i="5"/>
  <c r="B89" i="5"/>
  <c r="A89" i="5"/>
  <c r="BZ88" i="5"/>
  <c r="BY88" i="5"/>
  <c r="BX88" i="5"/>
  <c r="BW88" i="5"/>
  <c r="BV88" i="5"/>
  <c r="BU88" i="5"/>
  <c r="BT88" i="5"/>
  <c r="BS88" i="5"/>
  <c r="BR88" i="5"/>
  <c r="BQ88" i="5"/>
  <c r="BO88" i="5"/>
  <c r="BN88" i="5"/>
  <c r="BM88" i="5"/>
  <c r="BL88" i="5"/>
  <c r="BK88" i="5"/>
  <c r="BJ88" i="5"/>
  <c r="BI88" i="5"/>
  <c r="BH88" i="5"/>
  <c r="BG88" i="5"/>
  <c r="BF88" i="5"/>
  <c r="BD88" i="5"/>
  <c r="BC88" i="5"/>
  <c r="BB88" i="5"/>
  <c r="BA88" i="5"/>
  <c r="AZ88" i="5"/>
  <c r="AY88" i="5"/>
  <c r="AX88" i="5"/>
  <c r="AW88" i="5"/>
  <c r="AV88" i="5"/>
  <c r="AU88" i="5"/>
  <c r="AS88" i="5"/>
  <c r="AR88" i="5"/>
  <c r="AQ88" i="5"/>
  <c r="AP88" i="5"/>
  <c r="AO88" i="5"/>
  <c r="AN88" i="5"/>
  <c r="AM88" i="5"/>
  <c r="AL88" i="5"/>
  <c r="AK88" i="5"/>
  <c r="AJ88" i="5"/>
  <c r="AH88" i="5"/>
  <c r="AG88" i="5"/>
  <c r="AF88" i="5"/>
  <c r="AE88" i="5"/>
  <c r="AD88" i="5"/>
  <c r="AC88" i="5"/>
  <c r="AB88" i="5"/>
  <c r="AA88" i="5"/>
  <c r="Z88" i="5"/>
  <c r="Y88" i="5"/>
  <c r="W88" i="5"/>
  <c r="V88" i="5"/>
  <c r="U88" i="5"/>
  <c r="T88" i="5"/>
  <c r="S88" i="5"/>
  <c r="R88" i="5"/>
  <c r="Q88" i="5"/>
  <c r="P88" i="5"/>
  <c r="O88" i="5"/>
  <c r="N88" i="5"/>
  <c r="L88" i="5"/>
  <c r="K88" i="5"/>
  <c r="J88" i="5"/>
  <c r="I88" i="5"/>
  <c r="H88" i="5"/>
  <c r="G88" i="5"/>
  <c r="F88" i="5"/>
  <c r="E88" i="5"/>
  <c r="D88" i="5"/>
  <c r="C88" i="5"/>
  <c r="B88" i="5"/>
  <c r="A88" i="5"/>
  <c r="BZ87" i="5"/>
  <c r="BY87" i="5"/>
  <c r="BX87" i="5"/>
  <c r="BW87" i="5"/>
  <c r="BV87" i="5"/>
  <c r="BU87" i="5"/>
  <c r="BT87" i="5"/>
  <c r="BS87" i="5"/>
  <c r="BR87" i="5"/>
  <c r="BQ87" i="5"/>
  <c r="BO87" i="5"/>
  <c r="BN87" i="5"/>
  <c r="BM87" i="5"/>
  <c r="BL87" i="5"/>
  <c r="BK87" i="5"/>
  <c r="BJ87" i="5"/>
  <c r="BI87" i="5"/>
  <c r="BH87" i="5"/>
  <c r="BG87" i="5"/>
  <c r="BF87" i="5"/>
  <c r="BD87" i="5"/>
  <c r="BC87" i="5"/>
  <c r="BB87" i="5"/>
  <c r="BA87" i="5"/>
  <c r="AZ87" i="5"/>
  <c r="AY87" i="5"/>
  <c r="AX87" i="5"/>
  <c r="AW87" i="5"/>
  <c r="AV87" i="5"/>
  <c r="AU87" i="5"/>
  <c r="AS87" i="5"/>
  <c r="AR87" i="5"/>
  <c r="AQ87" i="5"/>
  <c r="AP87" i="5"/>
  <c r="AO87" i="5"/>
  <c r="AN87" i="5"/>
  <c r="AM87" i="5"/>
  <c r="AL87" i="5"/>
  <c r="AK87" i="5"/>
  <c r="AJ87" i="5"/>
  <c r="AH87" i="5"/>
  <c r="AG87" i="5"/>
  <c r="AF87" i="5"/>
  <c r="AE87" i="5"/>
  <c r="AD87" i="5"/>
  <c r="AC87" i="5"/>
  <c r="AB87" i="5"/>
  <c r="AA87" i="5"/>
  <c r="Z87" i="5"/>
  <c r="Y87" i="5"/>
  <c r="W87" i="5"/>
  <c r="V87" i="5"/>
  <c r="U87" i="5"/>
  <c r="T87" i="5"/>
  <c r="S87" i="5"/>
  <c r="R87" i="5"/>
  <c r="Q87" i="5"/>
  <c r="P87" i="5"/>
  <c r="O87" i="5"/>
  <c r="N87" i="5"/>
  <c r="L87" i="5"/>
  <c r="K87" i="5"/>
  <c r="J87" i="5"/>
  <c r="I87" i="5"/>
  <c r="H87" i="5"/>
  <c r="G87" i="5"/>
  <c r="F87" i="5"/>
  <c r="E87" i="5"/>
  <c r="D87" i="5"/>
  <c r="C87" i="5"/>
  <c r="B87" i="5"/>
  <c r="A87" i="5"/>
  <c r="BZ86" i="5"/>
  <c r="BY86" i="5"/>
  <c r="BX86" i="5"/>
  <c r="BW86" i="5"/>
  <c r="BV86" i="5"/>
  <c r="BU86" i="5"/>
  <c r="BT86" i="5"/>
  <c r="BS86" i="5"/>
  <c r="BR86" i="5"/>
  <c r="BQ86" i="5"/>
  <c r="BO86" i="5"/>
  <c r="BN86" i="5"/>
  <c r="BM86" i="5"/>
  <c r="BL86" i="5"/>
  <c r="BK86" i="5"/>
  <c r="BJ86" i="5"/>
  <c r="BI86" i="5"/>
  <c r="BH86" i="5"/>
  <c r="BG86" i="5"/>
  <c r="BF86" i="5"/>
  <c r="BD86" i="5"/>
  <c r="BC86" i="5"/>
  <c r="BB86" i="5"/>
  <c r="BA86" i="5"/>
  <c r="AZ86" i="5"/>
  <c r="AY86" i="5"/>
  <c r="AX86" i="5"/>
  <c r="AW86" i="5"/>
  <c r="AV86" i="5"/>
  <c r="AU86" i="5"/>
  <c r="AS86" i="5"/>
  <c r="AR86" i="5"/>
  <c r="AQ86" i="5"/>
  <c r="AP86" i="5"/>
  <c r="AO86" i="5"/>
  <c r="AN86" i="5"/>
  <c r="AM86" i="5"/>
  <c r="AL86" i="5"/>
  <c r="AK86" i="5"/>
  <c r="AJ86" i="5"/>
  <c r="AH86" i="5"/>
  <c r="AG86" i="5"/>
  <c r="AF86" i="5"/>
  <c r="AE86" i="5"/>
  <c r="AD86" i="5"/>
  <c r="AC86" i="5"/>
  <c r="AB86" i="5"/>
  <c r="AA86" i="5"/>
  <c r="Z86" i="5"/>
  <c r="Y86" i="5"/>
  <c r="W86" i="5"/>
  <c r="V86" i="5"/>
  <c r="U86" i="5"/>
  <c r="T86" i="5"/>
  <c r="S86" i="5"/>
  <c r="R86" i="5"/>
  <c r="Q86" i="5"/>
  <c r="P86" i="5"/>
  <c r="O86" i="5"/>
  <c r="N86" i="5"/>
  <c r="L86" i="5"/>
  <c r="K86" i="5"/>
  <c r="J86" i="5"/>
  <c r="I86" i="5"/>
  <c r="H86" i="5"/>
  <c r="G86" i="5"/>
  <c r="F86" i="5"/>
  <c r="E86" i="5"/>
  <c r="D86" i="5"/>
  <c r="C86" i="5"/>
  <c r="B86" i="5"/>
  <c r="A86" i="5"/>
  <c r="BZ85" i="5"/>
  <c r="BY85" i="5"/>
  <c r="BX85" i="5"/>
  <c r="BW85" i="5"/>
  <c r="BV85" i="5"/>
  <c r="BU85" i="5"/>
  <c r="BT85" i="5"/>
  <c r="BS85" i="5"/>
  <c r="BR85" i="5"/>
  <c r="BQ85" i="5"/>
  <c r="BO85" i="5"/>
  <c r="BN85" i="5"/>
  <c r="BM85" i="5"/>
  <c r="BL85" i="5"/>
  <c r="BK85" i="5"/>
  <c r="BJ85" i="5"/>
  <c r="BI85" i="5"/>
  <c r="BH85" i="5"/>
  <c r="BG85" i="5"/>
  <c r="BF85" i="5"/>
  <c r="BD85" i="5"/>
  <c r="BC85" i="5"/>
  <c r="BB85" i="5"/>
  <c r="BA85" i="5"/>
  <c r="AZ85" i="5"/>
  <c r="AY85" i="5"/>
  <c r="AX85" i="5"/>
  <c r="AW85" i="5"/>
  <c r="AV85" i="5"/>
  <c r="AU85" i="5"/>
  <c r="AS85" i="5"/>
  <c r="AR85" i="5"/>
  <c r="AQ85" i="5"/>
  <c r="AP85" i="5"/>
  <c r="AO85" i="5"/>
  <c r="AN85" i="5"/>
  <c r="AM85" i="5"/>
  <c r="AL85" i="5"/>
  <c r="AK85" i="5"/>
  <c r="AJ85" i="5"/>
  <c r="AH85" i="5"/>
  <c r="AG85" i="5"/>
  <c r="AF85" i="5"/>
  <c r="AE85" i="5"/>
  <c r="AD85" i="5"/>
  <c r="AC85" i="5"/>
  <c r="AB85" i="5"/>
  <c r="AA85" i="5"/>
  <c r="Z85" i="5"/>
  <c r="Y85" i="5"/>
  <c r="W85" i="5"/>
  <c r="V85" i="5"/>
  <c r="U85" i="5"/>
  <c r="T85" i="5"/>
  <c r="S85" i="5"/>
  <c r="R85" i="5"/>
  <c r="Q85" i="5"/>
  <c r="P85" i="5"/>
  <c r="O85" i="5"/>
  <c r="N85" i="5"/>
  <c r="L85" i="5"/>
  <c r="K85" i="5"/>
  <c r="J85" i="5"/>
  <c r="I85" i="5"/>
  <c r="H85" i="5"/>
  <c r="G85" i="5"/>
  <c r="F85" i="5"/>
  <c r="E85" i="5"/>
  <c r="D85" i="5"/>
  <c r="C85" i="5"/>
  <c r="B85" i="5"/>
  <c r="A85" i="5"/>
  <c r="BZ84" i="5"/>
  <c r="BY84" i="5"/>
  <c r="BX84" i="5"/>
  <c r="BW84" i="5"/>
  <c r="BV84" i="5"/>
  <c r="BU84" i="5"/>
  <c r="BT84" i="5"/>
  <c r="BS84" i="5"/>
  <c r="BR84" i="5"/>
  <c r="BQ84" i="5"/>
  <c r="BO84" i="5"/>
  <c r="BN84" i="5"/>
  <c r="BM84" i="5"/>
  <c r="BL84" i="5"/>
  <c r="BK84" i="5"/>
  <c r="BJ84" i="5"/>
  <c r="BI84" i="5"/>
  <c r="BH84" i="5"/>
  <c r="BG84" i="5"/>
  <c r="BF84" i="5"/>
  <c r="BD84" i="5"/>
  <c r="BC84" i="5"/>
  <c r="BB84" i="5"/>
  <c r="BA84" i="5"/>
  <c r="AZ84" i="5"/>
  <c r="AY84" i="5"/>
  <c r="AX84" i="5"/>
  <c r="AW84" i="5"/>
  <c r="AV84" i="5"/>
  <c r="AU84" i="5"/>
  <c r="AS84" i="5"/>
  <c r="AR84" i="5"/>
  <c r="AQ84" i="5"/>
  <c r="AP84" i="5"/>
  <c r="AO84" i="5"/>
  <c r="AN84" i="5"/>
  <c r="AM84" i="5"/>
  <c r="AL84" i="5"/>
  <c r="AK84" i="5"/>
  <c r="AJ84" i="5"/>
  <c r="AH84" i="5"/>
  <c r="AG84" i="5"/>
  <c r="AF84" i="5"/>
  <c r="AE84" i="5"/>
  <c r="AD84" i="5"/>
  <c r="AC84" i="5"/>
  <c r="AB84" i="5"/>
  <c r="AA84" i="5"/>
  <c r="Z84" i="5"/>
  <c r="Y84" i="5"/>
  <c r="W84" i="5"/>
  <c r="V84" i="5"/>
  <c r="U84" i="5"/>
  <c r="T84" i="5"/>
  <c r="S84" i="5"/>
  <c r="R84" i="5"/>
  <c r="Q84" i="5"/>
  <c r="P84" i="5"/>
  <c r="O84" i="5"/>
  <c r="N84" i="5"/>
  <c r="L84" i="5"/>
  <c r="K84" i="5"/>
  <c r="J84" i="5"/>
  <c r="I84" i="5"/>
  <c r="H84" i="5"/>
  <c r="G84" i="5"/>
  <c r="F84" i="5"/>
  <c r="E84" i="5"/>
  <c r="D84" i="5"/>
  <c r="C84" i="5"/>
  <c r="B84" i="5"/>
  <c r="A84" i="5"/>
  <c r="BZ83" i="5"/>
  <c r="BY83" i="5"/>
  <c r="BX83" i="5"/>
  <c r="BW83" i="5"/>
  <c r="BV83" i="5"/>
  <c r="BU83" i="5"/>
  <c r="BT83" i="5"/>
  <c r="BS83" i="5"/>
  <c r="BR83" i="5"/>
  <c r="BQ83" i="5"/>
  <c r="BO83" i="5"/>
  <c r="BN83" i="5"/>
  <c r="BM83" i="5"/>
  <c r="BL83" i="5"/>
  <c r="BK83" i="5"/>
  <c r="BJ83" i="5"/>
  <c r="BI83" i="5"/>
  <c r="BH83" i="5"/>
  <c r="BG83" i="5"/>
  <c r="BF83" i="5"/>
  <c r="BD83" i="5"/>
  <c r="BC83" i="5"/>
  <c r="BB83" i="5"/>
  <c r="BA83" i="5"/>
  <c r="AZ83" i="5"/>
  <c r="AY83" i="5"/>
  <c r="AX83" i="5"/>
  <c r="AW83" i="5"/>
  <c r="AV83" i="5"/>
  <c r="AU83" i="5"/>
  <c r="AS83" i="5"/>
  <c r="AR83" i="5"/>
  <c r="AQ83" i="5"/>
  <c r="AP83" i="5"/>
  <c r="AO83" i="5"/>
  <c r="AN83" i="5"/>
  <c r="AM83" i="5"/>
  <c r="AL83" i="5"/>
  <c r="AK83" i="5"/>
  <c r="AJ83" i="5"/>
  <c r="AH83" i="5"/>
  <c r="AG83" i="5"/>
  <c r="AF83" i="5"/>
  <c r="AE83" i="5"/>
  <c r="AD83" i="5"/>
  <c r="AC83" i="5"/>
  <c r="AB83" i="5"/>
  <c r="AA83" i="5"/>
  <c r="Z83" i="5"/>
  <c r="Y83" i="5"/>
  <c r="W83" i="5"/>
  <c r="V83" i="5"/>
  <c r="U83" i="5"/>
  <c r="T83" i="5"/>
  <c r="S83" i="5"/>
  <c r="R83" i="5"/>
  <c r="Q83" i="5"/>
  <c r="P83" i="5"/>
  <c r="O83" i="5"/>
  <c r="N83" i="5"/>
  <c r="L83" i="5"/>
  <c r="K83" i="5"/>
  <c r="J83" i="5"/>
  <c r="I83" i="5"/>
  <c r="H83" i="5"/>
  <c r="G83" i="5"/>
  <c r="F83" i="5"/>
  <c r="E83" i="5"/>
  <c r="D83" i="5"/>
  <c r="C83" i="5"/>
  <c r="B83" i="5"/>
  <c r="A83" i="5"/>
  <c r="BZ82" i="5"/>
  <c r="BY82" i="5"/>
  <c r="BX82" i="5"/>
  <c r="BW82" i="5"/>
  <c r="BV82" i="5"/>
  <c r="BU82" i="5"/>
  <c r="BT82" i="5"/>
  <c r="BS82" i="5"/>
  <c r="BR82" i="5"/>
  <c r="BQ82" i="5"/>
  <c r="BO82" i="5"/>
  <c r="BN82" i="5"/>
  <c r="BM82" i="5"/>
  <c r="BL82" i="5"/>
  <c r="BK82" i="5"/>
  <c r="BJ82" i="5"/>
  <c r="BI82" i="5"/>
  <c r="BH82" i="5"/>
  <c r="BG82" i="5"/>
  <c r="BF82" i="5"/>
  <c r="BD82" i="5"/>
  <c r="BC82" i="5"/>
  <c r="BB82" i="5"/>
  <c r="BA82" i="5"/>
  <c r="AZ82" i="5"/>
  <c r="AY82" i="5"/>
  <c r="AX82" i="5"/>
  <c r="AW82" i="5"/>
  <c r="AV82" i="5"/>
  <c r="AU82" i="5"/>
  <c r="AS82" i="5"/>
  <c r="AR82" i="5"/>
  <c r="AQ82" i="5"/>
  <c r="AP82" i="5"/>
  <c r="AO82" i="5"/>
  <c r="AN82" i="5"/>
  <c r="AM82" i="5"/>
  <c r="AL82" i="5"/>
  <c r="AK82" i="5"/>
  <c r="AJ82" i="5"/>
  <c r="AH82" i="5"/>
  <c r="AG82" i="5"/>
  <c r="AF82" i="5"/>
  <c r="AE82" i="5"/>
  <c r="AD82" i="5"/>
  <c r="AC82" i="5"/>
  <c r="AB82" i="5"/>
  <c r="AA82" i="5"/>
  <c r="Z82" i="5"/>
  <c r="Y82" i="5"/>
  <c r="W82" i="5"/>
  <c r="V82" i="5"/>
  <c r="U82" i="5"/>
  <c r="T82" i="5"/>
  <c r="S82" i="5"/>
  <c r="R82" i="5"/>
  <c r="Q82" i="5"/>
  <c r="P82" i="5"/>
  <c r="O82" i="5"/>
  <c r="N82" i="5"/>
  <c r="L82" i="5"/>
  <c r="K82" i="5"/>
  <c r="J82" i="5"/>
  <c r="I82" i="5"/>
  <c r="H82" i="5"/>
  <c r="G82" i="5"/>
  <c r="F82" i="5"/>
  <c r="E82" i="5"/>
  <c r="D82" i="5"/>
  <c r="C82" i="5"/>
  <c r="B82" i="5"/>
  <c r="A82" i="5"/>
  <c r="BZ81" i="5"/>
  <c r="BY81" i="5"/>
  <c r="BX81" i="5"/>
  <c r="BW81" i="5"/>
  <c r="BV81" i="5"/>
  <c r="BU81" i="5"/>
  <c r="BT81" i="5"/>
  <c r="BS81" i="5"/>
  <c r="BR81" i="5"/>
  <c r="BQ81" i="5"/>
  <c r="BO81" i="5"/>
  <c r="BN81" i="5"/>
  <c r="BM81" i="5"/>
  <c r="BL81" i="5"/>
  <c r="BK81" i="5"/>
  <c r="BJ81" i="5"/>
  <c r="BI81" i="5"/>
  <c r="BH81" i="5"/>
  <c r="BG81" i="5"/>
  <c r="BF81" i="5"/>
  <c r="BD81" i="5"/>
  <c r="BC81" i="5"/>
  <c r="BB81" i="5"/>
  <c r="BA81" i="5"/>
  <c r="AZ81" i="5"/>
  <c r="AY81" i="5"/>
  <c r="AX81" i="5"/>
  <c r="AW81" i="5"/>
  <c r="AV81" i="5"/>
  <c r="AU81" i="5"/>
  <c r="AS81" i="5"/>
  <c r="AR81" i="5"/>
  <c r="AQ81" i="5"/>
  <c r="AP81" i="5"/>
  <c r="AO81" i="5"/>
  <c r="AN81" i="5"/>
  <c r="AM81" i="5"/>
  <c r="AL81" i="5"/>
  <c r="AK81" i="5"/>
  <c r="AJ81" i="5"/>
  <c r="AH81" i="5"/>
  <c r="AG81" i="5"/>
  <c r="AF81" i="5"/>
  <c r="AE81" i="5"/>
  <c r="AD81" i="5"/>
  <c r="AC81" i="5"/>
  <c r="AB81" i="5"/>
  <c r="AA81" i="5"/>
  <c r="Z81" i="5"/>
  <c r="Y81" i="5"/>
  <c r="W81" i="5"/>
  <c r="V81" i="5"/>
  <c r="U81" i="5"/>
  <c r="T81" i="5"/>
  <c r="S81" i="5"/>
  <c r="R81" i="5"/>
  <c r="Q81" i="5"/>
  <c r="P81" i="5"/>
  <c r="O81" i="5"/>
  <c r="N81" i="5"/>
  <c r="L81" i="5"/>
  <c r="K81" i="5"/>
  <c r="J81" i="5"/>
  <c r="I81" i="5"/>
  <c r="H81" i="5"/>
  <c r="G81" i="5"/>
  <c r="F81" i="5"/>
  <c r="E81" i="5"/>
  <c r="D81" i="5"/>
  <c r="C81" i="5"/>
  <c r="B81" i="5"/>
  <c r="A81" i="5"/>
  <c r="BZ80" i="5"/>
  <c r="BY80" i="5"/>
  <c r="BX80" i="5"/>
  <c r="BW80" i="5"/>
  <c r="BV80" i="5"/>
  <c r="BU80" i="5"/>
  <c r="BT80" i="5"/>
  <c r="BS80" i="5"/>
  <c r="BR80" i="5"/>
  <c r="BQ80" i="5"/>
  <c r="BO80" i="5"/>
  <c r="BN80" i="5"/>
  <c r="BM80" i="5"/>
  <c r="BL80" i="5"/>
  <c r="BK80" i="5"/>
  <c r="BJ80" i="5"/>
  <c r="BI80" i="5"/>
  <c r="BH80" i="5"/>
  <c r="BG80" i="5"/>
  <c r="BF80" i="5"/>
  <c r="BD80" i="5"/>
  <c r="BC80" i="5"/>
  <c r="BB80" i="5"/>
  <c r="BA80" i="5"/>
  <c r="AZ80" i="5"/>
  <c r="AY80" i="5"/>
  <c r="AX80" i="5"/>
  <c r="AW80" i="5"/>
  <c r="AV80" i="5"/>
  <c r="AU80" i="5"/>
  <c r="AS80" i="5"/>
  <c r="AR80" i="5"/>
  <c r="AQ80" i="5"/>
  <c r="AP80" i="5"/>
  <c r="AO80" i="5"/>
  <c r="AN80" i="5"/>
  <c r="AM80" i="5"/>
  <c r="AL80" i="5"/>
  <c r="AK80" i="5"/>
  <c r="AJ80" i="5"/>
  <c r="AH80" i="5"/>
  <c r="AG80" i="5"/>
  <c r="AF80" i="5"/>
  <c r="AE80" i="5"/>
  <c r="AD80" i="5"/>
  <c r="AC80" i="5"/>
  <c r="AB80" i="5"/>
  <c r="AA80" i="5"/>
  <c r="Z80" i="5"/>
  <c r="Y80" i="5"/>
  <c r="W80" i="5"/>
  <c r="V80" i="5"/>
  <c r="U80" i="5"/>
  <c r="T80" i="5"/>
  <c r="S80" i="5"/>
  <c r="R80" i="5"/>
  <c r="Q80" i="5"/>
  <c r="P80" i="5"/>
  <c r="O80" i="5"/>
  <c r="N80" i="5"/>
  <c r="L80" i="5"/>
  <c r="K80" i="5"/>
  <c r="J80" i="5"/>
  <c r="I80" i="5"/>
  <c r="H80" i="5"/>
  <c r="G80" i="5"/>
  <c r="F80" i="5"/>
  <c r="E80" i="5"/>
  <c r="D80" i="5"/>
  <c r="C80" i="5"/>
  <c r="B80" i="5"/>
  <c r="A80" i="5"/>
  <c r="BZ79" i="5"/>
  <c r="BY79" i="5"/>
  <c r="BX79" i="5"/>
  <c r="BW79" i="5"/>
  <c r="BV79" i="5"/>
  <c r="BU79" i="5"/>
  <c r="BT79" i="5"/>
  <c r="BS79" i="5"/>
  <c r="BR79" i="5"/>
  <c r="BQ79" i="5"/>
  <c r="BO79" i="5"/>
  <c r="BN79" i="5"/>
  <c r="BM79" i="5"/>
  <c r="BL79" i="5"/>
  <c r="BK79" i="5"/>
  <c r="BJ79" i="5"/>
  <c r="BI79" i="5"/>
  <c r="BH79" i="5"/>
  <c r="BG79" i="5"/>
  <c r="BF79" i="5"/>
  <c r="BD79" i="5"/>
  <c r="BC79" i="5"/>
  <c r="BB79" i="5"/>
  <c r="BA79" i="5"/>
  <c r="AZ79" i="5"/>
  <c r="AY79" i="5"/>
  <c r="AX79" i="5"/>
  <c r="AW79" i="5"/>
  <c r="AV79" i="5"/>
  <c r="AU79" i="5"/>
  <c r="AS79" i="5"/>
  <c r="AR79" i="5"/>
  <c r="AQ79" i="5"/>
  <c r="AP79" i="5"/>
  <c r="AO79" i="5"/>
  <c r="AN79" i="5"/>
  <c r="AM79" i="5"/>
  <c r="AL79" i="5"/>
  <c r="AK79" i="5"/>
  <c r="AJ79" i="5"/>
  <c r="AH79" i="5"/>
  <c r="AG79" i="5"/>
  <c r="AF79" i="5"/>
  <c r="AE79" i="5"/>
  <c r="AD79" i="5"/>
  <c r="AC79" i="5"/>
  <c r="AB79" i="5"/>
  <c r="AA79" i="5"/>
  <c r="Z79" i="5"/>
  <c r="Y79" i="5"/>
  <c r="W79" i="5"/>
  <c r="V79" i="5"/>
  <c r="U79" i="5"/>
  <c r="T79" i="5"/>
  <c r="S79" i="5"/>
  <c r="R79" i="5"/>
  <c r="Q79" i="5"/>
  <c r="P79" i="5"/>
  <c r="O79" i="5"/>
  <c r="N79" i="5"/>
  <c r="L79" i="5"/>
  <c r="K79" i="5"/>
  <c r="J79" i="5"/>
  <c r="I79" i="5"/>
  <c r="H79" i="5"/>
  <c r="G79" i="5"/>
  <c r="F79" i="5"/>
  <c r="E79" i="5"/>
  <c r="D79" i="5"/>
  <c r="C79" i="5"/>
  <c r="B79" i="5"/>
  <c r="A79" i="5"/>
  <c r="BZ78" i="5"/>
  <c r="BY78" i="5"/>
  <c r="BX78" i="5"/>
  <c r="BW78" i="5"/>
  <c r="BV78" i="5"/>
  <c r="BU78" i="5"/>
  <c r="BT78" i="5"/>
  <c r="BS78" i="5"/>
  <c r="BR78" i="5"/>
  <c r="BQ78" i="5"/>
  <c r="BO78" i="5"/>
  <c r="BN78" i="5"/>
  <c r="BM78" i="5"/>
  <c r="BL78" i="5"/>
  <c r="BK78" i="5"/>
  <c r="BJ78" i="5"/>
  <c r="BI78" i="5"/>
  <c r="BH78" i="5"/>
  <c r="BG78" i="5"/>
  <c r="BF78" i="5"/>
  <c r="BD78" i="5"/>
  <c r="BC78" i="5"/>
  <c r="BB78" i="5"/>
  <c r="BA78" i="5"/>
  <c r="AZ78" i="5"/>
  <c r="AY78" i="5"/>
  <c r="AX78" i="5"/>
  <c r="AW78" i="5"/>
  <c r="AV78" i="5"/>
  <c r="AU78" i="5"/>
  <c r="AS78" i="5"/>
  <c r="AR78" i="5"/>
  <c r="AQ78" i="5"/>
  <c r="AP78" i="5"/>
  <c r="AO78" i="5"/>
  <c r="AN78" i="5"/>
  <c r="AM78" i="5"/>
  <c r="AL78" i="5"/>
  <c r="AK78" i="5"/>
  <c r="AJ78" i="5"/>
  <c r="AH78" i="5"/>
  <c r="AG78" i="5"/>
  <c r="AF78" i="5"/>
  <c r="AE78" i="5"/>
  <c r="AD78" i="5"/>
  <c r="AC78" i="5"/>
  <c r="AB78" i="5"/>
  <c r="AA78" i="5"/>
  <c r="Z78" i="5"/>
  <c r="Y78" i="5"/>
  <c r="W78" i="5"/>
  <c r="V78" i="5"/>
  <c r="U78" i="5"/>
  <c r="T78" i="5"/>
  <c r="S78" i="5"/>
  <c r="R78" i="5"/>
  <c r="Q78" i="5"/>
  <c r="P78" i="5"/>
  <c r="O78" i="5"/>
  <c r="N78" i="5"/>
  <c r="L78" i="5"/>
  <c r="K78" i="5"/>
  <c r="J78" i="5"/>
  <c r="I78" i="5"/>
  <c r="H78" i="5"/>
  <c r="G78" i="5"/>
  <c r="F78" i="5"/>
  <c r="E78" i="5"/>
  <c r="D78" i="5"/>
  <c r="C78" i="5"/>
  <c r="B78" i="5"/>
  <c r="A78" i="5"/>
  <c r="BZ77" i="5"/>
  <c r="BY77" i="5"/>
  <c r="BX77" i="5"/>
  <c r="BW77" i="5"/>
  <c r="BV77" i="5"/>
  <c r="BU77" i="5"/>
  <c r="BT77" i="5"/>
  <c r="BS77" i="5"/>
  <c r="BR77" i="5"/>
  <c r="BQ77" i="5"/>
  <c r="BO77" i="5"/>
  <c r="BN77" i="5"/>
  <c r="BM77" i="5"/>
  <c r="BL77" i="5"/>
  <c r="BK77" i="5"/>
  <c r="BJ77" i="5"/>
  <c r="BI77" i="5"/>
  <c r="BH77" i="5"/>
  <c r="BG77" i="5"/>
  <c r="BF77" i="5"/>
  <c r="BD77" i="5"/>
  <c r="BC77" i="5"/>
  <c r="BB77" i="5"/>
  <c r="BA77" i="5"/>
  <c r="AZ77" i="5"/>
  <c r="AY77" i="5"/>
  <c r="AX77" i="5"/>
  <c r="AW77" i="5"/>
  <c r="AV77" i="5"/>
  <c r="AU77" i="5"/>
  <c r="AS77" i="5"/>
  <c r="AR77" i="5"/>
  <c r="AQ77" i="5"/>
  <c r="AP77" i="5"/>
  <c r="AO77" i="5"/>
  <c r="AN77" i="5"/>
  <c r="AM77" i="5"/>
  <c r="AL77" i="5"/>
  <c r="AK77" i="5"/>
  <c r="AJ77" i="5"/>
  <c r="AH77" i="5"/>
  <c r="AG77" i="5"/>
  <c r="AF77" i="5"/>
  <c r="AE77" i="5"/>
  <c r="AD77" i="5"/>
  <c r="AC77" i="5"/>
  <c r="AB77" i="5"/>
  <c r="AA77" i="5"/>
  <c r="Z77" i="5"/>
  <c r="Y77" i="5"/>
  <c r="W77" i="5"/>
  <c r="V77" i="5"/>
  <c r="U77" i="5"/>
  <c r="T77" i="5"/>
  <c r="S77" i="5"/>
  <c r="R77" i="5"/>
  <c r="Q77" i="5"/>
  <c r="P77" i="5"/>
  <c r="O77" i="5"/>
  <c r="N77" i="5"/>
  <c r="L77" i="5"/>
  <c r="K77" i="5"/>
  <c r="J77" i="5"/>
  <c r="I77" i="5"/>
  <c r="H77" i="5"/>
  <c r="G77" i="5"/>
  <c r="F77" i="5"/>
  <c r="E77" i="5"/>
  <c r="D77" i="5"/>
  <c r="C77" i="5"/>
  <c r="B77" i="5"/>
  <c r="A77" i="5"/>
  <c r="BZ76" i="5"/>
  <c r="BY76" i="5"/>
  <c r="BX76" i="5"/>
  <c r="BW76" i="5"/>
  <c r="BV76" i="5"/>
  <c r="BU76" i="5"/>
  <c r="BT76" i="5"/>
  <c r="BS76" i="5"/>
  <c r="BR76" i="5"/>
  <c r="BQ76" i="5"/>
  <c r="BO76" i="5"/>
  <c r="BN76" i="5"/>
  <c r="BM76" i="5"/>
  <c r="BL76" i="5"/>
  <c r="BK76" i="5"/>
  <c r="BJ76" i="5"/>
  <c r="BI76" i="5"/>
  <c r="BH76" i="5"/>
  <c r="BG76" i="5"/>
  <c r="BF76" i="5"/>
  <c r="BD76" i="5"/>
  <c r="BC76" i="5"/>
  <c r="BB76" i="5"/>
  <c r="BA76" i="5"/>
  <c r="AZ76" i="5"/>
  <c r="AY76" i="5"/>
  <c r="AX76" i="5"/>
  <c r="AW76" i="5"/>
  <c r="AV76" i="5"/>
  <c r="AU76" i="5"/>
  <c r="AS76" i="5"/>
  <c r="AR76" i="5"/>
  <c r="AQ76" i="5"/>
  <c r="AP76" i="5"/>
  <c r="AO76" i="5"/>
  <c r="AN76" i="5"/>
  <c r="AM76" i="5"/>
  <c r="AL76" i="5"/>
  <c r="AK76" i="5"/>
  <c r="AJ76" i="5"/>
  <c r="AH76" i="5"/>
  <c r="AG76" i="5"/>
  <c r="AF76" i="5"/>
  <c r="AE76" i="5"/>
  <c r="AD76" i="5"/>
  <c r="AC76" i="5"/>
  <c r="AB76" i="5"/>
  <c r="AA76" i="5"/>
  <c r="Z76" i="5"/>
  <c r="Y76" i="5"/>
  <c r="W76" i="5"/>
  <c r="V76" i="5"/>
  <c r="U76" i="5"/>
  <c r="T76" i="5"/>
  <c r="S76" i="5"/>
  <c r="R76" i="5"/>
  <c r="Q76" i="5"/>
  <c r="P76" i="5"/>
  <c r="O76" i="5"/>
  <c r="N76" i="5"/>
  <c r="L76" i="5"/>
  <c r="K76" i="5"/>
  <c r="J76" i="5"/>
  <c r="I76" i="5"/>
  <c r="H76" i="5"/>
  <c r="G76" i="5"/>
  <c r="F76" i="5"/>
  <c r="E76" i="5"/>
  <c r="D76" i="5"/>
  <c r="C76" i="5"/>
  <c r="B76" i="5"/>
  <c r="A76" i="5"/>
  <c r="BZ75" i="5"/>
  <c r="BY75" i="5"/>
  <c r="BX75" i="5"/>
  <c r="BW75" i="5"/>
  <c r="BV75" i="5"/>
  <c r="BU75" i="5"/>
  <c r="BT75" i="5"/>
  <c r="BS75" i="5"/>
  <c r="BR75" i="5"/>
  <c r="BQ75" i="5"/>
  <c r="BO75" i="5"/>
  <c r="BN75" i="5"/>
  <c r="BM75" i="5"/>
  <c r="BL75" i="5"/>
  <c r="BK75" i="5"/>
  <c r="BJ75" i="5"/>
  <c r="BI75" i="5"/>
  <c r="BH75" i="5"/>
  <c r="BG75" i="5"/>
  <c r="BF75" i="5"/>
  <c r="BD75" i="5"/>
  <c r="BC75" i="5"/>
  <c r="BB75" i="5"/>
  <c r="BA75" i="5"/>
  <c r="AZ75" i="5"/>
  <c r="AY75" i="5"/>
  <c r="AX75" i="5"/>
  <c r="AW75" i="5"/>
  <c r="AV75" i="5"/>
  <c r="AU75" i="5"/>
  <c r="AS75" i="5"/>
  <c r="AR75" i="5"/>
  <c r="AQ75" i="5"/>
  <c r="AP75" i="5"/>
  <c r="AO75" i="5"/>
  <c r="AN75" i="5"/>
  <c r="AM75" i="5"/>
  <c r="AL75" i="5"/>
  <c r="AK75" i="5"/>
  <c r="AJ75" i="5"/>
  <c r="AH75" i="5"/>
  <c r="AG75" i="5"/>
  <c r="AF75" i="5"/>
  <c r="AE75" i="5"/>
  <c r="AD75" i="5"/>
  <c r="AC75" i="5"/>
  <c r="AB75" i="5"/>
  <c r="AA75" i="5"/>
  <c r="Z75" i="5"/>
  <c r="Y75" i="5"/>
  <c r="W75" i="5"/>
  <c r="V75" i="5"/>
  <c r="U75" i="5"/>
  <c r="T75" i="5"/>
  <c r="S75" i="5"/>
  <c r="R75" i="5"/>
  <c r="Q75" i="5"/>
  <c r="P75" i="5"/>
  <c r="O75" i="5"/>
  <c r="N75" i="5"/>
  <c r="L75" i="5"/>
  <c r="K75" i="5"/>
  <c r="J75" i="5"/>
  <c r="I75" i="5"/>
  <c r="H75" i="5"/>
  <c r="G75" i="5"/>
  <c r="F75" i="5"/>
  <c r="E75" i="5"/>
  <c r="D75" i="5"/>
  <c r="C75" i="5"/>
  <c r="B75" i="5"/>
  <c r="A75" i="5"/>
  <c r="BZ74" i="5"/>
  <c r="BY74" i="5"/>
  <c r="BX74" i="5"/>
  <c r="BW74" i="5"/>
  <c r="BV74" i="5"/>
  <c r="BU74" i="5"/>
  <c r="BT74" i="5"/>
  <c r="BS74" i="5"/>
  <c r="BR74" i="5"/>
  <c r="BQ74" i="5"/>
  <c r="BO74" i="5"/>
  <c r="BN74" i="5"/>
  <c r="BM74" i="5"/>
  <c r="BL74" i="5"/>
  <c r="BK74" i="5"/>
  <c r="BJ74" i="5"/>
  <c r="BI74" i="5"/>
  <c r="BH74" i="5"/>
  <c r="BG74" i="5"/>
  <c r="BF74" i="5"/>
  <c r="BD74" i="5"/>
  <c r="BC74" i="5"/>
  <c r="BB74" i="5"/>
  <c r="BA74" i="5"/>
  <c r="AZ74" i="5"/>
  <c r="AY74" i="5"/>
  <c r="AX74" i="5"/>
  <c r="AW74" i="5"/>
  <c r="AV74" i="5"/>
  <c r="AU74" i="5"/>
  <c r="AS74" i="5"/>
  <c r="AR74" i="5"/>
  <c r="AQ74" i="5"/>
  <c r="AP74" i="5"/>
  <c r="AO74" i="5"/>
  <c r="AN74" i="5"/>
  <c r="AM74" i="5"/>
  <c r="AL74" i="5"/>
  <c r="AK74" i="5"/>
  <c r="AJ74" i="5"/>
  <c r="AH74" i="5"/>
  <c r="AG74" i="5"/>
  <c r="AF74" i="5"/>
  <c r="AE74" i="5"/>
  <c r="AD74" i="5"/>
  <c r="AC74" i="5"/>
  <c r="AB74" i="5"/>
  <c r="AA74" i="5"/>
  <c r="Z74" i="5"/>
  <c r="Y74" i="5"/>
  <c r="W74" i="5"/>
  <c r="V74" i="5"/>
  <c r="U74" i="5"/>
  <c r="T74" i="5"/>
  <c r="S74" i="5"/>
  <c r="R74" i="5"/>
  <c r="Q74" i="5"/>
  <c r="P74" i="5"/>
  <c r="O74" i="5"/>
  <c r="N74" i="5"/>
  <c r="L74" i="5"/>
  <c r="K74" i="5"/>
  <c r="J74" i="5"/>
  <c r="I74" i="5"/>
  <c r="H74" i="5"/>
  <c r="G74" i="5"/>
  <c r="F74" i="5"/>
  <c r="E74" i="5"/>
  <c r="D74" i="5"/>
  <c r="C74" i="5"/>
  <c r="B74" i="5"/>
  <c r="A74" i="5"/>
  <c r="BZ73" i="5"/>
  <c r="BY73" i="5"/>
  <c r="BX73" i="5"/>
  <c r="BW73" i="5"/>
  <c r="BV73" i="5"/>
  <c r="BU73" i="5"/>
  <c r="BT73" i="5"/>
  <c r="BS73" i="5"/>
  <c r="BR73" i="5"/>
  <c r="BQ73" i="5"/>
  <c r="BO73" i="5"/>
  <c r="BN73" i="5"/>
  <c r="BM73" i="5"/>
  <c r="BL73" i="5"/>
  <c r="BK73" i="5"/>
  <c r="BJ73" i="5"/>
  <c r="BI73" i="5"/>
  <c r="BH73" i="5"/>
  <c r="BG73" i="5"/>
  <c r="BF73" i="5"/>
  <c r="BD73" i="5"/>
  <c r="BC73" i="5"/>
  <c r="BB73" i="5"/>
  <c r="BA73" i="5"/>
  <c r="AZ73" i="5"/>
  <c r="AY73" i="5"/>
  <c r="AX73" i="5"/>
  <c r="AW73" i="5"/>
  <c r="AV73" i="5"/>
  <c r="AU73" i="5"/>
  <c r="AS73" i="5"/>
  <c r="AR73" i="5"/>
  <c r="AQ73" i="5"/>
  <c r="AP73" i="5"/>
  <c r="AO73" i="5"/>
  <c r="AN73" i="5"/>
  <c r="AM73" i="5"/>
  <c r="AL73" i="5"/>
  <c r="AK73" i="5"/>
  <c r="AJ73" i="5"/>
  <c r="AH73" i="5"/>
  <c r="AG73" i="5"/>
  <c r="AF73" i="5"/>
  <c r="AE73" i="5"/>
  <c r="AD73" i="5"/>
  <c r="AC73" i="5"/>
  <c r="AB73" i="5"/>
  <c r="AA73" i="5"/>
  <c r="Z73" i="5"/>
  <c r="Y73" i="5"/>
  <c r="W73" i="5"/>
  <c r="V73" i="5"/>
  <c r="U73" i="5"/>
  <c r="T73" i="5"/>
  <c r="S73" i="5"/>
  <c r="R73" i="5"/>
  <c r="Q73" i="5"/>
  <c r="P73" i="5"/>
  <c r="O73" i="5"/>
  <c r="N73" i="5"/>
  <c r="L73" i="5"/>
  <c r="K73" i="5"/>
  <c r="J73" i="5"/>
  <c r="I73" i="5"/>
  <c r="H73" i="5"/>
  <c r="G73" i="5"/>
  <c r="F73" i="5"/>
  <c r="E73" i="5"/>
  <c r="D73" i="5"/>
  <c r="C73" i="5"/>
  <c r="B73" i="5"/>
  <c r="A73" i="5"/>
  <c r="BZ72" i="5"/>
  <c r="BY72" i="5"/>
  <c r="BX72" i="5"/>
  <c r="BW72" i="5"/>
  <c r="BV72" i="5"/>
  <c r="BU72" i="5"/>
  <c r="BT72" i="5"/>
  <c r="BS72" i="5"/>
  <c r="BR72" i="5"/>
  <c r="BQ72" i="5"/>
  <c r="BO72" i="5"/>
  <c r="BN72" i="5"/>
  <c r="BM72" i="5"/>
  <c r="BL72" i="5"/>
  <c r="BK72" i="5"/>
  <c r="BJ72" i="5"/>
  <c r="BI72" i="5"/>
  <c r="BH72" i="5"/>
  <c r="BG72" i="5"/>
  <c r="BF72" i="5"/>
  <c r="BD72" i="5"/>
  <c r="BC72" i="5"/>
  <c r="BB72" i="5"/>
  <c r="BA72" i="5"/>
  <c r="AZ72" i="5"/>
  <c r="AY72" i="5"/>
  <c r="AX72" i="5"/>
  <c r="AW72" i="5"/>
  <c r="AV72" i="5"/>
  <c r="AU72" i="5"/>
  <c r="AS72" i="5"/>
  <c r="AR72" i="5"/>
  <c r="AQ72" i="5"/>
  <c r="AP72" i="5"/>
  <c r="AO72" i="5"/>
  <c r="AN72" i="5"/>
  <c r="AM72" i="5"/>
  <c r="AL72" i="5"/>
  <c r="AK72" i="5"/>
  <c r="AJ72" i="5"/>
  <c r="AH72" i="5"/>
  <c r="AG72" i="5"/>
  <c r="AF72" i="5"/>
  <c r="AE72" i="5"/>
  <c r="AD72" i="5"/>
  <c r="AC72" i="5"/>
  <c r="AB72" i="5"/>
  <c r="AA72" i="5"/>
  <c r="Z72" i="5"/>
  <c r="Y72" i="5"/>
  <c r="W72" i="5"/>
  <c r="V72" i="5"/>
  <c r="U72" i="5"/>
  <c r="T72" i="5"/>
  <c r="S72" i="5"/>
  <c r="R72" i="5"/>
  <c r="Q72" i="5"/>
  <c r="P72" i="5"/>
  <c r="O72" i="5"/>
  <c r="N72" i="5"/>
  <c r="L72" i="5"/>
  <c r="K72" i="5"/>
  <c r="J72" i="5"/>
  <c r="I72" i="5"/>
  <c r="H72" i="5"/>
  <c r="G72" i="5"/>
  <c r="F72" i="5"/>
  <c r="E72" i="5"/>
  <c r="D72" i="5"/>
  <c r="C72" i="5"/>
  <c r="B72" i="5"/>
  <c r="A72" i="5"/>
  <c r="BZ71" i="5"/>
  <c r="BY71" i="5"/>
  <c r="BX71" i="5"/>
  <c r="BW71" i="5"/>
  <c r="BV71" i="5"/>
  <c r="BU71" i="5"/>
  <c r="BT71" i="5"/>
  <c r="BS71" i="5"/>
  <c r="BR71" i="5"/>
  <c r="BQ71" i="5"/>
  <c r="BO71" i="5"/>
  <c r="BN71" i="5"/>
  <c r="BM71" i="5"/>
  <c r="BL71" i="5"/>
  <c r="BK71" i="5"/>
  <c r="BJ71" i="5"/>
  <c r="BI71" i="5"/>
  <c r="BH71" i="5"/>
  <c r="BG71" i="5"/>
  <c r="BF71" i="5"/>
  <c r="BD71" i="5"/>
  <c r="BC71" i="5"/>
  <c r="BB71" i="5"/>
  <c r="BA71" i="5"/>
  <c r="AZ71" i="5"/>
  <c r="AY71" i="5"/>
  <c r="AX71" i="5"/>
  <c r="AW71" i="5"/>
  <c r="AV71" i="5"/>
  <c r="AU71" i="5"/>
  <c r="AS71" i="5"/>
  <c r="AR71" i="5"/>
  <c r="AQ71" i="5"/>
  <c r="AP71" i="5"/>
  <c r="AO71" i="5"/>
  <c r="AN71" i="5"/>
  <c r="AM71" i="5"/>
  <c r="AL71" i="5"/>
  <c r="AK71" i="5"/>
  <c r="AJ71" i="5"/>
  <c r="AH71" i="5"/>
  <c r="AG71" i="5"/>
  <c r="AF71" i="5"/>
  <c r="AE71" i="5"/>
  <c r="AD71" i="5"/>
  <c r="AC71" i="5"/>
  <c r="AB71" i="5"/>
  <c r="AA71" i="5"/>
  <c r="Z71" i="5"/>
  <c r="Y71" i="5"/>
  <c r="W71" i="5"/>
  <c r="V71" i="5"/>
  <c r="U71" i="5"/>
  <c r="T71" i="5"/>
  <c r="S71" i="5"/>
  <c r="R71" i="5"/>
  <c r="Q71" i="5"/>
  <c r="P71" i="5"/>
  <c r="O71" i="5"/>
  <c r="N71" i="5"/>
  <c r="L71" i="5"/>
  <c r="K71" i="5"/>
  <c r="J71" i="5"/>
  <c r="I71" i="5"/>
  <c r="H71" i="5"/>
  <c r="G71" i="5"/>
  <c r="F71" i="5"/>
  <c r="E71" i="5"/>
  <c r="D71" i="5"/>
  <c r="C71" i="5"/>
  <c r="B71" i="5"/>
  <c r="A71" i="5"/>
  <c r="BZ70" i="5"/>
  <c r="BY70" i="5"/>
  <c r="BX70" i="5"/>
  <c r="BW70" i="5"/>
  <c r="BV70" i="5"/>
  <c r="BU70" i="5"/>
  <c r="BT70" i="5"/>
  <c r="BS70" i="5"/>
  <c r="BR70" i="5"/>
  <c r="BQ70" i="5"/>
  <c r="BO70" i="5"/>
  <c r="BN70" i="5"/>
  <c r="BM70" i="5"/>
  <c r="BL70" i="5"/>
  <c r="BK70" i="5"/>
  <c r="BJ70" i="5"/>
  <c r="BI70" i="5"/>
  <c r="BH70" i="5"/>
  <c r="BG70" i="5"/>
  <c r="BF70" i="5"/>
  <c r="BD70" i="5"/>
  <c r="BC70" i="5"/>
  <c r="BB70" i="5"/>
  <c r="BA70" i="5"/>
  <c r="AZ70" i="5"/>
  <c r="AY70" i="5"/>
  <c r="AX70" i="5"/>
  <c r="AW70" i="5"/>
  <c r="AV70" i="5"/>
  <c r="AU70" i="5"/>
  <c r="AS70" i="5"/>
  <c r="AR70" i="5"/>
  <c r="AQ70" i="5"/>
  <c r="AP70" i="5"/>
  <c r="AO70" i="5"/>
  <c r="AN70" i="5"/>
  <c r="AM70" i="5"/>
  <c r="AL70" i="5"/>
  <c r="AK70" i="5"/>
  <c r="AJ70" i="5"/>
  <c r="AH70" i="5"/>
  <c r="AG70" i="5"/>
  <c r="AF70" i="5"/>
  <c r="AE70" i="5"/>
  <c r="AD70" i="5"/>
  <c r="AC70" i="5"/>
  <c r="AB70" i="5"/>
  <c r="AA70" i="5"/>
  <c r="Z70" i="5"/>
  <c r="Y70" i="5"/>
  <c r="W70" i="5"/>
  <c r="V70" i="5"/>
  <c r="U70" i="5"/>
  <c r="T70" i="5"/>
  <c r="S70" i="5"/>
  <c r="R70" i="5"/>
  <c r="Q70" i="5"/>
  <c r="P70" i="5"/>
  <c r="O70" i="5"/>
  <c r="N70" i="5"/>
  <c r="L70" i="5"/>
  <c r="K70" i="5"/>
  <c r="J70" i="5"/>
  <c r="I70" i="5"/>
  <c r="H70" i="5"/>
  <c r="G70" i="5"/>
  <c r="F70" i="5"/>
  <c r="E70" i="5"/>
  <c r="D70" i="5"/>
  <c r="C70" i="5"/>
  <c r="B70" i="5"/>
  <c r="A70" i="5"/>
  <c r="BZ69" i="5"/>
  <c r="BY69" i="5"/>
  <c r="BX69" i="5"/>
  <c r="BW69" i="5"/>
  <c r="BV69" i="5"/>
  <c r="BU69" i="5"/>
  <c r="BT69" i="5"/>
  <c r="BS69" i="5"/>
  <c r="BR69" i="5"/>
  <c r="BQ69" i="5"/>
  <c r="BO69" i="5"/>
  <c r="BN69" i="5"/>
  <c r="BM69" i="5"/>
  <c r="BL69" i="5"/>
  <c r="BK69" i="5"/>
  <c r="BJ69" i="5"/>
  <c r="BI69" i="5"/>
  <c r="BH69" i="5"/>
  <c r="BG69" i="5"/>
  <c r="BF69" i="5"/>
  <c r="BD69" i="5"/>
  <c r="BC69" i="5"/>
  <c r="BB69" i="5"/>
  <c r="BA69" i="5"/>
  <c r="AZ69" i="5"/>
  <c r="AY69" i="5"/>
  <c r="AX69" i="5"/>
  <c r="AW69" i="5"/>
  <c r="AV69" i="5"/>
  <c r="AU69" i="5"/>
  <c r="AS69" i="5"/>
  <c r="AR69" i="5"/>
  <c r="AQ69" i="5"/>
  <c r="AP69" i="5"/>
  <c r="AO69" i="5"/>
  <c r="AN69" i="5"/>
  <c r="AM69" i="5"/>
  <c r="AL69" i="5"/>
  <c r="AK69" i="5"/>
  <c r="AJ69" i="5"/>
  <c r="AH69" i="5"/>
  <c r="AG69" i="5"/>
  <c r="AF69" i="5"/>
  <c r="AE69" i="5"/>
  <c r="AD69" i="5"/>
  <c r="AC69" i="5"/>
  <c r="AB69" i="5"/>
  <c r="AA69" i="5"/>
  <c r="Z69" i="5"/>
  <c r="Y69" i="5"/>
  <c r="W69" i="5"/>
  <c r="V69" i="5"/>
  <c r="U69" i="5"/>
  <c r="T69" i="5"/>
  <c r="S69" i="5"/>
  <c r="R69" i="5"/>
  <c r="Q69" i="5"/>
  <c r="P69" i="5"/>
  <c r="O69" i="5"/>
  <c r="N69" i="5"/>
  <c r="L69" i="5"/>
  <c r="K69" i="5"/>
  <c r="J69" i="5"/>
  <c r="I69" i="5"/>
  <c r="H69" i="5"/>
  <c r="G69" i="5"/>
  <c r="F69" i="5"/>
  <c r="E69" i="5"/>
  <c r="D69" i="5"/>
  <c r="C69" i="5"/>
  <c r="B69" i="5"/>
  <c r="A69" i="5"/>
  <c r="BZ68" i="5"/>
  <c r="BY68" i="5"/>
  <c r="BX68" i="5"/>
  <c r="BW68" i="5"/>
  <c r="BV68" i="5"/>
  <c r="BU68" i="5"/>
  <c r="BT68" i="5"/>
  <c r="BS68" i="5"/>
  <c r="BR68" i="5"/>
  <c r="BQ68" i="5"/>
  <c r="BO68" i="5"/>
  <c r="BN68" i="5"/>
  <c r="BM68" i="5"/>
  <c r="BL68" i="5"/>
  <c r="BK68" i="5"/>
  <c r="BJ68" i="5"/>
  <c r="BI68" i="5"/>
  <c r="BH68" i="5"/>
  <c r="BG68" i="5"/>
  <c r="BF68" i="5"/>
  <c r="BD68" i="5"/>
  <c r="BC68" i="5"/>
  <c r="BB68" i="5"/>
  <c r="BA68" i="5"/>
  <c r="AZ68" i="5"/>
  <c r="AY68" i="5"/>
  <c r="AX68" i="5"/>
  <c r="AW68" i="5"/>
  <c r="AV68" i="5"/>
  <c r="AU68" i="5"/>
  <c r="AS68" i="5"/>
  <c r="AR68" i="5"/>
  <c r="AQ68" i="5"/>
  <c r="AP68" i="5"/>
  <c r="AO68" i="5"/>
  <c r="AN68" i="5"/>
  <c r="AM68" i="5"/>
  <c r="AL68" i="5"/>
  <c r="AK68" i="5"/>
  <c r="AJ68" i="5"/>
  <c r="AH68" i="5"/>
  <c r="AG68" i="5"/>
  <c r="AF68" i="5"/>
  <c r="AE68" i="5"/>
  <c r="AD68" i="5"/>
  <c r="AC68" i="5"/>
  <c r="AB68" i="5"/>
  <c r="AA68" i="5"/>
  <c r="Z68" i="5"/>
  <c r="Y68" i="5"/>
  <c r="W68" i="5"/>
  <c r="V68" i="5"/>
  <c r="U68" i="5"/>
  <c r="T68" i="5"/>
  <c r="S68" i="5"/>
  <c r="R68" i="5"/>
  <c r="Q68" i="5"/>
  <c r="P68" i="5"/>
  <c r="O68" i="5"/>
  <c r="N68" i="5"/>
  <c r="L68" i="5"/>
  <c r="K68" i="5"/>
  <c r="J68" i="5"/>
  <c r="I68" i="5"/>
  <c r="H68" i="5"/>
  <c r="G68" i="5"/>
  <c r="F68" i="5"/>
  <c r="E68" i="5"/>
  <c r="D68" i="5"/>
  <c r="C68" i="5"/>
  <c r="B68" i="5"/>
  <c r="A68" i="5"/>
  <c r="BZ67" i="5"/>
  <c r="BY67" i="5"/>
  <c r="BX67" i="5"/>
  <c r="BW67" i="5"/>
  <c r="BV67" i="5"/>
  <c r="BU67" i="5"/>
  <c r="BT67" i="5"/>
  <c r="BS67" i="5"/>
  <c r="BR67" i="5"/>
  <c r="BQ67" i="5"/>
  <c r="BO67" i="5"/>
  <c r="BN67" i="5"/>
  <c r="BM67" i="5"/>
  <c r="BL67" i="5"/>
  <c r="BK67" i="5"/>
  <c r="BJ67" i="5"/>
  <c r="BI67" i="5"/>
  <c r="BH67" i="5"/>
  <c r="BG67" i="5"/>
  <c r="BF67" i="5"/>
  <c r="BD67" i="5"/>
  <c r="BC67" i="5"/>
  <c r="BB67" i="5"/>
  <c r="BA67" i="5"/>
  <c r="AZ67" i="5"/>
  <c r="AY67" i="5"/>
  <c r="AX67" i="5"/>
  <c r="AW67" i="5"/>
  <c r="AV67" i="5"/>
  <c r="AU67" i="5"/>
  <c r="AS67" i="5"/>
  <c r="AR67" i="5"/>
  <c r="AQ67" i="5"/>
  <c r="AP67" i="5"/>
  <c r="AO67" i="5"/>
  <c r="AN67" i="5"/>
  <c r="AM67" i="5"/>
  <c r="AL67" i="5"/>
  <c r="AK67" i="5"/>
  <c r="AJ67" i="5"/>
  <c r="AH67" i="5"/>
  <c r="AG67" i="5"/>
  <c r="AF67" i="5"/>
  <c r="AE67" i="5"/>
  <c r="AD67" i="5"/>
  <c r="AC67" i="5"/>
  <c r="AB67" i="5"/>
  <c r="AA67" i="5"/>
  <c r="Z67" i="5"/>
  <c r="Y67" i="5"/>
  <c r="W67" i="5"/>
  <c r="V67" i="5"/>
  <c r="U67" i="5"/>
  <c r="T67" i="5"/>
  <c r="S67" i="5"/>
  <c r="R67" i="5"/>
  <c r="Q67" i="5"/>
  <c r="P67" i="5"/>
  <c r="O67" i="5"/>
  <c r="N67" i="5"/>
  <c r="L67" i="5"/>
  <c r="K67" i="5"/>
  <c r="J67" i="5"/>
  <c r="I67" i="5"/>
  <c r="H67" i="5"/>
  <c r="G67" i="5"/>
  <c r="F67" i="5"/>
  <c r="E67" i="5"/>
  <c r="D67" i="5"/>
  <c r="C67" i="5"/>
  <c r="B67" i="5"/>
  <c r="A67" i="5"/>
  <c r="BZ66" i="5"/>
  <c r="BY66" i="5"/>
  <c r="BX66" i="5"/>
  <c r="BW66" i="5"/>
  <c r="BV66" i="5"/>
  <c r="BU66" i="5"/>
  <c r="BT66" i="5"/>
  <c r="BS66" i="5"/>
  <c r="BR66" i="5"/>
  <c r="BQ66" i="5"/>
  <c r="BO66" i="5"/>
  <c r="BN66" i="5"/>
  <c r="BM66" i="5"/>
  <c r="BL66" i="5"/>
  <c r="BK66" i="5"/>
  <c r="BJ66" i="5"/>
  <c r="BI66" i="5"/>
  <c r="BH66" i="5"/>
  <c r="BG66" i="5"/>
  <c r="BF66" i="5"/>
  <c r="BD66" i="5"/>
  <c r="BC66" i="5"/>
  <c r="BB66" i="5"/>
  <c r="BA66" i="5"/>
  <c r="AZ66" i="5"/>
  <c r="AY66" i="5"/>
  <c r="AX66" i="5"/>
  <c r="AW66" i="5"/>
  <c r="AV66" i="5"/>
  <c r="AU66" i="5"/>
  <c r="AS66" i="5"/>
  <c r="AR66" i="5"/>
  <c r="AQ66" i="5"/>
  <c r="AP66" i="5"/>
  <c r="AO66" i="5"/>
  <c r="AN66" i="5"/>
  <c r="AM66" i="5"/>
  <c r="AL66" i="5"/>
  <c r="AK66" i="5"/>
  <c r="AJ66" i="5"/>
  <c r="AH66" i="5"/>
  <c r="AG66" i="5"/>
  <c r="AF66" i="5"/>
  <c r="AE66" i="5"/>
  <c r="AD66" i="5"/>
  <c r="AC66" i="5"/>
  <c r="AB66" i="5"/>
  <c r="AA66" i="5"/>
  <c r="Z66" i="5"/>
  <c r="Y66" i="5"/>
  <c r="W66" i="5"/>
  <c r="V66" i="5"/>
  <c r="U66" i="5"/>
  <c r="T66" i="5"/>
  <c r="S66" i="5"/>
  <c r="R66" i="5"/>
  <c r="Q66" i="5"/>
  <c r="P66" i="5"/>
  <c r="O66" i="5"/>
  <c r="N66" i="5"/>
  <c r="L66" i="5"/>
  <c r="K66" i="5"/>
  <c r="J66" i="5"/>
  <c r="I66" i="5"/>
  <c r="H66" i="5"/>
  <c r="G66" i="5"/>
  <c r="F66" i="5"/>
  <c r="E66" i="5"/>
  <c r="D66" i="5"/>
  <c r="C66" i="5"/>
  <c r="B66" i="5"/>
  <c r="A66" i="5"/>
  <c r="BZ65" i="5"/>
  <c r="BY65" i="5"/>
  <c r="BX65" i="5"/>
  <c r="BW65" i="5"/>
  <c r="BV65" i="5"/>
  <c r="BU65" i="5"/>
  <c r="BT65" i="5"/>
  <c r="BS65" i="5"/>
  <c r="BR65" i="5"/>
  <c r="BQ65" i="5"/>
  <c r="BO65" i="5"/>
  <c r="BN65" i="5"/>
  <c r="BM65" i="5"/>
  <c r="BL65" i="5"/>
  <c r="BK65" i="5"/>
  <c r="BJ65" i="5"/>
  <c r="BI65" i="5"/>
  <c r="BH65" i="5"/>
  <c r="BG65" i="5"/>
  <c r="BF65" i="5"/>
  <c r="BD65" i="5"/>
  <c r="BC65" i="5"/>
  <c r="BB65" i="5"/>
  <c r="BA65" i="5"/>
  <c r="AZ65" i="5"/>
  <c r="AY65" i="5"/>
  <c r="AX65" i="5"/>
  <c r="AW65" i="5"/>
  <c r="AV65" i="5"/>
  <c r="AU65" i="5"/>
  <c r="AS65" i="5"/>
  <c r="AR65" i="5"/>
  <c r="AQ65" i="5"/>
  <c r="AP65" i="5"/>
  <c r="AO65" i="5"/>
  <c r="AN65" i="5"/>
  <c r="AM65" i="5"/>
  <c r="AL65" i="5"/>
  <c r="AK65" i="5"/>
  <c r="AJ65" i="5"/>
  <c r="AH65" i="5"/>
  <c r="AG65" i="5"/>
  <c r="AF65" i="5"/>
  <c r="AE65" i="5"/>
  <c r="AD65" i="5"/>
  <c r="AC65" i="5"/>
  <c r="AB65" i="5"/>
  <c r="AA65" i="5"/>
  <c r="Z65" i="5"/>
  <c r="Y65" i="5"/>
  <c r="W65" i="5"/>
  <c r="V65" i="5"/>
  <c r="U65" i="5"/>
  <c r="T65" i="5"/>
  <c r="S65" i="5"/>
  <c r="R65" i="5"/>
  <c r="Q65" i="5"/>
  <c r="P65" i="5"/>
  <c r="O65" i="5"/>
  <c r="N65" i="5"/>
  <c r="L65" i="5"/>
  <c r="K65" i="5"/>
  <c r="J65" i="5"/>
  <c r="I65" i="5"/>
  <c r="H65" i="5"/>
  <c r="G65" i="5"/>
  <c r="F65" i="5"/>
  <c r="E65" i="5"/>
  <c r="D65" i="5"/>
  <c r="C65" i="5"/>
  <c r="B65" i="5"/>
  <c r="A65" i="5"/>
  <c r="BZ64" i="5"/>
  <c r="BY64" i="5"/>
  <c r="BX64" i="5"/>
  <c r="BW64" i="5"/>
  <c r="BV64" i="5"/>
  <c r="BU64" i="5"/>
  <c r="BT64" i="5"/>
  <c r="BS64" i="5"/>
  <c r="BR64" i="5"/>
  <c r="BQ64" i="5"/>
  <c r="BO64" i="5"/>
  <c r="BN64" i="5"/>
  <c r="BM64" i="5"/>
  <c r="BL64" i="5"/>
  <c r="BK64" i="5"/>
  <c r="BJ64" i="5"/>
  <c r="BI64" i="5"/>
  <c r="BH64" i="5"/>
  <c r="BG64" i="5"/>
  <c r="BF64" i="5"/>
  <c r="BD64" i="5"/>
  <c r="BC64" i="5"/>
  <c r="BB64" i="5"/>
  <c r="BA64" i="5"/>
  <c r="AZ64" i="5"/>
  <c r="AY64" i="5"/>
  <c r="AX64" i="5"/>
  <c r="AW64" i="5"/>
  <c r="AV64" i="5"/>
  <c r="AU64" i="5"/>
  <c r="AS64" i="5"/>
  <c r="AR64" i="5"/>
  <c r="AQ64" i="5"/>
  <c r="AP64" i="5"/>
  <c r="AO64" i="5"/>
  <c r="AN64" i="5"/>
  <c r="AM64" i="5"/>
  <c r="AL64" i="5"/>
  <c r="AK64" i="5"/>
  <c r="AJ64" i="5"/>
  <c r="AH64" i="5"/>
  <c r="AG64" i="5"/>
  <c r="AF64" i="5"/>
  <c r="AE64" i="5"/>
  <c r="AD64" i="5"/>
  <c r="AC64" i="5"/>
  <c r="AB64" i="5"/>
  <c r="AA64" i="5"/>
  <c r="Z64" i="5"/>
  <c r="Y64" i="5"/>
  <c r="W64" i="5"/>
  <c r="V64" i="5"/>
  <c r="U64" i="5"/>
  <c r="T64" i="5"/>
  <c r="S64" i="5"/>
  <c r="R64" i="5"/>
  <c r="Q64" i="5"/>
  <c r="P64" i="5"/>
  <c r="O64" i="5"/>
  <c r="N64" i="5"/>
  <c r="L64" i="5"/>
  <c r="K64" i="5"/>
  <c r="J64" i="5"/>
  <c r="I64" i="5"/>
  <c r="H64" i="5"/>
  <c r="G64" i="5"/>
  <c r="F64" i="5"/>
  <c r="E64" i="5"/>
  <c r="D64" i="5"/>
  <c r="C64" i="5"/>
  <c r="B64" i="5"/>
  <c r="A64" i="5"/>
  <c r="BZ63" i="5"/>
  <c r="BY63" i="5"/>
  <c r="BX63" i="5"/>
  <c r="BW63" i="5"/>
  <c r="BV63" i="5"/>
  <c r="BU63" i="5"/>
  <c r="BT63" i="5"/>
  <c r="BS63" i="5"/>
  <c r="BR63" i="5"/>
  <c r="BQ63" i="5"/>
  <c r="BO63" i="5"/>
  <c r="BN63" i="5"/>
  <c r="BM63" i="5"/>
  <c r="BL63" i="5"/>
  <c r="BK63" i="5"/>
  <c r="BJ63" i="5"/>
  <c r="BI63" i="5"/>
  <c r="BH63" i="5"/>
  <c r="BG63" i="5"/>
  <c r="BF63" i="5"/>
  <c r="BD63" i="5"/>
  <c r="BC63" i="5"/>
  <c r="BB63" i="5"/>
  <c r="BA63" i="5"/>
  <c r="AZ63" i="5"/>
  <c r="AY63" i="5"/>
  <c r="AX63" i="5"/>
  <c r="AW63" i="5"/>
  <c r="AV63" i="5"/>
  <c r="AU63" i="5"/>
  <c r="AS63" i="5"/>
  <c r="AR63" i="5"/>
  <c r="AQ63" i="5"/>
  <c r="AP63" i="5"/>
  <c r="AO63" i="5"/>
  <c r="AN63" i="5"/>
  <c r="AM63" i="5"/>
  <c r="AL63" i="5"/>
  <c r="AK63" i="5"/>
  <c r="AJ63" i="5"/>
  <c r="AH63" i="5"/>
  <c r="AG63" i="5"/>
  <c r="AF63" i="5"/>
  <c r="AE63" i="5"/>
  <c r="AD63" i="5"/>
  <c r="AC63" i="5"/>
  <c r="AB63" i="5"/>
  <c r="AA63" i="5"/>
  <c r="Z63" i="5"/>
  <c r="Y63" i="5"/>
  <c r="W63" i="5"/>
  <c r="V63" i="5"/>
  <c r="U63" i="5"/>
  <c r="T63" i="5"/>
  <c r="S63" i="5"/>
  <c r="R63" i="5"/>
  <c r="Q63" i="5"/>
  <c r="P63" i="5"/>
  <c r="O63" i="5"/>
  <c r="N63" i="5"/>
  <c r="L63" i="5"/>
  <c r="K63" i="5"/>
  <c r="J63" i="5"/>
  <c r="I63" i="5"/>
  <c r="H63" i="5"/>
  <c r="G63" i="5"/>
  <c r="F63" i="5"/>
  <c r="E63" i="5"/>
  <c r="D63" i="5"/>
  <c r="C63" i="5"/>
  <c r="B63" i="5"/>
  <c r="A63" i="5"/>
  <c r="BZ62" i="5"/>
  <c r="BY62" i="5"/>
  <c r="BX62" i="5"/>
  <c r="BW62" i="5"/>
  <c r="BV62" i="5"/>
  <c r="BU62" i="5"/>
  <c r="BT62" i="5"/>
  <c r="BS62" i="5"/>
  <c r="BR62" i="5"/>
  <c r="BQ62" i="5"/>
  <c r="BO62" i="5"/>
  <c r="BN62" i="5"/>
  <c r="BM62" i="5"/>
  <c r="BL62" i="5"/>
  <c r="BK62" i="5"/>
  <c r="BJ62" i="5"/>
  <c r="BI62" i="5"/>
  <c r="BH62" i="5"/>
  <c r="BG62" i="5"/>
  <c r="BF62" i="5"/>
  <c r="BD62" i="5"/>
  <c r="BC62" i="5"/>
  <c r="BB62" i="5"/>
  <c r="BA62" i="5"/>
  <c r="AZ62" i="5"/>
  <c r="AY62" i="5"/>
  <c r="AX62" i="5"/>
  <c r="AW62" i="5"/>
  <c r="AV62" i="5"/>
  <c r="AU62" i="5"/>
  <c r="AS62" i="5"/>
  <c r="AR62" i="5"/>
  <c r="AQ62" i="5"/>
  <c r="AP62" i="5"/>
  <c r="AO62" i="5"/>
  <c r="AN62" i="5"/>
  <c r="AM62" i="5"/>
  <c r="AL62" i="5"/>
  <c r="AK62" i="5"/>
  <c r="AJ62" i="5"/>
  <c r="AH62" i="5"/>
  <c r="AG62" i="5"/>
  <c r="AF62" i="5"/>
  <c r="AE62" i="5"/>
  <c r="AD62" i="5"/>
  <c r="AC62" i="5"/>
  <c r="AB62" i="5"/>
  <c r="AA62" i="5"/>
  <c r="Z62" i="5"/>
  <c r="Y62" i="5"/>
  <c r="W62" i="5"/>
  <c r="V62" i="5"/>
  <c r="U62" i="5"/>
  <c r="T62" i="5"/>
  <c r="S62" i="5"/>
  <c r="R62" i="5"/>
  <c r="Q62" i="5"/>
  <c r="P62" i="5"/>
  <c r="O62" i="5"/>
  <c r="N62" i="5"/>
  <c r="L62" i="5"/>
  <c r="K62" i="5"/>
  <c r="J62" i="5"/>
  <c r="I62" i="5"/>
  <c r="H62" i="5"/>
  <c r="G62" i="5"/>
  <c r="F62" i="5"/>
  <c r="E62" i="5"/>
  <c r="D62" i="5"/>
  <c r="C62" i="5"/>
  <c r="B62" i="5"/>
  <c r="A62" i="5"/>
  <c r="BZ61" i="5"/>
  <c r="BY61" i="5"/>
  <c r="BX61" i="5"/>
  <c r="BW61" i="5"/>
  <c r="BV61" i="5"/>
  <c r="BU61" i="5"/>
  <c r="BT61" i="5"/>
  <c r="BS61" i="5"/>
  <c r="BR61" i="5"/>
  <c r="BQ61" i="5"/>
  <c r="BO61" i="5"/>
  <c r="BN61" i="5"/>
  <c r="BM61" i="5"/>
  <c r="BL61" i="5"/>
  <c r="BK61" i="5"/>
  <c r="BJ61" i="5"/>
  <c r="BI61" i="5"/>
  <c r="BH61" i="5"/>
  <c r="BG61" i="5"/>
  <c r="BF61" i="5"/>
  <c r="BD61" i="5"/>
  <c r="BC61" i="5"/>
  <c r="BB61" i="5"/>
  <c r="BA61" i="5"/>
  <c r="AZ61" i="5"/>
  <c r="AY61" i="5"/>
  <c r="AX61" i="5"/>
  <c r="AW61" i="5"/>
  <c r="AV61" i="5"/>
  <c r="AU61" i="5"/>
  <c r="AS61" i="5"/>
  <c r="AR61" i="5"/>
  <c r="AQ61" i="5"/>
  <c r="AP61" i="5"/>
  <c r="AO61" i="5"/>
  <c r="AN61" i="5"/>
  <c r="AM61" i="5"/>
  <c r="AL61" i="5"/>
  <c r="AK61" i="5"/>
  <c r="AJ61" i="5"/>
  <c r="AH61" i="5"/>
  <c r="AG61" i="5"/>
  <c r="AF61" i="5"/>
  <c r="AE61" i="5"/>
  <c r="AD61" i="5"/>
  <c r="AC61" i="5"/>
  <c r="AB61" i="5"/>
  <c r="AA61" i="5"/>
  <c r="Z61" i="5"/>
  <c r="Y61" i="5"/>
  <c r="W61" i="5"/>
  <c r="V61" i="5"/>
  <c r="U61" i="5"/>
  <c r="T61" i="5"/>
  <c r="S61" i="5"/>
  <c r="R61" i="5"/>
  <c r="Q61" i="5"/>
  <c r="P61" i="5"/>
  <c r="O61" i="5"/>
  <c r="N61" i="5"/>
  <c r="L61" i="5"/>
  <c r="K61" i="5"/>
  <c r="J61" i="5"/>
  <c r="I61" i="5"/>
  <c r="H61" i="5"/>
  <c r="G61" i="5"/>
  <c r="F61" i="5"/>
  <c r="E61" i="5"/>
  <c r="D61" i="5"/>
  <c r="C61" i="5"/>
  <c r="B61" i="5"/>
  <c r="A61" i="5"/>
  <c r="BZ60" i="5"/>
  <c r="BY60" i="5"/>
  <c r="BX60" i="5"/>
  <c r="BW60" i="5"/>
  <c r="BV60" i="5"/>
  <c r="BU60" i="5"/>
  <c r="BT60" i="5"/>
  <c r="BS60" i="5"/>
  <c r="BR60" i="5"/>
  <c r="BQ60" i="5"/>
  <c r="BO60" i="5"/>
  <c r="BN60" i="5"/>
  <c r="BM60" i="5"/>
  <c r="BL60" i="5"/>
  <c r="BK60" i="5"/>
  <c r="BJ60" i="5"/>
  <c r="BI60" i="5"/>
  <c r="BH60" i="5"/>
  <c r="BG60" i="5"/>
  <c r="BF60" i="5"/>
  <c r="BD60" i="5"/>
  <c r="BC60" i="5"/>
  <c r="BB60" i="5"/>
  <c r="BA60" i="5"/>
  <c r="AZ60" i="5"/>
  <c r="AY60" i="5"/>
  <c r="AX60" i="5"/>
  <c r="AW60" i="5"/>
  <c r="AV60" i="5"/>
  <c r="AU60" i="5"/>
  <c r="AS60" i="5"/>
  <c r="AR60" i="5"/>
  <c r="AQ60" i="5"/>
  <c r="AP60" i="5"/>
  <c r="AO60" i="5"/>
  <c r="AN60" i="5"/>
  <c r="AM60" i="5"/>
  <c r="AL60" i="5"/>
  <c r="AK60" i="5"/>
  <c r="AJ60" i="5"/>
  <c r="AH60" i="5"/>
  <c r="AG60" i="5"/>
  <c r="AF60" i="5"/>
  <c r="AE60" i="5"/>
  <c r="AD60" i="5"/>
  <c r="AC60" i="5"/>
  <c r="AB60" i="5"/>
  <c r="AA60" i="5"/>
  <c r="Z60" i="5"/>
  <c r="Y60" i="5"/>
  <c r="W60" i="5"/>
  <c r="V60" i="5"/>
  <c r="U60" i="5"/>
  <c r="T60" i="5"/>
  <c r="S60" i="5"/>
  <c r="R60" i="5"/>
  <c r="Q60" i="5"/>
  <c r="P60" i="5"/>
  <c r="O60" i="5"/>
  <c r="N60" i="5"/>
  <c r="L60" i="5"/>
  <c r="K60" i="5"/>
  <c r="J60" i="5"/>
  <c r="I60" i="5"/>
  <c r="H60" i="5"/>
  <c r="G60" i="5"/>
  <c r="F60" i="5"/>
  <c r="E60" i="5"/>
  <c r="D60" i="5"/>
  <c r="C60" i="5"/>
  <c r="B60" i="5"/>
  <c r="A60" i="5"/>
  <c r="BZ59" i="5"/>
  <c r="BY59" i="5"/>
  <c r="BX59" i="5"/>
  <c r="BW59" i="5"/>
  <c r="BV59" i="5"/>
  <c r="BU59" i="5"/>
  <c r="BT59" i="5"/>
  <c r="BS59" i="5"/>
  <c r="BR59" i="5"/>
  <c r="BQ59" i="5"/>
  <c r="BO59" i="5"/>
  <c r="BN59" i="5"/>
  <c r="BM59" i="5"/>
  <c r="BL59" i="5"/>
  <c r="BK59" i="5"/>
  <c r="BJ59" i="5"/>
  <c r="BI59" i="5"/>
  <c r="BH59" i="5"/>
  <c r="BG59" i="5"/>
  <c r="BF59" i="5"/>
  <c r="BD59" i="5"/>
  <c r="BC59" i="5"/>
  <c r="BB59" i="5"/>
  <c r="BA59" i="5"/>
  <c r="AZ59" i="5"/>
  <c r="AY59" i="5"/>
  <c r="AX59" i="5"/>
  <c r="AW59" i="5"/>
  <c r="AV59" i="5"/>
  <c r="AU59" i="5"/>
  <c r="AS59" i="5"/>
  <c r="AR59" i="5"/>
  <c r="AQ59" i="5"/>
  <c r="AP59" i="5"/>
  <c r="AO59" i="5"/>
  <c r="AN59" i="5"/>
  <c r="AM59" i="5"/>
  <c r="AL59" i="5"/>
  <c r="AK59" i="5"/>
  <c r="AJ59" i="5"/>
  <c r="AH59" i="5"/>
  <c r="AG59" i="5"/>
  <c r="AF59" i="5"/>
  <c r="AE59" i="5"/>
  <c r="AD59" i="5"/>
  <c r="AC59" i="5"/>
  <c r="AB59" i="5"/>
  <c r="AA59" i="5"/>
  <c r="Z59" i="5"/>
  <c r="Y59" i="5"/>
  <c r="W59" i="5"/>
  <c r="V59" i="5"/>
  <c r="U59" i="5"/>
  <c r="T59" i="5"/>
  <c r="S59" i="5"/>
  <c r="R59" i="5"/>
  <c r="Q59" i="5"/>
  <c r="P59" i="5"/>
  <c r="O59" i="5"/>
  <c r="N59" i="5"/>
  <c r="L59" i="5"/>
  <c r="K59" i="5"/>
  <c r="J59" i="5"/>
  <c r="I59" i="5"/>
  <c r="H59" i="5"/>
  <c r="G59" i="5"/>
  <c r="F59" i="5"/>
  <c r="E59" i="5"/>
  <c r="D59" i="5"/>
  <c r="C59" i="5"/>
  <c r="B59" i="5"/>
  <c r="A59" i="5"/>
  <c r="BZ58" i="5"/>
  <c r="BY58" i="5"/>
  <c r="BX58" i="5"/>
  <c r="BW58" i="5"/>
  <c r="BV58" i="5"/>
  <c r="BU58" i="5"/>
  <c r="BT58" i="5"/>
  <c r="BS58" i="5"/>
  <c r="BR58" i="5"/>
  <c r="BQ58" i="5"/>
  <c r="BO58" i="5"/>
  <c r="BN58" i="5"/>
  <c r="BM58" i="5"/>
  <c r="BL58" i="5"/>
  <c r="BK58" i="5"/>
  <c r="BJ58" i="5"/>
  <c r="BI58" i="5"/>
  <c r="BH58" i="5"/>
  <c r="BG58" i="5"/>
  <c r="BF58" i="5"/>
  <c r="BD58" i="5"/>
  <c r="BC58" i="5"/>
  <c r="BB58" i="5"/>
  <c r="BA58" i="5"/>
  <c r="AZ58" i="5"/>
  <c r="AY58" i="5"/>
  <c r="AX58" i="5"/>
  <c r="AW58" i="5"/>
  <c r="AV58" i="5"/>
  <c r="AU58" i="5"/>
  <c r="AS58" i="5"/>
  <c r="AR58" i="5"/>
  <c r="AQ58" i="5"/>
  <c r="AP58" i="5"/>
  <c r="AO58" i="5"/>
  <c r="AN58" i="5"/>
  <c r="AM58" i="5"/>
  <c r="AL58" i="5"/>
  <c r="AK58" i="5"/>
  <c r="AJ58" i="5"/>
  <c r="AH58" i="5"/>
  <c r="AG58" i="5"/>
  <c r="AF58" i="5"/>
  <c r="AE58" i="5"/>
  <c r="AD58" i="5"/>
  <c r="AC58" i="5"/>
  <c r="AB58" i="5"/>
  <c r="AA58" i="5"/>
  <c r="Z58" i="5"/>
  <c r="Y58" i="5"/>
  <c r="W58" i="5"/>
  <c r="V58" i="5"/>
  <c r="U58" i="5"/>
  <c r="T58" i="5"/>
  <c r="S58" i="5"/>
  <c r="R58" i="5"/>
  <c r="Q58" i="5"/>
  <c r="P58" i="5"/>
  <c r="O58" i="5"/>
  <c r="N58" i="5"/>
  <c r="L58" i="5"/>
  <c r="K58" i="5"/>
  <c r="J58" i="5"/>
  <c r="I58" i="5"/>
  <c r="H58" i="5"/>
  <c r="G58" i="5"/>
  <c r="F58" i="5"/>
  <c r="E58" i="5"/>
  <c r="D58" i="5"/>
  <c r="C58" i="5"/>
  <c r="B58" i="5"/>
  <c r="A58" i="5"/>
  <c r="BZ57" i="5"/>
  <c r="BY57" i="5"/>
  <c r="BX57" i="5"/>
  <c r="BW57" i="5"/>
  <c r="BV57" i="5"/>
  <c r="BU57" i="5"/>
  <c r="BT57" i="5"/>
  <c r="BS57" i="5"/>
  <c r="BR57" i="5"/>
  <c r="BQ57" i="5"/>
  <c r="BO57" i="5"/>
  <c r="BN57" i="5"/>
  <c r="BM57" i="5"/>
  <c r="BL57" i="5"/>
  <c r="BK57" i="5"/>
  <c r="BJ57" i="5"/>
  <c r="BI57" i="5"/>
  <c r="BH57" i="5"/>
  <c r="BG57" i="5"/>
  <c r="BF57" i="5"/>
  <c r="BD57" i="5"/>
  <c r="BC57" i="5"/>
  <c r="BB57" i="5"/>
  <c r="BA57" i="5"/>
  <c r="AZ57" i="5"/>
  <c r="AY57" i="5"/>
  <c r="AX57" i="5"/>
  <c r="AW57" i="5"/>
  <c r="AV57" i="5"/>
  <c r="AU57" i="5"/>
  <c r="AS57" i="5"/>
  <c r="AR57" i="5"/>
  <c r="AQ57" i="5"/>
  <c r="AP57" i="5"/>
  <c r="AO57" i="5"/>
  <c r="AN57" i="5"/>
  <c r="AM57" i="5"/>
  <c r="AL57" i="5"/>
  <c r="AK57" i="5"/>
  <c r="AJ57" i="5"/>
  <c r="AH57" i="5"/>
  <c r="AG57" i="5"/>
  <c r="AF57" i="5"/>
  <c r="AE57" i="5"/>
  <c r="AD57" i="5"/>
  <c r="AC57" i="5"/>
  <c r="AB57" i="5"/>
  <c r="AA57" i="5"/>
  <c r="Z57" i="5"/>
  <c r="Y57" i="5"/>
  <c r="W57" i="5"/>
  <c r="V57" i="5"/>
  <c r="U57" i="5"/>
  <c r="T57" i="5"/>
  <c r="S57" i="5"/>
  <c r="R57" i="5"/>
  <c r="Q57" i="5"/>
  <c r="P57" i="5"/>
  <c r="O57" i="5"/>
  <c r="N57" i="5"/>
  <c r="L57" i="5"/>
  <c r="K57" i="5"/>
  <c r="J57" i="5"/>
  <c r="I57" i="5"/>
  <c r="H57" i="5"/>
  <c r="G57" i="5"/>
  <c r="F57" i="5"/>
  <c r="E57" i="5"/>
  <c r="D57" i="5"/>
  <c r="C57" i="5"/>
  <c r="B57" i="5"/>
  <c r="A57" i="5"/>
  <c r="BZ56" i="5"/>
  <c r="BY56" i="5"/>
  <c r="BX56" i="5"/>
  <c r="BW56" i="5"/>
  <c r="BV56" i="5"/>
  <c r="BU56" i="5"/>
  <c r="BT56" i="5"/>
  <c r="BS56" i="5"/>
  <c r="BR56" i="5"/>
  <c r="BQ56" i="5"/>
  <c r="BO56" i="5"/>
  <c r="BN56" i="5"/>
  <c r="BM56" i="5"/>
  <c r="BL56" i="5"/>
  <c r="BK56" i="5"/>
  <c r="BJ56" i="5"/>
  <c r="BI56" i="5"/>
  <c r="BH56" i="5"/>
  <c r="BG56" i="5"/>
  <c r="BF56" i="5"/>
  <c r="BD56" i="5"/>
  <c r="BC56" i="5"/>
  <c r="BB56" i="5"/>
  <c r="BA56" i="5"/>
  <c r="AZ56" i="5"/>
  <c r="AY56" i="5"/>
  <c r="AX56" i="5"/>
  <c r="AW56" i="5"/>
  <c r="AV56" i="5"/>
  <c r="AU56" i="5"/>
  <c r="AS56" i="5"/>
  <c r="AR56" i="5"/>
  <c r="AQ56" i="5"/>
  <c r="AP56" i="5"/>
  <c r="AO56" i="5"/>
  <c r="AN56" i="5"/>
  <c r="AM56" i="5"/>
  <c r="AL56" i="5"/>
  <c r="AK56" i="5"/>
  <c r="AJ56" i="5"/>
  <c r="AH56" i="5"/>
  <c r="AG56" i="5"/>
  <c r="AF56" i="5"/>
  <c r="AE56" i="5"/>
  <c r="AD56" i="5"/>
  <c r="AC56" i="5"/>
  <c r="AB56" i="5"/>
  <c r="AA56" i="5"/>
  <c r="Z56" i="5"/>
  <c r="Y56" i="5"/>
  <c r="W56" i="5"/>
  <c r="V56" i="5"/>
  <c r="U56" i="5"/>
  <c r="T56" i="5"/>
  <c r="S56" i="5"/>
  <c r="R56" i="5"/>
  <c r="Q56" i="5"/>
  <c r="P56" i="5"/>
  <c r="O56" i="5"/>
  <c r="N56" i="5"/>
  <c r="L56" i="5"/>
  <c r="K56" i="5"/>
  <c r="J56" i="5"/>
  <c r="I56" i="5"/>
  <c r="H56" i="5"/>
  <c r="G56" i="5"/>
  <c r="F56" i="5"/>
  <c r="E56" i="5"/>
  <c r="D56" i="5"/>
  <c r="C56" i="5"/>
  <c r="B56" i="5"/>
  <c r="A56" i="5"/>
  <c r="BZ55" i="5"/>
  <c r="BY55" i="5"/>
  <c r="BX55" i="5"/>
  <c r="BW55" i="5"/>
  <c r="BV55" i="5"/>
  <c r="BU55" i="5"/>
  <c r="BT55" i="5"/>
  <c r="BS55" i="5"/>
  <c r="BR55" i="5"/>
  <c r="BQ55" i="5"/>
  <c r="BO55" i="5"/>
  <c r="BN55" i="5"/>
  <c r="BM55" i="5"/>
  <c r="BL55" i="5"/>
  <c r="BK55" i="5"/>
  <c r="BJ55" i="5"/>
  <c r="BI55" i="5"/>
  <c r="BH55" i="5"/>
  <c r="BG55" i="5"/>
  <c r="BF55" i="5"/>
  <c r="BD55" i="5"/>
  <c r="BC55" i="5"/>
  <c r="BB55" i="5"/>
  <c r="BA55" i="5"/>
  <c r="AZ55" i="5"/>
  <c r="AY55" i="5"/>
  <c r="AX55" i="5"/>
  <c r="AW55" i="5"/>
  <c r="AV55" i="5"/>
  <c r="AU55" i="5"/>
  <c r="AS55" i="5"/>
  <c r="AR55" i="5"/>
  <c r="AQ55" i="5"/>
  <c r="AP55" i="5"/>
  <c r="AO55" i="5"/>
  <c r="AN55" i="5"/>
  <c r="AM55" i="5"/>
  <c r="AL55" i="5"/>
  <c r="AK55" i="5"/>
  <c r="AJ55" i="5"/>
  <c r="AH55" i="5"/>
  <c r="AG55" i="5"/>
  <c r="AF55" i="5"/>
  <c r="AE55" i="5"/>
  <c r="AD55" i="5"/>
  <c r="AC55" i="5"/>
  <c r="AB55" i="5"/>
  <c r="AA55" i="5"/>
  <c r="Z55" i="5"/>
  <c r="Y55" i="5"/>
  <c r="W55" i="5"/>
  <c r="V55" i="5"/>
  <c r="U55" i="5"/>
  <c r="T55" i="5"/>
  <c r="S55" i="5"/>
  <c r="R55" i="5"/>
  <c r="Q55" i="5"/>
  <c r="P55" i="5"/>
  <c r="O55" i="5"/>
  <c r="N55" i="5"/>
  <c r="L55" i="5"/>
  <c r="K55" i="5"/>
  <c r="J55" i="5"/>
  <c r="I55" i="5"/>
  <c r="H55" i="5"/>
  <c r="G55" i="5"/>
  <c r="F55" i="5"/>
  <c r="E55" i="5"/>
  <c r="D55" i="5"/>
  <c r="C55" i="5"/>
  <c r="B55" i="5"/>
  <c r="A55" i="5"/>
  <c r="BZ54" i="5"/>
  <c r="BY54" i="5"/>
  <c r="BX54" i="5"/>
  <c r="BW54" i="5"/>
  <c r="BV54" i="5"/>
  <c r="BU54" i="5"/>
  <c r="BT54" i="5"/>
  <c r="BS54" i="5"/>
  <c r="BR54" i="5"/>
  <c r="BQ54" i="5"/>
  <c r="BO54" i="5"/>
  <c r="BN54" i="5"/>
  <c r="BM54" i="5"/>
  <c r="BL54" i="5"/>
  <c r="BK54" i="5"/>
  <c r="BJ54" i="5"/>
  <c r="BI54" i="5"/>
  <c r="BH54" i="5"/>
  <c r="BG54" i="5"/>
  <c r="BF54" i="5"/>
  <c r="BD54" i="5"/>
  <c r="BC54" i="5"/>
  <c r="BB54" i="5"/>
  <c r="BA54" i="5"/>
  <c r="AZ54" i="5"/>
  <c r="AY54" i="5"/>
  <c r="AX54" i="5"/>
  <c r="AW54" i="5"/>
  <c r="AV54" i="5"/>
  <c r="AU54" i="5"/>
  <c r="AS54" i="5"/>
  <c r="AR54" i="5"/>
  <c r="AQ54" i="5"/>
  <c r="AP54" i="5"/>
  <c r="AO54" i="5"/>
  <c r="AN54" i="5"/>
  <c r="AM54" i="5"/>
  <c r="AL54" i="5"/>
  <c r="AK54" i="5"/>
  <c r="AJ54" i="5"/>
  <c r="AH54" i="5"/>
  <c r="AG54" i="5"/>
  <c r="AF54" i="5"/>
  <c r="AE54" i="5"/>
  <c r="AD54" i="5"/>
  <c r="AC54" i="5"/>
  <c r="AB54" i="5"/>
  <c r="AA54" i="5"/>
  <c r="Z54" i="5"/>
  <c r="Y54" i="5"/>
  <c r="W54" i="5"/>
  <c r="V54" i="5"/>
  <c r="U54" i="5"/>
  <c r="T54" i="5"/>
  <c r="S54" i="5"/>
  <c r="R54" i="5"/>
  <c r="Q54" i="5"/>
  <c r="P54" i="5"/>
  <c r="O54" i="5"/>
  <c r="N54" i="5"/>
  <c r="L54" i="5"/>
  <c r="K54" i="5"/>
  <c r="J54" i="5"/>
  <c r="I54" i="5"/>
  <c r="H54" i="5"/>
  <c r="G54" i="5"/>
  <c r="F54" i="5"/>
  <c r="E54" i="5"/>
  <c r="D54" i="5"/>
  <c r="C54" i="5"/>
  <c r="B54" i="5"/>
  <c r="A54" i="5"/>
  <c r="BZ53" i="5"/>
  <c r="BY53" i="5"/>
  <c r="BX53" i="5"/>
  <c r="BW53" i="5"/>
  <c r="BV53" i="5"/>
  <c r="BU53" i="5"/>
  <c r="BT53" i="5"/>
  <c r="BS53" i="5"/>
  <c r="BR53" i="5"/>
  <c r="BQ53" i="5"/>
  <c r="BO53" i="5"/>
  <c r="BN53" i="5"/>
  <c r="BM53" i="5"/>
  <c r="BL53" i="5"/>
  <c r="BK53" i="5"/>
  <c r="BJ53" i="5"/>
  <c r="BI53" i="5"/>
  <c r="BH53" i="5"/>
  <c r="BG53" i="5"/>
  <c r="BF53" i="5"/>
  <c r="BD53" i="5"/>
  <c r="BC53" i="5"/>
  <c r="BB53" i="5"/>
  <c r="BA53" i="5"/>
  <c r="AZ53" i="5"/>
  <c r="AY53" i="5"/>
  <c r="AX53" i="5"/>
  <c r="AW53" i="5"/>
  <c r="AV53" i="5"/>
  <c r="AU53" i="5"/>
  <c r="AS53" i="5"/>
  <c r="AR53" i="5"/>
  <c r="AQ53" i="5"/>
  <c r="AP53" i="5"/>
  <c r="AO53" i="5"/>
  <c r="AN53" i="5"/>
  <c r="AM53" i="5"/>
  <c r="AL53" i="5"/>
  <c r="AK53" i="5"/>
  <c r="AJ53" i="5"/>
  <c r="AH53" i="5"/>
  <c r="AG53" i="5"/>
  <c r="AF53" i="5"/>
  <c r="AE53" i="5"/>
  <c r="AD53" i="5"/>
  <c r="AC53" i="5"/>
  <c r="AB53" i="5"/>
  <c r="AA53" i="5"/>
  <c r="Z53" i="5"/>
  <c r="Y53" i="5"/>
  <c r="W53" i="5"/>
  <c r="V53" i="5"/>
  <c r="U53" i="5"/>
  <c r="T53" i="5"/>
  <c r="S53" i="5"/>
  <c r="R53" i="5"/>
  <c r="Q53" i="5"/>
  <c r="P53" i="5"/>
  <c r="O53" i="5"/>
  <c r="N53" i="5"/>
  <c r="L53" i="5"/>
  <c r="K53" i="5"/>
  <c r="J53" i="5"/>
  <c r="I53" i="5"/>
  <c r="H53" i="5"/>
  <c r="G53" i="5"/>
  <c r="F53" i="5"/>
  <c r="E53" i="5"/>
  <c r="D53" i="5"/>
  <c r="C53" i="5"/>
  <c r="B53" i="5"/>
  <c r="A53" i="5"/>
  <c r="BZ52" i="5"/>
  <c r="BY52" i="5"/>
  <c r="BX52" i="5"/>
  <c r="BW52" i="5"/>
  <c r="BV52" i="5"/>
  <c r="BU52" i="5"/>
  <c r="BT52" i="5"/>
  <c r="BS52" i="5"/>
  <c r="BR52" i="5"/>
  <c r="BQ52" i="5"/>
  <c r="BO52" i="5"/>
  <c r="BN52" i="5"/>
  <c r="BM52" i="5"/>
  <c r="BL52" i="5"/>
  <c r="BK52" i="5"/>
  <c r="BJ52" i="5"/>
  <c r="BI52" i="5"/>
  <c r="BH52" i="5"/>
  <c r="BG52" i="5"/>
  <c r="BF52" i="5"/>
  <c r="BD52" i="5"/>
  <c r="BC52" i="5"/>
  <c r="BB52" i="5"/>
  <c r="BA52" i="5"/>
  <c r="AZ52" i="5"/>
  <c r="AY52" i="5"/>
  <c r="AX52" i="5"/>
  <c r="AW52" i="5"/>
  <c r="AV52" i="5"/>
  <c r="AU52" i="5"/>
  <c r="AS52" i="5"/>
  <c r="AR52" i="5"/>
  <c r="AQ52" i="5"/>
  <c r="AP52" i="5"/>
  <c r="AO52" i="5"/>
  <c r="AN52" i="5"/>
  <c r="AM52" i="5"/>
  <c r="AL52" i="5"/>
  <c r="AK52" i="5"/>
  <c r="AJ52" i="5"/>
  <c r="AH52" i="5"/>
  <c r="AG52" i="5"/>
  <c r="AF52" i="5"/>
  <c r="AE52" i="5"/>
  <c r="AD52" i="5"/>
  <c r="AC52" i="5"/>
  <c r="AB52" i="5"/>
  <c r="AA52" i="5"/>
  <c r="Z52" i="5"/>
  <c r="Y52" i="5"/>
  <c r="W52" i="5"/>
  <c r="V52" i="5"/>
  <c r="U52" i="5"/>
  <c r="T52" i="5"/>
  <c r="S52" i="5"/>
  <c r="R52" i="5"/>
  <c r="Q52" i="5"/>
  <c r="P52" i="5"/>
  <c r="O52" i="5"/>
  <c r="N52" i="5"/>
  <c r="L52" i="5"/>
  <c r="K52" i="5"/>
  <c r="J52" i="5"/>
  <c r="I52" i="5"/>
  <c r="H52" i="5"/>
  <c r="G52" i="5"/>
  <c r="F52" i="5"/>
  <c r="E52" i="5"/>
  <c r="D52" i="5"/>
  <c r="C52" i="5"/>
  <c r="B52" i="5"/>
  <c r="A52" i="5"/>
  <c r="BZ51" i="5"/>
  <c r="BY51" i="5"/>
  <c r="BX51" i="5"/>
  <c r="BW51" i="5"/>
  <c r="BV51" i="5"/>
  <c r="BU51" i="5"/>
  <c r="BT51" i="5"/>
  <c r="BS51" i="5"/>
  <c r="BR51" i="5"/>
  <c r="BQ51" i="5"/>
  <c r="BO51" i="5"/>
  <c r="BN51" i="5"/>
  <c r="BM51" i="5"/>
  <c r="BL51" i="5"/>
  <c r="BK51" i="5"/>
  <c r="BJ51" i="5"/>
  <c r="BI51" i="5"/>
  <c r="BH51" i="5"/>
  <c r="BG51" i="5"/>
  <c r="BF51" i="5"/>
  <c r="BD51" i="5"/>
  <c r="BC51" i="5"/>
  <c r="BB51" i="5"/>
  <c r="BA51" i="5"/>
  <c r="AZ51" i="5"/>
  <c r="AY51" i="5"/>
  <c r="AX51" i="5"/>
  <c r="AW51" i="5"/>
  <c r="AV51" i="5"/>
  <c r="AU51" i="5"/>
  <c r="AS51" i="5"/>
  <c r="AR51" i="5"/>
  <c r="AQ51" i="5"/>
  <c r="AP51" i="5"/>
  <c r="AO51" i="5"/>
  <c r="AN51" i="5"/>
  <c r="AM51" i="5"/>
  <c r="AL51" i="5"/>
  <c r="AK51" i="5"/>
  <c r="AJ51" i="5"/>
  <c r="AH51" i="5"/>
  <c r="AG51" i="5"/>
  <c r="AF51" i="5"/>
  <c r="AE51" i="5"/>
  <c r="AD51" i="5"/>
  <c r="AC51" i="5"/>
  <c r="AB51" i="5"/>
  <c r="AA51" i="5"/>
  <c r="Z51" i="5"/>
  <c r="Y51" i="5"/>
  <c r="W51" i="5"/>
  <c r="V51" i="5"/>
  <c r="U51" i="5"/>
  <c r="T51" i="5"/>
  <c r="S51" i="5"/>
  <c r="R51" i="5"/>
  <c r="Q51" i="5"/>
  <c r="P51" i="5"/>
  <c r="O51" i="5"/>
  <c r="N51" i="5"/>
  <c r="L51" i="5"/>
  <c r="K51" i="5"/>
  <c r="J51" i="5"/>
  <c r="I51" i="5"/>
  <c r="H51" i="5"/>
  <c r="G51" i="5"/>
  <c r="F51" i="5"/>
  <c r="E51" i="5"/>
  <c r="D51" i="5"/>
  <c r="C51" i="5"/>
  <c r="B51" i="5"/>
  <c r="A51" i="5"/>
  <c r="BZ50" i="5"/>
  <c r="BY50" i="5"/>
  <c r="BX50" i="5"/>
  <c r="BW50" i="5"/>
  <c r="BV50" i="5"/>
  <c r="BU50" i="5"/>
  <c r="BT50" i="5"/>
  <c r="BS50" i="5"/>
  <c r="BR50" i="5"/>
  <c r="BQ50" i="5"/>
  <c r="BO50" i="5"/>
  <c r="BN50" i="5"/>
  <c r="BM50" i="5"/>
  <c r="BL50" i="5"/>
  <c r="BK50" i="5"/>
  <c r="BJ50" i="5"/>
  <c r="BI50" i="5"/>
  <c r="BH50" i="5"/>
  <c r="BG50" i="5"/>
  <c r="BF50" i="5"/>
  <c r="BD50" i="5"/>
  <c r="BC50" i="5"/>
  <c r="BB50" i="5"/>
  <c r="BA50" i="5"/>
  <c r="AZ50" i="5"/>
  <c r="AY50" i="5"/>
  <c r="AX50" i="5"/>
  <c r="AW50" i="5"/>
  <c r="AV50" i="5"/>
  <c r="AU50" i="5"/>
  <c r="AS50" i="5"/>
  <c r="AR50" i="5"/>
  <c r="AQ50" i="5"/>
  <c r="AP50" i="5"/>
  <c r="AO50" i="5"/>
  <c r="AN50" i="5"/>
  <c r="AM50" i="5"/>
  <c r="AL50" i="5"/>
  <c r="AK50" i="5"/>
  <c r="AJ50" i="5"/>
  <c r="AH50" i="5"/>
  <c r="AG50" i="5"/>
  <c r="AF50" i="5"/>
  <c r="AE50" i="5"/>
  <c r="AD50" i="5"/>
  <c r="AC50" i="5"/>
  <c r="AB50" i="5"/>
  <c r="AA50" i="5"/>
  <c r="Z50" i="5"/>
  <c r="Y50" i="5"/>
  <c r="W50" i="5"/>
  <c r="V50" i="5"/>
  <c r="U50" i="5"/>
  <c r="T50" i="5"/>
  <c r="S50" i="5"/>
  <c r="R50" i="5"/>
  <c r="Q50" i="5"/>
  <c r="P50" i="5"/>
  <c r="O50" i="5"/>
  <c r="N50" i="5"/>
  <c r="L50" i="5"/>
  <c r="K50" i="5"/>
  <c r="J50" i="5"/>
  <c r="I50" i="5"/>
  <c r="H50" i="5"/>
  <c r="G50" i="5"/>
  <c r="F50" i="5"/>
  <c r="E50" i="5"/>
  <c r="D50" i="5"/>
  <c r="C50" i="5"/>
  <c r="B50" i="5"/>
  <c r="A50" i="5"/>
  <c r="BZ49" i="5"/>
  <c r="BY49" i="5"/>
  <c r="BX49" i="5"/>
  <c r="BW49" i="5"/>
  <c r="BV49" i="5"/>
  <c r="BU49" i="5"/>
  <c r="BT49" i="5"/>
  <c r="BS49" i="5"/>
  <c r="BR49" i="5"/>
  <c r="BQ49" i="5"/>
  <c r="BO49" i="5"/>
  <c r="BN49" i="5"/>
  <c r="BM49" i="5"/>
  <c r="BL49" i="5"/>
  <c r="BK49" i="5"/>
  <c r="BJ49" i="5"/>
  <c r="BI49" i="5"/>
  <c r="BH49" i="5"/>
  <c r="BG49" i="5"/>
  <c r="BF49" i="5"/>
  <c r="BD49" i="5"/>
  <c r="BC49" i="5"/>
  <c r="BB49" i="5"/>
  <c r="BA49" i="5"/>
  <c r="AZ49" i="5"/>
  <c r="AY49" i="5"/>
  <c r="AX49" i="5"/>
  <c r="AW49" i="5"/>
  <c r="AV49" i="5"/>
  <c r="AU49" i="5"/>
  <c r="AS49" i="5"/>
  <c r="AR49" i="5"/>
  <c r="AQ49" i="5"/>
  <c r="AP49" i="5"/>
  <c r="AO49" i="5"/>
  <c r="AN49" i="5"/>
  <c r="AM49" i="5"/>
  <c r="AL49" i="5"/>
  <c r="AK49" i="5"/>
  <c r="AJ49" i="5"/>
  <c r="AH49" i="5"/>
  <c r="AG49" i="5"/>
  <c r="AF49" i="5"/>
  <c r="AE49" i="5"/>
  <c r="AD49" i="5"/>
  <c r="AC49" i="5"/>
  <c r="AB49" i="5"/>
  <c r="AA49" i="5"/>
  <c r="Z49" i="5"/>
  <c r="Y49" i="5"/>
  <c r="W49" i="5"/>
  <c r="V49" i="5"/>
  <c r="U49" i="5"/>
  <c r="T49" i="5"/>
  <c r="S49" i="5"/>
  <c r="R49" i="5"/>
  <c r="Q49" i="5"/>
  <c r="P49" i="5"/>
  <c r="O49" i="5"/>
  <c r="N49" i="5"/>
  <c r="L49" i="5"/>
  <c r="K49" i="5"/>
  <c r="J49" i="5"/>
  <c r="I49" i="5"/>
  <c r="H49" i="5"/>
  <c r="G49" i="5"/>
  <c r="F49" i="5"/>
  <c r="E49" i="5"/>
  <c r="D49" i="5"/>
  <c r="C49" i="5"/>
  <c r="B49" i="5"/>
  <c r="A49" i="5"/>
  <c r="BZ48" i="5"/>
  <c r="BY48" i="5"/>
  <c r="BX48" i="5"/>
  <c r="BW48" i="5"/>
  <c r="BV48" i="5"/>
  <c r="BU48" i="5"/>
  <c r="BT48" i="5"/>
  <c r="BS48" i="5"/>
  <c r="BR48" i="5"/>
  <c r="BQ48" i="5"/>
  <c r="BO48" i="5"/>
  <c r="BN48" i="5"/>
  <c r="BM48" i="5"/>
  <c r="BL48" i="5"/>
  <c r="BK48" i="5"/>
  <c r="BJ48" i="5"/>
  <c r="BI48" i="5"/>
  <c r="BH48" i="5"/>
  <c r="BG48" i="5"/>
  <c r="BF48" i="5"/>
  <c r="BD48" i="5"/>
  <c r="BC48" i="5"/>
  <c r="BB48" i="5"/>
  <c r="BA48" i="5"/>
  <c r="AZ48" i="5"/>
  <c r="AY48" i="5"/>
  <c r="AX48" i="5"/>
  <c r="AW48" i="5"/>
  <c r="AV48" i="5"/>
  <c r="AU48" i="5"/>
  <c r="AS48" i="5"/>
  <c r="AR48" i="5"/>
  <c r="AQ48" i="5"/>
  <c r="AP48" i="5"/>
  <c r="AO48" i="5"/>
  <c r="AN48" i="5"/>
  <c r="AM48" i="5"/>
  <c r="AL48" i="5"/>
  <c r="AK48" i="5"/>
  <c r="AJ48" i="5"/>
  <c r="AH48" i="5"/>
  <c r="AG48" i="5"/>
  <c r="AF48" i="5"/>
  <c r="AE48" i="5"/>
  <c r="AD48" i="5"/>
  <c r="AC48" i="5"/>
  <c r="AB48" i="5"/>
  <c r="AA48" i="5"/>
  <c r="Z48" i="5"/>
  <c r="Y48" i="5"/>
  <c r="W48" i="5"/>
  <c r="V48" i="5"/>
  <c r="U48" i="5"/>
  <c r="T48" i="5"/>
  <c r="S48" i="5"/>
  <c r="R48" i="5"/>
  <c r="Q48" i="5"/>
  <c r="P48" i="5"/>
  <c r="O48" i="5"/>
  <c r="N48" i="5"/>
  <c r="L48" i="5"/>
  <c r="K48" i="5"/>
  <c r="J48" i="5"/>
  <c r="I48" i="5"/>
  <c r="H48" i="5"/>
  <c r="G48" i="5"/>
  <c r="F48" i="5"/>
  <c r="E48" i="5"/>
  <c r="D48" i="5"/>
  <c r="C48" i="5"/>
  <c r="B48" i="5"/>
  <c r="A48" i="5"/>
  <c r="BZ47" i="5"/>
  <c r="BY47" i="5"/>
  <c r="BX47" i="5"/>
  <c r="BW47" i="5"/>
  <c r="BV47" i="5"/>
  <c r="BU47" i="5"/>
  <c r="BT47" i="5"/>
  <c r="BS47" i="5"/>
  <c r="BR47" i="5"/>
  <c r="BQ47" i="5"/>
  <c r="BO47" i="5"/>
  <c r="BN47" i="5"/>
  <c r="BM47" i="5"/>
  <c r="BL47" i="5"/>
  <c r="BK47" i="5"/>
  <c r="BJ47" i="5"/>
  <c r="BI47" i="5"/>
  <c r="BH47" i="5"/>
  <c r="BG47" i="5"/>
  <c r="BF47" i="5"/>
  <c r="BD47" i="5"/>
  <c r="BC47" i="5"/>
  <c r="BB47" i="5"/>
  <c r="BA47" i="5"/>
  <c r="AZ47" i="5"/>
  <c r="AY47" i="5"/>
  <c r="AX47" i="5"/>
  <c r="AW47" i="5"/>
  <c r="AV47" i="5"/>
  <c r="AU47" i="5"/>
  <c r="AS47" i="5"/>
  <c r="AR47" i="5"/>
  <c r="AQ47" i="5"/>
  <c r="AP47" i="5"/>
  <c r="AO47" i="5"/>
  <c r="AN47" i="5"/>
  <c r="AM47" i="5"/>
  <c r="AL47" i="5"/>
  <c r="AK47" i="5"/>
  <c r="AJ47" i="5"/>
  <c r="AH47" i="5"/>
  <c r="AG47" i="5"/>
  <c r="AF47" i="5"/>
  <c r="AE47" i="5"/>
  <c r="AD47" i="5"/>
  <c r="AC47" i="5"/>
  <c r="AB47" i="5"/>
  <c r="AA47" i="5"/>
  <c r="Z47" i="5"/>
  <c r="Y47" i="5"/>
  <c r="W47" i="5"/>
  <c r="V47" i="5"/>
  <c r="U47" i="5"/>
  <c r="T47" i="5"/>
  <c r="S47" i="5"/>
  <c r="R47" i="5"/>
  <c r="Q47" i="5"/>
  <c r="P47" i="5"/>
  <c r="O47" i="5"/>
  <c r="N47" i="5"/>
  <c r="L47" i="5"/>
  <c r="K47" i="5"/>
  <c r="J47" i="5"/>
  <c r="I47" i="5"/>
  <c r="H47" i="5"/>
  <c r="G47" i="5"/>
  <c r="F47" i="5"/>
  <c r="E47" i="5"/>
  <c r="D47" i="5"/>
  <c r="C47" i="5"/>
  <c r="B47" i="5"/>
  <c r="A47" i="5"/>
  <c r="BZ46" i="5"/>
  <c r="BY46" i="5"/>
  <c r="BX46" i="5"/>
  <c r="BW46" i="5"/>
  <c r="BV46" i="5"/>
  <c r="BU46" i="5"/>
  <c r="BT46" i="5"/>
  <c r="BS46" i="5"/>
  <c r="BR46" i="5"/>
  <c r="BQ46" i="5"/>
  <c r="BO46" i="5"/>
  <c r="BN46" i="5"/>
  <c r="BM46" i="5"/>
  <c r="BL46" i="5"/>
  <c r="BK46" i="5"/>
  <c r="BJ46" i="5"/>
  <c r="BI46" i="5"/>
  <c r="BH46" i="5"/>
  <c r="BG46" i="5"/>
  <c r="BF46" i="5"/>
  <c r="BD46" i="5"/>
  <c r="BC46" i="5"/>
  <c r="BB46" i="5"/>
  <c r="BA46" i="5"/>
  <c r="AZ46" i="5"/>
  <c r="AY46" i="5"/>
  <c r="AX46" i="5"/>
  <c r="AW46" i="5"/>
  <c r="AV46" i="5"/>
  <c r="AU46" i="5"/>
  <c r="AS46" i="5"/>
  <c r="AR46" i="5"/>
  <c r="AQ46" i="5"/>
  <c r="AP46" i="5"/>
  <c r="AO46" i="5"/>
  <c r="AN46" i="5"/>
  <c r="AM46" i="5"/>
  <c r="AL46" i="5"/>
  <c r="AK46" i="5"/>
  <c r="AJ46" i="5"/>
  <c r="AH46" i="5"/>
  <c r="AG46" i="5"/>
  <c r="AF46" i="5"/>
  <c r="AE46" i="5"/>
  <c r="AD46" i="5"/>
  <c r="AC46" i="5"/>
  <c r="AB46" i="5"/>
  <c r="AA46" i="5"/>
  <c r="Z46" i="5"/>
  <c r="Y46" i="5"/>
  <c r="W46" i="5"/>
  <c r="V46" i="5"/>
  <c r="U46" i="5"/>
  <c r="T46" i="5"/>
  <c r="S46" i="5"/>
  <c r="R46" i="5"/>
  <c r="Q46" i="5"/>
  <c r="P46" i="5"/>
  <c r="O46" i="5"/>
  <c r="N46" i="5"/>
  <c r="L46" i="5"/>
  <c r="K46" i="5"/>
  <c r="J46" i="5"/>
  <c r="I46" i="5"/>
  <c r="H46" i="5"/>
  <c r="G46" i="5"/>
  <c r="F46" i="5"/>
  <c r="E46" i="5"/>
  <c r="D46" i="5"/>
  <c r="C46" i="5"/>
  <c r="B46" i="5"/>
  <c r="A46" i="5"/>
  <c r="BZ45" i="5"/>
  <c r="BY45" i="5"/>
  <c r="BX45" i="5"/>
  <c r="BW45" i="5"/>
  <c r="BV45" i="5"/>
  <c r="BU45" i="5"/>
  <c r="BT45" i="5"/>
  <c r="BS45" i="5"/>
  <c r="BR45" i="5"/>
  <c r="BQ45" i="5"/>
  <c r="BO45" i="5"/>
  <c r="BN45" i="5"/>
  <c r="BM45" i="5"/>
  <c r="BL45" i="5"/>
  <c r="BK45" i="5"/>
  <c r="BJ45" i="5"/>
  <c r="BI45" i="5"/>
  <c r="BH45" i="5"/>
  <c r="BG45" i="5"/>
  <c r="BF45" i="5"/>
  <c r="BD45" i="5"/>
  <c r="BC45" i="5"/>
  <c r="BB45" i="5"/>
  <c r="BA45" i="5"/>
  <c r="AZ45" i="5"/>
  <c r="AY45" i="5"/>
  <c r="AX45" i="5"/>
  <c r="AW45" i="5"/>
  <c r="AV45" i="5"/>
  <c r="AU45" i="5"/>
  <c r="AS45" i="5"/>
  <c r="AR45" i="5"/>
  <c r="AQ45" i="5"/>
  <c r="AP45" i="5"/>
  <c r="AO45" i="5"/>
  <c r="AN45" i="5"/>
  <c r="AM45" i="5"/>
  <c r="AL45" i="5"/>
  <c r="AK45" i="5"/>
  <c r="AJ45" i="5"/>
  <c r="AH45" i="5"/>
  <c r="AG45" i="5"/>
  <c r="AF45" i="5"/>
  <c r="AE45" i="5"/>
  <c r="AD45" i="5"/>
  <c r="AC45" i="5"/>
  <c r="AB45" i="5"/>
  <c r="AA45" i="5"/>
  <c r="Z45" i="5"/>
  <c r="Y45" i="5"/>
  <c r="W45" i="5"/>
  <c r="V45" i="5"/>
  <c r="U45" i="5"/>
  <c r="T45" i="5"/>
  <c r="S45" i="5"/>
  <c r="R45" i="5"/>
  <c r="Q45" i="5"/>
  <c r="P45" i="5"/>
  <c r="O45" i="5"/>
  <c r="N45" i="5"/>
  <c r="L45" i="5"/>
  <c r="K45" i="5"/>
  <c r="J45" i="5"/>
  <c r="I45" i="5"/>
  <c r="H45" i="5"/>
  <c r="G45" i="5"/>
  <c r="F45" i="5"/>
  <c r="E45" i="5"/>
  <c r="D45" i="5"/>
  <c r="C45" i="5"/>
  <c r="B45" i="5"/>
  <c r="A45" i="5"/>
  <c r="BZ44" i="5"/>
  <c r="BY44" i="5"/>
  <c r="BX44" i="5"/>
  <c r="BW44" i="5"/>
  <c r="BV44" i="5"/>
  <c r="BU44" i="5"/>
  <c r="BT44" i="5"/>
  <c r="BS44" i="5"/>
  <c r="BR44" i="5"/>
  <c r="BQ44" i="5"/>
  <c r="BO44" i="5"/>
  <c r="BN44" i="5"/>
  <c r="BM44" i="5"/>
  <c r="BL44" i="5"/>
  <c r="BK44" i="5"/>
  <c r="BJ44" i="5"/>
  <c r="BI44" i="5"/>
  <c r="BH44" i="5"/>
  <c r="BG44" i="5"/>
  <c r="BF44" i="5"/>
  <c r="BD44" i="5"/>
  <c r="BC44" i="5"/>
  <c r="BB44" i="5"/>
  <c r="BA44" i="5"/>
  <c r="AZ44" i="5"/>
  <c r="AY44" i="5"/>
  <c r="AX44" i="5"/>
  <c r="AW44" i="5"/>
  <c r="AV44" i="5"/>
  <c r="AU44" i="5"/>
  <c r="AS44" i="5"/>
  <c r="AR44" i="5"/>
  <c r="AQ44" i="5"/>
  <c r="AP44" i="5"/>
  <c r="AO44" i="5"/>
  <c r="AN44" i="5"/>
  <c r="AM44" i="5"/>
  <c r="AL44" i="5"/>
  <c r="AK44" i="5"/>
  <c r="AJ44" i="5"/>
  <c r="AH44" i="5"/>
  <c r="AG44" i="5"/>
  <c r="AF44" i="5"/>
  <c r="AE44" i="5"/>
  <c r="AD44" i="5"/>
  <c r="AC44" i="5"/>
  <c r="AB44" i="5"/>
  <c r="AA44" i="5"/>
  <c r="Z44" i="5"/>
  <c r="Y44" i="5"/>
  <c r="W44" i="5"/>
  <c r="V44" i="5"/>
  <c r="U44" i="5"/>
  <c r="T44" i="5"/>
  <c r="S44" i="5"/>
  <c r="R44" i="5"/>
  <c r="Q44" i="5"/>
  <c r="P44" i="5"/>
  <c r="O44" i="5"/>
  <c r="N44" i="5"/>
  <c r="L44" i="5"/>
  <c r="K44" i="5"/>
  <c r="J44" i="5"/>
  <c r="I44" i="5"/>
  <c r="H44" i="5"/>
  <c r="G44" i="5"/>
  <c r="F44" i="5"/>
  <c r="E44" i="5"/>
  <c r="D44" i="5"/>
  <c r="C44" i="5"/>
  <c r="B44" i="5"/>
  <c r="A44" i="5"/>
  <c r="BZ43" i="5"/>
  <c r="BY43" i="5"/>
  <c r="BX43" i="5"/>
  <c r="BW43" i="5"/>
  <c r="BV43" i="5"/>
  <c r="BU43" i="5"/>
  <c r="BT43" i="5"/>
  <c r="BS43" i="5"/>
  <c r="BR43" i="5"/>
  <c r="BQ43" i="5"/>
  <c r="BO43" i="5"/>
  <c r="BN43" i="5"/>
  <c r="BM43" i="5"/>
  <c r="BL43" i="5"/>
  <c r="BK43" i="5"/>
  <c r="BJ43" i="5"/>
  <c r="BI43" i="5"/>
  <c r="BH43" i="5"/>
  <c r="BG43" i="5"/>
  <c r="BF43" i="5"/>
  <c r="BD43" i="5"/>
  <c r="BC43" i="5"/>
  <c r="BB43" i="5"/>
  <c r="BA43" i="5"/>
  <c r="AZ43" i="5"/>
  <c r="AY43" i="5"/>
  <c r="AX43" i="5"/>
  <c r="AW43" i="5"/>
  <c r="AV43" i="5"/>
  <c r="AU43" i="5"/>
  <c r="AS43" i="5"/>
  <c r="AR43" i="5"/>
  <c r="AQ43" i="5"/>
  <c r="AP43" i="5"/>
  <c r="AO43" i="5"/>
  <c r="AN43" i="5"/>
  <c r="AM43" i="5"/>
  <c r="AL43" i="5"/>
  <c r="AK43" i="5"/>
  <c r="AJ43" i="5"/>
  <c r="AH43" i="5"/>
  <c r="AG43" i="5"/>
  <c r="AF43" i="5"/>
  <c r="AE43" i="5"/>
  <c r="AD43" i="5"/>
  <c r="AC43" i="5"/>
  <c r="AB43" i="5"/>
  <c r="AA43" i="5"/>
  <c r="Z43" i="5"/>
  <c r="Y43" i="5"/>
  <c r="W43" i="5"/>
  <c r="V43" i="5"/>
  <c r="U43" i="5"/>
  <c r="T43" i="5"/>
  <c r="S43" i="5"/>
  <c r="R43" i="5"/>
  <c r="Q43" i="5"/>
  <c r="P43" i="5"/>
  <c r="O43" i="5"/>
  <c r="N43" i="5"/>
  <c r="L43" i="5"/>
  <c r="K43" i="5"/>
  <c r="J43" i="5"/>
  <c r="I43" i="5"/>
  <c r="H43" i="5"/>
  <c r="G43" i="5"/>
  <c r="F43" i="5"/>
  <c r="E43" i="5"/>
  <c r="D43" i="5"/>
  <c r="C43" i="5"/>
  <c r="B43" i="5"/>
  <c r="A43" i="5"/>
  <c r="BZ42" i="5"/>
  <c r="BY42" i="5"/>
  <c r="BX42" i="5"/>
  <c r="BW42" i="5"/>
  <c r="BV42" i="5"/>
  <c r="BU42" i="5"/>
  <c r="BT42" i="5"/>
  <c r="BS42" i="5"/>
  <c r="BR42" i="5"/>
  <c r="BQ42" i="5"/>
  <c r="BO42" i="5"/>
  <c r="BN42" i="5"/>
  <c r="BM42" i="5"/>
  <c r="BL42" i="5"/>
  <c r="BK42" i="5"/>
  <c r="BJ42" i="5"/>
  <c r="BI42" i="5"/>
  <c r="BH42" i="5"/>
  <c r="BG42" i="5"/>
  <c r="BF42" i="5"/>
  <c r="BD42" i="5"/>
  <c r="BC42" i="5"/>
  <c r="BB42" i="5"/>
  <c r="BA42" i="5"/>
  <c r="AZ42" i="5"/>
  <c r="AY42" i="5"/>
  <c r="AX42" i="5"/>
  <c r="AW42" i="5"/>
  <c r="AV42" i="5"/>
  <c r="AU42" i="5"/>
  <c r="AS42" i="5"/>
  <c r="AR42" i="5"/>
  <c r="AQ42" i="5"/>
  <c r="AP42" i="5"/>
  <c r="AO42" i="5"/>
  <c r="AN42" i="5"/>
  <c r="AM42" i="5"/>
  <c r="AL42" i="5"/>
  <c r="AK42" i="5"/>
  <c r="AJ42" i="5"/>
  <c r="AH42" i="5"/>
  <c r="AG42" i="5"/>
  <c r="AF42" i="5"/>
  <c r="AE42" i="5"/>
  <c r="AD42" i="5"/>
  <c r="AC42" i="5"/>
  <c r="AB42" i="5"/>
  <c r="AA42" i="5"/>
  <c r="Z42" i="5"/>
  <c r="Y42" i="5"/>
  <c r="W42" i="5"/>
  <c r="V42" i="5"/>
  <c r="U42" i="5"/>
  <c r="T42" i="5"/>
  <c r="S42" i="5"/>
  <c r="R42" i="5"/>
  <c r="Q42" i="5"/>
  <c r="P42" i="5"/>
  <c r="O42" i="5"/>
  <c r="N42" i="5"/>
  <c r="L42" i="5"/>
  <c r="K42" i="5"/>
  <c r="J42" i="5"/>
  <c r="I42" i="5"/>
  <c r="H42" i="5"/>
  <c r="G42" i="5"/>
  <c r="F42" i="5"/>
  <c r="E42" i="5"/>
  <c r="D42" i="5"/>
  <c r="C42" i="5"/>
  <c r="B42" i="5"/>
  <c r="A42" i="5"/>
  <c r="BZ41" i="5"/>
  <c r="BY41" i="5"/>
  <c r="BX41" i="5"/>
  <c r="BW41" i="5"/>
  <c r="BV41" i="5"/>
  <c r="BU41" i="5"/>
  <c r="BT41" i="5"/>
  <c r="BS41" i="5"/>
  <c r="BR41" i="5"/>
  <c r="BQ41" i="5"/>
  <c r="BO41" i="5"/>
  <c r="BN41" i="5"/>
  <c r="BM41" i="5"/>
  <c r="BL41" i="5"/>
  <c r="BK41" i="5"/>
  <c r="BJ41" i="5"/>
  <c r="BI41" i="5"/>
  <c r="BH41" i="5"/>
  <c r="BG41" i="5"/>
  <c r="BF41" i="5"/>
  <c r="BD41" i="5"/>
  <c r="BC41" i="5"/>
  <c r="BB41" i="5"/>
  <c r="BA41" i="5"/>
  <c r="AZ41" i="5"/>
  <c r="AY41" i="5"/>
  <c r="AX41" i="5"/>
  <c r="AW41" i="5"/>
  <c r="AV41" i="5"/>
  <c r="AU41" i="5"/>
  <c r="AS41" i="5"/>
  <c r="AR41" i="5"/>
  <c r="AQ41" i="5"/>
  <c r="AP41" i="5"/>
  <c r="AO41" i="5"/>
  <c r="AN41" i="5"/>
  <c r="AM41" i="5"/>
  <c r="AL41" i="5"/>
  <c r="AK41" i="5"/>
  <c r="AJ41" i="5"/>
  <c r="AH41" i="5"/>
  <c r="AG41" i="5"/>
  <c r="AF41" i="5"/>
  <c r="AE41" i="5"/>
  <c r="AD41" i="5"/>
  <c r="AC41" i="5"/>
  <c r="AB41" i="5"/>
  <c r="AA41" i="5"/>
  <c r="Z41" i="5"/>
  <c r="Y41" i="5"/>
  <c r="W41" i="5"/>
  <c r="V41" i="5"/>
  <c r="U41" i="5"/>
  <c r="T41" i="5"/>
  <c r="S41" i="5"/>
  <c r="R41" i="5"/>
  <c r="Q41" i="5"/>
  <c r="P41" i="5"/>
  <c r="O41" i="5"/>
  <c r="N41" i="5"/>
  <c r="L41" i="5"/>
  <c r="K41" i="5"/>
  <c r="J41" i="5"/>
  <c r="I41" i="5"/>
  <c r="H41" i="5"/>
  <c r="G41" i="5"/>
  <c r="F41" i="5"/>
  <c r="E41" i="5"/>
  <c r="D41" i="5"/>
  <c r="C41" i="5"/>
  <c r="B41" i="5"/>
  <c r="A41" i="5"/>
  <c r="BZ40" i="5"/>
  <c r="BY40" i="5"/>
  <c r="BX40" i="5"/>
  <c r="BW40" i="5"/>
  <c r="BV40" i="5"/>
  <c r="BU40" i="5"/>
  <c r="BT40" i="5"/>
  <c r="BS40" i="5"/>
  <c r="BR40" i="5"/>
  <c r="BQ40" i="5"/>
  <c r="BO40" i="5"/>
  <c r="BN40" i="5"/>
  <c r="BM40" i="5"/>
  <c r="BL40" i="5"/>
  <c r="BK40" i="5"/>
  <c r="BJ40" i="5"/>
  <c r="BI40" i="5"/>
  <c r="BH40" i="5"/>
  <c r="BG40" i="5"/>
  <c r="BF40" i="5"/>
  <c r="BD40" i="5"/>
  <c r="BC40" i="5"/>
  <c r="BB40" i="5"/>
  <c r="BA40" i="5"/>
  <c r="AZ40" i="5"/>
  <c r="AY40" i="5"/>
  <c r="AX40" i="5"/>
  <c r="AW40" i="5"/>
  <c r="AV40" i="5"/>
  <c r="AU40" i="5"/>
  <c r="AS40" i="5"/>
  <c r="AR40" i="5"/>
  <c r="AQ40" i="5"/>
  <c r="AP40" i="5"/>
  <c r="AO40" i="5"/>
  <c r="AN40" i="5"/>
  <c r="AM40" i="5"/>
  <c r="AL40" i="5"/>
  <c r="AK40" i="5"/>
  <c r="AJ40" i="5"/>
  <c r="AH40" i="5"/>
  <c r="AG40" i="5"/>
  <c r="AF40" i="5"/>
  <c r="AE40" i="5"/>
  <c r="AD40" i="5"/>
  <c r="AC40" i="5"/>
  <c r="AB40" i="5"/>
  <c r="AA40" i="5"/>
  <c r="Z40" i="5"/>
  <c r="Y40" i="5"/>
  <c r="W40" i="5"/>
  <c r="V40" i="5"/>
  <c r="U40" i="5"/>
  <c r="T40" i="5"/>
  <c r="S40" i="5"/>
  <c r="R40" i="5"/>
  <c r="Q40" i="5"/>
  <c r="P40" i="5"/>
  <c r="O40" i="5"/>
  <c r="N40" i="5"/>
  <c r="L40" i="5"/>
  <c r="K40" i="5"/>
  <c r="J40" i="5"/>
  <c r="I40" i="5"/>
  <c r="H40" i="5"/>
  <c r="G40" i="5"/>
  <c r="F40" i="5"/>
  <c r="E40" i="5"/>
  <c r="D40" i="5"/>
  <c r="C40" i="5"/>
  <c r="B40" i="5"/>
  <c r="A40" i="5"/>
  <c r="BZ39" i="5"/>
  <c r="BY39" i="5"/>
  <c r="BX39" i="5"/>
  <c r="BW39" i="5"/>
  <c r="BV39" i="5"/>
  <c r="BU39" i="5"/>
  <c r="BT39" i="5"/>
  <c r="BS39" i="5"/>
  <c r="BR39" i="5"/>
  <c r="BQ39" i="5"/>
  <c r="BO39" i="5"/>
  <c r="BN39" i="5"/>
  <c r="BM39" i="5"/>
  <c r="BL39" i="5"/>
  <c r="BK39" i="5"/>
  <c r="BJ39" i="5"/>
  <c r="BI39" i="5"/>
  <c r="BH39" i="5"/>
  <c r="BG39" i="5"/>
  <c r="BF39" i="5"/>
  <c r="BD39" i="5"/>
  <c r="BC39" i="5"/>
  <c r="BB39" i="5"/>
  <c r="BA39" i="5"/>
  <c r="AZ39" i="5"/>
  <c r="AY39" i="5"/>
  <c r="AX39" i="5"/>
  <c r="AW39" i="5"/>
  <c r="AV39" i="5"/>
  <c r="AU39" i="5"/>
  <c r="AS39" i="5"/>
  <c r="AR39" i="5"/>
  <c r="AQ39" i="5"/>
  <c r="AP39" i="5"/>
  <c r="AO39" i="5"/>
  <c r="AN39" i="5"/>
  <c r="AM39" i="5"/>
  <c r="AL39" i="5"/>
  <c r="AK39" i="5"/>
  <c r="AJ39" i="5"/>
  <c r="AH39" i="5"/>
  <c r="AG39" i="5"/>
  <c r="AF39" i="5"/>
  <c r="AE39" i="5"/>
  <c r="AD39" i="5"/>
  <c r="AC39" i="5"/>
  <c r="AB39" i="5"/>
  <c r="AI39" i="5" s="1"/>
  <c r="CD39" i="5" s="1"/>
  <c r="AA39" i="5"/>
  <c r="Z39" i="5"/>
  <c r="Y39" i="5"/>
  <c r="W39" i="5"/>
  <c r="V39" i="5"/>
  <c r="U39" i="5"/>
  <c r="T39" i="5"/>
  <c r="S39" i="5"/>
  <c r="R39" i="5"/>
  <c r="Q39" i="5"/>
  <c r="P39" i="5"/>
  <c r="O39" i="5"/>
  <c r="N39" i="5"/>
  <c r="L39" i="5"/>
  <c r="K39" i="5"/>
  <c r="J39" i="5"/>
  <c r="I39" i="5"/>
  <c r="H39" i="5"/>
  <c r="G39" i="5"/>
  <c r="F39" i="5"/>
  <c r="E39" i="5"/>
  <c r="D39" i="5"/>
  <c r="C39" i="5"/>
  <c r="B39" i="5"/>
  <c r="A39" i="5"/>
  <c r="BZ38" i="5"/>
  <c r="BY38" i="5"/>
  <c r="BX38" i="5"/>
  <c r="BW38" i="5"/>
  <c r="BV38" i="5"/>
  <c r="BU38" i="5"/>
  <c r="BT38" i="5"/>
  <c r="BS38" i="5"/>
  <c r="BR38" i="5"/>
  <c r="BQ38" i="5"/>
  <c r="BO38" i="5"/>
  <c r="BN38" i="5"/>
  <c r="BM38" i="5"/>
  <c r="BL38" i="5"/>
  <c r="BK38" i="5"/>
  <c r="BJ38" i="5"/>
  <c r="BI38" i="5"/>
  <c r="BH38" i="5"/>
  <c r="BG38" i="5"/>
  <c r="BF38" i="5"/>
  <c r="BD38" i="5"/>
  <c r="BC38" i="5"/>
  <c r="BB38" i="5"/>
  <c r="BA38" i="5"/>
  <c r="AZ38" i="5"/>
  <c r="AY38" i="5"/>
  <c r="AX38" i="5"/>
  <c r="AW38" i="5"/>
  <c r="AV38" i="5"/>
  <c r="AU38" i="5"/>
  <c r="AS38" i="5"/>
  <c r="AR38" i="5"/>
  <c r="AQ38" i="5"/>
  <c r="AP38" i="5"/>
  <c r="AO38" i="5"/>
  <c r="AN38" i="5"/>
  <c r="AM38" i="5"/>
  <c r="AL38" i="5"/>
  <c r="AK38" i="5"/>
  <c r="AJ38" i="5"/>
  <c r="AH38" i="5"/>
  <c r="AG38" i="5"/>
  <c r="AF38" i="5"/>
  <c r="AE38" i="5"/>
  <c r="AD38" i="5"/>
  <c r="AC38" i="5"/>
  <c r="AB38" i="5"/>
  <c r="AA38" i="5"/>
  <c r="Z38" i="5"/>
  <c r="Y38" i="5"/>
  <c r="W38" i="5"/>
  <c r="V38" i="5"/>
  <c r="U38" i="5"/>
  <c r="T38" i="5"/>
  <c r="S38" i="5"/>
  <c r="R38" i="5"/>
  <c r="Q38" i="5"/>
  <c r="P38" i="5"/>
  <c r="O38" i="5"/>
  <c r="N38" i="5"/>
  <c r="L38" i="5"/>
  <c r="K38" i="5"/>
  <c r="J38" i="5"/>
  <c r="I38" i="5"/>
  <c r="H38" i="5"/>
  <c r="G38" i="5"/>
  <c r="F38" i="5"/>
  <c r="E38" i="5"/>
  <c r="D38" i="5"/>
  <c r="C38" i="5"/>
  <c r="B38" i="5"/>
  <c r="A38" i="5"/>
  <c r="BZ37" i="5"/>
  <c r="BY37" i="5"/>
  <c r="BX37" i="5"/>
  <c r="BW37" i="5"/>
  <c r="BV37" i="5"/>
  <c r="BU37" i="5"/>
  <c r="BT37" i="5"/>
  <c r="BS37" i="5"/>
  <c r="BR37" i="5"/>
  <c r="BQ37" i="5"/>
  <c r="BO37" i="5"/>
  <c r="BN37" i="5"/>
  <c r="BM37" i="5"/>
  <c r="BL37" i="5"/>
  <c r="BK37" i="5"/>
  <c r="BJ37" i="5"/>
  <c r="BI37" i="5"/>
  <c r="BH37" i="5"/>
  <c r="BG37" i="5"/>
  <c r="BF37" i="5"/>
  <c r="BD37" i="5"/>
  <c r="BC37" i="5"/>
  <c r="BB37" i="5"/>
  <c r="BA37" i="5"/>
  <c r="AZ37" i="5"/>
  <c r="AY37" i="5"/>
  <c r="AX37" i="5"/>
  <c r="AW37" i="5"/>
  <c r="AV37" i="5"/>
  <c r="AU37" i="5"/>
  <c r="AS37" i="5"/>
  <c r="AR37" i="5"/>
  <c r="AQ37" i="5"/>
  <c r="AP37" i="5"/>
  <c r="AO37" i="5"/>
  <c r="AN37" i="5"/>
  <c r="AM37" i="5"/>
  <c r="AL37" i="5"/>
  <c r="AK37" i="5"/>
  <c r="AJ37" i="5"/>
  <c r="AH37" i="5"/>
  <c r="AG37" i="5"/>
  <c r="AF37" i="5"/>
  <c r="AE37" i="5"/>
  <c r="AD37" i="5"/>
  <c r="AC37" i="5"/>
  <c r="AB37" i="5"/>
  <c r="AA37" i="5"/>
  <c r="Z37" i="5"/>
  <c r="Y37" i="5"/>
  <c r="W37" i="5"/>
  <c r="V37" i="5"/>
  <c r="U37" i="5"/>
  <c r="T37" i="5"/>
  <c r="S37" i="5"/>
  <c r="R37" i="5"/>
  <c r="Q37" i="5"/>
  <c r="P37" i="5"/>
  <c r="O37" i="5"/>
  <c r="N37" i="5"/>
  <c r="L37" i="5"/>
  <c r="K37" i="5"/>
  <c r="J37" i="5"/>
  <c r="I37" i="5"/>
  <c r="H37" i="5"/>
  <c r="G37" i="5"/>
  <c r="F37" i="5"/>
  <c r="E37" i="5"/>
  <c r="D37" i="5"/>
  <c r="C37" i="5"/>
  <c r="B37" i="5"/>
  <c r="A37" i="5"/>
  <c r="BZ36" i="5"/>
  <c r="BY36" i="5"/>
  <c r="BX36" i="5"/>
  <c r="BW36" i="5"/>
  <c r="BV36" i="5"/>
  <c r="BU36" i="5"/>
  <c r="BT36" i="5"/>
  <c r="BS36" i="5"/>
  <c r="BR36" i="5"/>
  <c r="BQ36" i="5"/>
  <c r="BO36" i="5"/>
  <c r="BN36" i="5"/>
  <c r="BM36" i="5"/>
  <c r="BL36" i="5"/>
  <c r="BK36" i="5"/>
  <c r="BJ36" i="5"/>
  <c r="BI36" i="5"/>
  <c r="BH36" i="5"/>
  <c r="BG36" i="5"/>
  <c r="BF36" i="5"/>
  <c r="BD36" i="5"/>
  <c r="BC36" i="5"/>
  <c r="BB36" i="5"/>
  <c r="BA36" i="5"/>
  <c r="AZ36" i="5"/>
  <c r="AY36" i="5"/>
  <c r="AX36" i="5"/>
  <c r="AW36" i="5"/>
  <c r="AV36" i="5"/>
  <c r="AU36" i="5"/>
  <c r="AS36" i="5"/>
  <c r="AR36" i="5"/>
  <c r="AQ36" i="5"/>
  <c r="AP36" i="5"/>
  <c r="AO36" i="5"/>
  <c r="AN36" i="5"/>
  <c r="AM36" i="5"/>
  <c r="AL36" i="5"/>
  <c r="AK36" i="5"/>
  <c r="AJ36" i="5"/>
  <c r="AH36" i="5"/>
  <c r="AG36" i="5"/>
  <c r="AF36" i="5"/>
  <c r="AE36" i="5"/>
  <c r="AD36" i="5"/>
  <c r="AC36" i="5"/>
  <c r="AB36" i="5"/>
  <c r="AI36" i="5" s="1"/>
  <c r="CD36" i="5" s="1"/>
  <c r="AA36" i="5"/>
  <c r="Z36" i="5"/>
  <c r="Y36" i="5"/>
  <c r="W36" i="5"/>
  <c r="V36" i="5"/>
  <c r="U36" i="5"/>
  <c r="T36" i="5"/>
  <c r="S36" i="5"/>
  <c r="R36" i="5"/>
  <c r="Q36" i="5"/>
  <c r="P36" i="5"/>
  <c r="O36" i="5"/>
  <c r="N36" i="5"/>
  <c r="L36" i="5"/>
  <c r="K36" i="5"/>
  <c r="J36" i="5"/>
  <c r="I36" i="5"/>
  <c r="H36" i="5"/>
  <c r="G36" i="5"/>
  <c r="F36" i="5"/>
  <c r="E36" i="5"/>
  <c r="D36" i="5"/>
  <c r="C36" i="5"/>
  <c r="B36" i="5"/>
  <c r="A36" i="5"/>
  <c r="BZ35" i="5"/>
  <c r="BY35" i="5"/>
  <c r="BX35" i="5"/>
  <c r="BW35" i="5"/>
  <c r="BV35" i="5"/>
  <c r="BU35" i="5"/>
  <c r="BT35" i="5"/>
  <c r="BS35" i="5"/>
  <c r="BR35" i="5"/>
  <c r="BQ35" i="5"/>
  <c r="BO35" i="5"/>
  <c r="BN35" i="5"/>
  <c r="BM35" i="5"/>
  <c r="BL35" i="5"/>
  <c r="BK35" i="5"/>
  <c r="BJ35" i="5"/>
  <c r="BI35" i="5"/>
  <c r="BH35" i="5"/>
  <c r="BG35" i="5"/>
  <c r="BF35" i="5"/>
  <c r="BD35" i="5"/>
  <c r="BC35" i="5"/>
  <c r="BB35" i="5"/>
  <c r="BA35" i="5"/>
  <c r="AZ35" i="5"/>
  <c r="AY35" i="5"/>
  <c r="AX35" i="5"/>
  <c r="AW35" i="5"/>
  <c r="AV35" i="5"/>
  <c r="AU35" i="5"/>
  <c r="AS35" i="5"/>
  <c r="AR35" i="5"/>
  <c r="AQ35" i="5"/>
  <c r="AP35" i="5"/>
  <c r="AO35" i="5"/>
  <c r="AN35" i="5"/>
  <c r="AM35" i="5"/>
  <c r="AL35" i="5"/>
  <c r="AK35" i="5"/>
  <c r="AJ35" i="5"/>
  <c r="AH35" i="5"/>
  <c r="AG35" i="5"/>
  <c r="AF35" i="5"/>
  <c r="AE35" i="5"/>
  <c r="AD35" i="5"/>
  <c r="AC35" i="5"/>
  <c r="AB35" i="5"/>
  <c r="AA35" i="5"/>
  <c r="Z35" i="5"/>
  <c r="Y35" i="5"/>
  <c r="W35" i="5"/>
  <c r="V35" i="5"/>
  <c r="U35" i="5"/>
  <c r="T35" i="5"/>
  <c r="S35" i="5"/>
  <c r="R35" i="5"/>
  <c r="Q35" i="5"/>
  <c r="P35" i="5"/>
  <c r="O35" i="5"/>
  <c r="N35" i="5"/>
  <c r="L35" i="5"/>
  <c r="K35" i="5"/>
  <c r="J35" i="5"/>
  <c r="I35" i="5"/>
  <c r="H35" i="5"/>
  <c r="G35" i="5"/>
  <c r="F35" i="5"/>
  <c r="E35" i="5"/>
  <c r="D35" i="5"/>
  <c r="C35" i="5"/>
  <c r="B35" i="5"/>
  <c r="A35" i="5"/>
  <c r="BZ34" i="5"/>
  <c r="BY34" i="5"/>
  <c r="BX34" i="5"/>
  <c r="BW34" i="5"/>
  <c r="BV34" i="5"/>
  <c r="BU34" i="5"/>
  <c r="BT34" i="5"/>
  <c r="BS34" i="5"/>
  <c r="BR34" i="5"/>
  <c r="BQ34" i="5"/>
  <c r="BO34" i="5"/>
  <c r="BN34" i="5"/>
  <c r="BM34" i="5"/>
  <c r="BL34" i="5"/>
  <c r="BK34" i="5"/>
  <c r="BJ34" i="5"/>
  <c r="BI34" i="5"/>
  <c r="BH34" i="5"/>
  <c r="BG34" i="5"/>
  <c r="BF34" i="5"/>
  <c r="BD34" i="5"/>
  <c r="BC34" i="5"/>
  <c r="BB34" i="5"/>
  <c r="BA34" i="5"/>
  <c r="AZ34" i="5"/>
  <c r="AY34" i="5"/>
  <c r="AX34" i="5"/>
  <c r="AW34" i="5"/>
  <c r="AV34" i="5"/>
  <c r="AU34" i="5"/>
  <c r="AS34" i="5"/>
  <c r="AR34" i="5"/>
  <c r="AQ34" i="5"/>
  <c r="AP34" i="5"/>
  <c r="AO34" i="5"/>
  <c r="AN34" i="5"/>
  <c r="AM34" i="5"/>
  <c r="AL34" i="5"/>
  <c r="AK34" i="5"/>
  <c r="AJ34" i="5"/>
  <c r="AH34" i="5"/>
  <c r="AG34" i="5"/>
  <c r="AF34" i="5"/>
  <c r="AE34" i="5"/>
  <c r="AD34" i="5"/>
  <c r="AC34" i="5"/>
  <c r="AB34" i="5"/>
  <c r="AA34" i="5"/>
  <c r="Z34" i="5"/>
  <c r="Y34" i="5"/>
  <c r="W34" i="5"/>
  <c r="V34" i="5"/>
  <c r="U34" i="5"/>
  <c r="T34" i="5"/>
  <c r="S34" i="5"/>
  <c r="R34" i="5"/>
  <c r="Q34" i="5"/>
  <c r="P34" i="5"/>
  <c r="O34" i="5"/>
  <c r="N34" i="5"/>
  <c r="L34" i="5"/>
  <c r="K34" i="5"/>
  <c r="J34" i="5"/>
  <c r="I34" i="5"/>
  <c r="H34" i="5"/>
  <c r="G34" i="5"/>
  <c r="F34" i="5"/>
  <c r="E34" i="5"/>
  <c r="D34" i="5"/>
  <c r="C34" i="5"/>
  <c r="B34" i="5"/>
  <c r="A34" i="5"/>
  <c r="BZ33" i="5"/>
  <c r="BY33" i="5"/>
  <c r="BX33" i="5"/>
  <c r="BW33" i="5"/>
  <c r="BV33" i="5"/>
  <c r="BU33" i="5"/>
  <c r="BT33" i="5"/>
  <c r="BS33" i="5"/>
  <c r="BR33" i="5"/>
  <c r="BQ33" i="5"/>
  <c r="BO33" i="5"/>
  <c r="BN33" i="5"/>
  <c r="BM33" i="5"/>
  <c r="BL33" i="5"/>
  <c r="BK33" i="5"/>
  <c r="BJ33" i="5"/>
  <c r="BI33" i="5"/>
  <c r="BH33" i="5"/>
  <c r="BG33" i="5"/>
  <c r="BF33" i="5"/>
  <c r="BD33" i="5"/>
  <c r="BC33" i="5"/>
  <c r="BB33" i="5"/>
  <c r="BA33" i="5"/>
  <c r="AZ33" i="5"/>
  <c r="AY33" i="5"/>
  <c r="AX33" i="5"/>
  <c r="AW33" i="5"/>
  <c r="AV33" i="5"/>
  <c r="AU33" i="5"/>
  <c r="AS33" i="5"/>
  <c r="AR33" i="5"/>
  <c r="AQ33" i="5"/>
  <c r="AP33" i="5"/>
  <c r="AO33" i="5"/>
  <c r="AN33" i="5"/>
  <c r="AM33" i="5"/>
  <c r="AL33" i="5"/>
  <c r="AK33" i="5"/>
  <c r="AJ33" i="5"/>
  <c r="AH33" i="5"/>
  <c r="AG33" i="5"/>
  <c r="AF33" i="5"/>
  <c r="AE33" i="5"/>
  <c r="AD33" i="5"/>
  <c r="AC33" i="5"/>
  <c r="AB33" i="5"/>
  <c r="AA33" i="5"/>
  <c r="Z33" i="5"/>
  <c r="Y33" i="5"/>
  <c r="W33" i="5"/>
  <c r="V33" i="5"/>
  <c r="U33" i="5"/>
  <c r="T33" i="5"/>
  <c r="S33" i="5"/>
  <c r="R33" i="5"/>
  <c r="Q33" i="5"/>
  <c r="P33" i="5"/>
  <c r="O33" i="5"/>
  <c r="N33" i="5"/>
  <c r="L33" i="5"/>
  <c r="K33" i="5"/>
  <c r="J33" i="5"/>
  <c r="I33" i="5"/>
  <c r="H33" i="5"/>
  <c r="G33" i="5"/>
  <c r="F33" i="5"/>
  <c r="E33" i="5"/>
  <c r="D33" i="5"/>
  <c r="C33" i="5"/>
  <c r="B33" i="5"/>
  <c r="A33" i="5"/>
  <c r="BZ32" i="5"/>
  <c r="BY32" i="5"/>
  <c r="BX32" i="5"/>
  <c r="BW32" i="5"/>
  <c r="BV32" i="5"/>
  <c r="BU32" i="5"/>
  <c r="BT32" i="5"/>
  <c r="BS32" i="5"/>
  <c r="BR32" i="5"/>
  <c r="BQ32" i="5"/>
  <c r="BO32" i="5"/>
  <c r="BN32" i="5"/>
  <c r="BM32" i="5"/>
  <c r="BL32" i="5"/>
  <c r="BK32" i="5"/>
  <c r="BJ32" i="5"/>
  <c r="BI32" i="5"/>
  <c r="BH32" i="5"/>
  <c r="BG32" i="5"/>
  <c r="BF32" i="5"/>
  <c r="BD32" i="5"/>
  <c r="BC32" i="5"/>
  <c r="BB32" i="5"/>
  <c r="BA32" i="5"/>
  <c r="AZ32" i="5"/>
  <c r="AY32" i="5"/>
  <c r="AX32" i="5"/>
  <c r="AW32" i="5"/>
  <c r="AV32" i="5"/>
  <c r="AU32" i="5"/>
  <c r="AS32" i="5"/>
  <c r="AR32" i="5"/>
  <c r="AQ32" i="5"/>
  <c r="AP32" i="5"/>
  <c r="AO32" i="5"/>
  <c r="AN32" i="5"/>
  <c r="AM32" i="5"/>
  <c r="AL32" i="5"/>
  <c r="AK32" i="5"/>
  <c r="AJ32" i="5"/>
  <c r="AH32" i="5"/>
  <c r="AG32" i="5"/>
  <c r="AF32" i="5"/>
  <c r="AE32" i="5"/>
  <c r="AD32" i="5"/>
  <c r="AC32" i="5"/>
  <c r="AB32" i="5"/>
  <c r="AA32" i="5"/>
  <c r="Z32" i="5"/>
  <c r="Y32" i="5"/>
  <c r="W32" i="5"/>
  <c r="V32" i="5"/>
  <c r="U32" i="5"/>
  <c r="T32" i="5"/>
  <c r="S32" i="5"/>
  <c r="R32" i="5"/>
  <c r="Q32" i="5"/>
  <c r="P32" i="5"/>
  <c r="O32" i="5"/>
  <c r="N32" i="5"/>
  <c r="L32" i="5"/>
  <c r="K32" i="5"/>
  <c r="J32" i="5"/>
  <c r="I32" i="5"/>
  <c r="H32" i="5"/>
  <c r="G32" i="5"/>
  <c r="F32" i="5"/>
  <c r="E32" i="5"/>
  <c r="D32" i="5"/>
  <c r="C32" i="5"/>
  <c r="B32" i="5"/>
  <c r="A32" i="5"/>
  <c r="BZ31" i="5"/>
  <c r="BY31" i="5"/>
  <c r="BX31" i="5"/>
  <c r="BW31" i="5"/>
  <c r="BV31" i="5"/>
  <c r="BU31" i="5"/>
  <c r="BT31" i="5"/>
  <c r="BS31" i="5"/>
  <c r="BR31" i="5"/>
  <c r="BQ31" i="5"/>
  <c r="BO31" i="5"/>
  <c r="BN31" i="5"/>
  <c r="BM31" i="5"/>
  <c r="BL31" i="5"/>
  <c r="BK31" i="5"/>
  <c r="BJ31" i="5"/>
  <c r="BI31" i="5"/>
  <c r="BH31" i="5"/>
  <c r="BG31" i="5"/>
  <c r="BF31" i="5"/>
  <c r="BD31" i="5"/>
  <c r="BC31" i="5"/>
  <c r="BB31" i="5"/>
  <c r="BA31" i="5"/>
  <c r="AZ31" i="5"/>
  <c r="AY31" i="5"/>
  <c r="AX31" i="5"/>
  <c r="AW31" i="5"/>
  <c r="AV31" i="5"/>
  <c r="AU31" i="5"/>
  <c r="AS31" i="5"/>
  <c r="AR31" i="5"/>
  <c r="AQ31" i="5"/>
  <c r="AP31" i="5"/>
  <c r="AO31" i="5"/>
  <c r="AN31" i="5"/>
  <c r="AM31" i="5"/>
  <c r="AL31" i="5"/>
  <c r="AK31" i="5"/>
  <c r="AJ31" i="5"/>
  <c r="AH31" i="5"/>
  <c r="AG31" i="5"/>
  <c r="AF31" i="5"/>
  <c r="AE31" i="5"/>
  <c r="AD31" i="5"/>
  <c r="AC31" i="5"/>
  <c r="AB31" i="5"/>
  <c r="AA31" i="5"/>
  <c r="Z31" i="5"/>
  <c r="Y31" i="5"/>
  <c r="W31" i="5"/>
  <c r="V31" i="5"/>
  <c r="U31" i="5"/>
  <c r="T31" i="5"/>
  <c r="S31" i="5"/>
  <c r="R31" i="5"/>
  <c r="Q31" i="5"/>
  <c r="P31" i="5"/>
  <c r="O31" i="5"/>
  <c r="N31" i="5"/>
  <c r="L31" i="5"/>
  <c r="K31" i="5"/>
  <c r="J31" i="5"/>
  <c r="I31" i="5"/>
  <c r="H31" i="5"/>
  <c r="G31" i="5"/>
  <c r="F31" i="5"/>
  <c r="E31" i="5"/>
  <c r="D31" i="5"/>
  <c r="C31" i="5"/>
  <c r="B31" i="5"/>
  <c r="A31" i="5"/>
  <c r="BZ30" i="5"/>
  <c r="BY30" i="5"/>
  <c r="BX30" i="5"/>
  <c r="BW30" i="5"/>
  <c r="BV30" i="5"/>
  <c r="BU30" i="5"/>
  <c r="BT30" i="5"/>
  <c r="BS30" i="5"/>
  <c r="BR30" i="5"/>
  <c r="BQ30" i="5"/>
  <c r="BO30" i="5"/>
  <c r="BN30" i="5"/>
  <c r="BM30" i="5"/>
  <c r="BL30" i="5"/>
  <c r="BK30" i="5"/>
  <c r="BJ30" i="5"/>
  <c r="BI30" i="5"/>
  <c r="BH30" i="5"/>
  <c r="BG30" i="5"/>
  <c r="BF30" i="5"/>
  <c r="BD30" i="5"/>
  <c r="BC30" i="5"/>
  <c r="BB30" i="5"/>
  <c r="BA30" i="5"/>
  <c r="AZ30" i="5"/>
  <c r="AY30" i="5"/>
  <c r="AX30" i="5"/>
  <c r="AW30" i="5"/>
  <c r="AV30" i="5"/>
  <c r="AU30" i="5"/>
  <c r="AS30" i="5"/>
  <c r="AR30" i="5"/>
  <c r="AQ30" i="5"/>
  <c r="AP30" i="5"/>
  <c r="AO30" i="5"/>
  <c r="AN30" i="5"/>
  <c r="AM30" i="5"/>
  <c r="AL30" i="5"/>
  <c r="AK30" i="5"/>
  <c r="AJ30" i="5"/>
  <c r="AH30" i="5"/>
  <c r="AG30" i="5"/>
  <c r="AF30" i="5"/>
  <c r="AE30" i="5"/>
  <c r="AD30" i="5"/>
  <c r="AC30" i="5"/>
  <c r="AB30" i="5"/>
  <c r="AI30" i="5" s="1"/>
  <c r="CD30" i="5" s="1"/>
  <c r="AA30" i="5"/>
  <c r="Z30" i="5"/>
  <c r="Y30" i="5"/>
  <c r="W30" i="5"/>
  <c r="V30" i="5"/>
  <c r="U30" i="5"/>
  <c r="T30" i="5"/>
  <c r="S30" i="5"/>
  <c r="R30" i="5"/>
  <c r="Q30" i="5"/>
  <c r="P30" i="5"/>
  <c r="O30" i="5"/>
  <c r="N30" i="5"/>
  <c r="L30" i="5"/>
  <c r="K30" i="5"/>
  <c r="J30" i="5"/>
  <c r="I30" i="5"/>
  <c r="H30" i="5"/>
  <c r="G30" i="5"/>
  <c r="F30" i="5"/>
  <c r="E30" i="5"/>
  <c r="D30" i="5"/>
  <c r="C30" i="5"/>
  <c r="B30" i="5"/>
  <c r="A30" i="5"/>
  <c r="BZ29" i="5"/>
  <c r="BY29" i="5"/>
  <c r="BX29" i="5"/>
  <c r="BW29" i="5"/>
  <c r="BV29" i="5"/>
  <c r="BU29" i="5"/>
  <c r="BT29" i="5"/>
  <c r="BS29" i="5"/>
  <c r="BR29" i="5"/>
  <c r="BQ29" i="5"/>
  <c r="BO29" i="5"/>
  <c r="BN29" i="5"/>
  <c r="BM29" i="5"/>
  <c r="BL29" i="5"/>
  <c r="BK29" i="5"/>
  <c r="BJ29" i="5"/>
  <c r="BI29" i="5"/>
  <c r="BH29" i="5"/>
  <c r="BG29" i="5"/>
  <c r="BF29" i="5"/>
  <c r="BD29" i="5"/>
  <c r="BC29" i="5"/>
  <c r="BB29" i="5"/>
  <c r="BA29" i="5"/>
  <c r="AZ29" i="5"/>
  <c r="AY29" i="5"/>
  <c r="AX29" i="5"/>
  <c r="AW29" i="5"/>
  <c r="AV29" i="5"/>
  <c r="AU29" i="5"/>
  <c r="AS29" i="5"/>
  <c r="AR29" i="5"/>
  <c r="AQ29" i="5"/>
  <c r="AP29" i="5"/>
  <c r="AO29" i="5"/>
  <c r="AN29" i="5"/>
  <c r="AM29" i="5"/>
  <c r="AL29" i="5"/>
  <c r="AK29" i="5"/>
  <c r="AJ29" i="5"/>
  <c r="AH29" i="5"/>
  <c r="AG29" i="5"/>
  <c r="AF29" i="5"/>
  <c r="AE29" i="5"/>
  <c r="AD29" i="5"/>
  <c r="AC29" i="5"/>
  <c r="AB29" i="5"/>
  <c r="AA29" i="5"/>
  <c r="Z29" i="5"/>
  <c r="Y29" i="5"/>
  <c r="W29" i="5"/>
  <c r="V29" i="5"/>
  <c r="U29" i="5"/>
  <c r="T29" i="5"/>
  <c r="S29" i="5"/>
  <c r="R29" i="5"/>
  <c r="Q29" i="5"/>
  <c r="P29" i="5"/>
  <c r="O29" i="5"/>
  <c r="N29" i="5"/>
  <c r="L29" i="5"/>
  <c r="K29" i="5"/>
  <c r="J29" i="5"/>
  <c r="I29" i="5"/>
  <c r="H29" i="5"/>
  <c r="G29" i="5"/>
  <c r="F29" i="5"/>
  <c r="E29" i="5"/>
  <c r="D29" i="5"/>
  <c r="C29" i="5"/>
  <c r="B29" i="5"/>
  <c r="A29" i="5"/>
  <c r="BZ28" i="5"/>
  <c r="BY28" i="5"/>
  <c r="BX28" i="5"/>
  <c r="BW28" i="5"/>
  <c r="BV28" i="5"/>
  <c r="BU28" i="5"/>
  <c r="BT28" i="5"/>
  <c r="BS28" i="5"/>
  <c r="BR28" i="5"/>
  <c r="BQ28" i="5"/>
  <c r="BO28" i="5"/>
  <c r="BN28" i="5"/>
  <c r="BM28" i="5"/>
  <c r="BL28" i="5"/>
  <c r="BK28" i="5"/>
  <c r="BJ28" i="5"/>
  <c r="BI28" i="5"/>
  <c r="BH28" i="5"/>
  <c r="BG28" i="5"/>
  <c r="BF28" i="5"/>
  <c r="BD28" i="5"/>
  <c r="BC28" i="5"/>
  <c r="BB28" i="5"/>
  <c r="BA28" i="5"/>
  <c r="AZ28" i="5"/>
  <c r="AY28" i="5"/>
  <c r="AX28" i="5"/>
  <c r="AW28" i="5"/>
  <c r="AV28" i="5"/>
  <c r="AU28" i="5"/>
  <c r="AS28" i="5"/>
  <c r="AR28" i="5"/>
  <c r="AQ28" i="5"/>
  <c r="AP28" i="5"/>
  <c r="AO28" i="5"/>
  <c r="AN28" i="5"/>
  <c r="AM28" i="5"/>
  <c r="AL28" i="5"/>
  <c r="AK28" i="5"/>
  <c r="AJ28" i="5"/>
  <c r="AH28" i="5"/>
  <c r="AG28" i="5"/>
  <c r="AF28" i="5"/>
  <c r="AE28" i="5"/>
  <c r="AD28" i="5"/>
  <c r="AC28" i="5"/>
  <c r="AB28" i="5"/>
  <c r="AA28" i="5"/>
  <c r="Z28" i="5"/>
  <c r="Y28" i="5"/>
  <c r="W28" i="5"/>
  <c r="V28" i="5"/>
  <c r="U28" i="5"/>
  <c r="T28" i="5"/>
  <c r="S28" i="5"/>
  <c r="R28" i="5"/>
  <c r="Q28" i="5"/>
  <c r="P28" i="5"/>
  <c r="O28" i="5"/>
  <c r="N28" i="5"/>
  <c r="L28" i="5"/>
  <c r="K28" i="5"/>
  <c r="J28" i="5"/>
  <c r="I28" i="5"/>
  <c r="H28" i="5"/>
  <c r="G28" i="5"/>
  <c r="F28" i="5"/>
  <c r="E28" i="5"/>
  <c r="D28" i="5"/>
  <c r="C28" i="5"/>
  <c r="B28" i="5"/>
  <c r="A28" i="5"/>
  <c r="BZ27" i="5"/>
  <c r="BY27" i="5"/>
  <c r="BX27" i="5"/>
  <c r="BW27" i="5"/>
  <c r="BV27" i="5"/>
  <c r="BU27" i="5"/>
  <c r="BT27" i="5"/>
  <c r="BS27" i="5"/>
  <c r="BR27" i="5"/>
  <c r="BQ27" i="5"/>
  <c r="BO27" i="5"/>
  <c r="BN27" i="5"/>
  <c r="BM27" i="5"/>
  <c r="BL27" i="5"/>
  <c r="BK27" i="5"/>
  <c r="BJ27" i="5"/>
  <c r="BI27" i="5"/>
  <c r="BH27" i="5"/>
  <c r="BG27" i="5"/>
  <c r="BF27" i="5"/>
  <c r="BD27" i="5"/>
  <c r="BC27" i="5"/>
  <c r="BB27" i="5"/>
  <c r="BA27" i="5"/>
  <c r="AZ27" i="5"/>
  <c r="AY27" i="5"/>
  <c r="AX27" i="5"/>
  <c r="AW27" i="5"/>
  <c r="AV27" i="5"/>
  <c r="AU27" i="5"/>
  <c r="AS27" i="5"/>
  <c r="AR27" i="5"/>
  <c r="AQ27" i="5"/>
  <c r="AP27" i="5"/>
  <c r="AO27" i="5"/>
  <c r="AN27" i="5"/>
  <c r="AM27" i="5"/>
  <c r="AL27" i="5"/>
  <c r="AK27" i="5"/>
  <c r="AJ27" i="5"/>
  <c r="AH27" i="5"/>
  <c r="AG27" i="5"/>
  <c r="AF27" i="5"/>
  <c r="AE27" i="5"/>
  <c r="AD27" i="5"/>
  <c r="AC27" i="5"/>
  <c r="AB27" i="5"/>
  <c r="AA27" i="5"/>
  <c r="Z27" i="5"/>
  <c r="Y27" i="5"/>
  <c r="W27" i="5"/>
  <c r="V27" i="5"/>
  <c r="U27" i="5"/>
  <c r="T27" i="5"/>
  <c r="S27" i="5"/>
  <c r="R27" i="5"/>
  <c r="Q27" i="5"/>
  <c r="P27" i="5"/>
  <c r="O27" i="5"/>
  <c r="N27" i="5"/>
  <c r="L27" i="5"/>
  <c r="K27" i="5"/>
  <c r="J27" i="5"/>
  <c r="I27" i="5"/>
  <c r="H27" i="5"/>
  <c r="G27" i="5"/>
  <c r="F27" i="5"/>
  <c r="E27" i="5"/>
  <c r="D27" i="5"/>
  <c r="C27" i="5"/>
  <c r="B27" i="5"/>
  <c r="A27" i="5"/>
  <c r="BZ26" i="5"/>
  <c r="BY26" i="5"/>
  <c r="BX26" i="5"/>
  <c r="BW26" i="5"/>
  <c r="BV26" i="5"/>
  <c r="BU26" i="5"/>
  <c r="BT26" i="5"/>
  <c r="BS26" i="5"/>
  <c r="BR26" i="5"/>
  <c r="BQ26" i="5"/>
  <c r="BO26" i="5"/>
  <c r="BN26" i="5"/>
  <c r="BM26" i="5"/>
  <c r="BL26" i="5"/>
  <c r="BK26" i="5"/>
  <c r="BJ26" i="5"/>
  <c r="BI26" i="5"/>
  <c r="BH26" i="5"/>
  <c r="BG26" i="5"/>
  <c r="BF26" i="5"/>
  <c r="BD26" i="5"/>
  <c r="BC26" i="5"/>
  <c r="BB26" i="5"/>
  <c r="BA26" i="5"/>
  <c r="AZ26" i="5"/>
  <c r="AY26" i="5"/>
  <c r="AX26" i="5"/>
  <c r="AW26" i="5"/>
  <c r="AV26" i="5"/>
  <c r="AU26" i="5"/>
  <c r="AS26" i="5"/>
  <c r="AR26" i="5"/>
  <c r="AQ26" i="5"/>
  <c r="AP26" i="5"/>
  <c r="AO26" i="5"/>
  <c r="AN26" i="5"/>
  <c r="AM26" i="5"/>
  <c r="AL26" i="5"/>
  <c r="AK26" i="5"/>
  <c r="AJ26" i="5"/>
  <c r="AH26" i="5"/>
  <c r="AG26" i="5"/>
  <c r="AF26" i="5"/>
  <c r="AE26" i="5"/>
  <c r="AD26" i="5"/>
  <c r="AC26" i="5"/>
  <c r="AB26" i="5"/>
  <c r="AA26" i="5"/>
  <c r="Z26" i="5"/>
  <c r="Y26" i="5"/>
  <c r="W26" i="5"/>
  <c r="V26" i="5"/>
  <c r="U26" i="5"/>
  <c r="T26" i="5"/>
  <c r="S26" i="5"/>
  <c r="R26" i="5"/>
  <c r="Q26" i="5"/>
  <c r="P26" i="5"/>
  <c r="O26" i="5"/>
  <c r="N26" i="5"/>
  <c r="L26" i="5"/>
  <c r="K26" i="5"/>
  <c r="J26" i="5"/>
  <c r="I26" i="5"/>
  <c r="H26" i="5"/>
  <c r="G26" i="5"/>
  <c r="F26" i="5"/>
  <c r="E26" i="5"/>
  <c r="D26" i="5"/>
  <c r="C26" i="5"/>
  <c r="B26" i="5"/>
  <c r="A26" i="5"/>
  <c r="BZ25" i="5"/>
  <c r="BY25" i="5"/>
  <c r="BX25" i="5"/>
  <c r="BW25" i="5"/>
  <c r="BV25" i="5"/>
  <c r="BU25" i="5"/>
  <c r="BT25" i="5"/>
  <c r="BS25" i="5"/>
  <c r="BR25" i="5"/>
  <c r="BQ25" i="5"/>
  <c r="BO25" i="5"/>
  <c r="BN25" i="5"/>
  <c r="BM25" i="5"/>
  <c r="BL25" i="5"/>
  <c r="BK25" i="5"/>
  <c r="BJ25" i="5"/>
  <c r="BI25" i="5"/>
  <c r="BH25" i="5"/>
  <c r="BG25" i="5"/>
  <c r="BF25" i="5"/>
  <c r="BD25" i="5"/>
  <c r="BC25" i="5"/>
  <c r="BB25" i="5"/>
  <c r="BA25" i="5"/>
  <c r="AZ25" i="5"/>
  <c r="AY25" i="5"/>
  <c r="AX25" i="5"/>
  <c r="AW25" i="5"/>
  <c r="AV25" i="5"/>
  <c r="AU25" i="5"/>
  <c r="AS25" i="5"/>
  <c r="AR25" i="5"/>
  <c r="AQ25" i="5"/>
  <c r="AP25" i="5"/>
  <c r="AO25" i="5"/>
  <c r="AN25" i="5"/>
  <c r="AM25" i="5"/>
  <c r="AL25" i="5"/>
  <c r="AK25" i="5"/>
  <c r="AJ25" i="5"/>
  <c r="AH25" i="5"/>
  <c r="AG25" i="5"/>
  <c r="AF25" i="5"/>
  <c r="AE25" i="5"/>
  <c r="AD25" i="5"/>
  <c r="AC25" i="5"/>
  <c r="AB25" i="5"/>
  <c r="AA25" i="5"/>
  <c r="Z25" i="5"/>
  <c r="Y25" i="5"/>
  <c r="W25" i="5"/>
  <c r="V25" i="5"/>
  <c r="U25" i="5"/>
  <c r="T25" i="5"/>
  <c r="S25" i="5"/>
  <c r="R25" i="5"/>
  <c r="Q25" i="5"/>
  <c r="P25" i="5"/>
  <c r="O25" i="5"/>
  <c r="N25" i="5"/>
  <c r="L25" i="5"/>
  <c r="K25" i="5"/>
  <c r="J25" i="5"/>
  <c r="I25" i="5"/>
  <c r="H25" i="5"/>
  <c r="G25" i="5"/>
  <c r="F25" i="5"/>
  <c r="E25" i="5"/>
  <c r="D25" i="5"/>
  <c r="C25" i="5"/>
  <c r="B25" i="5"/>
  <c r="A25" i="5"/>
  <c r="BZ24" i="5"/>
  <c r="BY24" i="5"/>
  <c r="BX24" i="5"/>
  <c r="BW24" i="5"/>
  <c r="BV24" i="5"/>
  <c r="BU24" i="5"/>
  <c r="BT24" i="5"/>
  <c r="BS24" i="5"/>
  <c r="BR24" i="5"/>
  <c r="BQ24" i="5"/>
  <c r="BO24" i="5"/>
  <c r="BN24" i="5"/>
  <c r="BM24" i="5"/>
  <c r="BL24" i="5"/>
  <c r="BK24" i="5"/>
  <c r="BJ24" i="5"/>
  <c r="BI24" i="5"/>
  <c r="BH24" i="5"/>
  <c r="BG24" i="5"/>
  <c r="BF24" i="5"/>
  <c r="BD24" i="5"/>
  <c r="BC24" i="5"/>
  <c r="BB24" i="5"/>
  <c r="BA24" i="5"/>
  <c r="AZ24" i="5"/>
  <c r="AY24" i="5"/>
  <c r="AX24" i="5"/>
  <c r="AW24" i="5"/>
  <c r="AV24" i="5"/>
  <c r="AU24" i="5"/>
  <c r="AS24" i="5"/>
  <c r="AR24" i="5"/>
  <c r="AQ24" i="5"/>
  <c r="AP24" i="5"/>
  <c r="AO24" i="5"/>
  <c r="AN24" i="5"/>
  <c r="AM24" i="5"/>
  <c r="AL24" i="5"/>
  <c r="AK24" i="5"/>
  <c r="AJ24" i="5"/>
  <c r="AH24" i="5"/>
  <c r="AG24" i="5"/>
  <c r="AF24" i="5"/>
  <c r="AE24" i="5"/>
  <c r="AD24" i="5"/>
  <c r="AC24" i="5"/>
  <c r="AB24" i="5"/>
  <c r="AA24" i="5"/>
  <c r="Z24" i="5"/>
  <c r="Y24" i="5"/>
  <c r="W24" i="5"/>
  <c r="V24" i="5"/>
  <c r="U24" i="5"/>
  <c r="T24" i="5"/>
  <c r="S24" i="5"/>
  <c r="R24" i="5"/>
  <c r="Q24" i="5"/>
  <c r="P24" i="5"/>
  <c r="O24" i="5"/>
  <c r="N24" i="5"/>
  <c r="L24" i="5"/>
  <c r="K24" i="5"/>
  <c r="J24" i="5"/>
  <c r="I24" i="5"/>
  <c r="H24" i="5"/>
  <c r="G24" i="5"/>
  <c r="F24" i="5"/>
  <c r="E24" i="5"/>
  <c r="D24" i="5"/>
  <c r="C24" i="5"/>
  <c r="B24" i="5"/>
  <c r="A24" i="5"/>
  <c r="BZ23" i="5"/>
  <c r="BY23" i="5"/>
  <c r="BX23" i="5"/>
  <c r="BW23" i="5"/>
  <c r="BV23" i="5"/>
  <c r="BU23" i="5"/>
  <c r="BT23" i="5"/>
  <c r="BS23" i="5"/>
  <c r="BR23" i="5"/>
  <c r="BQ23" i="5"/>
  <c r="BO23" i="5"/>
  <c r="BN23" i="5"/>
  <c r="BM23" i="5"/>
  <c r="BL23" i="5"/>
  <c r="BK23" i="5"/>
  <c r="BJ23" i="5"/>
  <c r="BI23" i="5"/>
  <c r="BH23" i="5"/>
  <c r="BG23" i="5"/>
  <c r="BF23" i="5"/>
  <c r="BD23" i="5"/>
  <c r="BC23" i="5"/>
  <c r="BB23" i="5"/>
  <c r="BA23" i="5"/>
  <c r="AZ23" i="5"/>
  <c r="AY23" i="5"/>
  <c r="AX23" i="5"/>
  <c r="AW23" i="5"/>
  <c r="AV23" i="5"/>
  <c r="AU23" i="5"/>
  <c r="AS23" i="5"/>
  <c r="AR23" i="5"/>
  <c r="AQ23" i="5"/>
  <c r="AP23" i="5"/>
  <c r="AO23" i="5"/>
  <c r="AN23" i="5"/>
  <c r="AM23" i="5"/>
  <c r="AL23" i="5"/>
  <c r="AK23" i="5"/>
  <c r="AJ23" i="5"/>
  <c r="AH23" i="5"/>
  <c r="AG23" i="5"/>
  <c r="AF23" i="5"/>
  <c r="AE23" i="5"/>
  <c r="AD23" i="5"/>
  <c r="AC23" i="5"/>
  <c r="AB23" i="5"/>
  <c r="AA23" i="5"/>
  <c r="Z23" i="5"/>
  <c r="Y23" i="5"/>
  <c r="W23" i="5"/>
  <c r="V23" i="5"/>
  <c r="U23" i="5"/>
  <c r="T23" i="5"/>
  <c r="S23" i="5"/>
  <c r="R23" i="5"/>
  <c r="Q23" i="5"/>
  <c r="P23" i="5"/>
  <c r="O23" i="5"/>
  <c r="N23" i="5"/>
  <c r="L23" i="5"/>
  <c r="K23" i="5"/>
  <c r="J23" i="5"/>
  <c r="I23" i="5"/>
  <c r="H23" i="5"/>
  <c r="G23" i="5"/>
  <c r="F23" i="5"/>
  <c r="E23" i="5"/>
  <c r="D23" i="5"/>
  <c r="C23" i="5"/>
  <c r="B23" i="5"/>
  <c r="A23" i="5"/>
  <c r="BZ22" i="5"/>
  <c r="BY22" i="5"/>
  <c r="BX22" i="5"/>
  <c r="BW22" i="5"/>
  <c r="BV22" i="5"/>
  <c r="BU22" i="5"/>
  <c r="BT22" i="5"/>
  <c r="BS22" i="5"/>
  <c r="BR22" i="5"/>
  <c r="BQ22" i="5"/>
  <c r="BO22" i="5"/>
  <c r="BN22" i="5"/>
  <c r="BM22" i="5"/>
  <c r="BL22" i="5"/>
  <c r="BK22" i="5"/>
  <c r="BJ22" i="5"/>
  <c r="BI22" i="5"/>
  <c r="BH22" i="5"/>
  <c r="BG22" i="5"/>
  <c r="BF22" i="5"/>
  <c r="BD22" i="5"/>
  <c r="BC22" i="5"/>
  <c r="BB22" i="5"/>
  <c r="BA22" i="5"/>
  <c r="AZ22" i="5"/>
  <c r="AY22" i="5"/>
  <c r="AX22" i="5"/>
  <c r="AW22" i="5"/>
  <c r="AV22" i="5"/>
  <c r="AU22" i="5"/>
  <c r="AS22" i="5"/>
  <c r="AR22" i="5"/>
  <c r="AQ22" i="5"/>
  <c r="AP22" i="5"/>
  <c r="AO22" i="5"/>
  <c r="AN22" i="5"/>
  <c r="AM22" i="5"/>
  <c r="AL22" i="5"/>
  <c r="AT22" i="5" s="1"/>
  <c r="CE22" i="5" s="1"/>
  <c r="AK22" i="5"/>
  <c r="AJ22" i="5"/>
  <c r="AH22" i="5"/>
  <c r="AG22" i="5"/>
  <c r="AF22" i="5"/>
  <c r="AE22" i="5"/>
  <c r="AD22" i="5"/>
  <c r="AC22" i="5"/>
  <c r="AB22" i="5"/>
  <c r="AA22" i="5"/>
  <c r="Z22" i="5"/>
  <c r="Y22" i="5"/>
  <c r="W22" i="5"/>
  <c r="V22" i="5"/>
  <c r="U22" i="5"/>
  <c r="T22" i="5"/>
  <c r="S22" i="5"/>
  <c r="R22" i="5"/>
  <c r="Q22" i="5"/>
  <c r="P22" i="5"/>
  <c r="O22" i="5"/>
  <c r="N22" i="5"/>
  <c r="L22" i="5"/>
  <c r="K22" i="5"/>
  <c r="J22" i="5"/>
  <c r="I22" i="5"/>
  <c r="H22" i="5"/>
  <c r="G22" i="5"/>
  <c r="F22" i="5"/>
  <c r="E22" i="5"/>
  <c r="D22" i="5"/>
  <c r="C22" i="5"/>
  <c r="B22" i="5"/>
  <c r="A22" i="5"/>
  <c r="BZ21" i="5"/>
  <c r="BY21" i="5"/>
  <c r="BX21" i="5"/>
  <c r="BW21" i="5"/>
  <c r="BV21" i="5"/>
  <c r="BU21" i="5"/>
  <c r="BT21" i="5"/>
  <c r="BS21" i="5"/>
  <c r="BR21" i="5"/>
  <c r="BQ21" i="5"/>
  <c r="BO21" i="5"/>
  <c r="BN21" i="5"/>
  <c r="BM21" i="5"/>
  <c r="BL21" i="5"/>
  <c r="BK21" i="5"/>
  <c r="BJ21" i="5"/>
  <c r="BI21" i="5"/>
  <c r="BH21" i="5"/>
  <c r="BG21" i="5"/>
  <c r="BF21" i="5"/>
  <c r="BD21" i="5"/>
  <c r="BC21" i="5"/>
  <c r="BB21" i="5"/>
  <c r="BA21" i="5"/>
  <c r="AZ21" i="5"/>
  <c r="AY21" i="5"/>
  <c r="AX21" i="5"/>
  <c r="AW21" i="5"/>
  <c r="AV21" i="5"/>
  <c r="AU21" i="5"/>
  <c r="AS21" i="5"/>
  <c r="AR21" i="5"/>
  <c r="AQ21" i="5"/>
  <c r="AP21" i="5"/>
  <c r="AO21" i="5"/>
  <c r="AN21" i="5"/>
  <c r="AM21" i="5"/>
  <c r="AL21" i="5"/>
  <c r="AK21" i="5"/>
  <c r="AJ21" i="5"/>
  <c r="AH21" i="5"/>
  <c r="AG21" i="5"/>
  <c r="AF21" i="5"/>
  <c r="AE21" i="5"/>
  <c r="AD21" i="5"/>
  <c r="AC21" i="5"/>
  <c r="AB21" i="5"/>
  <c r="AA21" i="5"/>
  <c r="Z21" i="5"/>
  <c r="Y21" i="5"/>
  <c r="W21" i="5"/>
  <c r="V21" i="5"/>
  <c r="U21" i="5"/>
  <c r="T21" i="5"/>
  <c r="S21" i="5"/>
  <c r="R21" i="5"/>
  <c r="Q21" i="5"/>
  <c r="P21" i="5"/>
  <c r="O21" i="5"/>
  <c r="N21" i="5"/>
  <c r="L21" i="5"/>
  <c r="K21" i="5"/>
  <c r="J21" i="5"/>
  <c r="I21" i="5"/>
  <c r="H21" i="5"/>
  <c r="G21" i="5"/>
  <c r="F21" i="5"/>
  <c r="E21" i="5"/>
  <c r="D21" i="5"/>
  <c r="C21" i="5"/>
  <c r="B21" i="5"/>
  <c r="A21" i="5"/>
  <c r="BZ20" i="5"/>
  <c r="BY20" i="5"/>
  <c r="BX20" i="5"/>
  <c r="BW20" i="5"/>
  <c r="BV20" i="5"/>
  <c r="BU20" i="5"/>
  <c r="BT20" i="5"/>
  <c r="BS20" i="5"/>
  <c r="BR20" i="5"/>
  <c r="BQ20" i="5"/>
  <c r="BO20" i="5"/>
  <c r="BN20" i="5"/>
  <c r="BM20" i="5"/>
  <c r="BL20" i="5"/>
  <c r="BK20" i="5"/>
  <c r="BJ20" i="5"/>
  <c r="BI20" i="5"/>
  <c r="BH20" i="5"/>
  <c r="BG20" i="5"/>
  <c r="BF20" i="5"/>
  <c r="BD20" i="5"/>
  <c r="BC20" i="5"/>
  <c r="BB20" i="5"/>
  <c r="BA20" i="5"/>
  <c r="AZ20" i="5"/>
  <c r="AY20" i="5"/>
  <c r="AX20" i="5"/>
  <c r="AW20" i="5"/>
  <c r="AV20" i="5"/>
  <c r="AU20" i="5"/>
  <c r="AS20" i="5"/>
  <c r="AR20" i="5"/>
  <c r="AQ20" i="5"/>
  <c r="AP20" i="5"/>
  <c r="AO20" i="5"/>
  <c r="AN20" i="5"/>
  <c r="AM20" i="5"/>
  <c r="AL20" i="5"/>
  <c r="AK20" i="5"/>
  <c r="AJ20" i="5"/>
  <c r="AH20" i="5"/>
  <c r="AG20" i="5"/>
  <c r="AF20" i="5"/>
  <c r="AE20" i="5"/>
  <c r="AD20" i="5"/>
  <c r="AC20" i="5"/>
  <c r="AB20" i="5"/>
  <c r="AA20" i="5"/>
  <c r="Z20" i="5"/>
  <c r="Y20" i="5"/>
  <c r="W20" i="5"/>
  <c r="V20" i="5"/>
  <c r="U20" i="5"/>
  <c r="T20" i="5"/>
  <c r="S20" i="5"/>
  <c r="R20" i="5"/>
  <c r="Q20" i="5"/>
  <c r="P20" i="5"/>
  <c r="O20" i="5"/>
  <c r="N20" i="5"/>
  <c r="L20" i="5"/>
  <c r="K20" i="5"/>
  <c r="J20" i="5"/>
  <c r="I20" i="5"/>
  <c r="H20" i="5"/>
  <c r="G20" i="5"/>
  <c r="F20" i="5"/>
  <c r="E20" i="5"/>
  <c r="D20" i="5"/>
  <c r="C20" i="5"/>
  <c r="B20" i="5"/>
  <c r="A20" i="5"/>
  <c r="BZ19" i="5"/>
  <c r="BY19" i="5"/>
  <c r="BX19" i="5"/>
  <c r="BW19" i="5"/>
  <c r="BV19" i="5"/>
  <c r="BU19" i="5"/>
  <c r="BT19" i="5"/>
  <c r="BS19" i="5"/>
  <c r="BR19" i="5"/>
  <c r="BQ19" i="5"/>
  <c r="BO19" i="5"/>
  <c r="BN19" i="5"/>
  <c r="BM19" i="5"/>
  <c r="BL19" i="5"/>
  <c r="BK19" i="5"/>
  <c r="BJ19" i="5"/>
  <c r="BI19" i="5"/>
  <c r="BH19" i="5"/>
  <c r="BG19" i="5"/>
  <c r="BF19" i="5"/>
  <c r="BD19" i="5"/>
  <c r="BC19" i="5"/>
  <c r="BB19" i="5"/>
  <c r="BA19" i="5"/>
  <c r="AZ19" i="5"/>
  <c r="AY19" i="5"/>
  <c r="AX19" i="5"/>
  <c r="AW19" i="5"/>
  <c r="AV19" i="5"/>
  <c r="AU19" i="5"/>
  <c r="AS19" i="5"/>
  <c r="AR19" i="5"/>
  <c r="AQ19" i="5"/>
  <c r="AP19" i="5"/>
  <c r="AO19" i="5"/>
  <c r="AN19" i="5"/>
  <c r="AM19" i="5"/>
  <c r="AL19" i="5"/>
  <c r="AT19" i="5" s="1"/>
  <c r="CE19" i="5" s="1"/>
  <c r="AK19" i="5"/>
  <c r="AJ19" i="5"/>
  <c r="AH19" i="5"/>
  <c r="AG19" i="5"/>
  <c r="AF19" i="5"/>
  <c r="AE19" i="5"/>
  <c r="AD19" i="5"/>
  <c r="AC19" i="5"/>
  <c r="AB19" i="5"/>
  <c r="AA19" i="5"/>
  <c r="Z19" i="5"/>
  <c r="Y19" i="5"/>
  <c r="W19" i="5"/>
  <c r="V19" i="5"/>
  <c r="U19" i="5"/>
  <c r="T19" i="5"/>
  <c r="S19" i="5"/>
  <c r="R19" i="5"/>
  <c r="Q19" i="5"/>
  <c r="P19" i="5"/>
  <c r="O19" i="5"/>
  <c r="N19" i="5"/>
  <c r="L19" i="5"/>
  <c r="K19" i="5"/>
  <c r="J19" i="5"/>
  <c r="I19" i="5"/>
  <c r="H19" i="5"/>
  <c r="G19" i="5"/>
  <c r="F19" i="5"/>
  <c r="E19" i="5"/>
  <c r="D19" i="5"/>
  <c r="C19" i="5"/>
  <c r="B19" i="5"/>
  <c r="A19" i="5"/>
  <c r="BZ18" i="5"/>
  <c r="BY18" i="5"/>
  <c r="BX18" i="5"/>
  <c r="BW18" i="5"/>
  <c r="BV18" i="5"/>
  <c r="BU18" i="5"/>
  <c r="BT18" i="5"/>
  <c r="BS18" i="5"/>
  <c r="BR18" i="5"/>
  <c r="BQ18" i="5"/>
  <c r="BO18" i="5"/>
  <c r="BN18" i="5"/>
  <c r="BM18" i="5"/>
  <c r="BL18" i="5"/>
  <c r="BK18" i="5"/>
  <c r="BJ18" i="5"/>
  <c r="BI18" i="5"/>
  <c r="BH18" i="5"/>
  <c r="BG18" i="5"/>
  <c r="BF18" i="5"/>
  <c r="BD18" i="5"/>
  <c r="BC18" i="5"/>
  <c r="BB18" i="5"/>
  <c r="BA18" i="5"/>
  <c r="AZ18" i="5"/>
  <c r="AY18" i="5"/>
  <c r="AX18" i="5"/>
  <c r="AW18" i="5"/>
  <c r="AV18" i="5"/>
  <c r="AU18" i="5"/>
  <c r="AS18" i="5"/>
  <c r="AR18" i="5"/>
  <c r="AQ18" i="5"/>
  <c r="AP18" i="5"/>
  <c r="AO18" i="5"/>
  <c r="AN18" i="5"/>
  <c r="AM18" i="5"/>
  <c r="AL18" i="5"/>
  <c r="AK18" i="5"/>
  <c r="AJ18" i="5"/>
  <c r="AH18" i="5"/>
  <c r="AG18" i="5"/>
  <c r="AF18" i="5"/>
  <c r="AE18" i="5"/>
  <c r="AD18" i="5"/>
  <c r="AC18" i="5"/>
  <c r="AB18" i="5"/>
  <c r="AA18" i="5"/>
  <c r="Z18" i="5"/>
  <c r="Y18" i="5"/>
  <c r="W18" i="5"/>
  <c r="V18" i="5"/>
  <c r="U18" i="5"/>
  <c r="T18" i="5"/>
  <c r="S18" i="5"/>
  <c r="R18" i="5"/>
  <c r="Q18" i="5"/>
  <c r="P18" i="5"/>
  <c r="O18" i="5"/>
  <c r="N18" i="5"/>
  <c r="L18" i="5"/>
  <c r="K18" i="5"/>
  <c r="J18" i="5"/>
  <c r="I18" i="5"/>
  <c r="H18" i="5"/>
  <c r="G18" i="5"/>
  <c r="F18" i="5"/>
  <c r="E18" i="5"/>
  <c r="D18" i="5"/>
  <c r="C18" i="5"/>
  <c r="B18" i="5"/>
  <c r="A18" i="5"/>
  <c r="BZ17" i="5"/>
  <c r="BY17" i="5"/>
  <c r="BX17" i="5"/>
  <c r="BW17" i="5"/>
  <c r="BV17" i="5"/>
  <c r="BU17" i="5"/>
  <c r="BT17" i="5"/>
  <c r="BS17" i="5"/>
  <c r="BR17" i="5"/>
  <c r="BQ17" i="5"/>
  <c r="BO17" i="5"/>
  <c r="BN17" i="5"/>
  <c r="BM17" i="5"/>
  <c r="BL17" i="5"/>
  <c r="BK17" i="5"/>
  <c r="BJ17" i="5"/>
  <c r="BI17" i="5"/>
  <c r="BH17" i="5"/>
  <c r="BG17" i="5"/>
  <c r="BF17" i="5"/>
  <c r="BD17" i="5"/>
  <c r="BC17" i="5"/>
  <c r="BB17" i="5"/>
  <c r="BA17" i="5"/>
  <c r="AZ17" i="5"/>
  <c r="AY17" i="5"/>
  <c r="AX17" i="5"/>
  <c r="AW17" i="5"/>
  <c r="AV17" i="5"/>
  <c r="AU17" i="5"/>
  <c r="AS17" i="5"/>
  <c r="AR17" i="5"/>
  <c r="AQ17" i="5"/>
  <c r="AP17" i="5"/>
  <c r="AO17" i="5"/>
  <c r="AN17" i="5"/>
  <c r="AM17" i="5"/>
  <c r="AL17" i="5"/>
  <c r="AK17" i="5"/>
  <c r="AJ17" i="5"/>
  <c r="AH17" i="5"/>
  <c r="AG17" i="5"/>
  <c r="AF17" i="5"/>
  <c r="AE17" i="5"/>
  <c r="AD17" i="5"/>
  <c r="AC17" i="5"/>
  <c r="AB17" i="5"/>
  <c r="AA17" i="5"/>
  <c r="Z17" i="5"/>
  <c r="Y17" i="5"/>
  <c r="W17" i="5"/>
  <c r="V17" i="5"/>
  <c r="U17" i="5"/>
  <c r="T17" i="5"/>
  <c r="S17" i="5"/>
  <c r="R17" i="5"/>
  <c r="Q17" i="5"/>
  <c r="P17" i="5"/>
  <c r="O17" i="5"/>
  <c r="N17" i="5"/>
  <c r="L17" i="5"/>
  <c r="K17" i="5"/>
  <c r="J17" i="5"/>
  <c r="I17" i="5"/>
  <c r="H17" i="5"/>
  <c r="G17" i="5"/>
  <c r="F17" i="5"/>
  <c r="E17" i="5"/>
  <c r="D17" i="5"/>
  <c r="C17" i="5"/>
  <c r="B17" i="5"/>
  <c r="A17" i="5"/>
  <c r="BZ16" i="5"/>
  <c r="BY16" i="5"/>
  <c r="BX16" i="5"/>
  <c r="BW16" i="5"/>
  <c r="BV16" i="5"/>
  <c r="BU16" i="5"/>
  <c r="BT16" i="5"/>
  <c r="BS16" i="5"/>
  <c r="BR16" i="5"/>
  <c r="BQ16" i="5"/>
  <c r="BO16" i="5"/>
  <c r="BN16" i="5"/>
  <c r="BM16" i="5"/>
  <c r="BL16" i="5"/>
  <c r="BK16" i="5"/>
  <c r="BJ16" i="5"/>
  <c r="BI16" i="5"/>
  <c r="BH16" i="5"/>
  <c r="BG16" i="5"/>
  <c r="BF16" i="5"/>
  <c r="BD16" i="5"/>
  <c r="BC16" i="5"/>
  <c r="BB16" i="5"/>
  <c r="BA16" i="5"/>
  <c r="AZ16" i="5"/>
  <c r="AY16" i="5"/>
  <c r="AX16" i="5"/>
  <c r="AW16" i="5"/>
  <c r="AV16" i="5"/>
  <c r="AU16" i="5"/>
  <c r="AS16" i="5"/>
  <c r="AR16" i="5"/>
  <c r="AQ16" i="5"/>
  <c r="AP16" i="5"/>
  <c r="AO16" i="5"/>
  <c r="AN16" i="5"/>
  <c r="AM16" i="5"/>
  <c r="AL16" i="5"/>
  <c r="AK16" i="5"/>
  <c r="AJ16" i="5"/>
  <c r="AH16" i="5"/>
  <c r="AG16" i="5"/>
  <c r="AF16" i="5"/>
  <c r="AE16" i="5"/>
  <c r="AD16" i="5"/>
  <c r="AC16" i="5"/>
  <c r="AB16" i="5"/>
  <c r="AA16" i="5"/>
  <c r="Z16" i="5"/>
  <c r="Y16" i="5"/>
  <c r="W16" i="5"/>
  <c r="V16" i="5"/>
  <c r="U16" i="5"/>
  <c r="T16" i="5"/>
  <c r="S16" i="5"/>
  <c r="R16" i="5"/>
  <c r="Q16" i="5"/>
  <c r="P16" i="5"/>
  <c r="O16" i="5"/>
  <c r="N16" i="5"/>
  <c r="L16" i="5"/>
  <c r="K16" i="5"/>
  <c r="J16" i="5"/>
  <c r="I16" i="5"/>
  <c r="H16" i="5"/>
  <c r="G16" i="5"/>
  <c r="F16" i="5"/>
  <c r="E16" i="5"/>
  <c r="D16" i="5"/>
  <c r="C16" i="5"/>
  <c r="B16" i="5"/>
  <c r="A16" i="5"/>
  <c r="BZ15" i="5"/>
  <c r="BY15" i="5"/>
  <c r="BX15" i="5"/>
  <c r="BW15" i="5"/>
  <c r="BV15" i="5"/>
  <c r="BU15" i="5"/>
  <c r="BT15" i="5"/>
  <c r="BS15" i="5"/>
  <c r="BR15" i="5"/>
  <c r="BQ15" i="5"/>
  <c r="BO15" i="5"/>
  <c r="BN15" i="5"/>
  <c r="BM15" i="5"/>
  <c r="BL15" i="5"/>
  <c r="BK15" i="5"/>
  <c r="BJ15" i="5"/>
  <c r="BI15" i="5"/>
  <c r="BH15" i="5"/>
  <c r="BG15" i="5"/>
  <c r="BF15" i="5"/>
  <c r="BD15" i="5"/>
  <c r="BC15" i="5"/>
  <c r="BB15" i="5"/>
  <c r="BA15" i="5"/>
  <c r="AZ15" i="5"/>
  <c r="AY15" i="5"/>
  <c r="AX15" i="5"/>
  <c r="AW15" i="5"/>
  <c r="AV15" i="5"/>
  <c r="AU15" i="5"/>
  <c r="AS15" i="5"/>
  <c r="AR15" i="5"/>
  <c r="AQ15" i="5"/>
  <c r="AP15" i="5"/>
  <c r="AO15" i="5"/>
  <c r="AN15" i="5"/>
  <c r="AM15" i="5"/>
  <c r="AL15" i="5"/>
  <c r="AK15" i="5"/>
  <c r="AJ15" i="5"/>
  <c r="AH15" i="5"/>
  <c r="AG15" i="5"/>
  <c r="AF15" i="5"/>
  <c r="AE15" i="5"/>
  <c r="AD15" i="5"/>
  <c r="AC15" i="5"/>
  <c r="AB15" i="5"/>
  <c r="AA15" i="5"/>
  <c r="Z15" i="5"/>
  <c r="Y15" i="5"/>
  <c r="W15" i="5"/>
  <c r="V15" i="5"/>
  <c r="U15" i="5"/>
  <c r="T15" i="5"/>
  <c r="S15" i="5"/>
  <c r="R15" i="5"/>
  <c r="Q15" i="5"/>
  <c r="P15" i="5"/>
  <c r="O15" i="5"/>
  <c r="N15" i="5"/>
  <c r="L15" i="5"/>
  <c r="K15" i="5"/>
  <c r="J15" i="5"/>
  <c r="I15" i="5"/>
  <c r="H15" i="5"/>
  <c r="G15" i="5"/>
  <c r="F15" i="5"/>
  <c r="E15" i="5"/>
  <c r="D15" i="5"/>
  <c r="C15" i="5"/>
  <c r="B15" i="5"/>
  <c r="A15" i="5"/>
  <c r="BZ14" i="5"/>
  <c r="BY14" i="5"/>
  <c r="BX14" i="5"/>
  <c r="BW14" i="5"/>
  <c r="BV14" i="5"/>
  <c r="BU14" i="5"/>
  <c r="BT14" i="5"/>
  <c r="BS14" i="5"/>
  <c r="BR14" i="5"/>
  <c r="BQ14" i="5"/>
  <c r="BO14" i="5"/>
  <c r="BN14" i="5"/>
  <c r="BM14" i="5"/>
  <c r="BL14" i="5"/>
  <c r="BK14" i="5"/>
  <c r="BJ14" i="5"/>
  <c r="BI14" i="5"/>
  <c r="BH14" i="5"/>
  <c r="BG14" i="5"/>
  <c r="BF14" i="5"/>
  <c r="BD14" i="5"/>
  <c r="BC14" i="5"/>
  <c r="BB14" i="5"/>
  <c r="BA14" i="5"/>
  <c r="AZ14" i="5"/>
  <c r="AY14" i="5"/>
  <c r="AX14" i="5"/>
  <c r="AW14" i="5"/>
  <c r="AV14" i="5"/>
  <c r="AU14" i="5"/>
  <c r="AS14" i="5"/>
  <c r="AR14" i="5"/>
  <c r="AQ14" i="5"/>
  <c r="AP14" i="5"/>
  <c r="AO14" i="5"/>
  <c r="AN14" i="5"/>
  <c r="AM14" i="5"/>
  <c r="AL14" i="5"/>
  <c r="AK14" i="5"/>
  <c r="AJ14" i="5"/>
  <c r="AH14" i="5"/>
  <c r="AG14" i="5"/>
  <c r="AF14" i="5"/>
  <c r="AE14" i="5"/>
  <c r="AD14" i="5"/>
  <c r="AC14" i="5"/>
  <c r="AB14" i="5"/>
  <c r="AA14" i="5"/>
  <c r="Z14" i="5"/>
  <c r="Y14" i="5"/>
  <c r="W14" i="5"/>
  <c r="V14" i="5"/>
  <c r="U14" i="5"/>
  <c r="T14" i="5"/>
  <c r="S14" i="5"/>
  <c r="R14" i="5"/>
  <c r="Q14" i="5"/>
  <c r="P14" i="5"/>
  <c r="O14" i="5"/>
  <c r="N14" i="5"/>
  <c r="L14" i="5"/>
  <c r="K14" i="5"/>
  <c r="J14" i="5"/>
  <c r="I14" i="5"/>
  <c r="H14" i="5"/>
  <c r="G14" i="5"/>
  <c r="F14" i="5"/>
  <c r="E14" i="5"/>
  <c r="D14" i="5"/>
  <c r="C14" i="5"/>
  <c r="B14" i="5"/>
  <c r="A14" i="5"/>
  <c r="BZ13" i="5"/>
  <c r="BY13" i="5"/>
  <c r="BX13" i="5"/>
  <c r="BW13" i="5"/>
  <c r="BV13" i="5"/>
  <c r="BU13" i="5"/>
  <c r="BT13" i="5"/>
  <c r="BS13" i="5"/>
  <c r="BR13" i="5"/>
  <c r="BQ13" i="5"/>
  <c r="BO13" i="5"/>
  <c r="BN13" i="5"/>
  <c r="BM13" i="5"/>
  <c r="BL13" i="5"/>
  <c r="BK13" i="5"/>
  <c r="BJ13" i="5"/>
  <c r="BI13" i="5"/>
  <c r="BH13" i="5"/>
  <c r="BG13" i="5"/>
  <c r="BF13" i="5"/>
  <c r="BD13" i="5"/>
  <c r="BC13" i="5"/>
  <c r="BB13" i="5"/>
  <c r="BA13" i="5"/>
  <c r="AZ13" i="5"/>
  <c r="AY13" i="5"/>
  <c r="AX13" i="5"/>
  <c r="AW13" i="5"/>
  <c r="AV13" i="5"/>
  <c r="AU13" i="5"/>
  <c r="AS13" i="5"/>
  <c r="AR13" i="5"/>
  <c r="AQ13" i="5"/>
  <c r="AP13" i="5"/>
  <c r="AO13" i="5"/>
  <c r="AN13" i="5"/>
  <c r="AM13" i="5"/>
  <c r="AL13" i="5"/>
  <c r="AT13" i="5" s="1"/>
  <c r="CE13" i="5" s="1"/>
  <c r="AK13" i="5"/>
  <c r="AJ13" i="5"/>
  <c r="AH13" i="5"/>
  <c r="AG13" i="5"/>
  <c r="AF13" i="5"/>
  <c r="AE13" i="5"/>
  <c r="AD13" i="5"/>
  <c r="AC13" i="5"/>
  <c r="AB13" i="5"/>
  <c r="AA13" i="5"/>
  <c r="Z13" i="5"/>
  <c r="Y13" i="5"/>
  <c r="W13" i="5"/>
  <c r="V13" i="5"/>
  <c r="U13" i="5"/>
  <c r="T13" i="5"/>
  <c r="S13" i="5"/>
  <c r="R13" i="5"/>
  <c r="Q13" i="5"/>
  <c r="P13" i="5"/>
  <c r="O13" i="5"/>
  <c r="N13" i="5"/>
  <c r="L13" i="5"/>
  <c r="K13" i="5"/>
  <c r="J13" i="5"/>
  <c r="I13" i="5"/>
  <c r="H13" i="5"/>
  <c r="G13" i="5"/>
  <c r="F13" i="5"/>
  <c r="E13" i="5"/>
  <c r="D13" i="5"/>
  <c r="C13" i="5"/>
  <c r="B13" i="5"/>
  <c r="A13" i="5"/>
  <c r="BZ12" i="5"/>
  <c r="BY12" i="5"/>
  <c r="BX12" i="5"/>
  <c r="BW12" i="5"/>
  <c r="BV12" i="5"/>
  <c r="BU12" i="5"/>
  <c r="BT12" i="5"/>
  <c r="BS12" i="5"/>
  <c r="BR12" i="5"/>
  <c r="BQ12" i="5"/>
  <c r="BO12" i="5"/>
  <c r="BN12" i="5"/>
  <c r="BM12" i="5"/>
  <c r="BL12" i="5"/>
  <c r="BK12" i="5"/>
  <c r="BJ12" i="5"/>
  <c r="BI12" i="5"/>
  <c r="BH12" i="5"/>
  <c r="BG12" i="5"/>
  <c r="BF12" i="5"/>
  <c r="BD12" i="5"/>
  <c r="BC12" i="5"/>
  <c r="BB12" i="5"/>
  <c r="BA12" i="5"/>
  <c r="AZ12" i="5"/>
  <c r="AY12" i="5"/>
  <c r="AX12" i="5"/>
  <c r="AW12" i="5"/>
  <c r="AV12" i="5"/>
  <c r="AU12" i="5"/>
  <c r="AS12" i="5"/>
  <c r="AR12" i="5"/>
  <c r="AQ12" i="5"/>
  <c r="AP12" i="5"/>
  <c r="AO12" i="5"/>
  <c r="AN12" i="5"/>
  <c r="AM12" i="5"/>
  <c r="AL12" i="5"/>
  <c r="AK12" i="5"/>
  <c r="AJ12" i="5"/>
  <c r="AH12" i="5"/>
  <c r="AG12" i="5"/>
  <c r="AF12" i="5"/>
  <c r="AE12" i="5"/>
  <c r="AD12" i="5"/>
  <c r="AC12" i="5"/>
  <c r="AB12" i="5"/>
  <c r="AA12" i="5"/>
  <c r="Z12" i="5"/>
  <c r="Y12" i="5"/>
  <c r="W12" i="5"/>
  <c r="V12" i="5"/>
  <c r="U12" i="5"/>
  <c r="T12" i="5"/>
  <c r="S12" i="5"/>
  <c r="R12" i="5"/>
  <c r="Q12" i="5"/>
  <c r="P12" i="5"/>
  <c r="O12" i="5"/>
  <c r="N12" i="5"/>
  <c r="L12" i="5"/>
  <c r="K12" i="5"/>
  <c r="J12" i="5"/>
  <c r="I12" i="5"/>
  <c r="H12" i="5"/>
  <c r="G12" i="5"/>
  <c r="F12" i="5"/>
  <c r="E12" i="5"/>
  <c r="D12" i="5"/>
  <c r="C12" i="5"/>
  <c r="B12" i="5"/>
  <c r="A12" i="5"/>
  <c r="BZ11" i="5"/>
  <c r="BY11" i="5"/>
  <c r="BX11" i="5"/>
  <c r="BW11" i="5"/>
  <c r="BV11" i="5"/>
  <c r="BU11" i="5"/>
  <c r="BT11" i="5"/>
  <c r="BS11" i="5"/>
  <c r="BR11" i="5"/>
  <c r="BQ11" i="5"/>
  <c r="BO11" i="5"/>
  <c r="BN11" i="5"/>
  <c r="BM11" i="5"/>
  <c r="BL11" i="5"/>
  <c r="BK11" i="5"/>
  <c r="BJ11" i="5"/>
  <c r="BI11" i="5"/>
  <c r="BH11" i="5"/>
  <c r="BG11" i="5"/>
  <c r="BF11" i="5"/>
  <c r="BD11" i="5"/>
  <c r="BC11" i="5"/>
  <c r="BB11" i="5"/>
  <c r="BA11" i="5"/>
  <c r="AZ11" i="5"/>
  <c r="AY11" i="5"/>
  <c r="AX11" i="5"/>
  <c r="AW11" i="5"/>
  <c r="AV11" i="5"/>
  <c r="AU11" i="5"/>
  <c r="AS11" i="5"/>
  <c r="AR11" i="5"/>
  <c r="AQ11" i="5"/>
  <c r="AP11" i="5"/>
  <c r="AO11" i="5"/>
  <c r="AN11" i="5"/>
  <c r="AM11" i="5"/>
  <c r="AL11" i="5"/>
  <c r="AK11" i="5"/>
  <c r="AJ11" i="5"/>
  <c r="AH11" i="5"/>
  <c r="AG11" i="5"/>
  <c r="AF11" i="5"/>
  <c r="AE11" i="5"/>
  <c r="AD11" i="5"/>
  <c r="AC11" i="5"/>
  <c r="AB11" i="5"/>
  <c r="AA11" i="5"/>
  <c r="Z11" i="5"/>
  <c r="Y11" i="5"/>
  <c r="W11" i="5"/>
  <c r="V11" i="5"/>
  <c r="U11" i="5"/>
  <c r="T11" i="5"/>
  <c r="S11" i="5"/>
  <c r="R11" i="5"/>
  <c r="Q11" i="5"/>
  <c r="P11" i="5"/>
  <c r="O11" i="5"/>
  <c r="N11" i="5"/>
  <c r="L11" i="5"/>
  <c r="K11" i="5"/>
  <c r="J11" i="5"/>
  <c r="I11" i="5"/>
  <c r="H11" i="5"/>
  <c r="G11" i="5"/>
  <c r="F11" i="5"/>
  <c r="E11" i="5"/>
  <c r="D11" i="5"/>
  <c r="C11" i="5"/>
  <c r="B11" i="5"/>
  <c r="A11" i="5"/>
  <c r="BZ10" i="5"/>
  <c r="BY10" i="5"/>
  <c r="BX10" i="5"/>
  <c r="BW10" i="5"/>
  <c r="BV10" i="5"/>
  <c r="BU10" i="5"/>
  <c r="BT10" i="5"/>
  <c r="BS10" i="5"/>
  <c r="BR10" i="5"/>
  <c r="BQ10" i="5"/>
  <c r="BO10" i="5"/>
  <c r="BN10" i="5"/>
  <c r="BM10" i="5"/>
  <c r="BL10" i="5"/>
  <c r="BK10" i="5"/>
  <c r="BJ10" i="5"/>
  <c r="BI10" i="5"/>
  <c r="BH10" i="5"/>
  <c r="BG10" i="5"/>
  <c r="BF10" i="5"/>
  <c r="BD10" i="5"/>
  <c r="BC10" i="5"/>
  <c r="BB10" i="5"/>
  <c r="BA10" i="5"/>
  <c r="AZ10" i="5"/>
  <c r="AY10" i="5"/>
  <c r="AX10" i="5"/>
  <c r="AW10" i="5"/>
  <c r="AV10" i="5"/>
  <c r="AU10" i="5"/>
  <c r="AS10" i="5"/>
  <c r="AR10" i="5"/>
  <c r="AQ10" i="5"/>
  <c r="AP10" i="5"/>
  <c r="AO10" i="5"/>
  <c r="AN10" i="5"/>
  <c r="AM10" i="5"/>
  <c r="AL10" i="5"/>
  <c r="AT10" i="5" s="1"/>
  <c r="CE10" i="5" s="1"/>
  <c r="AK10" i="5"/>
  <c r="AJ10" i="5"/>
  <c r="AH10" i="5"/>
  <c r="AG10" i="5"/>
  <c r="AF10" i="5"/>
  <c r="AE10" i="5"/>
  <c r="AD10" i="5"/>
  <c r="AC10" i="5"/>
  <c r="AB10" i="5"/>
  <c r="AA10" i="5"/>
  <c r="Z10" i="5"/>
  <c r="Y10" i="5"/>
  <c r="W10" i="5"/>
  <c r="V10" i="5"/>
  <c r="U10" i="5"/>
  <c r="T10" i="5"/>
  <c r="S10" i="5"/>
  <c r="R10" i="5"/>
  <c r="Q10" i="5"/>
  <c r="P10" i="5"/>
  <c r="O10" i="5"/>
  <c r="N10" i="5"/>
  <c r="L10" i="5"/>
  <c r="K10" i="5"/>
  <c r="J10" i="5"/>
  <c r="I10" i="5"/>
  <c r="H10" i="5"/>
  <c r="G10" i="5"/>
  <c r="F10" i="5"/>
  <c r="E10" i="5"/>
  <c r="D10" i="5"/>
  <c r="C10" i="5"/>
  <c r="B10" i="5"/>
  <c r="A10" i="5"/>
  <c r="BZ9" i="5"/>
  <c r="BY9" i="5"/>
  <c r="BX9" i="5"/>
  <c r="BW9" i="5"/>
  <c r="BV9" i="5"/>
  <c r="BU9" i="5"/>
  <c r="BT9" i="5"/>
  <c r="BS9" i="5"/>
  <c r="BR9" i="5"/>
  <c r="BQ9" i="5"/>
  <c r="BO9" i="5"/>
  <c r="BN9" i="5"/>
  <c r="BM9" i="5"/>
  <c r="BL9" i="5"/>
  <c r="BK9" i="5"/>
  <c r="BJ9" i="5"/>
  <c r="BI9" i="5"/>
  <c r="BH9" i="5"/>
  <c r="BG9" i="5"/>
  <c r="BF9" i="5"/>
  <c r="BD9" i="5"/>
  <c r="BC9" i="5"/>
  <c r="BB9" i="5"/>
  <c r="BA9" i="5"/>
  <c r="AZ9" i="5"/>
  <c r="AY9" i="5"/>
  <c r="AX9" i="5"/>
  <c r="AW9" i="5"/>
  <c r="AV9" i="5"/>
  <c r="AU9" i="5"/>
  <c r="AS9" i="5"/>
  <c r="AR9" i="5"/>
  <c r="AQ9" i="5"/>
  <c r="AP9" i="5"/>
  <c r="AO9" i="5"/>
  <c r="AN9" i="5"/>
  <c r="AM9" i="5"/>
  <c r="AL9" i="5"/>
  <c r="AK9" i="5"/>
  <c r="AJ9" i="5"/>
  <c r="AH9" i="5"/>
  <c r="AG9" i="5"/>
  <c r="AF9" i="5"/>
  <c r="AE9" i="5"/>
  <c r="AD9" i="5"/>
  <c r="AC9" i="5"/>
  <c r="AB9" i="5"/>
  <c r="AA9" i="5"/>
  <c r="Z9" i="5"/>
  <c r="Y9" i="5"/>
  <c r="W9" i="5"/>
  <c r="V9" i="5"/>
  <c r="U9" i="5"/>
  <c r="T9" i="5"/>
  <c r="S9" i="5"/>
  <c r="R9" i="5"/>
  <c r="Q9" i="5"/>
  <c r="P9" i="5"/>
  <c r="O9" i="5"/>
  <c r="N9" i="5"/>
  <c r="L9" i="5"/>
  <c r="K9" i="5"/>
  <c r="J9" i="5"/>
  <c r="I9" i="5"/>
  <c r="H9" i="5"/>
  <c r="G9" i="5"/>
  <c r="F9" i="5"/>
  <c r="E9" i="5"/>
  <c r="D9" i="5"/>
  <c r="C9" i="5"/>
  <c r="B9" i="5"/>
  <c r="A9" i="5"/>
  <c r="BZ8" i="5"/>
  <c r="BY8" i="5"/>
  <c r="BX8" i="5"/>
  <c r="BW8" i="5"/>
  <c r="BV8" i="5"/>
  <c r="BU8" i="5"/>
  <c r="BT8" i="5"/>
  <c r="BS8" i="5"/>
  <c r="BR8" i="5"/>
  <c r="BQ8" i="5"/>
  <c r="BO8" i="5"/>
  <c r="BN8" i="5"/>
  <c r="BM8" i="5"/>
  <c r="BL8" i="5"/>
  <c r="BK8" i="5"/>
  <c r="BJ8" i="5"/>
  <c r="BI8" i="5"/>
  <c r="BH8" i="5"/>
  <c r="BG8" i="5"/>
  <c r="BF8" i="5"/>
  <c r="BD8" i="5"/>
  <c r="BC8" i="5"/>
  <c r="BB8" i="5"/>
  <c r="BA8" i="5"/>
  <c r="AZ8" i="5"/>
  <c r="AY8" i="5"/>
  <c r="AX8" i="5"/>
  <c r="AW8" i="5"/>
  <c r="AV8" i="5"/>
  <c r="AU8" i="5"/>
  <c r="AS8" i="5"/>
  <c r="AR8" i="5"/>
  <c r="AQ8" i="5"/>
  <c r="AP8" i="5"/>
  <c r="AO8" i="5"/>
  <c r="AN8" i="5"/>
  <c r="AM8" i="5"/>
  <c r="AL8" i="5"/>
  <c r="AK8" i="5"/>
  <c r="AJ8" i="5"/>
  <c r="AH8" i="5"/>
  <c r="AG8" i="5"/>
  <c r="AF8" i="5"/>
  <c r="AE8" i="5"/>
  <c r="AD8" i="5"/>
  <c r="AC8" i="5"/>
  <c r="AB8" i="5"/>
  <c r="AA8" i="5"/>
  <c r="Z8" i="5"/>
  <c r="Y8" i="5"/>
  <c r="W8" i="5"/>
  <c r="V8" i="5"/>
  <c r="U8" i="5"/>
  <c r="T8" i="5"/>
  <c r="S8" i="5"/>
  <c r="R8" i="5"/>
  <c r="Q8" i="5"/>
  <c r="P8" i="5"/>
  <c r="O8" i="5"/>
  <c r="N8" i="5"/>
  <c r="L8" i="5"/>
  <c r="K8" i="5"/>
  <c r="J8" i="5"/>
  <c r="I8" i="5"/>
  <c r="H8" i="5"/>
  <c r="G8" i="5"/>
  <c r="F8" i="5"/>
  <c r="E8" i="5"/>
  <c r="D8" i="5"/>
  <c r="C8" i="5"/>
  <c r="B8" i="5"/>
  <c r="A8" i="5"/>
  <c r="BZ7" i="5"/>
  <c r="BY7" i="5"/>
  <c r="BX7" i="5"/>
  <c r="BW7" i="5"/>
  <c r="BV7" i="5"/>
  <c r="BU7" i="5"/>
  <c r="BT7" i="5"/>
  <c r="BS7" i="5"/>
  <c r="BR7" i="5"/>
  <c r="BQ7" i="5"/>
  <c r="BO7" i="5"/>
  <c r="BN7" i="5"/>
  <c r="BM7" i="5"/>
  <c r="BL7" i="5"/>
  <c r="BK7" i="5"/>
  <c r="BJ7" i="5"/>
  <c r="BI7" i="5"/>
  <c r="BH7" i="5"/>
  <c r="BG7" i="5"/>
  <c r="BF7" i="5"/>
  <c r="BD7" i="5"/>
  <c r="BC7" i="5"/>
  <c r="BB7" i="5"/>
  <c r="BA7" i="5"/>
  <c r="AZ7" i="5"/>
  <c r="AY7" i="5"/>
  <c r="AX7" i="5"/>
  <c r="AW7" i="5"/>
  <c r="AV7" i="5"/>
  <c r="AU7" i="5"/>
  <c r="AS7" i="5"/>
  <c r="AR7" i="5"/>
  <c r="AQ7" i="5"/>
  <c r="AP7" i="5"/>
  <c r="AO7" i="5"/>
  <c r="AN7" i="5"/>
  <c r="AM7" i="5"/>
  <c r="AL7" i="5"/>
  <c r="AK7" i="5"/>
  <c r="AJ7" i="5"/>
  <c r="AH7" i="5"/>
  <c r="AG7" i="5"/>
  <c r="AF7" i="5"/>
  <c r="AE7" i="5"/>
  <c r="AD7" i="5"/>
  <c r="AC7" i="5"/>
  <c r="AB7" i="5"/>
  <c r="AA7" i="5"/>
  <c r="Z7" i="5"/>
  <c r="Y7" i="5"/>
  <c r="W7" i="5"/>
  <c r="V7" i="5"/>
  <c r="U7" i="5"/>
  <c r="T7" i="5"/>
  <c r="S7" i="5"/>
  <c r="R7" i="5"/>
  <c r="Q7" i="5"/>
  <c r="P7" i="5"/>
  <c r="O7" i="5"/>
  <c r="N7" i="5"/>
  <c r="L7" i="5"/>
  <c r="K7" i="5"/>
  <c r="J7" i="5"/>
  <c r="I7" i="5"/>
  <c r="H7" i="5"/>
  <c r="G7" i="5"/>
  <c r="F7" i="5"/>
  <c r="E7" i="5"/>
  <c r="D7" i="5"/>
  <c r="C7" i="5"/>
  <c r="B7" i="5"/>
  <c r="A7" i="5"/>
  <c r="BZ6" i="5"/>
  <c r="BY6" i="5"/>
  <c r="BX6" i="5"/>
  <c r="BW6" i="5"/>
  <c r="BV6" i="5"/>
  <c r="BU6" i="5"/>
  <c r="BT6" i="5"/>
  <c r="BS6" i="5"/>
  <c r="BR6" i="5"/>
  <c r="BQ6" i="5"/>
  <c r="BO6" i="5"/>
  <c r="BN6" i="5"/>
  <c r="BM6" i="5"/>
  <c r="BL6" i="5"/>
  <c r="BK6" i="5"/>
  <c r="BJ6" i="5"/>
  <c r="BI6" i="5"/>
  <c r="BH6" i="5"/>
  <c r="BG6" i="5"/>
  <c r="BF6" i="5"/>
  <c r="BD6" i="5"/>
  <c r="BC6" i="5"/>
  <c r="BB6" i="5"/>
  <c r="BA6" i="5"/>
  <c r="AZ6" i="5"/>
  <c r="AY6" i="5"/>
  <c r="AX6" i="5"/>
  <c r="AW6" i="5"/>
  <c r="AV6" i="5"/>
  <c r="AU6" i="5"/>
  <c r="AS6" i="5"/>
  <c r="AR6" i="5"/>
  <c r="AQ6" i="5"/>
  <c r="AP6" i="5"/>
  <c r="AO6" i="5"/>
  <c r="AN6" i="5"/>
  <c r="AM6" i="5"/>
  <c r="AL6" i="5"/>
  <c r="AK6" i="5"/>
  <c r="AJ6" i="5"/>
  <c r="AH6" i="5"/>
  <c r="AG6" i="5"/>
  <c r="AF6" i="5"/>
  <c r="AE6" i="5"/>
  <c r="AD6" i="5"/>
  <c r="AC6" i="5"/>
  <c r="AB6" i="5"/>
  <c r="AA6" i="5"/>
  <c r="Z6" i="5"/>
  <c r="Y6" i="5"/>
  <c r="W6" i="5"/>
  <c r="V6" i="5"/>
  <c r="U6" i="5"/>
  <c r="T6" i="5"/>
  <c r="S6" i="5"/>
  <c r="R6" i="5"/>
  <c r="Q6" i="5"/>
  <c r="P6" i="5"/>
  <c r="O6" i="5"/>
  <c r="N6" i="5"/>
  <c r="L6" i="5"/>
  <c r="K6" i="5"/>
  <c r="J6" i="5"/>
  <c r="I6" i="5"/>
  <c r="H6" i="5"/>
  <c r="G6" i="5"/>
  <c r="F6" i="5"/>
  <c r="E6" i="5"/>
  <c r="D6" i="5"/>
  <c r="C6" i="5"/>
  <c r="B6" i="5"/>
  <c r="A6" i="5"/>
  <c r="BZ5" i="5"/>
  <c r="BY5" i="5"/>
  <c r="BX5" i="5"/>
  <c r="BW5" i="5"/>
  <c r="BV5" i="5"/>
  <c r="BU5" i="5"/>
  <c r="BT5" i="5"/>
  <c r="BS5" i="5"/>
  <c r="BR5" i="5"/>
  <c r="BQ5" i="5"/>
  <c r="BO5" i="5"/>
  <c r="BN5" i="5"/>
  <c r="BM5" i="5"/>
  <c r="BL5" i="5"/>
  <c r="BK5" i="5"/>
  <c r="BJ5" i="5"/>
  <c r="BI5" i="5"/>
  <c r="BH5" i="5"/>
  <c r="BG5" i="5"/>
  <c r="BF5" i="5"/>
  <c r="BD5" i="5"/>
  <c r="BC5" i="5"/>
  <c r="BB5" i="5"/>
  <c r="BA5" i="5"/>
  <c r="AZ5" i="5"/>
  <c r="AY5" i="5"/>
  <c r="AX5" i="5"/>
  <c r="AW5" i="5"/>
  <c r="AV5" i="5"/>
  <c r="AU5" i="5"/>
  <c r="AS5" i="5"/>
  <c r="AR5" i="5"/>
  <c r="AQ5" i="5"/>
  <c r="AP5" i="5"/>
  <c r="AO5" i="5"/>
  <c r="AN5" i="5"/>
  <c r="AM5" i="5"/>
  <c r="AL5" i="5"/>
  <c r="AK5" i="5"/>
  <c r="AJ5" i="5"/>
  <c r="AH5" i="5"/>
  <c r="AG5" i="5"/>
  <c r="AF5" i="5"/>
  <c r="AE5" i="5"/>
  <c r="AD5" i="5"/>
  <c r="AC5" i="5"/>
  <c r="AB5" i="5"/>
  <c r="AA5" i="5"/>
  <c r="Z5" i="5"/>
  <c r="Y5" i="5"/>
  <c r="W5" i="5"/>
  <c r="V5" i="5"/>
  <c r="U5" i="5"/>
  <c r="T5" i="5"/>
  <c r="S5" i="5"/>
  <c r="R5" i="5"/>
  <c r="Q5" i="5"/>
  <c r="P5" i="5"/>
  <c r="O5" i="5"/>
  <c r="N5" i="5"/>
  <c r="L5" i="5"/>
  <c r="K5" i="5"/>
  <c r="J5" i="5"/>
  <c r="I5" i="5"/>
  <c r="H5" i="5"/>
  <c r="G5" i="5"/>
  <c r="F5" i="5"/>
  <c r="E5" i="5"/>
  <c r="D5" i="5"/>
  <c r="C5" i="5"/>
  <c r="B5" i="5"/>
  <c r="A5" i="5"/>
  <c r="BZ4" i="5"/>
  <c r="BY4" i="5"/>
  <c r="BX4" i="5"/>
  <c r="BW4" i="5"/>
  <c r="BV4" i="5"/>
  <c r="BU4" i="5"/>
  <c r="BT4" i="5"/>
  <c r="BS4" i="5"/>
  <c r="BR4" i="5"/>
  <c r="BQ4" i="5"/>
  <c r="BO4" i="5"/>
  <c r="BN4" i="5"/>
  <c r="BM4" i="5"/>
  <c r="BL4" i="5"/>
  <c r="BK4" i="5"/>
  <c r="BJ4" i="5"/>
  <c r="BI4" i="5"/>
  <c r="BH4" i="5"/>
  <c r="BG4" i="5"/>
  <c r="BF4" i="5"/>
  <c r="BD4" i="5"/>
  <c r="BC4" i="5"/>
  <c r="BB4" i="5"/>
  <c r="BA4" i="5"/>
  <c r="AZ4" i="5"/>
  <c r="AY4" i="5"/>
  <c r="AX4" i="5"/>
  <c r="AW4" i="5"/>
  <c r="AV4" i="5"/>
  <c r="AU4" i="5"/>
  <c r="AS4" i="5"/>
  <c r="AR4" i="5"/>
  <c r="AQ4" i="5"/>
  <c r="AP4" i="5"/>
  <c r="AO4" i="5"/>
  <c r="AN4" i="5"/>
  <c r="AM4" i="5"/>
  <c r="AL4" i="5"/>
  <c r="AT4" i="5" s="1"/>
  <c r="CE4" i="5" s="1"/>
  <c r="AK4" i="5"/>
  <c r="AJ4" i="5"/>
  <c r="AH4" i="5"/>
  <c r="AG4" i="5"/>
  <c r="AF4" i="5"/>
  <c r="AE4" i="5"/>
  <c r="AD4" i="5"/>
  <c r="AC4" i="5"/>
  <c r="AB4" i="5"/>
  <c r="AA4" i="5"/>
  <c r="Z4" i="5"/>
  <c r="Y4" i="5"/>
  <c r="W4" i="5"/>
  <c r="V4" i="5"/>
  <c r="U4" i="5"/>
  <c r="T4" i="5"/>
  <c r="S4" i="5"/>
  <c r="R4" i="5"/>
  <c r="Q4" i="5"/>
  <c r="P4" i="5"/>
  <c r="O4" i="5"/>
  <c r="N4" i="5"/>
  <c r="L4" i="5"/>
  <c r="K4" i="5"/>
  <c r="J4" i="5"/>
  <c r="I4" i="5"/>
  <c r="H4" i="5"/>
  <c r="G4" i="5"/>
  <c r="F4" i="5"/>
  <c r="E4" i="5"/>
  <c r="D4" i="5"/>
  <c r="C4" i="5"/>
  <c r="B4" i="5"/>
  <c r="A4" i="5"/>
  <c r="BZ3" i="5"/>
  <c r="BY3" i="5"/>
  <c r="BX3" i="5"/>
  <c r="BW3" i="5"/>
  <c r="BV3" i="5"/>
  <c r="BU3" i="5"/>
  <c r="BT3" i="5"/>
  <c r="BS3" i="5"/>
  <c r="BR3" i="5"/>
  <c r="BQ3" i="5"/>
  <c r="BO3" i="5"/>
  <c r="BN3" i="5"/>
  <c r="BM3" i="5"/>
  <c r="BL3" i="5"/>
  <c r="BK3" i="5"/>
  <c r="BJ3" i="5"/>
  <c r="BI3" i="5"/>
  <c r="BH3" i="5"/>
  <c r="BG3" i="5"/>
  <c r="BF3" i="5"/>
  <c r="BD3" i="5"/>
  <c r="BC3" i="5"/>
  <c r="BB3" i="5"/>
  <c r="BA3" i="5"/>
  <c r="AZ3" i="5"/>
  <c r="AY3" i="5"/>
  <c r="AX3" i="5"/>
  <c r="AW3" i="5"/>
  <c r="AV3" i="5"/>
  <c r="AU3" i="5"/>
  <c r="AS3" i="5"/>
  <c r="AR3" i="5"/>
  <c r="AQ3" i="5"/>
  <c r="AP3" i="5"/>
  <c r="AO3" i="5"/>
  <c r="AN3" i="5"/>
  <c r="AM3" i="5"/>
  <c r="AL3" i="5"/>
  <c r="AK3" i="5"/>
  <c r="AJ3" i="5"/>
  <c r="AH3" i="5"/>
  <c r="AG3" i="5"/>
  <c r="AF3" i="5"/>
  <c r="AE3" i="5"/>
  <c r="AD3" i="5"/>
  <c r="AC3" i="5"/>
  <c r="AB3" i="5"/>
  <c r="AA3" i="5"/>
  <c r="Z3" i="5"/>
  <c r="Y3" i="5"/>
  <c r="W3" i="5"/>
  <c r="V3" i="5"/>
  <c r="U3" i="5"/>
  <c r="T3" i="5"/>
  <c r="S3" i="5"/>
  <c r="R3" i="5"/>
  <c r="Q3" i="5"/>
  <c r="P3" i="5"/>
  <c r="O3" i="5"/>
  <c r="N3" i="5"/>
  <c r="L3" i="5"/>
  <c r="K3" i="5"/>
  <c r="J3" i="5"/>
  <c r="I3" i="5"/>
  <c r="H3" i="5"/>
  <c r="G3" i="5"/>
  <c r="F3" i="5"/>
  <c r="E3" i="5"/>
  <c r="D3" i="5"/>
  <c r="C3" i="5"/>
  <c r="B3" i="5"/>
  <c r="A3" i="5"/>
  <c r="BZ2" i="5"/>
  <c r="BY2" i="5"/>
  <c r="BX2" i="5"/>
  <c r="BW2" i="5"/>
  <c r="BV2" i="5"/>
  <c r="BU2" i="5"/>
  <c r="BT2" i="5"/>
  <c r="BS2" i="5"/>
  <c r="BR2" i="5"/>
  <c r="BQ2" i="5"/>
  <c r="BO2" i="5"/>
  <c r="BN2" i="5"/>
  <c r="BM2" i="5"/>
  <c r="BL2" i="5"/>
  <c r="BK2" i="5"/>
  <c r="BJ2" i="5"/>
  <c r="BI2" i="5"/>
  <c r="BH2" i="5"/>
  <c r="BG2" i="5"/>
  <c r="BF2" i="5"/>
  <c r="BD2" i="5"/>
  <c r="BC2" i="5"/>
  <c r="BB2" i="5"/>
  <c r="BA2" i="5"/>
  <c r="AZ2" i="5"/>
  <c r="AY2" i="5"/>
  <c r="AX2" i="5"/>
  <c r="AW2" i="5"/>
  <c r="AV2" i="5"/>
  <c r="AU2" i="5"/>
  <c r="AS2" i="5"/>
  <c r="AR2" i="5"/>
  <c r="AQ2" i="5"/>
  <c r="AP2" i="5"/>
  <c r="AO2" i="5"/>
  <c r="AN2" i="5"/>
  <c r="AM2" i="5"/>
  <c r="AL2" i="5"/>
  <c r="AK2" i="5"/>
  <c r="AJ2" i="5"/>
  <c r="AH2" i="5"/>
  <c r="AG2" i="5"/>
  <c r="AF2" i="5"/>
  <c r="AE2" i="5"/>
  <c r="AD2" i="5"/>
  <c r="AC2" i="5"/>
  <c r="AB2" i="5"/>
  <c r="AA2" i="5"/>
  <c r="Z2" i="5"/>
  <c r="Y2" i="5"/>
  <c r="W2" i="5"/>
  <c r="V2" i="5"/>
  <c r="U2" i="5"/>
  <c r="T2" i="5"/>
  <c r="S2" i="5"/>
  <c r="R2" i="5"/>
  <c r="Q2" i="5"/>
  <c r="P2" i="5"/>
  <c r="O2" i="5"/>
  <c r="N2" i="5"/>
  <c r="L2" i="5"/>
  <c r="K2" i="5"/>
  <c r="J2" i="5"/>
  <c r="I2" i="5"/>
  <c r="H2" i="5"/>
  <c r="G2" i="5"/>
  <c r="F2" i="5"/>
  <c r="E2" i="5"/>
  <c r="D2" i="5"/>
  <c r="C2" i="5"/>
  <c r="L225" i="4"/>
  <c r="K225" i="4"/>
  <c r="J225" i="4"/>
  <c r="I225" i="4"/>
  <c r="H225" i="4"/>
  <c r="G225" i="4"/>
  <c r="F225" i="4"/>
  <c r="E225" i="4"/>
  <c r="D225" i="4"/>
  <c r="C225" i="4"/>
  <c r="B225" i="4"/>
  <c r="A225" i="4"/>
  <c r="L224" i="4"/>
  <c r="K224" i="4"/>
  <c r="J224" i="4"/>
  <c r="I224" i="4"/>
  <c r="H224" i="4"/>
  <c r="G224" i="4"/>
  <c r="F224" i="4"/>
  <c r="E224" i="4"/>
  <c r="D224" i="4"/>
  <c r="C224" i="4"/>
  <c r="B224" i="4"/>
  <c r="A224" i="4"/>
  <c r="L223" i="4"/>
  <c r="K223" i="4"/>
  <c r="J223" i="4"/>
  <c r="I223" i="4"/>
  <c r="H223" i="4"/>
  <c r="G223" i="4"/>
  <c r="F223" i="4"/>
  <c r="E223" i="4"/>
  <c r="D223" i="4"/>
  <c r="C223" i="4"/>
  <c r="B223" i="4"/>
  <c r="A223" i="4"/>
  <c r="L222" i="4"/>
  <c r="K222" i="4"/>
  <c r="J222" i="4"/>
  <c r="I222" i="4"/>
  <c r="H222" i="4"/>
  <c r="G222" i="4"/>
  <c r="F222" i="4"/>
  <c r="E222" i="4"/>
  <c r="D222" i="4"/>
  <c r="C222" i="4"/>
  <c r="B222" i="4"/>
  <c r="A222" i="4"/>
  <c r="L221" i="4"/>
  <c r="K221" i="4"/>
  <c r="J221" i="4"/>
  <c r="I221" i="4"/>
  <c r="H221" i="4"/>
  <c r="G221" i="4"/>
  <c r="F221" i="4"/>
  <c r="E221" i="4"/>
  <c r="D221" i="4"/>
  <c r="C221" i="4"/>
  <c r="B221" i="4"/>
  <c r="A221" i="4"/>
  <c r="N221" i="4" s="1"/>
  <c r="L220" i="4"/>
  <c r="K220" i="4"/>
  <c r="J220" i="4"/>
  <c r="I220" i="4"/>
  <c r="H220" i="4"/>
  <c r="G220" i="4"/>
  <c r="F220" i="4"/>
  <c r="E220" i="4"/>
  <c r="D220" i="4"/>
  <c r="C220" i="4"/>
  <c r="B220" i="4"/>
  <c r="A220" i="4"/>
  <c r="L219" i="4"/>
  <c r="K219" i="4"/>
  <c r="J219" i="4"/>
  <c r="I219" i="4"/>
  <c r="H219" i="4"/>
  <c r="G219" i="4"/>
  <c r="F219" i="4"/>
  <c r="E219" i="4"/>
  <c r="D219" i="4"/>
  <c r="C219" i="4"/>
  <c r="B219" i="4"/>
  <c r="A219" i="4"/>
  <c r="L218" i="4"/>
  <c r="K218" i="4"/>
  <c r="J218" i="4"/>
  <c r="I218" i="4"/>
  <c r="H218" i="4"/>
  <c r="G218" i="4"/>
  <c r="F218" i="4"/>
  <c r="E218" i="4"/>
  <c r="D218" i="4"/>
  <c r="C218" i="4"/>
  <c r="B218" i="4"/>
  <c r="A218" i="4"/>
  <c r="N218" i="4" s="1"/>
  <c r="L217" i="4"/>
  <c r="K217" i="4"/>
  <c r="J217" i="4"/>
  <c r="N217" i="4" s="1"/>
  <c r="I217" i="4"/>
  <c r="H217" i="4"/>
  <c r="G217" i="4"/>
  <c r="F217" i="4"/>
  <c r="E217" i="4"/>
  <c r="D217" i="4"/>
  <c r="C217" i="4"/>
  <c r="B217" i="4"/>
  <c r="A217" i="4"/>
  <c r="L216" i="4"/>
  <c r="K216" i="4"/>
  <c r="J216" i="4"/>
  <c r="I216" i="4"/>
  <c r="H216" i="4"/>
  <c r="G216" i="4"/>
  <c r="F216" i="4"/>
  <c r="E216" i="4"/>
  <c r="D216" i="4"/>
  <c r="C216" i="4"/>
  <c r="B216" i="4"/>
  <c r="A216" i="4"/>
  <c r="L215" i="4"/>
  <c r="K215" i="4"/>
  <c r="J215" i="4"/>
  <c r="I215" i="4"/>
  <c r="H215" i="4"/>
  <c r="G215" i="4"/>
  <c r="F215" i="4"/>
  <c r="E215" i="4"/>
  <c r="D215" i="4"/>
  <c r="C215" i="4"/>
  <c r="B215" i="4"/>
  <c r="A215" i="4"/>
  <c r="N214" i="4"/>
  <c r="L214" i="4"/>
  <c r="K214" i="4"/>
  <c r="J214" i="4"/>
  <c r="I214" i="4"/>
  <c r="H214" i="4"/>
  <c r="G214" i="4"/>
  <c r="F214" i="4"/>
  <c r="E214" i="4"/>
  <c r="D214" i="4"/>
  <c r="C214" i="4"/>
  <c r="B214" i="4"/>
  <c r="A214" i="4"/>
  <c r="L213" i="4"/>
  <c r="K213" i="4"/>
  <c r="J213" i="4"/>
  <c r="I213" i="4"/>
  <c r="H213" i="4"/>
  <c r="G213" i="4"/>
  <c r="F213" i="4"/>
  <c r="E213" i="4"/>
  <c r="D213" i="4"/>
  <c r="C213" i="4"/>
  <c r="B213" i="4"/>
  <c r="A213" i="4"/>
  <c r="L212" i="4"/>
  <c r="K212" i="4"/>
  <c r="J212" i="4"/>
  <c r="I212" i="4"/>
  <c r="H212" i="4"/>
  <c r="G212" i="4"/>
  <c r="F212" i="4"/>
  <c r="E212" i="4"/>
  <c r="D212" i="4"/>
  <c r="C212" i="4"/>
  <c r="B212" i="4"/>
  <c r="A212" i="4"/>
  <c r="L211" i="4"/>
  <c r="K211" i="4"/>
  <c r="J211" i="4"/>
  <c r="N211" i="4" s="1"/>
  <c r="I211" i="4"/>
  <c r="H211" i="4"/>
  <c r="G211" i="4"/>
  <c r="F211" i="4"/>
  <c r="E211" i="4"/>
  <c r="D211" i="4"/>
  <c r="C211" i="4"/>
  <c r="B211" i="4"/>
  <c r="A211" i="4"/>
  <c r="L210" i="4"/>
  <c r="K210" i="4"/>
  <c r="J210" i="4"/>
  <c r="I210" i="4"/>
  <c r="H210" i="4"/>
  <c r="G210" i="4"/>
  <c r="F210" i="4"/>
  <c r="E210" i="4"/>
  <c r="D210" i="4"/>
  <c r="C210" i="4"/>
  <c r="B210" i="4"/>
  <c r="A210" i="4"/>
  <c r="L209" i="4"/>
  <c r="K209" i="4"/>
  <c r="N209" i="4" s="1"/>
  <c r="J209" i="4"/>
  <c r="I209" i="4"/>
  <c r="H209" i="4"/>
  <c r="G209" i="4"/>
  <c r="F209" i="4"/>
  <c r="E209" i="4"/>
  <c r="D209" i="4"/>
  <c r="C209" i="4"/>
  <c r="B209" i="4"/>
  <c r="A209" i="4"/>
  <c r="L208" i="4"/>
  <c r="K208" i="4"/>
  <c r="J208" i="4"/>
  <c r="I208" i="4"/>
  <c r="H208" i="4"/>
  <c r="G208" i="4"/>
  <c r="F208" i="4"/>
  <c r="E208" i="4"/>
  <c r="D208" i="4"/>
  <c r="C208" i="4"/>
  <c r="B208" i="4"/>
  <c r="A208" i="4"/>
  <c r="L207" i="4"/>
  <c r="K207" i="4"/>
  <c r="J207" i="4"/>
  <c r="I207" i="4"/>
  <c r="H207" i="4"/>
  <c r="G207" i="4"/>
  <c r="F207" i="4"/>
  <c r="E207" i="4"/>
  <c r="D207" i="4"/>
  <c r="C207" i="4"/>
  <c r="B207" i="4"/>
  <c r="A207" i="4"/>
  <c r="L206" i="4"/>
  <c r="N206" i="4" s="1"/>
  <c r="K206" i="4"/>
  <c r="J206" i="4"/>
  <c r="I206" i="4"/>
  <c r="H206" i="4"/>
  <c r="G206" i="4"/>
  <c r="F206" i="4"/>
  <c r="E206" i="4"/>
  <c r="D206" i="4"/>
  <c r="C206" i="4"/>
  <c r="B206" i="4"/>
  <c r="A206" i="4"/>
  <c r="L205" i="4"/>
  <c r="K205" i="4"/>
  <c r="J205" i="4"/>
  <c r="I205" i="4"/>
  <c r="H205" i="4"/>
  <c r="G205" i="4"/>
  <c r="F205" i="4"/>
  <c r="E205" i="4"/>
  <c r="D205" i="4"/>
  <c r="C205" i="4"/>
  <c r="B205" i="4"/>
  <c r="A205" i="4"/>
  <c r="N205" i="4" s="1"/>
  <c r="L204" i="4"/>
  <c r="K204" i="4"/>
  <c r="J204" i="4"/>
  <c r="I204" i="4"/>
  <c r="H204" i="4"/>
  <c r="G204" i="4"/>
  <c r="F204" i="4"/>
  <c r="E204" i="4"/>
  <c r="D204" i="4"/>
  <c r="C204" i="4"/>
  <c r="B204" i="4"/>
  <c r="A204" i="4"/>
  <c r="N203" i="4"/>
  <c r="L203" i="4"/>
  <c r="K203" i="4"/>
  <c r="J203" i="4"/>
  <c r="I203" i="4"/>
  <c r="H203" i="4"/>
  <c r="G203" i="4"/>
  <c r="F203" i="4"/>
  <c r="E203" i="4"/>
  <c r="D203" i="4"/>
  <c r="C203" i="4"/>
  <c r="B203" i="4"/>
  <c r="A203" i="4"/>
  <c r="L202" i="4"/>
  <c r="K202" i="4"/>
  <c r="J202" i="4"/>
  <c r="I202" i="4"/>
  <c r="H202" i="4"/>
  <c r="G202" i="4"/>
  <c r="F202" i="4"/>
  <c r="E202" i="4"/>
  <c r="D202" i="4"/>
  <c r="C202" i="4"/>
  <c r="B202" i="4"/>
  <c r="A202" i="4"/>
  <c r="L201" i="4"/>
  <c r="K201" i="4"/>
  <c r="J201" i="4"/>
  <c r="I201" i="4"/>
  <c r="H201" i="4"/>
  <c r="G201" i="4"/>
  <c r="F201" i="4"/>
  <c r="E201" i="4"/>
  <c r="D201" i="4"/>
  <c r="C201" i="4"/>
  <c r="B201" i="4"/>
  <c r="A201" i="4"/>
  <c r="L200" i="4"/>
  <c r="K200" i="4"/>
  <c r="J200" i="4"/>
  <c r="N200" i="4" s="1"/>
  <c r="I200" i="4"/>
  <c r="H200" i="4"/>
  <c r="G200" i="4"/>
  <c r="F200" i="4"/>
  <c r="E200" i="4"/>
  <c r="D200" i="4"/>
  <c r="C200" i="4"/>
  <c r="B200" i="4"/>
  <c r="A200" i="4"/>
  <c r="L199" i="4"/>
  <c r="K199" i="4"/>
  <c r="J199" i="4"/>
  <c r="I199" i="4"/>
  <c r="H199" i="4"/>
  <c r="G199" i="4"/>
  <c r="F199" i="4"/>
  <c r="E199" i="4"/>
  <c r="D199" i="4"/>
  <c r="C199" i="4"/>
  <c r="B199" i="4"/>
  <c r="A199" i="4"/>
  <c r="L198" i="4"/>
  <c r="K198" i="4"/>
  <c r="J198" i="4"/>
  <c r="I198" i="4"/>
  <c r="H198" i="4"/>
  <c r="G198" i="4"/>
  <c r="F198" i="4"/>
  <c r="E198" i="4"/>
  <c r="D198" i="4"/>
  <c r="C198" i="4"/>
  <c r="B198" i="4"/>
  <c r="A198" i="4"/>
  <c r="L197" i="4"/>
  <c r="K197" i="4"/>
  <c r="J197" i="4"/>
  <c r="I197" i="4"/>
  <c r="H197" i="4"/>
  <c r="G197" i="4"/>
  <c r="F197" i="4"/>
  <c r="E197" i="4"/>
  <c r="D197" i="4"/>
  <c r="C197" i="4"/>
  <c r="B197" i="4"/>
  <c r="A197" i="4"/>
  <c r="L196" i="4"/>
  <c r="K196" i="4"/>
  <c r="N196" i="4" s="1"/>
  <c r="J196" i="4"/>
  <c r="I196" i="4"/>
  <c r="H196" i="4"/>
  <c r="G196" i="4"/>
  <c r="F196" i="4"/>
  <c r="E196" i="4"/>
  <c r="D196" i="4"/>
  <c r="C196" i="4"/>
  <c r="B196" i="4"/>
  <c r="A196" i="4"/>
  <c r="L195" i="4"/>
  <c r="K195" i="4"/>
  <c r="J195" i="4"/>
  <c r="I195" i="4"/>
  <c r="H195" i="4"/>
  <c r="G195" i="4"/>
  <c r="F195" i="4"/>
  <c r="E195" i="4"/>
  <c r="D195" i="4"/>
  <c r="C195" i="4"/>
  <c r="B195" i="4"/>
  <c r="A195" i="4"/>
  <c r="L194" i="4"/>
  <c r="K194" i="4"/>
  <c r="J194" i="4"/>
  <c r="I194" i="4"/>
  <c r="H194" i="4"/>
  <c r="G194" i="4"/>
  <c r="F194" i="4"/>
  <c r="E194" i="4"/>
  <c r="D194" i="4"/>
  <c r="C194" i="4"/>
  <c r="B194" i="4"/>
  <c r="A194" i="4"/>
  <c r="N194" i="4" s="1"/>
  <c r="L193" i="4"/>
  <c r="K193" i="4"/>
  <c r="J193" i="4"/>
  <c r="N193" i="4" s="1"/>
  <c r="I193" i="4"/>
  <c r="H193" i="4"/>
  <c r="G193" i="4"/>
  <c r="F193" i="4"/>
  <c r="E193" i="4"/>
  <c r="D193" i="4"/>
  <c r="C193" i="4"/>
  <c r="B193" i="4"/>
  <c r="A193" i="4"/>
  <c r="L192" i="4"/>
  <c r="K192" i="4"/>
  <c r="J192" i="4"/>
  <c r="I192" i="4"/>
  <c r="H192" i="4"/>
  <c r="G192" i="4"/>
  <c r="F192" i="4"/>
  <c r="E192" i="4"/>
  <c r="D192" i="4"/>
  <c r="C192" i="4"/>
  <c r="B192" i="4"/>
  <c r="A192" i="4"/>
  <c r="L191" i="4"/>
  <c r="K191" i="4"/>
  <c r="J191" i="4"/>
  <c r="I191" i="4"/>
  <c r="H191" i="4"/>
  <c r="G191" i="4"/>
  <c r="F191" i="4"/>
  <c r="E191" i="4"/>
  <c r="D191" i="4"/>
  <c r="C191" i="4"/>
  <c r="B191" i="4"/>
  <c r="A191" i="4"/>
  <c r="L190" i="4"/>
  <c r="K190" i="4"/>
  <c r="J190" i="4"/>
  <c r="I190" i="4"/>
  <c r="H190" i="4"/>
  <c r="G190" i="4"/>
  <c r="F190" i="4"/>
  <c r="E190" i="4"/>
  <c r="D190" i="4"/>
  <c r="C190" i="4"/>
  <c r="B190" i="4"/>
  <c r="A190" i="4"/>
  <c r="L189" i="4"/>
  <c r="K189" i="4"/>
  <c r="J189" i="4"/>
  <c r="I189" i="4"/>
  <c r="H189" i="4"/>
  <c r="G189" i="4"/>
  <c r="F189" i="4"/>
  <c r="E189" i="4"/>
  <c r="D189" i="4"/>
  <c r="C189" i="4"/>
  <c r="B189" i="4"/>
  <c r="A189" i="4"/>
  <c r="L188" i="4"/>
  <c r="N188" i="4" s="1"/>
  <c r="K188" i="4"/>
  <c r="J188" i="4"/>
  <c r="I188" i="4"/>
  <c r="H188" i="4"/>
  <c r="G188" i="4"/>
  <c r="F188" i="4"/>
  <c r="E188" i="4"/>
  <c r="D188" i="4"/>
  <c r="C188" i="4"/>
  <c r="B188" i="4"/>
  <c r="A188" i="4"/>
  <c r="L187" i="4"/>
  <c r="K187" i="4"/>
  <c r="J187" i="4"/>
  <c r="I187" i="4"/>
  <c r="H187" i="4"/>
  <c r="G187" i="4"/>
  <c r="F187" i="4"/>
  <c r="E187" i="4"/>
  <c r="D187" i="4"/>
  <c r="C187" i="4"/>
  <c r="B187" i="4"/>
  <c r="A187" i="4"/>
  <c r="M187" i="4" s="1"/>
  <c r="L186" i="4"/>
  <c r="K186" i="4"/>
  <c r="J186" i="4"/>
  <c r="I186" i="4"/>
  <c r="H186" i="4"/>
  <c r="G186" i="4"/>
  <c r="F186" i="4"/>
  <c r="E186" i="4"/>
  <c r="D186" i="4"/>
  <c r="C186" i="4"/>
  <c r="B186" i="4"/>
  <c r="A186" i="4"/>
  <c r="K185" i="4"/>
  <c r="J185" i="4"/>
  <c r="I185" i="4"/>
  <c r="H185" i="4"/>
  <c r="G185" i="4"/>
  <c r="F185" i="4"/>
  <c r="E185" i="4"/>
  <c r="D185" i="4"/>
  <c r="C185" i="4"/>
  <c r="B185" i="4"/>
  <c r="A185" i="4"/>
  <c r="L184" i="4"/>
  <c r="K184" i="4"/>
  <c r="J184" i="4"/>
  <c r="I184" i="4"/>
  <c r="H184" i="4"/>
  <c r="G184" i="4"/>
  <c r="F184" i="4"/>
  <c r="E184" i="4"/>
  <c r="D184" i="4"/>
  <c r="C184" i="4"/>
  <c r="B184" i="4"/>
  <c r="A184" i="4"/>
  <c r="K183" i="4"/>
  <c r="J183" i="4"/>
  <c r="I183" i="4"/>
  <c r="H183" i="4"/>
  <c r="G183" i="4"/>
  <c r="F183" i="4"/>
  <c r="E183" i="4"/>
  <c r="D183" i="4"/>
  <c r="C183" i="4"/>
  <c r="B183" i="4"/>
  <c r="A183" i="4"/>
  <c r="K182" i="4"/>
  <c r="J182" i="4"/>
  <c r="I182" i="4"/>
  <c r="H182" i="4"/>
  <c r="G182" i="4"/>
  <c r="F182" i="4"/>
  <c r="E182" i="4"/>
  <c r="D182" i="4"/>
  <c r="C182" i="4"/>
  <c r="B182" i="4"/>
  <c r="A182" i="4"/>
  <c r="K181" i="4"/>
  <c r="J181" i="4"/>
  <c r="I181" i="4"/>
  <c r="H181" i="4"/>
  <c r="G181" i="4"/>
  <c r="F181" i="4"/>
  <c r="E181" i="4"/>
  <c r="D181" i="4"/>
  <c r="C181" i="4"/>
  <c r="B181" i="4"/>
  <c r="A181" i="4"/>
  <c r="K180" i="4"/>
  <c r="J180" i="4"/>
  <c r="I180" i="4"/>
  <c r="H180" i="4"/>
  <c r="G180" i="4"/>
  <c r="F180" i="4"/>
  <c r="E180" i="4"/>
  <c r="D180" i="4"/>
  <c r="C180" i="4"/>
  <c r="B180" i="4"/>
  <c r="A180" i="4"/>
  <c r="K179" i="4"/>
  <c r="J179" i="4"/>
  <c r="I179" i="4"/>
  <c r="H179" i="4"/>
  <c r="G179" i="4"/>
  <c r="F179" i="4"/>
  <c r="E179" i="4"/>
  <c r="D179" i="4"/>
  <c r="C179" i="4"/>
  <c r="B179" i="4"/>
  <c r="A179" i="4"/>
  <c r="K178" i="4"/>
  <c r="J178" i="4"/>
  <c r="I178" i="4"/>
  <c r="H178" i="4"/>
  <c r="G178" i="4"/>
  <c r="F178" i="4"/>
  <c r="E178" i="4"/>
  <c r="D178" i="4"/>
  <c r="C178" i="4"/>
  <c r="B178" i="4"/>
  <c r="A178" i="4"/>
  <c r="K177" i="4"/>
  <c r="J177" i="4"/>
  <c r="I177" i="4"/>
  <c r="H177" i="4"/>
  <c r="G177" i="4"/>
  <c r="F177" i="4"/>
  <c r="E177" i="4"/>
  <c r="D177" i="4"/>
  <c r="C177" i="4"/>
  <c r="B177" i="4"/>
  <c r="A177" i="4"/>
  <c r="K176" i="4"/>
  <c r="J176" i="4"/>
  <c r="I176" i="4"/>
  <c r="H176" i="4"/>
  <c r="G176" i="4"/>
  <c r="F176" i="4"/>
  <c r="E176" i="4"/>
  <c r="D176" i="4"/>
  <c r="C176" i="4"/>
  <c r="B176" i="4"/>
  <c r="A176" i="4"/>
  <c r="K175" i="4"/>
  <c r="J175" i="4"/>
  <c r="I175" i="4"/>
  <c r="H175" i="4"/>
  <c r="G175" i="4"/>
  <c r="F175" i="4"/>
  <c r="E175" i="4"/>
  <c r="D175" i="4"/>
  <c r="C175" i="4"/>
  <c r="B175" i="4"/>
  <c r="A175" i="4"/>
  <c r="K174" i="4"/>
  <c r="J174" i="4"/>
  <c r="I174" i="4"/>
  <c r="H174" i="4"/>
  <c r="G174" i="4"/>
  <c r="F174" i="4"/>
  <c r="E174" i="4"/>
  <c r="D174" i="4"/>
  <c r="C174" i="4"/>
  <c r="B174" i="4"/>
  <c r="A174" i="4"/>
  <c r="K173" i="4"/>
  <c r="J173" i="4"/>
  <c r="I173" i="4"/>
  <c r="H173" i="4"/>
  <c r="G173" i="4"/>
  <c r="F173" i="4"/>
  <c r="E173" i="4"/>
  <c r="D173" i="4"/>
  <c r="C173" i="4"/>
  <c r="B173" i="4"/>
  <c r="A173" i="4"/>
  <c r="K172" i="4"/>
  <c r="J172" i="4"/>
  <c r="I172" i="4"/>
  <c r="H172" i="4"/>
  <c r="G172" i="4"/>
  <c r="F172" i="4"/>
  <c r="E172" i="4"/>
  <c r="D172" i="4"/>
  <c r="C172" i="4"/>
  <c r="B172" i="4"/>
  <c r="A172" i="4"/>
  <c r="K171" i="4"/>
  <c r="J171" i="4"/>
  <c r="I171" i="4"/>
  <c r="H171" i="4"/>
  <c r="G171" i="4"/>
  <c r="F171" i="4"/>
  <c r="E171" i="4"/>
  <c r="D171" i="4"/>
  <c r="C171" i="4"/>
  <c r="B171" i="4"/>
  <c r="A171" i="4"/>
  <c r="L170" i="4"/>
  <c r="K170" i="4"/>
  <c r="J170" i="4"/>
  <c r="I170" i="4"/>
  <c r="H170" i="4"/>
  <c r="G170" i="4"/>
  <c r="F170" i="4"/>
  <c r="E170" i="4"/>
  <c r="D170" i="4"/>
  <c r="C170" i="4"/>
  <c r="B170" i="4"/>
  <c r="A170" i="4"/>
  <c r="L169" i="4"/>
  <c r="K169" i="4"/>
  <c r="J169" i="4"/>
  <c r="I169" i="4"/>
  <c r="H169" i="4"/>
  <c r="G169" i="4"/>
  <c r="F169" i="4"/>
  <c r="E169" i="4"/>
  <c r="D169" i="4"/>
  <c r="C169" i="4"/>
  <c r="B169" i="4"/>
  <c r="A169" i="4"/>
  <c r="L168" i="4"/>
  <c r="K168" i="4"/>
  <c r="J168" i="4"/>
  <c r="I168" i="4"/>
  <c r="H168" i="4"/>
  <c r="G168" i="4"/>
  <c r="F168" i="4"/>
  <c r="E168" i="4"/>
  <c r="D168" i="4"/>
  <c r="C168" i="4"/>
  <c r="B168" i="4"/>
  <c r="A168" i="4"/>
  <c r="L167" i="4"/>
  <c r="K167" i="4"/>
  <c r="J167" i="4"/>
  <c r="I167" i="4"/>
  <c r="H167" i="4"/>
  <c r="G167" i="4"/>
  <c r="F167" i="4"/>
  <c r="E167" i="4"/>
  <c r="D167" i="4"/>
  <c r="C167" i="4"/>
  <c r="B167" i="4"/>
  <c r="A167" i="4"/>
  <c r="N167" i="4" s="1"/>
  <c r="L166" i="4"/>
  <c r="K166" i="4"/>
  <c r="J166" i="4"/>
  <c r="N166" i="4" s="1"/>
  <c r="I166" i="4"/>
  <c r="H166" i="4"/>
  <c r="G166" i="4"/>
  <c r="F166" i="4"/>
  <c r="E166" i="4"/>
  <c r="D166" i="4"/>
  <c r="C166" i="4"/>
  <c r="B166" i="4"/>
  <c r="A166" i="4"/>
  <c r="L165" i="4"/>
  <c r="K165" i="4"/>
  <c r="J165" i="4"/>
  <c r="I165" i="4"/>
  <c r="H165" i="4"/>
  <c r="G165" i="4"/>
  <c r="F165" i="4"/>
  <c r="E165" i="4"/>
  <c r="D165" i="4"/>
  <c r="C165" i="4"/>
  <c r="B165" i="4"/>
  <c r="A165" i="4"/>
  <c r="L164" i="4"/>
  <c r="K164" i="4"/>
  <c r="J164" i="4"/>
  <c r="I164" i="4"/>
  <c r="H164" i="4"/>
  <c r="G164" i="4"/>
  <c r="F164" i="4"/>
  <c r="E164" i="4"/>
  <c r="D164" i="4"/>
  <c r="C164" i="4"/>
  <c r="B164" i="4"/>
  <c r="A164" i="4"/>
  <c r="N163" i="4"/>
  <c r="L163" i="4"/>
  <c r="K163" i="4"/>
  <c r="J163" i="4"/>
  <c r="I163" i="4"/>
  <c r="H163" i="4"/>
  <c r="G163" i="4"/>
  <c r="F163" i="4"/>
  <c r="E163" i="4"/>
  <c r="D163" i="4"/>
  <c r="C163" i="4"/>
  <c r="B163" i="4"/>
  <c r="A163" i="4"/>
  <c r="K162" i="4"/>
  <c r="J162" i="4"/>
  <c r="I162" i="4"/>
  <c r="H162" i="4"/>
  <c r="G162" i="4"/>
  <c r="F162" i="4"/>
  <c r="E162" i="4"/>
  <c r="D162" i="4"/>
  <c r="C162" i="4"/>
  <c r="B162" i="4"/>
  <c r="A162" i="4"/>
  <c r="K161" i="4"/>
  <c r="J161" i="4"/>
  <c r="I161" i="4"/>
  <c r="H161" i="4"/>
  <c r="G161" i="4"/>
  <c r="F161" i="4"/>
  <c r="E161" i="4"/>
  <c r="D161" i="4"/>
  <c r="C161" i="4"/>
  <c r="B161" i="4"/>
  <c r="A161" i="4"/>
  <c r="K160" i="4"/>
  <c r="J160" i="4"/>
  <c r="I160" i="4"/>
  <c r="H160" i="4"/>
  <c r="G160" i="4"/>
  <c r="F160" i="4"/>
  <c r="E160" i="4"/>
  <c r="D160" i="4"/>
  <c r="C160" i="4"/>
  <c r="B160" i="4"/>
  <c r="A160" i="4"/>
  <c r="K159" i="4"/>
  <c r="J159" i="4"/>
  <c r="I159" i="4"/>
  <c r="H159" i="4"/>
  <c r="G159" i="4"/>
  <c r="F159" i="4"/>
  <c r="E159" i="4"/>
  <c r="D159" i="4"/>
  <c r="C159" i="4"/>
  <c r="B159" i="4"/>
  <c r="A159" i="4"/>
  <c r="K158" i="4"/>
  <c r="J158" i="4"/>
  <c r="I158" i="4"/>
  <c r="H158" i="4"/>
  <c r="G158" i="4"/>
  <c r="F158" i="4"/>
  <c r="E158" i="4"/>
  <c r="D158" i="4"/>
  <c r="C158" i="4"/>
  <c r="B158" i="4"/>
  <c r="A158" i="4"/>
  <c r="L157" i="4"/>
  <c r="K157" i="4"/>
  <c r="J157" i="4"/>
  <c r="N157" i="4" s="1"/>
  <c r="I157" i="4"/>
  <c r="H157" i="4"/>
  <c r="G157" i="4"/>
  <c r="F157" i="4"/>
  <c r="E157" i="4"/>
  <c r="D157" i="4"/>
  <c r="C157" i="4"/>
  <c r="B157" i="4"/>
  <c r="A157" i="4"/>
  <c r="K156" i="4"/>
  <c r="J156" i="4"/>
  <c r="I156" i="4"/>
  <c r="H156" i="4"/>
  <c r="G156" i="4"/>
  <c r="F156" i="4"/>
  <c r="E156" i="4"/>
  <c r="D156" i="4"/>
  <c r="C156" i="4"/>
  <c r="B156" i="4"/>
  <c r="A156" i="4"/>
  <c r="K155" i="4"/>
  <c r="J155" i="4"/>
  <c r="I155" i="4"/>
  <c r="H155" i="4"/>
  <c r="G155" i="4"/>
  <c r="F155" i="4"/>
  <c r="E155" i="4"/>
  <c r="D155" i="4"/>
  <c r="C155" i="4"/>
  <c r="B155" i="4"/>
  <c r="A155" i="4"/>
  <c r="K154" i="4"/>
  <c r="J154" i="4"/>
  <c r="I154" i="4"/>
  <c r="H154" i="4"/>
  <c r="G154" i="4"/>
  <c r="F154" i="4"/>
  <c r="E154" i="4"/>
  <c r="D154" i="4"/>
  <c r="C154" i="4"/>
  <c r="B154" i="4"/>
  <c r="A154" i="4"/>
  <c r="K153" i="4"/>
  <c r="J153" i="4"/>
  <c r="I153" i="4"/>
  <c r="H153" i="4"/>
  <c r="G153" i="4"/>
  <c r="F153" i="4"/>
  <c r="E153" i="4"/>
  <c r="D153" i="4"/>
  <c r="C153" i="4"/>
  <c r="B153" i="4"/>
  <c r="A153" i="4"/>
  <c r="K152" i="4"/>
  <c r="J152" i="4"/>
  <c r="I152" i="4"/>
  <c r="H152" i="4"/>
  <c r="G152" i="4"/>
  <c r="F152" i="4"/>
  <c r="E152" i="4"/>
  <c r="D152" i="4"/>
  <c r="C152" i="4"/>
  <c r="B152" i="4"/>
  <c r="A152" i="4"/>
  <c r="K151" i="4"/>
  <c r="J151" i="4"/>
  <c r="I151" i="4"/>
  <c r="H151" i="4"/>
  <c r="G151" i="4"/>
  <c r="F151" i="4"/>
  <c r="E151" i="4"/>
  <c r="D151" i="4"/>
  <c r="C151" i="4"/>
  <c r="B151" i="4"/>
  <c r="A151" i="4"/>
  <c r="K150" i="4"/>
  <c r="J150" i="4"/>
  <c r="I150" i="4"/>
  <c r="H150" i="4"/>
  <c r="G150" i="4"/>
  <c r="F150" i="4"/>
  <c r="E150" i="4"/>
  <c r="D150" i="4"/>
  <c r="C150" i="4"/>
  <c r="B150" i="4"/>
  <c r="A150" i="4"/>
  <c r="K149" i="4"/>
  <c r="J149" i="4"/>
  <c r="I149" i="4"/>
  <c r="H149" i="4"/>
  <c r="G149" i="4"/>
  <c r="F149" i="4"/>
  <c r="E149" i="4"/>
  <c r="D149" i="4"/>
  <c r="C149" i="4"/>
  <c r="B149" i="4"/>
  <c r="A149" i="4"/>
  <c r="K148" i="4"/>
  <c r="J148" i="4"/>
  <c r="I148" i="4"/>
  <c r="H148" i="4"/>
  <c r="G148" i="4"/>
  <c r="F148" i="4"/>
  <c r="E148" i="4"/>
  <c r="D148" i="4"/>
  <c r="C148" i="4"/>
  <c r="B148" i="4"/>
  <c r="A148" i="4"/>
  <c r="K147" i="4"/>
  <c r="J147" i="4"/>
  <c r="I147" i="4"/>
  <c r="H147" i="4"/>
  <c r="G147" i="4"/>
  <c r="F147" i="4"/>
  <c r="E147" i="4"/>
  <c r="D147" i="4"/>
  <c r="C147" i="4"/>
  <c r="B147" i="4"/>
  <c r="A147" i="4"/>
  <c r="K146" i="4"/>
  <c r="J146" i="4"/>
  <c r="I146" i="4"/>
  <c r="H146" i="4"/>
  <c r="G146" i="4"/>
  <c r="F146" i="4"/>
  <c r="E146" i="4"/>
  <c r="D146" i="4"/>
  <c r="C146" i="4"/>
  <c r="B146" i="4"/>
  <c r="A146" i="4"/>
  <c r="K145" i="4"/>
  <c r="J145" i="4"/>
  <c r="I145" i="4"/>
  <c r="H145" i="4"/>
  <c r="G145" i="4"/>
  <c r="F145" i="4"/>
  <c r="E145" i="4"/>
  <c r="D145" i="4"/>
  <c r="C145" i="4"/>
  <c r="B145" i="4"/>
  <c r="A145" i="4"/>
  <c r="K144" i="4"/>
  <c r="J144" i="4"/>
  <c r="I144" i="4"/>
  <c r="H144" i="4"/>
  <c r="G144" i="4"/>
  <c r="F144" i="4"/>
  <c r="E144" i="4"/>
  <c r="D144" i="4"/>
  <c r="C144" i="4"/>
  <c r="B144" i="4"/>
  <c r="A144" i="4"/>
  <c r="L143" i="4"/>
  <c r="K143" i="4"/>
  <c r="J143" i="4"/>
  <c r="I143" i="4"/>
  <c r="H143" i="4"/>
  <c r="G143" i="4"/>
  <c r="F143" i="4"/>
  <c r="E143" i="4"/>
  <c r="D143" i="4"/>
  <c r="C143" i="4"/>
  <c r="B143" i="4"/>
  <c r="A143" i="4"/>
  <c r="N143" i="4" s="1"/>
  <c r="L142" i="4"/>
  <c r="K142" i="4"/>
  <c r="J142" i="4"/>
  <c r="I142" i="4"/>
  <c r="H142" i="4"/>
  <c r="G142" i="4"/>
  <c r="F142" i="4"/>
  <c r="E142" i="4"/>
  <c r="D142" i="4"/>
  <c r="C142" i="4"/>
  <c r="B142" i="4"/>
  <c r="A142" i="4"/>
  <c r="L141" i="4"/>
  <c r="N141" i="4" s="1"/>
  <c r="K141" i="4"/>
  <c r="J141" i="4"/>
  <c r="I141" i="4"/>
  <c r="H141" i="4"/>
  <c r="G141" i="4"/>
  <c r="F141" i="4"/>
  <c r="E141" i="4"/>
  <c r="D141" i="4"/>
  <c r="C141" i="4"/>
  <c r="B141" i="4"/>
  <c r="A141" i="4"/>
  <c r="L140" i="4"/>
  <c r="K140" i="4"/>
  <c r="J140" i="4"/>
  <c r="N140" i="4" s="1"/>
  <c r="I140" i="4"/>
  <c r="H140" i="4"/>
  <c r="G140" i="4"/>
  <c r="F140" i="4"/>
  <c r="E140" i="4"/>
  <c r="D140" i="4"/>
  <c r="C140" i="4"/>
  <c r="B140" i="4"/>
  <c r="A140" i="4"/>
  <c r="L139" i="4"/>
  <c r="K139" i="4"/>
  <c r="J139" i="4"/>
  <c r="I139" i="4"/>
  <c r="H139" i="4"/>
  <c r="G139" i="4"/>
  <c r="F139" i="4"/>
  <c r="E139" i="4"/>
  <c r="D139" i="4"/>
  <c r="C139" i="4"/>
  <c r="B139" i="4"/>
  <c r="A139" i="4"/>
  <c r="L138" i="4"/>
  <c r="K138" i="4"/>
  <c r="J138" i="4"/>
  <c r="I138" i="4"/>
  <c r="H138" i="4"/>
  <c r="G138" i="4"/>
  <c r="F138" i="4"/>
  <c r="E138" i="4"/>
  <c r="D138" i="4"/>
  <c r="C138" i="4"/>
  <c r="B138" i="4"/>
  <c r="A138" i="4"/>
  <c r="K137" i="4"/>
  <c r="J137" i="4"/>
  <c r="I137" i="4"/>
  <c r="H137" i="4"/>
  <c r="G137" i="4"/>
  <c r="F137" i="4"/>
  <c r="E137" i="4"/>
  <c r="D137" i="4"/>
  <c r="C137" i="4"/>
  <c r="B137" i="4"/>
  <c r="A137" i="4"/>
  <c r="K136" i="4"/>
  <c r="J136" i="4"/>
  <c r="I136" i="4"/>
  <c r="H136" i="4"/>
  <c r="G136" i="4"/>
  <c r="F136" i="4"/>
  <c r="E136" i="4"/>
  <c r="D136" i="4"/>
  <c r="C136" i="4"/>
  <c r="B136" i="4"/>
  <c r="A136" i="4"/>
  <c r="K135" i="4"/>
  <c r="J135" i="4"/>
  <c r="I135" i="4"/>
  <c r="H135" i="4"/>
  <c r="G135" i="4"/>
  <c r="F135" i="4"/>
  <c r="E135" i="4"/>
  <c r="D135" i="4"/>
  <c r="C135" i="4"/>
  <c r="B135" i="4"/>
  <c r="A135" i="4"/>
  <c r="K134" i="4"/>
  <c r="J134" i="4"/>
  <c r="I134" i="4"/>
  <c r="H134" i="4"/>
  <c r="G134" i="4"/>
  <c r="F134" i="4"/>
  <c r="E134" i="4"/>
  <c r="D134" i="4"/>
  <c r="C134" i="4"/>
  <c r="B134" i="4"/>
  <c r="A134" i="4"/>
  <c r="K133" i="4"/>
  <c r="J133" i="4"/>
  <c r="I133" i="4"/>
  <c r="H133" i="4"/>
  <c r="G133" i="4"/>
  <c r="F133" i="4"/>
  <c r="E133" i="4"/>
  <c r="D133" i="4"/>
  <c r="C133" i="4"/>
  <c r="B133" i="4"/>
  <c r="A133" i="4"/>
  <c r="K132" i="4"/>
  <c r="J132" i="4"/>
  <c r="I132" i="4"/>
  <c r="H132" i="4"/>
  <c r="G132" i="4"/>
  <c r="F132" i="4"/>
  <c r="E132" i="4"/>
  <c r="D132" i="4"/>
  <c r="C132" i="4"/>
  <c r="B132" i="4"/>
  <c r="A132" i="4"/>
  <c r="L131" i="4"/>
  <c r="K131" i="4"/>
  <c r="N131" i="4" s="1"/>
  <c r="J131" i="4"/>
  <c r="I131" i="4"/>
  <c r="H131" i="4"/>
  <c r="G131" i="4"/>
  <c r="F131" i="4"/>
  <c r="E131" i="4"/>
  <c r="D131" i="4"/>
  <c r="C131" i="4"/>
  <c r="B131" i="4"/>
  <c r="A131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L129" i="4"/>
  <c r="K129" i="4"/>
  <c r="J129" i="4"/>
  <c r="I129" i="4"/>
  <c r="H129" i="4"/>
  <c r="G129" i="4"/>
  <c r="F129" i="4"/>
  <c r="E129" i="4"/>
  <c r="D129" i="4"/>
  <c r="C129" i="4"/>
  <c r="B129" i="4"/>
  <c r="A129" i="4"/>
  <c r="N129" i="4" s="1"/>
  <c r="L128" i="4"/>
  <c r="K128" i="4"/>
  <c r="J128" i="4"/>
  <c r="I128" i="4"/>
  <c r="H128" i="4"/>
  <c r="G128" i="4"/>
  <c r="F128" i="4"/>
  <c r="E128" i="4"/>
  <c r="D128" i="4"/>
  <c r="C128" i="4"/>
  <c r="B128" i="4"/>
  <c r="A128" i="4"/>
  <c r="L127" i="4"/>
  <c r="K127" i="4"/>
  <c r="J127" i="4"/>
  <c r="I127" i="4"/>
  <c r="H127" i="4"/>
  <c r="G127" i="4"/>
  <c r="F127" i="4"/>
  <c r="E127" i="4"/>
  <c r="D127" i="4"/>
  <c r="C127" i="4"/>
  <c r="B127" i="4"/>
  <c r="A127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L125" i="4"/>
  <c r="K125" i="4"/>
  <c r="J125" i="4"/>
  <c r="I125" i="4"/>
  <c r="H125" i="4"/>
  <c r="G125" i="4"/>
  <c r="F125" i="4"/>
  <c r="E125" i="4"/>
  <c r="D125" i="4"/>
  <c r="C125" i="4"/>
  <c r="B125" i="4"/>
  <c r="A125" i="4"/>
  <c r="L124" i="4"/>
  <c r="K124" i="4"/>
  <c r="J124" i="4"/>
  <c r="I124" i="4"/>
  <c r="H124" i="4"/>
  <c r="G124" i="4"/>
  <c r="F124" i="4"/>
  <c r="E124" i="4"/>
  <c r="D124" i="4"/>
  <c r="C124" i="4"/>
  <c r="B124" i="4"/>
  <c r="A124" i="4"/>
  <c r="L123" i="4"/>
  <c r="K123" i="4"/>
  <c r="J123" i="4"/>
  <c r="N123" i="4" s="1"/>
  <c r="I123" i="4"/>
  <c r="H123" i="4"/>
  <c r="G123" i="4"/>
  <c r="F123" i="4"/>
  <c r="E123" i="4"/>
  <c r="D123" i="4"/>
  <c r="C123" i="4"/>
  <c r="B123" i="4"/>
  <c r="A123" i="4"/>
  <c r="L122" i="4"/>
  <c r="J122" i="4"/>
  <c r="I122" i="4"/>
  <c r="H122" i="4"/>
  <c r="G122" i="4"/>
  <c r="F122" i="4"/>
  <c r="E122" i="4"/>
  <c r="D122" i="4"/>
  <c r="C122" i="4"/>
  <c r="B122" i="4"/>
  <c r="A122" i="4"/>
  <c r="L121" i="4"/>
  <c r="J121" i="4"/>
  <c r="I121" i="4"/>
  <c r="H121" i="4"/>
  <c r="G121" i="4"/>
  <c r="F121" i="4"/>
  <c r="E121" i="4"/>
  <c r="D121" i="4"/>
  <c r="C121" i="4"/>
  <c r="B121" i="4"/>
  <c r="A121" i="4"/>
  <c r="L120" i="4"/>
  <c r="J120" i="4"/>
  <c r="I120" i="4"/>
  <c r="H120" i="4"/>
  <c r="G120" i="4"/>
  <c r="F120" i="4"/>
  <c r="E120" i="4"/>
  <c r="D120" i="4"/>
  <c r="C120" i="4"/>
  <c r="B120" i="4"/>
  <c r="A120" i="4"/>
  <c r="L119" i="4"/>
  <c r="J119" i="4"/>
  <c r="I119" i="4"/>
  <c r="H119" i="4"/>
  <c r="G119" i="4"/>
  <c r="F119" i="4"/>
  <c r="E119" i="4"/>
  <c r="D119" i="4"/>
  <c r="C119" i="4"/>
  <c r="B119" i="4"/>
  <c r="A119" i="4"/>
  <c r="L118" i="4"/>
  <c r="J118" i="4"/>
  <c r="I118" i="4"/>
  <c r="H118" i="4"/>
  <c r="G118" i="4"/>
  <c r="F118" i="4"/>
  <c r="E118" i="4"/>
  <c r="D118" i="4"/>
  <c r="C118" i="4"/>
  <c r="B118" i="4"/>
  <c r="A118" i="4"/>
  <c r="L117" i="4"/>
  <c r="J117" i="4"/>
  <c r="I117" i="4"/>
  <c r="H117" i="4"/>
  <c r="G117" i="4"/>
  <c r="F117" i="4"/>
  <c r="E117" i="4"/>
  <c r="D117" i="4"/>
  <c r="C117" i="4"/>
  <c r="B117" i="4"/>
  <c r="A117" i="4"/>
  <c r="L116" i="4"/>
  <c r="J116" i="4"/>
  <c r="I116" i="4"/>
  <c r="H116" i="4"/>
  <c r="G116" i="4"/>
  <c r="F116" i="4"/>
  <c r="E116" i="4"/>
  <c r="D116" i="4"/>
  <c r="C116" i="4"/>
  <c r="B116" i="4"/>
  <c r="A116" i="4"/>
  <c r="L115" i="4"/>
  <c r="J115" i="4"/>
  <c r="I115" i="4"/>
  <c r="H115" i="4"/>
  <c r="G115" i="4"/>
  <c r="F115" i="4"/>
  <c r="E115" i="4"/>
  <c r="D115" i="4"/>
  <c r="C115" i="4"/>
  <c r="B115" i="4"/>
  <c r="A115" i="4"/>
  <c r="L114" i="4"/>
  <c r="J114" i="4"/>
  <c r="I114" i="4"/>
  <c r="H114" i="4"/>
  <c r="G114" i="4"/>
  <c r="F114" i="4"/>
  <c r="E114" i="4"/>
  <c r="D114" i="4"/>
  <c r="C114" i="4"/>
  <c r="B114" i="4"/>
  <c r="A114" i="4"/>
  <c r="L113" i="4"/>
  <c r="J113" i="4"/>
  <c r="I113" i="4"/>
  <c r="H113" i="4"/>
  <c r="G113" i="4"/>
  <c r="F113" i="4"/>
  <c r="E113" i="4"/>
  <c r="D113" i="4"/>
  <c r="C113" i="4"/>
  <c r="B113" i="4"/>
  <c r="A113" i="4"/>
  <c r="L112" i="4"/>
  <c r="J112" i="4"/>
  <c r="I112" i="4"/>
  <c r="H112" i="4"/>
  <c r="G112" i="4"/>
  <c r="F112" i="4"/>
  <c r="E112" i="4"/>
  <c r="D112" i="4"/>
  <c r="C112" i="4"/>
  <c r="B112" i="4"/>
  <c r="A112" i="4"/>
  <c r="L111" i="4"/>
  <c r="J111" i="4"/>
  <c r="I111" i="4"/>
  <c r="H111" i="4"/>
  <c r="G111" i="4"/>
  <c r="F111" i="4"/>
  <c r="E111" i="4"/>
  <c r="D111" i="4"/>
  <c r="C111" i="4"/>
  <c r="B111" i="4"/>
  <c r="A111" i="4"/>
  <c r="L110" i="4"/>
  <c r="J110" i="4"/>
  <c r="I110" i="4"/>
  <c r="H110" i="4"/>
  <c r="G110" i="4"/>
  <c r="F110" i="4"/>
  <c r="E110" i="4"/>
  <c r="D110" i="4"/>
  <c r="C110" i="4"/>
  <c r="B110" i="4"/>
  <c r="A110" i="4"/>
  <c r="L109" i="4"/>
  <c r="J109" i="4"/>
  <c r="I109" i="4"/>
  <c r="H109" i="4"/>
  <c r="G109" i="4"/>
  <c r="F109" i="4"/>
  <c r="E109" i="4"/>
  <c r="D109" i="4"/>
  <c r="C109" i="4"/>
  <c r="B109" i="4"/>
  <c r="A109" i="4"/>
  <c r="L108" i="4"/>
  <c r="J108" i="4"/>
  <c r="I108" i="4"/>
  <c r="H108" i="4"/>
  <c r="G108" i="4"/>
  <c r="F108" i="4"/>
  <c r="E108" i="4"/>
  <c r="D108" i="4"/>
  <c r="C108" i="4"/>
  <c r="B108" i="4"/>
  <c r="A108" i="4"/>
  <c r="L107" i="4"/>
  <c r="J107" i="4"/>
  <c r="I107" i="4"/>
  <c r="H107" i="4"/>
  <c r="G107" i="4"/>
  <c r="F107" i="4"/>
  <c r="E107" i="4"/>
  <c r="D107" i="4"/>
  <c r="C107" i="4"/>
  <c r="B107" i="4"/>
  <c r="A107" i="4"/>
  <c r="L106" i="4"/>
  <c r="J106" i="4"/>
  <c r="I106" i="4"/>
  <c r="H106" i="4"/>
  <c r="G106" i="4"/>
  <c r="F106" i="4"/>
  <c r="E106" i="4"/>
  <c r="D106" i="4"/>
  <c r="C106" i="4"/>
  <c r="B106" i="4"/>
  <c r="A106" i="4"/>
  <c r="L105" i="4"/>
  <c r="J105" i="4"/>
  <c r="I105" i="4"/>
  <c r="H105" i="4"/>
  <c r="G105" i="4"/>
  <c r="F105" i="4"/>
  <c r="E105" i="4"/>
  <c r="D105" i="4"/>
  <c r="C105" i="4"/>
  <c r="B105" i="4"/>
  <c r="A105" i="4"/>
  <c r="L104" i="4"/>
  <c r="J104" i="4"/>
  <c r="I104" i="4"/>
  <c r="H104" i="4"/>
  <c r="G104" i="4"/>
  <c r="F104" i="4"/>
  <c r="E104" i="4"/>
  <c r="D104" i="4"/>
  <c r="C104" i="4"/>
  <c r="B104" i="4"/>
  <c r="A104" i="4"/>
  <c r="L103" i="4"/>
  <c r="J103" i="4"/>
  <c r="I103" i="4"/>
  <c r="H103" i="4"/>
  <c r="G103" i="4"/>
  <c r="F103" i="4"/>
  <c r="E103" i="4"/>
  <c r="D103" i="4"/>
  <c r="M103" i="4" s="1"/>
  <c r="C103" i="4"/>
  <c r="B103" i="4"/>
  <c r="A103" i="4"/>
  <c r="L102" i="4"/>
  <c r="K102" i="4"/>
  <c r="J102" i="4"/>
  <c r="I102" i="4"/>
  <c r="H102" i="4"/>
  <c r="G102" i="4"/>
  <c r="F102" i="4"/>
  <c r="E102" i="4"/>
  <c r="D102" i="4"/>
  <c r="C102" i="4"/>
  <c r="B102" i="4"/>
  <c r="A102" i="4"/>
  <c r="L101" i="4"/>
  <c r="K101" i="4"/>
  <c r="J101" i="4"/>
  <c r="I101" i="4"/>
  <c r="H101" i="4"/>
  <c r="G101" i="4"/>
  <c r="F101" i="4"/>
  <c r="E101" i="4"/>
  <c r="D101" i="4"/>
  <c r="C101" i="4"/>
  <c r="B101" i="4"/>
  <c r="A101" i="4"/>
  <c r="L100" i="4"/>
  <c r="K100" i="4"/>
  <c r="J100" i="4"/>
  <c r="I100" i="4"/>
  <c r="H100" i="4"/>
  <c r="G100" i="4"/>
  <c r="F100" i="4"/>
  <c r="E100" i="4"/>
  <c r="D100" i="4"/>
  <c r="C100" i="4"/>
  <c r="B100" i="4"/>
  <c r="A100" i="4"/>
  <c r="L99" i="4"/>
  <c r="N99" i="4" s="1"/>
  <c r="K99" i="4"/>
  <c r="J99" i="4"/>
  <c r="I99" i="4"/>
  <c r="H99" i="4"/>
  <c r="G99" i="4"/>
  <c r="F99" i="4"/>
  <c r="E99" i="4"/>
  <c r="D99" i="4"/>
  <c r="C99" i="4"/>
  <c r="B99" i="4"/>
  <c r="A99" i="4"/>
  <c r="L98" i="4"/>
  <c r="K98" i="4"/>
  <c r="J98" i="4"/>
  <c r="I98" i="4"/>
  <c r="H98" i="4"/>
  <c r="G98" i="4"/>
  <c r="F98" i="4"/>
  <c r="E98" i="4"/>
  <c r="D98" i="4"/>
  <c r="C98" i="4"/>
  <c r="B98" i="4"/>
  <c r="A98" i="4"/>
  <c r="M98" i="4" s="1"/>
  <c r="L97" i="4"/>
  <c r="K97" i="4"/>
  <c r="J97" i="4"/>
  <c r="I97" i="4"/>
  <c r="H97" i="4"/>
  <c r="G97" i="4"/>
  <c r="F97" i="4"/>
  <c r="E97" i="4"/>
  <c r="D97" i="4"/>
  <c r="C97" i="4"/>
  <c r="B97" i="4"/>
  <c r="A97" i="4"/>
  <c r="L96" i="4"/>
  <c r="K96" i="4"/>
  <c r="J96" i="4"/>
  <c r="I96" i="4"/>
  <c r="H96" i="4"/>
  <c r="G96" i="4"/>
  <c r="F96" i="4"/>
  <c r="E96" i="4"/>
  <c r="D96" i="4"/>
  <c r="C96" i="4"/>
  <c r="B96" i="4"/>
  <c r="A96" i="4"/>
  <c r="L95" i="4"/>
  <c r="K95" i="4"/>
  <c r="J95" i="4"/>
  <c r="N95" i="4" s="1"/>
  <c r="I95" i="4"/>
  <c r="H95" i="4"/>
  <c r="G95" i="4"/>
  <c r="F95" i="4"/>
  <c r="E95" i="4"/>
  <c r="D95" i="4"/>
  <c r="C95" i="4"/>
  <c r="B95" i="4"/>
  <c r="A95" i="4"/>
  <c r="L94" i="4"/>
  <c r="K94" i="4"/>
  <c r="J94" i="4"/>
  <c r="I94" i="4"/>
  <c r="H94" i="4"/>
  <c r="G94" i="4"/>
  <c r="F94" i="4"/>
  <c r="E94" i="4"/>
  <c r="D94" i="4"/>
  <c r="C94" i="4"/>
  <c r="B94" i="4"/>
  <c r="A94" i="4"/>
  <c r="L93" i="4"/>
  <c r="K93" i="4"/>
  <c r="J93" i="4"/>
  <c r="I93" i="4"/>
  <c r="H93" i="4"/>
  <c r="G93" i="4"/>
  <c r="F93" i="4"/>
  <c r="E93" i="4"/>
  <c r="D93" i="4"/>
  <c r="C93" i="4"/>
  <c r="B93" i="4"/>
  <c r="A93" i="4"/>
  <c r="L92" i="4"/>
  <c r="K92" i="4"/>
  <c r="N92" i="4" s="1"/>
  <c r="J92" i="4"/>
  <c r="I92" i="4"/>
  <c r="H92" i="4"/>
  <c r="G92" i="4"/>
  <c r="F92" i="4"/>
  <c r="E92" i="4"/>
  <c r="D92" i="4"/>
  <c r="C92" i="4"/>
  <c r="B92" i="4"/>
  <c r="A92" i="4"/>
  <c r="L91" i="4"/>
  <c r="K91" i="4"/>
  <c r="J91" i="4"/>
  <c r="I91" i="4"/>
  <c r="H91" i="4"/>
  <c r="F91" i="4"/>
  <c r="E91" i="4"/>
  <c r="D91" i="4"/>
  <c r="C91" i="4"/>
  <c r="B91" i="4"/>
  <c r="A91" i="4"/>
  <c r="L90" i="4"/>
  <c r="K90" i="4"/>
  <c r="J90" i="4"/>
  <c r="I90" i="4"/>
  <c r="H90" i="4"/>
  <c r="F90" i="4"/>
  <c r="E90" i="4"/>
  <c r="D90" i="4"/>
  <c r="C90" i="4"/>
  <c r="B90" i="4"/>
  <c r="A90" i="4"/>
  <c r="L89" i="4"/>
  <c r="K89" i="4"/>
  <c r="J89" i="4"/>
  <c r="I89" i="4"/>
  <c r="H89" i="4"/>
  <c r="F89" i="4"/>
  <c r="E89" i="4"/>
  <c r="D89" i="4"/>
  <c r="C89" i="4"/>
  <c r="B89" i="4"/>
  <c r="A89" i="4"/>
  <c r="L88" i="4"/>
  <c r="K88" i="4"/>
  <c r="J88" i="4"/>
  <c r="I88" i="4"/>
  <c r="H88" i="4"/>
  <c r="F88" i="4"/>
  <c r="E88" i="4"/>
  <c r="D88" i="4"/>
  <c r="C88" i="4"/>
  <c r="B88" i="4"/>
  <c r="A88" i="4"/>
  <c r="L87" i="4"/>
  <c r="K87" i="4"/>
  <c r="J87" i="4"/>
  <c r="I87" i="4"/>
  <c r="H87" i="4"/>
  <c r="F87" i="4"/>
  <c r="E87" i="4"/>
  <c r="D87" i="4"/>
  <c r="C87" i="4"/>
  <c r="B87" i="4"/>
  <c r="A87" i="4"/>
  <c r="L86" i="4"/>
  <c r="K86" i="4"/>
  <c r="J86" i="4"/>
  <c r="I86" i="4"/>
  <c r="H86" i="4"/>
  <c r="F86" i="4"/>
  <c r="E86" i="4"/>
  <c r="D86" i="4"/>
  <c r="C86" i="4"/>
  <c r="B86" i="4"/>
  <c r="A86" i="4"/>
  <c r="L85" i="4"/>
  <c r="K85" i="4"/>
  <c r="J85" i="4"/>
  <c r="I85" i="4"/>
  <c r="H85" i="4"/>
  <c r="F85" i="4"/>
  <c r="E85" i="4"/>
  <c r="D85" i="4"/>
  <c r="C85" i="4"/>
  <c r="B85" i="4"/>
  <c r="A85" i="4"/>
  <c r="L84" i="4"/>
  <c r="N84" i="4" s="1"/>
  <c r="K84" i="4"/>
  <c r="J84" i="4"/>
  <c r="I84" i="4"/>
  <c r="H84" i="4"/>
  <c r="F84" i="4"/>
  <c r="E84" i="4"/>
  <c r="D84" i="4"/>
  <c r="C84" i="4"/>
  <c r="B84" i="4"/>
  <c r="A84" i="4"/>
  <c r="L83" i="4"/>
  <c r="K83" i="4"/>
  <c r="J83" i="4"/>
  <c r="I83" i="4"/>
  <c r="H83" i="4"/>
  <c r="F83" i="4"/>
  <c r="E83" i="4"/>
  <c r="D83" i="4"/>
  <c r="C83" i="4"/>
  <c r="B83" i="4"/>
  <c r="A83" i="4"/>
  <c r="L82" i="4"/>
  <c r="K82" i="4"/>
  <c r="J82" i="4"/>
  <c r="I82" i="4"/>
  <c r="H82" i="4"/>
  <c r="F82" i="4"/>
  <c r="E82" i="4"/>
  <c r="D82" i="4"/>
  <c r="C82" i="4"/>
  <c r="B82" i="4"/>
  <c r="A82" i="4"/>
  <c r="L81" i="4"/>
  <c r="K81" i="4"/>
  <c r="J81" i="4"/>
  <c r="I81" i="4"/>
  <c r="H81" i="4"/>
  <c r="F81" i="4"/>
  <c r="E81" i="4"/>
  <c r="D81" i="4"/>
  <c r="C81" i="4"/>
  <c r="B81" i="4"/>
  <c r="A81" i="4"/>
  <c r="L80" i="4"/>
  <c r="K80" i="4"/>
  <c r="J80" i="4"/>
  <c r="I80" i="4"/>
  <c r="H80" i="4"/>
  <c r="F80" i="4"/>
  <c r="E80" i="4"/>
  <c r="D80" i="4"/>
  <c r="C80" i="4"/>
  <c r="B80" i="4"/>
  <c r="A80" i="4"/>
  <c r="L79" i="4"/>
  <c r="K79" i="4"/>
  <c r="J79" i="4"/>
  <c r="I79" i="4"/>
  <c r="H79" i="4"/>
  <c r="F79" i="4"/>
  <c r="E79" i="4"/>
  <c r="D79" i="4"/>
  <c r="C79" i="4"/>
  <c r="B79" i="4"/>
  <c r="A79" i="4"/>
  <c r="L78" i="4"/>
  <c r="K78" i="4"/>
  <c r="J78" i="4"/>
  <c r="I78" i="4"/>
  <c r="H78" i="4"/>
  <c r="F78" i="4"/>
  <c r="E78" i="4"/>
  <c r="D78" i="4"/>
  <c r="C78" i="4"/>
  <c r="B78" i="4"/>
  <c r="A78" i="4"/>
  <c r="L77" i="4"/>
  <c r="K77" i="4"/>
  <c r="J77" i="4"/>
  <c r="I77" i="4"/>
  <c r="H77" i="4"/>
  <c r="F77" i="4"/>
  <c r="E77" i="4"/>
  <c r="D77" i="4"/>
  <c r="C77" i="4"/>
  <c r="B77" i="4"/>
  <c r="A77" i="4"/>
  <c r="N77" i="4" s="1"/>
  <c r="L76" i="4"/>
  <c r="K76" i="4"/>
  <c r="J76" i="4"/>
  <c r="I76" i="4"/>
  <c r="H76" i="4"/>
  <c r="F76" i="4"/>
  <c r="E76" i="4"/>
  <c r="D76" i="4"/>
  <c r="C76" i="4"/>
  <c r="B76" i="4"/>
  <c r="A76" i="4"/>
  <c r="N76" i="4" s="1"/>
  <c r="L75" i="4"/>
  <c r="K75" i="4"/>
  <c r="J75" i="4"/>
  <c r="I75" i="4"/>
  <c r="H75" i="4"/>
  <c r="F75" i="4"/>
  <c r="E75" i="4"/>
  <c r="D75" i="4"/>
  <c r="C75" i="4"/>
  <c r="B75" i="4"/>
  <c r="A75" i="4"/>
  <c r="L74" i="4"/>
  <c r="K74" i="4"/>
  <c r="J74" i="4"/>
  <c r="I74" i="4"/>
  <c r="H74" i="4"/>
  <c r="F74" i="4"/>
  <c r="E74" i="4"/>
  <c r="D74" i="4"/>
  <c r="C74" i="4"/>
  <c r="B74" i="4"/>
  <c r="A74" i="4"/>
  <c r="L73" i="4"/>
  <c r="K73" i="4"/>
  <c r="J73" i="4"/>
  <c r="I73" i="4"/>
  <c r="H73" i="4"/>
  <c r="F73" i="4"/>
  <c r="E73" i="4"/>
  <c r="D73" i="4"/>
  <c r="C73" i="4"/>
  <c r="B73" i="4"/>
  <c r="A73" i="4"/>
  <c r="L72" i="4"/>
  <c r="K72" i="4"/>
  <c r="J72" i="4"/>
  <c r="I72" i="4"/>
  <c r="H72" i="4"/>
  <c r="F72" i="4"/>
  <c r="E72" i="4"/>
  <c r="D72" i="4"/>
  <c r="C72" i="4"/>
  <c r="B72" i="4"/>
  <c r="A72" i="4"/>
  <c r="L71" i="4"/>
  <c r="K71" i="4"/>
  <c r="J71" i="4"/>
  <c r="I71" i="4"/>
  <c r="H71" i="4"/>
  <c r="F71" i="4"/>
  <c r="E71" i="4"/>
  <c r="D71" i="4"/>
  <c r="C71" i="4"/>
  <c r="B71" i="4"/>
  <c r="A71" i="4"/>
  <c r="L70" i="4"/>
  <c r="K70" i="4"/>
  <c r="J70" i="4"/>
  <c r="I70" i="4"/>
  <c r="H70" i="4"/>
  <c r="F70" i="4"/>
  <c r="E70" i="4"/>
  <c r="D70" i="4"/>
  <c r="C70" i="4"/>
  <c r="B70" i="4"/>
  <c r="A70" i="4"/>
  <c r="L69" i="4"/>
  <c r="K69" i="4"/>
  <c r="J69" i="4"/>
  <c r="I69" i="4"/>
  <c r="H69" i="4"/>
  <c r="F69" i="4"/>
  <c r="E69" i="4"/>
  <c r="D69" i="4"/>
  <c r="C69" i="4"/>
  <c r="B69" i="4"/>
  <c r="A69" i="4"/>
  <c r="L68" i="4"/>
  <c r="K68" i="4"/>
  <c r="J68" i="4"/>
  <c r="I68" i="4"/>
  <c r="H68" i="4"/>
  <c r="F68" i="4"/>
  <c r="E68" i="4"/>
  <c r="D68" i="4"/>
  <c r="C68" i="4"/>
  <c r="B68" i="4"/>
  <c r="A68" i="4"/>
  <c r="L67" i="4"/>
  <c r="K67" i="4"/>
  <c r="J67" i="4"/>
  <c r="I67" i="4"/>
  <c r="H67" i="4"/>
  <c r="F67" i="4"/>
  <c r="E67" i="4"/>
  <c r="D67" i="4"/>
  <c r="C67" i="4"/>
  <c r="B67" i="4"/>
  <c r="A67" i="4"/>
  <c r="L66" i="4"/>
  <c r="K66" i="4"/>
  <c r="J66" i="4"/>
  <c r="I66" i="4"/>
  <c r="H66" i="4"/>
  <c r="F66" i="4"/>
  <c r="E66" i="4"/>
  <c r="D66" i="4"/>
  <c r="C66" i="4"/>
  <c r="B66" i="4"/>
  <c r="A66" i="4"/>
  <c r="L65" i="4"/>
  <c r="K65" i="4"/>
  <c r="N65" i="4" s="1"/>
  <c r="J65" i="4"/>
  <c r="I65" i="4"/>
  <c r="H65" i="4"/>
  <c r="F65" i="4"/>
  <c r="E65" i="4"/>
  <c r="D65" i="4"/>
  <c r="C65" i="4"/>
  <c r="B65" i="4"/>
  <c r="A65" i="4"/>
  <c r="L64" i="4"/>
  <c r="K64" i="4"/>
  <c r="J64" i="4"/>
  <c r="I64" i="4"/>
  <c r="H64" i="4"/>
  <c r="F64" i="4"/>
  <c r="E64" i="4"/>
  <c r="D64" i="4"/>
  <c r="C64" i="4"/>
  <c r="B64" i="4"/>
  <c r="A64" i="4"/>
  <c r="N63" i="4"/>
  <c r="L63" i="4"/>
  <c r="K63" i="4"/>
  <c r="J63" i="4"/>
  <c r="I63" i="4"/>
  <c r="H63" i="4"/>
  <c r="F63" i="4"/>
  <c r="E63" i="4"/>
  <c r="D63" i="4"/>
  <c r="C63" i="4"/>
  <c r="B63" i="4"/>
  <c r="A63" i="4"/>
  <c r="L62" i="4"/>
  <c r="K62" i="4"/>
  <c r="J62" i="4"/>
  <c r="I62" i="4"/>
  <c r="H62" i="4"/>
  <c r="G62" i="4"/>
  <c r="F62" i="4"/>
  <c r="E62" i="4"/>
  <c r="D62" i="4"/>
  <c r="C62" i="4"/>
  <c r="B62" i="4"/>
  <c r="A62" i="4"/>
  <c r="M62" i="4" s="1"/>
  <c r="L61" i="4"/>
  <c r="J61" i="4"/>
  <c r="I61" i="4"/>
  <c r="H61" i="4"/>
  <c r="F61" i="4"/>
  <c r="E61" i="4"/>
  <c r="D61" i="4"/>
  <c r="C61" i="4"/>
  <c r="B61" i="4"/>
  <c r="A61" i="4"/>
  <c r="L60" i="4"/>
  <c r="J60" i="4"/>
  <c r="I60" i="4"/>
  <c r="H60" i="4"/>
  <c r="F60" i="4"/>
  <c r="E60" i="4"/>
  <c r="D60" i="4"/>
  <c r="C60" i="4"/>
  <c r="B60" i="4"/>
  <c r="A60" i="4"/>
  <c r="L59" i="4"/>
  <c r="J59" i="4"/>
  <c r="I59" i="4"/>
  <c r="H59" i="4"/>
  <c r="F59" i="4"/>
  <c r="E59" i="4"/>
  <c r="D59" i="4"/>
  <c r="C59" i="4"/>
  <c r="B59" i="4"/>
  <c r="A59" i="4"/>
  <c r="L58" i="4"/>
  <c r="J58" i="4"/>
  <c r="I58" i="4"/>
  <c r="H58" i="4"/>
  <c r="F58" i="4"/>
  <c r="E58" i="4"/>
  <c r="D58" i="4"/>
  <c r="C58" i="4"/>
  <c r="B58" i="4"/>
  <c r="A58" i="4"/>
  <c r="L57" i="4"/>
  <c r="J57" i="4"/>
  <c r="I57" i="4"/>
  <c r="H57" i="4"/>
  <c r="F57" i="4"/>
  <c r="E57" i="4"/>
  <c r="D57" i="4"/>
  <c r="C57" i="4"/>
  <c r="B57" i="4"/>
  <c r="A57" i="4"/>
  <c r="L56" i="4"/>
  <c r="J56" i="4"/>
  <c r="I56" i="4"/>
  <c r="H56" i="4"/>
  <c r="F56" i="4"/>
  <c r="E56" i="4"/>
  <c r="D56" i="4"/>
  <c r="C56" i="4"/>
  <c r="B56" i="4"/>
  <c r="A56" i="4"/>
  <c r="L55" i="4"/>
  <c r="J55" i="4"/>
  <c r="I55" i="4"/>
  <c r="H55" i="4"/>
  <c r="F55" i="4"/>
  <c r="E55" i="4"/>
  <c r="D55" i="4"/>
  <c r="C55" i="4"/>
  <c r="B55" i="4"/>
  <c r="A55" i="4"/>
  <c r="L54" i="4"/>
  <c r="J54" i="4"/>
  <c r="I54" i="4"/>
  <c r="H54" i="4"/>
  <c r="F54" i="4"/>
  <c r="E54" i="4"/>
  <c r="D54" i="4"/>
  <c r="C54" i="4"/>
  <c r="B54" i="4"/>
  <c r="A54" i="4"/>
  <c r="L53" i="4"/>
  <c r="J53" i="4"/>
  <c r="I53" i="4"/>
  <c r="H53" i="4"/>
  <c r="F53" i="4"/>
  <c r="E53" i="4"/>
  <c r="D53" i="4"/>
  <c r="C53" i="4"/>
  <c r="B53" i="4"/>
  <c r="A53" i="4"/>
  <c r="L52" i="4"/>
  <c r="J52" i="4"/>
  <c r="I52" i="4"/>
  <c r="H52" i="4"/>
  <c r="F52" i="4"/>
  <c r="E52" i="4"/>
  <c r="D52" i="4"/>
  <c r="C52" i="4"/>
  <c r="B52" i="4"/>
  <c r="A52" i="4"/>
  <c r="L51" i="4"/>
  <c r="J51" i="4"/>
  <c r="I51" i="4"/>
  <c r="H51" i="4"/>
  <c r="F51" i="4"/>
  <c r="E51" i="4"/>
  <c r="D51" i="4"/>
  <c r="C51" i="4"/>
  <c r="B51" i="4"/>
  <c r="A51" i="4"/>
  <c r="L50" i="4"/>
  <c r="J50" i="4"/>
  <c r="I50" i="4"/>
  <c r="H50" i="4"/>
  <c r="F50" i="4"/>
  <c r="E50" i="4"/>
  <c r="D50" i="4"/>
  <c r="C50" i="4"/>
  <c r="B50" i="4"/>
  <c r="A50" i="4"/>
  <c r="L49" i="4"/>
  <c r="J49" i="4"/>
  <c r="I49" i="4"/>
  <c r="H49" i="4"/>
  <c r="F49" i="4"/>
  <c r="E49" i="4"/>
  <c r="D49" i="4"/>
  <c r="C49" i="4"/>
  <c r="B49" i="4"/>
  <c r="A49" i="4"/>
  <c r="L48" i="4"/>
  <c r="J48" i="4"/>
  <c r="I48" i="4"/>
  <c r="H48" i="4"/>
  <c r="F48" i="4"/>
  <c r="E48" i="4"/>
  <c r="D48" i="4"/>
  <c r="C48" i="4"/>
  <c r="B48" i="4"/>
  <c r="A48" i="4"/>
  <c r="L47" i="4"/>
  <c r="J47" i="4"/>
  <c r="I47" i="4"/>
  <c r="H47" i="4"/>
  <c r="F47" i="4"/>
  <c r="E47" i="4"/>
  <c r="D47" i="4"/>
  <c r="C47" i="4"/>
  <c r="B47" i="4"/>
  <c r="A47" i="4"/>
  <c r="L46" i="4"/>
  <c r="J46" i="4"/>
  <c r="I46" i="4"/>
  <c r="H46" i="4"/>
  <c r="F46" i="4"/>
  <c r="E46" i="4"/>
  <c r="D46" i="4"/>
  <c r="C46" i="4"/>
  <c r="B46" i="4"/>
  <c r="A46" i="4"/>
  <c r="L45" i="4"/>
  <c r="J45" i="4"/>
  <c r="I45" i="4"/>
  <c r="H45" i="4"/>
  <c r="F45" i="4"/>
  <c r="E45" i="4"/>
  <c r="D45" i="4"/>
  <c r="C45" i="4"/>
  <c r="B45" i="4"/>
  <c r="A45" i="4"/>
  <c r="L44" i="4"/>
  <c r="J44" i="4"/>
  <c r="I44" i="4"/>
  <c r="H44" i="4"/>
  <c r="F44" i="4"/>
  <c r="E44" i="4"/>
  <c r="D44" i="4"/>
  <c r="C44" i="4"/>
  <c r="B44" i="4"/>
  <c r="A44" i="4"/>
  <c r="L43" i="4"/>
  <c r="J43" i="4"/>
  <c r="I43" i="4"/>
  <c r="H43" i="4"/>
  <c r="F43" i="4"/>
  <c r="E43" i="4"/>
  <c r="D43" i="4"/>
  <c r="C43" i="4"/>
  <c r="B43" i="4"/>
  <c r="A43" i="4"/>
  <c r="L42" i="4"/>
  <c r="J42" i="4"/>
  <c r="I42" i="4"/>
  <c r="H42" i="4"/>
  <c r="F42" i="4"/>
  <c r="E42" i="4"/>
  <c r="D42" i="4"/>
  <c r="C42" i="4"/>
  <c r="B42" i="4"/>
  <c r="A42" i="4"/>
  <c r="L41" i="4"/>
  <c r="J41" i="4"/>
  <c r="I41" i="4"/>
  <c r="H41" i="4"/>
  <c r="F41" i="4"/>
  <c r="E41" i="4"/>
  <c r="D41" i="4"/>
  <c r="C41" i="4"/>
  <c r="B41" i="4"/>
  <c r="A41" i="4"/>
  <c r="L40" i="4"/>
  <c r="J40" i="4"/>
  <c r="I40" i="4"/>
  <c r="H40" i="4"/>
  <c r="F40" i="4"/>
  <c r="E40" i="4"/>
  <c r="D40" i="4"/>
  <c r="C40" i="4"/>
  <c r="B40" i="4"/>
  <c r="A40" i="4"/>
  <c r="L39" i="4"/>
  <c r="J39" i="4"/>
  <c r="I39" i="4"/>
  <c r="H39" i="4"/>
  <c r="F39" i="4"/>
  <c r="E39" i="4"/>
  <c r="D39" i="4"/>
  <c r="C39" i="4"/>
  <c r="B39" i="4"/>
  <c r="A39" i="4"/>
  <c r="L38" i="4"/>
  <c r="J38" i="4"/>
  <c r="I38" i="4"/>
  <c r="H38" i="4"/>
  <c r="F38" i="4"/>
  <c r="E38" i="4"/>
  <c r="D38" i="4"/>
  <c r="C38" i="4"/>
  <c r="B38" i="4"/>
  <c r="A38" i="4"/>
  <c r="L37" i="4"/>
  <c r="J37" i="4"/>
  <c r="I37" i="4"/>
  <c r="H37" i="4"/>
  <c r="F37" i="4"/>
  <c r="E37" i="4"/>
  <c r="D37" i="4"/>
  <c r="C37" i="4"/>
  <c r="B37" i="4"/>
  <c r="A37" i="4"/>
  <c r="L36" i="4"/>
  <c r="J36" i="4"/>
  <c r="I36" i="4"/>
  <c r="H36" i="4"/>
  <c r="F36" i="4"/>
  <c r="E36" i="4"/>
  <c r="D36" i="4"/>
  <c r="C36" i="4"/>
  <c r="B36" i="4"/>
  <c r="A36" i="4"/>
  <c r="L35" i="4"/>
  <c r="J35" i="4"/>
  <c r="I35" i="4"/>
  <c r="H35" i="4"/>
  <c r="F35" i="4"/>
  <c r="E35" i="4"/>
  <c r="D35" i="4"/>
  <c r="C35" i="4"/>
  <c r="B35" i="4"/>
  <c r="A35" i="4"/>
  <c r="L34" i="4"/>
  <c r="J34" i="4"/>
  <c r="I34" i="4"/>
  <c r="H34" i="4"/>
  <c r="F34" i="4"/>
  <c r="E34" i="4"/>
  <c r="D34" i="4"/>
  <c r="C34" i="4"/>
  <c r="B34" i="4"/>
  <c r="A34" i="4"/>
  <c r="L33" i="4"/>
  <c r="J33" i="4"/>
  <c r="I33" i="4"/>
  <c r="H33" i="4"/>
  <c r="F33" i="4"/>
  <c r="E33" i="4"/>
  <c r="D33" i="4"/>
  <c r="C33" i="4"/>
  <c r="B33" i="4"/>
  <c r="A33" i="4"/>
  <c r="L32" i="4"/>
  <c r="K32" i="4"/>
  <c r="J32" i="4"/>
  <c r="I32" i="4"/>
  <c r="H32" i="4"/>
  <c r="G32" i="4"/>
  <c r="F32" i="4"/>
  <c r="E32" i="4"/>
  <c r="D32" i="4"/>
  <c r="C32" i="4"/>
  <c r="B32" i="4"/>
  <c r="A32" i="4"/>
  <c r="L31" i="4"/>
  <c r="K31" i="4"/>
  <c r="J31" i="4"/>
  <c r="I31" i="4"/>
  <c r="H31" i="4"/>
  <c r="F31" i="4"/>
  <c r="E31" i="4"/>
  <c r="D31" i="4"/>
  <c r="C31" i="4"/>
  <c r="B31" i="4"/>
  <c r="A31" i="4"/>
  <c r="L30" i="4"/>
  <c r="K30" i="4"/>
  <c r="J30" i="4"/>
  <c r="I30" i="4"/>
  <c r="H30" i="4"/>
  <c r="F30" i="4"/>
  <c r="E30" i="4"/>
  <c r="D30" i="4"/>
  <c r="C30" i="4"/>
  <c r="B30" i="4"/>
  <c r="A30" i="4"/>
  <c r="L29" i="4"/>
  <c r="K29" i="4"/>
  <c r="N29" i="4" s="1"/>
  <c r="J29" i="4"/>
  <c r="I29" i="4"/>
  <c r="H29" i="4"/>
  <c r="F29" i="4"/>
  <c r="E29" i="4"/>
  <c r="D29" i="4"/>
  <c r="C29" i="4"/>
  <c r="B29" i="4"/>
  <c r="A29" i="4"/>
  <c r="L28" i="4"/>
  <c r="K28" i="4"/>
  <c r="J28" i="4"/>
  <c r="I28" i="4"/>
  <c r="H28" i="4"/>
  <c r="F28" i="4"/>
  <c r="E28" i="4"/>
  <c r="D28" i="4"/>
  <c r="C28" i="4"/>
  <c r="B28" i="4"/>
  <c r="A28" i="4"/>
  <c r="L27" i="4"/>
  <c r="N27" i="4" s="1"/>
  <c r="K27" i="4"/>
  <c r="J27" i="4"/>
  <c r="I27" i="4"/>
  <c r="H27" i="4"/>
  <c r="F27" i="4"/>
  <c r="E27" i="4"/>
  <c r="D27" i="4"/>
  <c r="C27" i="4"/>
  <c r="B27" i="4"/>
  <c r="A27" i="4"/>
  <c r="L26" i="4"/>
  <c r="K26" i="4"/>
  <c r="N26" i="4" s="1"/>
  <c r="J26" i="4"/>
  <c r="I26" i="4"/>
  <c r="H26" i="4"/>
  <c r="F26" i="4"/>
  <c r="E26" i="4"/>
  <c r="D26" i="4"/>
  <c r="C26" i="4"/>
  <c r="B26" i="4"/>
  <c r="A26" i="4"/>
  <c r="L25" i="4"/>
  <c r="K25" i="4"/>
  <c r="J25" i="4"/>
  <c r="I25" i="4"/>
  <c r="H25" i="4"/>
  <c r="F25" i="4"/>
  <c r="E25" i="4"/>
  <c r="D25" i="4"/>
  <c r="C25" i="4"/>
  <c r="B25" i="4"/>
  <c r="A25" i="4"/>
  <c r="L24" i="4"/>
  <c r="K24" i="4"/>
  <c r="J24" i="4"/>
  <c r="I24" i="4"/>
  <c r="H24" i="4"/>
  <c r="F24" i="4"/>
  <c r="E24" i="4"/>
  <c r="D24" i="4"/>
  <c r="C24" i="4"/>
  <c r="B24" i="4"/>
  <c r="A24" i="4"/>
  <c r="N24" i="4" s="1"/>
  <c r="L23" i="4"/>
  <c r="K23" i="4"/>
  <c r="N23" i="4" s="1"/>
  <c r="J23" i="4"/>
  <c r="I23" i="4"/>
  <c r="H23" i="4"/>
  <c r="F23" i="4"/>
  <c r="E23" i="4"/>
  <c r="D23" i="4"/>
  <c r="C23" i="4"/>
  <c r="B23" i="4"/>
  <c r="A23" i="4"/>
  <c r="L22" i="4"/>
  <c r="K22" i="4"/>
  <c r="J22" i="4"/>
  <c r="I22" i="4"/>
  <c r="H22" i="4"/>
  <c r="F22" i="4"/>
  <c r="E22" i="4"/>
  <c r="D22" i="4"/>
  <c r="C22" i="4"/>
  <c r="B22" i="4"/>
  <c r="A22" i="4"/>
  <c r="L21" i="4"/>
  <c r="N21" i="4" s="1"/>
  <c r="K21" i="4"/>
  <c r="J21" i="4"/>
  <c r="I21" i="4"/>
  <c r="H21" i="4"/>
  <c r="F21" i="4"/>
  <c r="E21" i="4"/>
  <c r="D21" i="4"/>
  <c r="C21" i="4"/>
  <c r="B21" i="4"/>
  <c r="A21" i="4"/>
  <c r="L20" i="4"/>
  <c r="K20" i="4"/>
  <c r="J20" i="4"/>
  <c r="I20" i="4"/>
  <c r="H20" i="4"/>
  <c r="F20" i="4"/>
  <c r="E20" i="4"/>
  <c r="D20" i="4"/>
  <c r="C20" i="4"/>
  <c r="B20" i="4"/>
  <c r="A20" i="4"/>
  <c r="L19" i="4"/>
  <c r="K19" i="4"/>
  <c r="J19" i="4"/>
  <c r="I19" i="4"/>
  <c r="H19" i="4"/>
  <c r="F19" i="4"/>
  <c r="E19" i="4"/>
  <c r="D19" i="4"/>
  <c r="C19" i="4"/>
  <c r="B19" i="4"/>
  <c r="A19" i="4"/>
  <c r="L18" i="4"/>
  <c r="K18" i="4"/>
  <c r="J18" i="4"/>
  <c r="I18" i="4"/>
  <c r="H18" i="4"/>
  <c r="F18" i="4"/>
  <c r="E18" i="4"/>
  <c r="D18" i="4"/>
  <c r="C18" i="4"/>
  <c r="B18" i="4"/>
  <c r="A18" i="4"/>
  <c r="L17" i="4"/>
  <c r="K17" i="4"/>
  <c r="J17" i="4"/>
  <c r="I17" i="4"/>
  <c r="H17" i="4"/>
  <c r="F17" i="4"/>
  <c r="E17" i="4"/>
  <c r="D17" i="4"/>
  <c r="C17" i="4"/>
  <c r="B17" i="4"/>
  <c r="A17" i="4"/>
  <c r="L16" i="4"/>
  <c r="K16" i="4"/>
  <c r="J16" i="4"/>
  <c r="I16" i="4"/>
  <c r="H16" i="4"/>
  <c r="F16" i="4"/>
  <c r="E16" i="4"/>
  <c r="D16" i="4"/>
  <c r="C16" i="4"/>
  <c r="B16" i="4"/>
  <c r="A16" i="4"/>
  <c r="L15" i="4"/>
  <c r="K15" i="4"/>
  <c r="J15" i="4"/>
  <c r="I15" i="4"/>
  <c r="H15" i="4"/>
  <c r="F15" i="4"/>
  <c r="E15" i="4"/>
  <c r="D15" i="4"/>
  <c r="C15" i="4"/>
  <c r="B15" i="4"/>
  <c r="A15" i="4"/>
  <c r="L14" i="4"/>
  <c r="K14" i="4"/>
  <c r="J14" i="4"/>
  <c r="I14" i="4"/>
  <c r="H14" i="4"/>
  <c r="F14" i="4"/>
  <c r="E14" i="4"/>
  <c r="D14" i="4"/>
  <c r="C14" i="4"/>
  <c r="B14" i="4"/>
  <c r="A14" i="4"/>
  <c r="L13" i="4"/>
  <c r="K13" i="4"/>
  <c r="J13" i="4"/>
  <c r="I13" i="4"/>
  <c r="H13" i="4"/>
  <c r="F13" i="4"/>
  <c r="E13" i="4"/>
  <c r="D13" i="4"/>
  <c r="C13" i="4"/>
  <c r="B13" i="4"/>
  <c r="A13" i="4"/>
  <c r="L12" i="4"/>
  <c r="N12" i="4" s="1"/>
  <c r="K12" i="4"/>
  <c r="J12" i="4"/>
  <c r="I12" i="4"/>
  <c r="H12" i="4"/>
  <c r="F12" i="4"/>
  <c r="E12" i="4"/>
  <c r="D12" i="4"/>
  <c r="C12" i="4"/>
  <c r="B12" i="4"/>
  <c r="A12" i="4"/>
  <c r="L11" i="4"/>
  <c r="K11" i="4"/>
  <c r="J11" i="4"/>
  <c r="I11" i="4"/>
  <c r="H11" i="4"/>
  <c r="F11" i="4"/>
  <c r="E11" i="4"/>
  <c r="D11" i="4"/>
  <c r="C11" i="4"/>
  <c r="B11" i="4"/>
  <c r="A11" i="4"/>
  <c r="L10" i="4"/>
  <c r="K10" i="4"/>
  <c r="J10" i="4"/>
  <c r="I10" i="4"/>
  <c r="H10" i="4"/>
  <c r="F10" i="4"/>
  <c r="E10" i="4"/>
  <c r="D10" i="4"/>
  <c r="C10" i="4"/>
  <c r="B10" i="4"/>
  <c r="A10" i="4"/>
  <c r="L9" i="4"/>
  <c r="K9" i="4"/>
  <c r="J9" i="4"/>
  <c r="I9" i="4"/>
  <c r="H9" i="4"/>
  <c r="F9" i="4"/>
  <c r="E9" i="4"/>
  <c r="D9" i="4"/>
  <c r="C9" i="4"/>
  <c r="B9" i="4"/>
  <c r="A9" i="4"/>
  <c r="L8" i="4"/>
  <c r="N8" i="4" s="1"/>
  <c r="K8" i="4"/>
  <c r="J8" i="4"/>
  <c r="I8" i="4"/>
  <c r="H8" i="4"/>
  <c r="F8" i="4"/>
  <c r="E8" i="4"/>
  <c r="D8" i="4"/>
  <c r="C8" i="4"/>
  <c r="B8" i="4"/>
  <c r="A8" i="4"/>
  <c r="L7" i="4"/>
  <c r="K7" i="4"/>
  <c r="J7" i="4"/>
  <c r="I7" i="4"/>
  <c r="H7" i="4"/>
  <c r="F7" i="4"/>
  <c r="E7" i="4"/>
  <c r="D7" i="4"/>
  <c r="C7" i="4"/>
  <c r="B7" i="4"/>
  <c r="A7" i="4"/>
  <c r="L6" i="4"/>
  <c r="K6" i="4"/>
  <c r="N6" i="4" s="1"/>
  <c r="J6" i="4"/>
  <c r="I6" i="4"/>
  <c r="H6" i="4"/>
  <c r="F6" i="4"/>
  <c r="E6" i="4"/>
  <c r="D6" i="4"/>
  <c r="C6" i="4"/>
  <c r="B6" i="4"/>
  <c r="A6" i="4"/>
  <c r="L5" i="4"/>
  <c r="K5" i="4"/>
  <c r="J5" i="4"/>
  <c r="I5" i="4"/>
  <c r="H5" i="4"/>
  <c r="F5" i="4"/>
  <c r="E5" i="4"/>
  <c r="D5" i="4"/>
  <c r="C5" i="4"/>
  <c r="B5" i="4"/>
  <c r="A5" i="4"/>
  <c r="N5" i="4" s="1"/>
  <c r="L4" i="4"/>
  <c r="K4" i="4"/>
  <c r="J4" i="4"/>
  <c r="I4" i="4"/>
  <c r="H4" i="4"/>
  <c r="F4" i="4"/>
  <c r="E4" i="4"/>
  <c r="D4" i="4"/>
  <c r="C4" i="4"/>
  <c r="B4" i="4"/>
  <c r="A4" i="4"/>
  <c r="N4" i="4" s="1"/>
  <c r="L3" i="4"/>
  <c r="K3" i="4"/>
  <c r="J3" i="4"/>
  <c r="I3" i="4"/>
  <c r="H3" i="4"/>
  <c r="F3" i="4"/>
  <c r="E3" i="4"/>
  <c r="D3" i="4"/>
  <c r="C3" i="4"/>
  <c r="B3" i="4"/>
  <c r="A3" i="4"/>
  <c r="R263" i="3"/>
  <c r="W263" i="3" s="1"/>
  <c r="N263" i="3"/>
  <c r="M263" i="3"/>
  <c r="L263" i="3"/>
  <c r="K263" i="3"/>
  <c r="J263" i="3"/>
  <c r="I263" i="3"/>
  <c r="O263" i="3" s="1"/>
  <c r="H263" i="3"/>
  <c r="V263" i="3" s="1"/>
  <c r="AA263" i="3" s="1"/>
  <c r="G263" i="3"/>
  <c r="U263" i="3" s="1"/>
  <c r="Z263" i="3" s="1"/>
  <c r="F263" i="3"/>
  <c r="T263" i="3" s="1"/>
  <c r="Y263" i="3" s="1"/>
  <c r="E263" i="3"/>
  <c r="S263" i="3" s="1"/>
  <c r="X263" i="3" s="1"/>
  <c r="D263" i="3"/>
  <c r="C263" i="3"/>
  <c r="Q263" i="3" s="1"/>
  <c r="B263" i="3"/>
  <c r="A263" i="3"/>
  <c r="N262" i="3"/>
  <c r="M262" i="3"/>
  <c r="L262" i="3"/>
  <c r="K262" i="3"/>
  <c r="J262" i="3"/>
  <c r="I262" i="3"/>
  <c r="O262" i="3" s="1"/>
  <c r="H262" i="3"/>
  <c r="V262" i="3" s="1"/>
  <c r="AA262" i="3" s="1"/>
  <c r="G262" i="3"/>
  <c r="U262" i="3" s="1"/>
  <c r="Z262" i="3" s="1"/>
  <c r="F262" i="3"/>
  <c r="T262" i="3" s="1"/>
  <c r="Y262" i="3" s="1"/>
  <c r="E262" i="3"/>
  <c r="S262" i="3" s="1"/>
  <c r="X262" i="3" s="1"/>
  <c r="D262" i="3"/>
  <c r="R262" i="3" s="1"/>
  <c r="W262" i="3" s="1"/>
  <c r="C262" i="3"/>
  <c r="Q262" i="3" s="1"/>
  <c r="B262" i="3"/>
  <c r="A262" i="3"/>
  <c r="U261" i="3"/>
  <c r="Z261" i="3" s="1"/>
  <c r="R261" i="3"/>
  <c r="W261" i="3" s="1"/>
  <c r="N261" i="3"/>
  <c r="M261" i="3"/>
  <c r="L261" i="3"/>
  <c r="K261" i="3"/>
  <c r="J261" i="3"/>
  <c r="I261" i="3"/>
  <c r="O261" i="3" s="1"/>
  <c r="H261" i="3"/>
  <c r="V261" i="3" s="1"/>
  <c r="AA261" i="3" s="1"/>
  <c r="G261" i="3"/>
  <c r="F261" i="3"/>
  <c r="T261" i="3" s="1"/>
  <c r="Y261" i="3" s="1"/>
  <c r="E261" i="3"/>
  <c r="S261" i="3" s="1"/>
  <c r="X261" i="3" s="1"/>
  <c r="D261" i="3"/>
  <c r="C261" i="3"/>
  <c r="Q261" i="3" s="1"/>
  <c r="B261" i="3"/>
  <c r="A261" i="3"/>
  <c r="V260" i="3"/>
  <c r="AA260" i="3" s="1"/>
  <c r="S260" i="3"/>
  <c r="X260" i="3" s="1"/>
  <c r="Q260" i="3"/>
  <c r="N260" i="3"/>
  <c r="M260" i="3"/>
  <c r="L260" i="3"/>
  <c r="K260" i="3"/>
  <c r="J260" i="3"/>
  <c r="I260" i="3"/>
  <c r="O260" i="3" s="1"/>
  <c r="H260" i="3"/>
  <c r="G260" i="3"/>
  <c r="U260" i="3" s="1"/>
  <c r="Z260" i="3" s="1"/>
  <c r="F260" i="3"/>
  <c r="T260" i="3" s="1"/>
  <c r="Y260" i="3" s="1"/>
  <c r="E260" i="3"/>
  <c r="D260" i="3"/>
  <c r="R260" i="3" s="1"/>
  <c r="W260" i="3" s="1"/>
  <c r="C260" i="3"/>
  <c r="B260" i="3"/>
  <c r="A260" i="3"/>
  <c r="W259" i="3"/>
  <c r="Q259" i="3"/>
  <c r="N259" i="3"/>
  <c r="M259" i="3"/>
  <c r="L259" i="3"/>
  <c r="K259" i="3"/>
  <c r="J259" i="3"/>
  <c r="I259" i="3"/>
  <c r="O259" i="3" s="1"/>
  <c r="H259" i="3"/>
  <c r="V259" i="3" s="1"/>
  <c r="AA259" i="3" s="1"/>
  <c r="G259" i="3"/>
  <c r="U259" i="3" s="1"/>
  <c r="Z259" i="3" s="1"/>
  <c r="F259" i="3"/>
  <c r="T259" i="3" s="1"/>
  <c r="Y259" i="3" s="1"/>
  <c r="E259" i="3"/>
  <c r="S259" i="3" s="1"/>
  <c r="X259" i="3" s="1"/>
  <c r="D259" i="3"/>
  <c r="R259" i="3" s="1"/>
  <c r="C259" i="3"/>
  <c r="B259" i="3"/>
  <c r="A259" i="3"/>
  <c r="X258" i="3"/>
  <c r="U258" i="3"/>
  <c r="Z258" i="3" s="1"/>
  <c r="T258" i="3"/>
  <c r="Y258" i="3" s="1"/>
  <c r="S258" i="3"/>
  <c r="R258" i="3"/>
  <c r="W258" i="3" s="1"/>
  <c r="N258" i="3"/>
  <c r="M258" i="3"/>
  <c r="L258" i="3"/>
  <c r="K258" i="3"/>
  <c r="J258" i="3"/>
  <c r="I258" i="3"/>
  <c r="O258" i="3" s="1"/>
  <c r="H258" i="3"/>
  <c r="V258" i="3" s="1"/>
  <c r="AA258" i="3" s="1"/>
  <c r="G258" i="3"/>
  <c r="F258" i="3"/>
  <c r="E258" i="3"/>
  <c r="D258" i="3"/>
  <c r="C258" i="3"/>
  <c r="Q258" i="3" s="1"/>
  <c r="B258" i="3"/>
  <c r="A258" i="3"/>
  <c r="V257" i="3"/>
  <c r="AA257" i="3" s="1"/>
  <c r="Q257" i="3"/>
  <c r="N257" i="3"/>
  <c r="M257" i="3"/>
  <c r="L257" i="3"/>
  <c r="K257" i="3"/>
  <c r="J257" i="3"/>
  <c r="I257" i="3"/>
  <c r="O257" i="3" s="1"/>
  <c r="H257" i="3"/>
  <c r="G257" i="3"/>
  <c r="U257" i="3" s="1"/>
  <c r="Z257" i="3" s="1"/>
  <c r="F257" i="3"/>
  <c r="T257" i="3" s="1"/>
  <c r="Y257" i="3" s="1"/>
  <c r="E257" i="3"/>
  <c r="S257" i="3" s="1"/>
  <c r="X257" i="3" s="1"/>
  <c r="D257" i="3"/>
  <c r="R257" i="3" s="1"/>
  <c r="W257" i="3" s="1"/>
  <c r="C257" i="3"/>
  <c r="B257" i="3"/>
  <c r="A257" i="3"/>
  <c r="U256" i="3"/>
  <c r="Z256" i="3" s="1"/>
  <c r="T256" i="3"/>
  <c r="Y256" i="3" s="1"/>
  <c r="Q256" i="3"/>
  <c r="N256" i="3"/>
  <c r="M256" i="3"/>
  <c r="L256" i="3"/>
  <c r="K256" i="3"/>
  <c r="J256" i="3"/>
  <c r="I256" i="3"/>
  <c r="O256" i="3" s="1"/>
  <c r="H256" i="3"/>
  <c r="V256" i="3" s="1"/>
  <c r="AA256" i="3" s="1"/>
  <c r="G256" i="3"/>
  <c r="F256" i="3"/>
  <c r="E256" i="3"/>
  <c r="S256" i="3" s="1"/>
  <c r="X256" i="3" s="1"/>
  <c r="D256" i="3"/>
  <c r="R256" i="3" s="1"/>
  <c r="W256" i="3" s="1"/>
  <c r="C256" i="3"/>
  <c r="B256" i="3"/>
  <c r="A256" i="3"/>
  <c r="X255" i="3"/>
  <c r="S255" i="3"/>
  <c r="R255" i="3"/>
  <c r="W255" i="3" s="1"/>
  <c r="N255" i="3"/>
  <c r="M255" i="3"/>
  <c r="L255" i="3"/>
  <c r="K255" i="3"/>
  <c r="J255" i="3"/>
  <c r="I255" i="3"/>
  <c r="O255" i="3" s="1"/>
  <c r="H255" i="3"/>
  <c r="V255" i="3" s="1"/>
  <c r="AA255" i="3" s="1"/>
  <c r="G255" i="3"/>
  <c r="U255" i="3" s="1"/>
  <c r="Z255" i="3" s="1"/>
  <c r="F255" i="3"/>
  <c r="T255" i="3" s="1"/>
  <c r="Y255" i="3" s="1"/>
  <c r="E255" i="3"/>
  <c r="D255" i="3"/>
  <c r="C255" i="3"/>
  <c r="Q255" i="3" s="1"/>
  <c r="B255" i="3"/>
  <c r="A255" i="3"/>
  <c r="V254" i="3"/>
  <c r="AA254" i="3" s="1"/>
  <c r="N254" i="3"/>
  <c r="M254" i="3"/>
  <c r="L254" i="3"/>
  <c r="K254" i="3"/>
  <c r="J254" i="3"/>
  <c r="I254" i="3"/>
  <c r="O254" i="3" s="1"/>
  <c r="H254" i="3"/>
  <c r="G254" i="3"/>
  <c r="U254" i="3" s="1"/>
  <c r="Z254" i="3" s="1"/>
  <c r="F254" i="3"/>
  <c r="T254" i="3" s="1"/>
  <c r="Y254" i="3" s="1"/>
  <c r="E254" i="3"/>
  <c r="S254" i="3" s="1"/>
  <c r="X254" i="3" s="1"/>
  <c r="D254" i="3"/>
  <c r="R254" i="3" s="1"/>
  <c r="W254" i="3" s="1"/>
  <c r="C254" i="3"/>
  <c r="Q254" i="3" s="1"/>
  <c r="B254" i="3"/>
  <c r="A254" i="3"/>
  <c r="T253" i="3"/>
  <c r="Y253" i="3" s="1"/>
  <c r="N253" i="3"/>
  <c r="M253" i="3"/>
  <c r="L253" i="3"/>
  <c r="K253" i="3"/>
  <c r="J253" i="3"/>
  <c r="I253" i="3"/>
  <c r="O253" i="3" s="1"/>
  <c r="H253" i="3"/>
  <c r="V253" i="3" s="1"/>
  <c r="AA253" i="3" s="1"/>
  <c r="G253" i="3"/>
  <c r="U253" i="3" s="1"/>
  <c r="Z253" i="3" s="1"/>
  <c r="F253" i="3"/>
  <c r="E253" i="3"/>
  <c r="S253" i="3" s="1"/>
  <c r="X253" i="3" s="1"/>
  <c r="D253" i="3"/>
  <c r="R253" i="3" s="1"/>
  <c r="W253" i="3" s="1"/>
  <c r="C253" i="3"/>
  <c r="Q253" i="3" s="1"/>
  <c r="B253" i="3"/>
  <c r="A253" i="3"/>
  <c r="U252" i="3"/>
  <c r="Z252" i="3" s="1"/>
  <c r="T252" i="3"/>
  <c r="Y252" i="3" s="1"/>
  <c r="S252" i="3"/>
  <c r="X252" i="3" s="1"/>
  <c r="N252" i="3"/>
  <c r="M252" i="3"/>
  <c r="L252" i="3"/>
  <c r="K252" i="3"/>
  <c r="J252" i="3"/>
  <c r="I252" i="3"/>
  <c r="O252" i="3" s="1"/>
  <c r="H252" i="3"/>
  <c r="V252" i="3" s="1"/>
  <c r="AA252" i="3" s="1"/>
  <c r="G252" i="3"/>
  <c r="F252" i="3"/>
  <c r="E252" i="3"/>
  <c r="D252" i="3"/>
  <c r="R252" i="3" s="1"/>
  <c r="W252" i="3" s="1"/>
  <c r="C252" i="3"/>
  <c r="Q252" i="3" s="1"/>
  <c r="B252" i="3"/>
  <c r="A252" i="3"/>
  <c r="V251" i="3"/>
  <c r="AA251" i="3" s="1"/>
  <c r="N251" i="3"/>
  <c r="M251" i="3"/>
  <c r="L251" i="3"/>
  <c r="K251" i="3"/>
  <c r="J251" i="3"/>
  <c r="I251" i="3"/>
  <c r="O251" i="3" s="1"/>
  <c r="H251" i="3"/>
  <c r="G251" i="3"/>
  <c r="U251" i="3" s="1"/>
  <c r="Z251" i="3" s="1"/>
  <c r="F251" i="3"/>
  <c r="T251" i="3" s="1"/>
  <c r="Y251" i="3" s="1"/>
  <c r="E251" i="3"/>
  <c r="S251" i="3" s="1"/>
  <c r="X251" i="3" s="1"/>
  <c r="D251" i="3"/>
  <c r="R251" i="3" s="1"/>
  <c r="W251" i="3" s="1"/>
  <c r="C251" i="3"/>
  <c r="Q251" i="3" s="1"/>
  <c r="B251" i="3"/>
  <c r="A251" i="3"/>
  <c r="U250" i="3"/>
  <c r="Z250" i="3" s="1"/>
  <c r="T250" i="3"/>
  <c r="Y250" i="3" s="1"/>
  <c r="Q250" i="3"/>
  <c r="N250" i="3"/>
  <c r="M250" i="3"/>
  <c r="L250" i="3"/>
  <c r="K250" i="3"/>
  <c r="J250" i="3"/>
  <c r="I250" i="3"/>
  <c r="O250" i="3" s="1"/>
  <c r="H250" i="3"/>
  <c r="V250" i="3" s="1"/>
  <c r="AA250" i="3" s="1"/>
  <c r="G250" i="3"/>
  <c r="F250" i="3"/>
  <c r="E250" i="3"/>
  <c r="S250" i="3" s="1"/>
  <c r="X250" i="3" s="1"/>
  <c r="D250" i="3"/>
  <c r="R250" i="3" s="1"/>
  <c r="W250" i="3" s="1"/>
  <c r="C250" i="3"/>
  <c r="B250" i="3"/>
  <c r="A250" i="3"/>
  <c r="S249" i="3"/>
  <c r="X249" i="3" s="1"/>
  <c r="N249" i="3"/>
  <c r="M249" i="3"/>
  <c r="L249" i="3"/>
  <c r="K249" i="3"/>
  <c r="J249" i="3"/>
  <c r="I249" i="3"/>
  <c r="O249" i="3" s="1"/>
  <c r="H249" i="3"/>
  <c r="V249" i="3" s="1"/>
  <c r="AA249" i="3" s="1"/>
  <c r="G249" i="3"/>
  <c r="U249" i="3" s="1"/>
  <c r="Z249" i="3" s="1"/>
  <c r="F249" i="3"/>
  <c r="T249" i="3" s="1"/>
  <c r="Y249" i="3" s="1"/>
  <c r="E249" i="3"/>
  <c r="D249" i="3"/>
  <c r="R249" i="3" s="1"/>
  <c r="W249" i="3" s="1"/>
  <c r="C249" i="3"/>
  <c r="Q249" i="3" s="1"/>
  <c r="B249" i="3"/>
  <c r="A249" i="3"/>
  <c r="S248" i="3"/>
  <c r="X248" i="3" s="1"/>
  <c r="N248" i="3"/>
  <c r="M248" i="3"/>
  <c r="L248" i="3"/>
  <c r="K248" i="3"/>
  <c r="J248" i="3"/>
  <c r="I248" i="3"/>
  <c r="O248" i="3" s="1"/>
  <c r="H248" i="3"/>
  <c r="V248" i="3" s="1"/>
  <c r="AA248" i="3" s="1"/>
  <c r="G248" i="3"/>
  <c r="U248" i="3" s="1"/>
  <c r="Z248" i="3" s="1"/>
  <c r="F248" i="3"/>
  <c r="T248" i="3" s="1"/>
  <c r="Y248" i="3" s="1"/>
  <c r="E248" i="3"/>
  <c r="D248" i="3"/>
  <c r="R248" i="3" s="1"/>
  <c r="W248" i="3" s="1"/>
  <c r="C248" i="3"/>
  <c r="Q248" i="3" s="1"/>
  <c r="B248" i="3"/>
  <c r="A248" i="3"/>
  <c r="U247" i="3"/>
  <c r="Z247" i="3" s="1"/>
  <c r="T247" i="3"/>
  <c r="Y247" i="3" s="1"/>
  <c r="N247" i="3"/>
  <c r="M247" i="3"/>
  <c r="L247" i="3"/>
  <c r="K247" i="3"/>
  <c r="J247" i="3"/>
  <c r="I247" i="3"/>
  <c r="O247" i="3" s="1"/>
  <c r="H247" i="3"/>
  <c r="V247" i="3" s="1"/>
  <c r="AA247" i="3" s="1"/>
  <c r="G247" i="3"/>
  <c r="F247" i="3"/>
  <c r="E247" i="3"/>
  <c r="S247" i="3" s="1"/>
  <c r="X247" i="3" s="1"/>
  <c r="D247" i="3"/>
  <c r="R247" i="3" s="1"/>
  <c r="W247" i="3" s="1"/>
  <c r="C247" i="3"/>
  <c r="Q247" i="3" s="1"/>
  <c r="B247" i="3"/>
  <c r="A247" i="3"/>
  <c r="R246" i="3"/>
  <c r="W246" i="3" s="1"/>
  <c r="N246" i="3"/>
  <c r="M246" i="3"/>
  <c r="L246" i="3"/>
  <c r="K246" i="3"/>
  <c r="J246" i="3"/>
  <c r="I246" i="3"/>
  <c r="O246" i="3" s="1"/>
  <c r="H246" i="3"/>
  <c r="V246" i="3" s="1"/>
  <c r="AA246" i="3" s="1"/>
  <c r="G246" i="3"/>
  <c r="U246" i="3" s="1"/>
  <c r="Z246" i="3" s="1"/>
  <c r="F246" i="3"/>
  <c r="T246" i="3" s="1"/>
  <c r="Y246" i="3" s="1"/>
  <c r="E246" i="3"/>
  <c r="S246" i="3" s="1"/>
  <c r="X246" i="3" s="1"/>
  <c r="D246" i="3"/>
  <c r="C246" i="3"/>
  <c r="Q246" i="3" s="1"/>
  <c r="B246" i="3"/>
  <c r="A246" i="3"/>
  <c r="S245" i="3"/>
  <c r="X245" i="3" s="1"/>
  <c r="Q245" i="3"/>
  <c r="N245" i="3"/>
  <c r="M245" i="3"/>
  <c r="L245" i="3"/>
  <c r="K245" i="3"/>
  <c r="J245" i="3"/>
  <c r="I245" i="3"/>
  <c r="O245" i="3" s="1"/>
  <c r="H245" i="3"/>
  <c r="V245" i="3" s="1"/>
  <c r="AA245" i="3" s="1"/>
  <c r="G245" i="3"/>
  <c r="U245" i="3" s="1"/>
  <c r="Z245" i="3" s="1"/>
  <c r="F245" i="3"/>
  <c r="T245" i="3" s="1"/>
  <c r="Y245" i="3" s="1"/>
  <c r="E245" i="3"/>
  <c r="D245" i="3"/>
  <c r="R245" i="3" s="1"/>
  <c r="W245" i="3" s="1"/>
  <c r="C245" i="3"/>
  <c r="B245" i="3"/>
  <c r="A245" i="3"/>
  <c r="Q244" i="3"/>
  <c r="N244" i="3"/>
  <c r="M244" i="3"/>
  <c r="L244" i="3"/>
  <c r="K244" i="3"/>
  <c r="J244" i="3"/>
  <c r="I244" i="3"/>
  <c r="O244" i="3" s="1"/>
  <c r="H244" i="3"/>
  <c r="V244" i="3" s="1"/>
  <c r="AA244" i="3" s="1"/>
  <c r="G244" i="3"/>
  <c r="U244" i="3" s="1"/>
  <c r="Z244" i="3" s="1"/>
  <c r="F244" i="3"/>
  <c r="T244" i="3" s="1"/>
  <c r="Y244" i="3" s="1"/>
  <c r="E244" i="3"/>
  <c r="S244" i="3" s="1"/>
  <c r="X244" i="3" s="1"/>
  <c r="D244" i="3"/>
  <c r="R244" i="3" s="1"/>
  <c r="W244" i="3" s="1"/>
  <c r="C244" i="3"/>
  <c r="B244" i="3"/>
  <c r="A244" i="3"/>
  <c r="U243" i="3"/>
  <c r="Z243" i="3" s="1"/>
  <c r="R243" i="3"/>
  <c r="W243" i="3" s="1"/>
  <c r="N243" i="3"/>
  <c r="M243" i="3"/>
  <c r="L243" i="3"/>
  <c r="K243" i="3"/>
  <c r="J243" i="3"/>
  <c r="I243" i="3"/>
  <c r="O243" i="3" s="1"/>
  <c r="H243" i="3"/>
  <c r="V243" i="3" s="1"/>
  <c r="AA243" i="3" s="1"/>
  <c r="G243" i="3"/>
  <c r="F243" i="3"/>
  <c r="T243" i="3" s="1"/>
  <c r="Y243" i="3" s="1"/>
  <c r="E243" i="3"/>
  <c r="S243" i="3" s="1"/>
  <c r="X243" i="3" s="1"/>
  <c r="D243" i="3"/>
  <c r="C243" i="3"/>
  <c r="Q243" i="3" s="1"/>
  <c r="B243" i="3"/>
  <c r="A243" i="3"/>
  <c r="S242" i="3"/>
  <c r="X242" i="3" s="1"/>
  <c r="Q242" i="3"/>
  <c r="N242" i="3"/>
  <c r="M242" i="3"/>
  <c r="L242" i="3"/>
  <c r="K242" i="3"/>
  <c r="J242" i="3"/>
  <c r="I242" i="3"/>
  <c r="O242" i="3" s="1"/>
  <c r="H242" i="3"/>
  <c r="V242" i="3" s="1"/>
  <c r="AA242" i="3" s="1"/>
  <c r="G242" i="3"/>
  <c r="U242" i="3" s="1"/>
  <c r="Z242" i="3" s="1"/>
  <c r="F242" i="3"/>
  <c r="T242" i="3" s="1"/>
  <c r="Y242" i="3" s="1"/>
  <c r="E242" i="3"/>
  <c r="D242" i="3"/>
  <c r="R242" i="3" s="1"/>
  <c r="W242" i="3" s="1"/>
  <c r="C242" i="3"/>
  <c r="B242" i="3"/>
  <c r="A242" i="3"/>
  <c r="W241" i="3"/>
  <c r="U241" i="3"/>
  <c r="Z241" i="3" s="1"/>
  <c r="T241" i="3"/>
  <c r="Y241" i="3" s="1"/>
  <c r="Q241" i="3"/>
  <c r="N241" i="3"/>
  <c r="M241" i="3"/>
  <c r="L241" i="3"/>
  <c r="K241" i="3"/>
  <c r="J241" i="3"/>
  <c r="I241" i="3"/>
  <c r="O241" i="3" s="1"/>
  <c r="H241" i="3"/>
  <c r="V241" i="3" s="1"/>
  <c r="AA241" i="3" s="1"/>
  <c r="G241" i="3"/>
  <c r="F241" i="3"/>
  <c r="E241" i="3"/>
  <c r="S241" i="3" s="1"/>
  <c r="X241" i="3" s="1"/>
  <c r="D241" i="3"/>
  <c r="R241" i="3" s="1"/>
  <c r="C241" i="3"/>
  <c r="B241" i="3"/>
  <c r="A241" i="3"/>
  <c r="N240" i="3"/>
  <c r="M240" i="3"/>
  <c r="L240" i="3"/>
  <c r="K240" i="3"/>
  <c r="J240" i="3"/>
  <c r="I240" i="3"/>
  <c r="O240" i="3" s="1"/>
  <c r="H240" i="3"/>
  <c r="V240" i="3" s="1"/>
  <c r="AA240" i="3" s="1"/>
  <c r="G240" i="3"/>
  <c r="U240" i="3" s="1"/>
  <c r="Z240" i="3" s="1"/>
  <c r="F240" i="3"/>
  <c r="T240" i="3" s="1"/>
  <c r="Y240" i="3" s="1"/>
  <c r="E240" i="3"/>
  <c r="S240" i="3" s="1"/>
  <c r="X240" i="3" s="1"/>
  <c r="D240" i="3"/>
  <c r="R240" i="3" s="1"/>
  <c r="W240" i="3" s="1"/>
  <c r="C240" i="3"/>
  <c r="Q240" i="3" s="1"/>
  <c r="B240" i="3"/>
  <c r="A240" i="3"/>
  <c r="Q239" i="3"/>
  <c r="N239" i="3"/>
  <c r="M239" i="3"/>
  <c r="L239" i="3"/>
  <c r="K239" i="3"/>
  <c r="J239" i="3"/>
  <c r="I239" i="3"/>
  <c r="O239" i="3" s="1"/>
  <c r="H239" i="3"/>
  <c r="V239" i="3" s="1"/>
  <c r="AA239" i="3" s="1"/>
  <c r="G239" i="3"/>
  <c r="U239" i="3" s="1"/>
  <c r="Z239" i="3" s="1"/>
  <c r="F239" i="3"/>
  <c r="T239" i="3" s="1"/>
  <c r="Y239" i="3" s="1"/>
  <c r="E239" i="3"/>
  <c r="S239" i="3" s="1"/>
  <c r="X239" i="3" s="1"/>
  <c r="D239" i="3"/>
  <c r="R239" i="3" s="1"/>
  <c r="W239" i="3" s="1"/>
  <c r="C239" i="3"/>
  <c r="B239" i="3"/>
  <c r="A239" i="3"/>
  <c r="T238" i="3"/>
  <c r="Y238" i="3" s="1"/>
  <c r="N238" i="3"/>
  <c r="M238" i="3"/>
  <c r="L238" i="3"/>
  <c r="K238" i="3"/>
  <c r="J238" i="3"/>
  <c r="I238" i="3"/>
  <c r="O238" i="3" s="1"/>
  <c r="H238" i="3"/>
  <c r="V238" i="3" s="1"/>
  <c r="AA238" i="3" s="1"/>
  <c r="G238" i="3"/>
  <c r="U238" i="3" s="1"/>
  <c r="Z238" i="3" s="1"/>
  <c r="F238" i="3"/>
  <c r="E238" i="3"/>
  <c r="S238" i="3" s="1"/>
  <c r="X238" i="3" s="1"/>
  <c r="D238" i="3"/>
  <c r="R238" i="3" s="1"/>
  <c r="W238" i="3" s="1"/>
  <c r="C238" i="3"/>
  <c r="Q238" i="3" s="1"/>
  <c r="B238" i="3"/>
  <c r="A238" i="3"/>
  <c r="S237" i="3"/>
  <c r="X237" i="3" s="1"/>
  <c r="N237" i="3"/>
  <c r="M237" i="3"/>
  <c r="L237" i="3"/>
  <c r="K237" i="3"/>
  <c r="J237" i="3"/>
  <c r="I237" i="3"/>
  <c r="O237" i="3" s="1"/>
  <c r="H237" i="3"/>
  <c r="V237" i="3" s="1"/>
  <c r="AA237" i="3" s="1"/>
  <c r="G237" i="3"/>
  <c r="U237" i="3" s="1"/>
  <c r="Z237" i="3" s="1"/>
  <c r="F237" i="3"/>
  <c r="T237" i="3" s="1"/>
  <c r="Y237" i="3" s="1"/>
  <c r="E237" i="3"/>
  <c r="D237" i="3"/>
  <c r="R237" i="3" s="1"/>
  <c r="W237" i="3" s="1"/>
  <c r="C237" i="3"/>
  <c r="Q237" i="3" s="1"/>
  <c r="B237" i="3"/>
  <c r="A237" i="3"/>
  <c r="R236" i="3"/>
  <c r="W236" i="3" s="1"/>
  <c r="N236" i="3"/>
  <c r="M236" i="3"/>
  <c r="L236" i="3"/>
  <c r="K236" i="3"/>
  <c r="J236" i="3"/>
  <c r="I236" i="3"/>
  <c r="O236" i="3" s="1"/>
  <c r="H236" i="3"/>
  <c r="V236" i="3" s="1"/>
  <c r="AA236" i="3" s="1"/>
  <c r="G236" i="3"/>
  <c r="U236" i="3" s="1"/>
  <c r="Z236" i="3" s="1"/>
  <c r="F236" i="3"/>
  <c r="T236" i="3" s="1"/>
  <c r="Y236" i="3" s="1"/>
  <c r="E236" i="3"/>
  <c r="S236" i="3" s="1"/>
  <c r="X236" i="3" s="1"/>
  <c r="D236" i="3"/>
  <c r="C236" i="3"/>
  <c r="Q236" i="3" s="1"/>
  <c r="B236" i="3"/>
  <c r="A236" i="3"/>
  <c r="U235" i="3"/>
  <c r="Z235" i="3" s="1"/>
  <c r="T235" i="3"/>
  <c r="Y235" i="3" s="1"/>
  <c r="N235" i="3"/>
  <c r="M235" i="3"/>
  <c r="L235" i="3"/>
  <c r="K235" i="3"/>
  <c r="J235" i="3"/>
  <c r="I235" i="3"/>
  <c r="O235" i="3" s="1"/>
  <c r="H235" i="3"/>
  <c r="V235" i="3" s="1"/>
  <c r="AA235" i="3" s="1"/>
  <c r="G235" i="3"/>
  <c r="F235" i="3"/>
  <c r="E235" i="3"/>
  <c r="S235" i="3" s="1"/>
  <c r="X235" i="3" s="1"/>
  <c r="D235" i="3"/>
  <c r="R235" i="3" s="1"/>
  <c r="W235" i="3" s="1"/>
  <c r="C235" i="3"/>
  <c r="Q235" i="3" s="1"/>
  <c r="B235" i="3"/>
  <c r="A235" i="3"/>
  <c r="N234" i="3"/>
  <c r="M234" i="3"/>
  <c r="L234" i="3"/>
  <c r="K234" i="3"/>
  <c r="J234" i="3"/>
  <c r="I234" i="3"/>
  <c r="O234" i="3" s="1"/>
  <c r="H234" i="3"/>
  <c r="V234" i="3" s="1"/>
  <c r="AA234" i="3" s="1"/>
  <c r="G234" i="3"/>
  <c r="U234" i="3" s="1"/>
  <c r="Z234" i="3" s="1"/>
  <c r="F234" i="3"/>
  <c r="T234" i="3" s="1"/>
  <c r="Y234" i="3" s="1"/>
  <c r="E234" i="3"/>
  <c r="S234" i="3" s="1"/>
  <c r="X234" i="3" s="1"/>
  <c r="D234" i="3"/>
  <c r="R234" i="3" s="1"/>
  <c r="W234" i="3" s="1"/>
  <c r="C234" i="3"/>
  <c r="Q234" i="3" s="1"/>
  <c r="B234" i="3"/>
  <c r="A234" i="3"/>
  <c r="Q233" i="3"/>
  <c r="N233" i="3"/>
  <c r="M233" i="3"/>
  <c r="L233" i="3"/>
  <c r="K233" i="3"/>
  <c r="J233" i="3"/>
  <c r="I233" i="3"/>
  <c r="O233" i="3" s="1"/>
  <c r="H233" i="3"/>
  <c r="V233" i="3" s="1"/>
  <c r="AA233" i="3" s="1"/>
  <c r="G233" i="3"/>
  <c r="U233" i="3" s="1"/>
  <c r="Z233" i="3" s="1"/>
  <c r="F233" i="3"/>
  <c r="T233" i="3" s="1"/>
  <c r="Y233" i="3" s="1"/>
  <c r="E233" i="3"/>
  <c r="S233" i="3" s="1"/>
  <c r="X233" i="3" s="1"/>
  <c r="D233" i="3"/>
  <c r="R233" i="3" s="1"/>
  <c r="W233" i="3" s="1"/>
  <c r="C233" i="3"/>
  <c r="B233" i="3"/>
  <c r="A233" i="3"/>
  <c r="W232" i="3"/>
  <c r="U232" i="3"/>
  <c r="Z232" i="3" s="1"/>
  <c r="N232" i="3"/>
  <c r="M232" i="3"/>
  <c r="L232" i="3"/>
  <c r="K232" i="3"/>
  <c r="J232" i="3"/>
  <c r="I232" i="3"/>
  <c r="O232" i="3" s="1"/>
  <c r="H232" i="3"/>
  <c r="V232" i="3" s="1"/>
  <c r="AA232" i="3" s="1"/>
  <c r="G232" i="3"/>
  <c r="F232" i="3"/>
  <c r="T232" i="3" s="1"/>
  <c r="Y232" i="3" s="1"/>
  <c r="E232" i="3"/>
  <c r="S232" i="3" s="1"/>
  <c r="X232" i="3" s="1"/>
  <c r="D232" i="3"/>
  <c r="R232" i="3" s="1"/>
  <c r="C232" i="3"/>
  <c r="Q232" i="3" s="1"/>
  <c r="B232" i="3"/>
  <c r="A232" i="3"/>
  <c r="X231" i="3"/>
  <c r="S231" i="3"/>
  <c r="N231" i="3"/>
  <c r="M231" i="3"/>
  <c r="L231" i="3"/>
  <c r="K231" i="3"/>
  <c r="J231" i="3"/>
  <c r="I231" i="3"/>
  <c r="O231" i="3" s="1"/>
  <c r="H231" i="3"/>
  <c r="V231" i="3" s="1"/>
  <c r="AA231" i="3" s="1"/>
  <c r="G231" i="3"/>
  <c r="U231" i="3" s="1"/>
  <c r="Z231" i="3" s="1"/>
  <c r="F231" i="3"/>
  <c r="T231" i="3" s="1"/>
  <c r="Y231" i="3" s="1"/>
  <c r="E231" i="3"/>
  <c r="D231" i="3"/>
  <c r="R231" i="3" s="1"/>
  <c r="W231" i="3" s="1"/>
  <c r="C231" i="3"/>
  <c r="Q231" i="3" s="1"/>
  <c r="B231" i="3"/>
  <c r="A231" i="3"/>
  <c r="V230" i="3"/>
  <c r="AA230" i="3" s="1"/>
  <c r="Q230" i="3"/>
  <c r="N230" i="3"/>
  <c r="M230" i="3"/>
  <c r="L230" i="3"/>
  <c r="K230" i="3"/>
  <c r="J230" i="3"/>
  <c r="I230" i="3"/>
  <c r="O230" i="3" s="1"/>
  <c r="H230" i="3"/>
  <c r="G230" i="3"/>
  <c r="U230" i="3" s="1"/>
  <c r="Z230" i="3" s="1"/>
  <c r="F230" i="3"/>
  <c r="T230" i="3" s="1"/>
  <c r="Y230" i="3" s="1"/>
  <c r="E230" i="3"/>
  <c r="S230" i="3" s="1"/>
  <c r="X230" i="3" s="1"/>
  <c r="D230" i="3"/>
  <c r="R230" i="3" s="1"/>
  <c r="W230" i="3" s="1"/>
  <c r="C230" i="3"/>
  <c r="B230" i="3"/>
  <c r="A230" i="3"/>
  <c r="U229" i="3"/>
  <c r="Z229" i="3" s="1"/>
  <c r="N229" i="3"/>
  <c r="M229" i="3"/>
  <c r="L229" i="3"/>
  <c r="K229" i="3"/>
  <c r="J229" i="3"/>
  <c r="I229" i="3"/>
  <c r="O229" i="3" s="1"/>
  <c r="H229" i="3"/>
  <c r="V229" i="3" s="1"/>
  <c r="AA229" i="3" s="1"/>
  <c r="G229" i="3"/>
  <c r="F229" i="3"/>
  <c r="T229" i="3" s="1"/>
  <c r="Y229" i="3" s="1"/>
  <c r="E229" i="3"/>
  <c r="S229" i="3" s="1"/>
  <c r="X229" i="3" s="1"/>
  <c r="D229" i="3"/>
  <c r="R229" i="3" s="1"/>
  <c r="W229" i="3" s="1"/>
  <c r="C229" i="3"/>
  <c r="Q229" i="3" s="1"/>
  <c r="B229" i="3"/>
  <c r="A229" i="3"/>
  <c r="R228" i="3"/>
  <c r="W228" i="3" s="1"/>
  <c r="N228" i="3"/>
  <c r="M228" i="3"/>
  <c r="L228" i="3"/>
  <c r="K228" i="3"/>
  <c r="J228" i="3"/>
  <c r="I228" i="3"/>
  <c r="O228" i="3" s="1"/>
  <c r="H228" i="3"/>
  <c r="V228" i="3" s="1"/>
  <c r="AA228" i="3" s="1"/>
  <c r="G228" i="3"/>
  <c r="U228" i="3" s="1"/>
  <c r="Z228" i="3" s="1"/>
  <c r="F228" i="3"/>
  <c r="T228" i="3" s="1"/>
  <c r="Y228" i="3" s="1"/>
  <c r="E228" i="3"/>
  <c r="S228" i="3" s="1"/>
  <c r="X228" i="3" s="1"/>
  <c r="D228" i="3"/>
  <c r="C228" i="3"/>
  <c r="Q228" i="3" s="1"/>
  <c r="B228" i="3"/>
  <c r="A228" i="3"/>
  <c r="X227" i="3"/>
  <c r="V227" i="3"/>
  <c r="AA227" i="3" s="1"/>
  <c r="Q227" i="3"/>
  <c r="N227" i="3"/>
  <c r="M227" i="3"/>
  <c r="L227" i="3"/>
  <c r="K227" i="3"/>
  <c r="J227" i="3"/>
  <c r="I227" i="3"/>
  <c r="O227" i="3" s="1"/>
  <c r="H227" i="3"/>
  <c r="G227" i="3"/>
  <c r="U227" i="3" s="1"/>
  <c r="Z227" i="3" s="1"/>
  <c r="F227" i="3"/>
  <c r="T227" i="3" s="1"/>
  <c r="Y227" i="3" s="1"/>
  <c r="E227" i="3"/>
  <c r="S227" i="3" s="1"/>
  <c r="D227" i="3"/>
  <c r="R227" i="3" s="1"/>
  <c r="W227" i="3" s="1"/>
  <c r="C227" i="3"/>
  <c r="B227" i="3"/>
  <c r="A227" i="3"/>
  <c r="U226" i="3"/>
  <c r="Z226" i="3" s="1"/>
  <c r="N226" i="3"/>
  <c r="M226" i="3"/>
  <c r="L226" i="3"/>
  <c r="K226" i="3"/>
  <c r="J226" i="3"/>
  <c r="I226" i="3"/>
  <c r="O226" i="3" s="1"/>
  <c r="H226" i="3"/>
  <c r="V226" i="3" s="1"/>
  <c r="AA226" i="3" s="1"/>
  <c r="G226" i="3"/>
  <c r="F226" i="3"/>
  <c r="T226" i="3" s="1"/>
  <c r="Y226" i="3" s="1"/>
  <c r="E226" i="3"/>
  <c r="S226" i="3" s="1"/>
  <c r="X226" i="3" s="1"/>
  <c r="D226" i="3"/>
  <c r="R226" i="3" s="1"/>
  <c r="W226" i="3" s="1"/>
  <c r="C226" i="3"/>
  <c r="Q226" i="3" s="1"/>
  <c r="B226" i="3"/>
  <c r="A226" i="3"/>
  <c r="N225" i="3"/>
  <c r="M225" i="3"/>
  <c r="L225" i="3"/>
  <c r="K225" i="3"/>
  <c r="J225" i="3"/>
  <c r="I225" i="3"/>
  <c r="O225" i="3" s="1"/>
  <c r="H225" i="3"/>
  <c r="V225" i="3" s="1"/>
  <c r="AA225" i="3" s="1"/>
  <c r="G225" i="3"/>
  <c r="U225" i="3" s="1"/>
  <c r="Z225" i="3" s="1"/>
  <c r="F225" i="3"/>
  <c r="T225" i="3" s="1"/>
  <c r="Y225" i="3" s="1"/>
  <c r="E225" i="3"/>
  <c r="S225" i="3" s="1"/>
  <c r="X225" i="3" s="1"/>
  <c r="D225" i="3"/>
  <c r="R225" i="3" s="1"/>
  <c r="W225" i="3" s="1"/>
  <c r="C225" i="3"/>
  <c r="Q225" i="3" s="1"/>
  <c r="B225" i="3"/>
  <c r="A225" i="3"/>
  <c r="N224" i="3"/>
  <c r="M224" i="3"/>
  <c r="L224" i="3"/>
  <c r="K224" i="3"/>
  <c r="J224" i="3"/>
  <c r="I224" i="3"/>
  <c r="O224" i="3" s="1"/>
  <c r="H224" i="3"/>
  <c r="V224" i="3" s="1"/>
  <c r="AA224" i="3" s="1"/>
  <c r="G224" i="3"/>
  <c r="U224" i="3" s="1"/>
  <c r="Z224" i="3" s="1"/>
  <c r="F224" i="3"/>
  <c r="T224" i="3" s="1"/>
  <c r="Y224" i="3" s="1"/>
  <c r="E224" i="3"/>
  <c r="S224" i="3" s="1"/>
  <c r="X224" i="3" s="1"/>
  <c r="D224" i="3"/>
  <c r="R224" i="3" s="1"/>
  <c r="W224" i="3" s="1"/>
  <c r="C224" i="3"/>
  <c r="Q224" i="3" s="1"/>
  <c r="B224" i="3"/>
  <c r="A224" i="3"/>
  <c r="T223" i="3"/>
  <c r="Y223" i="3" s="1"/>
  <c r="N223" i="3"/>
  <c r="M223" i="3"/>
  <c r="L223" i="3"/>
  <c r="K223" i="3"/>
  <c r="J223" i="3"/>
  <c r="I223" i="3"/>
  <c r="O223" i="3" s="1"/>
  <c r="H223" i="3"/>
  <c r="V223" i="3" s="1"/>
  <c r="AA223" i="3" s="1"/>
  <c r="G223" i="3"/>
  <c r="U223" i="3" s="1"/>
  <c r="Z223" i="3" s="1"/>
  <c r="F223" i="3"/>
  <c r="E223" i="3"/>
  <c r="S223" i="3" s="1"/>
  <c r="X223" i="3" s="1"/>
  <c r="D223" i="3"/>
  <c r="R223" i="3" s="1"/>
  <c r="W223" i="3" s="1"/>
  <c r="C223" i="3"/>
  <c r="Q223" i="3" s="1"/>
  <c r="B223" i="3"/>
  <c r="A223" i="3"/>
  <c r="T222" i="3"/>
  <c r="Y222" i="3" s="1"/>
  <c r="N222" i="3"/>
  <c r="M222" i="3"/>
  <c r="L222" i="3"/>
  <c r="K222" i="3"/>
  <c r="J222" i="3"/>
  <c r="I222" i="3"/>
  <c r="O222" i="3" s="1"/>
  <c r="H222" i="3"/>
  <c r="V222" i="3" s="1"/>
  <c r="AA222" i="3" s="1"/>
  <c r="G222" i="3"/>
  <c r="U222" i="3" s="1"/>
  <c r="Z222" i="3" s="1"/>
  <c r="F222" i="3"/>
  <c r="E222" i="3"/>
  <c r="S222" i="3" s="1"/>
  <c r="X222" i="3" s="1"/>
  <c r="D222" i="3"/>
  <c r="R222" i="3" s="1"/>
  <c r="W222" i="3" s="1"/>
  <c r="C222" i="3"/>
  <c r="Q222" i="3" s="1"/>
  <c r="B222" i="3"/>
  <c r="A222" i="3"/>
  <c r="V221" i="3"/>
  <c r="AA221" i="3" s="1"/>
  <c r="N221" i="3"/>
  <c r="M221" i="3"/>
  <c r="L221" i="3"/>
  <c r="K221" i="3"/>
  <c r="J221" i="3"/>
  <c r="I221" i="3"/>
  <c r="O221" i="3" s="1"/>
  <c r="H221" i="3"/>
  <c r="G221" i="3"/>
  <c r="U221" i="3" s="1"/>
  <c r="Z221" i="3" s="1"/>
  <c r="F221" i="3"/>
  <c r="T221" i="3" s="1"/>
  <c r="Y221" i="3" s="1"/>
  <c r="E221" i="3"/>
  <c r="S221" i="3" s="1"/>
  <c r="X221" i="3" s="1"/>
  <c r="D221" i="3"/>
  <c r="R221" i="3" s="1"/>
  <c r="W221" i="3" s="1"/>
  <c r="C221" i="3"/>
  <c r="Q221" i="3" s="1"/>
  <c r="B221" i="3"/>
  <c r="A221" i="3"/>
  <c r="U220" i="3"/>
  <c r="Z220" i="3" s="1"/>
  <c r="N220" i="3"/>
  <c r="M220" i="3"/>
  <c r="L220" i="3"/>
  <c r="K220" i="3"/>
  <c r="J220" i="3"/>
  <c r="I220" i="3"/>
  <c r="O220" i="3" s="1"/>
  <c r="H220" i="3"/>
  <c r="V220" i="3" s="1"/>
  <c r="AA220" i="3" s="1"/>
  <c r="G220" i="3"/>
  <c r="F220" i="3"/>
  <c r="T220" i="3" s="1"/>
  <c r="Y220" i="3" s="1"/>
  <c r="E220" i="3"/>
  <c r="S220" i="3" s="1"/>
  <c r="X220" i="3" s="1"/>
  <c r="D220" i="3"/>
  <c r="R220" i="3" s="1"/>
  <c r="W220" i="3" s="1"/>
  <c r="C220" i="3"/>
  <c r="Q220" i="3" s="1"/>
  <c r="B220" i="3"/>
  <c r="A220" i="3"/>
  <c r="AA219" i="3"/>
  <c r="N219" i="3"/>
  <c r="M219" i="3"/>
  <c r="L219" i="3"/>
  <c r="K219" i="3"/>
  <c r="J219" i="3"/>
  <c r="I219" i="3"/>
  <c r="O219" i="3" s="1"/>
  <c r="H219" i="3"/>
  <c r="V219" i="3" s="1"/>
  <c r="G219" i="3"/>
  <c r="U219" i="3" s="1"/>
  <c r="Z219" i="3" s="1"/>
  <c r="F219" i="3"/>
  <c r="T219" i="3" s="1"/>
  <c r="Y219" i="3" s="1"/>
  <c r="E219" i="3"/>
  <c r="S219" i="3" s="1"/>
  <c r="X219" i="3" s="1"/>
  <c r="D219" i="3"/>
  <c r="R219" i="3" s="1"/>
  <c r="W219" i="3" s="1"/>
  <c r="C219" i="3"/>
  <c r="Q219" i="3" s="1"/>
  <c r="B219" i="3"/>
  <c r="A219" i="3"/>
  <c r="Y218" i="3"/>
  <c r="R218" i="3"/>
  <c r="W218" i="3" s="1"/>
  <c r="Q218" i="3"/>
  <c r="N218" i="3"/>
  <c r="M218" i="3"/>
  <c r="L218" i="3"/>
  <c r="K218" i="3"/>
  <c r="J218" i="3"/>
  <c r="I218" i="3"/>
  <c r="O218" i="3" s="1"/>
  <c r="H218" i="3"/>
  <c r="V218" i="3" s="1"/>
  <c r="AA218" i="3" s="1"/>
  <c r="G218" i="3"/>
  <c r="U218" i="3" s="1"/>
  <c r="Z218" i="3" s="1"/>
  <c r="F218" i="3"/>
  <c r="T218" i="3" s="1"/>
  <c r="E218" i="3"/>
  <c r="S218" i="3" s="1"/>
  <c r="X218" i="3" s="1"/>
  <c r="D218" i="3"/>
  <c r="C218" i="3"/>
  <c r="B218" i="3"/>
  <c r="A218" i="3"/>
  <c r="U217" i="3"/>
  <c r="Z217" i="3" s="1"/>
  <c r="T217" i="3"/>
  <c r="Y217" i="3" s="1"/>
  <c r="N217" i="3"/>
  <c r="M217" i="3"/>
  <c r="L217" i="3"/>
  <c r="K217" i="3"/>
  <c r="J217" i="3"/>
  <c r="I217" i="3"/>
  <c r="O217" i="3" s="1"/>
  <c r="H217" i="3"/>
  <c r="V217" i="3" s="1"/>
  <c r="AA217" i="3" s="1"/>
  <c r="G217" i="3"/>
  <c r="F217" i="3"/>
  <c r="E217" i="3"/>
  <c r="S217" i="3" s="1"/>
  <c r="X217" i="3" s="1"/>
  <c r="D217" i="3"/>
  <c r="R217" i="3" s="1"/>
  <c r="W217" i="3" s="1"/>
  <c r="C217" i="3"/>
  <c r="Q217" i="3" s="1"/>
  <c r="B217" i="3"/>
  <c r="A217" i="3"/>
  <c r="X216" i="3"/>
  <c r="N216" i="3"/>
  <c r="M216" i="3"/>
  <c r="L216" i="3"/>
  <c r="K216" i="3"/>
  <c r="J216" i="3"/>
  <c r="I216" i="3"/>
  <c r="O216" i="3" s="1"/>
  <c r="H216" i="3"/>
  <c r="V216" i="3" s="1"/>
  <c r="AA216" i="3" s="1"/>
  <c r="G216" i="3"/>
  <c r="U216" i="3" s="1"/>
  <c r="Z216" i="3" s="1"/>
  <c r="F216" i="3"/>
  <c r="T216" i="3" s="1"/>
  <c r="Y216" i="3" s="1"/>
  <c r="E216" i="3"/>
  <c r="S216" i="3" s="1"/>
  <c r="D216" i="3"/>
  <c r="R216" i="3" s="1"/>
  <c r="W216" i="3" s="1"/>
  <c r="C216" i="3"/>
  <c r="Q216" i="3" s="1"/>
  <c r="B216" i="3"/>
  <c r="A216" i="3"/>
  <c r="Q215" i="3"/>
  <c r="N215" i="3"/>
  <c r="M215" i="3"/>
  <c r="L215" i="3"/>
  <c r="K215" i="3"/>
  <c r="J215" i="3"/>
  <c r="I215" i="3"/>
  <c r="O215" i="3" s="1"/>
  <c r="H215" i="3"/>
  <c r="V215" i="3" s="1"/>
  <c r="AA215" i="3" s="1"/>
  <c r="G215" i="3"/>
  <c r="U215" i="3" s="1"/>
  <c r="Z215" i="3" s="1"/>
  <c r="F215" i="3"/>
  <c r="T215" i="3" s="1"/>
  <c r="Y215" i="3" s="1"/>
  <c r="E215" i="3"/>
  <c r="S215" i="3" s="1"/>
  <c r="X215" i="3" s="1"/>
  <c r="D215" i="3"/>
  <c r="R215" i="3" s="1"/>
  <c r="W215" i="3" s="1"/>
  <c r="C215" i="3"/>
  <c r="B215" i="3"/>
  <c r="A215" i="3"/>
  <c r="T214" i="3"/>
  <c r="Y214" i="3" s="1"/>
  <c r="Q214" i="3"/>
  <c r="N214" i="3"/>
  <c r="M214" i="3"/>
  <c r="L214" i="3"/>
  <c r="K214" i="3"/>
  <c r="J214" i="3"/>
  <c r="I214" i="3"/>
  <c r="O214" i="3" s="1"/>
  <c r="H214" i="3"/>
  <c r="V214" i="3" s="1"/>
  <c r="AA214" i="3" s="1"/>
  <c r="G214" i="3"/>
  <c r="U214" i="3" s="1"/>
  <c r="Z214" i="3" s="1"/>
  <c r="F214" i="3"/>
  <c r="E214" i="3"/>
  <c r="S214" i="3" s="1"/>
  <c r="X214" i="3" s="1"/>
  <c r="D214" i="3"/>
  <c r="R214" i="3" s="1"/>
  <c r="W214" i="3" s="1"/>
  <c r="C214" i="3"/>
  <c r="B214" i="3"/>
  <c r="A214" i="3"/>
  <c r="V213" i="3"/>
  <c r="AA213" i="3" s="1"/>
  <c r="S213" i="3"/>
  <c r="X213" i="3" s="1"/>
  <c r="N213" i="3"/>
  <c r="M213" i="3"/>
  <c r="L213" i="3"/>
  <c r="K213" i="3"/>
  <c r="J213" i="3"/>
  <c r="I213" i="3"/>
  <c r="O213" i="3" s="1"/>
  <c r="H213" i="3"/>
  <c r="G213" i="3"/>
  <c r="U213" i="3" s="1"/>
  <c r="Z213" i="3" s="1"/>
  <c r="F213" i="3"/>
  <c r="T213" i="3" s="1"/>
  <c r="Y213" i="3" s="1"/>
  <c r="E213" i="3"/>
  <c r="D213" i="3"/>
  <c r="R213" i="3" s="1"/>
  <c r="W213" i="3" s="1"/>
  <c r="C213" i="3"/>
  <c r="Q213" i="3" s="1"/>
  <c r="B213" i="3"/>
  <c r="A213" i="3"/>
  <c r="Q212" i="3"/>
  <c r="N212" i="3"/>
  <c r="M212" i="3"/>
  <c r="L212" i="3"/>
  <c r="K212" i="3"/>
  <c r="J212" i="3"/>
  <c r="I212" i="3"/>
  <c r="O212" i="3" s="1"/>
  <c r="H212" i="3"/>
  <c r="V212" i="3" s="1"/>
  <c r="AA212" i="3" s="1"/>
  <c r="G212" i="3"/>
  <c r="U212" i="3" s="1"/>
  <c r="Z212" i="3" s="1"/>
  <c r="F212" i="3"/>
  <c r="T212" i="3" s="1"/>
  <c r="Y212" i="3" s="1"/>
  <c r="E212" i="3"/>
  <c r="S212" i="3" s="1"/>
  <c r="X212" i="3" s="1"/>
  <c r="D212" i="3"/>
  <c r="R212" i="3" s="1"/>
  <c r="W212" i="3" s="1"/>
  <c r="C212" i="3"/>
  <c r="B212" i="3"/>
  <c r="A212" i="3"/>
  <c r="U211" i="3"/>
  <c r="Z211" i="3" s="1"/>
  <c r="Q211" i="3"/>
  <c r="N211" i="3"/>
  <c r="M211" i="3"/>
  <c r="L211" i="3"/>
  <c r="K211" i="3"/>
  <c r="J211" i="3"/>
  <c r="I211" i="3"/>
  <c r="O211" i="3" s="1"/>
  <c r="H211" i="3"/>
  <c r="V211" i="3" s="1"/>
  <c r="AA211" i="3" s="1"/>
  <c r="G211" i="3"/>
  <c r="F211" i="3"/>
  <c r="T211" i="3" s="1"/>
  <c r="Y211" i="3" s="1"/>
  <c r="E211" i="3"/>
  <c r="S211" i="3" s="1"/>
  <c r="X211" i="3" s="1"/>
  <c r="D211" i="3"/>
  <c r="R211" i="3" s="1"/>
  <c r="W211" i="3" s="1"/>
  <c r="C211" i="3"/>
  <c r="B211" i="3"/>
  <c r="A211" i="3"/>
  <c r="U210" i="3"/>
  <c r="Z210" i="3" s="1"/>
  <c r="N210" i="3"/>
  <c r="M210" i="3"/>
  <c r="L210" i="3"/>
  <c r="K210" i="3"/>
  <c r="J210" i="3"/>
  <c r="I210" i="3"/>
  <c r="O210" i="3" s="1"/>
  <c r="H210" i="3"/>
  <c r="V210" i="3" s="1"/>
  <c r="AA210" i="3" s="1"/>
  <c r="G210" i="3"/>
  <c r="F210" i="3"/>
  <c r="T210" i="3" s="1"/>
  <c r="Y210" i="3" s="1"/>
  <c r="E210" i="3"/>
  <c r="S210" i="3" s="1"/>
  <c r="X210" i="3" s="1"/>
  <c r="D210" i="3"/>
  <c r="R210" i="3" s="1"/>
  <c r="W210" i="3" s="1"/>
  <c r="C210" i="3"/>
  <c r="Q210" i="3" s="1"/>
  <c r="B210" i="3"/>
  <c r="A210" i="3"/>
  <c r="T209" i="3"/>
  <c r="Y209" i="3" s="1"/>
  <c r="R209" i="3"/>
  <c r="W209" i="3" s="1"/>
  <c r="Q209" i="3"/>
  <c r="N209" i="3"/>
  <c r="M209" i="3"/>
  <c r="L209" i="3"/>
  <c r="K209" i="3"/>
  <c r="J209" i="3"/>
  <c r="I209" i="3"/>
  <c r="O209" i="3" s="1"/>
  <c r="H209" i="3"/>
  <c r="V209" i="3" s="1"/>
  <c r="AA209" i="3" s="1"/>
  <c r="G209" i="3"/>
  <c r="U209" i="3" s="1"/>
  <c r="Z209" i="3" s="1"/>
  <c r="F209" i="3"/>
  <c r="E209" i="3"/>
  <c r="S209" i="3" s="1"/>
  <c r="X209" i="3" s="1"/>
  <c r="D209" i="3"/>
  <c r="C209" i="3"/>
  <c r="B209" i="3"/>
  <c r="A209" i="3"/>
  <c r="U208" i="3"/>
  <c r="Z208" i="3" s="1"/>
  <c r="T208" i="3"/>
  <c r="Y208" i="3" s="1"/>
  <c r="N208" i="3"/>
  <c r="M208" i="3"/>
  <c r="L208" i="3"/>
  <c r="K208" i="3"/>
  <c r="J208" i="3"/>
  <c r="I208" i="3"/>
  <c r="O208" i="3" s="1"/>
  <c r="H208" i="3"/>
  <c r="V208" i="3" s="1"/>
  <c r="AA208" i="3" s="1"/>
  <c r="G208" i="3"/>
  <c r="F208" i="3"/>
  <c r="E208" i="3"/>
  <c r="S208" i="3" s="1"/>
  <c r="X208" i="3" s="1"/>
  <c r="D208" i="3"/>
  <c r="R208" i="3" s="1"/>
  <c r="W208" i="3" s="1"/>
  <c r="C208" i="3"/>
  <c r="Q208" i="3" s="1"/>
  <c r="B208" i="3"/>
  <c r="A208" i="3"/>
  <c r="V207" i="3"/>
  <c r="AA207" i="3" s="1"/>
  <c r="T207" i="3"/>
  <c r="Y207" i="3" s="1"/>
  <c r="N207" i="3"/>
  <c r="M207" i="3"/>
  <c r="L207" i="3"/>
  <c r="K207" i="3"/>
  <c r="J207" i="3"/>
  <c r="I207" i="3"/>
  <c r="O207" i="3" s="1"/>
  <c r="H207" i="3"/>
  <c r="G207" i="3"/>
  <c r="U207" i="3" s="1"/>
  <c r="Z207" i="3" s="1"/>
  <c r="F207" i="3"/>
  <c r="E207" i="3"/>
  <c r="S207" i="3" s="1"/>
  <c r="X207" i="3" s="1"/>
  <c r="D207" i="3"/>
  <c r="R207" i="3" s="1"/>
  <c r="W207" i="3" s="1"/>
  <c r="C207" i="3"/>
  <c r="Q207" i="3" s="1"/>
  <c r="B207" i="3"/>
  <c r="A207" i="3"/>
  <c r="V206" i="3"/>
  <c r="AA206" i="3" s="1"/>
  <c r="N206" i="3"/>
  <c r="M206" i="3"/>
  <c r="L206" i="3"/>
  <c r="K206" i="3"/>
  <c r="J206" i="3"/>
  <c r="I206" i="3"/>
  <c r="O206" i="3" s="1"/>
  <c r="H206" i="3"/>
  <c r="G206" i="3"/>
  <c r="U206" i="3" s="1"/>
  <c r="Z206" i="3" s="1"/>
  <c r="F206" i="3"/>
  <c r="T206" i="3" s="1"/>
  <c r="Y206" i="3" s="1"/>
  <c r="E206" i="3"/>
  <c r="S206" i="3" s="1"/>
  <c r="X206" i="3" s="1"/>
  <c r="D206" i="3"/>
  <c r="R206" i="3" s="1"/>
  <c r="W206" i="3" s="1"/>
  <c r="C206" i="3"/>
  <c r="Q206" i="3" s="1"/>
  <c r="B206" i="3"/>
  <c r="A206" i="3"/>
  <c r="N205" i="3"/>
  <c r="M205" i="3"/>
  <c r="L205" i="3"/>
  <c r="K205" i="3"/>
  <c r="J205" i="3"/>
  <c r="I205" i="3"/>
  <c r="O205" i="3" s="1"/>
  <c r="H205" i="3"/>
  <c r="V205" i="3" s="1"/>
  <c r="AA205" i="3" s="1"/>
  <c r="G205" i="3"/>
  <c r="U205" i="3" s="1"/>
  <c r="Z205" i="3" s="1"/>
  <c r="F205" i="3"/>
  <c r="T205" i="3" s="1"/>
  <c r="Y205" i="3" s="1"/>
  <c r="E205" i="3"/>
  <c r="S205" i="3" s="1"/>
  <c r="X205" i="3" s="1"/>
  <c r="D205" i="3"/>
  <c r="R205" i="3" s="1"/>
  <c r="W205" i="3" s="1"/>
  <c r="C205" i="3"/>
  <c r="Q205" i="3" s="1"/>
  <c r="B205" i="3"/>
  <c r="A205" i="3"/>
  <c r="S204" i="3"/>
  <c r="X204" i="3" s="1"/>
  <c r="N204" i="3"/>
  <c r="M204" i="3"/>
  <c r="L204" i="3"/>
  <c r="K204" i="3"/>
  <c r="J204" i="3"/>
  <c r="I204" i="3"/>
  <c r="O204" i="3" s="1"/>
  <c r="H204" i="3"/>
  <c r="V204" i="3" s="1"/>
  <c r="AA204" i="3" s="1"/>
  <c r="G204" i="3"/>
  <c r="U204" i="3" s="1"/>
  <c r="Z204" i="3" s="1"/>
  <c r="F204" i="3"/>
  <c r="T204" i="3" s="1"/>
  <c r="Y204" i="3" s="1"/>
  <c r="E204" i="3"/>
  <c r="D204" i="3"/>
  <c r="R204" i="3" s="1"/>
  <c r="W204" i="3" s="1"/>
  <c r="C204" i="3"/>
  <c r="Q204" i="3" s="1"/>
  <c r="B204" i="3"/>
  <c r="A204" i="3"/>
  <c r="N203" i="3"/>
  <c r="M203" i="3"/>
  <c r="L203" i="3"/>
  <c r="K203" i="3"/>
  <c r="J203" i="3"/>
  <c r="I203" i="3"/>
  <c r="O203" i="3" s="1"/>
  <c r="H203" i="3"/>
  <c r="V203" i="3" s="1"/>
  <c r="AA203" i="3" s="1"/>
  <c r="G203" i="3"/>
  <c r="U203" i="3" s="1"/>
  <c r="Z203" i="3" s="1"/>
  <c r="F203" i="3"/>
  <c r="T203" i="3" s="1"/>
  <c r="Y203" i="3" s="1"/>
  <c r="E203" i="3"/>
  <c r="S203" i="3" s="1"/>
  <c r="X203" i="3" s="1"/>
  <c r="D203" i="3"/>
  <c r="R203" i="3" s="1"/>
  <c r="W203" i="3" s="1"/>
  <c r="C203" i="3"/>
  <c r="Q203" i="3" s="1"/>
  <c r="B203" i="3"/>
  <c r="A203" i="3"/>
  <c r="T202" i="3"/>
  <c r="Y202" i="3" s="1"/>
  <c r="N202" i="3"/>
  <c r="M202" i="3"/>
  <c r="L202" i="3"/>
  <c r="K202" i="3"/>
  <c r="J202" i="3"/>
  <c r="I202" i="3"/>
  <c r="O202" i="3" s="1"/>
  <c r="H202" i="3"/>
  <c r="V202" i="3" s="1"/>
  <c r="AA202" i="3" s="1"/>
  <c r="G202" i="3"/>
  <c r="U202" i="3" s="1"/>
  <c r="Z202" i="3" s="1"/>
  <c r="F202" i="3"/>
  <c r="E202" i="3"/>
  <c r="S202" i="3" s="1"/>
  <c r="X202" i="3" s="1"/>
  <c r="D202" i="3"/>
  <c r="R202" i="3" s="1"/>
  <c r="W202" i="3" s="1"/>
  <c r="C202" i="3"/>
  <c r="Q202" i="3" s="1"/>
  <c r="B202" i="3"/>
  <c r="A202" i="3"/>
  <c r="V201" i="3"/>
  <c r="AA201" i="3" s="1"/>
  <c r="T201" i="3"/>
  <c r="Y201" i="3" s="1"/>
  <c r="R201" i="3"/>
  <c r="W201" i="3" s="1"/>
  <c r="N201" i="3"/>
  <c r="M201" i="3"/>
  <c r="L201" i="3"/>
  <c r="K201" i="3"/>
  <c r="J201" i="3"/>
  <c r="I201" i="3"/>
  <c r="O201" i="3" s="1"/>
  <c r="H201" i="3"/>
  <c r="G201" i="3"/>
  <c r="U201" i="3" s="1"/>
  <c r="Z201" i="3" s="1"/>
  <c r="F201" i="3"/>
  <c r="E201" i="3"/>
  <c r="S201" i="3" s="1"/>
  <c r="X201" i="3" s="1"/>
  <c r="D201" i="3"/>
  <c r="C201" i="3"/>
  <c r="Q201" i="3" s="1"/>
  <c r="B201" i="3"/>
  <c r="A201" i="3"/>
  <c r="Y200" i="3"/>
  <c r="Q200" i="3"/>
  <c r="N200" i="3"/>
  <c r="M200" i="3"/>
  <c r="L200" i="3"/>
  <c r="K200" i="3"/>
  <c r="J200" i="3"/>
  <c r="I200" i="3"/>
  <c r="O200" i="3" s="1"/>
  <c r="H200" i="3"/>
  <c r="V200" i="3" s="1"/>
  <c r="AA200" i="3" s="1"/>
  <c r="G200" i="3"/>
  <c r="U200" i="3" s="1"/>
  <c r="Z200" i="3" s="1"/>
  <c r="F200" i="3"/>
  <c r="T200" i="3" s="1"/>
  <c r="E200" i="3"/>
  <c r="S200" i="3" s="1"/>
  <c r="X200" i="3" s="1"/>
  <c r="D200" i="3"/>
  <c r="R200" i="3" s="1"/>
  <c r="W200" i="3" s="1"/>
  <c r="C200" i="3"/>
  <c r="B200" i="3"/>
  <c r="A200" i="3"/>
  <c r="U199" i="3"/>
  <c r="Z199" i="3" s="1"/>
  <c r="N199" i="3"/>
  <c r="M199" i="3"/>
  <c r="L199" i="3"/>
  <c r="K199" i="3"/>
  <c r="J199" i="3"/>
  <c r="I199" i="3"/>
  <c r="O199" i="3" s="1"/>
  <c r="H199" i="3"/>
  <c r="V199" i="3" s="1"/>
  <c r="AA199" i="3" s="1"/>
  <c r="G199" i="3"/>
  <c r="F199" i="3"/>
  <c r="T199" i="3" s="1"/>
  <c r="Y199" i="3" s="1"/>
  <c r="E199" i="3"/>
  <c r="S199" i="3" s="1"/>
  <c r="X199" i="3" s="1"/>
  <c r="D199" i="3"/>
  <c r="R199" i="3" s="1"/>
  <c r="W199" i="3" s="1"/>
  <c r="C199" i="3"/>
  <c r="Q199" i="3" s="1"/>
  <c r="B199" i="3"/>
  <c r="A199" i="3"/>
  <c r="S198" i="3"/>
  <c r="X198" i="3" s="1"/>
  <c r="P198" i="3"/>
  <c r="N198" i="3"/>
  <c r="M198" i="3"/>
  <c r="L198" i="3"/>
  <c r="K198" i="3"/>
  <c r="J198" i="3"/>
  <c r="I198" i="3"/>
  <c r="O198" i="3" s="1"/>
  <c r="H198" i="3"/>
  <c r="V198" i="3" s="1"/>
  <c r="AA198" i="3" s="1"/>
  <c r="G198" i="3"/>
  <c r="U198" i="3" s="1"/>
  <c r="Z198" i="3" s="1"/>
  <c r="F198" i="3"/>
  <c r="T198" i="3" s="1"/>
  <c r="Y198" i="3" s="1"/>
  <c r="E198" i="3"/>
  <c r="D198" i="3"/>
  <c r="R198" i="3" s="1"/>
  <c r="W198" i="3" s="1"/>
  <c r="C198" i="3"/>
  <c r="Q198" i="3" s="1"/>
  <c r="B198" i="3"/>
  <c r="A198" i="3"/>
  <c r="X197" i="3"/>
  <c r="N197" i="3"/>
  <c r="M197" i="3"/>
  <c r="L197" i="3"/>
  <c r="K197" i="3"/>
  <c r="J197" i="3"/>
  <c r="I197" i="3"/>
  <c r="O197" i="3" s="1"/>
  <c r="H197" i="3"/>
  <c r="V197" i="3" s="1"/>
  <c r="AA197" i="3" s="1"/>
  <c r="G197" i="3"/>
  <c r="U197" i="3" s="1"/>
  <c r="Z197" i="3" s="1"/>
  <c r="F197" i="3"/>
  <c r="T197" i="3" s="1"/>
  <c r="Y197" i="3" s="1"/>
  <c r="E197" i="3"/>
  <c r="S197" i="3" s="1"/>
  <c r="D197" i="3"/>
  <c r="R197" i="3" s="1"/>
  <c r="W197" i="3" s="1"/>
  <c r="C197" i="3"/>
  <c r="Q197" i="3" s="1"/>
  <c r="B197" i="3"/>
  <c r="A197" i="3"/>
  <c r="P197" i="3" s="1"/>
  <c r="V196" i="3"/>
  <c r="AA196" i="3" s="1"/>
  <c r="R196" i="3"/>
  <c r="W196" i="3" s="1"/>
  <c r="N196" i="3"/>
  <c r="M196" i="3"/>
  <c r="L196" i="3"/>
  <c r="K196" i="3"/>
  <c r="J196" i="3"/>
  <c r="I196" i="3"/>
  <c r="O196" i="3" s="1"/>
  <c r="H196" i="3"/>
  <c r="G196" i="3"/>
  <c r="U196" i="3" s="1"/>
  <c r="Z196" i="3" s="1"/>
  <c r="F196" i="3"/>
  <c r="T196" i="3" s="1"/>
  <c r="Y196" i="3" s="1"/>
  <c r="E196" i="3"/>
  <c r="S196" i="3" s="1"/>
  <c r="X196" i="3" s="1"/>
  <c r="D196" i="3"/>
  <c r="C196" i="3"/>
  <c r="Q196" i="3" s="1"/>
  <c r="B196" i="3"/>
  <c r="A196" i="3"/>
  <c r="P196" i="3" s="1"/>
  <c r="U195" i="3"/>
  <c r="Z195" i="3" s="1"/>
  <c r="T195" i="3"/>
  <c r="Y195" i="3" s="1"/>
  <c r="N195" i="3"/>
  <c r="M195" i="3"/>
  <c r="L195" i="3"/>
  <c r="K195" i="3"/>
  <c r="J195" i="3"/>
  <c r="I195" i="3"/>
  <c r="O195" i="3" s="1"/>
  <c r="H195" i="3"/>
  <c r="V195" i="3" s="1"/>
  <c r="AA195" i="3" s="1"/>
  <c r="G195" i="3"/>
  <c r="F195" i="3"/>
  <c r="E195" i="3"/>
  <c r="S195" i="3" s="1"/>
  <c r="X195" i="3" s="1"/>
  <c r="D195" i="3"/>
  <c r="R195" i="3" s="1"/>
  <c r="W195" i="3" s="1"/>
  <c r="C195" i="3"/>
  <c r="Q195" i="3" s="1"/>
  <c r="B195" i="3"/>
  <c r="A195" i="3"/>
  <c r="P195" i="3" s="1"/>
  <c r="P194" i="3"/>
  <c r="N194" i="3"/>
  <c r="M194" i="3"/>
  <c r="L194" i="3"/>
  <c r="K194" i="3"/>
  <c r="J194" i="3"/>
  <c r="I194" i="3"/>
  <c r="O194" i="3" s="1"/>
  <c r="H194" i="3"/>
  <c r="V194" i="3" s="1"/>
  <c r="AA194" i="3" s="1"/>
  <c r="G194" i="3"/>
  <c r="U194" i="3" s="1"/>
  <c r="Z194" i="3" s="1"/>
  <c r="F194" i="3"/>
  <c r="T194" i="3" s="1"/>
  <c r="Y194" i="3" s="1"/>
  <c r="E194" i="3"/>
  <c r="S194" i="3" s="1"/>
  <c r="X194" i="3" s="1"/>
  <c r="D194" i="3"/>
  <c r="R194" i="3" s="1"/>
  <c r="W194" i="3" s="1"/>
  <c r="C194" i="3"/>
  <c r="Q194" i="3" s="1"/>
  <c r="B194" i="3"/>
  <c r="A194" i="3"/>
  <c r="Z193" i="3"/>
  <c r="U193" i="3"/>
  <c r="Q193" i="3"/>
  <c r="N193" i="3"/>
  <c r="M193" i="3"/>
  <c r="L193" i="3"/>
  <c r="K193" i="3"/>
  <c r="J193" i="3"/>
  <c r="I193" i="3"/>
  <c r="O193" i="3" s="1"/>
  <c r="H193" i="3"/>
  <c r="V193" i="3" s="1"/>
  <c r="AA193" i="3" s="1"/>
  <c r="G193" i="3"/>
  <c r="F193" i="3"/>
  <c r="T193" i="3" s="1"/>
  <c r="Y193" i="3" s="1"/>
  <c r="E193" i="3"/>
  <c r="S193" i="3" s="1"/>
  <c r="X193" i="3" s="1"/>
  <c r="D193" i="3"/>
  <c r="R193" i="3" s="1"/>
  <c r="W193" i="3" s="1"/>
  <c r="C193" i="3"/>
  <c r="B193" i="3"/>
  <c r="A193" i="3"/>
  <c r="P193" i="3" s="1"/>
  <c r="S192" i="3"/>
  <c r="X192" i="3" s="1"/>
  <c r="N192" i="3"/>
  <c r="M192" i="3"/>
  <c r="L192" i="3"/>
  <c r="K192" i="3"/>
  <c r="J192" i="3"/>
  <c r="I192" i="3"/>
  <c r="O192" i="3" s="1"/>
  <c r="H192" i="3"/>
  <c r="V192" i="3" s="1"/>
  <c r="AA192" i="3" s="1"/>
  <c r="G192" i="3"/>
  <c r="U192" i="3" s="1"/>
  <c r="Z192" i="3" s="1"/>
  <c r="F192" i="3"/>
  <c r="T192" i="3" s="1"/>
  <c r="Y192" i="3" s="1"/>
  <c r="E192" i="3"/>
  <c r="D192" i="3"/>
  <c r="R192" i="3" s="1"/>
  <c r="W192" i="3" s="1"/>
  <c r="C192" i="3"/>
  <c r="Q192" i="3" s="1"/>
  <c r="B192" i="3"/>
  <c r="A192" i="3"/>
  <c r="P192" i="3" s="1"/>
  <c r="N191" i="3"/>
  <c r="M191" i="3"/>
  <c r="L191" i="3"/>
  <c r="K191" i="3"/>
  <c r="J191" i="3"/>
  <c r="I191" i="3"/>
  <c r="O191" i="3" s="1"/>
  <c r="H191" i="3"/>
  <c r="V191" i="3" s="1"/>
  <c r="AA191" i="3" s="1"/>
  <c r="G191" i="3"/>
  <c r="U191" i="3" s="1"/>
  <c r="Z191" i="3" s="1"/>
  <c r="F191" i="3"/>
  <c r="T191" i="3" s="1"/>
  <c r="Y191" i="3" s="1"/>
  <c r="E191" i="3"/>
  <c r="S191" i="3" s="1"/>
  <c r="X191" i="3" s="1"/>
  <c r="D191" i="3"/>
  <c r="R191" i="3" s="1"/>
  <c r="W191" i="3" s="1"/>
  <c r="C191" i="3"/>
  <c r="Q191" i="3" s="1"/>
  <c r="B191" i="3"/>
  <c r="A191" i="3"/>
  <c r="P191" i="3" s="1"/>
  <c r="N190" i="3"/>
  <c r="M190" i="3"/>
  <c r="L190" i="3"/>
  <c r="K190" i="3"/>
  <c r="J190" i="3"/>
  <c r="I190" i="3"/>
  <c r="O190" i="3" s="1"/>
  <c r="H190" i="3"/>
  <c r="V190" i="3" s="1"/>
  <c r="AA190" i="3" s="1"/>
  <c r="G190" i="3"/>
  <c r="U190" i="3" s="1"/>
  <c r="Z190" i="3" s="1"/>
  <c r="F190" i="3"/>
  <c r="T190" i="3" s="1"/>
  <c r="Y190" i="3" s="1"/>
  <c r="E190" i="3"/>
  <c r="S190" i="3" s="1"/>
  <c r="X190" i="3" s="1"/>
  <c r="D190" i="3"/>
  <c r="R190" i="3" s="1"/>
  <c r="W190" i="3" s="1"/>
  <c r="C190" i="3"/>
  <c r="Q190" i="3" s="1"/>
  <c r="B190" i="3"/>
  <c r="A190" i="3"/>
  <c r="P189" i="3"/>
  <c r="N189" i="3"/>
  <c r="M189" i="3"/>
  <c r="L189" i="3"/>
  <c r="K189" i="3"/>
  <c r="J189" i="3"/>
  <c r="I189" i="3"/>
  <c r="O189" i="3" s="1"/>
  <c r="H189" i="3"/>
  <c r="V189" i="3" s="1"/>
  <c r="AA189" i="3" s="1"/>
  <c r="G189" i="3"/>
  <c r="U189" i="3" s="1"/>
  <c r="Z189" i="3" s="1"/>
  <c r="F189" i="3"/>
  <c r="T189" i="3" s="1"/>
  <c r="Y189" i="3" s="1"/>
  <c r="E189" i="3"/>
  <c r="S189" i="3" s="1"/>
  <c r="X189" i="3" s="1"/>
  <c r="D189" i="3"/>
  <c r="R189" i="3" s="1"/>
  <c r="W189" i="3" s="1"/>
  <c r="C189" i="3"/>
  <c r="Q189" i="3" s="1"/>
  <c r="B189" i="3"/>
  <c r="A189" i="3"/>
  <c r="U188" i="3"/>
  <c r="Z188" i="3" s="1"/>
  <c r="N188" i="3"/>
  <c r="M188" i="3"/>
  <c r="L188" i="3"/>
  <c r="K188" i="3"/>
  <c r="J188" i="3"/>
  <c r="I188" i="3"/>
  <c r="O188" i="3" s="1"/>
  <c r="H188" i="3"/>
  <c r="V188" i="3" s="1"/>
  <c r="AA188" i="3" s="1"/>
  <c r="G188" i="3"/>
  <c r="F188" i="3"/>
  <c r="T188" i="3" s="1"/>
  <c r="Y188" i="3" s="1"/>
  <c r="E188" i="3"/>
  <c r="S188" i="3" s="1"/>
  <c r="X188" i="3" s="1"/>
  <c r="D188" i="3"/>
  <c r="R188" i="3" s="1"/>
  <c r="W188" i="3" s="1"/>
  <c r="C188" i="3"/>
  <c r="Q188" i="3" s="1"/>
  <c r="B188" i="3"/>
  <c r="A188" i="3"/>
  <c r="P188" i="3" s="1"/>
  <c r="N187" i="3"/>
  <c r="M187" i="3"/>
  <c r="L187" i="3"/>
  <c r="K187" i="3"/>
  <c r="J187" i="3"/>
  <c r="I187" i="3"/>
  <c r="O187" i="3" s="1"/>
  <c r="H187" i="3"/>
  <c r="V187" i="3" s="1"/>
  <c r="AA187" i="3" s="1"/>
  <c r="G187" i="3"/>
  <c r="U187" i="3" s="1"/>
  <c r="Z187" i="3" s="1"/>
  <c r="F187" i="3"/>
  <c r="T187" i="3" s="1"/>
  <c r="Y187" i="3" s="1"/>
  <c r="E187" i="3"/>
  <c r="S187" i="3" s="1"/>
  <c r="X187" i="3" s="1"/>
  <c r="D187" i="3"/>
  <c r="R187" i="3" s="1"/>
  <c r="W187" i="3" s="1"/>
  <c r="C187" i="3"/>
  <c r="Q187" i="3" s="1"/>
  <c r="B187" i="3"/>
  <c r="A187" i="3"/>
  <c r="N186" i="3"/>
  <c r="M186" i="3"/>
  <c r="L186" i="3"/>
  <c r="K186" i="3"/>
  <c r="J186" i="3"/>
  <c r="I186" i="3"/>
  <c r="O186" i="3" s="1"/>
  <c r="H186" i="3"/>
  <c r="V186" i="3" s="1"/>
  <c r="AA186" i="3" s="1"/>
  <c r="G186" i="3"/>
  <c r="U186" i="3" s="1"/>
  <c r="Z186" i="3" s="1"/>
  <c r="F186" i="3"/>
  <c r="T186" i="3" s="1"/>
  <c r="Y186" i="3" s="1"/>
  <c r="E186" i="3"/>
  <c r="S186" i="3" s="1"/>
  <c r="X186" i="3" s="1"/>
  <c r="D186" i="3"/>
  <c r="R186" i="3" s="1"/>
  <c r="W186" i="3" s="1"/>
  <c r="C186" i="3"/>
  <c r="Q186" i="3" s="1"/>
  <c r="B186" i="3"/>
  <c r="A186" i="3"/>
  <c r="N185" i="3"/>
  <c r="M185" i="3"/>
  <c r="L185" i="3"/>
  <c r="K185" i="3"/>
  <c r="J185" i="3"/>
  <c r="I185" i="3"/>
  <c r="O185" i="3" s="1"/>
  <c r="H185" i="3"/>
  <c r="V185" i="3" s="1"/>
  <c r="AA185" i="3" s="1"/>
  <c r="G185" i="3"/>
  <c r="U185" i="3" s="1"/>
  <c r="Z185" i="3" s="1"/>
  <c r="F185" i="3"/>
  <c r="T185" i="3" s="1"/>
  <c r="Y185" i="3" s="1"/>
  <c r="E185" i="3"/>
  <c r="S185" i="3" s="1"/>
  <c r="X185" i="3" s="1"/>
  <c r="D185" i="3"/>
  <c r="R185" i="3" s="1"/>
  <c r="W185" i="3" s="1"/>
  <c r="C185" i="3"/>
  <c r="Q185" i="3" s="1"/>
  <c r="B185" i="3"/>
  <c r="A185" i="3"/>
  <c r="N184" i="3"/>
  <c r="M184" i="3"/>
  <c r="L184" i="3"/>
  <c r="K184" i="3"/>
  <c r="J184" i="3"/>
  <c r="I184" i="3"/>
  <c r="O184" i="3" s="1"/>
  <c r="H184" i="3"/>
  <c r="V184" i="3" s="1"/>
  <c r="AA184" i="3" s="1"/>
  <c r="G184" i="3"/>
  <c r="U184" i="3" s="1"/>
  <c r="Z184" i="3" s="1"/>
  <c r="F184" i="3"/>
  <c r="T184" i="3" s="1"/>
  <c r="Y184" i="3" s="1"/>
  <c r="E184" i="3"/>
  <c r="S184" i="3" s="1"/>
  <c r="X184" i="3" s="1"/>
  <c r="D184" i="3"/>
  <c r="R184" i="3" s="1"/>
  <c r="W184" i="3" s="1"/>
  <c r="C184" i="3"/>
  <c r="Q184" i="3" s="1"/>
  <c r="B184" i="3"/>
  <c r="A184" i="3"/>
  <c r="Q183" i="3"/>
  <c r="N183" i="3"/>
  <c r="M183" i="3"/>
  <c r="L183" i="3"/>
  <c r="K183" i="3"/>
  <c r="J183" i="3"/>
  <c r="I183" i="3"/>
  <c r="O183" i="3" s="1"/>
  <c r="H183" i="3"/>
  <c r="V183" i="3" s="1"/>
  <c r="AA183" i="3" s="1"/>
  <c r="G183" i="3"/>
  <c r="U183" i="3" s="1"/>
  <c r="Z183" i="3" s="1"/>
  <c r="F183" i="3"/>
  <c r="T183" i="3" s="1"/>
  <c r="Y183" i="3" s="1"/>
  <c r="E183" i="3"/>
  <c r="S183" i="3" s="1"/>
  <c r="X183" i="3" s="1"/>
  <c r="D183" i="3"/>
  <c r="R183" i="3" s="1"/>
  <c r="W183" i="3" s="1"/>
  <c r="C183" i="3"/>
  <c r="B183" i="3"/>
  <c r="A183" i="3"/>
  <c r="X182" i="3"/>
  <c r="N182" i="3"/>
  <c r="M182" i="3"/>
  <c r="L182" i="3"/>
  <c r="K182" i="3"/>
  <c r="J182" i="3"/>
  <c r="I182" i="3"/>
  <c r="O182" i="3" s="1"/>
  <c r="H182" i="3"/>
  <c r="V182" i="3" s="1"/>
  <c r="AA182" i="3" s="1"/>
  <c r="G182" i="3"/>
  <c r="U182" i="3" s="1"/>
  <c r="Z182" i="3" s="1"/>
  <c r="F182" i="3"/>
  <c r="T182" i="3" s="1"/>
  <c r="Y182" i="3" s="1"/>
  <c r="E182" i="3"/>
  <c r="S182" i="3" s="1"/>
  <c r="D182" i="3"/>
  <c r="R182" i="3" s="1"/>
  <c r="W182" i="3" s="1"/>
  <c r="C182" i="3"/>
  <c r="Q182" i="3" s="1"/>
  <c r="B182" i="3"/>
  <c r="A182" i="3"/>
  <c r="S181" i="3"/>
  <c r="X181" i="3" s="1"/>
  <c r="N181" i="3"/>
  <c r="M181" i="3"/>
  <c r="L181" i="3"/>
  <c r="K181" i="3"/>
  <c r="J181" i="3"/>
  <c r="I181" i="3"/>
  <c r="O181" i="3" s="1"/>
  <c r="H181" i="3"/>
  <c r="V181" i="3" s="1"/>
  <c r="AA181" i="3" s="1"/>
  <c r="G181" i="3"/>
  <c r="U181" i="3" s="1"/>
  <c r="Z181" i="3" s="1"/>
  <c r="F181" i="3"/>
  <c r="T181" i="3" s="1"/>
  <c r="Y181" i="3" s="1"/>
  <c r="E181" i="3"/>
  <c r="D181" i="3"/>
  <c r="R181" i="3" s="1"/>
  <c r="W181" i="3" s="1"/>
  <c r="C181" i="3"/>
  <c r="Q181" i="3" s="1"/>
  <c r="B181" i="3"/>
  <c r="A181" i="3"/>
  <c r="Q180" i="3"/>
  <c r="N180" i="3"/>
  <c r="M180" i="3"/>
  <c r="L180" i="3"/>
  <c r="K180" i="3"/>
  <c r="J180" i="3"/>
  <c r="I180" i="3"/>
  <c r="O180" i="3" s="1"/>
  <c r="H180" i="3"/>
  <c r="V180" i="3" s="1"/>
  <c r="AA180" i="3" s="1"/>
  <c r="G180" i="3"/>
  <c r="U180" i="3" s="1"/>
  <c r="Z180" i="3" s="1"/>
  <c r="F180" i="3"/>
  <c r="T180" i="3" s="1"/>
  <c r="Y180" i="3" s="1"/>
  <c r="E180" i="3"/>
  <c r="S180" i="3" s="1"/>
  <c r="X180" i="3" s="1"/>
  <c r="D180" i="3"/>
  <c r="R180" i="3" s="1"/>
  <c r="W180" i="3" s="1"/>
  <c r="C180" i="3"/>
  <c r="B180" i="3"/>
  <c r="A180" i="3"/>
  <c r="N179" i="3"/>
  <c r="M179" i="3"/>
  <c r="L179" i="3"/>
  <c r="K179" i="3"/>
  <c r="J179" i="3"/>
  <c r="I179" i="3"/>
  <c r="O179" i="3" s="1"/>
  <c r="H179" i="3"/>
  <c r="V179" i="3" s="1"/>
  <c r="AA179" i="3" s="1"/>
  <c r="G179" i="3"/>
  <c r="U179" i="3" s="1"/>
  <c r="Z179" i="3" s="1"/>
  <c r="F179" i="3"/>
  <c r="T179" i="3" s="1"/>
  <c r="Y179" i="3" s="1"/>
  <c r="E179" i="3"/>
  <c r="S179" i="3" s="1"/>
  <c r="X179" i="3" s="1"/>
  <c r="D179" i="3"/>
  <c r="R179" i="3" s="1"/>
  <c r="W179" i="3" s="1"/>
  <c r="C179" i="3"/>
  <c r="Q179" i="3" s="1"/>
  <c r="B179" i="3"/>
  <c r="A179" i="3"/>
  <c r="V178" i="3"/>
  <c r="AA178" i="3" s="1"/>
  <c r="N178" i="3"/>
  <c r="M178" i="3"/>
  <c r="L178" i="3"/>
  <c r="K178" i="3"/>
  <c r="J178" i="3"/>
  <c r="I178" i="3"/>
  <c r="O178" i="3" s="1"/>
  <c r="H178" i="3"/>
  <c r="G178" i="3"/>
  <c r="U178" i="3" s="1"/>
  <c r="Z178" i="3" s="1"/>
  <c r="F178" i="3"/>
  <c r="T178" i="3" s="1"/>
  <c r="Y178" i="3" s="1"/>
  <c r="E178" i="3"/>
  <c r="S178" i="3" s="1"/>
  <c r="X178" i="3" s="1"/>
  <c r="D178" i="3"/>
  <c r="R178" i="3" s="1"/>
  <c r="W178" i="3" s="1"/>
  <c r="C178" i="3"/>
  <c r="Q178" i="3" s="1"/>
  <c r="B178" i="3"/>
  <c r="A178" i="3"/>
  <c r="R177" i="3"/>
  <c r="W177" i="3" s="1"/>
  <c r="N177" i="3"/>
  <c r="M177" i="3"/>
  <c r="L177" i="3"/>
  <c r="K177" i="3"/>
  <c r="J177" i="3"/>
  <c r="I177" i="3"/>
  <c r="O177" i="3" s="1"/>
  <c r="H177" i="3"/>
  <c r="V177" i="3" s="1"/>
  <c r="AA177" i="3" s="1"/>
  <c r="G177" i="3"/>
  <c r="U177" i="3" s="1"/>
  <c r="Z177" i="3" s="1"/>
  <c r="F177" i="3"/>
  <c r="T177" i="3" s="1"/>
  <c r="Y177" i="3" s="1"/>
  <c r="E177" i="3"/>
  <c r="S177" i="3" s="1"/>
  <c r="X177" i="3" s="1"/>
  <c r="D177" i="3"/>
  <c r="C177" i="3"/>
  <c r="Q177" i="3" s="1"/>
  <c r="B177" i="3"/>
  <c r="A177" i="3"/>
  <c r="X176" i="3"/>
  <c r="R176" i="3"/>
  <c r="W176" i="3" s="1"/>
  <c r="N176" i="3"/>
  <c r="M176" i="3"/>
  <c r="L176" i="3"/>
  <c r="K176" i="3"/>
  <c r="J176" i="3"/>
  <c r="I176" i="3"/>
  <c r="O176" i="3" s="1"/>
  <c r="H176" i="3"/>
  <c r="V176" i="3" s="1"/>
  <c r="AA176" i="3" s="1"/>
  <c r="G176" i="3"/>
  <c r="U176" i="3" s="1"/>
  <c r="Z176" i="3" s="1"/>
  <c r="F176" i="3"/>
  <c r="T176" i="3" s="1"/>
  <c r="Y176" i="3" s="1"/>
  <c r="E176" i="3"/>
  <c r="S176" i="3" s="1"/>
  <c r="D176" i="3"/>
  <c r="C176" i="3"/>
  <c r="Q176" i="3" s="1"/>
  <c r="B176" i="3"/>
  <c r="A176" i="3"/>
  <c r="S175" i="3"/>
  <c r="X175" i="3" s="1"/>
  <c r="R175" i="3"/>
  <c r="W175" i="3" s="1"/>
  <c r="N175" i="3"/>
  <c r="M175" i="3"/>
  <c r="L175" i="3"/>
  <c r="K175" i="3"/>
  <c r="J175" i="3"/>
  <c r="I175" i="3"/>
  <c r="O175" i="3" s="1"/>
  <c r="H175" i="3"/>
  <c r="V175" i="3" s="1"/>
  <c r="AA175" i="3" s="1"/>
  <c r="G175" i="3"/>
  <c r="U175" i="3" s="1"/>
  <c r="Z175" i="3" s="1"/>
  <c r="F175" i="3"/>
  <c r="T175" i="3" s="1"/>
  <c r="Y175" i="3" s="1"/>
  <c r="E175" i="3"/>
  <c r="D175" i="3"/>
  <c r="C175" i="3"/>
  <c r="Q175" i="3" s="1"/>
  <c r="B175" i="3"/>
  <c r="A175" i="3"/>
  <c r="X174" i="3"/>
  <c r="V174" i="3"/>
  <c r="AA174" i="3" s="1"/>
  <c r="N174" i="3"/>
  <c r="M174" i="3"/>
  <c r="L174" i="3"/>
  <c r="K174" i="3"/>
  <c r="J174" i="3"/>
  <c r="I174" i="3"/>
  <c r="O174" i="3" s="1"/>
  <c r="H174" i="3"/>
  <c r="G174" i="3"/>
  <c r="U174" i="3" s="1"/>
  <c r="Z174" i="3" s="1"/>
  <c r="F174" i="3"/>
  <c r="T174" i="3" s="1"/>
  <c r="Y174" i="3" s="1"/>
  <c r="E174" i="3"/>
  <c r="S174" i="3" s="1"/>
  <c r="D174" i="3"/>
  <c r="R174" i="3" s="1"/>
  <c r="W174" i="3" s="1"/>
  <c r="C174" i="3"/>
  <c r="Q174" i="3" s="1"/>
  <c r="B174" i="3"/>
  <c r="A174" i="3"/>
  <c r="X173" i="3"/>
  <c r="N173" i="3"/>
  <c r="M173" i="3"/>
  <c r="L173" i="3"/>
  <c r="K173" i="3"/>
  <c r="J173" i="3"/>
  <c r="I173" i="3"/>
  <c r="O173" i="3" s="1"/>
  <c r="H173" i="3"/>
  <c r="V173" i="3" s="1"/>
  <c r="AA173" i="3" s="1"/>
  <c r="G173" i="3"/>
  <c r="U173" i="3" s="1"/>
  <c r="Z173" i="3" s="1"/>
  <c r="F173" i="3"/>
  <c r="T173" i="3" s="1"/>
  <c r="Y173" i="3" s="1"/>
  <c r="E173" i="3"/>
  <c r="S173" i="3" s="1"/>
  <c r="D173" i="3"/>
  <c r="R173" i="3" s="1"/>
  <c r="W173" i="3" s="1"/>
  <c r="C173" i="3"/>
  <c r="Q173" i="3" s="1"/>
  <c r="B173" i="3"/>
  <c r="A173" i="3"/>
  <c r="S172" i="3"/>
  <c r="X172" i="3" s="1"/>
  <c r="P172" i="3"/>
  <c r="N172" i="3"/>
  <c r="M172" i="3"/>
  <c r="L172" i="3"/>
  <c r="K172" i="3"/>
  <c r="J172" i="3"/>
  <c r="I172" i="3"/>
  <c r="O172" i="3" s="1"/>
  <c r="H172" i="3"/>
  <c r="V172" i="3" s="1"/>
  <c r="AA172" i="3" s="1"/>
  <c r="G172" i="3"/>
  <c r="U172" i="3" s="1"/>
  <c r="Z172" i="3" s="1"/>
  <c r="F172" i="3"/>
  <c r="T172" i="3" s="1"/>
  <c r="Y172" i="3" s="1"/>
  <c r="E172" i="3"/>
  <c r="D172" i="3"/>
  <c r="R172" i="3" s="1"/>
  <c r="W172" i="3" s="1"/>
  <c r="C172" i="3"/>
  <c r="Q172" i="3" s="1"/>
  <c r="B172" i="3"/>
  <c r="A172" i="3"/>
  <c r="R171" i="3"/>
  <c r="W171" i="3" s="1"/>
  <c r="Q171" i="3"/>
  <c r="N171" i="3"/>
  <c r="M171" i="3"/>
  <c r="L171" i="3"/>
  <c r="K171" i="3"/>
  <c r="J171" i="3"/>
  <c r="I171" i="3"/>
  <c r="O171" i="3" s="1"/>
  <c r="H171" i="3"/>
  <c r="V171" i="3" s="1"/>
  <c r="AA171" i="3" s="1"/>
  <c r="G171" i="3"/>
  <c r="U171" i="3" s="1"/>
  <c r="Z171" i="3" s="1"/>
  <c r="F171" i="3"/>
  <c r="T171" i="3" s="1"/>
  <c r="Y171" i="3" s="1"/>
  <c r="E171" i="3"/>
  <c r="S171" i="3" s="1"/>
  <c r="X171" i="3" s="1"/>
  <c r="D171" i="3"/>
  <c r="C171" i="3"/>
  <c r="B171" i="3"/>
  <c r="A171" i="3"/>
  <c r="P171" i="3" s="1"/>
  <c r="R170" i="3"/>
  <c r="W170" i="3" s="1"/>
  <c r="P170" i="3"/>
  <c r="N170" i="3"/>
  <c r="M170" i="3"/>
  <c r="L170" i="3"/>
  <c r="K170" i="3"/>
  <c r="J170" i="3"/>
  <c r="I170" i="3"/>
  <c r="O170" i="3" s="1"/>
  <c r="H170" i="3"/>
  <c r="V170" i="3" s="1"/>
  <c r="AA170" i="3" s="1"/>
  <c r="G170" i="3"/>
  <c r="U170" i="3" s="1"/>
  <c r="Z170" i="3" s="1"/>
  <c r="F170" i="3"/>
  <c r="T170" i="3" s="1"/>
  <c r="Y170" i="3" s="1"/>
  <c r="E170" i="3"/>
  <c r="S170" i="3" s="1"/>
  <c r="X170" i="3" s="1"/>
  <c r="D170" i="3"/>
  <c r="C170" i="3"/>
  <c r="Q170" i="3" s="1"/>
  <c r="B170" i="3"/>
  <c r="A170" i="3"/>
  <c r="S169" i="3"/>
  <c r="X169" i="3" s="1"/>
  <c r="N169" i="3"/>
  <c r="M169" i="3"/>
  <c r="L169" i="3"/>
  <c r="K169" i="3"/>
  <c r="J169" i="3"/>
  <c r="I169" i="3"/>
  <c r="O169" i="3" s="1"/>
  <c r="H169" i="3"/>
  <c r="V169" i="3" s="1"/>
  <c r="AA169" i="3" s="1"/>
  <c r="G169" i="3"/>
  <c r="U169" i="3" s="1"/>
  <c r="Z169" i="3" s="1"/>
  <c r="F169" i="3"/>
  <c r="T169" i="3" s="1"/>
  <c r="Y169" i="3" s="1"/>
  <c r="E169" i="3"/>
  <c r="D169" i="3"/>
  <c r="R169" i="3" s="1"/>
  <c r="W169" i="3" s="1"/>
  <c r="C169" i="3"/>
  <c r="Q169" i="3" s="1"/>
  <c r="B169" i="3"/>
  <c r="A169" i="3"/>
  <c r="P169" i="3" s="1"/>
  <c r="R168" i="3"/>
  <c r="W168" i="3" s="1"/>
  <c r="N168" i="3"/>
  <c r="M168" i="3"/>
  <c r="L168" i="3"/>
  <c r="K168" i="3"/>
  <c r="J168" i="3"/>
  <c r="I168" i="3"/>
  <c r="O168" i="3" s="1"/>
  <c r="H168" i="3"/>
  <c r="V168" i="3" s="1"/>
  <c r="AA168" i="3" s="1"/>
  <c r="G168" i="3"/>
  <c r="U168" i="3" s="1"/>
  <c r="Z168" i="3" s="1"/>
  <c r="F168" i="3"/>
  <c r="T168" i="3" s="1"/>
  <c r="Y168" i="3" s="1"/>
  <c r="E168" i="3"/>
  <c r="S168" i="3" s="1"/>
  <c r="X168" i="3" s="1"/>
  <c r="D168" i="3"/>
  <c r="C168" i="3"/>
  <c r="Q168" i="3" s="1"/>
  <c r="B168" i="3"/>
  <c r="A168" i="3"/>
  <c r="P168" i="3" s="1"/>
  <c r="P167" i="3"/>
  <c r="N167" i="3"/>
  <c r="M167" i="3"/>
  <c r="L167" i="3"/>
  <c r="K167" i="3"/>
  <c r="J167" i="3"/>
  <c r="I167" i="3"/>
  <c r="O167" i="3" s="1"/>
  <c r="H167" i="3"/>
  <c r="V167" i="3" s="1"/>
  <c r="AA167" i="3" s="1"/>
  <c r="G167" i="3"/>
  <c r="U167" i="3" s="1"/>
  <c r="Z167" i="3" s="1"/>
  <c r="F167" i="3"/>
  <c r="T167" i="3" s="1"/>
  <c r="Y167" i="3" s="1"/>
  <c r="E167" i="3"/>
  <c r="S167" i="3" s="1"/>
  <c r="X167" i="3" s="1"/>
  <c r="D167" i="3"/>
  <c r="R167" i="3" s="1"/>
  <c r="W167" i="3" s="1"/>
  <c r="C167" i="3"/>
  <c r="Q167" i="3" s="1"/>
  <c r="B167" i="3"/>
  <c r="A167" i="3"/>
  <c r="X166" i="3"/>
  <c r="N166" i="3"/>
  <c r="M166" i="3"/>
  <c r="L166" i="3"/>
  <c r="K166" i="3"/>
  <c r="J166" i="3"/>
  <c r="I166" i="3"/>
  <c r="O166" i="3" s="1"/>
  <c r="H166" i="3"/>
  <c r="V166" i="3" s="1"/>
  <c r="AA166" i="3" s="1"/>
  <c r="G166" i="3"/>
  <c r="U166" i="3" s="1"/>
  <c r="Z166" i="3" s="1"/>
  <c r="F166" i="3"/>
  <c r="T166" i="3" s="1"/>
  <c r="Y166" i="3" s="1"/>
  <c r="E166" i="3"/>
  <c r="S166" i="3" s="1"/>
  <c r="D166" i="3"/>
  <c r="R166" i="3" s="1"/>
  <c r="W166" i="3" s="1"/>
  <c r="C166" i="3"/>
  <c r="Q166" i="3" s="1"/>
  <c r="B166" i="3"/>
  <c r="A166" i="3"/>
  <c r="P166" i="3" s="1"/>
  <c r="Q165" i="3"/>
  <c r="P165" i="3"/>
  <c r="N165" i="3"/>
  <c r="M165" i="3"/>
  <c r="L165" i="3"/>
  <c r="K165" i="3"/>
  <c r="J165" i="3"/>
  <c r="I165" i="3"/>
  <c r="O165" i="3" s="1"/>
  <c r="H165" i="3"/>
  <c r="V165" i="3" s="1"/>
  <c r="AA165" i="3" s="1"/>
  <c r="G165" i="3"/>
  <c r="U165" i="3" s="1"/>
  <c r="Z165" i="3" s="1"/>
  <c r="F165" i="3"/>
  <c r="T165" i="3" s="1"/>
  <c r="Y165" i="3" s="1"/>
  <c r="E165" i="3"/>
  <c r="S165" i="3" s="1"/>
  <c r="X165" i="3" s="1"/>
  <c r="D165" i="3"/>
  <c r="R165" i="3" s="1"/>
  <c r="W165" i="3" s="1"/>
  <c r="C165" i="3"/>
  <c r="B165" i="3"/>
  <c r="A165" i="3"/>
  <c r="U164" i="3"/>
  <c r="Z164" i="3" s="1"/>
  <c r="T164" i="3"/>
  <c r="Y164" i="3" s="1"/>
  <c r="N164" i="3"/>
  <c r="M164" i="3"/>
  <c r="L164" i="3"/>
  <c r="K164" i="3"/>
  <c r="J164" i="3"/>
  <c r="I164" i="3"/>
  <c r="O164" i="3" s="1"/>
  <c r="H164" i="3"/>
  <c r="V164" i="3" s="1"/>
  <c r="AA164" i="3" s="1"/>
  <c r="G164" i="3"/>
  <c r="F164" i="3"/>
  <c r="E164" i="3"/>
  <c r="S164" i="3" s="1"/>
  <c r="X164" i="3" s="1"/>
  <c r="D164" i="3"/>
  <c r="R164" i="3" s="1"/>
  <c r="W164" i="3" s="1"/>
  <c r="C164" i="3"/>
  <c r="Q164" i="3" s="1"/>
  <c r="B164" i="3"/>
  <c r="A164" i="3"/>
  <c r="P164" i="3" s="1"/>
  <c r="Z163" i="3"/>
  <c r="S163" i="3"/>
  <c r="X163" i="3" s="1"/>
  <c r="P163" i="3"/>
  <c r="N163" i="3"/>
  <c r="M163" i="3"/>
  <c r="L163" i="3"/>
  <c r="K163" i="3"/>
  <c r="J163" i="3"/>
  <c r="I163" i="3"/>
  <c r="O163" i="3" s="1"/>
  <c r="H163" i="3"/>
  <c r="V163" i="3" s="1"/>
  <c r="AA163" i="3" s="1"/>
  <c r="G163" i="3"/>
  <c r="U163" i="3" s="1"/>
  <c r="F163" i="3"/>
  <c r="T163" i="3" s="1"/>
  <c r="Y163" i="3" s="1"/>
  <c r="E163" i="3"/>
  <c r="D163" i="3"/>
  <c r="R163" i="3" s="1"/>
  <c r="W163" i="3" s="1"/>
  <c r="C163" i="3"/>
  <c r="Q163" i="3" s="1"/>
  <c r="B163" i="3"/>
  <c r="A163" i="3"/>
  <c r="N162" i="3"/>
  <c r="M162" i="3"/>
  <c r="L162" i="3"/>
  <c r="K162" i="3"/>
  <c r="J162" i="3"/>
  <c r="I162" i="3"/>
  <c r="O162" i="3" s="1"/>
  <c r="H162" i="3"/>
  <c r="V162" i="3" s="1"/>
  <c r="AA162" i="3" s="1"/>
  <c r="G162" i="3"/>
  <c r="U162" i="3" s="1"/>
  <c r="Z162" i="3" s="1"/>
  <c r="F162" i="3"/>
  <c r="T162" i="3" s="1"/>
  <c r="Y162" i="3" s="1"/>
  <c r="E162" i="3"/>
  <c r="S162" i="3" s="1"/>
  <c r="X162" i="3" s="1"/>
  <c r="D162" i="3"/>
  <c r="R162" i="3" s="1"/>
  <c r="W162" i="3" s="1"/>
  <c r="C162" i="3"/>
  <c r="Q162" i="3" s="1"/>
  <c r="B162" i="3"/>
  <c r="A162" i="3"/>
  <c r="P162" i="3" s="1"/>
  <c r="V161" i="3"/>
  <c r="AA161" i="3" s="1"/>
  <c r="N161" i="3"/>
  <c r="M161" i="3"/>
  <c r="L161" i="3"/>
  <c r="K161" i="3"/>
  <c r="J161" i="3"/>
  <c r="I161" i="3"/>
  <c r="O161" i="3" s="1"/>
  <c r="H161" i="3"/>
  <c r="G161" i="3"/>
  <c r="U161" i="3" s="1"/>
  <c r="Z161" i="3" s="1"/>
  <c r="F161" i="3"/>
  <c r="T161" i="3" s="1"/>
  <c r="Y161" i="3" s="1"/>
  <c r="E161" i="3"/>
  <c r="S161" i="3" s="1"/>
  <c r="X161" i="3" s="1"/>
  <c r="D161" i="3"/>
  <c r="R161" i="3" s="1"/>
  <c r="W161" i="3" s="1"/>
  <c r="C161" i="3"/>
  <c r="Q161" i="3" s="1"/>
  <c r="B161" i="3"/>
  <c r="A161" i="3"/>
  <c r="P161" i="3" s="1"/>
  <c r="X160" i="3"/>
  <c r="N160" i="3"/>
  <c r="M160" i="3"/>
  <c r="L160" i="3"/>
  <c r="K160" i="3"/>
  <c r="J160" i="3"/>
  <c r="I160" i="3"/>
  <c r="O160" i="3" s="1"/>
  <c r="H160" i="3"/>
  <c r="V160" i="3" s="1"/>
  <c r="AA160" i="3" s="1"/>
  <c r="G160" i="3"/>
  <c r="U160" i="3" s="1"/>
  <c r="Z160" i="3" s="1"/>
  <c r="F160" i="3"/>
  <c r="T160" i="3" s="1"/>
  <c r="Y160" i="3" s="1"/>
  <c r="E160" i="3"/>
  <c r="S160" i="3" s="1"/>
  <c r="D160" i="3"/>
  <c r="R160" i="3" s="1"/>
  <c r="W160" i="3" s="1"/>
  <c r="C160" i="3"/>
  <c r="Q160" i="3" s="1"/>
  <c r="B160" i="3"/>
  <c r="A160" i="3"/>
  <c r="P160" i="3" s="1"/>
  <c r="N159" i="3"/>
  <c r="M159" i="3"/>
  <c r="L159" i="3"/>
  <c r="K159" i="3"/>
  <c r="J159" i="3"/>
  <c r="I159" i="3"/>
  <c r="O159" i="3" s="1"/>
  <c r="H159" i="3"/>
  <c r="V159" i="3" s="1"/>
  <c r="AA159" i="3" s="1"/>
  <c r="G159" i="3"/>
  <c r="U159" i="3" s="1"/>
  <c r="Z159" i="3" s="1"/>
  <c r="F159" i="3"/>
  <c r="T159" i="3" s="1"/>
  <c r="Y159" i="3" s="1"/>
  <c r="E159" i="3"/>
  <c r="S159" i="3" s="1"/>
  <c r="X159" i="3" s="1"/>
  <c r="D159" i="3"/>
  <c r="R159" i="3" s="1"/>
  <c r="W159" i="3" s="1"/>
  <c r="C159" i="3"/>
  <c r="Q159" i="3" s="1"/>
  <c r="B159" i="3"/>
  <c r="A159" i="3"/>
  <c r="P159" i="3" s="1"/>
  <c r="P158" i="3"/>
  <c r="N158" i="3"/>
  <c r="M158" i="3"/>
  <c r="L158" i="3"/>
  <c r="K158" i="3"/>
  <c r="J158" i="3"/>
  <c r="I158" i="3"/>
  <c r="O158" i="3" s="1"/>
  <c r="H158" i="3"/>
  <c r="V158" i="3" s="1"/>
  <c r="AA158" i="3" s="1"/>
  <c r="G158" i="3"/>
  <c r="U158" i="3" s="1"/>
  <c r="Z158" i="3" s="1"/>
  <c r="F158" i="3"/>
  <c r="T158" i="3" s="1"/>
  <c r="Y158" i="3" s="1"/>
  <c r="E158" i="3"/>
  <c r="S158" i="3" s="1"/>
  <c r="X158" i="3" s="1"/>
  <c r="D158" i="3"/>
  <c r="R158" i="3" s="1"/>
  <c r="W158" i="3" s="1"/>
  <c r="C158" i="3"/>
  <c r="Q158" i="3" s="1"/>
  <c r="B158" i="3"/>
  <c r="A158" i="3"/>
  <c r="S157" i="3"/>
  <c r="X157" i="3" s="1"/>
  <c r="N157" i="3"/>
  <c r="M157" i="3"/>
  <c r="L157" i="3"/>
  <c r="K157" i="3"/>
  <c r="J157" i="3"/>
  <c r="I157" i="3"/>
  <c r="O157" i="3" s="1"/>
  <c r="H157" i="3"/>
  <c r="V157" i="3" s="1"/>
  <c r="AA157" i="3" s="1"/>
  <c r="G157" i="3"/>
  <c r="U157" i="3" s="1"/>
  <c r="Z157" i="3" s="1"/>
  <c r="F157" i="3"/>
  <c r="T157" i="3" s="1"/>
  <c r="Y157" i="3" s="1"/>
  <c r="E157" i="3"/>
  <c r="D157" i="3"/>
  <c r="R157" i="3" s="1"/>
  <c r="W157" i="3" s="1"/>
  <c r="C157" i="3"/>
  <c r="Q157" i="3" s="1"/>
  <c r="B157" i="3"/>
  <c r="A157" i="3"/>
  <c r="P157" i="3" s="1"/>
  <c r="V156" i="3"/>
  <c r="AA156" i="3" s="1"/>
  <c r="T156" i="3"/>
  <c r="Y156" i="3" s="1"/>
  <c r="Q156" i="3"/>
  <c r="N156" i="3"/>
  <c r="M156" i="3"/>
  <c r="L156" i="3"/>
  <c r="K156" i="3"/>
  <c r="J156" i="3"/>
  <c r="I156" i="3"/>
  <c r="O156" i="3" s="1"/>
  <c r="H156" i="3"/>
  <c r="G156" i="3"/>
  <c r="U156" i="3" s="1"/>
  <c r="Z156" i="3" s="1"/>
  <c r="F156" i="3"/>
  <c r="E156" i="3"/>
  <c r="S156" i="3" s="1"/>
  <c r="X156" i="3" s="1"/>
  <c r="D156" i="3"/>
  <c r="R156" i="3" s="1"/>
  <c r="W156" i="3" s="1"/>
  <c r="C156" i="3"/>
  <c r="B156" i="3"/>
  <c r="A156" i="3"/>
  <c r="P156" i="3" s="1"/>
  <c r="U155" i="3"/>
  <c r="Z155" i="3" s="1"/>
  <c r="N155" i="3"/>
  <c r="M155" i="3"/>
  <c r="L155" i="3"/>
  <c r="K155" i="3"/>
  <c r="J155" i="3"/>
  <c r="I155" i="3"/>
  <c r="O155" i="3" s="1"/>
  <c r="H155" i="3"/>
  <c r="V155" i="3" s="1"/>
  <c r="AA155" i="3" s="1"/>
  <c r="G155" i="3"/>
  <c r="F155" i="3"/>
  <c r="T155" i="3" s="1"/>
  <c r="Y155" i="3" s="1"/>
  <c r="E155" i="3"/>
  <c r="S155" i="3" s="1"/>
  <c r="X155" i="3" s="1"/>
  <c r="D155" i="3"/>
  <c r="R155" i="3" s="1"/>
  <c r="W155" i="3" s="1"/>
  <c r="C155" i="3"/>
  <c r="Q155" i="3" s="1"/>
  <c r="B155" i="3"/>
  <c r="A155" i="3"/>
  <c r="P155" i="3" s="1"/>
  <c r="Z154" i="3"/>
  <c r="T154" i="3"/>
  <c r="Y154" i="3" s="1"/>
  <c r="S154" i="3"/>
  <c r="X154" i="3" s="1"/>
  <c r="N154" i="3"/>
  <c r="M154" i="3"/>
  <c r="L154" i="3"/>
  <c r="K154" i="3"/>
  <c r="J154" i="3"/>
  <c r="I154" i="3"/>
  <c r="O154" i="3" s="1"/>
  <c r="H154" i="3"/>
  <c r="V154" i="3" s="1"/>
  <c r="AA154" i="3" s="1"/>
  <c r="G154" i="3"/>
  <c r="U154" i="3" s="1"/>
  <c r="F154" i="3"/>
  <c r="E154" i="3"/>
  <c r="D154" i="3"/>
  <c r="R154" i="3" s="1"/>
  <c r="W154" i="3" s="1"/>
  <c r="C154" i="3"/>
  <c r="Q154" i="3" s="1"/>
  <c r="B154" i="3"/>
  <c r="A154" i="3"/>
  <c r="P154" i="3" s="1"/>
  <c r="R153" i="3"/>
  <c r="W153" i="3" s="1"/>
  <c r="N153" i="3"/>
  <c r="M153" i="3"/>
  <c r="L153" i="3"/>
  <c r="K153" i="3"/>
  <c r="J153" i="3"/>
  <c r="I153" i="3"/>
  <c r="O153" i="3" s="1"/>
  <c r="H153" i="3"/>
  <c r="V153" i="3" s="1"/>
  <c r="AA153" i="3" s="1"/>
  <c r="G153" i="3"/>
  <c r="U153" i="3" s="1"/>
  <c r="Z153" i="3" s="1"/>
  <c r="F153" i="3"/>
  <c r="T153" i="3" s="1"/>
  <c r="Y153" i="3" s="1"/>
  <c r="E153" i="3"/>
  <c r="S153" i="3" s="1"/>
  <c r="X153" i="3" s="1"/>
  <c r="D153" i="3"/>
  <c r="C153" i="3"/>
  <c r="Q153" i="3" s="1"/>
  <c r="B153" i="3"/>
  <c r="A153" i="3"/>
  <c r="P153" i="3" s="1"/>
  <c r="N152" i="3"/>
  <c r="M152" i="3"/>
  <c r="L152" i="3"/>
  <c r="K152" i="3"/>
  <c r="J152" i="3"/>
  <c r="I152" i="3"/>
  <c r="O152" i="3" s="1"/>
  <c r="H152" i="3"/>
  <c r="V152" i="3" s="1"/>
  <c r="AA152" i="3" s="1"/>
  <c r="G152" i="3"/>
  <c r="U152" i="3" s="1"/>
  <c r="Z152" i="3" s="1"/>
  <c r="F152" i="3"/>
  <c r="T152" i="3" s="1"/>
  <c r="Y152" i="3" s="1"/>
  <c r="E152" i="3"/>
  <c r="S152" i="3" s="1"/>
  <c r="X152" i="3" s="1"/>
  <c r="D152" i="3"/>
  <c r="R152" i="3" s="1"/>
  <c r="W152" i="3" s="1"/>
  <c r="C152" i="3"/>
  <c r="Q152" i="3" s="1"/>
  <c r="B152" i="3"/>
  <c r="A152" i="3"/>
  <c r="P152" i="3" s="1"/>
  <c r="N151" i="3"/>
  <c r="M151" i="3"/>
  <c r="L151" i="3"/>
  <c r="K151" i="3"/>
  <c r="J151" i="3"/>
  <c r="I151" i="3"/>
  <c r="O151" i="3" s="1"/>
  <c r="H151" i="3"/>
  <c r="V151" i="3" s="1"/>
  <c r="AA151" i="3" s="1"/>
  <c r="G151" i="3"/>
  <c r="U151" i="3" s="1"/>
  <c r="Z151" i="3" s="1"/>
  <c r="F151" i="3"/>
  <c r="T151" i="3" s="1"/>
  <c r="Y151" i="3" s="1"/>
  <c r="E151" i="3"/>
  <c r="S151" i="3" s="1"/>
  <c r="X151" i="3" s="1"/>
  <c r="D151" i="3"/>
  <c r="R151" i="3" s="1"/>
  <c r="W151" i="3" s="1"/>
  <c r="C151" i="3"/>
  <c r="Q151" i="3" s="1"/>
  <c r="B151" i="3"/>
  <c r="A151" i="3"/>
  <c r="P151" i="3" s="1"/>
  <c r="T150" i="3"/>
  <c r="Y150" i="3" s="1"/>
  <c r="N150" i="3"/>
  <c r="M150" i="3"/>
  <c r="L150" i="3"/>
  <c r="K150" i="3"/>
  <c r="J150" i="3"/>
  <c r="I150" i="3"/>
  <c r="O150" i="3" s="1"/>
  <c r="H150" i="3"/>
  <c r="V150" i="3" s="1"/>
  <c r="AA150" i="3" s="1"/>
  <c r="G150" i="3"/>
  <c r="U150" i="3" s="1"/>
  <c r="Z150" i="3" s="1"/>
  <c r="F150" i="3"/>
  <c r="E150" i="3"/>
  <c r="S150" i="3" s="1"/>
  <c r="X150" i="3" s="1"/>
  <c r="D150" i="3"/>
  <c r="R150" i="3" s="1"/>
  <c r="W150" i="3" s="1"/>
  <c r="C150" i="3"/>
  <c r="Q150" i="3" s="1"/>
  <c r="B150" i="3"/>
  <c r="A150" i="3"/>
  <c r="P150" i="3" s="1"/>
  <c r="V149" i="3"/>
  <c r="AA149" i="3" s="1"/>
  <c r="P149" i="3"/>
  <c r="N149" i="3"/>
  <c r="M149" i="3"/>
  <c r="L149" i="3"/>
  <c r="K149" i="3"/>
  <c r="J149" i="3"/>
  <c r="I149" i="3"/>
  <c r="O149" i="3" s="1"/>
  <c r="H149" i="3"/>
  <c r="G149" i="3"/>
  <c r="U149" i="3" s="1"/>
  <c r="Z149" i="3" s="1"/>
  <c r="F149" i="3"/>
  <c r="T149" i="3" s="1"/>
  <c r="Y149" i="3" s="1"/>
  <c r="E149" i="3"/>
  <c r="S149" i="3" s="1"/>
  <c r="X149" i="3" s="1"/>
  <c r="D149" i="3"/>
  <c r="R149" i="3" s="1"/>
  <c r="W149" i="3" s="1"/>
  <c r="C149" i="3"/>
  <c r="Q149" i="3" s="1"/>
  <c r="B149" i="3"/>
  <c r="A149" i="3"/>
  <c r="S148" i="3"/>
  <c r="X148" i="3" s="1"/>
  <c r="R148" i="3"/>
  <c r="W148" i="3" s="1"/>
  <c r="N148" i="3"/>
  <c r="M148" i="3"/>
  <c r="L148" i="3"/>
  <c r="K148" i="3"/>
  <c r="J148" i="3"/>
  <c r="I148" i="3"/>
  <c r="O148" i="3" s="1"/>
  <c r="H148" i="3"/>
  <c r="V148" i="3" s="1"/>
  <c r="AA148" i="3" s="1"/>
  <c r="G148" i="3"/>
  <c r="U148" i="3" s="1"/>
  <c r="Z148" i="3" s="1"/>
  <c r="F148" i="3"/>
  <c r="T148" i="3" s="1"/>
  <c r="Y148" i="3" s="1"/>
  <c r="E148" i="3"/>
  <c r="D148" i="3"/>
  <c r="C148" i="3"/>
  <c r="Q148" i="3" s="1"/>
  <c r="B148" i="3"/>
  <c r="A148" i="3"/>
  <c r="P148" i="3" s="1"/>
  <c r="S147" i="3"/>
  <c r="X147" i="3" s="1"/>
  <c r="Q147" i="3"/>
  <c r="N147" i="3"/>
  <c r="M147" i="3"/>
  <c r="L147" i="3"/>
  <c r="K147" i="3"/>
  <c r="J147" i="3"/>
  <c r="I147" i="3"/>
  <c r="O147" i="3" s="1"/>
  <c r="H147" i="3"/>
  <c r="V147" i="3" s="1"/>
  <c r="AA147" i="3" s="1"/>
  <c r="G147" i="3"/>
  <c r="U147" i="3" s="1"/>
  <c r="Z147" i="3" s="1"/>
  <c r="F147" i="3"/>
  <c r="T147" i="3" s="1"/>
  <c r="Y147" i="3" s="1"/>
  <c r="E147" i="3"/>
  <c r="D147" i="3"/>
  <c r="R147" i="3" s="1"/>
  <c r="W147" i="3" s="1"/>
  <c r="C147" i="3"/>
  <c r="B147" i="3"/>
  <c r="A147" i="3"/>
  <c r="P147" i="3" s="1"/>
  <c r="P146" i="3"/>
  <c r="N146" i="3"/>
  <c r="M146" i="3"/>
  <c r="L146" i="3"/>
  <c r="K146" i="3"/>
  <c r="J146" i="3"/>
  <c r="I146" i="3"/>
  <c r="O146" i="3" s="1"/>
  <c r="H146" i="3"/>
  <c r="V146" i="3" s="1"/>
  <c r="AA146" i="3" s="1"/>
  <c r="G146" i="3"/>
  <c r="U146" i="3" s="1"/>
  <c r="Z146" i="3" s="1"/>
  <c r="F146" i="3"/>
  <c r="T146" i="3" s="1"/>
  <c r="Y146" i="3" s="1"/>
  <c r="E146" i="3"/>
  <c r="S146" i="3" s="1"/>
  <c r="X146" i="3" s="1"/>
  <c r="D146" i="3"/>
  <c r="R146" i="3" s="1"/>
  <c r="W146" i="3" s="1"/>
  <c r="C146" i="3"/>
  <c r="Q146" i="3" s="1"/>
  <c r="B146" i="3"/>
  <c r="A146" i="3"/>
  <c r="S145" i="3"/>
  <c r="X145" i="3" s="1"/>
  <c r="N145" i="3"/>
  <c r="M145" i="3"/>
  <c r="L145" i="3"/>
  <c r="K145" i="3"/>
  <c r="J145" i="3"/>
  <c r="I145" i="3"/>
  <c r="O145" i="3" s="1"/>
  <c r="H145" i="3"/>
  <c r="V145" i="3" s="1"/>
  <c r="AA145" i="3" s="1"/>
  <c r="G145" i="3"/>
  <c r="U145" i="3" s="1"/>
  <c r="Z145" i="3" s="1"/>
  <c r="F145" i="3"/>
  <c r="T145" i="3" s="1"/>
  <c r="Y145" i="3" s="1"/>
  <c r="E145" i="3"/>
  <c r="D145" i="3"/>
  <c r="R145" i="3" s="1"/>
  <c r="W145" i="3" s="1"/>
  <c r="C145" i="3"/>
  <c r="Q145" i="3" s="1"/>
  <c r="B145" i="3"/>
  <c r="A145" i="3"/>
  <c r="P145" i="3" s="1"/>
  <c r="T144" i="3"/>
  <c r="Y144" i="3" s="1"/>
  <c r="Q144" i="3"/>
  <c r="N144" i="3"/>
  <c r="M144" i="3"/>
  <c r="L144" i="3"/>
  <c r="K144" i="3"/>
  <c r="J144" i="3"/>
  <c r="I144" i="3"/>
  <c r="O144" i="3" s="1"/>
  <c r="H144" i="3"/>
  <c r="V144" i="3" s="1"/>
  <c r="AA144" i="3" s="1"/>
  <c r="G144" i="3"/>
  <c r="U144" i="3" s="1"/>
  <c r="Z144" i="3" s="1"/>
  <c r="F144" i="3"/>
  <c r="E144" i="3"/>
  <c r="S144" i="3" s="1"/>
  <c r="X144" i="3" s="1"/>
  <c r="D144" i="3"/>
  <c r="R144" i="3" s="1"/>
  <c r="W144" i="3" s="1"/>
  <c r="C144" i="3"/>
  <c r="B144" i="3"/>
  <c r="A144" i="3"/>
  <c r="P144" i="3" s="1"/>
  <c r="U143" i="3"/>
  <c r="Z143" i="3" s="1"/>
  <c r="N143" i="3"/>
  <c r="M143" i="3"/>
  <c r="L143" i="3"/>
  <c r="K143" i="3"/>
  <c r="J143" i="3"/>
  <c r="I143" i="3"/>
  <c r="O143" i="3" s="1"/>
  <c r="H143" i="3"/>
  <c r="V143" i="3" s="1"/>
  <c r="AA143" i="3" s="1"/>
  <c r="G143" i="3"/>
  <c r="F143" i="3"/>
  <c r="T143" i="3" s="1"/>
  <c r="Y143" i="3" s="1"/>
  <c r="E143" i="3"/>
  <c r="S143" i="3" s="1"/>
  <c r="X143" i="3" s="1"/>
  <c r="D143" i="3"/>
  <c r="R143" i="3" s="1"/>
  <c r="W143" i="3" s="1"/>
  <c r="C143" i="3"/>
  <c r="Q143" i="3" s="1"/>
  <c r="B143" i="3"/>
  <c r="A143" i="3"/>
  <c r="P143" i="3" s="1"/>
  <c r="P142" i="3"/>
  <c r="N142" i="3"/>
  <c r="M142" i="3"/>
  <c r="L142" i="3"/>
  <c r="K142" i="3"/>
  <c r="J142" i="3"/>
  <c r="I142" i="3"/>
  <c r="O142" i="3" s="1"/>
  <c r="H142" i="3"/>
  <c r="V142" i="3" s="1"/>
  <c r="AA142" i="3" s="1"/>
  <c r="G142" i="3"/>
  <c r="U142" i="3" s="1"/>
  <c r="Z142" i="3" s="1"/>
  <c r="F142" i="3"/>
  <c r="T142" i="3" s="1"/>
  <c r="Y142" i="3" s="1"/>
  <c r="E142" i="3"/>
  <c r="S142" i="3" s="1"/>
  <c r="X142" i="3" s="1"/>
  <c r="D142" i="3"/>
  <c r="R142" i="3" s="1"/>
  <c r="W142" i="3" s="1"/>
  <c r="C142" i="3"/>
  <c r="Q142" i="3" s="1"/>
  <c r="B142" i="3"/>
  <c r="A142" i="3"/>
  <c r="Q141" i="3"/>
  <c r="N141" i="3"/>
  <c r="M141" i="3"/>
  <c r="L141" i="3"/>
  <c r="K141" i="3"/>
  <c r="J141" i="3"/>
  <c r="I141" i="3"/>
  <c r="O141" i="3" s="1"/>
  <c r="H141" i="3"/>
  <c r="V141" i="3" s="1"/>
  <c r="AA141" i="3" s="1"/>
  <c r="G141" i="3"/>
  <c r="U141" i="3" s="1"/>
  <c r="Z141" i="3" s="1"/>
  <c r="F141" i="3"/>
  <c r="T141" i="3" s="1"/>
  <c r="Y141" i="3" s="1"/>
  <c r="E141" i="3"/>
  <c r="S141" i="3" s="1"/>
  <c r="X141" i="3" s="1"/>
  <c r="D141" i="3"/>
  <c r="R141" i="3" s="1"/>
  <c r="W141" i="3" s="1"/>
  <c r="C141" i="3"/>
  <c r="B141" i="3"/>
  <c r="A141" i="3"/>
  <c r="P141" i="3" s="1"/>
  <c r="N140" i="3"/>
  <c r="M140" i="3"/>
  <c r="L140" i="3"/>
  <c r="K140" i="3"/>
  <c r="J140" i="3"/>
  <c r="I140" i="3"/>
  <c r="O140" i="3" s="1"/>
  <c r="H140" i="3"/>
  <c r="V140" i="3" s="1"/>
  <c r="AA140" i="3" s="1"/>
  <c r="G140" i="3"/>
  <c r="U140" i="3" s="1"/>
  <c r="Z140" i="3" s="1"/>
  <c r="F140" i="3"/>
  <c r="T140" i="3" s="1"/>
  <c r="Y140" i="3" s="1"/>
  <c r="E140" i="3"/>
  <c r="S140" i="3" s="1"/>
  <c r="X140" i="3" s="1"/>
  <c r="D140" i="3"/>
  <c r="R140" i="3" s="1"/>
  <c r="W140" i="3" s="1"/>
  <c r="C140" i="3"/>
  <c r="Q140" i="3" s="1"/>
  <c r="B140" i="3"/>
  <c r="A140" i="3"/>
  <c r="P140" i="3" s="1"/>
  <c r="S139" i="3"/>
  <c r="X139" i="3" s="1"/>
  <c r="P139" i="3"/>
  <c r="N139" i="3"/>
  <c r="M139" i="3"/>
  <c r="L139" i="3"/>
  <c r="K139" i="3"/>
  <c r="J139" i="3"/>
  <c r="I139" i="3"/>
  <c r="O139" i="3" s="1"/>
  <c r="H139" i="3"/>
  <c r="V139" i="3" s="1"/>
  <c r="AA139" i="3" s="1"/>
  <c r="G139" i="3"/>
  <c r="U139" i="3" s="1"/>
  <c r="Z139" i="3" s="1"/>
  <c r="F139" i="3"/>
  <c r="T139" i="3" s="1"/>
  <c r="Y139" i="3" s="1"/>
  <c r="E139" i="3"/>
  <c r="D139" i="3"/>
  <c r="R139" i="3" s="1"/>
  <c r="W139" i="3" s="1"/>
  <c r="C139" i="3"/>
  <c r="Q139" i="3" s="1"/>
  <c r="B139" i="3"/>
  <c r="A139" i="3"/>
  <c r="S138" i="3"/>
  <c r="X138" i="3" s="1"/>
  <c r="N138" i="3"/>
  <c r="M138" i="3"/>
  <c r="L138" i="3"/>
  <c r="K138" i="3"/>
  <c r="J138" i="3"/>
  <c r="I138" i="3"/>
  <c r="O138" i="3" s="1"/>
  <c r="H138" i="3"/>
  <c r="V138" i="3" s="1"/>
  <c r="AA138" i="3" s="1"/>
  <c r="G138" i="3"/>
  <c r="U138" i="3" s="1"/>
  <c r="Z138" i="3" s="1"/>
  <c r="F138" i="3"/>
  <c r="T138" i="3" s="1"/>
  <c r="Y138" i="3" s="1"/>
  <c r="E138" i="3"/>
  <c r="D138" i="3"/>
  <c r="R138" i="3" s="1"/>
  <c r="W138" i="3" s="1"/>
  <c r="C138" i="3"/>
  <c r="Q138" i="3" s="1"/>
  <c r="B138" i="3"/>
  <c r="A138" i="3"/>
  <c r="P138" i="3" s="1"/>
  <c r="U137" i="3"/>
  <c r="Z137" i="3" s="1"/>
  <c r="R137" i="3"/>
  <c r="W137" i="3" s="1"/>
  <c r="P137" i="3"/>
  <c r="N137" i="3"/>
  <c r="M137" i="3"/>
  <c r="L137" i="3"/>
  <c r="K137" i="3"/>
  <c r="J137" i="3"/>
  <c r="I137" i="3"/>
  <c r="O137" i="3" s="1"/>
  <c r="H137" i="3"/>
  <c r="V137" i="3" s="1"/>
  <c r="AA137" i="3" s="1"/>
  <c r="G137" i="3"/>
  <c r="F137" i="3"/>
  <c r="T137" i="3" s="1"/>
  <c r="Y137" i="3" s="1"/>
  <c r="E137" i="3"/>
  <c r="S137" i="3" s="1"/>
  <c r="X137" i="3" s="1"/>
  <c r="D137" i="3"/>
  <c r="C137" i="3"/>
  <c r="Q137" i="3" s="1"/>
  <c r="B137" i="3"/>
  <c r="A137" i="3"/>
  <c r="Y136" i="3"/>
  <c r="V136" i="3"/>
  <c r="AA136" i="3" s="1"/>
  <c r="U136" i="3"/>
  <c r="Z136" i="3" s="1"/>
  <c r="N136" i="3"/>
  <c r="M136" i="3"/>
  <c r="L136" i="3"/>
  <c r="K136" i="3"/>
  <c r="J136" i="3"/>
  <c r="I136" i="3"/>
  <c r="O136" i="3" s="1"/>
  <c r="H136" i="3"/>
  <c r="G136" i="3"/>
  <c r="F136" i="3"/>
  <c r="T136" i="3" s="1"/>
  <c r="E136" i="3"/>
  <c r="S136" i="3" s="1"/>
  <c r="X136" i="3" s="1"/>
  <c r="D136" i="3"/>
  <c r="R136" i="3" s="1"/>
  <c r="W136" i="3" s="1"/>
  <c r="C136" i="3"/>
  <c r="Q136" i="3" s="1"/>
  <c r="B136" i="3"/>
  <c r="A136" i="3"/>
  <c r="P136" i="3" s="1"/>
  <c r="Q135" i="3"/>
  <c r="P135" i="3"/>
  <c r="N135" i="3"/>
  <c r="M135" i="3"/>
  <c r="L135" i="3"/>
  <c r="K135" i="3"/>
  <c r="J135" i="3"/>
  <c r="I135" i="3"/>
  <c r="O135" i="3" s="1"/>
  <c r="H135" i="3"/>
  <c r="V135" i="3" s="1"/>
  <c r="AA135" i="3" s="1"/>
  <c r="G135" i="3"/>
  <c r="U135" i="3" s="1"/>
  <c r="Z135" i="3" s="1"/>
  <c r="F135" i="3"/>
  <c r="T135" i="3" s="1"/>
  <c r="Y135" i="3" s="1"/>
  <c r="E135" i="3"/>
  <c r="S135" i="3" s="1"/>
  <c r="X135" i="3" s="1"/>
  <c r="D135" i="3"/>
  <c r="R135" i="3" s="1"/>
  <c r="W135" i="3" s="1"/>
  <c r="C135" i="3"/>
  <c r="B135" i="3"/>
  <c r="A135" i="3"/>
  <c r="U134" i="3"/>
  <c r="Z134" i="3" s="1"/>
  <c r="Q134" i="3"/>
  <c r="N134" i="3"/>
  <c r="M134" i="3"/>
  <c r="L134" i="3"/>
  <c r="K134" i="3"/>
  <c r="J134" i="3"/>
  <c r="I134" i="3"/>
  <c r="O134" i="3" s="1"/>
  <c r="H134" i="3"/>
  <c r="V134" i="3" s="1"/>
  <c r="AA134" i="3" s="1"/>
  <c r="G134" i="3"/>
  <c r="F134" i="3"/>
  <c r="T134" i="3" s="1"/>
  <c r="Y134" i="3" s="1"/>
  <c r="E134" i="3"/>
  <c r="S134" i="3" s="1"/>
  <c r="X134" i="3" s="1"/>
  <c r="D134" i="3"/>
  <c r="R134" i="3" s="1"/>
  <c r="W134" i="3" s="1"/>
  <c r="C134" i="3"/>
  <c r="B134" i="3"/>
  <c r="A134" i="3"/>
  <c r="P134" i="3" s="1"/>
  <c r="X133" i="3"/>
  <c r="P133" i="3"/>
  <c r="N133" i="3"/>
  <c r="M133" i="3"/>
  <c r="L133" i="3"/>
  <c r="K133" i="3"/>
  <c r="J133" i="3"/>
  <c r="I133" i="3"/>
  <c r="O133" i="3" s="1"/>
  <c r="H133" i="3"/>
  <c r="V133" i="3" s="1"/>
  <c r="AA133" i="3" s="1"/>
  <c r="G133" i="3"/>
  <c r="U133" i="3" s="1"/>
  <c r="Z133" i="3" s="1"/>
  <c r="F133" i="3"/>
  <c r="T133" i="3" s="1"/>
  <c r="Y133" i="3" s="1"/>
  <c r="E133" i="3"/>
  <c r="S133" i="3" s="1"/>
  <c r="D133" i="3"/>
  <c r="R133" i="3" s="1"/>
  <c r="W133" i="3" s="1"/>
  <c r="C133" i="3"/>
  <c r="Q133" i="3" s="1"/>
  <c r="B133" i="3"/>
  <c r="A133" i="3"/>
  <c r="T132" i="3"/>
  <c r="Y132" i="3" s="1"/>
  <c r="Q132" i="3"/>
  <c r="N132" i="3"/>
  <c r="M132" i="3"/>
  <c r="L132" i="3"/>
  <c r="K132" i="3"/>
  <c r="J132" i="3"/>
  <c r="I132" i="3"/>
  <c r="O132" i="3" s="1"/>
  <c r="H132" i="3"/>
  <c r="V132" i="3" s="1"/>
  <c r="AA132" i="3" s="1"/>
  <c r="G132" i="3"/>
  <c r="U132" i="3" s="1"/>
  <c r="Z132" i="3" s="1"/>
  <c r="F132" i="3"/>
  <c r="E132" i="3"/>
  <c r="S132" i="3" s="1"/>
  <c r="X132" i="3" s="1"/>
  <c r="D132" i="3"/>
  <c r="R132" i="3" s="1"/>
  <c r="W132" i="3" s="1"/>
  <c r="C132" i="3"/>
  <c r="B132" i="3"/>
  <c r="A132" i="3"/>
  <c r="P132" i="3" s="1"/>
  <c r="U131" i="3"/>
  <c r="Z131" i="3" s="1"/>
  <c r="N131" i="3"/>
  <c r="M131" i="3"/>
  <c r="L131" i="3"/>
  <c r="K131" i="3"/>
  <c r="J131" i="3"/>
  <c r="I131" i="3"/>
  <c r="O131" i="3" s="1"/>
  <c r="H131" i="3"/>
  <c r="V131" i="3" s="1"/>
  <c r="AA131" i="3" s="1"/>
  <c r="G131" i="3"/>
  <c r="F131" i="3"/>
  <c r="T131" i="3" s="1"/>
  <c r="Y131" i="3" s="1"/>
  <c r="E131" i="3"/>
  <c r="S131" i="3" s="1"/>
  <c r="X131" i="3" s="1"/>
  <c r="D131" i="3"/>
  <c r="R131" i="3" s="1"/>
  <c r="W131" i="3" s="1"/>
  <c r="C131" i="3"/>
  <c r="Q131" i="3" s="1"/>
  <c r="B131" i="3"/>
  <c r="A131" i="3"/>
  <c r="P131" i="3" s="1"/>
  <c r="S130" i="3"/>
  <c r="X130" i="3" s="1"/>
  <c r="N130" i="3"/>
  <c r="M130" i="3"/>
  <c r="L130" i="3"/>
  <c r="K130" i="3"/>
  <c r="J130" i="3"/>
  <c r="I130" i="3"/>
  <c r="O130" i="3" s="1"/>
  <c r="H130" i="3"/>
  <c r="V130" i="3" s="1"/>
  <c r="AA130" i="3" s="1"/>
  <c r="G130" i="3"/>
  <c r="U130" i="3" s="1"/>
  <c r="Z130" i="3" s="1"/>
  <c r="F130" i="3"/>
  <c r="T130" i="3" s="1"/>
  <c r="Y130" i="3" s="1"/>
  <c r="E130" i="3"/>
  <c r="D130" i="3"/>
  <c r="R130" i="3" s="1"/>
  <c r="W130" i="3" s="1"/>
  <c r="C130" i="3"/>
  <c r="Q130" i="3" s="1"/>
  <c r="B130" i="3"/>
  <c r="A130" i="3"/>
  <c r="P130" i="3" s="1"/>
  <c r="S129" i="3"/>
  <c r="X129" i="3" s="1"/>
  <c r="N129" i="3"/>
  <c r="M129" i="3"/>
  <c r="L129" i="3"/>
  <c r="K129" i="3"/>
  <c r="J129" i="3"/>
  <c r="I129" i="3"/>
  <c r="O129" i="3" s="1"/>
  <c r="H129" i="3"/>
  <c r="V129" i="3" s="1"/>
  <c r="AA129" i="3" s="1"/>
  <c r="G129" i="3"/>
  <c r="U129" i="3" s="1"/>
  <c r="Z129" i="3" s="1"/>
  <c r="F129" i="3"/>
  <c r="T129" i="3" s="1"/>
  <c r="Y129" i="3" s="1"/>
  <c r="E129" i="3"/>
  <c r="D129" i="3"/>
  <c r="R129" i="3" s="1"/>
  <c r="W129" i="3" s="1"/>
  <c r="C129" i="3"/>
  <c r="Q129" i="3" s="1"/>
  <c r="B129" i="3"/>
  <c r="A129" i="3"/>
  <c r="P129" i="3" s="1"/>
  <c r="P128" i="3"/>
  <c r="N128" i="3"/>
  <c r="M128" i="3"/>
  <c r="L128" i="3"/>
  <c r="K128" i="3"/>
  <c r="J128" i="3"/>
  <c r="I128" i="3"/>
  <c r="O128" i="3" s="1"/>
  <c r="H128" i="3"/>
  <c r="V128" i="3" s="1"/>
  <c r="AA128" i="3" s="1"/>
  <c r="G128" i="3"/>
  <c r="U128" i="3" s="1"/>
  <c r="Z128" i="3" s="1"/>
  <c r="F128" i="3"/>
  <c r="T128" i="3" s="1"/>
  <c r="Y128" i="3" s="1"/>
  <c r="E128" i="3"/>
  <c r="S128" i="3" s="1"/>
  <c r="X128" i="3" s="1"/>
  <c r="D128" i="3"/>
  <c r="R128" i="3" s="1"/>
  <c r="W128" i="3" s="1"/>
  <c r="C128" i="3"/>
  <c r="Q128" i="3" s="1"/>
  <c r="B128" i="3"/>
  <c r="A128" i="3"/>
  <c r="P127" i="3"/>
  <c r="N127" i="3"/>
  <c r="M127" i="3"/>
  <c r="L127" i="3"/>
  <c r="K127" i="3"/>
  <c r="J127" i="3"/>
  <c r="I127" i="3"/>
  <c r="O127" i="3" s="1"/>
  <c r="H127" i="3"/>
  <c r="V127" i="3" s="1"/>
  <c r="AA127" i="3" s="1"/>
  <c r="G127" i="3"/>
  <c r="U127" i="3" s="1"/>
  <c r="Z127" i="3" s="1"/>
  <c r="F127" i="3"/>
  <c r="T127" i="3" s="1"/>
  <c r="Y127" i="3" s="1"/>
  <c r="E127" i="3"/>
  <c r="S127" i="3" s="1"/>
  <c r="X127" i="3" s="1"/>
  <c r="D127" i="3"/>
  <c r="R127" i="3" s="1"/>
  <c r="W127" i="3" s="1"/>
  <c r="C127" i="3"/>
  <c r="Q127" i="3" s="1"/>
  <c r="B127" i="3"/>
  <c r="A127" i="3"/>
  <c r="T126" i="3"/>
  <c r="Y126" i="3" s="1"/>
  <c r="S126" i="3"/>
  <c r="X126" i="3" s="1"/>
  <c r="R126" i="3"/>
  <c r="W126" i="3" s="1"/>
  <c r="P126" i="3"/>
  <c r="N126" i="3"/>
  <c r="M126" i="3"/>
  <c r="L126" i="3"/>
  <c r="K126" i="3"/>
  <c r="J126" i="3"/>
  <c r="I126" i="3"/>
  <c r="O126" i="3" s="1"/>
  <c r="H126" i="3"/>
  <c r="V126" i="3" s="1"/>
  <c r="AA126" i="3" s="1"/>
  <c r="G126" i="3"/>
  <c r="U126" i="3" s="1"/>
  <c r="Z126" i="3" s="1"/>
  <c r="F126" i="3"/>
  <c r="E126" i="3"/>
  <c r="D126" i="3"/>
  <c r="C126" i="3"/>
  <c r="Q126" i="3" s="1"/>
  <c r="B126" i="3"/>
  <c r="A126" i="3"/>
  <c r="U125" i="3"/>
  <c r="Z125" i="3" s="1"/>
  <c r="N125" i="3"/>
  <c r="M125" i="3"/>
  <c r="L125" i="3"/>
  <c r="K125" i="3"/>
  <c r="J125" i="3"/>
  <c r="I125" i="3"/>
  <c r="O125" i="3" s="1"/>
  <c r="H125" i="3"/>
  <c r="V125" i="3" s="1"/>
  <c r="AA125" i="3" s="1"/>
  <c r="G125" i="3"/>
  <c r="F125" i="3"/>
  <c r="T125" i="3" s="1"/>
  <c r="Y125" i="3" s="1"/>
  <c r="E125" i="3"/>
  <c r="S125" i="3" s="1"/>
  <c r="X125" i="3" s="1"/>
  <c r="D125" i="3"/>
  <c r="R125" i="3" s="1"/>
  <c r="W125" i="3" s="1"/>
  <c r="C125" i="3"/>
  <c r="Q125" i="3" s="1"/>
  <c r="B125" i="3"/>
  <c r="A125" i="3"/>
  <c r="P125" i="3" s="1"/>
  <c r="V124" i="3"/>
  <c r="AA124" i="3" s="1"/>
  <c r="S124" i="3"/>
  <c r="X124" i="3" s="1"/>
  <c r="N124" i="3"/>
  <c r="M124" i="3"/>
  <c r="L124" i="3"/>
  <c r="K124" i="3"/>
  <c r="J124" i="3"/>
  <c r="I124" i="3"/>
  <c r="O124" i="3" s="1"/>
  <c r="H124" i="3"/>
  <c r="G124" i="3"/>
  <c r="U124" i="3" s="1"/>
  <c r="Z124" i="3" s="1"/>
  <c r="F124" i="3"/>
  <c r="T124" i="3" s="1"/>
  <c r="Y124" i="3" s="1"/>
  <c r="E124" i="3"/>
  <c r="D124" i="3"/>
  <c r="R124" i="3" s="1"/>
  <c r="W124" i="3" s="1"/>
  <c r="C124" i="3"/>
  <c r="Q124" i="3" s="1"/>
  <c r="B124" i="3"/>
  <c r="A124" i="3"/>
  <c r="P124" i="3" s="1"/>
  <c r="N123" i="3"/>
  <c r="M123" i="3"/>
  <c r="L123" i="3"/>
  <c r="K123" i="3"/>
  <c r="J123" i="3"/>
  <c r="I123" i="3"/>
  <c r="O123" i="3" s="1"/>
  <c r="H123" i="3"/>
  <c r="V123" i="3" s="1"/>
  <c r="AA123" i="3" s="1"/>
  <c r="G123" i="3"/>
  <c r="U123" i="3" s="1"/>
  <c r="Z123" i="3" s="1"/>
  <c r="F123" i="3"/>
  <c r="T123" i="3" s="1"/>
  <c r="Y123" i="3" s="1"/>
  <c r="E123" i="3"/>
  <c r="S123" i="3" s="1"/>
  <c r="X123" i="3" s="1"/>
  <c r="D123" i="3"/>
  <c r="R123" i="3" s="1"/>
  <c r="W123" i="3" s="1"/>
  <c r="C123" i="3"/>
  <c r="Q123" i="3" s="1"/>
  <c r="B123" i="3"/>
  <c r="A123" i="3"/>
  <c r="P123" i="3" s="1"/>
  <c r="U122" i="3"/>
  <c r="Z122" i="3" s="1"/>
  <c r="N122" i="3"/>
  <c r="M122" i="3"/>
  <c r="L122" i="3"/>
  <c r="K122" i="3"/>
  <c r="J122" i="3"/>
  <c r="I122" i="3"/>
  <c r="O122" i="3" s="1"/>
  <c r="H122" i="3"/>
  <c r="V122" i="3" s="1"/>
  <c r="AA122" i="3" s="1"/>
  <c r="G122" i="3"/>
  <c r="F122" i="3"/>
  <c r="T122" i="3" s="1"/>
  <c r="Y122" i="3" s="1"/>
  <c r="E122" i="3"/>
  <c r="S122" i="3" s="1"/>
  <c r="X122" i="3" s="1"/>
  <c r="D122" i="3"/>
  <c r="R122" i="3" s="1"/>
  <c r="W122" i="3" s="1"/>
  <c r="C122" i="3"/>
  <c r="Q122" i="3" s="1"/>
  <c r="B122" i="3"/>
  <c r="A122" i="3"/>
  <c r="P122" i="3" s="1"/>
  <c r="U121" i="3"/>
  <c r="Z121" i="3" s="1"/>
  <c r="R121" i="3"/>
  <c r="W121" i="3" s="1"/>
  <c r="N121" i="3"/>
  <c r="M121" i="3"/>
  <c r="L121" i="3"/>
  <c r="K121" i="3"/>
  <c r="J121" i="3"/>
  <c r="I121" i="3"/>
  <c r="O121" i="3" s="1"/>
  <c r="H121" i="3"/>
  <c r="V121" i="3" s="1"/>
  <c r="AA121" i="3" s="1"/>
  <c r="G121" i="3"/>
  <c r="F121" i="3"/>
  <c r="T121" i="3" s="1"/>
  <c r="Y121" i="3" s="1"/>
  <c r="E121" i="3"/>
  <c r="S121" i="3" s="1"/>
  <c r="X121" i="3" s="1"/>
  <c r="D121" i="3"/>
  <c r="C121" i="3"/>
  <c r="Q121" i="3" s="1"/>
  <c r="B121" i="3"/>
  <c r="A121" i="3"/>
  <c r="P121" i="3" s="1"/>
  <c r="N120" i="3"/>
  <c r="M120" i="3"/>
  <c r="L120" i="3"/>
  <c r="K120" i="3"/>
  <c r="J120" i="3"/>
  <c r="I120" i="3"/>
  <c r="O120" i="3" s="1"/>
  <c r="H120" i="3"/>
  <c r="V120" i="3" s="1"/>
  <c r="AA120" i="3" s="1"/>
  <c r="G120" i="3"/>
  <c r="U120" i="3" s="1"/>
  <c r="Z120" i="3" s="1"/>
  <c r="F120" i="3"/>
  <c r="T120" i="3" s="1"/>
  <c r="Y120" i="3" s="1"/>
  <c r="E120" i="3"/>
  <c r="S120" i="3" s="1"/>
  <c r="X120" i="3" s="1"/>
  <c r="D120" i="3"/>
  <c r="R120" i="3" s="1"/>
  <c r="W120" i="3" s="1"/>
  <c r="C120" i="3"/>
  <c r="Q120" i="3" s="1"/>
  <c r="B120" i="3"/>
  <c r="A120" i="3"/>
  <c r="P120" i="3" s="1"/>
  <c r="T119" i="3"/>
  <c r="Y119" i="3" s="1"/>
  <c r="N119" i="3"/>
  <c r="M119" i="3"/>
  <c r="L119" i="3"/>
  <c r="K119" i="3"/>
  <c r="J119" i="3"/>
  <c r="I119" i="3"/>
  <c r="O119" i="3" s="1"/>
  <c r="H119" i="3"/>
  <c r="V119" i="3" s="1"/>
  <c r="AA119" i="3" s="1"/>
  <c r="G119" i="3"/>
  <c r="U119" i="3" s="1"/>
  <c r="Z119" i="3" s="1"/>
  <c r="F119" i="3"/>
  <c r="E119" i="3"/>
  <c r="S119" i="3" s="1"/>
  <c r="X119" i="3" s="1"/>
  <c r="D119" i="3"/>
  <c r="R119" i="3" s="1"/>
  <c r="W119" i="3" s="1"/>
  <c r="C119" i="3"/>
  <c r="Q119" i="3" s="1"/>
  <c r="B119" i="3"/>
  <c r="A119" i="3"/>
  <c r="P119" i="3" s="1"/>
  <c r="T118" i="3"/>
  <c r="Y118" i="3" s="1"/>
  <c r="N118" i="3"/>
  <c r="M118" i="3"/>
  <c r="L118" i="3"/>
  <c r="K118" i="3"/>
  <c r="J118" i="3"/>
  <c r="I118" i="3"/>
  <c r="O118" i="3" s="1"/>
  <c r="H118" i="3"/>
  <c r="V118" i="3" s="1"/>
  <c r="AA118" i="3" s="1"/>
  <c r="G118" i="3"/>
  <c r="U118" i="3" s="1"/>
  <c r="Z118" i="3" s="1"/>
  <c r="F118" i="3"/>
  <c r="E118" i="3"/>
  <c r="S118" i="3" s="1"/>
  <c r="X118" i="3" s="1"/>
  <c r="D118" i="3"/>
  <c r="R118" i="3" s="1"/>
  <c r="W118" i="3" s="1"/>
  <c r="C118" i="3"/>
  <c r="Q118" i="3" s="1"/>
  <c r="B118" i="3"/>
  <c r="A118" i="3"/>
  <c r="P118" i="3" s="1"/>
  <c r="S117" i="3"/>
  <c r="X117" i="3" s="1"/>
  <c r="N117" i="3"/>
  <c r="M117" i="3"/>
  <c r="L117" i="3"/>
  <c r="K117" i="3"/>
  <c r="J117" i="3"/>
  <c r="I117" i="3"/>
  <c r="O117" i="3" s="1"/>
  <c r="H117" i="3"/>
  <c r="V117" i="3" s="1"/>
  <c r="AA117" i="3" s="1"/>
  <c r="G117" i="3"/>
  <c r="U117" i="3" s="1"/>
  <c r="Z117" i="3" s="1"/>
  <c r="F117" i="3"/>
  <c r="T117" i="3" s="1"/>
  <c r="Y117" i="3" s="1"/>
  <c r="E117" i="3"/>
  <c r="D117" i="3"/>
  <c r="R117" i="3" s="1"/>
  <c r="W117" i="3" s="1"/>
  <c r="C117" i="3"/>
  <c r="Q117" i="3" s="1"/>
  <c r="B117" i="3"/>
  <c r="A117" i="3"/>
  <c r="P117" i="3" s="1"/>
  <c r="U116" i="3"/>
  <c r="Z116" i="3" s="1"/>
  <c r="N116" i="3"/>
  <c r="M116" i="3"/>
  <c r="L116" i="3"/>
  <c r="K116" i="3"/>
  <c r="J116" i="3"/>
  <c r="I116" i="3"/>
  <c r="O116" i="3" s="1"/>
  <c r="H116" i="3"/>
  <c r="V116" i="3" s="1"/>
  <c r="AA116" i="3" s="1"/>
  <c r="G116" i="3"/>
  <c r="F116" i="3"/>
  <c r="T116" i="3" s="1"/>
  <c r="Y116" i="3" s="1"/>
  <c r="E116" i="3"/>
  <c r="S116" i="3" s="1"/>
  <c r="X116" i="3" s="1"/>
  <c r="D116" i="3"/>
  <c r="R116" i="3" s="1"/>
  <c r="W116" i="3" s="1"/>
  <c r="C116" i="3"/>
  <c r="Q116" i="3" s="1"/>
  <c r="B116" i="3"/>
  <c r="A116" i="3"/>
  <c r="P116" i="3" s="1"/>
  <c r="N115" i="3"/>
  <c r="M115" i="3"/>
  <c r="L115" i="3"/>
  <c r="K115" i="3"/>
  <c r="J115" i="3"/>
  <c r="I115" i="3"/>
  <c r="O115" i="3" s="1"/>
  <c r="H115" i="3"/>
  <c r="V115" i="3" s="1"/>
  <c r="AA115" i="3" s="1"/>
  <c r="G115" i="3"/>
  <c r="U115" i="3" s="1"/>
  <c r="Z115" i="3" s="1"/>
  <c r="F115" i="3"/>
  <c r="T115" i="3" s="1"/>
  <c r="Y115" i="3" s="1"/>
  <c r="E115" i="3"/>
  <c r="S115" i="3" s="1"/>
  <c r="X115" i="3" s="1"/>
  <c r="D115" i="3"/>
  <c r="R115" i="3" s="1"/>
  <c r="W115" i="3" s="1"/>
  <c r="C115" i="3"/>
  <c r="Q115" i="3" s="1"/>
  <c r="B115" i="3"/>
  <c r="A115" i="3"/>
  <c r="P115" i="3" s="1"/>
  <c r="N114" i="3"/>
  <c r="M114" i="3"/>
  <c r="L114" i="3"/>
  <c r="K114" i="3"/>
  <c r="J114" i="3"/>
  <c r="I114" i="3"/>
  <c r="O114" i="3" s="1"/>
  <c r="H114" i="3"/>
  <c r="V114" i="3" s="1"/>
  <c r="AA114" i="3" s="1"/>
  <c r="G114" i="3"/>
  <c r="U114" i="3" s="1"/>
  <c r="Z114" i="3" s="1"/>
  <c r="F114" i="3"/>
  <c r="T114" i="3" s="1"/>
  <c r="Y114" i="3" s="1"/>
  <c r="E114" i="3"/>
  <c r="S114" i="3" s="1"/>
  <c r="X114" i="3" s="1"/>
  <c r="D114" i="3"/>
  <c r="R114" i="3" s="1"/>
  <c r="W114" i="3" s="1"/>
  <c r="C114" i="3"/>
  <c r="Q114" i="3" s="1"/>
  <c r="B114" i="3"/>
  <c r="A114" i="3"/>
  <c r="P114" i="3" s="1"/>
  <c r="T113" i="3"/>
  <c r="Y113" i="3" s="1"/>
  <c r="N113" i="3"/>
  <c r="M113" i="3"/>
  <c r="L113" i="3"/>
  <c r="K113" i="3"/>
  <c r="J113" i="3"/>
  <c r="I113" i="3"/>
  <c r="O113" i="3" s="1"/>
  <c r="H113" i="3"/>
  <c r="V113" i="3" s="1"/>
  <c r="AA113" i="3" s="1"/>
  <c r="G113" i="3"/>
  <c r="U113" i="3" s="1"/>
  <c r="Z113" i="3" s="1"/>
  <c r="F113" i="3"/>
  <c r="E113" i="3"/>
  <c r="S113" i="3" s="1"/>
  <c r="X113" i="3" s="1"/>
  <c r="D113" i="3"/>
  <c r="R113" i="3" s="1"/>
  <c r="W113" i="3" s="1"/>
  <c r="C113" i="3"/>
  <c r="Q113" i="3" s="1"/>
  <c r="B113" i="3"/>
  <c r="A113" i="3"/>
  <c r="P113" i="3" s="1"/>
  <c r="S112" i="3"/>
  <c r="X112" i="3" s="1"/>
  <c r="R112" i="3"/>
  <c r="W112" i="3" s="1"/>
  <c r="N112" i="3"/>
  <c r="M112" i="3"/>
  <c r="L112" i="3"/>
  <c r="K112" i="3"/>
  <c r="J112" i="3"/>
  <c r="I112" i="3"/>
  <c r="O112" i="3" s="1"/>
  <c r="H112" i="3"/>
  <c r="V112" i="3" s="1"/>
  <c r="AA112" i="3" s="1"/>
  <c r="G112" i="3"/>
  <c r="U112" i="3" s="1"/>
  <c r="Z112" i="3" s="1"/>
  <c r="F112" i="3"/>
  <c r="T112" i="3" s="1"/>
  <c r="Y112" i="3" s="1"/>
  <c r="E112" i="3"/>
  <c r="D112" i="3"/>
  <c r="C112" i="3"/>
  <c r="Q112" i="3" s="1"/>
  <c r="B112" i="3"/>
  <c r="A112" i="3"/>
  <c r="P112" i="3" s="1"/>
  <c r="S111" i="3"/>
  <c r="X111" i="3" s="1"/>
  <c r="Q111" i="3"/>
  <c r="N111" i="3"/>
  <c r="M111" i="3"/>
  <c r="L111" i="3"/>
  <c r="K111" i="3"/>
  <c r="J111" i="3"/>
  <c r="I111" i="3"/>
  <c r="O111" i="3" s="1"/>
  <c r="H111" i="3"/>
  <c r="V111" i="3" s="1"/>
  <c r="AA111" i="3" s="1"/>
  <c r="G111" i="3"/>
  <c r="U111" i="3" s="1"/>
  <c r="Z111" i="3" s="1"/>
  <c r="F111" i="3"/>
  <c r="T111" i="3" s="1"/>
  <c r="Y111" i="3" s="1"/>
  <c r="E111" i="3"/>
  <c r="D111" i="3"/>
  <c r="R111" i="3" s="1"/>
  <c r="W111" i="3" s="1"/>
  <c r="C111" i="3"/>
  <c r="B111" i="3"/>
  <c r="A111" i="3"/>
  <c r="P111" i="3" s="1"/>
  <c r="U110" i="3"/>
  <c r="Z110" i="3" s="1"/>
  <c r="R110" i="3"/>
  <c r="W110" i="3" s="1"/>
  <c r="N110" i="3"/>
  <c r="M110" i="3"/>
  <c r="L110" i="3"/>
  <c r="K110" i="3"/>
  <c r="J110" i="3"/>
  <c r="I110" i="3"/>
  <c r="O110" i="3" s="1"/>
  <c r="H110" i="3"/>
  <c r="V110" i="3" s="1"/>
  <c r="AA110" i="3" s="1"/>
  <c r="G110" i="3"/>
  <c r="F110" i="3"/>
  <c r="T110" i="3" s="1"/>
  <c r="Y110" i="3" s="1"/>
  <c r="E110" i="3"/>
  <c r="S110" i="3" s="1"/>
  <c r="X110" i="3" s="1"/>
  <c r="D110" i="3"/>
  <c r="C110" i="3"/>
  <c r="Q110" i="3" s="1"/>
  <c r="B110" i="3"/>
  <c r="A110" i="3"/>
  <c r="P110" i="3" s="1"/>
  <c r="S109" i="3"/>
  <c r="X109" i="3" s="1"/>
  <c r="N109" i="3"/>
  <c r="M109" i="3"/>
  <c r="L109" i="3"/>
  <c r="K109" i="3"/>
  <c r="J109" i="3"/>
  <c r="I109" i="3"/>
  <c r="O109" i="3" s="1"/>
  <c r="H109" i="3"/>
  <c r="V109" i="3" s="1"/>
  <c r="AA109" i="3" s="1"/>
  <c r="G109" i="3"/>
  <c r="U109" i="3" s="1"/>
  <c r="Z109" i="3" s="1"/>
  <c r="F109" i="3"/>
  <c r="T109" i="3" s="1"/>
  <c r="Y109" i="3" s="1"/>
  <c r="E109" i="3"/>
  <c r="D109" i="3"/>
  <c r="R109" i="3" s="1"/>
  <c r="W109" i="3" s="1"/>
  <c r="C109" i="3"/>
  <c r="Q109" i="3" s="1"/>
  <c r="B109" i="3"/>
  <c r="A109" i="3"/>
  <c r="P109" i="3" s="1"/>
  <c r="S108" i="3"/>
  <c r="X108" i="3" s="1"/>
  <c r="R108" i="3"/>
  <c r="W108" i="3" s="1"/>
  <c r="N108" i="3"/>
  <c r="M108" i="3"/>
  <c r="L108" i="3"/>
  <c r="K108" i="3"/>
  <c r="J108" i="3"/>
  <c r="I108" i="3"/>
  <c r="O108" i="3" s="1"/>
  <c r="H108" i="3"/>
  <c r="V108" i="3" s="1"/>
  <c r="AA108" i="3" s="1"/>
  <c r="G108" i="3"/>
  <c r="U108" i="3" s="1"/>
  <c r="Z108" i="3" s="1"/>
  <c r="F108" i="3"/>
  <c r="T108" i="3" s="1"/>
  <c r="Y108" i="3" s="1"/>
  <c r="E108" i="3"/>
  <c r="D108" i="3"/>
  <c r="C108" i="3"/>
  <c r="Q108" i="3" s="1"/>
  <c r="B108" i="3"/>
  <c r="A108" i="3"/>
  <c r="P108" i="3" s="1"/>
  <c r="T107" i="3"/>
  <c r="Y107" i="3" s="1"/>
  <c r="N107" i="3"/>
  <c r="M107" i="3"/>
  <c r="L107" i="3"/>
  <c r="K107" i="3"/>
  <c r="J107" i="3"/>
  <c r="I107" i="3"/>
  <c r="O107" i="3" s="1"/>
  <c r="H107" i="3"/>
  <c r="V107" i="3" s="1"/>
  <c r="AA107" i="3" s="1"/>
  <c r="G107" i="3"/>
  <c r="U107" i="3" s="1"/>
  <c r="Z107" i="3" s="1"/>
  <c r="F107" i="3"/>
  <c r="E107" i="3"/>
  <c r="S107" i="3" s="1"/>
  <c r="X107" i="3" s="1"/>
  <c r="D107" i="3"/>
  <c r="R107" i="3" s="1"/>
  <c r="W107" i="3" s="1"/>
  <c r="C107" i="3"/>
  <c r="Q107" i="3" s="1"/>
  <c r="B107" i="3"/>
  <c r="A107" i="3"/>
  <c r="P107" i="3" s="1"/>
  <c r="V106" i="3"/>
  <c r="AA106" i="3" s="1"/>
  <c r="N106" i="3"/>
  <c r="M106" i="3"/>
  <c r="L106" i="3"/>
  <c r="K106" i="3"/>
  <c r="J106" i="3"/>
  <c r="I106" i="3"/>
  <c r="O106" i="3" s="1"/>
  <c r="H106" i="3"/>
  <c r="G106" i="3"/>
  <c r="U106" i="3" s="1"/>
  <c r="Z106" i="3" s="1"/>
  <c r="F106" i="3"/>
  <c r="T106" i="3" s="1"/>
  <c r="Y106" i="3" s="1"/>
  <c r="E106" i="3"/>
  <c r="S106" i="3" s="1"/>
  <c r="X106" i="3" s="1"/>
  <c r="D106" i="3"/>
  <c r="R106" i="3" s="1"/>
  <c r="W106" i="3" s="1"/>
  <c r="C106" i="3"/>
  <c r="Q106" i="3" s="1"/>
  <c r="B106" i="3"/>
  <c r="A106" i="3"/>
  <c r="P106" i="3" s="1"/>
  <c r="N105" i="3"/>
  <c r="M105" i="3"/>
  <c r="L105" i="3"/>
  <c r="K105" i="3"/>
  <c r="J105" i="3"/>
  <c r="I105" i="3"/>
  <c r="O105" i="3" s="1"/>
  <c r="H105" i="3"/>
  <c r="V105" i="3" s="1"/>
  <c r="AA105" i="3" s="1"/>
  <c r="G105" i="3"/>
  <c r="U105" i="3" s="1"/>
  <c r="Z105" i="3" s="1"/>
  <c r="F105" i="3"/>
  <c r="T105" i="3" s="1"/>
  <c r="Y105" i="3" s="1"/>
  <c r="E105" i="3"/>
  <c r="S105" i="3" s="1"/>
  <c r="X105" i="3" s="1"/>
  <c r="D105" i="3"/>
  <c r="R105" i="3" s="1"/>
  <c r="W105" i="3" s="1"/>
  <c r="C105" i="3"/>
  <c r="Q105" i="3" s="1"/>
  <c r="B105" i="3"/>
  <c r="A105" i="3"/>
  <c r="P105" i="3" s="1"/>
  <c r="U104" i="3"/>
  <c r="Z104" i="3" s="1"/>
  <c r="N104" i="3"/>
  <c r="M104" i="3"/>
  <c r="L104" i="3"/>
  <c r="K104" i="3"/>
  <c r="J104" i="3"/>
  <c r="I104" i="3"/>
  <c r="O104" i="3" s="1"/>
  <c r="H104" i="3"/>
  <c r="V104" i="3" s="1"/>
  <c r="AA104" i="3" s="1"/>
  <c r="G104" i="3"/>
  <c r="F104" i="3"/>
  <c r="T104" i="3" s="1"/>
  <c r="Y104" i="3" s="1"/>
  <c r="E104" i="3"/>
  <c r="S104" i="3" s="1"/>
  <c r="X104" i="3" s="1"/>
  <c r="D104" i="3"/>
  <c r="R104" i="3" s="1"/>
  <c r="W104" i="3" s="1"/>
  <c r="C104" i="3"/>
  <c r="Q104" i="3" s="1"/>
  <c r="B104" i="3"/>
  <c r="A104" i="3"/>
  <c r="P104" i="3" s="1"/>
  <c r="N103" i="3"/>
  <c r="M103" i="3"/>
  <c r="L103" i="3"/>
  <c r="K103" i="3"/>
  <c r="J103" i="3"/>
  <c r="I103" i="3"/>
  <c r="O103" i="3" s="1"/>
  <c r="H103" i="3"/>
  <c r="V103" i="3" s="1"/>
  <c r="AA103" i="3" s="1"/>
  <c r="G103" i="3"/>
  <c r="U103" i="3" s="1"/>
  <c r="Z103" i="3" s="1"/>
  <c r="F103" i="3"/>
  <c r="T103" i="3" s="1"/>
  <c r="Y103" i="3" s="1"/>
  <c r="E103" i="3"/>
  <c r="S103" i="3" s="1"/>
  <c r="X103" i="3" s="1"/>
  <c r="D103" i="3"/>
  <c r="R103" i="3" s="1"/>
  <c r="W103" i="3" s="1"/>
  <c r="C103" i="3"/>
  <c r="Q103" i="3" s="1"/>
  <c r="B103" i="3"/>
  <c r="A103" i="3"/>
  <c r="P103" i="3" s="1"/>
  <c r="R102" i="3"/>
  <c r="W102" i="3" s="1"/>
  <c r="N102" i="3"/>
  <c r="M102" i="3"/>
  <c r="L102" i="3"/>
  <c r="K102" i="3"/>
  <c r="J102" i="3"/>
  <c r="I102" i="3"/>
  <c r="O102" i="3" s="1"/>
  <c r="H102" i="3"/>
  <c r="V102" i="3" s="1"/>
  <c r="AA102" i="3" s="1"/>
  <c r="G102" i="3"/>
  <c r="U102" i="3" s="1"/>
  <c r="Z102" i="3" s="1"/>
  <c r="F102" i="3"/>
  <c r="T102" i="3" s="1"/>
  <c r="Y102" i="3" s="1"/>
  <c r="E102" i="3"/>
  <c r="S102" i="3" s="1"/>
  <c r="X102" i="3" s="1"/>
  <c r="D102" i="3"/>
  <c r="C102" i="3"/>
  <c r="Q102" i="3" s="1"/>
  <c r="B102" i="3"/>
  <c r="A102" i="3"/>
  <c r="P102" i="3" s="1"/>
  <c r="Q101" i="3"/>
  <c r="P101" i="3"/>
  <c r="N101" i="3"/>
  <c r="M101" i="3"/>
  <c r="L101" i="3"/>
  <c r="K101" i="3"/>
  <c r="J101" i="3"/>
  <c r="I101" i="3"/>
  <c r="O101" i="3" s="1"/>
  <c r="H101" i="3"/>
  <c r="V101" i="3" s="1"/>
  <c r="AA101" i="3" s="1"/>
  <c r="G101" i="3"/>
  <c r="U101" i="3" s="1"/>
  <c r="Z101" i="3" s="1"/>
  <c r="F101" i="3"/>
  <c r="T101" i="3" s="1"/>
  <c r="Y101" i="3" s="1"/>
  <c r="E101" i="3"/>
  <c r="S101" i="3" s="1"/>
  <c r="X101" i="3" s="1"/>
  <c r="D101" i="3"/>
  <c r="R101" i="3" s="1"/>
  <c r="W101" i="3" s="1"/>
  <c r="C101" i="3"/>
  <c r="B101" i="3"/>
  <c r="A101" i="3"/>
  <c r="X100" i="3"/>
  <c r="V100" i="3"/>
  <c r="AA100" i="3" s="1"/>
  <c r="S100" i="3"/>
  <c r="N100" i="3"/>
  <c r="M100" i="3"/>
  <c r="L100" i="3"/>
  <c r="K100" i="3"/>
  <c r="J100" i="3"/>
  <c r="I100" i="3"/>
  <c r="O100" i="3" s="1"/>
  <c r="H100" i="3"/>
  <c r="G100" i="3"/>
  <c r="U100" i="3" s="1"/>
  <c r="Z100" i="3" s="1"/>
  <c r="F100" i="3"/>
  <c r="T100" i="3" s="1"/>
  <c r="Y100" i="3" s="1"/>
  <c r="E100" i="3"/>
  <c r="D100" i="3"/>
  <c r="R100" i="3" s="1"/>
  <c r="W100" i="3" s="1"/>
  <c r="C100" i="3"/>
  <c r="Q100" i="3" s="1"/>
  <c r="B100" i="3"/>
  <c r="A100" i="3"/>
  <c r="P100" i="3" s="1"/>
  <c r="S99" i="3"/>
  <c r="X99" i="3" s="1"/>
  <c r="N99" i="3"/>
  <c r="M99" i="3"/>
  <c r="L99" i="3"/>
  <c r="K99" i="3"/>
  <c r="J99" i="3"/>
  <c r="I99" i="3"/>
  <c r="O99" i="3" s="1"/>
  <c r="H99" i="3"/>
  <c r="V99" i="3" s="1"/>
  <c r="AA99" i="3" s="1"/>
  <c r="G99" i="3"/>
  <c r="U99" i="3" s="1"/>
  <c r="Z99" i="3" s="1"/>
  <c r="F99" i="3"/>
  <c r="T99" i="3" s="1"/>
  <c r="Y99" i="3" s="1"/>
  <c r="E99" i="3"/>
  <c r="D99" i="3"/>
  <c r="R99" i="3" s="1"/>
  <c r="W99" i="3" s="1"/>
  <c r="C99" i="3"/>
  <c r="Q99" i="3" s="1"/>
  <c r="B99" i="3"/>
  <c r="A99" i="3"/>
  <c r="P99" i="3" s="1"/>
  <c r="P98" i="3"/>
  <c r="N98" i="3"/>
  <c r="M98" i="3"/>
  <c r="L98" i="3"/>
  <c r="K98" i="3"/>
  <c r="J98" i="3"/>
  <c r="I98" i="3"/>
  <c r="O98" i="3" s="1"/>
  <c r="H98" i="3"/>
  <c r="V98" i="3" s="1"/>
  <c r="AA98" i="3" s="1"/>
  <c r="G98" i="3"/>
  <c r="U98" i="3" s="1"/>
  <c r="Z98" i="3" s="1"/>
  <c r="F98" i="3"/>
  <c r="T98" i="3" s="1"/>
  <c r="Y98" i="3" s="1"/>
  <c r="E98" i="3"/>
  <c r="S98" i="3" s="1"/>
  <c r="X98" i="3" s="1"/>
  <c r="D98" i="3"/>
  <c r="R98" i="3" s="1"/>
  <c r="W98" i="3" s="1"/>
  <c r="C98" i="3"/>
  <c r="Q98" i="3" s="1"/>
  <c r="B98" i="3"/>
  <c r="A98" i="3"/>
  <c r="T97" i="3"/>
  <c r="Y97" i="3" s="1"/>
  <c r="S97" i="3"/>
  <c r="X97" i="3" s="1"/>
  <c r="R97" i="3"/>
  <c r="W97" i="3" s="1"/>
  <c r="N97" i="3"/>
  <c r="M97" i="3"/>
  <c r="L97" i="3"/>
  <c r="K97" i="3"/>
  <c r="J97" i="3"/>
  <c r="I97" i="3"/>
  <c r="O97" i="3" s="1"/>
  <c r="H97" i="3"/>
  <c r="V97" i="3" s="1"/>
  <c r="AA97" i="3" s="1"/>
  <c r="G97" i="3"/>
  <c r="U97" i="3" s="1"/>
  <c r="Z97" i="3" s="1"/>
  <c r="F97" i="3"/>
  <c r="E97" i="3"/>
  <c r="D97" i="3"/>
  <c r="C97" i="3"/>
  <c r="Q97" i="3" s="1"/>
  <c r="B97" i="3"/>
  <c r="A97" i="3"/>
  <c r="P97" i="3" s="1"/>
  <c r="V96" i="3"/>
  <c r="AA96" i="3" s="1"/>
  <c r="N96" i="3"/>
  <c r="M96" i="3"/>
  <c r="L96" i="3"/>
  <c r="K96" i="3"/>
  <c r="J96" i="3"/>
  <c r="I96" i="3"/>
  <c r="O96" i="3" s="1"/>
  <c r="H96" i="3"/>
  <c r="G96" i="3"/>
  <c r="U96" i="3" s="1"/>
  <c r="Z96" i="3" s="1"/>
  <c r="F96" i="3"/>
  <c r="T96" i="3" s="1"/>
  <c r="Y96" i="3" s="1"/>
  <c r="E96" i="3"/>
  <c r="S96" i="3" s="1"/>
  <c r="X96" i="3" s="1"/>
  <c r="D96" i="3"/>
  <c r="R96" i="3" s="1"/>
  <c r="W96" i="3" s="1"/>
  <c r="C96" i="3"/>
  <c r="Q96" i="3" s="1"/>
  <c r="B96" i="3"/>
  <c r="A96" i="3"/>
  <c r="P96" i="3" s="1"/>
  <c r="T95" i="3"/>
  <c r="Y95" i="3" s="1"/>
  <c r="P95" i="3"/>
  <c r="N95" i="3"/>
  <c r="M95" i="3"/>
  <c r="L95" i="3"/>
  <c r="K95" i="3"/>
  <c r="J95" i="3"/>
  <c r="I95" i="3"/>
  <c r="O95" i="3" s="1"/>
  <c r="H95" i="3"/>
  <c r="V95" i="3" s="1"/>
  <c r="AA95" i="3" s="1"/>
  <c r="G95" i="3"/>
  <c r="U95" i="3" s="1"/>
  <c r="Z95" i="3" s="1"/>
  <c r="F95" i="3"/>
  <c r="E95" i="3"/>
  <c r="S95" i="3" s="1"/>
  <c r="X95" i="3" s="1"/>
  <c r="D95" i="3"/>
  <c r="R95" i="3" s="1"/>
  <c r="W95" i="3" s="1"/>
  <c r="C95" i="3"/>
  <c r="Q95" i="3" s="1"/>
  <c r="B95" i="3"/>
  <c r="A95" i="3"/>
  <c r="T94" i="3"/>
  <c r="Y94" i="3" s="1"/>
  <c r="Q94" i="3"/>
  <c r="N94" i="3"/>
  <c r="M94" i="3"/>
  <c r="L94" i="3"/>
  <c r="K94" i="3"/>
  <c r="J94" i="3"/>
  <c r="I94" i="3"/>
  <c r="O94" i="3" s="1"/>
  <c r="H94" i="3"/>
  <c r="V94" i="3" s="1"/>
  <c r="AA94" i="3" s="1"/>
  <c r="G94" i="3"/>
  <c r="U94" i="3" s="1"/>
  <c r="Z94" i="3" s="1"/>
  <c r="F94" i="3"/>
  <c r="E94" i="3"/>
  <c r="S94" i="3" s="1"/>
  <c r="X94" i="3" s="1"/>
  <c r="D94" i="3"/>
  <c r="R94" i="3" s="1"/>
  <c r="W94" i="3" s="1"/>
  <c r="C94" i="3"/>
  <c r="B94" i="3"/>
  <c r="A94" i="3"/>
  <c r="P94" i="3" s="1"/>
  <c r="U93" i="3"/>
  <c r="Z93" i="3" s="1"/>
  <c r="R93" i="3"/>
  <c r="W93" i="3" s="1"/>
  <c r="P93" i="3"/>
  <c r="N93" i="3"/>
  <c r="M93" i="3"/>
  <c r="L93" i="3"/>
  <c r="K93" i="3"/>
  <c r="J93" i="3"/>
  <c r="I93" i="3"/>
  <c r="O93" i="3" s="1"/>
  <c r="H93" i="3"/>
  <c r="V93" i="3" s="1"/>
  <c r="AA93" i="3" s="1"/>
  <c r="G93" i="3"/>
  <c r="F93" i="3"/>
  <c r="T93" i="3" s="1"/>
  <c r="Y93" i="3" s="1"/>
  <c r="E93" i="3"/>
  <c r="S93" i="3" s="1"/>
  <c r="X93" i="3" s="1"/>
  <c r="D93" i="3"/>
  <c r="C93" i="3"/>
  <c r="Q93" i="3" s="1"/>
  <c r="B93" i="3"/>
  <c r="A93" i="3"/>
  <c r="V92" i="3"/>
  <c r="AA92" i="3" s="1"/>
  <c r="T92" i="3"/>
  <c r="Y92" i="3" s="1"/>
  <c r="P92" i="3"/>
  <c r="N92" i="3"/>
  <c r="M92" i="3"/>
  <c r="L92" i="3"/>
  <c r="K92" i="3"/>
  <c r="J92" i="3"/>
  <c r="I92" i="3"/>
  <c r="O92" i="3" s="1"/>
  <c r="H92" i="3"/>
  <c r="G92" i="3"/>
  <c r="U92" i="3" s="1"/>
  <c r="Z92" i="3" s="1"/>
  <c r="F92" i="3"/>
  <c r="E92" i="3"/>
  <c r="S92" i="3" s="1"/>
  <c r="X92" i="3" s="1"/>
  <c r="D92" i="3"/>
  <c r="R92" i="3" s="1"/>
  <c r="W92" i="3" s="1"/>
  <c r="C92" i="3"/>
  <c r="Q92" i="3" s="1"/>
  <c r="B92" i="3"/>
  <c r="A92" i="3"/>
  <c r="S91" i="3"/>
  <c r="X91" i="3" s="1"/>
  <c r="Q91" i="3"/>
  <c r="N91" i="3"/>
  <c r="M91" i="3"/>
  <c r="L91" i="3"/>
  <c r="K91" i="3"/>
  <c r="J91" i="3"/>
  <c r="I91" i="3"/>
  <c r="O91" i="3" s="1"/>
  <c r="H91" i="3"/>
  <c r="V91" i="3" s="1"/>
  <c r="AA91" i="3" s="1"/>
  <c r="G91" i="3"/>
  <c r="U91" i="3" s="1"/>
  <c r="Z91" i="3" s="1"/>
  <c r="F91" i="3"/>
  <c r="T91" i="3" s="1"/>
  <c r="Y91" i="3" s="1"/>
  <c r="E91" i="3"/>
  <c r="D91" i="3"/>
  <c r="R91" i="3" s="1"/>
  <c r="W91" i="3" s="1"/>
  <c r="C91" i="3"/>
  <c r="B91" i="3"/>
  <c r="A91" i="3"/>
  <c r="P91" i="3" s="1"/>
  <c r="U90" i="3"/>
  <c r="Z90" i="3" s="1"/>
  <c r="R90" i="3"/>
  <c r="W90" i="3" s="1"/>
  <c r="Q90" i="3"/>
  <c r="P90" i="3"/>
  <c r="N90" i="3"/>
  <c r="M90" i="3"/>
  <c r="L90" i="3"/>
  <c r="K90" i="3"/>
  <c r="J90" i="3"/>
  <c r="I90" i="3"/>
  <c r="O90" i="3" s="1"/>
  <c r="H90" i="3"/>
  <c r="V90" i="3" s="1"/>
  <c r="AA90" i="3" s="1"/>
  <c r="G90" i="3"/>
  <c r="F90" i="3"/>
  <c r="T90" i="3" s="1"/>
  <c r="Y90" i="3" s="1"/>
  <c r="E90" i="3"/>
  <c r="S90" i="3" s="1"/>
  <c r="X90" i="3" s="1"/>
  <c r="D90" i="3"/>
  <c r="C90" i="3"/>
  <c r="B90" i="3"/>
  <c r="A90" i="3"/>
  <c r="Z89" i="3"/>
  <c r="V89" i="3"/>
  <c r="AA89" i="3" s="1"/>
  <c r="S89" i="3"/>
  <c r="X89" i="3" s="1"/>
  <c r="N89" i="3"/>
  <c r="M89" i="3"/>
  <c r="L89" i="3"/>
  <c r="K89" i="3"/>
  <c r="J89" i="3"/>
  <c r="I89" i="3"/>
  <c r="O89" i="3" s="1"/>
  <c r="H89" i="3"/>
  <c r="G89" i="3"/>
  <c r="U89" i="3" s="1"/>
  <c r="F89" i="3"/>
  <c r="T89" i="3" s="1"/>
  <c r="Y89" i="3" s="1"/>
  <c r="E89" i="3"/>
  <c r="D89" i="3"/>
  <c r="R89" i="3" s="1"/>
  <c r="W89" i="3" s="1"/>
  <c r="C89" i="3"/>
  <c r="Q89" i="3" s="1"/>
  <c r="B89" i="3"/>
  <c r="A89" i="3"/>
  <c r="P89" i="3" s="1"/>
  <c r="S88" i="3"/>
  <c r="X88" i="3" s="1"/>
  <c r="N88" i="3"/>
  <c r="M88" i="3"/>
  <c r="L88" i="3"/>
  <c r="K88" i="3"/>
  <c r="J88" i="3"/>
  <c r="I88" i="3"/>
  <c r="O88" i="3" s="1"/>
  <c r="H88" i="3"/>
  <c r="V88" i="3" s="1"/>
  <c r="AA88" i="3" s="1"/>
  <c r="G88" i="3"/>
  <c r="U88" i="3" s="1"/>
  <c r="Z88" i="3" s="1"/>
  <c r="F88" i="3"/>
  <c r="T88" i="3" s="1"/>
  <c r="Y88" i="3" s="1"/>
  <c r="E88" i="3"/>
  <c r="D88" i="3"/>
  <c r="R88" i="3" s="1"/>
  <c r="W88" i="3" s="1"/>
  <c r="C88" i="3"/>
  <c r="Q88" i="3" s="1"/>
  <c r="B88" i="3"/>
  <c r="A88" i="3"/>
  <c r="P88" i="3" s="1"/>
  <c r="V87" i="3"/>
  <c r="AA87" i="3" s="1"/>
  <c r="U87" i="3"/>
  <c r="Z87" i="3" s="1"/>
  <c r="R87" i="3"/>
  <c r="W87" i="3" s="1"/>
  <c r="N87" i="3"/>
  <c r="M87" i="3"/>
  <c r="L87" i="3"/>
  <c r="K87" i="3"/>
  <c r="J87" i="3"/>
  <c r="I87" i="3"/>
  <c r="O87" i="3" s="1"/>
  <c r="H87" i="3"/>
  <c r="G87" i="3"/>
  <c r="F87" i="3"/>
  <c r="T87" i="3" s="1"/>
  <c r="Y87" i="3" s="1"/>
  <c r="E87" i="3"/>
  <c r="S87" i="3" s="1"/>
  <c r="X87" i="3" s="1"/>
  <c r="D87" i="3"/>
  <c r="C87" i="3"/>
  <c r="Q87" i="3" s="1"/>
  <c r="B87" i="3"/>
  <c r="A87" i="3"/>
  <c r="P87" i="3" s="1"/>
  <c r="V86" i="3"/>
  <c r="AA86" i="3" s="1"/>
  <c r="S86" i="3"/>
  <c r="X86" i="3" s="1"/>
  <c r="N86" i="3"/>
  <c r="M86" i="3"/>
  <c r="L86" i="3"/>
  <c r="K86" i="3"/>
  <c r="J86" i="3"/>
  <c r="I86" i="3"/>
  <c r="O86" i="3" s="1"/>
  <c r="H86" i="3"/>
  <c r="G86" i="3"/>
  <c r="U86" i="3" s="1"/>
  <c r="Z86" i="3" s="1"/>
  <c r="F86" i="3"/>
  <c r="T86" i="3" s="1"/>
  <c r="Y86" i="3" s="1"/>
  <c r="E86" i="3"/>
  <c r="D86" i="3"/>
  <c r="R86" i="3" s="1"/>
  <c r="W86" i="3" s="1"/>
  <c r="C86" i="3"/>
  <c r="Q86" i="3" s="1"/>
  <c r="B86" i="3"/>
  <c r="A86" i="3"/>
  <c r="T85" i="3"/>
  <c r="Y85" i="3" s="1"/>
  <c r="S85" i="3"/>
  <c r="X85" i="3" s="1"/>
  <c r="R85" i="3"/>
  <c r="W85" i="3" s="1"/>
  <c r="Q85" i="3"/>
  <c r="N85" i="3"/>
  <c r="M85" i="3"/>
  <c r="L85" i="3"/>
  <c r="K85" i="3"/>
  <c r="J85" i="3"/>
  <c r="I85" i="3"/>
  <c r="O85" i="3" s="1"/>
  <c r="H85" i="3"/>
  <c r="V85" i="3" s="1"/>
  <c r="AA85" i="3" s="1"/>
  <c r="G85" i="3"/>
  <c r="U85" i="3" s="1"/>
  <c r="Z85" i="3" s="1"/>
  <c r="F85" i="3"/>
  <c r="E85" i="3"/>
  <c r="D85" i="3"/>
  <c r="C85" i="3"/>
  <c r="B85" i="3"/>
  <c r="A85" i="3"/>
  <c r="V84" i="3"/>
  <c r="AA84" i="3" s="1"/>
  <c r="Q84" i="3"/>
  <c r="N84" i="3"/>
  <c r="M84" i="3"/>
  <c r="L84" i="3"/>
  <c r="K84" i="3"/>
  <c r="J84" i="3"/>
  <c r="I84" i="3"/>
  <c r="O84" i="3" s="1"/>
  <c r="H84" i="3"/>
  <c r="G84" i="3"/>
  <c r="U84" i="3" s="1"/>
  <c r="Z84" i="3" s="1"/>
  <c r="F84" i="3"/>
  <c r="T84" i="3" s="1"/>
  <c r="Y84" i="3" s="1"/>
  <c r="E84" i="3"/>
  <c r="S84" i="3" s="1"/>
  <c r="X84" i="3" s="1"/>
  <c r="D84" i="3"/>
  <c r="R84" i="3" s="1"/>
  <c r="W84" i="3" s="1"/>
  <c r="C84" i="3"/>
  <c r="B84" i="3"/>
  <c r="A84" i="3"/>
  <c r="V83" i="3"/>
  <c r="AA83" i="3" s="1"/>
  <c r="U83" i="3"/>
  <c r="Z83" i="3" s="1"/>
  <c r="N83" i="3"/>
  <c r="M83" i="3"/>
  <c r="L83" i="3"/>
  <c r="K83" i="3"/>
  <c r="J83" i="3"/>
  <c r="I83" i="3"/>
  <c r="O83" i="3" s="1"/>
  <c r="H83" i="3"/>
  <c r="G83" i="3"/>
  <c r="F83" i="3"/>
  <c r="T83" i="3" s="1"/>
  <c r="Y83" i="3" s="1"/>
  <c r="E83" i="3"/>
  <c r="S83" i="3" s="1"/>
  <c r="X83" i="3" s="1"/>
  <c r="D83" i="3"/>
  <c r="R83" i="3" s="1"/>
  <c r="W83" i="3" s="1"/>
  <c r="C83" i="3"/>
  <c r="Q83" i="3" s="1"/>
  <c r="B83" i="3"/>
  <c r="A83" i="3"/>
  <c r="T82" i="3"/>
  <c r="Y82" i="3" s="1"/>
  <c r="Q82" i="3"/>
  <c r="N82" i="3"/>
  <c r="M82" i="3"/>
  <c r="L82" i="3"/>
  <c r="K82" i="3"/>
  <c r="J82" i="3"/>
  <c r="I82" i="3"/>
  <c r="O82" i="3" s="1"/>
  <c r="H82" i="3"/>
  <c r="V82" i="3" s="1"/>
  <c r="AA82" i="3" s="1"/>
  <c r="G82" i="3"/>
  <c r="U82" i="3" s="1"/>
  <c r="Z82" i="3" s="1"/>
  <c r="F82" i="3"/>
  <c r="E82" i="3"/>
  <c r="S82" i="3" s="1"/>
  <c r="X82" i="3" s="1"/>
  <c r="D82" i="3"/>
  <c r="R82" i="3" s="1"/>
  <c r="W82" i="3" s="1"/>
  <c r="C82" i="3"/>
  <c r="B82" i="3"/>
  <c r="A82" i="3"/>
  <c r="V81" i="3"/>
  <c r="AA81" i="3" s="1"/>
  <c r="U81" i="3"/>
  <c r="Z81" i="3" s="1"/>
  <c r="N81" i="3"/>
  <c r="M81" i="3"/>
  <c r="L81" i="3"/>
  <c r="K81" i="3"/>
  <c r="J81" i="3"/>
  <c r="I81" i="3"/>
  <c r="O81" i="3" s="1"/>
  <c r="H81" i="3"/>
  <c r="G81" i="3"/>
  <c r="F81" i="3"/>
  <c r="T81" i="3" s="1"/>
  <c r="Y81" i="3" s="1"/>
  <c r="E81" i="3"/>
  <c r="S81" i="3" s="1"/>
  <c r="X81" i="3" s="1"/>
  <c r="D81" i="3"/>
  <c r="R81" i="3" s="1"/>
  <c r="W81" i="3" s="1"/>
  <c r="C81" i="3"/>
  <c r="Q81" i="3" s="1"/>
  <c r="B81" i="3"/>
  <c r="A81" i="3"/>
  <c r="V80" i="3"/>
  <c r="AA80" i="3" s="1"/>
  <c r="S80" i="3"/>
  <c r="X80" i="3" s="1"/>
  <c r="N80" i="3"/>
  <c r="M80" i="3"/>
  <c r="L80" i="3"/>
  <c r="K80" i="3"/>
  <c r="J80" i="3"/>
  <c r="I80" i="3"/>
  <c r="O80" i="3" s="1"/>
  <c r="H80" i="3"/>
  <c r="G80" i="3"/>
  <c r="U80" i="3" s="1"/>
  <c r="Z80" i="3" s="1"/>
  <c r="F80" i="3"/>
  <c r="T80" i="3" s="1"/>
  <c r="Y80" i="3" s="1"/>
  <c r="E80" i="3"/>
  <c r="D80" i="3"/>
  <c r="R80" i="3" s="1"/>
  <c r="W80" i="3" s="1"/>
  <c r="C80" i="3"/>
  <c r="Q80" i="3" s="1"/>
  <c r="B80" i="3"/>
  <c r="A80" i="3"/>
  <c r="T79" i="3"/>
  <c r="Y79" i="3" s="1"/>
  <c r="S79" i="3"/>
  <c r="X79" i="3" s="1"/>
  <c r="Q79" i="3"/>
  <c r="N79" i="3"/>
  <c r="M79" i="3"/>
  <c r="L79" i="3"/>
  <c r="K79" i="3"/>
  <c r="J79" i="3"/>
  <c r="I79" i="3"/>
  <c r="O79" i="3" s="1"/>
  <c r="H79" i="3"/>
  <c r="V79" i="3" s="1"/>
  <c r="AA79" i="3" s="1"/>
  <c r="G79" i="3"/>
  <c r="U79" i="3" s="1"/>
  <c r="Z79" i="3" s="1"/>
  <c r="F79" i="3"/>
  <c r="E79" i="3"/>
  <c r="D79" i="3"/>
  <c r="R79" i="3" s="1"/>
  <c r="W79" i="3" s="1"/>
  <c r="C79" i="3"/>
  <c r="B79" i="3"/>
  <c r="A79" i="3"/>
  <c r="V78" i="3"/>
  <c r="AA78" i="3" s="1"/>
  <c r="U78" i="3"/>
  <c r="Z78" i="3" s="1"/>
  <c r="N78" i="3"/>
  <c r="M78" i="3"/>
  <c r="L78" i="3"/>
  <c r="K78" i="3"/>
  <c r="J78" i="3"/>
  <c r="I78" i="3"/>
  <c r="O78" i="3" s="1"/>
  <c r="H78" i="3"/>
  <c r="G78" i="3"/>
  <c r="F78" i="3"/>
  <c r="T78" i="3" s="1"/>
  <c r="Y78" i="3" s="1"/>
  <c r="E78" i="3"/>
  <c r="S78" i="3" s="1"/>
  <c r="X78" i="3" s="1"/>
  <c r="D78" i="3"/>
  <c r="R78" i="3" s="1"/>
  <c r="W78" i="3" s="1"/>
  <c r="C78" i="3"/>
  <c r="Q78" i="3" s="1"/>
  <c r="B78" i="3"/>
  <c r="A78" i="3"/>
  <c r="V77" i="3"/>
  <c r="AA77" i="3" s="1"/>
  <c r="S77" i="3"/>
  <c r="X77" i="3" s="1"/>
  <c r="N77" i="3"/>
  <c r="M77" i="3"/>
  <c r="L77" i="3"/>
  <c r="K77" i="3"/>
  <c r="J77" i="3"/>
  <c r="I77" i="3"/>
  <c r="O77" i="3" s="1"/>
  <c r="H77" i="3"/>
  <c r="G77" i="3"/>
  <c r="U77" i="3" s="1"/>
  <c r="Z77" i="3" s="1"/>
  <c r="F77" i="3"/>
  <c r="T77" i="3" s="1"/>
  <c r="Y77" i="3" s="1"/>
  <c r="E77" i="3"/>
  <c r="D77" i="3"/>
  <c r="R77" i="3" s="1"/>
  <c r="W77" i="3" s="1"/>
  <c r="C77" i="3"/>
  <c r="Q77" i="3" s="1"/>
  <c r="B77" i="3"/>
  <c r="A77" i="3"/>
  <c r="T76" i="3"/>
  <c r="Y76" i="3" s="1"/>
  <c r="R76" i="3"/>
  <c r="W76" i="3" s="1"/>
  <c r="Q76" i="3"/>
  <c r="N76" i="3"/>
  <c r="M76" i="3"/>
  <c r="L76" i="3"/>
  <c r="K76" i="3"/>
  <c r="J76" i="3"/>
  <c r="I76" i="3"/>
  <c r="O76" i="3" s="1"/>
  <c r="H76" i="3"/>
  <c r="V76" i="3" s="1"/>
  <c r="AA76" i="3" s="1"/>
  <c r="G76" i="3"/>
  <c r="U76" i="3" s="1"/>
  <c r="Z76" i="3" s="1"/>
  <c r="F76" i="3"/>
  <c r="E76" i="3"/>
  <c r="S76" i="3" s="1"/>
  <c r="X76" i="3" s="1"/>
  <c r="D76" i="3"/>
  <c r="C76" i="3"/>
  <c r="B76" i="3"/>
  <c r="A76" i="3"/>
  <c r="U75" i="3"/>
  <c r="Z75" i="3" s="1"/>
  <c r="N75" i="3"/>
  <c r="M75" i="3"/>
  <c r="L75" i="3"/>
  <c r="K75" i="3"/>
  <c r="J75" i="3"/>
  <c r="I75" i="3"/>
  <c r="O75" i="3" s="1"/>
  <c r="H75" i="3"/>
  <c r="V75" i="3" s="1"/>
  <c r="AA75" i="3" s="1"/>
  <c r="G75" i="3"/>
  <c r="F75" i="3"/>
  <c r="T75" i="3" s="1"/>
  <c r="Y75" i="3" s="1"/>
  <c r="E75" i="3"/>
  <c r="S75" i="3" s="1"/>
  <c r="X75" i="3" s="1"/>
  <c r="D75" i="3"/>
  <c r="R75" i="3" s="1"/>
  <c r="W75" i="3" s="1"/>
  <c r="C75" i="3"/>
  <c r="Q75" i="3" s="1"/>
  <c r="B75" i="3"/>
  <c r="A75" i="3"/>
  <c r="T74" i="3"/>
  <c r="Y74" i="3" s="1"/>
  <c r="N74" i="3"/>
  <c r="M74" i="3"/>
  <c r="L74" i="3"/>
  <c r="K74" i="3"/>
  <c r="J74" i="3"/>
  <c r="I74" i="3"/>
  <c r="O74" i="3" s="1"/>
  <c r="H74" i="3"/>
  <c r="V74" i="3" s="1"/>
  <c r="AA74" i="3" s="1"/>
  <c r="G74" i="3"/>
  <c r="U74" i="3" s="1"/>
  <c r="Z74" i="3" s="1"/>
  <c r="F74" i="3"/>
  <c r="E74" i="3"/>
  <c r="S74" i="3" s="1"/>
  <c r="X74" i="3" s="1"/>
  <c r="D74" i="3"/>
  <c r="R74" i="3" s="1"/>
  <c r="W74" i="3" s="1"/>
  <c r="C74" i="3"/>
  <c r="Q74" i="3" s="1"/>
  <c r="B74" i="3"/>
  <c r="A74" i="3"/>
  <c r="Q73" i="3"/>
  <c r="N73" i="3"/>
  <c r="M73" i="3"/>
  <c r="L73" i="3"/>
  <c r="K73" i="3"/>
  <c r="J73" i="3"/>
  <c r="I73" i="3"/>
  <c r="O73" i="3" s="1"/>
  <c r="H73" i="3"/>
  <c r="V73" i="3" s="1"/>
  <c r="AA73" i="3" s="1"/>
  <c r="G73" i="3"/>
  <c r="U73" i="3" s="1"/>
  <c r="Z73" i="3" s="1"/>
  <c r="F73" i="3"/>
  <c r="T73" i="3" s="1"/>
  <c r="Y73" i="3" s="1"/>
  <c r="E73" i="3"/>
  <c r="S73" i="3" s="1"/>
  <c r="X73" i="3" s="1"/>
  <c r="D73" i="3"/>
  <c r="R73" i="3" s="1"/>
  <c r="W73" i="3" s="1"/>
  <c r="C73" i="3"/>
  <c r="B73" i="3"/>
  <c r="A73" i="3"/>
  <c r="V72" i="3"/>
  <c r="AA72" i="3" s="1"/>
  <c r="Q72" i="3"/>
  <c r="N72" i="3"/>
  <c r="M72" i="3"/>
  <c r="L72" i="3"/>
  <c r="K72" i="3"/>
  <c r="J72" i="3"/>
  <c r="I72" i="3"/>
  <c r="O72" i="3" s="1"/>
  <c r="H72" i="3"/>
  <c r="G72" i="3"/>
  <c r="U72" i="3" s="1"/>
  <c r="Z72" i="3" s="1"/>
  <c r="F72" i="3"/>
  <c r="T72" i="3" s="1"/>
  <c r="Y72" i="3" s="1"/>
  <c r="E72" i="3"/>
  <c r="S72" i="3" s="1"/>
  <c r="X72" i="3" s="1"/>
  <c r="D72" i="3"/>
  <c r="R72" i="3" s="1"/>
  <c r="W72" i="3" s="1"/>
  <c r="C72" i="3"/>
  <c r="B72" i="3"/>
  <c r="A72" i="3"/>
  <c r="U71" i="3"/>
  <c r="Z71" i="3" s="1"/>
  <c r="T71" i="3"/>
  <c r="Y71" i="3" s="1"/>
  <c r="S71" i="3"/>
  <c r="X71" i="3" s="1"/>
  <c r="N71" i="3"/>
  <c r="M71" i="3"/>
  <c r="L71" i="3"/>
  <c r="K71" i="3"/>
  <c r="J71" i="3"/>
  <c r="I71" i="3"/>
  <c r="O71" i="3" s="1"/>
  <c r="H71" i="3"/>
  <c r="V71" i="3" s="1"/>
  <c r="AA71" i="3" s="1"/>
  <c r="G71" i="3"/>
  <c r="F71" i="3"/>
  <c r="E71" i="3"/>
  <c r="D71" i="3"/>
  <c r="R71" i="3" s="1"/>
  <c r="W71" i="3" s="1"/>
  <c r="C71" i="3"/>
  <c r="Q71" i="3" s="1"/>
  <c r="B71" i="3"/>
  <c r="A71" i="3"/>
  <c r="R70" i="3"/>
  <c r="W70" i="3" s="1"/>
  <c r="N70" i="3"/>
  <c r="M70" i="3"/>
  <c r="L70" i="3"/>
  <c r="K70" i="3"/>
  <c r="J70" i="3"/>
  <c r="I70" i="3"/>
  <c r="O70" i="3" s="1"/>
  <c r="H70" i="3"/>
  <c r="V70" i="3" s="1"/>
  <c r="AA70" i="3" s="1"/>
  <c r="G70" i="3"/>
  <c r="U70" i="3" s="1"/>
  <c r="Z70" i="3" s="1"/>
  <c r="F70" i="3"/>
  <c r="T70" i="3" s="1"/>
  <c r="Y70" i="3" s="1"/>
  <c r="E70" i="3"/>
  <c r="S70" i="3" s="1"/>
  <c r="X70" i="3" s="1"/>
  <c r="D70" i="3"/>
  <c r="C70" i="3"/>
  <c r="Q70" i="3" s="1"/>
  <c r="B70" i="3"/>
  <c r="A70" i="3"/>
  <c r="R69" i="3"/>
  <c r="W69" i="3" s="1"/>
  <c r="N69" i="3"/>
  <c r="M69" i="3"/>
  <c r="L69" i="3"/>
  <c r="K69" i="3"/>
  <c r="J69" i="3"/>
  <c r="I69" i="3"/>
  <c r="O69" i="3" s="1"/>
  <c r="H69" i="3"/>
  <c r="V69" i="3" s="1"/>
  <c r="AA69" i="3" s="1"/>
  <c r="G69" i="3"/>
  <c r="U69" i="3" s="1"/>
  <c r="Z69" i="3" s="1"/>
  <c r="F69" i="3"/>
  <c r="T69" i="3" s="1"/>
  <c r="Y69" i="3" s="1"/>
  <c r="E69" i="3"/>
  <c r="S69" i="3" s="1"/>
  <c r="X69" i="3" s="1"/>
  <c r="D69" i="3"/>
  <c r="C69" i="3"/>
  <c r="Q69" i="3" s="1"/>
  <c r="B69" i="3"/>
  <c r="A69" i="3"/>
  <c r="N68" i="3"/>
  <c r="M68" i="3"/>
  <c r="L68" i="3"/>
  <c r="K68" i="3"/>
  <c r="J68" i="3"/>
  <c r="I68" i="3"/>
  <c r="O68" i="3" s="1"/>
  <c r="H68" i="3"/>
  <c r="V68" i="3" s="1"/>
  <c r="AA68" i="3" s="1"/>
  <c r="G68" i="3"/>
  <c r="U68" i="3" s="1"/>
  <c r="Z68" i="3" s="1"/>
  <c r="F68" i="3"/>
  <c r="T68" i="3" s="1"/>
  <c r="Y68" i="3" s="1"/>
  <c r="E68" i="3"/>
  <c r="S68" i="3" s="1"/>
  <c r="X68" i="3" s="1"/>
  <c r="D68" i="3"/>
  <c r="R68" i="3" s="1"/>
  <c r="W68" i="3" s="1"/>
  <c r="C68" i="3"/>
  <c r="Q68" i="3" s="1"/>
  <c r="B68" i="3"/>
  <c r="A68" i="3"/>
  <c r="Q67" i="3"/>
  <c r="N67" i="3"/>
  <c r="M67" i="3"/>
  <c r="L67" i="3"/>
  <c r="K67" i="3"/>
  <c r="J67" i="3"/>
  <c r="I67" i="3"/>
  <c r="O67" i="3" s="1"/>
  <c r="H67" i="3"/>
  <c r="V67" i="3" s="1"/>
  <c r="AA67" i="3" s="1"/>
  <c r="G67" i="3"/>
  <c r="U67" i="3" s="1"/>
  <c r="Z67" i="3" s="1"/>
  <c r="F67" i="3"/>
  <c r="T67" i="3" s="1"/>
  <c r="Y67" i="3" s="1"/>
  <c r="E67" i="3"/>
  <c r="S67" i="3" s="1"/>
  <c r="X67" i="3" s="1"/>
  <c r="D67" i="3"/>
  <c r="R67" i="3" s="1"/>
  <c r="W67" i="3" s="1"/>
  <c r="C67" i="3"/>
  <c r="B67" i="3"/>
  <c r="A67" i="3"/>
  <c r="N66" i="3"/>
  <c r="M66" i="3"/>
  <c r="L66" i="3"/>
  <c r="K66" i="3"/>
  <c r="J66" i="3"/>
  <c r="I66" i="3"/>
  <c r="O66" i="3" s="1"/>
  <c r="H66" i="3"/>
  <c r="V66" i="3" s="1"/>
  <c r="AA66" i="3" s="1"/>
  <c r="G66" i="3"/>
  <c r="U66" i="3" s="1"/>
  <c r="Z66" i="3" s="1"/>
  <c r="F66" i="3"/>
  <c r="T66" i="3" s="1"/>
  <c r="Y66" i="3" s="1"/>
  <c r="E66" i="3"/>
  <c r="S66" i="3" s="1"/>
  <c r="X66" i="3" s="1"/>
  <c r="D66" i="3"/>
  <c r="R66" i="3" s="1"/>
  <c r="W66" i="3" s="1"/>
  <c r="C66" i="3"/>
  <c r="Q66" i="3" s="1"/>
  <c r="B66" i="3"/>
  <c r="A66" i="3"/>
  <c r="T65" i="3"/>
  <c r="Y65" i="3" s="1"/>
  <c r="N65" i="3"/>
  <c r="M65" i="3"/>
  <c r="L65" i="3"/>
  <c r="K65" i="3"/>
  <c r="J65" i="3"/>
  <c r="I65" i="3"/>
  <c r="O65" i="3" s="1"/>
  <c r="H65" i="3"/>
  <c r="V65" i="3" s="1"/>
  <c r="AA65" i="3" s="1"/>
  <c r="G65" i="3"/>
  <c r="U65" i="3" s="1"/>
  <c r="Z65" i="3" s="1"/>
  <c r="F65" i="3"/>
  <c r="E65" i="3"/>
  <c r="S65" i="3" s="1"/>
  <c r="X65" i="3" s="1"/>
  <c r="D65" i="3"/>
  <c r="R65" i="3" s="1"/>
  <c r="W65" i="3" s="1"/>
  <c r="C65" i="3"/>
  <c r="Q65" i="3" s="1"/>
  <c r="B65" i="3"/>
  <c r="A65" i="3"/>
  <c r="Q64" i="3"/>
  <c r="N64" i="3"/>
  <c r="M64" i="3"/>
  <c r="L64" i="3"/>
  <c r="K64" i="3"/>
  <c r="J64" i="3"/>
  <c r="I64" i="3"/>
  <c r="O64" i="3" s="1"/>
  <c r="H64" i="3"/>
  <c r="V64" i="3" s="1"/>
  <c r="AA64" i="3" s="1"/>
  <c r="G64" i="3"/>
  <c r="U64" i="3" s="1"/>
  <c r="Z64" i="3" s="1"/>
  <c r="F64" i="3"/>
  <c r="T64" i="3" s="1"/>
  <c r="Y64" i="3" s="1"/>
  <c r="E64" i="3"/>
  <c r="S64" i="3" s="1"/>
  <c r="X64" i="3" s="1"/>
  <c r="D64" i="3"/>
  <c r="R64" i="3" s="1"/>
  <c r="W64" i="3" s="1"/>
  <c r="C64" i="3"/>
  <c r="B64" i="3"/>
  <c r="A64" i="3"/>
  <c r="N63" i="3"/>
  <c r="M63" i="3"/>
  <c r="L63" i="3"/>
  <c r="K63" i="3"/>
  <c r="J63" i="3"/>
  <c r="I63" i="3"/>
  <c r="O63" i="3" s="1"/>
  <c r="H63" i="3"/>
  <c r="V63" i="3" s="1"/>
  <c r="AA63" i="3" s="1"/>
  <c r="G63" i="3"/>
  <c r="U63" i="3" s="1"/>
  <c r="Z63" i="3" s="1"/>
  <c r="F63" i="3"/>
  <c r="T63" i="3" s="1"/>
  <c r="Y63" i="3" s="1"/>
  <c r="E63" i="3"/>
  <c r="S63" i="3" s="1"/>
  <c r="X63" i="3" s="1"/>
  <c r="D63" i="3"/>
  <c r="R63" i="3" s="1"/>
  <c r="W63" i="3" s="1"/>
  <c r="C63" i="3"/>
  <c r="Q63" i="3" s="1"/>
  <c r="B63" i="3"/>
  <c r="A63" i="3"/>
  <c r="N62" i="3"/>
  <c r="M62" i="3"/>
  <c r="L62" i="3"/>
  <c r="K62" i="3"/>
  <c r="J62" i="3"/>
  <c r="I62" i="3"/>
  <c r="O62" i="3" s="1"/>
  <c r="H62" i="3"/>
  <c r="V62" i="3" s="1"/>
  <c r="AA62" i="3" s="1"/>
  <c r="G62" i="3"/>
  <c r="U62" i="3" s="1"/>
  <c r="Z62" i="3" s="1"/>
  <c r="F62" i="3"/>
  <c r="T62" i="3" s="1"/>
  <c r="Y62" i="3" s="1"/>
  <c r="E62" i="3"/>
  <c r="S62" i="3" s="1"/>
  <c r="X62" i="3" s="1"/>
  <c r="D62" i="3"/>
  <c r="R62" i="3" s="1"/>
  <c r="W62" i="3" s="1"/>
  <c r="C62" i="3"/>
  <c r="Q62" i="3" s="1"/>
  <c r="B62" i="3"/>
  <c r="A62" i="3"/>
  <c r="Q61" i="3"/>
  <c r="N61" i="3"/>
  <c r="M61" i="3"/>
  <c r="L61" i="3"/>
  <c r="K61" i="3"/>
  <c r="J61" i="3"/>
  <c r="I61" i="3"/>
  <c r="O61" i="3" s="1"/>
  <c r="H61" i="3"/>
  <c r="V61" i="3" s="1"/>
  <c r="AA61" i="3" s="1"/>
  <c r="G61" i="3"/>
  <c r="U61" i="3" s="1"/>
  <c r="Z61" i="3" s="1"/>
  <c r="F61" i="3"/>
  <c r="T61" i="3" s="1"/>
  <c r="Y61" i="3" s="1"/>
  <c r="E61" i="3"/>
  <c r="S61" i="3" s="1"/>
  <c r="X61" i="3" s="1"/>
  <c r="D61" i="3"/>
  <c r="R61" i="3" s="1"/>
  <c r="W61" i="3" s="1"/>
  <c r="C61" i="3"/>
  <c r="B61" i="3"/>
  <c r="A61" i="3"/>
  <c r="U60" i="3"/>
  <c r="Z60" i="3" s="1"/>
  <c r="N60" i="3"/>
  <c r="M60" i="3"/>
  <c r="L60" i="3"/>
  <c r="K60" i="3"/>
  <c r="J60" i="3"/>
  <c r="I60" i="3"/>
  <c r="O60" i="3" s="1"/>
  <c r="H60" i="3"/>
  <c r="V60" i="3" s="1"/>
  <c r="AA60" i="3" s="1"/>
  <c r="G60" i="3"/>
  <c r="F60" i="3"/>
  <c r="T60" i="3" s="1"/>
  <c r="Y60" i="3" s="1"/>
  <c r="E60" i="3"/>
  <c r="S60" i="3" s="1"/>
  <c r="X60" i="3" s="1"/>
  <c r="D60" i="3"/>
  <c r="R60" i="3" s="1"/>
  <c r="W60" i="3" s="1"/>
  <c r="C60" i="3"/>
  <c r="Q60" i="3" s="1"/>
  <c r="B60" i="3"/>
  <c r="A60" i="3"/>
  <c r="T59" i="3"/>
  <c r="Y59" i="3" s="1"/>
  <c r="N59" i="3"/>
  <c r="M59" i="3"/>
  <c r="L59" i="3"/>
  <c r="K59" i="3"/>
  <c r="J59" i="3"/>
  <c r="I59" i="3"/>
  <c r="O59" i="3" s="1"/>
  <c r="H59" i="3"/>
  <c r="V59" i="3" s="1"/>
  <c r="AA59" i="3" s="1"/>
  <c r="G59" i="3"/>
  <c r="U59" i="3" s="1"/>
  <c r="Z59" i="3" s="1"/>
  <c r="F59" i="3"/>
  <c r="E59" i="3"/>
  <c r="S59" i="3" s="1"/>
  <c r="X59" i="3" s="1"/>
  <c r="D59" i="3"/>
  <c r="R59" i="3" s="1"/>
  <c r="W59" i="3" s="1"/>
  <c r="C59" i="3"/>
  <c r="Q59" i="3" s="1"/>
  <c r="B59" i="3"/>
  <c r="A59" i="3"/>
  <c r="Z58" i="3"/>
  <c r="Q58" i="3"/>
  <c r="N58" i="3"/>
  <c r="M58" i="3"/>
  <c r="L58" i="3"/>
  <c r="K58" i="3"/>
  <c r="J58" i="3"/>
  <c r="I58" i="3"/>
  <c r="O58" i="3" s="1"/>
  <c r="H58" i="3"/>
  <c r="V58" i="3" s="1"/>
  <c r="AA58" i="3" s="1"/>
  <c r="G58" i="3"/>
  <c r="U58" i="3" s="1"/>
  <c r="F58" i="3"/>
  <c r="T58" i="3" s="1"/>
  <c r="Y58" i="3" s="1"/>
  <c r="E58" i="3"/>
  <c r="S58" i="3" s="1"/>
  <c r="X58" i="3" s="1"/>
  <c r="D58" i="3"/>
  <c r="R58" i="3" s="1"/>
  <c r="W58" i="3" s="1"/>
  <c r="C58" i="3"/>
  <c r="B58" i="3"/>
  <c r="A58" i="3"/>
  <c r="N57" i="3"/>
  <c r="M57" i="3"/>
  <c r="L57" i="3"/>
  <c r="K57" i="3"/>
  <c r="J57" i="3"/>
  <c r="I57" i="3"/>
  <c r="O57" i="3" s="1"/>
  <c r="H57" i="3"/>
  <c r="V57" i="3" s="1"/>
  <c r="AA57" i="3" s="1"/>
  <c r="G57" i="3"/>
  <c r="U57" i="3" s="1"/>
  <c r="Z57" i="3" s="1"/>
  <c r="F57" i="3"/>
  <c r="T57" i="3" s="1"/>
  <c r="Y57" i="3" s="1"/>
  <c r="E57" i="3"/>
  <c r="S57" i="3" s="1"/>
  <c r="X57" i="3" s="1"/>
  <c r="D57" i="3"/>
  <c r="R57" i="3" s="1"/>
  <c r="W57" i="3" s="1"/>
  <c r="C57" i="3"/>
  <c r="Q57" i="3" s="1"/>
  <c r="B57" i="3"/>
  <c r="A57" i="3"/>
  <c r="T56" i="3"/>
  <c r="Y56" i="3" s="1"/>
  <c r="N56" i="3"/>
  <c r="M56" i="3"/>
  <c r="L56" i="3"/>
  <c r="K56" i="3"/>
  <c r="J56" i="3"/>
  <c r="I56" i="3"/>
  <c r="O56" i="3" s="1"/>
  <c r="H56" i="3"/>
  <c r="V56" i="3" s="1"/>
  <c r="AA56" i="3" s="1"/>
  <c r="G56" i="3"/>
  <c r="U56" i="3" s="1"/>
  <c r="Z56" i="3" s="1"/>
  <c r="F56" i="3"/>
  <c r="E56" i="3"/>
  <c r="S56" i="3" s="1"/>
  <c r="X56" i="3" s="1"/>
  <c r="D56" i="3"/>
  <c r="R56" i="3" s="1"/>
  <c r="W56" i="3" s="1"/>
  <c r="C56" i="3"/>
  <c r="Q56" i="3" s="1"/>
  <c r="B56" i="3"/>
  <c r="A56" i="3"/>
  <c r="N55" i="3"/>
  <c r="M55" i="3"/>
  <c r="L55" i="3"/>
  <c r="K55" i="3"/>
  <c r="J55" i="3"/>
  <c r="I55" i="3"/>
  <c r="O55" i="3" s="1"/>
  <c r="H55" i="3"/>
  <c r="V55" i="3" s="1"/>
  <c r="AA55" i="3" s="1"/>
  <c r="G55" i="3"/>
  <c r="U55" i="3" s="1"/>
  <c r="Z55" i="3" s="1"/>
  <c r="F55" i="3"/>
  <c r="T55" i="3" s="1"/>
  <c r="Y55" i="3" s="1"/>
  <c r="E55" i="3"/>
  <c r="S55" i="3" s="1"/>
  <c r="X55" i="3" s="1"/>
  <c r="D55" i="3"/>
  <c r="R55" i="3" s="1"/>
  <c r="W55" i="3" s="1"/>
  <c r="C55" i="3"/>
  <c r="Q55" i="3" s="1"/>
  <c r="B55" i="3"/>
  <c r="A55" i="3"/>
  <c r="V54" i="3"/>
  <c r="AA54" i="3" s="1"/>
  <c r="R54" i="3"/>
  <c r="W54" i="3" s="1"/>
  <c r="N54" i="3"/>
  <c r="M54" i="3"/>
  <c r="L54" i="3"/>
  <c r="K54" i="3"/>
  <c r="J54" i="3"/>
  <c r="I54" i="3"/>
  <c r="O54" i="3" s="1"/>
  <c r="H54" i="3"/>
  <c r="G54" i="3"/>
  <c r="U54" i="3" s="1"/>
  <c r="Z54" i="3" s="1"/>
  <c r="F54" i="3"/>
  <c r="T54" i="3" s="1"/>
  <c r="Y54" i="3" s="1"/>
  <c r="E54" i="3"/>
  <c r="S54" i="3" s="1"/>
  <c r="X54" i="3" s="1"/>
  <c r="D54" i="3"/>
  <c r="C54" i="3"/>
  <c r="Q54" i="3" s="1"/>
  <c r="B54" i="3"/>
  <c r="A54" i="3"/>
  <c r="S53" i="3"/>
  <c r="X53" i="3" s="1"/>
  <c r="N53" i="3"/>
  <c r="M53" i="3"/>
  <c r="L53" i="3"/>
  <c r="K53" i="3"/>
  <c r="J53" i="3"/>
  <c r="I53" i="3"/>
  <c r="O53" i="3" s="1"/>
  <c r="H53" i="3"/>
  <c r="V53" i="3" s="1"/>
  <c r="AA53" i="3" s="1"/>
  <c r="G53" i="3"/>
  <c r="U53" i="3" s="1"/>
  <c r="Z53" i="3" s="1"/>
  <c r="F53" i="3"/>
  <c r="T53" i="3" s="1"/>
  <c r="Y53" i="3" s="1"/>
  <c r="E53" i="3"/>
  <c r="D53" i="3"/>
  <c r="R53" i="3" s="1"/>
  <c r="W53" i="3" s="1"/>
  <c r="C53" i="3"/>
  <c r="Q53" i="3" s="1"/>
  <c r="B53" i="3"/>
  <c r="A53" i="3"/>
  <c r="Q52" i="3"/>
  <c r="N52" i="3"/>
  <c r="M52" i="3"/>
  <c r="L52" i="3"/>
  <c r="K52" i="3"/>
  <c r="J52" i="3"/>
  <c r="I52" i="3"/>
  <c r="O52" i="3" s="1"/>
  <c r="H52" i="3"/>
  <c r="V52" i="3" s="1"/>
  <c r="AA52" i="3" s="1"/>
  <c r="G52" i="3"/>
  <c r="U52" i="3" s="1"/>
  <c r="Z52" i="3" s="1"/>
  <c r="F52" i="3"/>
  <c r="T52" i="3" s="1"/>
  <c r="Y52" i="3" s="1"/>
  <c r="E52" i="3"/>
  <c r="S52" i="3" s="1"/>
  <c r="X52" i="3" s="1"/>
  <c r="D52" i="3"/>
  <c r="R52" i="3" s="1"/>
  <c r="W52" i="3" s="1"/>
  <c r="C52" i="3"/>
  <c r="B52" i="3"/>
  <c r="A52" i="3"/>
  <c r="U51" i="3"/>
  <c r="Z51" i="3" s="1"/>
  <c r="N51" i="3"/>
  <c r="M51" i="3"/>
  <c r="L51" i="3"/>
  <c r="K51" i="3"/>
  <c r="J51" i="3"/>
  <c r="I51" i="3"/>
  <c r="O51" i="3" s="1"/>
  <c r="H51" i="3"/>
  <c r="V51" i="3" s="1"/>
  <c r="AA51" i="3" s="1"/>
  <c r="G51" i="3"/>
  <c r="F51" i="3"/>
  <c r="T51" i="3" s="1"/>
  <c r="Y51" i="3" s="1"/>
  <c r="E51" i="3"/>
  <c r="S51" i="3" s="1"/>
  <c r="X51" i="3" s="1"/>
  <c r="D51" i="3"/>
  <c r="R51" i="3" s="1"/>
  <c r="W51" i="3" s="1"/>
  <c r="C51" i="3"/>
  <c r="Q51" i="3" s="1"/>
  <c r="B51" i="3"/>
  <c r="A51" i="3"/>
  <c r="T50" i="3"/>
  <c r="Y50" i="3" s="1"/>
  <c r="N50" i="3"/>
  <c r="M50" i="3"/>
  <c r="L50" i="3"/>
  <c r="K50" i="3"/>
  <c r="J50" i="3"/>
  <c r="I50" i="3"/>
  <c r="O50" i="3" s="1"/>
  <c r="H50" i="3"/>
  <c r="V50" i="3" s="1"/>
  <c r="AA50" i="3" s="1"/>
  <c r="G50" i="3"/>
  <c r="U50" i="3" s="1"/>
  <c r="Z50" i="3" s="1"/>
  <c r="F50" i="3"/>
  <c r="E50" i="3"/>
  <c r="S50" i="3" s="1"/>
  <c r="X50" i="3" s="1"/>
  <c r="D50" i="3"/>
  <c r="R50" i="3" s="1"/>
  <c r="W50" i="3" s="1"/>
  <c r="C50" i="3"/>
  <c r="Q50" i="3" s="1"/>
  <c r="B50" i="3"/>
  <c r="A50" i="3"/>
  <c r="Q49" i="3"/>
  <c r="N49" i="3"/>
  <c r="M49" i="3"/>
  <c r="L49" i="3"/>
  <c r="K49" i="3"/>
  <c r="J49" i="3"/>
  <c r="I49" i="3"/>
  <c r="O49" i="3" s="1"/>
  <c r="H49" i="3"/>
  <c r="V49" i="3" s="1"/>
  <c r="AA49" i="3" s="1"/>
  <c r="G49" i="3"/>
  <c r="U49" i="3" s="1"/>
  <c r="Z49" i="3" s="1"/>
  <c r="F49" i="3"/>
  <c r="T49" i="3" s="1"/>
  <c r="Y49" i="3" s="1"/>
  <c r="E49" i="3"/>
  <c r="S49" i="3" s="1"/>
  <c r="X49" i="3" s="1"/>
  <c r="D49" i="3"/>
  <c r="R49" i="3" s="1"/>
  <c r="W49" i="3" s="1"/>
  <c r="C49" i="3"/>
  <c r="B49" i="3"/>
  <c r="A49" i="3"/>
  <c r="N48" i="3"/>
  <c r="M48" i="3"/>
  <c r="L48" i="3"/>
  <c r="K48" i="3"/>
  <c r="J48" i="3"/>
  <c r="I48" i="3"/>
  <c r="O48" i="3" s="1"/>
  <c r="H48" i="3"/>
  <c r="V48" i="3" s="1"/>
  <c r="AA48" i="3" s="1"/>
  <c r="G48" i="3"/>
  <c r="U48" i="3" s="1"/>
  <c r="Z48" i="3" s="1"/>
  <c r="F48" i="3"/>
  <c r="T48" i="3" s="1"/>
  <c r="Y48" i="3" s="1"/>
  <c r="E48" i="3"/>
  <c r="S48" i="3" s="1"/>
  <c r="X48" i="3" s="1"/>
  <c r="D48" i="3"/>
  <c r="R48" i="3" s="1"/>
  <c r="W48" i="3" s="1"/>
  <c r="C48" i="3"/>
  <c r="Q48" i="3" s="1"/>
  <c r="B48" i="3"/>
  <c r="A48" i="3"/>
  <c r="N47" i="3"/>
  <c r="M47" i="3"/>
  <c r="L47" i="3"/>
  <c r="K47" i="3"/>
  <c r="J47" i="3"/>
  <c r="I47" i="3"/>
  <c r="O47" i="3" s="1"/>
  <c r="H47" i="3"/>
  <c r="V47" i="3" s="1"/>
  <c r="AA47" i="3" s="1"/>
  <c r="G47" i="3"/>
  <c r="U47" i="3" s="1"/>
  <c r="Z47" i="3" s="1"/>
  <c r="F47" i="3"/>
  <c r="T47" i="3" s="1"/>
  <c r="Y47" i="3" s="1"/>
  <c r="E47" i="3"/>
  <c r="S47" i="3" s="1"/>
  <c r="X47" i="3" s="1"/>
  <c r="D47" i="3"/>
  <c r="R47" i="3" s="1"/>
  <c r="W47" i="3" s="1"/>
  <c r="C47" i="3"/>
  <c r="Q47" i="3" s="1"/>
  <c r="B47" i="3"/>
  <c r="A47" i="3"/>
  <c r="Q46" i="3"/>
  <c r="N46" i="3"/>
  <c r="M46" i="3"/>
  <c r="L46" i="3"/>
  <c r="K46" i="3"/>
  <c r="J46" i="3"/>
  <c r="I46" i="3"/>
  <c r="O46" i="3" s="1"/>
  <c r="H46" i="3"/>
  <c r="V46" i="3" s="1"/>
  <c r="AA46" i="3" s="1"/>
  <c r="G46" i="3"/>
  <c r="U46" i="3" s="1"/>
  <c r="Z46" i="3" s="1"/>
  <c r="F46" i="3"/>
  <c r="T46" i="3" s="1"/>
  <c r="Y46" i="3" s="1"/>
  <c r="E46" i="3"/>
  <c r="S46" i="3" s="1"/>
  <c r="X46" i="3" s="1"/>
  <c r="D46" i="3"/>
  <c r="R46" i="3" s="1"/>
  <c r="W46" i="3" s="1"/>
  <c r="C46" i="3"/>
  <c r="B46" i="3"/>
  <c r="A46" i="3"/>
  <c r="R45" i="3"/>
  <c r="W45" i="3" s="1"/>
  <c r="N45" i="3"/>
  <c r="M45" i="3"/>
  <c r="L45" i="3"/>
  <c r="K45" i="3"/>
  <c r="J45" i="3"/>
  <c r="I45" i="3"/>
  <c r="O45" i="3" s="1"/>
  <c r="H45" i="3"/>
  <c r="V45" i="3" s="1"/>
  <c r="AA45" i="3" s="1"/>
  <c r="G45" i="3"/>
  <c r="U45" i="3" s="1"/>
  <c r="Z45" i="3" s="1"/>
  <c r="F45" i="3"/>
  <c r="T45" i="3" s="1"/>
  <c r="Y45" i="3" s="1"/>
  <c r="E45" i="3"/>
  <c r="S45" i="3" s="1"/>
  <c r="X45" i="3" s="1"/>
  <c r="D45" i="3"/>
  <c r="C45" i="3"/>
  <c r="Q45" i="3" s="1"/>
  <c r="B45" i="3"/>
  <c r="A45" i="3"/>
  <c r="T44" i="3"/>
  <c r="Y44" i="3" s="1"/>
  <c r="S44" i="3"/>
  <c r="X44" i="3" s="1"/>
  <c r="N44" i="3"/>
  <c r="M44" i="3"/>
  <c r="L44" i="3"/>
  <c r="K44" i="3"/>
  <c r="J44" i="3"/>
  <c r="I44" i="3"/>
  <c r="O44" i="3" s="1"/>
  <c r="H44" i="3"/>
  <c r="V44" i="3" s="1"/>
  <c r="AA44" i="3" s="1"/>
  <c r="G44" i="3"/>
  <c r="U44" i="3" s="1"/>
  <c r="Z44" i="3" s="1"/>
  <c r="F44" i="3"/>
  <c r="E44" i="3"/>
  <c r="D44" i="3"/>
  <c r="R44" i="3" s="1"/>
  <c r="W44" i="3" s="1"/>
  <c r="C44" i="3"/>
  <c r="Q44" i="3" s="1"/>
  <c r="B44" i="3"/>
  <c r="A44" i="3"/>
  <c r="R43" i="3"/>
  <c r="W43" i="3" s="1"/>
  <c r="Q43" i="3"/>
  <c r="N43" i="3"/>
  <c r="M43" i="3"/>
  <c r="L43" i="3"/>
  <c r="K43" i="3"/>
  <c r="J43" i="3"/>
  <c r="I43" i="3"/>
  <c r="O43" i="3" s="1"/>
  <c r="H43" i="3"/>
  <c r="V43" i="3" s="1"/>
  <c r="AA43" i="3" s="1"/>
  <c r="G43" i="3"/>
  <c r="U43" i="3" s="1"/>
  <c r="Z43" i="3" s="1"/>
  <c r="F43" i="3"/>
  <c r="T43" i="3" s="1"/>
  <c r="Y43" i="3" s="1"/>
  <c r="E43" i="3"/>
  <c r="S43" i="3" s="1"/>
  <c r="X43" i="3" s="1"/>
  <c r="D43" i="3"/>
  <c r="C43" i="3"/>
  <c r="B43" i="3"/>
  <c r="A43" i="3"/>
  <c r="V42" i="3"/>
  <c r="AA42" i="3" s="1"/>
  <c r="Q42" i="3"/>
  <c r="N42" i="3"/>
  <c r="M42" i="3"/>
  <c r="L42" i="3"/>
  <c r="K42" i="3"/>
  <c r="J42" i="3"/>
  <c r="I42" i="3"/>
  <c r="O42" i="3" s="1"/>
  <c r="H42" i="3"/>
  <c r="G42" i="3"/>
  <c r="U42" i="3" s="1"/>
  <c r="Z42" i="3" s="1"/>
  <c r="F42" i="3"/>
  <c r="T42" i="3" s="1"/>
  <c r="Y42" i="3" s="1"/>
  <c r="E42" i="3"/>
  <c r="S42" i="3" s="1"/>
  <c r="X42" i="3" s="1"/>
  <c r="D42" i="3"/>
  <c r="R42" i="3" s="1"/>
  <c r="W42" i="3" s="1"/>
  <c r="C42" i="3"/>
  <c r="B42" i="3"/>
  <c r="A42" i="3"/>
  <c r="S41" i="3"/>
  <c r="X41" i="3" s="1"/>
  <c r="N41" i="3"/>
  <c r="M41" i="3"/>
  <c r="L41" i="3"/>
  <c r="K41" i="3"/>
  <c r="J41" i="3"/>
  <c r="I41" i="3"/>
  <c r="O41" i="3" s="1"/>
  <c r="H41" i="3"/>
  <c r="V41" i="3" s="1"/>
  <c r="AA41" i="3" s="1"/>
  <c r="G41" i="3"/>
  <c r="U41" i="3" s="1"/>
  <c r="Z41" i="3" s="1"/>
  <c r="F41" i="3"/>
  <c r="T41" i="3" s="1"/>
  <c r="Y41" i="3" s="1"/>
  <c r="E41" i="3"/>
  <c r="D41" i="3"/>
  <c r="R41" i="3" s="1"/>
  <c r="W41" i="3" s="1"/>
  <c r="C41" i="3"/>
  <c r="Q41" i="3" s="1"/>
  <c r="B41" i="3"/>
  <c r="A41" i="3"/>
  <c r="R40" i="3"/>
  <c r="W40" i="3" s="1"/>
  <c r="N40" i="3"/>
  <c r="M40" i="3"/>
  <c r="L40" i="3"/>
  <c r="K40" i="3"/>
  <c r="J40" i="3"/>
  <c r="I40" i="3"/>
  <c r="O40" i="3" s="1"/>
  <c r="H40" i="3"/>
  <c r="V40" i="3" s="1"/>
  <c r="AA40" i="3" s="1"/>
  <c r="G40" i="3"/>
  <c r="U40" i="3" s="1"/>
  <c r="Z40" i="3" s="1"/>
  <c r="F40" i="3"/>
  <c r="T40" i="3" s="1"/>
  <c r="Y40" i="3" s="1"/>
  <c r="E40" i="3"/>
  <c r="S40" i="3" s="1"/>
  <c r="X40" i="3" s="1"/>
  <c r="D40" i="3"/>
  <c r="C40" i="3"/>
  <c r="Q40" i="3" s="1"/>
  <c r="B40" i="3"/>
  <c r="A40" i="3"/>
  <c r="X39" i="3"/>
  <c r="N39" i="3"/>
  <c r="M39" i="3"/>
  <c r="L39" i="3"/>
  <c r="K39" i="3"/>
  <c r="J39" i="3"/>
  <c r="I39" i="3"/>
  <c r="O39" i="3" s="1"/>
  <c r="H39" i="3"/>
  <c r="V39" i="3" s="1"/>
  <c r="AA39" i="3" s="1"/>
  <c r="G39" i="3"/>
  <c r="U39" i="3" s="1"/>
  <c r="Z39" i="3" s="1"/>
  <c r="F39" i="3"/>
  <c r="T39" i="3" s="1"/>
  <c r="Y39" i="3" s="1"/>
  <c r="E39" i="3"/>
  <c r="S39" i="3" s="1"/>
  <c r="D39" i="3"/>
  <c r="R39" i="3" s="1"/>
  <c r="W39" i="3" s="1"/>
  <c r="C39" i="3"/>
  <c r="Q39" i="3" s="1"/>
  <c r="B39" i="3"/>
  <c r="A39" i="3"/>
  <c r="N38" i="3"/>
  <c r="M38" i="3"/>
  <c r="L38" i="3"/>
  <c r="K38" i="3"/>
  <c r="J38" i="3"/>
  <c r="I38" i="3"/>
  <c r="O38" i="3" s="1"/>
  <c r="H38" i="3"/>
  <c r="V38" i="3" s="1"/>
  <c r="AA38" i="3" s="1"/>
  <c r="G38" i="3"/>
  <c r="U38" i="3" s="1"/>
  <c r="Z38" i="3" s="1"/>
  <c r="F38" i="3"/>
  <c r="T38" i="3" s="1"/>
  <c r="Y38" i="3" s="1"/>
  <c r="E38" i="3"/>
  <c r="S38" i="3" s="1"/>
  <c r="X38" i="3" s="1"/>
  <c r="D38" i="3"/>
  <c r="R38" i="3" s="1"/>
  <c r="W38" i="3" s="1"/>
  <c r="C38" i="3"/>
  <c r="Q38" i="3" s="1"/>
  <c r="B38" i="3"/>
  <c r="A38" i="3"/>
  <c r="R37" i="3"/>
  <c r="W37" i="3" s="1"/>
  <c r="N37" i="3"/>
  <c r="M37" i="3"/>
  <c r="L37" i="3"/>
  <c r="K37" i="3"/>
  <c r="J37" i="3"/>
  <c r="I37" i="3"/>
  <c r="O37" i="3" s="1"/>
  <c r="H37" i="3"/>
  <c r="V37" i="3" s="1"/>
  <c r="AA37" i="3" s="1"/>
  <c r="G37" i="3"/>
  <c r="U37" i="3" s="1"/>
  <c r="Z37" i="3" s="1"/>
  <c r="F37" i="3"/>
  <c r="T37" i="3" s="1"/>
  <c r="Y37" i="3" s="1"/>
  <c r="E37" i="3"/>
  <c r="S37" i="3" s="1"/>
  <c r="X37" i="3" s="1"/>
  <c r="D37" i="3"/>
  <c r="C37" i="3"/>
  <c r="Q37" i="3" s="1"/>
  <c r="B37" i="3"/>
  <c r="A37" i="3"/>
  <c r="X36" i="3"/>
  <c r="R36" i="3"/>
  <c r="W36" i="3" s="1"/>
  <c r="N36" i="3"/>
  <c r="M36" i="3"/>
  <c r="L36" i="3"/>
  <c r="K36" i="3"/>
  <c r="J36" i="3"/>
  <c r="I36" i="3"/>
  <c r="O36" i="3" s="1"/>
  <c r="H36" i="3"/>
  <c r="V36" i="3" s="1"/>
  <c r="AA36" i="3" s="1"/>
  <c r="G36" i="3"/>
  <c r="U36" i="3" s="1"/>
  <c r="Z36" i="3" s="1"/>
  <c r="F36" i="3"/>
  <c r="T36" i="3" s="1"/>
  <c r="Y36" i="3" s="1"/>
  <c r="E36" i="3"/>
  <c r="S36" i="3" s="1"/>
  <c r="D36" i="3"/>
  <c r="C36" i="3"/>
  <c r="Q36" i="3" s="1"/>
  <c r="B36" i="3"/>
  <c r="A36" i="3"/>
  <c r="T35" i="3"/>
  <c r="Y35" i="3" s="1"/>
  <c r="S35" i="3"/>
  <c r="X35" i="3" s="1"/>
  <c r="N35" i="3"/>
  <c r="M35" i="3"/>
  <c r="L35" i="3"/>
  <c r="K35" i="3"/>
  <c r="J35" i="3"/>
  <c r="I35" i="3"/>
  <c r="O35" i="3" s="1"/>
  <c r="H35" i="3"/>
  <c r="V35" i="3" s="1"/>
  <c r="AA35" i="3" s="1"/>
  <c r="G35" i="3"/>
  <c r="U35" i="3" s="1"/>
  <c r="Z35" i="3" s="1"/>
  <c r="F35" i="3"/>
  <c r="E35" i="3"/>
  <c r="D35" i="3"/>
  <c r="R35" i="3" s="1"/>
  <c r="W35" i="3" s="1"/>
  <c r="C35" i="3"/>
  <c r="Q35" i="3" s="1"/>
  <c r="B35" i="3"/>
  <c r="A35" i="3"/>
  <c r="R34" i="3"/>
  <c r="W34" i="3" s="1"/>
  <c r="N34" i="3"/>
  <c r="M34" i="3"/>
  <c r="L34" i="3"/>
  <c r="K34" i="3"/>
  <c r="J34" i="3"/>
  <c r="I34" i="3"/>
  <c r="O34" i="3" s="1"/>
  <c r="H34" i="3"/>
  <c r="V34" i="3" s="1"/>
  <c r="AA34" i="3" s="1"/>
  <c r="G34" i="3"/>
  <c r="U34" i="3" s="1"/>
  <c r="Z34" i="3" s="1"/>
  <c r="F34" i="3"/>
  <c r="T34" i="3" s="1"/>
  <c r="Y34" i="3" s="1"/>
  <c r="E34" i="3"/>
  <c r="S34" i="3" s="1"/>
  <c r="X34" i="3" s="1"/>
  <c r="D34" i="3"/>
  <c r="C34" i="3"/>
  <c r="Q34" i="3" s="1"/>
  <c r="B34" i="3"/>
  <c r="A34" i="3"/>
  <c r="U33" i="3"/>
  <c r="Z33" i="3" s="1"/>
  <c r="N33" i="3"/>
  <c r="M33" i="3"/>
  <c r="L33" i="3"/>
  <c r="K33" i="3"/>
  <c r="J33" i="3"/>
  <c r="I33" i="3"/>
  <c r="O33" i="3" s="1"/>
  <c r="H33" i="3"/>
  <c r="V33" i="3" s="1"/>
  <c r="AA33" i="3" s="1"/>
  <c r="G33" i="3"/>
  <c r="F33" i="3"/>
  <c r="T33" i="3" s="1"/>
  <c r="Y33" i="3" s="1"/>
  <c r="E33" i="3"/>
  <c r="S33" i="3" s="1"/>
  <c r="X33" i="3" s="1"/>
  <c r="D33" i="3"/>
  <c r="R33" i="3" s="1"/>
  <c r="W33" i="3" s="1"/>
  <c r="C33" i="3"/>
  <c r="Q33" i="3" s="1"/>
  <c r="B33" i="3"/>
  <c r="A33" i="3"/>
  <c r="T32" i="3"/>
  <c r="Y32" i="3" s="1"/>
  <c r="N32" i="3"/>
  <c r="M32" i="3"/>
  <c r="L32" i="3"/>
  <c r="K32" i="3"/>
  <c r="J32" i="3"/>
  <c r="I32" i="3"/>
  <c r="O32" i="3" s="1"/>
  <c r="H32" i="3"/>
  <c r="V32" i="3" s="1"/>
  <c r="AA32" i="3" s="1"/>
  <c r="G32" i="3"/>
  <c r="U32" i="3" s="1"/>
  <c r="Z32" i="3" s="1"/>
  <c r="F32" i="3"/>
  <c r="E32" i="3"/>
  <c r="S32" i="3" s="1"/>
  <c r="X32" i="3" s="1"/>
  <c r="D32" i="3"/>
  <c r="R32" i="3" s="1"/>
  <c r="W32" i="3" s="1"/>
  <c r="C32" i="3"/>
  <c r="Q32" i="3" s="1"/>
  <c r="B32" i="3"/>
  <c r="A32" i="3"/>
  <c r="N31" i="3"/>
  <c r="M31" i="3"/>
  <c r="L31" i="3"/>
  <c r="K31" i="3"/>
  <c r="J31" i="3"/>
  <c r="I31" i="3"/>
  <c r="O31" i="3" s="1"/>
  <c r="H31" i="3"/>
  <c r="V31" i="3" s="1"/>
  <c r="AA31" i="3" s="1"/>
  <c r="G31" i="3"/>
  <c r="U31" i="3" s="1"/>
  <c r="Z31" i="3" s="1"/>
  <c r="F31" i="3"/>
  <c r="T31" i="3" s="1"/>
  <c r="Y31" i="3" s="1"/>
  <c r="E31" i="3"/>
  <c r="S31" i="3" s="1"/>
  <c r="X31" i="3" s="1"/>
  <c r="D31" i="3"/>
  <c r="R31" i="3" s="1"/>
  <c r="W31" i="3" s="1"/>
  <c r="C31" i="3"/>
  <c r="Q31" i="3" s="1"/>
  <c r="B31" i="3"/>
  <c r="A31" i="3"/>
  <c r="N30" i="3"/>
  <c r="M30" i="3"/>
  <c r="L30" i="3"/>
  <c r="K30" i="3"/>
  <c r="J30" i="3"/>
  <c r="I30" i="3"/>
  <c r="O30" i="3" s="1"/>
  <c r="H30" i="3"/>
  <c r="V30" i="3" s="1"/>
  <c r="AA30" i="3" s="1"/>
  <c r="G30" i="3"/>
  <c r="U30" i="3" s="1"/>
  <c r="Z30" i="3" s="1"/>
  <c r="F30" i="3"/>
  <c r="T30" i="3" s="1"/>
  <c r="Y30" i="3" s="1"/>
  <c r="E30" i="3"/>
  <c r="S30" i="3" s="1"/>
  <c r="X30" i="3" s="1"/>
  <c r="D30" i="3"/>
  <c r="R30" i="3" s="1"/>
  <c r="W30" i="3" s="1"/>
  <c r="C30" i="3"/>
  <c r="Q30" i="3" s="1"/>
  <c r="B30" i="3"/>
  <c r="A30" i="3"/>
  <c r="T29" i="3"/>
  <c r="Y29" i="3" s="1"/>
  <c r="N29" i="3"/>
  <c r="M29" i="3"/>
  <c r="L29" i="3"/>
  <c r="K29" i="3"/>
  <c r="J29" i="3"/>
  <c r="I29" i="3"/>
  <c r="O29" i="3" s="1"/>
  <c r="H29" i="3"/>
  <c r="V29" i="3" s="1"/>
  <c r="AA29" i="3" s="1"/>
  <c r="G29" i="3"/>
  <c r="U29" i="3" s="1"/>
  <c r="Z29" i="3" s="1"/>
  <c r="F29" i="3"/>
  <c r="E29" i="3"/>
  <c r="S29" i="3" s="1"/>
  <c r="X29" i="3" s="1"/>
  <c r="D29" i="3"/>
  <c r="R29" i="3" s="1"/>
  <c r="W29" i="3" s="1"/>
  <c r="C29" i="3"/>
  <c r="Q29" i="3" s="1"/>
  <c r="B29" i="3"/>
  <c r="A29" i="3"/>
  <c r="W28" i="3"/>
  <c r="Q28" i="3"/>
  <c r="N28" i="3"/>
  <c r="M28" i="3"/>
  <c r="L28" i="3"/>
  <c r="K28" i="3"/>
  <c r="J28" i="3"/>
  <c r="I28" i="3"/>
  <c r="O28" i="3" s="1"/>
  <c r="H28" i="3"/>
  <c r="V28" i="3" s="1"/>
  <c r="AA28" i="3" s="1"/>
  <c r="G28" i="3"/>
  <c r="U28" i="3" s="1"/>
  <c r="Z28" i="3" s="1"/>
  <c r="F28" i="3"/>
  <c r="T28" i="3" s="1"/>
  <c r="Y28" i="3" s="1"/>
  <c r="E28" i="3"/>
  <c r="S28" i="3" s="1"/>
  <c r="X28" i="3" s="1"/>
  <c r="D28" i="3"/>
  <c r="R28" i="3" s="1"/>
  <c r="C28" i="3"/>
  <c r="B28" i="3"/>
  <c r="A28" i="3"/>
  <c r="U27" i="3"/>
  <c r="Z27" i="3" s="1"/>
  <c r="R27" i="3"/>
  <c r="W27" i="3" s="1"/>
  <c r="N27" i="3"/>
  <c r="M27" i="3"/>
  <c r="L27" i="3"/>
  <c r="K27" i="3"/>
  <c r="J27" i="3"/>
  <c r="I27" i="3"/>
  <c r="O27" i="3" s="1"/>
  <c r="H27" i="3"/>
  <c r="V27" i="3" s="1"/>
  <c r="AA27" i="3" s="1"/>
  <c r="G27" i="3"/>
  <c r="F27" i="3"/>
  <c r="T27" i="3" s="1"/>
  <c r="Y27" i="3" s="1"/>
  <c r="E27" i="3"/>
  <c r="S27" i="3" s="1"/>
  <c r="X27" i="3" s="1"/>
  <c r="D27" i="3"/>
  <c r="C27" i="3"/>
  <c r="Q27" i="3" s="1"/>
  <c r="B27" i="3"/>
  <c r="A27" i="3"/>
  <c r="T26" i="3"/>
  <c r="Y26" i="3" s="1"/>
  <c r="N26" i="3"/>
  <c r="M26" i="3"/>
  <c r="L26" i="3"/>
  <c r="K26" i="3"/>
  <c r="J26" i="3"/>
  <c r="I26" i="3"/>
  <c r="O26" i="3" s="1"/>
  <c r="H26" i="3"/>
  <c r="V26" i="3" s="1"/>
  <c r="AA26" i="3" s="1"/>
  <c r="G26" i="3"/>
  <c r="U26" i="3" s="1"/>
  <c r="Z26" i="3" s="1"/>
  <c r="F26" i="3"/>
  <c r="E26" i="3"/>
  <c r="S26" i="3" s="1"/>
  <c r="X26" i="3" s="1"/>
  <c r="D26" i="3"/>
  <c r="R26" i="3" s="1"/>
  <c r="W26" i="3" s="1"/>
  <c r="C26" i="3"/>
  <c r="Q26" i="3" s="1"/>
  <c r="B26" i="3"/>
  <c r="A26" i="3"/>
  <c r="Q25" i="3"/>
  <c r="N25" i="3"/>
  <c r="M25" i="3"/>
  <c r="L25" i="3"/>
  <c r="K25" i="3"/>
  <c r="J25" i="3"/>
  <c r="I25" i="3"/>
  <c r="O25" i="3" s="1"/>
  <c r="H25" i="3"/>
  <c r="V25" i="3" s="1"/>
  <c r="AA25" i="3" s="1"/>
  <c r="G25" i="3"/>
  <c r="U25" i="3" s="1"/>
  <c r="Z25" i="3" s="1"/>
  <c r="F25" i="3"/>
  <c r="T25" i="3" s="1"/>
  <c r="Y25" i="3" s="1"/>
  <c r="E25" i="3"/>
  <c r="S25" i="3" s="1"/>
  <c r="X25" i="3" s="1"/>
  <c r="D25" i="3"/>
  <c r="R25" i="3" s="1"/>
  <c r="W25" i="3" s="1"/>
  <c r="C25" i="3"/>
  <c r="B25" i="3"/>
  <c r="A25" i="3"/>
  <c r="V24" i="3"/>
  <c r="AA24" i="3" s="1"/>
  <c r="U24" i="3"/>
  <c r="Z24" i="3" s="1"/>
  <c r="N24" i="3"/>
  <c r="M24" i="3"/>
  <c r="L24" i="3"/>
  <c r="K24" i="3"/>
  <c r="J24" i="3"/>
  <c r="I24" i="3"/>
  <c r="O24" i="3" s="1"/>
  <c r="H24" i="3"/>
  <c r="G24" i="3"/>
  <c r="F24" i="3"/>
  <c r="T24" i="3" s="1"/>
  <c r="Y24" i="3" s="1"/>
  <c r="E24" i="3"/>
  <c r="S24" i="3" s="1"/>
  <c r="X24" i="3" s="1"/>
  <c r="D24" i="3"/>
  <c r="R24" i="3" s="1"/>
  <c r="W24" i="3" s="1"/>
  <c r="C24" i="3"/>
  <c r="Q24" i="3" s="1"/>
  <c r="B24" i="3"/>
  <c r="A24" i="3"/>
  <c r="N23" i="3"/>
  <c r="M23" i="3"/>
  <c r="L23" i="3"/>
  <c r="K23" i="3"/>
  <c r="J23" i="3"/>
  <c r="I23" i="3"/>
  <c r="O23" i="3" s="1"/>
  <c r="H23" i="3"/>
  <c r="V23" i="3" s="1"/>
  <c r="AA23" i="3" s="1"/>
  <c r="G23" i="3"/>
  <c r="U23" i="3" s="1"/>
  <c r="Z23" i="3" s="1"/>
  <c r="F23" i="3"/>
  <c r="T23" i="3" s="1"/>
  <c r="Y23" i="3" s="1"/>
  <c r="E23" i="3"/>
  <c r="S23" i="3" s="1"/>
  <c r="X23" i="3" s="1"/>
  <c r="D23" i="3"/>
  <c r="R23" i="3" s="1"/>
  <c r="W23" i="3" s="1"/>
  <c r="C23" i="3"/>
  <c r="Q23" i="3" s="1"/>
  <c r="B23" i="3"/>
  <c r="A23" i="3"/>
  <c r="Q22" i="3"/>
  <c r="N22" i="3"/>
  <c r="M22" i="3"/>
  <c r="L22" i="3"/>
  <c r="K22" i="3"/>
  <c r="J22" i="3"/>
  <c r="I22" i="3"/>
  <c r="O22" i="3" s="1"/>
  <c r="H22" i="3"/>
  <c r="V22" i="3" s="1"/>
  <c r="AA22" i="3" s="1"/>
  <c r="G22" i="3"/>
  <c r="U22" i="3" s="1"/>
  <c r="Z22" i="3" s="1"/>
  <c r="F22" i="3"/>
  <c r="T22" i="3" s="1"/>
  <c r="Y22" i="3" s="1"/>
  <c r="E22" i="3"/>
  <c r="S22" i="3" s="1"/>
  <c r="X22" i="3" s="1"/>
  <c r="D22" i="3"/>
  <c r="R22" i="3" s="1"/>
  <c r="W22" i="3" s="1"/>
  <c r="C22" i="3"/>
  <c r="B22" i="3"/>
  <c r="A22" i="3"/>
  <c r="N21" i="3"/>
  <c r="M21" i="3"/>
  <c r="L21" i="3"/>
  <c r="K21" i="3"/>
  <c r="J21" i="3"/>
  <c r="I21" i="3"/>
  <c r="O21" i="3" s="1"/>
  <c r="H21" i="3"/>
  <c r="V21" i="3" s="1"/>
  <c r="AA21" i="3" s="1"/>
  <c r="G21" i="3"/>
  <c r="U21" i="3" s="1"/>
  <c r="Z21" i="3" s="1"/>
  <c r="F21" i="3"/>
  <c r="T21" i="3" s="1"/>
  <c r="Y21" i="3" s="1"/>
  <c r="E21" i="3"/>
  <c r="S21" i="3" s="1"/>
  <c r="X21" i="3" s="1"/>
  <c r="D21" i="3"/>
  <c r="R21" i="3" s="1"/>
  <c r="W21" i="3" s="1"/>
  <c r="C21" i="3"/>
  <c r="Q21" i="3" s="1"/>
  <c r="B21" i="3"/>
  <c r="A21" i="3"/>
  <c r="S20" i="3"/>
  <c r="X20" i="3" s="1"/>
  <c r="N20" i="3"/>
  <c r="M20" i="3"/>
  <c r="L20" i="3"/>
  <c r="K20" i="3"/>
  <c r="J20" i="3"/>
  <c r="I20" i="3"/>
  <c r="O20" i="3" s="1"/>
  <c r="H20" i="3"/>
  <c r="V20" i="3" s="1"/>
  <c r="AA20" i="3" s="1"/>
  <c r="G20" i="3"/>
  <c r="U20" i="3" s="1"/>
  <c r="Z20" i="3" s="1"/>
  <c r="F20" i="3"/>
  <c r="T20" i="3" s="1"/>
  <c r="Y20" i="3" s="1"/>
  <c r="E20" i="3"/>
  <c r="D20" i="3"/>
  <c r="R20" i="3" s="1"/>
  <c r="W20" i="3" s="1"/>
  <c r="C20" i="3"/>
  <c r="Q20" i="3" s="1"/>
  <c r="B20" i="3"/>
  <c r="A20" i="3"/>
  <c r="R19" i="3"/>
  <c r="W19" i="3" s="1"/>
  <c r="Q19" i="3"/>
  <c r="N19" i="3"/>
  <c r="M19" i="3"/>
  <c r="L19" i="3"/>
  <c r="K19" i="3"/>
  <c r="J19" i="3"/>
  <c r="I19" i="3"/>
  <c r="O19" i="3" s="1"/>
  <c r="H19" i="3"/>
  <c r="V19" i="3" s="1"/>
  <c r="AA19" i="3" s="1"/>
  <c r="G19" i="3"/>
  <c r="U19" i="3" s="1"/>
  <c r="Z19" i="3" s="1"/>
  <c r="F19" i="3"/>
  <c r="T19" i="3" s="1"/>
  <c r="Y19" i="3" s="1"/>
  <c r="E19" i="3"/>
  <c r="S19" i="3" s="1"/>
  <c r="X19" i="3" s="1"/>
  <c r="D19" i="3"/>
  <c r="C19" i="3"/>
  <c r="B19" i="3"/>
  <c r="A19" i="3"/>
  <c r="X18" i="3"/>
  <c r="V18" i="3"/>
  <c r="AA18" i="3" s="1"/>
  <c r="N18" i="3"/>
  <c r="M18" i="3"/>
  <c r="L18" i="3"/>
  <c r="K18" i="3"/>
  <c r="J18" i="3"/>
  <c r="I18" i="3"/>
  <c r="O18" i="3" s="1"/>
  <c r="H18" i="3"/>
  <c r="G18" i="3"/>
  <c r="U18" i="3" s="1"/>
  <c r="Z18" i="3" s="1"/>
  <c r="F18" i="3"/>
  <c r="T18" i="3" s="1"/>
  <c r="Y18" i="3" s="1"/>
  <c r="E18" i="3"/>
  <c r="S18" i="3" s="1"/>
  <c r="D18" i="3"/>
  <c r="R18" i="3" s="1"/>
  <c r="W18" i="3" s="1"/>
  <c r="C18" i="3"/>
  <c r="Q18" i="3" s="1"/>
  <c r="B18" i="3"/>
  <c r="A18" i="3"/>
  <c r="S17" i="3"/>
  <c r="X17" i="3" s="1"/>
  <c r="N17" i="3"/>
  <c r="M17" i="3"/>
  <c r="L17" i="3"/>
  <c r="K17" i="3"/>
  <c r="J17" i="3"/>
  <c r="I17" i="3"/>
  <c r="O17" i="3" s="1"/>
  <c r="H17" i="3"/>
  <c r="V17" i="3" s="1"/>
  <c r="AA17" i="3" s="1"/>
  <c r="G17" i="3"/>
  <c r="U17" i="3" s="1"/>
  <c r="Z17" i="3" s="1"/>
  <c r="F17" i="3"/>
  <c r="T17" i="3" s="1"/>
  <c r="Y17" i="3" s="1"/>
  <c r="E17" i="3"/>
  <c r="D17" i="3"/>
  <c r="R17" i="3" s="1"/>
  <c r="W17" i="3" s="1"/>
  <c r="C17" i="3"/>
  <c r="Q17" i="3" s="1"/>
  <c r="B17" i="3"/>
  <c r="A17" i="3"/>
  <c r="R16" i="3"/>
  <c r="W16" i="3" s="1"/>
  <c r="N16" i="3"/>
  <c r="M16" i="3"/>
  <c r="L16" i="3"/>
  <c r="K16" i="3"/>
  <c r="J16" i="3"/>
  <c r="I16" i="3"/>
  <c r="O16" i="3" s="1"/>
  <c r="H16" i="3"/>
  <c r="V16" i="3" s="1"/>
  <c r="AA16" i="3" s="1"/>
  <c r="G16" i="3"/>
  <c r="U16" i="3" s="1"/>
  <c r="Z16" i="3" s="1"/>
  <c r="F16" i="3"/>
  <c r="T16" i="3" s="1"/>
  <c r="Y16" i="3" s="1"/>
  <c r="E16" i="3"/>
  <c r="S16" i="3" s="1"/>
  <c r="X16" i="3" s="1"/>
  <c r="D16" i="3"/>
  <c r="C16" i="3"/>
  <c r="Q16" i="3" s="1"/>
  <c r="B16" i="3"/>
  <c r="A16" i="3"/>
  <c r="Q15" i="3"/>
  <c r="N15" i="3"/>
  <c r="M15" i="3"/>
  <c r="L15" i="3"/>
  <c r="K15" i="3"/>
  <c r="J15" i="3"/>
  <c r="I15" i="3"/>
  <c r="O15" i="3" s="1"/>
  <c r="H15" i="3"/>
  <c r="V15" i="3" s="1"/>
  <c r="AA15" i="3" s="1"/>
  <c r="G15" i="3"/>
  <c r="U15" i="3" s="1"/>
  <c r="Z15" i="3" s="1"/>
  <c r="F15" i="3"/>
  <c r="T15" i="3" s="1"/>
  <c r="Y15" i="3" s="1"/>
  <c r="E15" i="3"/>
  <c r="S15" i="3" s="1"/>
  <c r="X15" i="3" s="1"/>
  <c r="D15" i="3"/>
  <c r="R15" i="3" s="1"/>
  <c r="W15" i="3" s="1"/>
  <c r="C15" i="3"/>
  <c r="B15" i="3"/>
  <c r="A15" i="3"/>
  <c r="S14" i="3"/>
  <c r="X14" i="3" s="1"/>
  <c r="N14" i="3"/>
  <c r="M14" i="3"/>
  <c r="L14" i="3"/>
  <c r="K14" i="3"/>
  <c r="J14" i="3"/>
  <c r="I14" i="3"/>
  <c r="O14" i="3" s="1"/>
  <c r="H14" i="3"/>
  <c r="V14" i="3" s="1"/>
  <c r="AA14" i="3" s="1"/>
  <c r="G14" i="3"/>
  <c r="U14" i="3" s="1"/>
  <c r="Z14" i="3" s="1"/>
  <c r="F14" i="3"/>
  <c r="T14" i="3" s="1"/>
  <c r="Y14" i="3" s="1"/>
  <c r="E14" i="3"/>
  <c r="D14" i="3"/>
  <c r="R14" i="3" s="1"/>
  <c r="W14" i="3" s="1"/>
  <c r="C14" i="3"/>
  <c r="Q14" i="3" s="1"/>
  <c r="B14" i="3"/>
  <c r="A14" i="3"/>
  <c r="R13" i="3"/>
  <c r="W13" i="3" s="1"/>
  <c r="N13" i="3"/>
  <c r="M13" i="3"/>
  <c r="L13" i="3"/>
  <c r="K13" i="3"/>
  <c r="J13" i="3"/>
  <c r="I13" i="3"/>
  <c r="O13" i="3" s="1"/>
  <c r="H13" i="3"/>
  <c r="V13" i="3" s="1"/>
  <c r="AA13" i="3" s="1"/>
  <c r="G13" i="3"/>
  <c r="U13" i="3" s="1"/>
  <c r="Z13" i="3" s="1"/>
  <c r="F13" i="3"/>
  <c r="T13" i="3" s="1"/>
  <c r="Y13" i="3" s="1"/>
  <c r="E13" i="3"/>
  <c r="S13" i="3" s="1"/>
  <c r="X13" i="3" s="1"/>
  <c r="D13" i="3"/>
  <c r="C13" i="3"/>
  <c r="Q13" i="3" s="1"/>
  <c r="B13" i="3"/>
  <c r="A13" i="3"/>
  <c r="N12" i="3"/>
  <c r="M12" i="3"/>
  <c r="L12" i="3"/>
  <c r="K12" i="3"/>
  <c r="J12" i="3"/>
  <c r="I12" i="3"/>
  <c r="O12" i="3" s="1"/>
  <c r="H12" i="3"/>
  <c r="V12" i="3" s="1"/>
  <c r="AA12" i="3" s="1"/>
  <c r="G12" i="3"/>
  <c r="U12" i="3" s="1"/>
  <c r="Z12" i="3" s="1"/>
  <c r="F12" i="3"/>
  <c r="T12" i="3" s="1"/>
  <c r="Y12" i="3" s="1"/>
  <c r="E12" i="3"/>
  <c r="S12" i="3" s="1"/>
  <c r="X12" i="3" s="1"/>
  <c r="D12" i="3"/>
  <c r="R12" i="3" s="1"/>
  <c r="W12" i="3" s="1"/>
  <c r="C12" i="3"/>
  <c r="Q12" i="3" s="1"/>
  <c r="B12" i="3"/>
  <c r="A12" i="3"/>
  <c r="T11" i="3"/>
  <c r="Y11" i="3" s="1"/>
  <c r="S11" i="3"/>
  <c r="X11" i="3" s="1"/>
  <c r="N11" i="3"/>
  <c r="M11" i="3"/>
  <c r="L11" i="3"/>
  <c r="K11" i="3"/>
  <c r="J11" i="3"/>
  <c r="I11" i="3"/>
  <c r="O11" i="3" s="1"/>
  <c r="H11" i="3"/>
  <c r="V11" i="3" s="1"/>
  <c r="AA11" i="3" s="1"/>
  <c r="G11" i="3"/>
  <c r="U11" i="3" s="1"/>
  <c r="Z11" i="3" s="1"/>
  <c r="F11" i="3"/>
  <c r="E11" i="3"/>
  <c r="D11" i="3"/>
  <c r="R11" i="3" s="1"/>
  <c r="W11" i="3" s="1"/>
  <c r="C11" i="3"/>
  <c r="Q11" i="3" s="1"/>
  <c r="B11" i="3"/>
  <c r="A11" i="3"/>
  <c r="R10" i="3"/>
  <c r="W10" i="3" s="1"/>
  <c r="N10" i="3"/>
  <c r="M10" i="3"/>
  <c r="L10" i="3"/>
  <c r="K10" i="3"/>
  <c r="J10" i="3"/>
  <c r="I10" i="3"/>
  <c r="O10" i="3" s="1"/>
  <c r="H10" i="3"/>
  <c r="V10" i="3" s="1"/>
  <c r="AA10" i="3" s="1"/>
  <c r="G10" i="3"/>
  <c r="U10" i="3" s="1"/>
  <c r="Z10" i="3" s="1"/>
  <c r="F10" i="3"/>
  <c r="T10" i="3" s="1"/>
  <c r="Y10" i="3" s="1"/>
  <c r="E10" i="3"/>
  <c r="S10" i="3" s="1"/>
  <c r="X10" i="3" s="1"/>
  <c r="D10" i="3"/>
  <c r="C10" i="3"/>
  <c r="Q10" i="3" s="1"/>
  <c r="B10" i="3"/>
  <c r="A10" i="3"/>
  <c r="X9" i="3"/>
  <c r="U9" i="3"/>
  <c r="Z9" i="3" s="1"/>
  <c r="N9" i="3"/>
  <c r="M9" i="3"/>
  <c r="L9" i="3"/>
  <c r="K9" i="3"/>
  <c r="J9" i="3"/>
  <c r="I9" i="3"/>
  <c r="O9" i="3" s="1"/>
  <c r="H9" i="3"/>
  <c r="V9" i="3" s="1"/>
  <c r="AA9" i="3" s="1"/>
  <c r="G9" i="3"/>
  <c r="F9" i="3"/>
  <c r="T9" i="3" s="1"/>
  <c r="Y9" i="3" s="1"/>
  <c r="E9" i="3"/>
  <c r="S9" i="3" s="1"/>
  <c r="D9" i="3"/>
  <c r="R9" i="3" s="1"/>
  <c r="W9" i="3" s="1"/>
  <c r="C9" i="3"/>
  <c r="Q9" i="3" s="1"/>
  <c r="B9" i="3"/>
  <c r="A9" i="3"/>
  <c r="T8" i="3"/>
  <c r="Y8" i="3" s="1"/>
  <c r="N8" i="3"/>
  <c r="M8" i="3"/>
  <c r="L8" i="3"/>
  <c r="K8" i="3"/>
  <c r="J8" i="3"/>
  <c r="I8" i="3"/>
  <c r="O8" i="3" s="1"/>
  <c r="H8" i="3"/>
  <c r="V8" i="3" s="1"/>
  <c r="AA8" i="3" s="1"/>
  <c r="G8" i="3"/>
  <c r="U8" i="3" s="1"/>
  <c r="Z8" i="3" s="1"/>
  <c r="F8" i="3"/>
  <c r="E8" i="3"/>
  <c r="S8" i="3" s="1"/>
  <c r="X8" i="3" s="1"/>
  <c r="D8" i="3"/>
  <c r="R8" i="3" s="1"/>
  <c r="W8" i="3" s="1"/>
  <c r="C8" i="3"/>
  <c r="Q8" i="3" s="1"/>
  <c r="B8" i="3"/>
  <c r="A8" i="3"/>
  <c r="N7" i="3"/>
  <c r="M7" i="3"/>
  <c r="L7" i="3"/>
  <c r="K7" i="3"/>
  <c r="J7" i="3"/>
  <c r="I7" i="3"/>
  <c r="O7" i="3" s="1"/>
  <c r="H7" i="3"/>
  <c r="V7" i="3" s="1"/>
  <c r="AA7" i="3" s="1"/>
  <c r="G7" i="3"/>
  <c r="U7" i="3" s="1"/>
  <c r="Z7" i="3" s="1"/>
  <c r="F7" i="3"/>
  <c r="T7" i="3" s="1"/>
  <c r="Y7" i="3" s="1"/>
  <c r="E7" i="3"/>
  <c r="S7" i="3" s="1"/>
  <c r="X7" i="3" s="1"/>
  <c r="D7" i="3"/>
  <c r="R7" i="3" s="1"/>
  <c r="W7" i="3" s="1"/>
  <c r="C7" i="3"/>
  <c r="Q7" i="3" s="1"/>
  <c r="B7" i="3"/>
  <c r="A7" i="3"/>
  <c r="V6" i="3"/>
  <c r="AA6" i="3" s="1"/>
  <c r="Q6" i="3"/>
  <c r="N6" i="3"/>
  <c r="M6" i="3"/>
  <c r="L6" i="3"/>
  <c r="K6" i="3"/>
  <c r="J6" i="3"/>
  <c r="I6" i="3"/>
  <c r="O6" i="3" s="1"/>
  <c r="H6" i="3"/>
  <c r="G6" i="3"/>
  <c r="U6" i="3" s="1"/>
  <c r="Z6" i="3" s="1"/>
  <c r="F6" i="3"/>
  <c r="T6" i="3" s="1"/>
  <c r="Y6" i="3" s="1"/>
  <c r="E6" i="3"/>
  <c r="S6" i="3" s="1"/>
  <c r="X6" i="3" s="1"/>
  <c r="D6" i="3"/>
  <c r="R6" i="3" s="1"/>
  <c r="W6" i="3" s="1"/>
  <c r="C6" i="3"/>
  <c r="B6" i="3"/>
  <c r="A6" i="3"/>
  <c r="N5" i="3"/>
  <c r="M5" i="3"/>
  <c r="L5" i="3"/>
  <c r="K5" i="3"/>
  <c r="J5" i="3"/>
  <c r="I5" i="3"/>
  <c r="O5" i="3" s="1"/>
  <c r="H5" i="3"/>
  <c r="V5" i="3" s="1"/>
  <c r="AA5" i="3" s="1"/>
  <c r="G5" i="3"/>
  <c r="U5" i="3" s="1"/>
  <c r="Z5" i="3" s="1"/>
  <c r="F5" i="3"/>
  <c r="T5" i="3" s="1"/>
  <c r="Y5" i="3" s="1"/>
  <c r="E5" i="3"/>
  <c r="S5" i="3" s="1"/>
  <c r="X5" i="3" s="1"/>
  <c r="D5" i="3"/>
  <c r="R5" i="3" s="1"/>
  <c r="W5" i="3" s="1"/>
  <c r="C5" i="3"/>
  <c r="Q5" i="3" s="1"/>
  <c r="B5" i="3"/>
  <c r="A5" i="3"/>
  <c r="R4" i="3"/>
  <c r="W4" i="3" s="1"/>
  <c r="N4" i="3"/>
  <c r="M4" i="3"/>
  <c r="L4" i="3"/>
  <c r="K4" i="3"/>
  <c r="J4" i="3"/>
  <c r="I4" i="3"/>
  <c r="O4" i="3" s="1"/>
  <c r="H4" i="3"/>
  <c r="V4" i="3" s="1"/>
  <c r="AA4" i="3" s="1"/>
  <c r="G4" i="3"/>
  <c r="U4" i="3" s="1"/>
  <c r="Z4" i="3" s="1"/>
  <c r="F4" i="3"/>
  <c r="T4" i="3" s="1"/>
  <c r="Y4" i="3" s="1"/>
  <c r="E4" i="3"/>
  <c r="S4" i="3" s="1"/>
  <c r="X4" i="3" s="1"/>
  <c r="D4" i="3"/>
  <c r="C4" i="3"/>
  <c r="Q4" i="3" s="1"/>
  <c r="B4" i="3"/>
  <c r="A4" i="3"/>
  <c r="R3" i="3"/>
  <c r="W3" i="3" s="1"/>
  <c r="N3" i="3"/>
  <c r="M3" i="3"/>
  <c r="L3" i="3"/>
  <c r="K3" i="3"/>
  <c r="J3" i="3"/>
  <c r="I3" i="3"/>
  <c r="O3" i="3" s="1"/>
  <c r="H3" i="3"/>
  <c r="V3" i="3" s="1"/>
  <c r="AA3" i="3" s="1"/>
  <c r="G3" i="3"/>
  <c r="U3" i="3" s="1"/>
  <c r="Z3" i="3" s="1"/>
  <c r="F3" i="3"/>
  <c r="T3" i="3" s="1"/>
  <c r="Y3" i="3" s="1"/>
  <c r="E3" i="3"/>
  <c r="S3" i="3" s="1"/>
  <c r="X3" i="3" s="1"/>
  <c r="D3" i="3"/>
  <c r="C3" i="3"/>
  <c r="Q3" i="3" s="1"/>
  <c r="B3" i="3"/>
  <c r="A3" i="3"/>
  <c r="T2" i="3"/>
  <c r="Y2" i="3" s="1"/>
  <c r="S2" i="3"/>
  <c r="X2" i="3" s="1"/>
  <c r="N2" i="3"/>
  <c r="M2" i="3"/>
  <c r="L2" i="3"/>
  <c r="K2" i="3"/>
  <c r="J2" i="3"/>
  <c r="I2" i="3"/>
  <c r="O2" i="3" s="1"/>
  <c r="H2" i="3"/>
  <c r="V2" i="3" s="1"/>
  <c r="AA2" i="3" s="1"/>
  <c r="G2" i="3"/>
  <c r="U2" i="3" s="1"/>
  <c r="Z2" i="3" s="1"/>
  <c r="F2" i="3"/>
  <c r="E2" i="3"/>
  <c r="D2" i="3"/>
  <c r="R2" i="3" s="1"/>
  <c r="W2" i="3" s="1"/>
  <c r="C2" i="3"/>
  <c r="Q2" i="3" s="1"/>
  <c r="B2" i="3"/>
  <c r="A2" i="3"/>
  <c r="DP375" i="2"/>
  <c r="DO375" i="2"/>
  <c r="DN375" i="2"/>
  <c r="DM375" i="2"/>
  <c r="DL375" i="2"/>
  <c r="DK375" i="2"/>
  <c r="DJ375" i="2"/>
  <c r="DI375" i="2"/>
  <c r="DH375" i="2"/>
  <c r="DG375" i="2"/>
  <c r="DF375" i="2"/>
  <c r="DE375" i="2"/>
  <c r="DD375" i="2"/>
  <c r="DC375" i="2"/>
  <c r="DB375" i="2"/>
  <c r="CR375" i="2"/>
  <c r="CQ375" i="2"/>
  <c r="CP375" i="2"/>
  <c r="CO375" i="2"/>
  <c r="CN375" i="2"/>
  <c r="DP374" i="2"/>
  <c r="DO374" i="2"/>
  <c r="DN374" i="2"/>
  <c r="DM374" i="2"/>
  <c r="DL374" i="2"/>
  <c r="DK374" i="2"/>
  <c r="DJ374" i="2"/>
  <c r="DI374" i="2"/>
  <c r="DH374" i="2"/>
  <c r="DG374" i="2"/>
  <c r="DF374" i="2"/>
  <c r="DE374" i="2"/>
  <c r="DD374" i="2"/>
  <c r="DC374" i="2"/>
  <c r="DB374" i="2"/>
  <c r="CR374" i="2"/>
  <c r="CQ374" i="2"/>
  <c r="CP374" i="2"/>
  <c r="CO374" i="2"/>
  <c r="CN374" i="2"/>
  <c r="DP373" i="2"/>
  <c r="DO373" i="2"/>
  <c r="DN373" i="2"/>
  <c r="DM373" i="2"/>
  <c r="DL373" i="2"/>
  <c r="DK373" i="2"/>
  <c r="DJ373" i="2"/>
  <c r="DI373" i="2"/>
  <c r="DH373" i="2"/>
  <c r="DG373" i="2"/>
  <c r="DF373" i="2"/>
  <c r="DE373" i="2"/>
  <c r="DD373" i="2"/>
  <c r="DC373" i="2"/>
  <c r="DB373" i="2"/>
  <c r="CR373" i="2"/>
  <c r="CQ373" i="2"/>
  <c r="CP373" i="2"/>
  <c r="CO373" i="2"/>
  <c r="CN373" i="2"/>
  <c r="DP372" i="2"/>
  <c r="DO372" i="2"/>
  <c r="DN372" i="2"/>
  <c r="DM372" i="2"/>
  <c r="DL372" i="2"/>
  <c r="DK372" i="2"/>
  <c r="DJ372" i="2"/>
  <c r="DI372" i="2"/>
  <c r="DH372" i="2"/>
  <c r="DG372" i="2"/>
  <c r="DF372" i="2"/>
  <c r="DE372" i="2"/>
  <c r="DD372" i="2"/>
  <c r="DC372" i="2"/>
  <c r="DB372" i="2"/>
  <c r="CR372" i="2"/>
  <c r="CQ372" i="2"/>
  <c r="CP372" i="2"/>
  <c r="CO372" i="2"/>
  <c r="CN372" i="2"/>
  <c r="DP371" i="2"/>
  <c r="DO371" i="2"/>
  <c r="DN371" i="2"/>
  <c r="DM371" i="2"/>
  <c r="DL371" i="2"/>
  <c r="DK371" i="2"/>
  <c r="DJ371" i="2"/>
  <c r="DI371" i="2"/>
  <c r="DH371" i="2"/>
  <c r="DG371" i="2"/>
  <c r="DF371" i="2"/>
  <c r="DE371" i="2"/>
  <c r="DD371" i="2"/>
  <c r="DC371" i="2"/>
  <c r="DB371" i="2"/>
  <c r="CR371" i="2"/>
  <c r="CQ371" i="2"/>
  <c r="CP371" i="2"/>
  <c r="CO371" i="2"/>
  <c r="CN371" i="2"/>
  <c r="DP370" i="2"/>
  <c r="DO370" i="2"/>
  <c r="DN370" i="2"/>
  <c r="DM370" i="2"/>
  <c r="DL370" i="2"/>
  <c r="DK370" i="2"/>
  <c r="DJ370" i="2"/>
  <c r="DI370" i="2"/>
  <c r="DH370" i="2"/>
  <c r="DG370" i="2"/>
  <c r="DF370" i="2"/>
  <c r="DE370" i="2"/>
  <c r="DD370" i="2"/>
  <c r="DC370" i="2"/>
  <c r="DB370" i="2"/>
  <c r="CR370" i="2"/>
  <c r="CQ370" i="2"/>
  <c r="CP370" i="2"/>
  <c r="CO370" i="2"/>
  <c r="CN370" i="2"/>
  <c r="DP369" i="2"/>
  <c r="DO369" i="2"/>
  <c r="DN369" i="2"/>
  <c r="DM369" i="2"/>
  <c r="DL369" i="2"/>
  <c r="DK369" i="2"/>
  <c r="DJ369" i="2"/>
  <c r="DI369" i="2"/>
  <c r="DH369" i="2"/>
  <c r="DG369" i="2"/>
  <c r="DF369" i="2"/>
  <c r="DE369" i="2"/>
  <c r="DD369" i="2"/>
  <c r="DC369" i="2"/>
  <c r="CU369" i="2" s="1"/>
  <c r="DB369" i="2"/>
  <c r="CR369" i="2"/>
  <c r="CQ369" i="2"/>
  <c r="CP369" i="2"/>
  <c r="CO369" i="2"/>
  <c r="CN369" i="2"/>
  <c r="DP368" i="2"/>
  <c r="DO368" i="2"/>
  <c r="DN368" i="2"/>
  <c r="DM368" i="2"/>
  <c r="DL368" i="2"/>
  <c r="DK368" i="2"/>
  <c r="DJ368" i="2"/>
  <c r="DI368" i="2"/>
  <c r="DH368" i="2"/>
  <c r="DG368" i="2"/>
  <c r="DF368" i="2"/>
  <c r="DE368" i="2"/>
  <c r="DD368" i="2"/>
  <c r="DC368" i="2"/>
  <c r="DB368" i="2"/>
  <c r="CR368" i="2"/>
  <c r="CQ368" i="2"/>
  <c r="CP368" i="2"/>
  <c r="CO368" i="2"/>
  <c r="CN368" i="2"/>
  <c r="DP367" i="2"/>
  <c r="DO367" i="2"/>
  <c r="DN367" i="2"/>
  <c r="DM367" i="2"/>
  <c r="DL367" i="2"/>
  <c r="DK367" i="2"/>
  <c r="DJ367" i="2"/>
  <c r="DI367" i="2"/>
  <c r="DH367" i="2"/>
  <c r="DG367" i="2"/>
  <c r="DF367" i="2"/>
  <c r="DE367" i="2"/>
  <c r="DD367" i="2"/>
  <c r="DC367" i="2"/>
  <c r="DB367" i="2"/>
  <c r="CR367" i="2"/>
  <c r="CQ367" i="2"/>
  <c r="CP367" i="2"/>
  <c r="CO367" i="2"/>
  <c r="CN367" i="2"/>
  <c r="DP366" i="2"/>
  <c r="DO366" i="2"/>
  <c r="DN366" i="2"/>
  <c r="DM366" i="2"/>
  <c r="DL366" i="2"/>
  <c r="DK366" i="2"/>
  <c r="DJ366" i="2"/>
  <c r="DI366" i="2"/>
  <c r="DH366" i="2"/>
  <c r="DG366" i="2"/>
  <c r="DF366" i="2"/>
  <c r="DE366" i="2"/>
  <c r="DD366" i="2"/>
  <c r="DC366" i="2"/>
  <c r="DB366" i="2"/>
  <c r="CR366" i="2"/>
  <c r="CQ366" i="2"/>
  <c r="CP366" i="2"/>
  <c r="CO366" i="2"/>
  <c r="CN366" i="2"/>
  <c r="DP365" i="2"/>
  <c r="DO365" i="2"/>
  <c r="DN365" i="2"/>
  <c r="DM365" i="2"/>
  <c r="DL365" i="2"/>
  <c r="DK365" i="2"/>
  <c r="DJ365" i="2"/>
  <c r="DI365" i="2"/>
  <c r="DH365" i="2"/>
  <c r="DG365" i="2"/>
  <c r="DF365" i="2"/>
  <c r="DE365" i="2"/>
  <c r="DD365" i="2"/>
  <c r="DC365" i="2"/>
  <c r="DB365" i="2"/>
  <c r="CR365" i="2"/>
  <c r="CQ365" i="2"/>
  <c r="CP365" i="2"/>
  <c r="CO365" i="2"/>
  <c r="CN365" i="2"/>
  <c r="DP364" i="2"/>
  <c r="DO364" i="2"/>
  <c r="DN364" i="2"/>
  <c r="DM364" i="2"/>
  <c r="DL364" i="2"/>
  <c r="DK364" i="2"/>
  <c r="DJ364" i="2"/>
  <c r="DI364" i="2"/>
  <c r="DH364" i="2"/>
  <c r="DG364" i="2"/>
  <c r="DF364" i="2"/>
  <c r="DE364" i="2"/>
  <c r="DD364" i="2"/>
  <c r="DC364" i="2"/>
  <c r="DB364" i="2"/>
  <c r="CR364" i="2"/>
  <c r="CQ364" i="2"/>
  <c r="CP364" i="2"/>
  <c r="CO364" i="2"/>
  <c r="CN364" i="2"/>
  <c r="DP363" i="2"/>
  <c r="DO363" i="2"/>
  <c r="DN363" i="2"/>
  <c r="DM363" i="2"/>
  <c r="DL363" i="2"/>
  <c r="DK363" i="2"/>
  <c r="DJ363" i="2"/>
  <c r="DI363" i="2"/>
  <c r="DH363" i="2"/>
  <c r="DG363" i="2"/>
  <c r="DF363" i="2"/>
  <c r="DE363" i="2"/>
  <c r="DD363" i="2"/>
  <c r="CU363" i="2" s="1"/>
  <c r="DC363" i="2"/>
  <c r="DB363" i="2"/>
  <c r="CR363" i="2"/>
  <c r="CQ363" i="2"/>
  <c r="CP363" i="2"/>
  <c r="CO363" i="2"/>
  <c r="CN363" i="2"/>
  <c r="DP362" i="2"/>
  <c r="DO362" i="2"/>
  <c r="DN362" i="2"/>
  <c r="DM362" i="2"/>
  <c r="DL362" i="2"/>
  <c r="DK362" i="2"/>
  <c r="DJ362" i="2"/>
  <c r="DI362" i="2"/>
  <c r="DH362" i="2"/>
  <c r="DG362" i="2"/>
  <c r="DF362" i="2"/>
  <c r="DE362" i="2"/>
  <c r="DD362" i="2"/>
  <c r="DC362" i="2"/>
  <c r="DB362" i="2"/>
  <c r="CR362" i="2"/>
  <c r="CQ362" i="2"/>
  <c r="CP362" i="2"/>
  <c r="CO362" i="2"/>
  <c r="CN362" i="2"/>
  <c r="DP361" i="2"/>
  <c r="DO361" i="2"/>
  <c r="DN361" i="2"/>
  <c r="DM361" i="2"/>
  <c r="DL361" i="2"/>
  <c r="DK361" i="2"/>
  <c r="DJ361" i="2"/>
  <c r="DI361" i="2"/>
  <c r="DH361" i="2"/>
  <c r="DG361" i="2"/>
  <c r="DF361" i="2"/>
  <c r="DE361" i="2"/>
  <c r="DD361" i="2"/>
  <c r="DC361" i="2"/>
  <c r="DB361" i="2"/>
  <c r="CR361" i="2"/>
  <c r="CQ361" i="2"/>
  <c r="CP361" i="2"/>
  <c r="CO361" i="2"/>
  <c r="CN361" i="2"/>
  <c r="DP360" i="2"/>
  <c r="DO360" i="2"/>
  <c r="DN360" i="2"/>
  <c r="DM360" i="2"/>
  <c r="DL360" i="2"/>
  <c r="DK360" i="2"/>
  <c r="DJ360" i="2"/>
  <c r="DI360" i="2"/>
  <c r="DH360" i="2"/>
  <c r="DG360" i="2"/>
  <c r="DF360" i="2"/>
  <c r="DE360" i="2"/>
  <c r="DD360" i="2"/>
  <c r="DC360" i="2"/>
  <c r="DB360" i="2"/>
  <c r="CR360" i="2"/>
  <c r="CQ360" i="2"/>
  <c r="CP360" i="2"/>
  <c r="CO360" i="2"/>
  <c r="CN360" i="2"/>
  <c r="DP359" i="2"/>
  <c r="DO359" i="2"/>
  <c r="DN359" i="2"/>
  <c r="DM359" i="2"/>
  <c r="DL359" i="2"/>
  <c r="DK359" i="2"/>
  <c r="DJ359" i="2"/>
  <c r="DI359" i="2"/>
  <c r="DH359" i="2"/>
  <c r="DG359" i="2"/>
  <c r="DF359" i="2"/>
  <c r="DE359" i="2"/>
  <c r="DD359" i="2"/>
  <c r="DC359" i="2"/>
  <c r="DB359" i="2"/>
  <c r="CR359" i="2"/>
  <c r="CQ359" i="2"/>
  <c r="CP359" i="2"/>
  <c r="CO359" i="2"/>
  <c r="CN359" i="2"/>
  <c r="DP358" i="2"/>
  <c r="DO358" i="2"/>
  <c r="DN358" i="2"/>
  <c r="DM358" i="2"/>
  <c r="DL358" i="2"/>
  <c r="DK358" i="2"/>
  <c r="DJ358" i="2"/>
  <c r="DI358" i="2"/>
  <c r="DH358" i="2"/>
  <c r="DG358" i="2"/>
  <c r="DF358" i="2"/>
  <c r="DE358" i="2"/>
  <c r="DD358" i="2"/>
  <c r="DC358" i="2"/>
  <c r="DB358" i="2"/>
  <c r="CR358" i="2"/>
  <c r="CQ358" i="2"/>
  <c r="CP358" i="2"/>
  <c r="CO358" i="2"/>
  <c r="CN358" i="2"/>
  <c r="DP357" i="2"/>
  <c r="DO357" i="2"/>
  <c r="DN357" i="2"/>
  <c r="DM357" i="2"/>
  <c r="DL357" i="2"/>
  <c r="DK357" i="2"/>
  <c r="DJ357" i="2"/>
  <c r="DI357" i="2"/>
  <c r="DH357" i="2"/>
  <c r="DG357" i="2"/>
  <c r="DF357" i="2"/>
  <c r="DE357" i="2"/>
  <c r="DD357" i="2"/>
  <c r="DC357" i="2"/>
  <c r="DB357" i="2"/>
  <c r="CR357" i="2"/>
  <c r="CQ357" i="2"/>
  <c r="CP357" i="2"/>
  <c r="CO357" i="2"/>
  <c r="CN357" i="2"/>
  <c r="DP356" i="2"/>
  <c r="DO356" i="2"/>
  <c r="DN356" i="2"/>
  <c r="DM356" i="2"/>
  <c r="DL356" i="2"/>
  <c r="DK356" i="2"/>
  <c r="DJ356" i="2"/>
  <c r="DI356" i="2"/>
  <c r="DH356" i="2"/>
  <c r="DG356" i="2"/>
  <c r="DF356" i="2"/>
  <c r="DE356" i="2"/>
  <c r="DD356" i="2"/>
  <c r="DC356" i="2"/>
  <c r="DB356" i="2"/>
  <c r="CR356" i="2"/>
  <c r="CQ356" i="2"/>
  <c r="CP356" i="2"/>
  <c r="CO356" i="2"/>
  <c r="CN356" i="2"/>
  <c r="DP355" i="2"/>
  <c r="DO355" i="2"/>
  <c r="DN355" i="2"/>
  <c r="DM355" i="2"/>
  <c r="DL355" i="2"/>
  <c r="DK355" i="2"/>
  <c r="DJ355" i="2"/>
  <c r="DI355" i="2"/>
  <c r="DH355" i="2"/>
  <c r="DG355" i="2"/>
  <c r="DF355" i="2"/>
  <c r="DE355" i="2"/>
  <c r="DD355" i="2"/>
  <c r="DC355" i="2"/>
  <c r="DB355" i="2"/>
  <c r="CR355" i="2"/>
  <c r="CQ355" i="2"/>
  <c r="CP355" i="2"/>
  <c r="CO355" i="2"/>
  <c r="CN355" i="2"/>
  <c r="DP354" i="2"/>
  <c r="DO354" i="2"/>
  <c r="DN354" i="2"/>
  <c r="DM354" i="2"/>
  <c r="DL354" i="2"/>
  <c r="DK354" i="2"/>
  <c r="DJ354" i="2"/>
  <c r="DI354" i="2"/>
  <c r="DH354" i="2"/>
  <c r="DG354" i="2"/>
  <c r="DF354" i="2"/>
  <c r="DE354" i="2"/>
  <c r="DD354" i="2"/>
  <c r="DC354" i="2"/>
  <c r="DB354" i="2"/>
  <c r="CR354" i="2"/>
  <c r="CQ354" i="2"/>
  <c r="CP354" i="2"/>
  <c r="CO354" i="2"/>
  <c r="CN354" i="2"/>
  <c r="DP353" i="2"/>
  <c r="DO353" i="2"/>
  <c r="DN353" i="2"/>
  <c r="DM353" i="2"/>
  <c r="DL353" i="2"/>
  <c r="DK353" i="2"/>
  <c r="DJ353" i="2"/>
  <c r="DI353" i="2"/>
  <c r="DH353" i="2"/>
  <c r="DG353" i="2"/>
  <c r="DF353" i="2"/>
  <c r="DE353" i="2"/>
  <c r="DD353" i="2"/>
  <c r="DC353" i="2"/>
  <c r="DB353" i="2"/>
  <c r="CR353" i="2"/>
  <c r="CQ353" i="2"/>
  <c r="CP353" i="2"/>
  <c r="CO353" i="2"/>
  <c r="CN353" i="2"/>
  <c r="DP352" i="2"/>
  <c r="DO352" i="2"/>
  <c r="DN352" i="2"/>
  <c r="DM352" i="2"/>
  <c r="DL352" i="2"/>
  <c r="DK352" i="2"/>
  <c r="DJ352" i="2"/>
  <c r="DI352" i="2"/>
  <c r="DH352" i="2"/>
  <c r="DG352" i="2"/>
  <c r="DF352" i="2"/>
  <c r="DE352" i="2"/>
  <c r="DD352" i="2"/>
  <c r="DC352" i="2"/>
  <c r="DB352" i="2"/>
  <c r="CR352" i="2"/>
  <c r="CQ352" i="2"/>
  <c r="CP352" i="2"/>
  <c r="CO352" i="2"/>
  <c r="CN352" i="2"/>
  <c r="DP351" i="2"/>
  <c r="DO351" i="2"/>
  <c r="DN351" i="2"/>
  <c r="DM351" i="2"/>
  <c r="DL351" i="2"/>
  <c r="DK351" i="2"/>
  <c r="DJ351" i="2"/>
  <c r="DI351" i="2"/>
  <c r="DH351" i="2"/>
  <c r="DG351" i="2"/>
  <c r="DF351" i="2"/>
  <c r="DE351" i="2"/>
  <c r="DD351" i="2"/>
  <c r="DC351" i="2"/>
  <c r="DB351" i="2"/>
  <c r="CR351" i="2"/>
  <c r="CQ351" i="2"/>
  <c r="CP351" i="2"/>
  <c r="CO351" i="2"/>
  <c r="CN351" i="2"/>
  <c r="DP350" i="2"/>
  <c r="DO350" i="2"/>
  <c r="DN350" i="2"/>
  <c r="DM350" i="2"/>
  <c r="DL350" i="2"/>
  <c r="DK350" i="2"/>
  <c r="DJ350" i="2"/>
  <c r="DI350" i="2"/>
  <c r="DH350" i="2"/>
  <c r="DG350" i="2"/>
  <c r="DF350" i="2"/>
  <c r="DE350" i="2"/>
  <c r="DD350" i="2"/>
  <c r="DC350" i="2"/>
  <c r="DB350" i="2"/>
  <c r="CR350" i="2"/>
  <c r="CQ350" i="2"/>
  <c r="CP350" i="2"/>
  <c r="CO350" i="2"/>
  <c r="CN350" i="2"/>
  <c r="DP349" i="2"/>
  <c r="DO349" i="2"/>
  <c r="DN349" i="2"/>
  <c r="DM349" i="2"/>
  <c r="DL349" i="2"/>
  <c r="DK349" i="2"/>
  <c r="DJ349" i="2"/>
  <c r="DI349" i="2"/>
  <c r="DH349" i="2"/>
  <c r="DG349" i="2"/>
  <c r="DF349" i="2"/>
  <c r="DE349" i="2"/>
  <c r="DD349" i="2"/>
  <c r="DC349" i="2"/>
  <c r="DB349" i="2"/>
  <c r="CR349" i="2"/>
  <c r="CQ349" i="2"/>
  <c r="CP349" i="2"/>
  <c r="CO349" i="2"/>
  <c r="CN349" i="2"/>
  <c r="DP348" i="2"/>
  <c r="DO348" i="2"/>
  <c r="DN348" i="2"/>
  <c r="DM348" i="2"/>
  <c r="DL348" i="2"/>
  <c r="DK348" i="2"/>
  <c r="DJ348" i="2"/>
  <c r="DI348" i="2"/>
  <c r="DH348" i="2"/>
  <c r="DG348" i="2"/>
  <c r="DF348" i="2"/>
  <c r="DE348" i="2"/>
  <c r="DD348" i="2"/>
  <c r="DC348" i="2"/>
  <c r="DB348" i="2"/>
  <c r="CR348" i="2"/>
  <c r="CQ348" i="2"/>
  <c r="CP348" i="2"/>
  <c r="CO348" i="2"/>
  <c r="CN348" i="2"/>
  <c r="DP347" i="2"/>
  <c r="DO347" i="2"/>
  <c r="DN347" i="2"/>
  <c r="DM347" i="2"/>
  <c r="DL347" i="2"/>
  <c r="DK347" i="2"/>
  <c r="DJ347" i="2"/>
  <c r="DI347" i="2"/>
  <c r="DH347" i="2"/>
  <c r="DG347" i="2"/>
  <c r="DF347" i="2"/>
  <c r="DE347" i="2"/>
  <c r="DD347" i="2"/>
  <c r="DC347" i="2"/>
  <c r="DB347" i="2"/>
  <c r="CR347" i="2"/>
  <c r="CQ347" i="2"/>
  <c r="CP347" i="2"/>
  <c r="CO347" i="2"/>
  <c r="CN347" i="2"/>
  <c r="DP346" i="2"/>
  <c r="DO346" i="2"/>
  <c r="DN346" i="2"/>
  <c r="DM346" i="2"/>
  <c r="DL346" i="2"/>
  <c r="DK346" i="2"/>
  <c r="DJ346" i="2"/>
  <c r="DI346" i="2"/>
  <c r="DH346" i="2"/>
  <c r="DG346" i="2"/>
  <c r="DF346" i="2"/>
  <c r="DE346" i="2"/>
  <c r="DD346" i="2"/>
  <c r="DC346" i="2"/>
  <c r="DB346" i="2"/>
  <c r="CR346" i="2"/>
  <c r="CQ346" i="2"/>
  <c r="CP346" i="2"/>
  <c r="CO346" i="2"/>
  <c r="CN346" i="2"/>
  <c r="DP345" i="2"/>
  <c r="DO345" i="2"/>
  <c r="DN345" i="2"/>
  <c r="DM345" i="2"/>
  <c r="DL345" i="2"/>
  <c r="DK345" i="2"/>
  <c r="DJ345" i="2"/>
  <c r="DI345" i="2"/>
  <c r="DH345" i="2"/>
  <c r="DG345" i="2"/>
  <c r="DF345" i="2"/>
  <c r="DE345" i="2"/>
  <c r="DD345" i="2"/>
  <c r="DC345" i="2"/>
  <c r="DB345" i="2"/>
  <c r="CR345" i="2"/>
  <c r="CQ345" i="2"/>
  <c r="CP345" i="2"/>
  <c r="CO345" i="2"/>
  <c r="CN345" i="2"/>
  <c r="FS344" i="2"/>
  <c r="FR344" i="2"/>
  <c r="FQ344" i="2"/>
  <c r="FP344" i="2"/>
  <c r="FO344" i="2"/>
  <c r="FN344" i="2"/>
  <c r="FM344" i="2"/>
  <c r="FL344" i="2"/>
  <c r="FK344" i="2"/>
  <c r="FJ344" i="2"/>
  <c r="FI344" i="2"/>
  <c r="FH344" i="2"/>
  <c r="FG344" i="2"/>
  <c r="FF344" i="2"/>
  <c r="FE344" i="2"/>
  <c r="FD344" i="2"/>
  <c r="FC344" i="2"/>
  <c r="FB344" i="2"/>
  <c r="FA344" i="2"/>
  <c r="EZ344" i="2"/>
  <c r="EY344" i="2"/>
  <c r="EX344" i="2"/>
  <c r="EW344" i="2"/>
  <c r="EV344" i="2"/>
  <c r="EU344" i="2"/>
  <c r="ET344" i="2"/>
  <c r="ES344" i="2"/>
  <c r="ER344" i="2"/>
  <c r="EQ344" i="2"/>
  <c r="EP344" i="2"/>
  <c r="EO344" i="2"/>
  <c r="EN344" i="2"/>
  <c r="EM344" i="2"/>
  <c r="EL344" i="2"/>
  <c r="EK344" i="2"/>
  <c r="EJ344" i="2"/>
  <c r="EI344" i="2"/>
  <c r="EH344" i="2"/>
  <c r="EG344" i="2"/>
  <c r="EF344" i="2"/>
  <c r="EE344" i="2"/>
  <c r="ED344" i="2"/>
  <c r="EC344" i="2"/>
  <c r="EB344" i="2"/>
  <c r="EA344" i="2"/>
  <c r="DZ344" i="2"/>
  <c r="DY344" i="2"/>
  <c r="DX344" i="2"/>
  <c r="DW344" i="2"/>
  <c r="DV344" i="2"/>
  <c r="DU344" i="2"/>
  <c r="DT344" i="2"/>
  <c r="DS344" i="2"/>
  <c r="DR344" i="2"/>
  <c r="DQ344" i="2"/>
  <c r="DP344" i="2"/>
  <c r="DO344" i="2"/>
  <c r="DN344" i="2"/>
  <c r="DM344" i="2"/>
  <c r="DL344" i="2"/>
  <c r="DK344" i="2"/>
  <c r="DJ344" i="2"/>
  <c r="DI344" i="2"/>
  <c r="DH344" i="2"/>
  <c r="DG344" i="2"/>
  <c r="DF344" i="2"/>
  <c r="DE344" i="2"/>
  <c r="DD344" i="2"/>
  <c r="DC344" i="2"/>
  <c r="DB344" i="2"/>
  <c r="CR344" i="2"/>
  <c r="CQ344" i="2"/>
  <c r="CP344" i="2"/>
  <c r="CO344" i="2"/>
  <c r="CN344" i="2"/>
  <c r="FS343" i="2"/>
  <c r="FR343" i="2"/>
  <c r="FQ343" i="2"/>
  <c r="FP343" i="2"/>
  <c r="FO343" i="2"/>
  <c r="FN343" i="2"/>
  <c r="FM343" i="2"/>
  <c r="FL343" i="2"/>
  <c r="FK343" i="2"/>
  <c r="FJ343" i="2"/>
  <c r="FI343" i="2"/>
  <c r="FH343" i="2"/>
  <c r="FG343" i="2"/>
  <c r="FF343" i="2"/>
  <c r="FE343" i="2"/>
  <c r="FD343" i="2"/>
  <c r="FC343" i="2"/>
  <c r="FB343" i="2"/>
  <c r="FA343" i="2"/>
  <c r="EZ343" i="2"/>
  <c r="EY343" i="2"/>
  <c r="EX343" i="2"/>
  <c r="EW343" i="2"/>
  <c r="EV343" i="2"/>
  <c r="EU343" i="2"/>
  <c r="ET343" i="2"/>
  <c r="ES343" i="2"/>
  <c r="ER343" i="2"/>
  <c r="EQ343" i="2"/>
  <c r="EP343" i="2"/>
  <c r="EO343" i="2"/>
  <c r="EN343" i="2"/>
  <c r="EM343" i="2"/>
  <c r="EL343" i="2"/>
  <c r="EK343" i="2"/>
  <c r="EJ343" i="2"/>
  <c r="EI343" i="2"/>
  <c r="EH343" i="2"/>
  <c r="EG343" i="2"/>
  <c r="EF343" i="2"/>
  <c r="EE343" i="2"/>
  <c r="ED343" i="2"/>
  <c r="EC343" i="2"/>
  <c r="EB343" i="2"/>
  <c r="EA343" i="2"/>
  <c r="DZ343" i="2"/>
  <c r="DY343" i="2"/>
  <c r="DX343" i="2"/>
  <c r="DW343" i="2"/>
  <c r="DV343" i="2"/>
  <c r="DU343" i="2"/>
  <c r="DT343" i="2"/>
  <c r="DS343" i="2"/>
  <c r="DR343" i="2"/>
  <c r="DQ343" i="2"/>
  <c r="DP343" i="2"/>
  <c r="DO343" i="2"/>
  <c r="DN343" i="2"/>
  <c r="DM343" i="2"/>
  <c r="DL343" i="2"/>
  <c r="DK343" i="2"/>
  <c r="DJ343" i="2"/>
  <c r="DI343" i="2"/>
  <c r="DH343" i="2"/>
  <c r="DG343" i="2"/>
  <c r="DF343" i="2"/>
  <c r="DE343" i="2"/>
  <c r="DD343" i="2"/>
  <c r="DC343" i="2"/>
  <c r="CU343" i="2" s="1"/>
  <c r="DB343" i="2"/>
  <c r="CR343" i="2"/>
  <c r="CQ343" i="2"/>
  <c r="CP343" i="2"/>
  <c r="CO343" i="2"/>
  <c r="CN343" i="2"/>
  <c r="FS342" i="2"/>
  <c r="FR342" i="2"/>
  <c r="FQ342" i="2"/>
  <c r="FP342" i="2"/>
  <c r="FO342" i="2"/>
  <c r="FN342" i="2"/>
  <c r="FM342" i="2"/>
  <c r="FL342" i="2"/>
  <c r="FK342" i="2"/>
  <c r="FJ342" i="2"/>
  <c r="FI342" i="2"/>
  <c r="FH342" i="2"/>
  <c r="FG342" i="2"/>
  <c r="FF342" i="2"/>
  <c r="FE342" i="2"/>
  <c r="FD342" i="2"/>
  <c r="FC342" i="2"/>
  <c r="FB342" i="2"/>
  <c r="FA342" i="2"/>
  <c r="EZ342" i="2"/>
  <c r="EY342" i="2"/>
  <c r="EX342" i="2"/>
  <c r="EW342" i="2"/>
  <c r="EV342" i="2"/>
  <c r="EU342" i="2"/>
  <c r="ET342" i="2"/>
  <c r="ES342" i="2"/>
  <c r="ER342" i="2"/>
  <c r="EQ342" i="2"/>
  <c r="EP342" i="2"/>
  <c r="EO342" i="2"/>
  <c r="EN342" i="2"/>
  <c r="EM342" i="2"/>
  <c r="EL342" i="2"/>
  <c r="EK342" i="2"/>
  <c r="EJ342" i="2"/>
  <c r="EI342" i="2"/>
  <c r="EH342" i="2"/>
  <c r="EG342" i="2"/>
  <c r="EF342" i="2"/>
  <c r="EE342" i="2"/>
  <c r="ED342" i="2"/>
  <c r="EC342" i="2"/>
  <c r="EB342" i="2"/>
  <c r="EA342" i="2"/>
  <c r="DZ342" i="2"/>
  <c r="DY342" i="2"/>
  <c r="DX342" i="2"/>
  <c r="DW342" i="2"/>
  <c r="DV342" i="2"/>
  <c r="DU342" i="2"/>
  <c r="DT342" i="2"/>
  <c r="DS342" i="2"/>
  <c r="DR342" i="2"/>
  <c r="DQ342" i="2"/>
  <c r="DP342" i="2"/>
  <c r="DO342" i="2"/>
  <c r="DN342" i="2"/>
  <c r="DM342" i="2"/>
  <c r="DL342" i="2"/>
  <c r="DK342" i="2"/>
  <c r="DJ342" i="2"/>
  <c r="DI342" i="2"/>
  <c r="DH342" i="2"/>
  <c r="DG342" i="2"/>
  <c r="DF342" i="2"/>
  <c r="DE342" i="2"/>
  <c r="DD342" i="2"/>
  <c r="DC342" i="2"/>
  <c r="DB342" i="2"/>
  <c r="CR342" i="2"/>
  <c r="CQ342" i="2"/>
  <c r="CP342" i="2"/>
  <c r="CO342" i="2"/>
  <c r="CN342" i="2"/>
  <c r="FS341" i="2"/>
  <c r="FR341" i="2"/>
  <c r="FQ341" i="2"/>
  <c r="FP341" i="2"/>
  <c r="FO341" i="2"/>
  <c r="FN341" i="2"/>
  <c r="FM341" i="2"/>
  <c r="FL341" i="2"/>
  <c r="FK341" i="2"/>
  <c r="FJ341" i="2"/>
  <c r="FI341" i="2"/>
  <c r="FH341" i="2"/>
  <c r="FG341" i="2"/>
  <c r="FF341" i="2"/>
  <c r="FE341" i="2"/>
  <c r="FD341" i="2"/>
  <c r="FC341" i="2"/>
  <c r="FB341" i="2"/>
  <c r="FA341" i="2"/>
  <c r="EZ341" i="2"/>
  <c r="EY341" i="2"/>
  <c r="EX341" i="2"/>
  <c r="EW341" i="2"/>
  <c r="EV341" i="2"/>
  <c r="EU341" i="2"/>
  <c r="ET341" i="2"/>
  <c r="ES341" i="2"/>
  <c r="ER341" i="2"/>
  <c r="EQ341" i="2"/>
  <c r="EP341" i="2"/>
  <c r="EO341" i="2"/>
  <c r="EN341" i="2"/>
  <c r="EM341" i="2"/>
  <c r="EL341" i="2"/>
  <c r="EK341" i="2"/>
  <c r="EJ341" i="2"/>
  <c r="EI341" i="2"/>
  <c r="EH341" i="2"/>
  <c r="EG341" i="2"/>
  <c r="EF341" i="2"/>
  <c r="EE341" i="2"/>
  <c r="ED341" i="2"/>
  <c r="EC341" i="2"/>
  <c r="EB341" i="2"/>
  <c r="EA341" i="2"/>
  <c r="DZ341" i="2"/>
  <c r="DY341" i="2"/>
  <c r="DX341" i="2"/>
  <c r="DW341" i="2"/>
  <c r="DV341" i="2"/>
  <c r="DU341" i="2"/>
  <c r="DT341" i="2"/>
  <c r="DS341" i="2"/>
  <c r="DR341" i="2"/>
  <c r="DQ341" i="2"/>
  <c r="DP341" i="2"/>
  <c r="DO341" i="2"/>
  <c r="DN341" i="2"/>
  <c r="DM341" i="2"/>
  <c r="DL341" i="2"/>
  <c r="DK341" i="2"/>
  <c r="DJ341" i="2"/>
  <c r="DI341" i="2"/>
  <c r="DH341" i="2"/>
  <c r="DG341" i="2"/>
  <c r="DF341" i="2"/>
  <c r="DE341" i="2"/>
  <c r="DD341" i="2"/>
  <c r="DC341" i="2"/>
  <c r="DB341" i="2"/>
  <c r="CU341" i="2" s="1"/>
  <c r="CR341" i="2"/>
  <c r="CQ341" i="2"/>
  <c r="CP341" i="2"/>
  <c r="CO341" i="2"/>
  <c r="CN341" i="2"/>
  <c r="FS340" i="2"/>
  <c r="FR340" i="2"/>
  <c r="FQ340" i="2"/>
  <c r="FP340" i="2"/>
  <c r="FO340" i="2"/>
  <c r="FN340" i="2"/>
  <c r="FM340" i="2"/>
  <c r="FL340" i="2"/>
  <c r="FK340" i="2"/>
  <c r="FJ340" i="2"/>
  <c r="FI340" i="2"/>
  <c r="FH340" i="2"/>
  <c r="FG340" i="2"/>
  <c r="FF340" i="2"/>
  <c r="FE340" i="2"/>
  <c r="FD340" i="2"/>
  <c r="FC340" i="2"/>
  <c r="FB340" i="2"/>
  <c r="FA340" i="2"/>
  <c r="EZ340" i="2"/>
  <c r="EY340" i="2"/>
  <c r="EX340" i="2"/>
  <c r="EW340" i="2"/>
  <c r="EV340" i="2"/>
  <c r="EU340" i="2"/>
  <c r="ET340" i="2"/>
  <c r="ES340" i="2"/>
  <c r="ER340" i="2"/>
  <c r="EQ340" i="2"/>
  <c r="EP340" i="2"/>
  <c r="EO340" i="2"/>
  <c r="EN340" i="2"/>
  <c r="EM340" i="2"/>
  <c r="EL340" i="2"/>
  <c r="EK340" i="2"/>
  <c r="EJ340" i="2"/>
  <c r="EI340" i="2"/>
  <c r="EH340" i="2"/>
  <c r="EG340" i="2"/>
  <c r="EF340" i="2"/>
  <c r="EE340" i="2"/>
  <c r="ED340" i="2"/>
  <c r="EC340" i="2"/>
  <c r="EB340" i="2"/>
  <c r="EA340" i="2"/>
  <c r="DZ340" i="2"/>
  <c r="DY340" i="2"/>
  <c r="DX340" i="2"/>
  <c r="DW340" i="2"/>
  <c r="DV340" i="2"/>
  <c r="DU340" i="2"/>
  <c r="DT340" i="2"/>
  <c r="DS340" i="2"/>
  <c r="DR340" i="2"/>
  <c r="DQ340" i="2"/>
  <c r="DP340" i="2"/>
  <c r="DO340" i="2"/>
  <c r="DN340" i="2"/>
  <c r="DM340" i="2"/>
  <c r="DL340" i="2"/>
  <c r="DK340" i="2"/>
  <c r="DJ340" i="2"/>
  <c r="DI340" i="2"/>
  <c r="DH340" i="2"/>
  <c r="DG340" i="2"/>
  <c r="DF340" i="2"/>
  <c r="DE340" i="2"/>
  <c r="DD340" i="2"/>
  <c r="DC340" i="2"/>
  <c r="DB340" i="2"/>
  <c r="CR340" i="2"/>
  <c r="CQ340" i="2"/>
  <c r="CP340" i="2"/>
  <c r="CO340" i="2"/>
  <c r="CN340" i="2"/>
  <c r="FS339" i="2"/>
  <c r="FR339" i="2"/>
  <c r="FQ339" i="2"/>
  <c r="FP339" i="2"/>
  <c r="FO339" i="2"/>
  <c r="FN339" i="2"/>
  <c r="FM339" i="2"/>
  <c r="FL339" i="2"/>
  <c r="FK339" i="2"/>
  <c r="FJ339" i="2"/>
  <c r="FI339" i="2"/>
  <c r="FH339" i="2"/>
  <c r="FG339" i="2"/>
  <c r="FF339" i="2"/>
  <c r="FE339" i="2"/>
  <c r="FD339" i="2"/>
  <c r="FC339" i="2"/>
  <c r="FB339" i="2"/>
  <c r="FA339" i="2"/>
  <c r="EZ339" i="2"/>
  <c r="EY339" i="2"/>
  <c r="EX339" i="2"/>
  <c r="EW339" i="2"/>
  <c r="EV339" i="2"/>
  <c r="EU339" i="2"/>
  <c r="ET339" i="2"/>
  <c r="ES339" i="2"/>
  <c r="ER339" i="2"/>
  <c r="EQ339" i="2"/>
  <c r="EP339" i="2"/>
  <c r="EO339" i="2"/>
  <c r="EN339" i="2"/>
  <c r="EM339" i="2"/>
  <c r="EL339" i="2"/>
  <c r="EK339" i="2"/>
  <c r="EJ339" i="2"/>
  <c r="EI339" i="2"/>
  <c r="EH339" i="2"/>
  <c r="EG339" i="2"/>
  <c r="EF339" i="2"/>
  <c r="EE339" i="2"/>
  <c r="ED339" i="2"/>
  <c r="EC339" i="2"/>
  <c r="EB339" i="2"/>
  <c r="EA339" i="2"/>
  <c r="DZ339" i="2"/>
  <c r="DY339" i="2"/>
  <c r="DX339" i="2"/>
  <c r="DW339" i="2"/>
  <c r="DV339" i="2"/>
  <c r="DU339" i="2"/>
  <c r="DT339" i="2"/>
  <c r="DS339" i="2"/>
  <c r="DR339" i="2"/>
  <c r="DQ339" i="2"/>
  <c r="DP339" i="2"/>
  <c r="DO339" i="2"/>
  <c r="DN339" i="2"/>
  <c r="DM339" i="2"/>
  <c r="DL339" i="2"/>
  <c r="DK339" i="2"/>
  <c r="DJ339" i="2"/>
  <c r="DI339" i="2"/>
  <c r="DH339" i="2"/>
  <c r="DG339" i="2"/>
  <c r="DF339" i="2"/>
  <c r="DE339" i="2"/>
  <c r="DD339" i="2"/>
  <c r="DC339" i="2"/>
  <c r="DB339" i="2"/>
  <c r="CR339" i="2"/>
  <c r="CQ339" i="2"/>
  <c r="CP339" i="2"/>
  <c r="CO339" i="2"/>
  <c r="CN339" i="2"/>
  <c r="FS338" i="2"/>
  <c r="FR338" i="2"/>
  <c r="FQ338" i="2"/>
  <c r="FP338" i="2"/>
  <c r="FO338" i="2"/>
  <c r="FN338" i="2"/>
  <c r="FM338" i="2"/>
  <c r="FL338" i="2"/>
  <c r="FK338" i="2"/>
  <c r="FJ338" i="2"/>
  <c r="FI338" i="2"/>
  <c r="FH338" i="2"/>
  <c r="FG338" i="2"/>
  <c r="FF338" i="2"/>
  <c r="FE338" i="2"/>
  <c r="FD338" i="2"/>
  <c r="FC338" i="2"/>
  <c r="FB338" i="2"/>
  <c r="FA338" i="2"/>
  <c r="EZ338" i="2"/>
  <c r="EY338" i="2"/>
  <c r="EX338" i="2"/>
  <c r="EW338" i="2"/>
  <c r="EV338" i="2"/>
  <c r="EU338" i="2"/>
  <c r="ET338" i="2"/>
  <c r="ES338" i="2"/>
  <c r="ER338" i="2"/>
  <c r="EQ338" i="2"/>
  <c r="EP338" i="2"/>
  <c r="EO338" i="2"/>
  <c r="EN338" i="2"/>
  <c r="EM338" i="2"/>
  <c r="EL338" i="2"/>
  <c r="EK338" i="2"/>
  <c r="EJ338" i="2"/>
  <c r="EI338" i="2"/>
  <c r="EH338" i="2"/>
  <c r="EG338" i="2"/>
  <c r="EF338" i="2"/>
  <c r="EE338" i="2"/>
  <c r="ED338" i="2"/>
  <c r="EC338" i="2"/>
  <c r="EB338" i="2"/>
  <c r="EA338" i="2"/>
  <c r="DZ338" i="2"/>
  <c r="DY338" i="2"/>
  <c r="DX338" i="2"/>
  <c r="DW338" i="2"/>
  <c r="DV338" i="2"/>
  <c r="DU338" i="2"/>
  <c r="DT338" i="2"/>
  <c r="DS338" i="2"/>
  <c r="DR338" i="2"/>
  <c r="DQ338" i="2"/>
  <c r="DP338" i="2"/>
  <c r="DO338" i="2"/>
  <c r="DN338" i="2"/>
  <c r="DM338" i="2"/>
  <c r="DL338" i="2"/>
  <c r="DK338" i="2"/>
  <c r="DJ338" i="2"/>
  <c r="DI338" i="2"/>
  <c r="DH338" i="2"/>
  <c r="DG338" i="2"/>
  <c r="DF338" i="2"/>
  <c r="DE338" i="2"/>
  <c r="DD338" i="2"/>
  <c r="DC338" i="2"/>
  <c r="DB338" i="2"/>
  <c r="CR338" i="2"/>
  <c r="CQ338" i="2"/>
  <c r="CP338" i="2"/>
  <c r="CO338" i="2"/>
  <c r="CN338" i="2"/>
  <c r="FS337" i="2"/>
  <c r="FR337" i="2"/>
  <c r="FQ337" i="2"/>
  <c r="FP337" i="2"/>
  <c r="FO337" i="2"/>
  <c r="FN337" i="2"/>
  <c r="FM337" i="2"/>
  <c r="FL337" i="2"/>
  <c r="FK337" i="2"/>
  <c r="FJ337" i="2"/>
  <c r="FI337" i="2"/>
  <c r="FH337" i="2"/>
  <c r="FG337" i="2"/>
  <c r="FF337" i="2"/>
  <c r="FE337" i="2"/>
  <c r="FD337" i="2"/>
  <c r="FC337" i="2"/>
  <c r="FB337" i="2"/>
  <c r="FA337" i="2"/>
  <c r="EZ337" i="2"/>
  <c r="EY337" i="2"/>
  <c r="EX337" i="2"/>
  <c r="EW337" i="2"/>
  <c r="EV337" i="2"/>
  <c r="EU337" i="2"/>
  <c r="ET337" i="2"/>
  <c r="ES337" i="2"/>
  <c r="ER337" i="2"/>
  <c r="EQ337" i="2"/>
  <c r="EP337" i="2"/>
  <c r="EO337" i="2"/>
  <c r="EN337" i="2"/>
  <c r="EM337" i="2"/>
  <c r="EL337" i="2"/>
  <c r="EK337" i="2"/>
  <c r="EJ337" i="2"/>
  <c r="EI337" i="2"/>
  <c r="EH337" i="2"/>
  <c r="EG337" i="2"/>
  <c r="EF337" i="2"/>
  <c r="EE337" i="2"/>
  <c r="ED337" i="2"/>
  <c r="EC337" i="2"/>
  <c r="EB337" i="2"/>
  <c r="EA337" i="2"/>
  <c r="DZ337" i="2"/>
  <c r="DY337" i="2"/>
  <c r="DX337" i="2"/>
  <c r="DW337" i="2"/>
  <c r="DV337" i="2"/>
  <c r="DU337" i="2"/>
  <c r="DT337" i="2"/>
  <c r="DS337" i="2"/>
  <c r="DR337" i="2"/>
  <c r="DQ337" i="2"/>
  <c r="DP337" i="2"/>
  <c r="DO337" i="2"/>
  <c r="DN337" i="2"/>
  <c r="DM337" i="2"/>
  <c r="DL337" i="2"/>
  <c r="DK337" i="2"/>
  <c r="DJ337" i="2"/>
  <c r="DI337" i="2"/>
  <c r="DH337" i="2"/>
  <c r="DG337" i="2"/>
  <c r="DF337" i="2"/>
  <c r="DE337" i="2"/>
  <c r="DD337" i="2"/>
  <c r="DC337" i="2"/>
  <c r="DB337" i="2"/>
  <c r="CR337" i="2"/>
  <c r="CQ337" i="2"/>
  <c r="CP337" i="2"/>
  <c r="CO337" i="2"/>
  <c r="CN337" i="2"/>
  <c r="FS336" i="2"/>
  <c r="FR336" i="2"/>
  <c r="FQ336" i="2"/>
  <c r="FP336" i="2"/>
  <c r="FO336" i="2"/>
  <c r="FN336" i="2"/>
  <c r="FM336" i="2"/>
  <c r="FL336" i="2"/>
  <c r="FK336" i="2"/>
  <c r="FJ336" i="2"/>
  <c r="FI336" i="2"/>
  <c r="FH336" i="2"/>
  <c r="FG336" i="2"/>
  <c r="FF336" i="2"/>
  <c r="FE336" i="2"/>
  <c r="FD336" i="2"/>
  <c r="FC336" i="2"/>
  <c r="FB336" i="2"/>
  <c r="FA336" i="2"/>
  <c r="EZ336" i="2"/>
  <c r="EY336" i="2"/>
  <c r="EX336" i="2"/>
  <c r="EW336" i="2"/>
  <c r="EV336" i="2"/>
  <c r="EU336" i="2"/>
  <c r="ET336" i="2"/>
  <c r="ES336" i="2"/>
  <c r="ER336" i="2"/>
  <c r="EQ336" i="2"/>
  <c r="EP336" i="2"/>
  <c r="EO336" i="2"/>
  <c r="EN336" i="2"/>
  <c r="EM336" i="2"/>
  <c r="EL336" i="2"/>
  <c r="EK336" i="2"/>
  <c r="EJ336" i="2"/>
  <c r="EI336" i="2"/>
  <c r="EH336" i="2"/>
  <c r="EG336" i="2"/>
  <c r="EF336" i="2"/>
  <c r="EE336" i="2"/>
  <c r="ED336" i="2"/>
  <c r="EC336" i="2"/>
  <c r="EB336" i="2"/>
  <c r="EA336" i="2"/>
  <c r="DZ336" i="2"/>
  <c r="DY336" i="2"/>
  <c r="DX336" i="2"/>
  <c r="DW336" i="2"/>
  <c r="DV336" i="2"/>
  <c r="DU336" i="2"/>
  <c r="DT336" i="2"/>
  <c r="DS336" i="2"/>
  <c r="DR336" i="2"/>
  <c r="DQ336" i="2"/>
  <c r="DP336" i="2"/>
  <c r="DO336" i="2"/>
  <c r="DN336" i="2"/>
  <c r="DM336" i="2"/>
  <c r="DL336" i="2"/>
  <c r="DK336" i="2"/>
  <c r="DJ336" i="2"/>
  <c r="DI336" i="2"/>
  <c r="DH336" i="2"/>
  <c r="DG336" i="2"/>
  <c r="DF336" i="2"/>
  <c r="DE336" i="2"/>
  <c r="DD336" i="2"/>
  <c r="DC336" i="2"/>
  <c r="DB336" i="2"/>
  <c r="CR336" i="2"/>
  <c r="CQ336" i="2"/>
  <c r="CP336" i="2"/>
  <c r="CO336" i="2"/>
  <c r="CN336" i="2"/>
  <c r="FS335" i="2"/>
  <c r="FR335" i="2"/>
  <c r="FQ335" i="2"/>
  <c r="FP335" i="2"/>
  <c r="FO335" i="2"/>
  <c r="FN335" i="2"/>
  <c r="FM335" i="2"/>
  <c r="FL335" i="2"/>
  <c r="FK335" i="2"/>
  <c r="FJ335" i="2"/>
  <c r="FI335" i="2"/>
  <c r="FH335" i="2"/>
  <c r="FG335" i="2"/>
  <c r="FF335" i="2"/>
  <c r="FE335" i="2"/>
  <c r="FD335" i="2"/>
  <c r="FC335" i="2"/>
  <c r="FB335" i="2"/>
  <c r="FA335" i="2"/>
  <c r="EZ335" i="2"/>
  <c r="EY335" i="2"/>
  <c r="EX335" i="2"/>
  <c r="EW335" i="2"/>
  <c r="EV335" i="2"/>
  <c r="EU335" i="2"/>
  <c r="ET335" i="2"/>
  <c r="ES335" i="2"/>
  <c r="ER335" i="2"/>
  <c r="EQ335" i="2"/>
  <c r="EP335" i="2"/>
  <c r="EO335" i="2"/>
  <c r="EN335" i="2"/>
  <c r="EM335" i="2"/>
  <c r="EL335" i="2"/>
  <c r="EK335" i="2"/>
  <c r="EJ335" i="2"/>
  <c r="EI335" i="2"/>
  <c r="EH335" i="2"/>
  <c r="EG335" i="2"/>
  <c r="EF335" i="2"/>
  <c r="EE335" i="2"/>
  <c r="ED335" i="2"/>
  <c r="EC335" i="2"/>
  <c r="EB335" i="2"/>
  <c r="EA335" i="2"/>
  <c r="DZ335" i="2"/>
  <c r="DY335" i="2"/>
  <c r="DX335" i="2"/>
  <c r="DW335" i="2"/>
  <c r="DV335" i="2"/>
  <c r="DU335" i="2"/>
  <c r="DT335" i="2"/>
  <c r="DS335" i="2"/>
  <c r="DR335" i="2"/>
  <c r="DQ335" i="2"/>
  <c r="DP335" i="2"/>
  <c r="DO335" i="2"/>
  <c r="DN335" i="2"/>
  <c r="DM335" i="2"/>
  <c r="DL335" i="2"/>
  <c r="DK335" i="2"/>
  <c r="DJ335" i="2"/>
  <c r="DI335" i="2"/>
  <c r="DH335" i="2"/>
  <c r="DG335" i="2"/>
  <c r="DF335" i="2"/>
  <c r="DE335" i="2"/>
  <c r="DD335" i="2"/>
  <c r="DC335" i="2"/>
  <c r="DB335" i="2"/>
  <c r="CR335" i="2"/>
  <c r="CQ335" i="2"/>
  <c r="CP335" i="2"/>
  <c r="CO335" i="2"/>
  <c r="CN335" i="2"/>
  <c r="FS334" i="2"/>
  <c r="FR334" i="2"/>
  <c r="FQ334" i="2"/>
  <c r="FP334" i="2"/>
  <c r="FO334" i="2"/>
  <c r="FN334" i="2"/>
  <c r="FM334" i="2"/>
  <c r="FL334" i="2"/>
  <c r="FK334" i="2"/>
  <c r="FJ334" i="2"/>
  <c r="FI334" i="2"/>
  <c r="FH334" i="2"/>
  <c r="FG334" i="2"/>
  <c r="FF334" i="2"/>
  <c r="FE334" i="2"/>
  <c r="FD334" i="2"/>
  <c r="FC334" i="2"/>
  <c r="FB334" i="2"/>
  <c r="FA334" i="2"/>
  <c r="EZ334" i="2"/>
  <c r="EY334" i="2"/>
  <c r="EX334" i="2"/>
  <c r="EW334" i="2"/>
  <c r="EV334" i="2"/>
  <c r="EU334" i="2"/>
  <c r="ET334" i="2"/>
  <c r="ES334" i="2"/>
  <c r="ER334" i="2"/>
  <c r="EQ334" i="2"/>
  <c r="EP334" i="2"/>
  <c r="EO334" i="2"/>
  <c r="EN334" i="2"/>
  <c r="EM334" i="2"/>
  <c r="EL334" i="2"/>
  <c r="EK334" i="2"/>
  <c r="EJ334" i="2"/>
  <c r="EI334" i="2"/>
  <c r="EH334" i="2"/>
  <c r="EG334" i="2"/>
  <c r="EF334" i="2"/>
  <c r="EE334" i="2"/>
  <c r="ED334" i="2"/>
  <c r="EC334" i="2"/>
  <c r="EB334" i="2"/>
  <c r="EA334" i="2"/>
  <c r="DZ334" i="2"/>
  <c r="DY334" i="2"/>
  <c r="DX334" i="2"/>
  <c r="DW334" i="2"/>
  <c r="DV334" i="2"/>
  <c r="DU334" i="2"/>
  <c r="DT334" i="2"/>
  <c r="DS334" i="2"/>
  <c r="DR334" i="2"/>
  <c r="DQ334" i="2"/>
  <c r="DP334" i="2"/>
  <c r="DO334" i="2"/>
  <c r="DN334" i="2"/>
  <c r="DM334" i="2"/>
  <c r="DL334" i="2"/>
  <c r="DK334" i="2"/>
  <c r="DJ334" i="2"/>
  <c r="DI334" i="2"/>
  <c r="DH334" i="2"/>
  <c r="DG334" i="2"/>
  <c r="CU334" i="2" s="1"/>
  <c r="DF334" i="2"/>
  <c r="DE334" i="2"/>
  <c r="DD334" i="2"/>
  <c r="DC334" i="2"/>
  <c r="DB334" i="2"/>
  <c r="CR334" i="2"/>
  <c r="CQ334" i="2"/>
  <c r="CP334" i="2"/>
  <c r="CO334" i="2"/>
  <c r="CN334" i="2"/>
  <c r="FS333" i="2"/>
  <c r="FR333" i="2"/>
  <c r="FQ333" i="2"/>
  <c r="FP333" i="2"/>
  <c r="FO333" i="2"/>
  <c r="FN333" i="2"/>
  <c r="FM333" i="2"/>
  <c r="FL333" i="2"/>
  <c r="FK333" i="2"/>
  <c r="FJ333" i="2"/>
  <c r="FI333" i="2"/>
  <c r="FH333" i="2"/>
  <c r="FG333" i="2"/>
  <c r="FF333" i="2"/>
  <c r="FE333" i="2"/>
  <c r="FD333" i="2"/>
  <c r="FC333" i="2"/>
  <c r="FB333" i="2"/>
  <c r="FA333" i="2"/>
  <c r="EZ333" i="2"/>
  <c r="EY333" i="2"/>
  <c r="EX333" i="2"/>
  <c r="EW333" i="2"/>
  <c r="EV333" i="2"/>
  <c r="EU333" i="2"/>
  <c r="ET333" i="2"/>
  <c r="ES333" i="2"/>
  <c r="ER333" i="2"/>
  <c r="EQ333" i="2"/>
  <c r="EP333" i="2"/>
  <c r="EO333" i="2"/>
  <c r="EN333" i="2"/>
  <c r="EM333" i="2"/>
  <c r="EL333" i="2"/>
  <c r="EK333" i="2"/>
  <c r="EJ333" i="2"/>
  <c r="EI333" i="2"/>
  <c r="EH333" i="2"/>
  <c r="EG333" i="2"/>
  <c r="EF333" i="2"/>
  <c r="EE333" i="2"/>
  <c r="ED333" i="2"/>
  <c r="EC333" i="2"/>
  <c r="EB333" i="2"/>
  <c r="EA333" i="2"/>
  <c r="DZ333" i="2"/>
  <c r="DY333" i="2"/>
  <c r="DX333" i="2"/>
  <c r="DW333" i="2"/>
  <c r="DV333" i="2"/>
  <c r="DU333" i="2"/>
  <c r="DT333" i="2"/>
  <c r="DS333" i="2"/>
  <c r="DR333" i="2"/>
  <c r="DQ333" i="2"/>
  <c r="DP333" i="2"/>
  <c r="DO333" i="2"/>
  <c r="DN333" i="2"/>
  <c r="DM333" i="2"/>
  <c r="DL333" i="2"/>
  <c r="DK333" i="2"/>
  <c r="DJ333" i="2"/>
  <c r="DI333" i="2"/>
  <c r="DH333" i="2"/>
  <c r="DG333" i="2"/>
  <c r="DF333" i="2"/>
  <c r="DE333" i="2"/>
  <c r="DD333" i="2"/>
  <c r="DC333" i="2"/>
  <c r="DB333" i="2"/>
  <c r="CR333" i="2"/>
  <c r="CQ333" i="2"/>
  <c r="CP333" i="2"/>
  <c r="CO333" i="2"/>
  <c r="CN333" i="2"/>
  <c r="FS332" i="2"/>
  <c r="FR332" i="2"/>
  <c r="FQ332" i="2"/>
  <c r="FP332" i="2"/>
  <c r="FO332" i="2"/>
  <c r="FN332" i="2"/>
  <c r="FM332" i="2"/>
  <c r="FL332" i="2"/>
  <c r="FK332" i="2"/>
  <c r="FJ332" i="2"/>
  <c r="FI332" i="2"/>
  <c r="FH332" i="2"/>
  <c r="FG332" i="2"/>
  <c r="FF332" i="2"/>
  <c r="FE332" i="2"/>
  <c r="FD332" i="2"/>
  <c r="FC332" i="2"/>
  <c r="FB332" i="2"/>
  <c r="FA332" i="2"/>
  <c r="EZ332" i="2"/>
  <c r="EY332" i="2"/>
  <c r="EX332" i="2"/>
  <c r="EW332" i="2"/>
  <c r="EV332" i="2"/>
  <c r="EU332" i="2"/>
  <c r="ET332" i="2"/>
  <c r="ES332" i="2"/>
  <c r="ER332" i="2"/>
  <c r="EQ332" i="2"/>
  <c r="EP332" i="2"/>
  <c r="EO332" i="2"/>
  <c r="EN332" i="2"/>
  <c r="EM332" i="2"/>
  <c r="EL332" i="2"/>
  <c r="EK332" i="2"/>
  <c r="EJ332" i="2"/>
  <c r="EI332" i="2"/>
  <c r="EH332" i="2"/>
  <c r="EG332" i="2"/>
  <c r="EF332" i="2"/>
  <c r="EE332" i="2"/>
  <c r="ED332" i="2"/>
  <c r="EC332" i="2"/>
  <c r="EB332" i="2"/>
  <c r="EA332" i="2"/>
  <c r="DZ332" i="2"/>
  <c r="DY332" i="2"/>
  <c r="DX332" i="2"/>
  <c r="DW332" i="2"/>
  <c r="DV332" i="2"/>
  <c r="DU332" i="2"/>
  <c r="DT332" i="2"/>
  <c r="DS332" i="2"/>
  <c r="DR332" i="2"/>
  <c r="DQ332" i="2"/>
  <c r="DP332" i="2"/>
  <c r="DO332" i="2"/>
  <c r="DN332" i="2"/>
  <c r="DM332" i="2"/>
  <c r="DL332" i="2"/>
  <c r="DK332" i="2"/>
  <c r="DJ332" i="2"/>
  <c r="DI332" i="2"/>
  <c r="DH332" i="2"/>
  <c r="DG332" i="2"/>
  <c r="DF332" i="2"/>
  <c r="DE332" i="2"/>
  <c r="DD332" i="2"/>
  <c r="DC332" i="2"/>
  <c r="DB332" i="2"/>
  <c r="CR332" i="2"/>
  <c r="CQ332" i="2"/>
  <c r="CP332" i="2"/>
  <c r="CO332" i="2"/>
  <c r="CN332" i="2"/>
  <c r="FS331" i="2"/>
  <c r="FR331" i="2"/>
  <c r="FQ331" i="2"/>
  <c r="FP331" i="2"/>
  <c r="FO331" i="2"/>
  <c r="FN331" i="2"/>
  <c r="FM331" i="2"/>
  <c r="FL331" i="2"/>
  <c r="FK331" i="2"/>
  <c r="FJ331" i="2"/>
  <c r="FI331" i="2"/>
  <c r="FH331" i="2"/>
  <c r="FG331" i="2"/>
  <c r="FF331" i="2"/>
  <c r="FE331" i="2"/>
  <c r="FD331" i="2"/>
  <c r="FC331" i="2"/>
  <c r="FB331" i="2"/>
  <c r="FA331" i="2"/>
  <c r="EZ331" i="2"/>
  <c r="EY331" i="2"/>
  <c r="EX331" i="2"/>
  <c r="EW331" i="2"/>
  <c r="EV331" i="2"/>
  <c r="EU331" i="2"/>
  <c r="ET331" i="2"/>
  <c r="ES331" i="2"/>
  <c r="ER331" i="2"/>
  <c r="EQ331" i="2"/>
  <c r="EP331" i="2"/>
  <c r="EO331" i="2"/>
  <c r="EN331" i="2"/>
  <c r="EM331" i="2"/>
  <c r="EL331" i="2"/>
  <c r="EK331" i="2"/>
  <c r="EJ331" i="2"/>
  <c r="EI331" i="2"/>
  <c r="EH331" i="2"/>
  <c r="EG331" i="2"/>
  <c r="EF331" i="2"/>
  <c r="EE331" i="2"/>
  <c r="ED331" i="2"/>
  <c r="EC331" i="2"/>
  <c r="EB331" i="2"/>
  <c r="EA331" i="2"/>
  <c r="DZ331" i="2"/>
  <c r="DY331" i="2"/>
  <c r="DX331" i="2"/>
  <c r="DW331" i="2"/>
  <c r="DV331" i="2"/>
  <c r="DU331" i="2"/>
  <c r="DT331" i="2"/>
  <c r="DS331" i="2"/>
  <c r="DR331" i="2"/>
  <c r="DQ331" i="2"/>
  <c r="DP331" i="2"/>
  <c r="DO331" i="2"/>
  <c r="DN331" i="2"/>
  <c r="DM331" i="2"/>
  <c r="DL331" i="2"/>
  <c r="DK331" i="2"/>
  <c r="DJ331" i="2"/>
  <c r="DI331" i="2"/>
  <c r="DH331" i="2"/>
  <c r="DG331" i="2"/>
  <c r="DF331" i="2"/>
  <c r="DE331" i="2"/>
  <c r="DD331" i="2"/>
  <c r="DC331" i="2"/>
  <c r="DB331" i="2"/>
  <c r="CU331" i="2"/>
  <c r="CR331" i="2"/>
  <c r="CQ331" i="2"/>
  <c r="CP331" i="2"/>
  <c r="CO331" i="2"/>
  <c r="CN331" i="2"/>
  <c r="FS330" i="2"/>
  <c r="FR330" i="2"/>
  <c r="FQ330" i="2"/>
  <c r="FP330" i="2"/>
  <c r="FO330" i="2"/>
  <c r="FN330" i="2"/>
  <c r="FM330" i="2"/>
  <c r="FL330" i="2"/>
  <c r="FK330" i="2"/>
  <c r="FJ330" i="2"/>
  <c r="FI330" i="2"/>
  <c r="FH330" i="2"/>
  <c r="FG330" i="2"/>
  <c r="FF330" i="2"/>
  <c r="FE330" i="2"/>
  <c r="FD330" i="2"/>
  <c r="FC330" i="2"/>
  <c r="FB330" i="2"/>
  <c r="FA330" i="2"/>
  <c r="EZ330" i="2"/>
  <c r="EY330" i="2"/>
  <c r="EX330" i="2"/>
  <c r="EW330" i="2"/>
  <c r="EV330" i="2"/>
  <c r="EU330" i="2"/>
  <c r="ET330" i="2"/>
  <c r="ES330" i="2"/>
  <c r="ER330" i="2"/>
  <c r="EQ330" i="2"/>
  <c r="EP330" i="2"/>
  <c r="EO330" i="2"/>
  <c r="EN330" i="2"/>
  <c r="EM330" i="2"/>
  <c r="EL330" i="2"/>
  <c r="EK330" i="2"/>
  <c r="EJ330" i="2"/>
  <c r="EI330" i="2"/>
  <c r="EH330" i="2"/>
  <c r="EG330" i="2"/>
  <c r="EF330" i="2"/>
  <c r="EE330" i="2"/>
  <c r="ED330" i="2"/>
  <c r="EC330" i="2"/>
  <c r="EB330" i="2"/>
  <c r="EA330" i="2"/>
  <c r="DZ330" i="2"/>
  <c r="DY330" i="2"/>
  <c r="DX330" i="2"/>
  <c r="DW330" i="2"/>
  <c r="DV330" i="2"/>
  <c r="DU330" i="2"/>
  <c r="DT330" i="2"/>
  <c r="DS330" i="2"/>
  <c r="DR330" i="2"/>
  <c r="DQ330" i="2"/>
  <c r="DP330" i="2"/>
  <c r="DO330" i="2"/>
  <c r="DN330" i="2"/>
  <c r="DM330" i="2"/>
  <c r="DL330" i="2"/>
  <c r="DK330" i="2"/>
  <c r="DJ330" i="2"/>
  <c r="DI330" i="2"/>
  <c r="DH330" i="2"/>
  <c r="DG330" i="2"/>
  <c r="DF330" i="2"/>
  <c r="DE330" i="2"/>
  <c r="DD330" i="2"/>
  <c r="DC330" i="2"/>
  <c r="DB330" i="2"/>
  <c r="CR330" i="2"/>
  <c r="CQ330" i="2"/>
  <c r="CP330" i="2"/>
  <c r="CO330" i="2"/>
  <c r="CN330" i="2"/>
  <c r="FS329" i="2"/>
  <c r="FR329" i="2"/>
  <c r="FQ329" i="2"/>
  <c r="FP329" i="2"/>
  <c r="FO329" i="2"/>
  <c r="FN329" i="2"/>
  <c r="FM329" i="2"/>
  <c r="FL329" i="2"/>
  <c r="FK329" i="2"/>
  <c r="FJ329" i="2"/>
  <c r="FI329" i="2"/>
  <c r="FH329" i="2"/>
  <c r="FG329" i="2"/>
  <c r="FF329" i="2"/>
  <c r="FE329" i="2"/>
  <c r="FD329" i="2"/>
  <c r="FC329" i="2"/>
  <c r="FB329" i="2"/>
  <c r="FA329" i="2"/>
  <c r="EZ329" i="2"/>
  <c r="EY329" i="2"/>
  <c r="EX329" i="2"/>
  <c r="EW329" i="2"/>
  <c r="EV329" i="2"/>
  <c r="EU329" i="2"/>
  <c r="ET329" i="2"/>
  <c r="ES329" i="2"/>
  <c r="ER329" i="2"/>
  <c r="EQ329" i="2"/>
  <c r="EP329" i="2"/>
  <c r="EO329" i="2"/>
  <c r="EN329" i="2"/>
  <c r="EM329" i="2"/>
  <c r="EL329" i="2"/>
  <c r="EK329" i="2"/>
  <c r="EJ329" i="2"/>
  <c r="EI329" i="2"/>
  <c r="EH329" i="2"/>
  <c r="EG329" i="2"/>
  <c r="EF329" i="2"/>
  <c r="EE329" i="2"/>
  <c r="ED329" i="2"/>
  <c r="EC329" i="2"/>
  <c r="EB329" i="2"/>
  <c r="EA329" i="2"/>
  <c r="DZ329" i="2"/>
  <c r="DY329" i="2"/>
  <c r="DX329" i="2"/>
  <c r="DW329" i="2"/>
  <c r="DV329" i="2"/>
  <c r="DU329" i="2"/>
  <c r="DT329" i="2"/>
  <c r="DS329" i="2"/>
  <c r="DR329" i="2"/>
  <c r="DQ329" i="2"/>
  <c r="DP329" i="2"/>
  <c r="DO329" i="2"/>
  <c r="DN329" i="2"/>
  <c r="DM329" i="2"/>
  <c r="DL329" i="2"/>
  <c r="DK329" i="2"/>
  <c r="DJ329" i="2"/>
  <c r="DI329" i="2"/>
  <c r="DH329" i="2"/>
  <c r="DG329" i="2"/>
  <c r="DF329" i="2"/>
  <c r="DE329" i="2"/>
  <c r="DD329" i="2"/>
  <c r="DC329" i="2"/>
  <c r="DB329" i="2"/>
  <c r="CR329" i="2"/>
  <c r="CQ329" i="2"/>
  <c r="CP329" i="2"/>
  <c r="CO329" i="2"/>
  <c r="CN329" i="2"/>
  <c r="FS328" i="2"/>
  <c r="FR328" i="2"/>
  <c r="FQ328" i="2"/>
  <c r="FP328" i="2"/>
  <c r="FO328" i="2"/>
  <c r="FN328" i="2"/>
  <c r="FM328" i="2"/>
  <c r="FL328" i="2"/>
  <c r="FK328" i="2"/>
  <c r="FJ328" i="2"/>
  <c r="FI328" i="2"/>
  <c r="FH328" i="2"/>
  <c r="FG328" i="2"/>
  <c r="FF328" i="2"/>
  <c r="FE328" i="2"/>
  <c r="FD328" i="2"/>
  <c r="FC328" i="2"/>
  <c r="FB328" i="2"/>
  <c r="FA328" i="2"/>
  <c r="EZ328" i="2"/>
  <c r="EY328" i="2"/>
  <c r="EX328" i="2"/>
  <c r="EW328" i="2"/>
  <c r="EV328" i="2"/>
  <c r="EU328" i="2"/>
  <c r="ET328" i="2"/>
  <c r="ES328" i="2"/>
  <c r="ER328" i="2"/>
  <c r="EQ328" i="2"/>
  <c r="EP328" i="2"/>
  <c r="EO328" i="2"/>
  <c r="EN328" i="2"/>
  <c r="EM328" i="2"/>
  <c r="EL328" i="2"/>
  <c r="EK328" i="2"/>
  <c r="EJ328" i="2"/>
  <c r="EI328" i="2"/>
  <c r="EH328" i="2"/>
  <c r="EG328" i="2"/>
  <c r="EF328" i="2"/>
  <c r="EE328" i="2"/>
  <c r="ED328" i="2"/>
  <c r="EC328" i="2"/>
  <c r="EB328" i="2"/>
  <c r="EA328" i="2"/>
  <c r="DZ328" i="2"/>
  <c r="DY328" i="2"/>
  <c r="DX328" i="2"/>
  <c r="DW328" i="2"/>
  <c r="DV328" i="2"/>
  <c r="DU328" i="2"/>
  <c r="DT328" i="2"/>
  <c r="DS328" i="2"/>
  <c r="DR328" i="2"/>
  <c r="DQ328" i="2"/>
  <c r="DP328" i="2"/>
  <c r="DO328" i="2"/>
  <c r="DN328" i="2"/>
  <c r="DM328" i="2"/>
  <c r="DL328" i="2"/>
  <c r="DK328" i="2"/>
  <c r="DJ328" i="2"/>
  <c r="DI328" i="2"/>
  <c r="DH328" i="2"/>
  <c r="DG328" i="2"/>
  <c r="DF328" i="2"/>
  <c r="DE328" i="2"/>
  <c r="DD328" i="2"/>
  <c r="DC328" i="2"/>
  <c r="DB328" i="2"/>
  <c r="CR328" i="2"/>
  <c r="CQ328" i="2"/>
  <c r="CP328" i="2"/>
  <c r="CO328" i="2"/>
  <c r="CN328" i="2"/>
  <c r="FS327" i="2"/>
  <c r="FR327" i="2"/>
  <c r="FQ327" i="2"/>
  <c r="FP327" i="2"/>
  <c r="FO327" i="2"/>
  <c r="FN327" i="2"/>
  <c r="FM327" i="2"/>
  <c r="FL327" i="2"/>
  <c r="FK327" i="2"/>
  <c r="FJ327" i="2"/>
  <c r="FI327" i="2"/>
  <c r="FH327" i="2"/>
  <c r="FG327" i="2"/>
  <c r="FF327" i="2"/>
  <c r="FE327" i="2"/>
  <c r="FD327" i="2"/>
  <c r="FC327" i="2"/>
  <c r="FB327" i="2"/>
  <c r="FA327" i="2"/>
  <c r="EZ327" i="2"/>
  <c r="EY327" i="2"/>
  <c r="EX327" i="2"/>
  <c r="EW327" i="2"/>
  <c r="EV327" i="2"/>
  <c r="EU327" i="2"/>
  <c r="ET327" i="2"/>
  <c r="ES327" i="2"/>
  <c r="ER327" i="2"/>
  <c r="EQ327" i="2"/>
  <c r="EP327" i="2"/>
  <c r="EO327" i="2"/>
  <c r="EN327" i="2"/>
  <c r="EM327" i="2"/>
  <c r="EL327" i="2"/>
  <c r="EK327" i="2"/>
  <c r="EJ327" i="2"/>
  <c r="EI327" i="2"/>
  <c r="EH327" i="2"/>
  <c r="EG327" i="2"/>
  <c r="EF327" i="2"/>
  <c r="EE327" i="2"/>
  <c r="ED327" i="2"/>
  <c r="EC327" i="2"/>
  <c r="EB327" i="2"/>
  <c r="EA327" i="2"/>
  <c r="DZ327" i="2"/>
  <c r="DY327" i="2"/>
  <c r="DX327" i="2"/>
  <c r="DW327" i="2"/>
  <c r="DV327" i="2"/>
  <c r="DU327" i="2"/>
  <c r="DT327" i="2"/>
  <c r="DS327" i="2"/>
  <c r="DR327" i="2"/>
  <c r="DQ327" i="2"/>
  <c r="DP327" i="2"/>
  <c r="DO327" i="2"/>
  <c r="DN327" i="2"/>
  <c r="DM327" i="2"/>
  <c r="DL327" i="2"/>
  <c r="DK327" i="2"/>
  <c r="DJ327" i="2"/>
  <c r="DI327" i="2"/>
  <c r="DH327" i="2"/>
  <c r="DG327" i="2"/>
  <c r="DF327" i="2"/>
  <c r="DE327" i="2"/>
  <c r="DD327" i="2"/>
  <c r="DC327" i="2"/>
  <c r="DB327" i="2"/>
  <c r="CR327" i="2"/>
  <c r="CQ327" i="2"/>
  <c r="CP327" i="2"/>
  <c r="CO327" i="2"/>
  <c r="CN327" i="2"/>
  <c r="FS326" i="2"/>
  <c r="FR326" i="2"/>
  <c r="FQ326" i="2"/>
  <c r="FP326" i="2"/>
  <c r="FO326" i="2"/>
  <c r="FN326" i="2"/>
  <c r="FM326" i="2"/>
  <c r="FL326" i="2"/>
  <c r="FK326" i="2"/>
  <c r="FJ326" i="2"/>
  <c r="FI326" i="2"/>
  <c r="FH326" i="2"/>
  <c r="FG326" i="2"/>
  <c r="FF326" i="2"/>
  <c r="FE326" i="2"/>
  <c r="FD326" i="2"/>
  <c r="FC326" i="2"/>
  <c r="FB326" i="2"/>
  <c r="FA326" i="2"/>
  <c r="EZ326" i="2"/>
  <c r="EY326" i="2"/>
  <c r="EX326" i="2"/>
  <c r="EW326" i="2"/>
  <c r="EV326" i="2"/>
  <c r="EU326" i="2"/>
  <c r="ET326" i="2"/>
  <c r="ES326" i="2"/>
  <c r="ER326" i="2"/>
  <c r="EQ326" i="2"/>
  <c r="EP326" i="2"/>
  <c r="EO326" i="2"/>
  <c r="EN326" i="2"/>
  <c r="EM326" i="2"/>
  <c r="EL326" i="2"/>
  <c r="EK326" i="2"/>
  <c r="EJ326" i="2"/>
  <c r="EI326" i="2"/>
  <c r="EH326" i="2"/>
  <c r="EG326" i="2"/>
  <c r="EF326" i="2"/>
  <c r="EE326" i="2"/>
  <c r="ED326" i="2"/>
  <c r="EC326" i="2"/>
  <c r="EB326" i="2"/>
  <c r="EA326" i="2"/>
  <c r="DZ326" i="2"/>
  <c r="DY326" i="2"/>
  <c r="DX326" i="2"/>
  <c r="DW326" i="2"/>
  <c r="DV326" i="2"/>
  <c r="DU326" i="2"/>
  <c r="DT326" i="2"/>
  <c r="DS326" i="2"/>
  <c r="DR326" i="2"/>
  <c r="DQ326" i="2"/>
  <c r="DP326" i="2"/>
  <c r="DO326" i="2"/>
  <c r="DN326" i="2"/>
  <c r="DM326" i="2"/>
  <c r="DL326" i="2"/>
  <c r="DK326" i="2"/>
  <c r="DJ326" i="2"/>
  <c r="DI326" i="2"/>
  <c r="DH326" i="2"/>
  <c r="DG326" i="2"/>
  <c r="DF326" i="2"/>
  <c r="DE326" i="2"/>
  <c r="DD326" i="2"/>
  <c r="DC326" i="2"/>
  <c r="DB326" i="2"/>
  <c r="CR326" i="2"/>
  <c r="CQ326" i="2"/>
  <c r="CP326" i="2"/>
  <c r="CO326" i="2"/>
  <c r="CN326" i="2"/>
  <c r="FS325" i="2"/>
  <c r="FR325" i="2"/>
  <c r="FQ325" i="2"/>
  <c r="FP325" i="2"/>
  <c r="FO325" i="2"/>
  <c r="FN325" i="2"/>
  <c r="FM325" i="2"/>
  <c r="FL325" i="2"/>
  <c r="FK325" i="2"/>
  <c r="FJ325" i="2"/>
  <c r="FI325" i="2"/>
  <c r="FH325" i="2"/>
  <c r="FG325" i="2"/>
  <c r="FF325" i="2"/>
  <c r="FE325" i="2"/>
  <c r="FD325" i="2"/>
  <c r="FC325" i="2"/>
  <c r="FB325" i="2"/>
  <c r="FA325" i="2"/>
  <c r="EZ325" i="2"/>
  <c r="EY325" i="2"/>
  <c r="EX325" i="2"/>
  <c r="EW325" i="2"/>
  <c r="EV325" i="2"/>
  <c r="EU325" i="2"/>
  <c r="ET325" i="2"/>
  <c r="ES325" i="2"/>
  <c r="ER325" i="2"/>
  <c r="EQ325" i="2"/>
  <c r="EP325" i="2"/>
  <c r="EO325" i="2"/>
  <c r="EN325" i="2"/>
  <c r="EM325" i="2"/>
  <c r="EL325" i="2"/>
  <c r="EK325" i="2"/>
  <c r="EJ325" i="2"/>
  <c r="EI325" i="2"/>
  <c r="EH325" i="2"/>
  <c r="EG325" i="2"/>
  <c r="EF325" i="2"/>
  <c r="EE325" i="2"/>
  <c r="ED325" i="2"/>
  <c r="EC325" i="2"/>
  <c r="EB325" i="2"/>
  <c r="EA325" i="2"/>
  <c r="DZ325" i="2"/>
  <c r="DY325" i="2"/>
  <c r="DX325" i="2"/>
  <c r="DW325" i="2"/>
  <c r="DV325" i="2"/>
  <c r="DU325" i="2"/>
  <c r="DT325" i="2"/>
  <c r="DS325" i="2"/>
  <c r="DR325" i="2"/>
  <c r="DQ325" i="2"/>
  <c r="DP325" i="2"/>
  <c r="DO325" i="2"/>
  <c r="DN325" i="2"/>
  <c r="DM325" i="2"/>
  <c r="DL325" i="2"/>
  <c r="DK325" i="2"/>
  <c r="DJ325" i="2"/>
  <c r="DI325" i="2"/>
  <c r="DH325" i="2"/>
  <c r="DG325" i="2"/>
  <c r="DF325" i="2"/>
  <c r="DE325" i="2"/>
  <c r="DD325" i="2"/>
  <c r="DC325" i="2"/>
  <c r="DB325" i="2"/>
  <c r="CR325" i="2"/>
  <c r="CQ325" i="2"/>
  <c r="CP325" i="2"/>
  <c r="CO325" i="2"/>
  <c r="CN325" i="2"/>
  <c r="FS324" i="2"/>
  <c r="FR324" i="2"/>
  <c r="FQ324" i="2"/>
  <c r="FP324" i="2"/>
  <c r="FO324" i="2"/>
  <c r="FN324" i="2"/>
  <c r="FM324" i="2"/>
  <c r="FL324" i="2"/>
  <c r="FK324" i="2"/>
  <c r="FJ324" i="2"/>
  <c r="FI324" i="2"/>
  <c r="FH324" i="2"/>
  <c r="FG324" i="2"/>
  <c r="FF324" i="2"/>
  <c r="FE324" i="2"/>
  <c r="FD324" i="2"/>
  <c r="FC324" i="2"/>
  <c r="FB324" i="2"/>
  <c r="FA324" i="2"/>
  <c r="EZ324" i="2"/>
  <c r="EY324" i="2"/>
  <c r="EX324" i="2"/>
  <c r="EW324" i="2"/>
  <c r="EV324" i="2"/>
  <c r="EU324" i="2"/>
  <c r="ET324" i="2"/>
  <c r="ES324" i="2"/>
  <c r="ER324" i="2"/>
  <c r="EQ324" i="2"/>
  <c r="EP324" i="2"/>
  <c r="EO324" i="2"/>
  <c r="EN324" i="2"/>
  <c r="EM324" i="2"/>
  <c r="EL324" i="2"/>
  <c r="EK324" i="2"/>
  <c r="EJ324" i="2"/>
  <c r="EI324" i="2"/>
  <c r="EH324" i="2"/>
  <c r="EG324" i="2"/>
  <c r="EF324" i="2"/>
  <c r="EE324" i="2"/>
  <c r="ED324" i="2"/>
  <c r="EC324" i="2"/>
  <c r="EB324" i="2"/>
  <c r="EA324" i="2"/>
  <c r="DZ324" i="2"/>
  <c r="DY324" i="2"/>
  <c r="DX324" i="2"/>
  <c r="DW324" i="2"/>
  <c r="DV324" i="2"/>
  <c r="DU324" i="2"/>
  <c r="DT324" i="2"/>
  <c r="DS324" i="2"/>
  <c r="DR324" i="2"/>
  <c r="DQ324" i="2"/>
  <c r="DP324" i="2"/>
  <c r="DO324" i="2"/>
  <c r="DN324" i="2"/>
  <c r="DM324" i="2"/>
  <c r="DL324" i="2"/>
  <c r="DK324" i="2"/>
  <c r="DJ324" i="2"/>
  <c r="DI324" i="2"/>
  <c r="DH324" i="2"/>
  <c r="DG324" i="2"/>
  <c r="DF324" i="2"/>
  <c r="DE324" i="2"/>
  <c r="DD324" i="2"/>
  <c r="DC324" i="2"/>
  <c r="DB324" i="2"/>
  <c r="CR324" i="2"/>
  <c r="CQ324" i="2"/>
  <c r="CP324" i="2"/>
  <c r="CO324" i="2"/>
  <c r="CN324" i="2"/>
  <c r="FS323" i="2"/>
  <c r="FR323" i="2"/>
  <c r="FQ323" i="2"/>
  <c r="FP323" i="2"/>
  <c r="FO323" i="2"/>
  <c r="FN323" i="2"/>
  <c r="FM323" i="2"/>
  <c r="FL323" i="2"/>
  <c r="FK323" i="2"/>
  <c r="FJ323" i="2"/>
  <c r="FI323" i="2"/>
  <c r="FH323" i="2"/>
  <c r="FG323" i="2"/>
  <c r="FF323" i="2"/>
  <c r="FE323" i="2"/>
  <c r="FD323" i="2"/>
  <c r="FC323" i="2"/>
  <c r="FB323" i="2"/>
  <c r="FA323" i="2"/>
  <c r="EZ323" i="2"/>
  <c r="EY323" i="2"/>
  <c r="EX323" i="2"/>
  <c r="EW323" i="2"/>
  <c r="EV323" i="2"/>
  <c r="EU323" i="2"/>
  <c r="ET323" i="2"/>
  <c r="ES323" i="2"/>
  <c r="ER323" i="2"/>
  <c r="EQ323" i="2"/>
  <c r="EP323" i="2"/>
  <c r="EO323" i="2"/>
  <c r="EN323" i="2"/>
  <c r="EM323" i="2"/>
  <c r="EL323" i="2"/>
  <c r="EK323" i="2"/>
  <c r="EJ323" i="2"/>
  <c r="EI323" i="2"/>
  <c r="EH323" i="2"/>
  <c r="EG323" i="2"/>
  <c r="EF323" i="2"/>
  <c r="EE323" i="2"/>
  <c r="ED323" i="2"/>
  <c r="EC323" i="2"/>
  <c r="EB323" i="2"/>
  <c r="EA323" i="2"/>
  <c r="DZ323" i="2"/>
  <c r="DY323" i="2"/>
  <c r="DX323" i="2"/>
  <c r="DW323" i="2"/>
  <c r="DV323" i="2"/>
  <c r="DU323" i="2"/>
  <c r="DT323" i="2"/>
  <c r="DS323" i="2"/>
  <c r="DR323" i="2"/>
  <c r="DQ323" i="2"/>
  <c r="DP323" i="2"/>
  <c r="DO323" i="2"/>
  <c r="DN323" i="2"/>
  <c r="DM323" i="2"/>
  <c r="DL323" i="2"/>
  <c r="DK323" i="2"/>
  <c r="DJ323" i="2"/>
  <c r="DI323" i="2"/>
  <c r="DH323" i="2"/>
  <c r="DG323" i="2"/>
  <c r="DF323" i="2"/>
  <c r="DE323" i="2"/>
  <c r="DD323" i="2"/>
  <c r="DC323" i="2"/>
  <c r="DB323" i="2"/>
  <c r="FS322" i="2"/>
  <c r="FR322" i="2"/>
  <c r="FQ322" i="2"/>
  <c r="FP322" i="2"/>
  <c r="FO322" i="2"/>
  <c r="FN322" i="2"/>
  <c r="FM322" i="2"/>
  <c r="FL322" i="2"/>
  <c r="FK322" i="2"/>
  <c r="FJ322" i="2"/>
  <c r="FI322" i="2"/>
  <c r="FH322" i="2"/>
  <c r="FG322" i="2"/>
  <c r="FF322" i="2"/>
  <c r="FE322" i="2"/>
  <c r="FD322" i="2"/>
  <c r="FC322" i="2"/>
  <c r="FB322" i="2"/>
  <c r="FA322" i="2"/>
  <c r="EZ322" i="2"/>
  <c r="EY322" i="2"/>
  <c r="EX322" i="2"/>
  <c r="EW322" i="2"/>
  <c r="EV322" i="2"/>
  <c r="EU322" i="2"/>
  <c r="ET322" i="2"/>
  <c r="ES322" i="2"/>
  <c r="ER322" i="2"/>
  <c r="EQ322" i="2"/>
  <c r="EP322" i="2"/>
  <c r="EO322" i="2"/>
  <c r="EN322" i="2"/>
  <c r="EM322" i="2"/>
  <c r="EL322" i="2"/>
  <c r="EK322" i="2"/>
  <c r="EJ322" i="2"/>
  <c r="EI322" i="2"/>
  <c r="EH322" i="2"/>
  <c r="EG322" i="2"/>
  <c r="EF322" i="2"/>
  <c r="EE322" i="2"/>
  <c r="ED322" i="2"/>
  <c r="EC322" i="2"/>
  <c r="EB322" i="2"/>
  <c r="EA322" i="2"/>
  <c r="DZ322" i="2"/>
  <c r="DY322" i="2"/>
  <c r="DX322" i="2"/>
  <c r="DW322" i="2"/>
  <c r="DV322" i="2"/>
  <c r="DU322" i="2"/>
  <c r="DT322" i="2"/>
  <c r="DS322" i="2"/>
  <c r="DR322" i="2"/>
  <c r="DQ322" i="2"/>
  <c r="DP322" i="2"/>
  <c r="DO322" i="2"/>
  <c r="DN322" i="2"/>
  <c r="DM322" i="2"/>
  <c r="DL322" i="2"/>
  <c r="DK322" i="2"/>
  <c r="DJ322" i="2"/>
  <c r="DI322" i="2"/>
  <c r="DH322" i="2"/>
  <c r="DG322" i="2"/>
  <c r="DF322" i="2"/>
  <c r="DE322" i="2"/>
  <c r="DD322" i="2"/>
  <c r="DC322" i="2"/>
  <c r="DB322" i="2"/>
  <c r="FS321" i="2"/>
  <c r="FR321" i="2"/>
  <c r="FQ321" i="2"/>
  <c r="FP321" i="2"/>
  <c r="FO321" i="2"/>
  <c r="FN321" i="2"/>
  <c r="FM321" i="2"/>
  <c r="FL321" i="2"/>
  <c r="FK321" i="2"/>
  <c r="FJ321" i="2"/>
  <c r="FI321" i="2"/>
  <c r="FH321" i="2"/>
  <c r="FG321" i="2"/>
  <c r="FF321" i="2"/>
  <c r="FE321" i="2"/>
  <c r="FD321" i="2"/>
  <c r="FC321" i="2"/>
  <c r="FB321" i="2"/>
  <c r="FA321" i="2"/>
  <c r="EZ321" i="2"/>
  <c r="EY321" i="2"/>
  <c r="EX321" i="2"/>
  <c r="EW321" i="2"/>
  <c r="EV321" i="2"/>
  <c r="EU321" i="2"/>
  <c r="ET321" i="2"/>
  <c r="ES321" i="2"/>
  <c r="ER321" i="2"/>
  <c r="EQ321" i="2"/>
  <c r="EP321" i="2"/>
  <c r="EO321" i="2"/>
  <c r="EN321" i="2"/>
  <c r="EM321" i="2"/>
  <c r="EL321" i="2"/>
  <c r="EK321" i="2"/>
  <c r="EJ321" i="2"/>
  <c r="EI321" i="2"/>
  <c r="EH321" i="2"/>
  <c r="EG321" i="2"/>
  <c r="EF321" i="2"/>
  <c r="EE321" i="2"/>
  <c r="ED321" i="2"/>
  <c r="EC321" i="2"/>
  <c r="EB321" i="2"/>
  <c r="EA321" i="2"/>
  <c r="DZ321" i="2"/>
  <c r="DY321" i="2"/>
  <c r="DX321" i="2"/>
  <c r="DW321" i="2"/>
  <c r="DV321" i="2"/>
  <c r="DU321" i="2"/>
  <c r="DT321" i="2"/>
  <c r="DS321" i="2"/>
  <c r="DR321" i="2"/>
  <c r="DQ321" i="2"/>
  <c r="DP321" i="2"/>
  <c r="DO321" i="2"/>
  <c r="DN321" i="2"/>
  <c r="DM321" i="2"/>
  <c r="DL321" i="2"/>
  <c r="DK321" i="2"/>
  <c r="DJ321" i="2"/>
  <c r="DI321" i="2"/>
  <c r="DH321" i="2"/>
  <c r="DG321" i="2"/>
  <c r="DF321" i="2"/>
  <c r="DE321" i="2"/>
  <c r="DD321" i="2"/>
  <c r="DC321" i="2"/>
  <c r="DB321" i="2"/>
  <c r="FS320" i="2"/>
  <c r="FR320" i="2"/>
  <c r="FQ320" i="2"/>
  <c r="FP320" i="2"/>
  <c r="FO320" i="2"/>
  <c r="FN320" i="2"/>
  <c r="FM320" i="2"/>
  <c r="FL320" i="2"/>
  <c r="FK320" i="2"/>
  <c r="FJ320" i="2"/>
  <c r="FI320" i="2"/>
  <c r="FH320" i="2"/>
  <c r="FG320" i="2"/>
  <c r="FF320" i="2"/>
  <c r="FE320" i="2"/>
  <c r="FD320" i="2"/>
  <c r="FC320" i="2"/>
  <c r="FB320" i="2"/>
  <c r="FA320" i="2"/>
  <c r="EZ320" i="2"/>
  <c r="EY320" i="2"/>
  <c r="EX320" i="2"/>
  <c r="EW320" i="2"/>
  <c r="EV320" i="2"/>
  <c r="EU320" i="2"/>
  <c r="ET320" i="2"/>
  <c r="ES320" i="2"/>
  <c r="ER320" i="2"/>
  <c r="EQ320" i="2"/>
  <c r="EP320" i="2"/>
  <c r="EO320" i="2"/>
  <c r="EN320" i="2"/>
  <c r="EM320" i="2"/>
  <c r="EL320" i="2"/>
  <c r="EK320" i="2"/>
  <c r="EJ320" i="2"/>
  <c r="EI320" i="2"/>
  <c r="EH320" i="2"/>
  <c r="EG320" i="2"/>
  <c r="EF320" i="2"/>
  <c r="EE320" i="2"/>
  <c r="ED320" i="2"/>
  <c r="EC320" i="2"/>
  <c r="EB320" i="2"/>
  <c r="EA320" i="2"/>
  <c r="DZ320" i="2"/>
  <c r="DY320" i="2"/>
  <c r="DX320" i="2"/>
  <c r="DW320" i="2"/>
  <c r="DV320" i="2"/>
  <c r="DU320" i="2"/>
  <c r="DT320" i="2"/>
  <c r="DS320" i="2"/>
  <c r="DR320" i="2"/>
  <c r="DQ320" i="2"/>
  <c r="DP320" i="2"/>
  <c r="DO320" i="2"/>
  <c r="DN320" i="2"/>
  <c r="DM320" i="2"/>
  <c r="DL320" i="2"/>
  <c r="DK320" i="2"/>
  <c r="DJ320" i="2"/>
  <c r="DI320" i="2"/>
  <c r="DH320" i="2"/>
  <c r="DG320" i="2"/>
  <c r="DF320" i="2"/>
  <c r="DE320" i="2"/>
  <c r="DD320" i="2"/>
  <c r="DC320" i="2"/>
  <c r="DB320" i="2"/>
  <c r="FS319" i="2"/>
  <c r="FR319" i="2"/>
  <c r="FQ319" i="2"/>
  <c r="FP319" i="2"/>
  <c r="FO319" i="2"/>
  <c r="FN319" i="2"/>
  <c r="FM319" i="2"/>
  <c r="FL319" i="2"/>
  <c r="FK319" i="2"/>
  <c r="FJ319" i="2"/>
  <c r="FI319" i="2"/>
  <c r="FH319" i="2"/>
  <c r="FG319" i="2"/>
  <c r="FF319" i="2"/>
  <c r="FE319" i="2"/>
  <c r="FD319" i="2"/>
  <c r="FC319" i="2"/>
  <c r="FB319" i="2"/>
  <c r="FA319" i="2"/>
  <c r="EZ319" i="2"/>
  <c r="EY319" i="2"/>
  <c r="EX319" i="2"/>
  <c r="EW319" i="2"/>
  <c r="EV319" i="2"/>
  <c r="EU319" i="2"/>
  <c r="ET319" i="2"/>
  <c r="ES319" i="2"/>
  <c r="ER319" i="2"/>
  <c r="EQ319" i="2"/>
  <c r="EP319" i="2"/>
  <c r="EO319" i="2"/>
  <c r="EN319" i="2"/>
  <c r="EM319" i="2"/>
  <c r="EL319" i="2"/>
  <c r="EK319" i="2"/>
  <c r="EJ319" i="2"/>
  <c r="EI319" i="2"/>
  <c r="EH319" i="2"/>
  <c r="EG319" i="2"/>
  <c r="EF319" i="2"/>
  <c r="EE319" i="2"/>
  <c r="ED319" i="2"/>
  <c r="EC319" i="2"/>
  <c r="EB319" i="2"/>
  <c r="EA319" i="2"/>
  <c r="DZ319" i="2"/>
  <c r="DY319" i="2"/>
  <c r="DX319" i="2"/>
  <c r="DW319" i="2"/>
  <c r="DV319" i="2"/>
  <c r="DU319" i="2"/>
  <c r="DT319" i="2"/>
  <c r="DS319" i="2"/>
  <c r="DR319" i="2"/>
  <c r="DQ319" i="2"/>
  <c r="DP319" i="2"/>
  <c r="DO319" i="2"/>
  <c r="DN319" i="2"/>
  <c r="DM319" i="2"/>
  <c r="DL319" i="2"/>
  <c r="DK319" i="2"/>
  <c r="DJ319" i="2"/>
  <c r="DI319" i="2"/>
  <c r="DH319" i="2"/>
  <c r="DG319" i="2"/>
  <c r="DF319" i="2"/>
  <c r="DE319" i="2"/>
  <c r="DD319" i="2"/>
  <c r="DC319" i="2"/>
  <c r="DB319" i="2"/>
  <c r="FS318" i="2"/>
  <c r="FR318" i="2"/>
  <c r="FQ318" i="2"/>
  <c r="FP318" i="2"/>
  <c r="FO318" i="2"/>
  <c r="FN318" i="2"/>
  <c r="FM318" i="2"/>
  <c r="FL318" i="2"/>
  <c r="FK318" i="2"/>
  <c r="FJ318" i="2"/>
  <c r="FI318" i="2"/>
  <c r="FH318" i="2"/>
  <c r="FG318" i="2"/>
  <c r="FF318" i="2"/>
  <c r="FE318" i="2"/>
  <c r="FD318" i="2"/>
  <c r="FC318" i="2"/>
  <c r="FB318" i="2"/>
  <c r="FA318" i="2"/>
  <c r="EZ318" i="2"/>
  <c r="EY318" i="2"/>
  <c r="EX318" i="2"/>
  <c r="EW318" i="2"/>
  <c r="EV318" i="2"/>
  <c r="EU318" i="2"/>
  <c r="ET318" i="2"/>
  <c r="ES318" i="2"/>
  <c r="ER318" i="2"/>
  <c r="EQ318" i="2"/>
  <c r="EP318" i="2"/>
  <c r="EO318" i="2"/>
  <c r="EN318" i="2"/>
  <c r="EM318" i="2"/>
  <c r="EL318" i="2"/>
  <c r="EK318" i="2"/>
  <c r="EJ318" i="2"/>
  <c r="EI318" i="2"/>
  <c r="EH318" i="2"/>
  <c r="EG318" i="2"/>
  <c r="EF318" i="2"/>
  <c r="EE318" i="2"/>
  <c r="ED318" i="2"/>
  <c r="EC318" i="2"/>
  <c r="EB318" i="2"/>
  <c r="EA318" i="2"/>
  <c r="DZ318" i="2"/>
  <c r="DY318" i="2"/>
  <c r="DX318" i="2"/>
  <c r="DW318" i="2"/>
  <c r="DV318" i="2"/>
  <c r="DU318" i="2"/>
  <c r="DT318" i="2"/>
  <c r="DS318" i="2"/>
  <c r="DR318" i="2"/>
  <c r="DQ318" i="2"/>
  <c r="DP318" i="2"/>
  <c r="DO318" i="2"/>
  <c r="DN318" i="2"/>
  <c r="DM318" i="2"/>
  <c r="DL318" i="2"/>
  <c r="DK318" i="2"/>
  <c r="DJ318" i="2"/>
  <c r="DI318" i="2"/>
  <c r="DH318" i="2"/>
  <c r="DG318" i="2"/>
  <c r="DF318" i="2"/>
  <c r="DE318" i="2"/>
  <c r="DD318" i="2"/>
  <c r="DC318" i="2"/>
  <c r="DB318" i="2"/>
  <c r="FS317" i="2"/>
  <c r="FR317" i="2"/>
  <c r="FQ317" i="2"/>
  <c r="FP317" i="2"/>
  <c r="FO317" i="2"/>
  <c r="FN317" i="2"/>
  <c r="FM317" i="2"/>
  <c r="FL317" i="2"/>
  <c r="FK317" i="2"/>
  <c r="FJ317" i="2"/>
  <c r="FI317" i="2"/>
  <c r="FH317" i="2"/>
  <c r="FG317" i="2"/>
  <c r="FF317" i="2"/>
  <c r="FE317" i="2"/>
  <c r="FD317" i="2"/>
  <c r="FC317" i="2"/>
  <c r="FB317" i="2"/>
  <c r="FA317" i="2"/>
  <c r="EZ317" i="2"/>
  <c r="EY317" i="2"/>
  <c r="EX317" i="2"/>
  <c r="EW317" i="2"/>
  <c r="EV317" i="2"/>
  <c r="EU317" i="2"/>
  <c r="ET317" i="2"/>
  <c r="ES317" i="2"/>
  <c r="ER317" i="2"/>
  <c r="EQ317" i="2"/>
  <c r="EP317" i="2"/>
  <c r="EO317" i="2"/>
  <c r="EN317" i="2"/>
  <c r="EM317" i="2"/>
  <c r="EL317" i="2"/>
  <c r="EK317" i="2"/>
  <c r="EJ317" i="2"/>
  <c r="EI317" i="2"/>
  <c r="EH317" i="2"/>
  <c r="EG317" i="2"/>
  <c r="EF317" i="2"/>
  <c r="EE317" i="2"/>
  <c r="ED317" i="2"/>
  <c r="EC317" i="2"/>
  <c r="EB317" i="2"/>
  <c r="EA317" i="2"/>
  <c r="DZ317" i="2"/>
  <c r="DY317" i="2"/>
  <c r="DX317" i="2"/>
  <c r="DW317" i="2"/>
  <c r="DV317" i="2"/>
  <c r="DU317" i="2"/>
  <c r="DT317" i="2"/>
  <c r="DS317" i="2"/>
  <c r="DR317" i="2"/>
  <c r="DQ317" i="2"/>
  <c r="DP317" i="2"/>
  <c r="DO317" i="2"/>
  <c r="DN317" i="2"/>
  <c r="DM317" i="2"/>
  <c r="DL317" i="2"/>
  <c r="DK317" i="2"/>
  <c r="DJ317" i="2"/>
  <c r="DI317" i="2"/>
  <c r="DH317" i="2"/>
  <c r="DG317" i="2"/>
  <c r="DF317" i="2"/>
  <c r="DE317" i="2"/>
  <c r="DD317" i="2"/>
  <c r="DC317" i="2"/>
  <c r="DB317" i="2"/>
  <c r="FS316" i="2"/>
  <c r="FR316" i="2"/>
  <c r="FQ316" i="2"/>
  <c r="FP316" i="2"/>
  <c r="FO316" i="2"/>
  <c r="FN316" i="2"/>
  <c r="FM316" i="2"/>
  <c r="FL316" i="2"/>
  <c r="FK316" i="2"/>
  <c r="FJ316" i="2"/>
  <c r="FI316" i="2"/>
  <c r="FH316" i="2"/>
  <c r="FG316" i="2"/>
  <c r="FF316" i="2"/>
  <c r="FE316" i="2"/>
  <c r="FD316" i="2"/>
  <c r="FC316" i="2"/>
  <c r="FB316" i="2"/>
  <c r="FA316" i="2"/>
  <c r="EZ316" i="2"/>
  <c r="EY316" i="2"/>
  <c r="EX316" i="2"/>
  <c r="EW316" i="2"/>
  <c r="EV316" i="2"/>
  <c r="EU316" i="2"/>
  <c r="ET316" i="2"/>
  <c r="ES316" i="2"/>
  <c r="ER316" i="2"/>
  <c r="EQ316" i="2"/>
  <c r="EP316" i="2"/>
  <c r="EO316" i="2"/>
  <c r="EN316" i="2"/>
  <c r="EM316" i="2"/>
  <c r="EL316" i="2"/>
  <c r="EK316" i="2"/>
  <c r="EJ316" i="2"/>
  <c r="EI316" i="2"/>
  <c r="EH316" i="2"/>
  <c r="EG316" i="2"/>
  <c r="EF316" i="2"/>
  <c r="EE316" i="2"/>
  <c r="ED316" i="2"/>
  <c r="EC316" i="2"/>
  <c r="EB316" i="2"/>
  <c r="EA316" i="2"/>
  <c r="DZ316" i="2"/>
  <c r="DY316" i="2"/>
  <c r="DX316" i="2"/>
  <c r="DW316" i="2"/>
  <c r="DV316" i="2"/>
  <c r="DU316" i="2"/>
  <c r="DT316" i="2"/>
  <c r="DS316" i="2"/>
  <c r="DR316" i="2"/>
  <c r="DQ316" i="2"/>
  <c r="DP316" i="2"/>
  <c r="DO316" i="2"/>
  <c r="DN316" i="2"/>
  <c r="DM316" i="2"/>
  <c r="DL316" i="2"/>
  <c r="DK316" i="2"/>
  <c r="DJ316" i="2"/>
  <c r="DI316" i="2"/>
  <c r="DH316" i="2"/>
  <c r="DG316" i="2"/>
  <c r="DF316" i="2"/>
  <c r="DE316" i="2"/>
  <c r="DD316" i="2"/>
  <c r="DC316" i="2"/>
  <c r="DB316" i="2"/>
  <c r="FS315" i="2"/>
  <c r="FR315" i="2"/>
  <c r="FQ315" i="2"/>
  <c r="FP315" i="2"/>
  <c r="FO315" i="2"/>
  <c r="FN315" i="2"/>
  <c r="FM315" i="2"/>
  <c r="FL315" i="2"/>
  <c r="FK315" i="2"/>
  <c r="FJ315" i="2"/>
  <c r="FI315" i="2"/>
  <c r="FH315" i="2"/>
  <c r="FG315" i="2"/>
  <c r="FF315" i="2"/>
  <c r="FE315" i="2"/>
  <c r="FD315" i="2"/>
  <c r="FC315" i="2"/>
  <c r="FB315" i="2"/>
  <c r="FA315" i="2"/>
  <c r="EZ315" i="2"/>
  <c r="EY315" i="2"/>
  <c r="EX315" i="2"/>
  <c r="EW315" i="2"/>
  <c r="EV315" i="2"/>
  <c r="EU315" i="2"/>
  <c r="ET315" i="2"/>
  <c r="ES315" i="2"/>
  <c r="ER315" i="2"/>
  <c r="EQ315" i="2"/>
  <c r="EP315" i="2"/>
  <c r="EO315" i="2"/>
  <c r="EN315" i="2"/>
  <c r="EM315" i="2"/>
  <c r="EL315" i="2"/>
  <c r="EK315" i="2"/>
  <c r="EJ315" i="2"/>
  <c r="EI315" i="2"/>
  <c r="EH315" i="2"/>
  <c r="EG315" i="2"/>
  <c r="EF315" i="2"/>
  <c r="EE315" i="2"/>
  <c r="ED315" i="2"/>
  <c r="EC315" i="2"/>
  <c r="EB315" i="2"/>
  <c r="EA315" i="2"/>
  <c r="DZ315" i="2"/>
  <c r="DY315" i="2"/>
  <c r="DX315" i="2"/>
  <c r="DW315" i="2"/>
  <c r="DV315" i="2"/>
  <c r="DU315" i="2"/>
  <c r="DT315" i="2"/>
  <c r="DS315" i="2"/>
  <c r="DR315" i="2"/>
  <c r="DQ315" i="2"/>
  <c r="DP315" i="2"/>
  <c r="DO315" i="2"/>
  <c r="DN315" i="2"/>
  <c r="DM315" i="2"/>
  <c r="DL315" i="2"/>
  <c r="DK315" i="2"/>
  <c r="DJ315" i="2"/>
  <c r="DI315" i="2"/>
  <c r="DH315" i="2"/>
  <c r="DG315" i="2"/>
  <c r="DF315" i="2"/>
  <c r="DE315" i="2"/>
  <c r="DD315" i="2"/>
  <c r="DC315" i="2"/>
  <c r="DB315" i="2"/>
  <c r="CU315" i="2" s="1"/>
  <c r="FS314" i="2"/>
  <c r="FR314" i="2"/>
  <c r="FQ314" i="2"/>
  <c r="FP314" i="2"/>
  <c r="FO314" i="2"/>
  <c r="FN314" i="2"/>
  <c r="FM314" i="2"/>
  <c r="FL314" i="2"/>
  <c r="FK314" i="2"/>
  <c r="FJ314" i="2"/>
  <c r="FI314" i="2"/>
  <c r="FH314" i="2"/>
  <c r="FG314" i="2"/>
  <c r="FF314" i="2"/>
  <c r="FE314" i="2"/>
  <c r="FD314" i="2"/>
  <c r="FC314" i="2"/>
  <c r="FB314" i="2"/>
  <c r="FA314" i="2"/>
  <c r="EZ314" i="2"/>
  <c r="EY314" i="2"/>
  <c r="EX314" i="2"/>
  <c r="EW314" i="2"/>
  <c r="EV314" i="2"/>
  <c r="EU314" i="2"/>
  <c r="ET314" i="2"/>
  <c r="ES314" i="2"/>
  <c r="ER314" i="2"/>
  <c r="EQ314" i="2"/>
  <c r="EP314" i="2"/>
  <c r="EO314" i="2"/>
  <c r="EN314" i="2"/>
  <c r="EM314" i="2"/>
  <c r="EL314" i="2"/>
  <c r="EK314" i="2"/>
  <c r="EJ314" i="2"/>
  <c r="EI314" i="2"/>
  <c r="EH314" i="2"/>
  <c r="EG314" i="2"/>
  <c r="EF314" i="2"/>
  <c r="EE314" i="2"/>
  <c r="ED314" i="2"/>
  <c r="EC314" i="2"/>
  <c r="EB314" i="2"/>
  <c r="EA314" i="2"/>
  <c r="DZ314" i="2"/>
  <c r="DY314" i="2"/>
  <c r="DX314" i="2"/>
  <c r="DW314" i="2"/>
  <c r="DV314" i="2"/>
  <c r="DU314" i="2"/>
  <c r="DT314" i="2"/>
  <c r="DS314" i="2"/>
  <c r="DR314" i="2"/>
  <c r="DQ314" i="2"/>
  <c r="DP314" i="2"/>
  <c r="DO314" i="2"/>
  <c r="DN314" i="2"/>
  <c r="DM314" i="2"/>
  <c r="DL314" i="2"/>
  <c r="DK314" i="2"/>
  <c r="DJ314" i="2"/>
  <c r="DI314" i="2"/>
  <c r="DH314" i="2"/>
  <c r="DG314" i="2"/>
  <c r="DF314" i="2"/>
  <c r="DE314" i="2"/>
  <c r="DD314" i="2"/>
  <c r="DC314" i="2"/>
  <c r="DB314" i="2"/>
  <c r="FS313" i="2"/>
  <c r="FR313" i="2"/>
  <c r="FQ313" i="2"/>
  <c r="FP313" i="2"/>
  <c r="FO313" i="2"/>
  <c r="FN313" i="2"/>
  <c r="FM313" i="2"/>
  <c r="FL313" i="2"/>
  <c r="FK313" i="2"/>
  <c r="FJ313" i="2"/>
  <c r="FI313" i="2"/>
  <c r="FH313" i="2"/>
  <c r="FG313" i="2"/>
  <c r="FF313" i="2"/>
  <c r="FE313" i="2"/>
  <c r="FD313" i="2"/>
  <c r="FC313" i="2"/>
  <c r="FB313" i="2"/>
  <c r="FA313" i="2"/>
  <c r="EZ313" i="2"/>
  <c r="EY313" i="2"/>
  <c r="EX313" i="2"/>
  <c r="EW313" i="2"/>
  <c r="EV313" i="2"/>
  <c r="EU313" i="2"/>
  <c r="ET313" i="2"/>
  <c r="ES313" i="2"/>
  <c r="ER313" i="2"/>
  <c r="EQ313" i="2"/>
  <c r="EP313" i="2"/>
  <c r="EO313" i="2"/>
  <c r="EN313" i="2"/>
  <c r="EM313" i="2"/>
  <c r="EL313" i="2"/>
  <c r="EK313" i="2"/>
  <c r="EJ313" i="2"/>
  <c r="EI313" i="2"/>
  <c r="EH313" i="2"/>
  <c r="EG313" i="2"/>
  <c r="EF313" i="2"/>
  <c r="EE313" i="2"/>
  <c r="ED313" i="2"/>
  <c r="EC313" i="2"/>
  <c r="EB313" i="2"/>
  <c r="EA313" i="2"/>
  <c r="DZ313" i="2"/>
  <c r="DY313" i="2"/>
  <c r="DX313" i="2"/>
  <c r="DW313" i="2"/>
  <c r="DV313" i="2"/>
  <c r="DU313" i="2"/>
  <c r="DT313" i="2"/>
  <c r="DS313" i="2"/>
  <c r="DR313" i="2"/>
  <c r="DQ313" i="2"/>
  <c r="DP313" i="2"/>
  <c r="DO313" i="2"/>
  <c r="DN313" i="2"/>
  <c r="DM313" i="2"/>
  <c r="DL313" i="2"/>
  <c r="DK313" i="2"/>
  <c r="DJ313" i="2"/>
  <c r="DI313" i="2"/>
  <c r="DH313" i="2"/>
  <c r="DG313" i="2"/>
  <c r="DF313" i="2"/>
  <c r="DE313" i="2"/>
  <c r="DD313" i="2"/>
  <c r="DC313" i="2"/>
  <c r="DB313" i="2"/>
  <c r="FS312" i="2"/>
  <c r="FR312" i="2"/>
  <c r="FQ312" i="2"/>
  <c r="FP312" i="2"/>
  <c r="FO312" i="2"/>
  <c r="FN312" i="2"/>
  <c r="FM312" i="2"/>
  <c r="FL312" i="2"/>
  <c r="FK312" i="2"/>
  <c r="FJ312" i="2"/>
  <c r="FI312" i="2"/>
  <c r="FH312" i="2"/>
  <c r="FG312" i="2"/>
  <c r="FF312" i="2"/>
  <c r="FE312" i="2"/>
  <c r="FD312" i="2"/>
  <c r="FC312" i="2"/>
  <c r="FB312" i="2"/>
  <c r="FA312" i="2"/>
  <c r="EZ312" i="2"/>
  <c r="EY312" i="2"/>
  <c r="EX312" i="2"/>
  <c r="EW312" i="2"/>
  <c r="EV312" i="2"/>
  <c r="EU312" i="2"/>
  <c r="ET312" i="2"/>
  <c r="ES312" i="2"/>
  <c r="ER312" i="2"/>
  <c r="EQ312" i="2"/>
  <c r="EP312" i="2"/>
  <c r="EO312" i="2"/>
  <c r="EN312" i="2"/>
  <c r="EM312" i="2"/>
  <c r="EL312" i="2"/>
  <c r="EK312" i="2"/>
  <c r="EJ312" i="2"/>
  <c r="EI312" i="2"/>
  <c r="EH312" i="2"/>
  <c r="EG312" i="2"/>
  <c r="EF312" i="2"/>
  <c r="EE312" i="2"/>
  <c r="ED312" i="2"/>
  <c r="EC312" i="2"/>
  <c r="EB312" i="2"/>
  <c r="EA312" i="2"/>
  <c r="DZ312" i="2"/>
  <c r="DY312" i="2"/>
  <c r="DX312" i="2"/>
  <c r="DW312" i="2"/>
  <c r="DV312" i="2"/>
  <c r="DU312" i="2"/>
  <c r="DT312" i="2"/>
  <c r="DS312" i="2"/>
  <c r="DR312" i="2"/>
  <c r="DQ312" i="2"/>
  <c r="DP312" i="2"/>
  <c r="DO312" i="2"/>
  <c r="DN312" i="2"/>
  <c r="DM312" i="2"/>
  <c r="DL312" i="2"/>
  <c r="DK312" i="2"/>
  <c r="DJ312" i="2"/>
  <c r="DI312" i="2"/>
  <c r="DH312" i="2"/>
  <c r="DG312" i="2"/>
  <c r="DF312" i="2"/>
  <c r="DE312" i="2"/>
  <c r="DD312" i="2"/>
  <c r="DC312" i="2"/>
  <c r="DB312" i="2"/>
  <c r="FS311" i="2"/>
  <c r="FR311" i="2"/>
  <c r="FQ311" i="2"/>
  <c r="FP311" i="2"/>
  <c r="FO311" i="2"/>
  <c r="FN311" i="2"/>
  <c r="FM311" i="2"/>
  <c r="FL311" i="2"/>
  <c r="FK311" i="2"/>
  <c r="FJ311" i="2"/>
  <c r="FI311" i="2"/>
  <c r="FH311" i="2"/>
  <c r="FG311" i="2"/>
  <c r="FF311" i="2"/>
  <c r="FE311" i="2"/>
  <c r="FD311" i="2"/>
  <c r="FC311" i="2"/>
  <c r="FB311" i="2"/>
  <c r="FA311" i="2"/>
  <c r="EZ311" i="2"/>
  <c r="EY311" i="2"/>
  <c r="EX311" i="2"/>
  <c r="EW311" i="2"/>
  <c r="EV311" i="2"/>
  <c r="EU311" i="2"/>
  <c r="ET311" i="2"/>
  <c r="ES311" i="2"/>
  <c r="ER311" i="2"/>
  <c r="EQ311" i="2"/>
  <c r="EP311" i="2"/>
  <c r="EO311" i="2"/>
  <c r="EN311" i="2"/>
  <c r="EM311" i="2"/>
  <c r="EL311" i="2"/>
  <c r="EK311" i="2"/>
  <c r="EJ311" i="2"/>
  <c r="EI311" i="2"/>
  <c r="EH311" i="2"/>
  <c r="EG311" i="2"/>
  <c r="EF311" i="2"/>
  <c r="EE311" i="2"/>
  <c r="ED311" i="2"/>
  <c r="EC311" i="2"/>
  <c r="EB311" i="2"/>
  <c r="EA311" i="2"/>
  <c r="DZ311" i="2"/>
  <c r="DY311" i="2"/>
  <c r="DX311" i="2"/>
  <c r="DW311" i="2"/>
  <c r="DV311" i="2"/>
  <c r="DU311" i="2"/>
  <c r="DT311" i="2"/>
  <c r="DS311" i="2"/>
  <c r="DR311" i="2"/>
  <c r="DQ311" i="2"/>
  <c r="DP311" i="2"/>
  <c r="DO311" i="2"/>
  <c r="DN311" i="2"/>
  <c r="DM311" i="2"/>
  <c r="DL311" i="2"/>
  <c r="DK311" i="2"/>
  <c r="DJ311" i="2"/>
  <c r="DI311" i="2"/>
  <c r="DH311" i="2"/>
  <c r="DG311" i="2"/>
  <c r="DF311" i="2"/>
  <c r="DE311" i="2"/>
  <c r="DD311" i="2"/>
  <c r="DC311" i="2"/>
  <c r="DB311" i="2"/>
  <c r="FS310" i="2"/>
  <c r="FR310" i="2"/>
  <c r="FQ310" i="2"/>
  <c r="FP310" i="2"/>
  <c r="FO310" i="2"/>
  <c r="FN310" i="2"/>
  <c r="FM310" i="2"/>
  <c r="FL310" i="2"/>
  <c r="FK310" i="2"/>
  <c r="FJ310" i="2"/>
  <c r="FI310" i="2"/>
  <c r="FH310" i="2"/>
  <c r="FG310" i="2"/>
  <c r="FF310" i="2"/>
  <c r="FE310" i="2"/>
  <c r="FD310" i="2"/>
  <c r="FC310" i="2"/>
  <c r="FB310" i="2"/>
  <c r="FA310" i="2"/>
  <c r="EZ310" i="2"/>
  <c r="EY310" i="2"/>
  <c r="EX310" i="2"/>
  <c r="EW310" i="2"/>
  <c r="EV310" i="2"/>
  <c r="EU310" i="2"/>
  <c r="ET310" i="2"/>
  <c r="ES310" i="2"/>
  <c r="ER310" i="2"/>
  <c r="EQ310" i="2"/>
  <c r="EP310" i="2"/>
  <c r="EO310" i="2"/>
  <c r="EN310" i="2"/>
  <c r="EM310" i="2"/>
  <c r="EL310" i="2"/>
  <c r="EK310" i="2"/>
  <c r="EJ310" i="2"/>
  <c r="EI310" i="2"/>
  <c r="EH310" i="2"/>
  <c r="EG310" i="2"/>
  <c r="EF310" i="2"/>
  <c r="EE310" i="2"/>
  <c r="ED310" i="2"/>
  <c r="EC310" i="2"/>
  <c r="EB310" i="2"/>
  <c r="EA310" i="2"/>
  <c r="DZ310" i="2"/>
  <c r="DY310" i="2"/>
  <c r="DX310" i="2"/>
  <c r="DW310" i="2"/>
  <c r="DV310" i="2"/>
  <c r="DU310" i="2"/>
  <c r="DT310" i="2"/>
  <c r="DS310" i="2"/>
  <c r="DR310" i="2"/>
  <c r="DQ310" i="2"/>
  <c r="DP310" i="2"/>
  <c r="DO310" i="2"/>
  <c r="DN310" i="2"/>
  <c r="DM310" i="2"/>
  <c r="DL310" i="2"/>
  <c r="DK310" i="2"/>
  <c r="DJ310" i="2"/>
  <c r="DI310" i="2"/>
  <c r="DH310" i="2"/>
  <c r="DG310" i="2"/>
  <c r="DF310" i="2"/>
  <c r="DE310" i="2"/>
  <c r="DD310" i="2"/>
  <c r="DC310" i="2"/>
  <c r="DB310" i="2"/>
  <c r="FS309" i="2"/>
  <c r="FR309" i="2"/>
  <c r="FQ309" i="2"/>
  <c r="FP309" i="2"/>
  <c r="FO309" i="2"/>
  <c r="FN309" i="2"/>
  <c r="FM309" i="2"/>
  <c r="FL309" i="2"/>
  <c r="FK309" i="2"/>
  <c r="FJ309" i="2"/>
  <c r="FI309" i="2"/>
  <c r="FH309" i="2"/>
  <c r="FG309" i="2"/>
  <c r="FF309" i="2"/>
  <c r="FE309" i="2"/>
  <c r="FD309" i="2"/>
  <c r="FC309" i="2"/>
  <c r="FB309" i="2"/>
  <c r="FA309" i="2"/>
  <c r="EZ309" i="2"/>
  <c r="EY309" i="2"/>
  <c r="EX309" i="2"/>
  <c r="EW309" i="2"/>
  <c r="EV309" i="2"/>
  <c r="EU309" i="2"/>
  <c r="ET309" i="2"/>
  <c r="ES309" i="2"/>
  <c r="ER309" i="2"/>
  <c r="EQ309" i="2"/>
  <c r="EP309" i="2"/>
  <c r="EO309" i="2"/>
  <c r="EN309" i="2"/>
  <c r="EM309" i="2"/>
  <c r="EL309" i="2"/>
  <c r="EK309" i="2"/>
  <c r="EJ309" i="2"/>
  <c r="EI309" i="2"/>
  <c r="EH309" i="2"/>
  <c r="EG309" i="2"/>
  <c r="EF309" i="2"/>
  <c r="EE309" i="2"/>
  <c r="ED309" i="2"/>
  <c r="EC309" i="2"/>
  <c r="EB309" i="2"/>
  <c r="EA309" i="2"/>
  <c r="DZ309" i="2"/>
  <c r="DY309" i="2"/>
  <c r="DX309" i="2"/>
  <c r="DW309" i="2"/>
  <c r="DV309" i="2"/>
  <c r="DU309" i="2"/>
  <c r="DT309" i="2"/>
  <c r="DS309" i="2"/>
  <c r="DR309" i="2"/>
  <c r="DQ309" i="2"/>
  <c r="DP309" i="2"/>
  <c r="DO309" i="2"/>
  <c r="DN309" i="2"/>
  <c r="DM309" i="2"/>
  <c r="DL309" i="2"/>
  <c r="DK309" i="2"/>
  <c r="DJ309" i="2"/>
  <c r="DI309" i="2"/>
  <c r="DH309" i="2"/>
  <c r="DG309" i="2"/>
  <c r="DF309" i="2"/>
  <c r="DE309" i="2"/>
  <c r="DD309" i="2"/>
  <c r="CU309" i="2" s="1"/>
  <c r="DC309" i="2"/>
  <c r="DB309" i="2"/>
  <c r="CR309" i="2"/>
  <c r="CQ309" i="2"/>
  <c r="CP309" i="2"/>
  <c r="CO309" i="2"/>
  <c r="CN309" i="2"/>
  <c r="FS308" i="2"/>
  <c r="FR308" i="2"/>
  <c r="FQ308" i="2"/>
  <c r="FP308" i="2"/>
  <c r="FO308" i="2"/>
  <c r="FN308" i="2"/>
  <c r="FM308" i="2"/>
  <c r="FL308" i="2"/>
  <c r="FK308" i="2"/>
  <c r="FJ308" i="2"/>
  <c r="FI308" i="2"/>
  <c r="FH308" i="2"/>
  <c r="FG308" i="2"/>
  <c r="FF308" i="2"/>
  <c r="FE308" i="2"/>
  <c r="FD308" i="2"/>
  <c r="FC308" i="2"/>
  <c r="FB308" i="2"/>
  <c r="FA308" i="2"/>
  <c r="EZ308" i="2"/>
  <c r="EY308" i="2"/>
  <c r="EX308" i="2"/>
  <c r="EW308" i="2"/>
  <c r="EV308" i="2"/>
  <c r="EU308" i="2"/>
  <c r="ET308" i="2"/>
  <c r="ES308" i="2"/>
  <c r="ER308" i="2"/>
  <c r="EQ308" i="2"/>
  <c r="EP308" i="2"/>
  <c r="EO308" i="2"/>
  <c r="EN308" i="2"/>
  <c r="EM308" i="2"/>
  <c r="EL308" i="2"/>
  <c r="EK308" i="2"/>
  <c r="EJ308" i="2"/>
  <c r="EI308" i="2"/>
  <c r="EH308" i="2"/>
  <c r="EG308" i="2"/>
  <c r="EF308" i="2"/>
  <c r="EE308" i="2"/>
  <c r="ED308" i="2"/>
  <c r="EC308" i="2"/>
  <c r="EB308" i="2"/>
  <c r="EA308" i="2"/>
  <c r="DZ308" i="2"/>
  <c r="DY308" i="2"/>
  <c r="DX308" i="2"/>
  <c r="DW308" i="2"/>
  <c r="DV308" i="2"/>
  <c r="DU308" i="2"/>
  <c r="DT308" i="2"/>
  <c r="DS308" i="2"/>
  <c r="DR308" i="2"/>
  <c r="DQ308" i="2"/>
  <c r="DP308" i="2"/>
  <c r="DO308" i="2"/>
  <c r="DN308" i="2"/>
  <c r="DM308" i="2"/>
  <c r="DL308" i="2"/>
  <c r="DK308" i="2"/>
  <c r="DJ308" i="2"/>
  <c r="DI308" i="2"/>
  <c r="DH308" i="2"/>
  <c r="DG308" i="2"/>
  <c r="DF308" i="2"/>
  <c r="DE308" i="2"/>
  <c r="DD308" i="2"/>
  <c r="DC308" i="2"/>
  <c r="DB308" i="2"/>
  <c r="CR308" i="2"/>
  <c r="CQ308" i="2"/>
  <c r="CP308" i="2"/>
  <c r="CO308" i="2"/>
  <c r="CN308" i="2"/>
  <c r="FS307" i="2"/>
  <c r="FR307" i="2"/>
  <c r="FQ307" i="2"/>
  <c r="FP307" i="2"/>
  <c r="FO307" i="2"/>
  <c r="FN307" i="2"/>
  <c r="FM307" i="2"/>
  <c r="FL307" i="2"/>
  <c r="FK307" i="2"/>
  <c r="FJ307" i="2"/>
  <c r="FI307" i="2"/>
  <c r="FH307" i="2"/>
  <c r="FG307" i="2"/>
  <c r="FF307" i="2"/>
  <c r="FE307" i="2"/>
  <c r="FD307" i="2"/>
  <c r="FC307" i="2"/>
  <c r="FB307" i="2"/>
  <c r="FA307" i="2"/>
  <c r="EZ307" i="2"/>
  <c r="EY307" i="2"/>
  <c r="EX307" i="2"/>
  <c r="EW307" i="2"/>
  <c r="EV307" i="2"/>
  <c r="EU307" i="2"/>
  <c r="ET307" i="2"/>
  <c r="ES307" i="2"/>
  <c r="ER307" i="2"/>
  <c r="EQ307" i="2"/>
  <c r="EP307" i="2"/>
  <c r="EO307" i="2"/>
  <c r="EN307" i="2"/>
  <c r="EM307" i="2"/>
  <c r="EL307" i="2"/>
  <c r="EK307" i="2"/>
  <c r="EJ307" i="2"/>
  <c r="EI307" i="2"/>
  <c r="EH307" i="2"/>
  <c r="EG307" i="2"/>
  <c r="EF307" i="2"/>
  <c r="EE307" i="2"/>
  <c r="ED307" i="2"/>
  <c r="EC307" i="2"/>
  <c r="EB307" i="2"/>
  <c r="EA307" i="2"/>
  <c r="DZ307" i="2"/>
  <c r="DY307" i="2"/>
  <c r="DX307" i="2"/>
  <c r="DW307" i="2"/>
  <c r="DV307" i="2"/>
  <c r="DU307" i="2"/>
  <c r="DT307" i="2"/>
  <c r="DS307" i="2"/>
  <c r="DR307" i="2"/>
  <c r="DQ307" i="2"/>
  <c r="DP307" i="2"/>
  <c r="DO307" i="2"/>
  <c r="DN307" i="2"/>
  <c r="DM307" i="2"/>
  <c r="DL307" i="2"/>
  <c r="DK307" i="2"/>
  <c r="DJ307" i="2"/>
  <c r="DI307" i="2"/>
  <c r="DH307" i="2"/>
  <c r="DG307" i="2"/>
  <c r="DF307" i="2"/>
  <c r="DE307" i="2"/>
  <c r="DD307" i="2"/>
  <c r="DC307" i="2"/>
  <c r="CU307" i="2" s="1"/>
  <c r="DB307" i="2"/>
  <c r="CR307" i="2"/>
  <c r="CQ307" i="2"/>
  <c r="CP307" i="2"/>
  <c r="CO307" i="2"/>
  <c r="CN307" i="2"/>
  <c r="FS306" i="2"/>
  <c r="FR306" i="2"/>
  <c r="FQ306" i="2"/>
  <c r="FP306" i="2"/>
  <c r="FO306" i="2"/>
  <c r="FN306" i="2"/>
  <c r="FM306" i="2"/>
  <c r="FL306" i="2"/>
  <c r="FK306" i="2"/>
  <c r="FJ306" i="2"/>
  <c r="FI306" i="2"/>
  <c r="FH306" i="2"/>
  <c r="FG306" i="2"/>
  <c r="FF306" i="2"/>
  <c r="FE306" i="2"/>
  <c r="FD306" i="2"/>
  <c r="FC306" i="2"/>
  <c r="FB306" i="2"/>
  <c r="FA306" i="2"/>
  <c r="EZ306" i="2"/>
  <c r="EY306" i="2"/>
  <c r="EX306" i="2"/>
  <c r="EW306" i="2"/>
  <c r="EV306" i="2"/>
  <c r="EU306" i="2"/>
  <c r="ET306" i="2"/>
  <c r="ES306" i="2"/>
  <c r="ER306" i="2"/>
  <c r="EQ306" i="2"/>
  <c r="EP306" i="2"/>
  <c r="EO306" i="2"/>
  <c r="EN306" i="2"/>
  <c r="EM306" i="2"/>
  <c r="EL306" i="2"/>
  <c r="EK306" i="2"/>
  <c r="EJ306" i="2"/>
  <c r="EI306" i="2"/>
  <c r="EH306" i="2"/>
  <c r="EG306" i="2"/>
  <c r="EF306" i="2"/>
  <c r="EE306" i="2"/>
  <c r="ED306" i="2"/>
  <c r="EC306" i="2"/>
  <c r="EB306" i="2"/>
  <c r="EA306" i="2"/>
  <c r="DZ306" i="2"/>
  <c r="DY306" i="2"/>
  <c r="DX306" i="2"/>
  <c r="DW306" i="2"/>
  <c r="DV306" i="2"/>
  <c r="DU306" i="2"/>
  <c r="DT306" i="2"/>
  <c r="DS306" i="2"/>
  <c r="DR306" i="2"/>
  <c r="DQ306" i="2"/>
  <c r="DP306" i="2"/>
  <c r="DO306" i="2"/>
  <c r="DN306" i="2"/>
  <c r="DM306" i="2"/>
  <c r="DL306" i="2"/>
  <c r="DK306" i="2"/>
  <c r="DJ306" i="2"/>
  <c r="DI306" i="2"/>
  <c r="DH306" i="2"/>
  <c r="DG306" i="2"/>
  <c r="DF306" i="2"/>
  <c r="DE306" i="2"/>
  <c r="DD306" i="2"/>
  <c r="DC306" i="2"/>
  <c r="DB306" i="2"/>
  <c r="CR306" i="2"/>
  <c r="CQ306" i="2"/>
  <c r="CP306" i="2"/>
  <c r="CO306" i="2"/>
  <c r="CN306" i="2"/>
  <c r="FS305" i="2"/>
  <c r="FR305" i="2"/>
  <c r="FQ305" i="2"/>
  <c r="FP305" i="2"/>
  <c r="FO305" i="2"/>
  <c r="FN305" i="2"/>
  <c r="FM305" i="2"/>
  <c r="FL305" i="2"/>
  <c r="FK305" i="2"/>
  <c r="FJ305" i="2"/>
  <c r="FI305" i="2"/>
  <c r="FH305" i="2"/>
  <c r="FG305" i="2"/>
  <c r="FF305" i="2"/>
  <c r="FE305" i="2"/>
  <c r="FD305" i="2"/>
  <c r="FC305" i="2"/>
  <c r="FB305" i="2"/>
  <c r="FA305" i="2"/>
  <c r="EZ305" i="2"/>
  <c r="EY305" i="2"/>
  <c r="EX305" i="2"/>
  <c r="EW305" i="2"/>
  <c r="EV305" i="2"/>
  <c r="EU305" i="2"/>
  <c r="ET305" i="2"/>
  <c r="ES305" i="2"/>
  <c r="ER305" i="2"/>
  <c r="EQ305" i="2"/>
  <c r="EP305" i="2"/>
  <c r="EO305" i="2"/>
  <c r="EN305" i="2"/>
  <c r="EM305" i="2"/>
  <c r="EL305" i="2"/>
  <c r="EK305" i="2"/>
  <c r="EJ305" i="2"/>
  <c r="EI305" i="2"/>
  <c r="EH305" i="2"/>
  <c r="EG305" i="2"/>
  <c r="EF305" i="2"/>
  <c r="EE305" i="2"/>
  <c r="ED305" i="2"/>
  <c r="EC305" i="2"/>
  <c r="EB305" i="2"/>
  <c r="EA305" i="2"/>
  <c r="DZ305" i="2"/>
  <c r="DY305" i="2"/>
  <c r="DX305" i="2"/>
  <c r="DW305" i="2"/>
  <c r="DV305" i="2"/>
  <c r="DU305" i="2"/>
  <c r="DT305" i="2"/>
  <c r="DS305" i="2"/>
  <c r="DR305" i="2"/>
  <c r="DQ305" i="2"/>
  <c r="DP305" i="2"/>
  <c r="DO305" i="2"/>
  <c r="DN305" i="2"/>
  <c r="DM305" i="2"/>
  <c r="DL305" i="2"/>
  <c r="DK305" i="2"/>
  <c r="DJ305" i="2"/>
  <c r="DI305" i="2"/>
  <c r="DH305" i="2"/>
  <c r="DG305" i="2"/>
  <c r="DF305" i="2"/>
  <c r="DE305" i="2"/>
  <c r="DD305" i="2"/>
  <c r="DC305" i="2"/>
  <c r="DB305" i="2"/>
  <c r="FS304" i="2"/>
  <c r="FR304" i="2"/>
  <c r="FQ304" i="2"/>
  <c r="FP304" i="2"/>
  <c r="FO304" i="2"/>
  <c r="FN304" i="2"/>
  <c r="FM304" i="2"/>
  <c r="FL304" i="2"/>
  <c r="FK304" i="2"/>
  <c r="FJ304" i="2"/>
  <c r="FI304" i="2"/>
  <c r="FH304" i="2"/>
  <c r="FG304" i="2"/>
  <c r="FF304" i="2"/>
  <c r="FE304" i="2"/>
  <c r="FD304" i="2"/>
  <c r="FC304" i="2"/>
  <c r="FB304" i="2"/>
  <c r="FA304" i="2"/>
  <c r="EZ304" i="2"/>
  <c r="EY304" i="2"/>
  <c r="EX304" i="2"/>
  <c r="EW304" i="2"/>
  <c r="EV304" i="2"/>
  <c r="EU304" i="2"/>
  <c r="ET304" i="2"/>
  <c r="ES304" i="2"/>
  <c r="ER304" i="2"/>
  <c r="EQ304" i="2"/>
  <c r="EP304" i="2"/>
  <c r="EO304" i="2"/>
  <c r="EN304" i="2"/>
  <c r="EM304" i="2"/>
  <c r="EL304" i="2"/>
  <c r="EK304" i="2"/>
  <c r="EJ304" i="2"/>
  <c r="EI304" i="2"/>
  <c r="EH304" i="2"/>
  <c r="EG304" i="2"/>
  <c r="EF304" i="2"/>
  <c r="EE304" i="2"/>
  <c r="ED304" i="2"/>
  <c r="EC304" i="2"/>
  <c r="EB304" i="2"/>
  <c r="EA304" i="2"/>
  <c r="DZ304" i="2"/>
  <c r="DY304" i="2"/>
  <c r="DX304" i="2"/>
  <c r="DW304" i="2"/>
  <c r="DV304" i="2"/>
  <c r="DU304" i="2"/>
  <c r="DT304" i="2"/>
  <c r="DS304" i="2"/>
  <c r="DR304" i="2"/>
  <c r="DQ304" i="2"/>
  <c r="DP304" i="2"/>
  <c r="DO304" i="2"/>
  <c r="DN304" i="2"/>
  <c r="DM304" i="2"/>
  <c r="DL304" i="2"/>
  <c r="DK304" i="2"/>
  <c r="DJ304" i="2"/>
  <c r="DI304" i="2"/>
  <c r="DH304" i="2"/>
  <c r="DG304" i="2"/>
  <c r="DF304" i="2"/>
  <c r="DE304" i="2"/>
  <c r="DD304" i="2"/>
  <c r="DC304" i="2"/>
  <c r="DB304" i="2"/>
  <c r="FS303" i="2"/>
  <c r="FR303" i="2"/>
  <c r="FQ303" i="2"/>
  <c r="FP303" i="2"/>
  <c r="FO303" i="2"/>
  <c r="FN303" i="2"/>
  <c r="FM303" i="2"/>
  <c r="FL303" i="2"/>
  <c r="FK303" i="2"/>
  <c r="FJ303" i="2"/>
  <c r="FI303" i="2"/>
  <c r="FH303" i="2"/>
  <c r="FG303" i="2"/>
  <c r="FF303" i="2"/>
  <c r="FE303" i="2"/>
  <c r="FD303" i="2"/>
  <c r="FC303" i="2"/>
  <c r="FB303" i="2"/>
  <c r="FA303" i="2"/>
  <c r="EZ303" i="2"/>
  <c r="EY303" i="2"/>
  <c r="EX303" i="2"/>
  <c r="EW303" i="2"/>
  <c r="EV303" i="2"/>
  <c r="EU303" i="2"/>
  <c r="ET303" i="2"/>
  <c r="ES303" i="2"/>
  <c r="ER303" i="2"/>
  <c r="EQ303" i="2"/>
  <c r="EP303" i="2"/>
  <c r="EO303" i="2"/>
  <c r="EN303" i="2"/>
  <c r="EM303" i="2"/>
  <c r="EL303" i="2"/>
  <c r="EK303" i="2"/>
  <c r="EJ303" i="2"/>
  <c r="EI303" i="2"/>
  <c r="EH303" i="2"/>
  <c r="EG303" i="2"/>
  <c r="EF303" i="2"/>
  <c r="EE303" i="2"/>
  <c r="ED303" i="2"/>
  <c r="EC303" i="2"/>
  <c r="EB303" i="2"/>
  <c r="EA303" i="2"/>
  <c r="DZ303" i="2"/>
  <c r="DY303" i="2"/>
  <c r="DX303" i="2"/>
  <c r="DW303" i="2"/>
  <c r="DV303" i="2"/>
  <c r="DU303" i="2"/>
  <c r="DT303" i="2"/>
  <c r="DS303" i="2"/>
  <c r="DR303" i="2"/>
  <c r="DQ303" i="2"/>
  <c r="DP303" i="2"/>
  <c r="DO303" i="2"/>
  <c r="DN303" i="2"/>
  <c r="DM303" i="2"/>
  <c r="DL303" i="2"/>
  <c r="DK303" i="2"/>
  <c r="DJ303" i="2"/>
  <c r="DI303" i="2"/>
  <c r="DH303" i="2"/>
  <c r="DG303" i="2"/>
  <c r="DF303" i="2"/>
  <c r="DE303" i="2"/>
  <c r="DD303" i="2"/>
  <c r="DC303" i="2"/>
  <c r="DB303" i="2"/>
  <c r="FS302" i="2"/>
  <c r="FR302" i="2"/>
  <c r="FQ302" i="2"/>
  <c r="FP302" i="2"/>
  <c r="FO302" i="2"/>
  <c r="FN302" i="2"/>
  <c r="FM302" i="2"/>
  <c r="FL302" i="2"/>
  <c r="FK302" i="2"/>
  <c r="FJ302" i="2"/>
  <c r="FI302" i="2"/>
  <c r="FH302" i="2"/>
  <c r="FG302" i="2"/>
  <c r="FF302" i="2"/>
  <c r="FE302" i="2"/>
  <c r="FD302" i="2"/>
  <c r="FC302" i="2"/>
  <c r="FB302" i="2"/>
  <c r="FA302" i="2"/>
  <c r="EZ302" i="2"/>
  <c r="EY302" i="2"/>
  <c r="EX302" i="2"/>
  <c r="EW302" i="2"/>
  <c r="EV302" i="2"/>
  <c r="EU302" i="2"/>
  <c r="ET302" i="2"/>
  <c r="ES302" i="2"/>
  <c r="ER302" i="2"/>
  <c r="EQ302" i="2"/>
  <c r="EP302" i="2"/>
  <c r="EO302" i="2"/>
  <c r="EN302" i="2"/>
  <c r="EM302" i="2"/>
  <c r="EL302" i="2"/>
  <c r="EK302" i="2"/>
  <c r="EJ302" i="2"/>
  <c r="EI302" i="2"/>
  <c r="EH302" i="2"/>
  <c r="EG302" i="2"/>
  <c r="EF302" i="2"/>
  <c r="EE302" i="2"/>
  <c r="ED302" i="2"/>
  <c r="EC302" i="2"/>
  <c r="EB302" i="2"/>
  <c r="EA302" i="2"/>
  <c r="DZ302" i="2"/>
  <c r="DY302" i="2"/>
  <c r="DX302" i="2"/>
  <c r="DW302" i="2"/>
  <c r="DV302" i="2"/>
  <c r="DU302" i="2"/>
  <c r="DT302" i="2"/>
  <c r="DS302" i="2"/>
  <c r="DR302" i="2"/>
  <c r="DQ302" i="2"/>
  <c r="DP302" i="2"/>
  <c r="DO302" i="2"/>
  <c r="DN302" i="2"/>
  <c r="DM302" i="2"/>
  <c r="DL302" i="2"/>
  <c r="DK302" i="2"/>
  <c r="DJ302" i="2"/>
  <c r="DI302" i="2"/>
  <c r="DH302" i="2"/>
  <c r="DG302" i="2"/>
  <c r="DF302" i="2"/>
  <c r="DE302" i="2"/>
  <c r="DD302" i="2"/>
  <c r="DC302" i="2"/>
  <c r="DB302" i="2"/>
  <c r="FS301" i="2"/>
  <c r="FR301" i="2"/>
  <c r="FQ301" i="2"/>
  <c r="FP301" i="2"/>
  <c r="FO301" i="2"/>
  <c r="FN301" i="2"/>
  <c r="FM301" i="2"/>
  <c r="FL301" i="2"/>
  <c r="FK301" i="2"/>
  <c r="FJ301" i="2"/>
  <c r="FI301" i="2"/>
  <c r="FH301" i="2"/>
  <c r="FG301" i="2"/>
  <c r="FF301" i="2"/>
  <c r="FE301" i="2"/>
  <c r="FD301" i="2"/>
  <c r="FC301" i="2"/>
  <c r="FB301" i="2"/>
  <c r="FA301" i="2"/>
  <c r="EZ301" i="2"/>
  <c r="EY301" i="2"/>
  <c r="EX301" i="2"/>
  <c r="EW301" i="2"/>
  <c r="EV301" i="2"/>
  <c r="EU301" i="2"/>
  <c r="ET301" i="2"/>
  <c r="ES301" i="2"/>
  <c r="ER301" i="2"/>
  <c r="EQ301" i="2"/>
  <c r="EP301" i="2"/>
  <c r="EO301" i="2"/>
  <c r="EN301" i="2"/>
  <c r="EM301" i="2"/>
  <c r="EL301" i="2"/>
  <c r="EK301" i="2"/>
  <c r="EJ301" i="2"/>
  <c r="EI301" i="2"/>
  <c r="EH301" i="2"/>
  <c r="EG301" i="2"/>
  <c r="EF301" i="2"/>
  <c r="EE301" i="2"/>
  <c r="ED301" i="2"/>
  <c r="EC301" i="2"/>
  <c r="EB301" i="2"/>
  <c r="EA301" i="2"/>
  <c r="DZ301" i="2"/>
  <c r="DY301" i="2"/>
  <c r="DX301" i="2"/>
  <c r="DW301" i="2"/>
  <c r="DV301" i="2"/>
  <c r="DU301" i="2"/>
  <c r="DT301" i="2"/>
  <c r="DS301" i="2"/>
  <c r="DR301" i="2"/>
  <c r="DQ301" i="2"/>
  <c r="DP301" i="2"/>
  <c r="DO301" i="2"/>
  <c r="DN301" i="2"/>
  <c r="DM301" i="2"/>
  <c r="DL301" i="2"/>
  <c r="DK301" i="2"/>
  <c r="DJ301" i="2"/>
  <c r="DI301" i="2"/>
  <c r="DH301" i="2"/>
  <c r="DG301" i="2"/>
  <c r="DF301" i="2"/>
  <c r="DE301" i="2"/>
  <c r="DD301" i="2"/>
  <c r="DC301" i="2"/>
  <c r="DB301" i="2"/>
  <c r="FS300" i="2"/>
  <c r="FR300" i="2"/>
  <c r="FQ300" i="2"/>
  <c r="FP300" i="2"/>
  <c r="FO300" i="2"/>
  <c r="FN300" i="2"/>
  <c r="FM300" i="2"/>
  <c r="FL300" i="2"/>
  <c r="FK300" i="2"/>
  <c r="FJ300" i="2"/>
  <c r="FI300" i="2"/>
  <c r="FH300" i="2"/>
  <c r="FG300" i="2"/>
  <c r="FF300" i="2"/>
  <c r="FE300" i="2"/>
  <c r="FD300" i="2"/>
  <c r="FC300" i="2"/>
  <c r="FB300" i="2"/>
  <c r="FA300" i="2"/>
  <c r="EZ300" i="2"/>
  <c r="EY300" i="2"/>
  <c r="EX300" i="2"/>
  <c r="EW300" i="2"/>
  <c r="EV300" i="2"/>
  <c r="EU300" i="2"/>
  <c r="ET300" i="2"/>
  <c r="ES300" i="2"/>
  <c r="ER300" i="2"/>
  <c r="EQ300" i="2"/>
  <c r="EP300" i="2"/>
  <c r="EO300" i="2"/>
  <c r="EN300" i="2"/>
  <c r="EM300" i="2"/>
  <c r="EL300" i="2"/>
  <c r="EK300" i="2"/>
  <c r="EJ300" i="2"/>
  <c r="EI300" i="2"/>
  <c r="EH300" i="2"/>
  <c r="EG300" i="2"/>
  <c r="EF300" i="2"/>
  <c r="EE300" i="2"/>
  <c r="ED300" i="2"/>
  <c r="EC300" i="2"/>
  <c r="EB300" i="2"/>
  <c r="EA300" i="2"/>
  <c r="DZ300" i="2"/>
  <c r="DY300" i="2"/>
  <c r="DX300" i="2"/>
  <c r="DW300" i="2"/>
  <c r="DV300" i="2"/>
  <c r="DU300" i="2"/>
  <c r="DT300" i="2"/>
  <c r="DS300" i="2"/>
  <c r="DR300" i="2"/>
  <c r="DQ300" i="2"/>
  <c r="DP300" i="2"/>
  <c r="DO300" i="2"/>
  <c r="DN300" i="2"/>
  <c r="DM300" i="2"/>
  <c r="DL300" i="2"/>
  <c r="DK300" i="2"/>
  <c r="DJ300" i="2"/>
  <c r="DI300" i="2"/>
  <c r="DH300" i="2"/>
  <c r="DG300" i="2"/>
  <c r="DF300" i="2"/>
  <c r="DE300" i="2"/>
  <c r="DD300" i="2"/>
  <c r="DC300" i="2"/>
  <c r="DB300" i="2"/>
  <c r="FS299" i="2"/>
  <c r="FR299" i="2"/>
  <c r="FQ299" i="2"/>
  <c r="FP299" i="2"/>
  <c r="FO299" i="2"/>
  <c r="FN299" i="2"/>
  <c r="FM299" i="2"/>
  <c r="FL299" i="2"/>
  <c r="FK299" i="2"/>
  <c r="FJ299" i="2"/>
  <c r="FI299" i="2"/>
  <c r="FH299" i="2"/>
  <c r="FG299" i="2"/>
  <c r="FF299" i="2"/>
  <c r="FE299" i="2"/>
  <c r="FD299" i="2"/>
  <c r="FC299" i="2"/>
  <c r="FB299" i="2"/>
  <c r="FA299" i="2"/>
  <c r="EZ299" i="2"/>
  <c r="EY299" i="2"/>
  <c r="EX299" i="2"/>
  <c r="EW299" i="2"/>
  <c r="EV299" i="2"/>
  <c r="EU299" i="2"/>
  <c r="ET299" i="2"/>
  <c r="ES299" i="2"/>
  <c r="ER299" i="2"/>
  <c r="EQ299" i="2"/>
  <c r="EP299" i="2"/>
  <c r="EO299" i="2"/>
  <c r="EN299" i="2"/>
  <c r="EM299" i="2"/>
  <c r="EL299" i="2"/>
  <c r="EK299" i="2"/>
  <c r="EJ299" i="2"/>
  <c r="EI299" i="2"/>
  <c r="EH299" i="2"/>
  <c r="EG299" i="2"/>
  <c r="EF299" i="2"/>
  <c r="EE299" i="2"/>
  <c r="ED299" i="2"/>
  <c r="EC299" i="2"/>
  <c r="EB299" i="2"/>
  <c r="EA299" i="2"/>
  <c r="DZ299" i="2"/>
  <c r="DY299" i="2"/>
  <c r="DX299" i="2"/>
  <c r="DW299" i="2"/>
  <c r="DV299" i="2"/>
  <c r="DU299" i="2"/>
  <c r="DT299" i="2"/>
  <c r="DS299" i="2"/>
  <c r="DR299" i="2"/>
  <c r="DQ299" i="2"/>
  <c r="DP299" i="2"/>
  <c r="DO299" i="2"/>
  <c r="DN299" i="2"/>
  <c r="DM299" i="2"/>
  <c r="DL299" i="2"/>
  <c r="DK299" i="2"/>
  <c r="DJ299" i="2"/>
  <c r="DI299" i="2"/>
  <c r="DH299" i="2"/>
  <c r="DG299" i="2"/>
  <c r="DF299" i="2"/>
  <c r="DE299" i="2"/>
  <c r="DD299" i="2"/>
  <c r="DC299" i="2"/>
  <c r="DB299" i="2"/>
  <c r="FS298" i="2"/>
  <c r="FR298" i="2"/>
  <c r="FQ298" i="2"/>
  <c r="FP298" i="2"/>
  <c r="FO298" i="2"/>
  <c r="FN298" i="2"/>
  <c r="FM298" i="2"/>
  <c r="FL298" i="2"/>
  <c r="FK298" i="2"/>
  <c r="FJ298" i="2"/>
  <c r="FI298" i="2"/>
  <c r="FH298" i="2"/>
  <c r="FG298" i="2"/>
  <c r="FF298" i="2"/>
  <c r="FE298" i="2"/>
  <c r="FD298" i="2"/>
  <c r="FC298" i="2"/>
  <c r="FB298" i="2"/>
  <c r="FA298" i="2"/>
  <c r="EZ298" i="2"/>
  <c r="EY298" i="2"/>
  <c r="EX298" i="2"/>
  <c r="EW298" i="2"/>
  <c r="EV298" i="2"/>
  <c r="EU298" i="2"/>
  <c r="ET298" i="2"/>
  <c r="ES298" i="2"/>
  <c r="ER298" i="2"/>
  <c r="EQ298" i="2"/>
  <c r="EP298" i="2"/>
  <c r="EO298" i="2"/>
  <c r="EN298" i="2"/>
  <c r="EM298" i="2"/>
  <c r="EL298" i="2"/>
  <c r="EK298" i="2"/>
  <c r="EJ298" i="2"/>
  <c r="EI298" i="2"/>
  <c r="EH298" i="2"/>
  <c r="EG298" i="2"/>
  <c r="EF298" i="2"/>
  <c r="EE298" i="2"/>
  <c r="ED298" i="2"/>
  <c r="EC298" i="2"/>
  <c r="EB298" i="2"/>
  <c r="EA298" i="2"/>
  <c r="DZ298" i="2"/>
  <c r="DY298" i="2"/>
  <c r="DX298" i="2"/>
  <c r="DW298" i="2"/>
  <c r="DV298" i="2"/>
  <c r="DU298" i="2"/>
  <c r="DT298" i="2"/>
  <c r="DS298" i="2"/>
  <c r="DR298" i="2"/>
  <c r="DQ298" i="2"/>
  <c r="DP298" i="2"/>
  <c r="DO298" i="2"/>
  <c r="DN298" i="2"/>
  <c r="DM298" i="2"/>
  <c r="DL298" i="2"/>
  <c r="DK298" i="2"/>
  <c r="DJ298" i="2"/>
  <c r="DI298" i="2"/>
  <c r="DH298" i="2"/>
  <c r="DG298" i="2"/>
  <c r="DF298" i="2"/>
  <c r="DE298" i="2"/>
  <c r="DD298" i="2"/>
  <c r="DC298" i="2"/>
  <c r="DB298" i="2"/>
  <c r="FS297" i="2"/>
  <c r="FR297" i="2"/>
  <c r="FQ297" i="2"/>
  <c r="FP297" i="2"/>
  <c r="FO297" i="2"/>
  <c r="FN297" i="2"/>
  <c r="FM297" i="2"/>
  <c r="FL297" i="2"/>
  <c r="FK297" i="2"/>
  <c r="FJ297" i="2"/>
  <c r="FI297" i="2"/>
  <c r="FH297" i="2"/>
  <c r="FG297" i="2"/>
  <c r="FF297" i="2"/>
  <c r="FE297" i="2"/>
  <c r="FD297" i="2"/>
  <c r="FC297" i="2"/>
  <c r="FB297" i="2"/>
  <c r="FA297" i="2"/>
  <c r="EZ297" i="2"/>
  <c r="EY297" i="2"/>
  <c r="EX297" i="2"/>
  <c r="EW297" i="2"/>
  <c r="EV297" i="2"/>
  <c r="EU297" i="2"/>
  <c r="ET297" i="2"/>
  <c r="ES297" i="2"/>
  <c r="ER297" i="2"/>
  <c r="EQ297" i="2"/>
  <c r="EP297" i="2"/>
  <c r="EO297" i="2"/>
  <c r="EN297" i="2"/>
  <c r="EM297" i="2"/>
  <c r="EL297" i="2"/>
  <c r="EK297" i="2"/>
  <c r="EJ297" i="2"/>
  <c r="EI297" i="2"/>
  <c r="EH297" i="2"/>
  <c r="EG297" i="2"/>
  <c r="EF297" i="2"/>
  <c r="EE297" i="2"/>
  <c r="ED297" i="2"/>
  <c r="EC297" i="2"/>
  <c r="EB297" i="2"/>
  <c r="EA297" i="2"/>
  <c r="DZ297" i="2"/>
  <c r="DY297" i="2"/>
  <c r="DX297" i="2"/>
  <c r="DW297" i="2"/>
  <c r="DV297" i="2"/>
  <c r="DU297" i="2"/>
  <c r="DT297" i="2"/>
  <c r="DS297" i="2"/>
  <c r="DR297" i="2"/>
  <c r="DQ297" i="2"/>
  <c r="DP297" i="2"/>
  <c r="DO297" i="2"/>
  <c r="DN297" i="2"/>
  <c r="DM297" i="2"/>
  <c r="DL297" i="2"/>
  <c r="DK297" i="2"/>
  <c r="DJ297" i="2"/>
  <c r="DI297" i="2"/>
  <c r="DH297" i="2"/>
  <c r="DG297" i="2"/>
  <c r="DF297" i="2"/>
  <c r="DE297" i="2"/>
  <c r="DD297" i="2"/>
  <c r="DC297" i="2"/>
  <c r="CU297" i="2" s="1"/>
  <c r="DB297" i="2"/>
  <c r="FS296" i="2"/>
  <c r="FR296" i="2"/>
  <c r="FQ296" i="2"/>
  <c r="FP296" i="2"/>
  <c r="FO296" i="2"/>
  <c r="FN296" i="2"/>
  <c r="FM296" i="2"/>
  <c r="FL296" i="2"/>
  <c r="FK296" i="2"/>
  <c r="FJ296" i="2"/>
  <c r="FI296" i="2"/>
  <c r="FH296" i="2"/>
  <c r="FG296" i="2"/>
  <c r="FF296" i="2"/>
  <c r="FE296" i="2"/>
  <c r="FD296" i="2"/>
  <c r="FC296" i="2"/>
  <c r="FB296" i="2"/>
  <c r="FA296" i="2"/>
  <c r="EZ296" i="2"/>
  <c r="EY296" i="2"/>
  <c r="EX296" i="2"/>
  <c r="EW296" i="2"/>
  <c r="EV296" i="2"/>
  <c r="EU296" i="2"/>
  <c r="ET296" i="2"/>
  <c r="ES296" i="2"/>
  <c r="ER296" i="2"/>
  <c r="EQ296" i="2"/>
  <c r="EP296" i="2"/>
  <c r="EO296" i="2"/>
  <c r="EN296" i="2"/>
  <c r="EM296" i="2"/>
  <c r="EL296" i="2"/>
  <c r="EK296" i="2"/>
  <c r="EJ296" i="2"/>
  <c r="EI296" i="2"/>
  <c r="EH296" i="2"/>
  <c r="EG296" i="2"/>
  <c r="EF296" i="2"/>
  <c r="EE296" i="2"/>
  <c r="ED296" i="2"/>
  <c r="EC296" i="2"/>
  <c r="EB296" i="2"/>
  <c r="EA296" i="2"/>
  <c r="DZ296" i="2"/>
  <c r="DY296" i="2"/>
  <c r="DX296" i="2"/>
  <c r="DW296" i="2"/>
  <c r="DV296" i="2"/>
  <c r="DU296" i="2"/>
  <c r="DT296" i="2"/>
  <c r="DS296" i="2"/>
  <c r="DR296" i="2"/>
  <c r="DQ296" i="2"/>
  <c r="DP296" i="2"/>
  <c r="DO296" i="2"/>
  <c r="DN296" i="2"/>
  <c r="DM296" i="2"/>
  <c r="DL296" i="2"/>
  <c r="DK296" i="2"/>
  <c r="DJ296" i="2"/>
  <c r="DI296" i="2"/>
  <c r="DH296" i="2"/>
  <c r="DG296" i="2"/>
  <c r="DF296" i="2"/>
  <c r="DE296" i="2"/>
  <c r="DD296" i="2"/>
  <c r="DC296" i="2"/>
  <c r="DB296" i="2"/>
  <c r="FS295" i="2"/>
  <c r="FR295" i="2"/>
  <c r="FQ295" i="2"/>
  <c r="FP295" i="2"/>
  <c r="FO295" i="2"/>
  <c r="FN295" i="2"/>
  <c r="FM295" i="2"/>
  <c r="FL295" i="2"/>
  <c r="FK295" i="2"/>
  <c r="FJ295" i="2"/>
  <c r="FI295" i="2"/>
  <c r="FH295" i="2"/>
  <c r="FG295" i="2"/>
  <c r="FF295" i="2"/>
  <c r="FE295" i="2"/>
  <c r="FD295" i="2"/>
  <c r="FC295" i="2"/>
  <c r="FB295" i="2"/>
  <c r="FA295" i="2"/>
  <c r="EZ295" i="2"/>
  <c r="EY295" i="2"/>
  <c r="EX295" i="2"/>
  <c r="EW295" i="2"/>
  <c r="EV295" i="2"/>
  <c r="EU295" i="2"/>
  <c r="ET295" i="2"/>
  <c r="ES295" i="2"/>
  <c r="ER295" i="2"/>
  <c r="EQ295" i="2"/>
  <c r="EP295" i="2"/>
  <c r="EO295" i="2"/>
  <c r="EN295" i="2"/>
  <c r="EM295" i="2"/>
  <c r="EL295" i="2"/>
  <c r="EK295" i="2"/>
  <c r="EJ295" i="2"/>
  <c r="EI295" i="2"/>
  <c r="EH295" i="2"/>
  <c r="EG295" i="2"/>
  <c r="EF295" i="2"/>
  <c r="EE295" i="2"/>
  <c r="ED295" i="2"/>
  <c r="EC295" i="2"/>
  <c r="EB295" i="2"/>
  <c r="EA295" i="2"/>
  <c r="DZ295" i="2"/>
  <c r="DY295" i="2"/>
  <c r="DX295" i="2"/>
  <c r="DW295" i="2"/>
  <c r="DV295" i="2"/>
  <c r="DU295" i="2"/>
  <c r="DT295" i="2"/>
  <c r="DS295" i="2"/>
  <c r="DR295" i="2"/>
  <c r="DQ295" i="2"/>
  <c r="DP295" i="2"/>
  <c r="DO295" i="2"/>
  <c r="DN295" i="2"/>
  <c r="DM295" i="2"/>
  <c r="DL295" i="2"/>
  <c r="DK295" i="2"/>
  <c r="DJ295" i="2"/>
  <c r="DI295" i="2"/>
  <c r="DH295" i="2"/>
  <c r="DG295" i="2"/>
  <c r="DF295" i="2"/>
  <c r="DE295" i="2"/>
  <c r="DD295" i="2"/>
  <c r="DC295" i="2"/>
  <c r="DB295" i="2"/>
  <c r="CR295" i="2"/>
  <c r="CQ295" i="2"/>
  <c r="CP295" i="2"/>
  <c r="CO295" i="2"/>
  <c r="CN295" i="2"/>
  <c r="FS294" i="2"/>
  <c r="FR294" i="2"/>
  <c r="FQ294" i="2"/>
  <c r="FP294" i="2"/>
  <c r="FO294" i="2"/>
  <c r="FN294" i="2"/>
  <c r="FM294" i="2"/>
  <c r="FL294" i="2"/>
  <c r="FK294" i="2"/>
  <c r="FJ294" i="2"/>
  <c r="FI294" i="2"/>
  <c r="FH294" i="2"/>
  <c r="FG294" i="2"/>
  <c r="FF294" i="2"/>
  <c r="FE294" i="2"/>
  <c r="FD294" i="2"/>
  <c r="FC294" i="2"/>
  <c r="FB294" i="2"/>
  <c r="FA294" i="2"/>
  <c r="EZ294" i="2"/>
  <c r="EY294" i="2"/>
  <c r="EX294" i="2"/>
  <c r="EW294" i="2"/>
  <c r="EV294" i="2"/>
  <c r="EU294" i="2"/>
  <c r="ET294" i="2"/>
  <c r="ES294" i="2"/>
  <c r="ER294" i="2"/>
  <c r="EQ294" i="2"/>
  <c r="EP294" i="2"/>
  <c r="EO294" i="2"/>
  <c r="EN294" i="2"/>
  <c r="EM294" i="2"/>
  <c r="EL294" i="2"/>
  <c r="EK294" i="2"/>
  <c r="EJ294" i="2"/>
  <c r="EI294" i="2"/>
  <c r="EH294" i="2"/>
  <c r="EG294" i="2"/>
  <c r="EF294" i="2"/>
  <c r="EE294" i="2"/>
  <c r="ED294" i="2"/>
  <c r="EC294" i="2"/>
  <c r="EB294" i="2"/>
  <c r="EA294" i="2"/>
  <c r="DZ294" i="2"/>
  <c r="DY294" i="2"/>
  <c r="DX294" i="2"/>
  <c r="DW294" i="2"/>
  <c r="DV294" i="2"/>
  <c r="DU294" i="2"/>
  <c r="DT294" i="2"/>
  <c r="DS294" i="2"/>
  <c r="DR294" i="2"/>
  <c r="DQ294" i="2"/>
  <c r="DP294" i="2"/>
  <c r="DO294" i="2"/>
  <c r="DN294" i="2"/>
  <c r="DM294" i="2"/>
  <c r="DL294" i="2"/>
  <c r="DK294" i="2"/>
  <c r="DJ294" i="2"/>
  <c r="DI294" i="2"/>
  <c r="DH294" i="2"/>
  <c r="DG294" i="2"/>
  <c r="DF294" i="2"/>
  <c r="DE294" i="2"/>
  <c r="DD294" i="2"/>
  <c r="DC294" i="2"/>
  <c r="DB294" i="2"/>
  <c r="CR294" i="2"/>
  <c r="CQ294" i="2"/>
  <c r="CP294" i="2"/>
  <c r="CO294" i="2"/>
  <c r="CN294" i="2"/>
  <c r="FS293" i="2"/>
  <c r="FR293" i="2"/>
  <c r="FQ293" i="2"/>
  <c r="FP293" i="2"/>
  <c r="FO293" i="2"/>
  <c r="FN293" i="2"/>
  <c r="FM293" i="2"/>
  <c r="FL293" i="2"/>
  <c r="FK293" i="2"/>
  <c r="FJ293" i="2"/>
  <c r="FI293" i="2"/>
  <c r="FH293" i="2"/>
  <c r="FG293" i="2"/>
  <c r="FF293" i="2"/>
  <c r="FE293" i="2"/>
  <c r="FD293" i="2"/>
  <c r="FC293" i="2"/>
  <c r="FB293" i="2"/>
  <c r="FA293" i="2"/>
  <c r="EZ293" i="2"/>
  <c r="EY293" i="2"/>
  <c r="EX293" i="2"/>
  <c r="EW293" i="2"/>
  <c r="EV293" i="2"/>
  <c r="EU293" i="2"/>
  <c r="ET293" i="2"/>
  <c r="ES293" i="2"/>
  <c r="ER293" i="2"/>
  <c r="EQ293" i="2"/>
  <c r="EP293" i="2"/>
  <c r="EO293" i="2"/>
  <c r="EN293" i="2"/>
  <c r="EM293" i="2"/>
  <c r="EL293" i="2"/>
  <c r="EK293" i="2"/>
  <c r="EJ293" i="2"/>
  <c r="EI293" i="2"/>
  <c r="EH293" i="2"/>
  <c r="EG293" i="2"/>
  <c r="EF293" i="2"/>
  <c r="EE293" i="2"/>
  <c r="ED293" i="2"/>
  <c r="EC293" i="2"/>
  <c r="EB293" i="2"/>
  <c r="EA293" i="2"/>
  <c r="DZ293" i="2"/>
  <c r="DY293" i="2"/>
  <c r="DX293" i="2"/>
  <c r="DW293" i="2"/>
  <c r="DV293" i="2"/>
  <c r="DU293" i="2"/>
  <c r="DT293" i="2"/>
  <c r="DS293" i="2"/>
  <c r="DR293" i="2"/>
  <c r="DQ293" i="2"/>
  <c r="DP293" i="2"/>
  <c r="DO293" i="2"/>
  <c r="DN293" i="2"/>
  <c r="DM293" i="2"/>
  <c r="DL293" i="2"/>
  <c r="DK293" i="2"/>
  <c r="DJ293" i="2"/>
  <c r="DI293" i="2"/>
  <c r="DH293" i="2"/>
  <c r="DG293" i="2"/>
  <c r="DF293" i="2"/>
  <c r="DE293" i="2"/>
  <c r="DD293" i="2"/>
  <c r="DC293" i="2"/>
  <c r="DB293" i="2"/>
  <c r="CR293" i="2"/>
  <c r="CQ293" i="2"/>
  <c r="CP293" i="2"/>
  <c r="CO293" i="2"/>
  <c r="CN293" i="2"/>
  <c r="FS292" i="2"/>
  <c r="FR292" i="2"/>
  <c r="FQ292" i="2"/>
  <c r="FP292" i="2"/>
  <c r="FO292" i="2"/>
  <c r="FN292" i="2"/>
  <c r="FM292" i="2"/>
  <c r="FL292" i="2"/>
  <c r="FK292" i="2"/>
  <c r="FJ292" i="2"/>
  <c r="FI292" i="2"/>
  <c r="FH292" i="2"/>
  <c r="FG292" i="2"/>
  <c r="FF292" i="2"/>
  <c r="FE292" i="2"/>
  <c r="FD292" i="2"/>
  <c r="FC292" i="2"/>
  <c r="FB292" i="2"/>
  <c r="FA292" i="2"/>
  <c r="EZ292" i="2"/>
  <c r="EY292" i="2"/>
  <c r="EX292" i="2"/>
  <c r="EW292" i="2"/>
  <c r="EV292" i="2"/>
  <c r="EU292" i="2"/>
  <c r="ET292" i="2"/>
  <c r="ES292" i="2"/>
  <c r="ER292" i="2"/>
  <c r="EQ292" i="2"/>
  <c r="EP292" i="2"/>
  <c r="EO292" i="2"/>
  <c r="EN292" i="2"/>
  <c r="EM292" i="2"/>
  <c r="EL292" i="2"/>
  <c r="EK292" i="2"/>
  <c r="EJ292" i="2"/>
  <c r="EI292" i="2"/>
  <c r="EH292" i="2"/>
  <c r="EG292" i="2"/>
  <c r="EF292" i="2"/>
  <c r="EE292" i="2"/>
  <c r="ED292" i="2"/>
  <c r="EC292" i="2"/>
  <c r="EB292" i="2"/>
  <c r="EA292" i="2"/>
  <c r="DZ292" i="2"/>
  <c r="DY292" i="2"/>
  <c r="DX292" i="2"/>
  <c r="DW292" i="2"/>
  <c r="DV292" i="2"/>
  <c r="DU292" i="2"/>
  <c r="DT292" i="2"/>
  <c r="DS292" i="2"/>
  <c r="DR292" i="2"/>
  <c r="DQ292" i="2"/>
  <c r="DP292" i="2"/>
  <c r="DO292" i="2"/>
  <c r="DN292" i="2"/>
  <c r="DM292" i="2"/>
  <c r="DL292" i="2"/>
  <c r="DK292" i="2"/>
  <c r="DJ292" i="2"/>
  <c r="DI292" i="2"/>
  <c r="DH292" i="2"/>
  <c r="DG292" i="2"/>
  <c r="DF292" i="2"/>
  <c r="DE292" i="2"/>
  <c r="DD292" i="2"/>
  <c r="DC292" i="2"/>
  <c r="DB292" i="2"/>
  <c r="CU292" i="2"/>
  <c r="CR292" i="2"/>
  <c r="CQ292" i="2"/>
  <c r="CP292" i="2"/>
  <c r="CO292" i="2"/>
  <c r="CN292" i="2"/>
  <c r="FS291" i="2"/>
  <c r="FR291" i="2"/>
  <c r="FQ291" i="2"/>
  <c r="FP291" i="2"/>
  <c r="FO291" i="2"/>
  <c r="FN291" i="2"/>
  <c r="FM291" i="2"/>
  <c r="FL291" i="2"/>
  <c r="FK291" i="2"/>
  <c r="FJ291" i="2"/>
  <c r="FI291" i="2"/>
  <c r="FH291" i="2"/>
  <c r="FG291" i="2"/>
  <c r="FF291" i="2"/>
  <c r="FE291" i="2"/>
  <c r="FD291" i="2"/>
  <c r="FC291" i="2"/>
  <c r="FB291" i="2"/>
  <c r="FA291" i="2"/>
  <c r="EZ291" i="2"/>
  <c r="EY291" i="2"/>
  <c r="EX291" i="2"/>
  <c r="EW291" i="2"/>
  <c r="EV291" i="2"/>
  <c r="EU291" i="2"/>
  <c r="ET291" i="2"/>
  <c r="ES291" i="2"/>
  <c r="ER291" i="2"/>
  <c r="EQ291" i="2"/>
  <c r="EP291" i="2"/>
  <c r="EO291" i="2"/>
  <c r="EN291" i="2"/>
  <c r="EM291" i="2"/>
  <c r="EL291" i="2"/>
  <c r="EK291" i="2"/>
  <c r="EJ291" i="2"/>
  <c r="EI291" i="2"/>
  <c r="EH291" i="2"/>
  <c r="EG291" i="2"/>
  <c r="EF291" i="2"/>
  <c r="EE291" i="2"/>
  <c r="ED291" i="2"/>
  <c r="EC291" i="2"/>
  <c r="EB291" i="2"/>
  <c r="EA291" i="2"/>
  <c r="DZ291" i="2"/>
  <c r="DY291" i="2"/>
  <c r="DX291" i="2"/>
  <c r="DW291" i="2"/>
  <c r="DV291" i="2"/>
  <c r="DU291" i="2"/>
  <c r="DT291" i="2"/>
  <c r="DS291" i="2"/>
  <c r="DR291" i="2"/>
  <c r="DQ291" i="2"/>
  <c r="DP291" i="2"/>
  <c r="DO291" i="2"/>
  <c r="DN291" i="2"/>
  <c r="DM291" i="2"/>
  <c r="DL291" i="2"/>
  <c r="DK291" i="2"/>
  <c r="DJ291" i="2"/>
  <c r="DI291" i="2"/>
  <c r="DH291" i="2"/>
  <c r="DG291" i="2"/>
  <c r="DF291" i="2"/>
  <c r="DE291" i="2"/>
  <c r="DD291" i="2"/>
  <c r="DC291" i="2"/>
  <c r="DB291" i="2"/>
  <c r="CR291" i="2"/>
  <c r="CQ291" i="2"/>
  <c r="CP291" i="2"/>
  <c r="CO291" i="2"/>
  <c r="CN291" i="2"/>
  <c r="FS290" i="2"/>
  <c r="FR290" i="2"/>
  <c r="FQ290" i="2"/>
  <c r="FP290" i="2"/>
  <c r="FO290" i="2"/>
  <c r="FN290" i="2"/>
  <c r="FM290" i="2"/>
  <c r="FL290" i="2"/>
  <c r="FK290" i="2"/>
  <c r="FJ290" i="2"/>
  <c r="FI290" i="2"/>
  <c r="FH290" i="2"/>
  <c r="FG290" i="2"/>
  <c r="FF290" i="2"/>
  <c r="FE290" i="2"/>
  <c r="FD290" i="2"/>
  <c r="FC290" i="2"/>
  <c r="FB290" i="2"/>
  <c r="FA290" i="2"/>
  <c r="EZ290" i="2"/>
  <c r="EY290" i="2"/>
  <c r="EX290" i="2"/>
  <c r="EW290" i="2"/>
  <c r="EV290" i="2"/>
  <c r="EU290" i="2"/>
  <c r="ET290" i="2"/>
  <c r="ES290" i="2"/>
  <c r="ER290" i="2"/>
  <c r="EQ290" i="2"/>
  <c r="EP290" i="2"/>
  <c r="EO290" i="2"/>
  <c r="EN290" i="2"/>
  <c r="EM290" i="2"/>
  <c r="EL290" i="2"/>
  <c r="EK290" i="2"/>
  <c r="EJ290" i="2"/>
  <c r="EI290" i="2"/>
  <c r="EH290" i="2"/>
  <c r="EG290" i="2"/>
  <c r="EF290" i="2"/>
  <c r="EE290" i="2"/>
  <c r="ED290" i="2"/>
  <c r="EC290" i="2"/>
  <c r="EB290" i="2"/>
  <c r="EA290" i="2"/>
  <c r="DZ290" i="2"/>
  <c r="DY290" i="2"/>
  <c r="DX290" i="2"/>
  <c r="DW290" i="2"/>
  <c r="DV290" i="2"/>
  <c r="DU290" i="2"/>
  <c r="DT290" i="2"/>
  <c r="DS290" i="2"/>
  <c r="DR290" i="2"/>
  <c r="DQ290" i="2"/>
  <c r="DP290" i="2"/>
  <c r="DO290" i="2"/>
  <c r="DN290" i="2"/>
  <c r="DM290" i="2"/>
  <c r="DL290" i="2"/>
  <c r="DK290" i="2"/>
  <c r="DJ290" i="2"/>
  <c r="DI290" i="2"/>
  <c r="DH290" i="2"/>
  <c r="DG290" i="2"/>
  <c r="DF290" i="2"/>
  <c r="DE290" i="2"/>
  <c r="DD290" i="2"/>
  <c r="DC290" i="2"/>
  <c r="DB290" i="2"/>
  <c r="CR290" i="2"/>
  <c r="CQ290" i="2"/>
  <c r="CP290" i="2"/>
  <c r="CO290" i="2"/>
  <c r="CN290" i="2"/>
  <c r="FS289" i="2"/>
  <c r="FR289" i="2"/>
  <c r="FQ289" i="2"/>
  <c r="FP289" i="2"/>
  <c r="FO289" i="2"/>
  <c r="FN289" i="2"/>
  <c r="FM289" i="2"/>
  <c r="FL289" i="2"/>
  <c r="FK289" i="2"/>
  <c r="FJ289" i="2"/>
  <c r="FI289" i="2"/>
  <c r="FH289" i="2"/>
  <c r="FG289" i="2"/>
  <c r="FF289" i="2"/>
  <c r="FE289" i="2"/>
  <c r="FD289" i="2"/>
  <c r="FC289" i="2"/>
  <c r="FB289" i="2"/>
  <c r="FA289" i="2"/>
  <c r="EZ289" i="2"/>
  <c r="EY289" i="2"/>
  <c r="EX289" i="2"/>
  <c r="EW289" i="2"/>
  <c r="EV289" i="2"/>
  <c r="EU289" i="2"/>
  <c r="ET289" i="2"/>
  <c r="ES289" i="2"/>
  <c r="ER289" i="2"/>
  <c r="EQ289" i="2"/>
  <c r="EP289" i="2"/>
  <c r="EO289" i="2"/>
  <c r="EN289" i="2"/>
  <c r="EM289" i="2"/>
  <c r="EL289" i="2"/>
  <c r="EK289" i="2"/>
  <c r="EJ289" i="2"/>
  <c r="EI289" i="2"/>
  <c r="EH289" i="2"/>
  <c r="EG289" i="2"/>
  <c r="EF289" i="2"/>
  <c r="EE289" i="2"/>
  <c r="ED289" i="2"/>
  <c r="EC289" i="2"/>
  <c r="EB289" i="2"/>
  <c r="EA289" i="2"/>
  <c r="DZ289" i="2"/>
  <c r="DY289" i="2"/>
  <c r="DX289" i="2"/>
  <c r="DW289" i="2"/>
  <c r="DV289" i="2"/>
  <c r="DU289" i="2"/>
  <c r="DT289" i="2"/>
  <c r="DS289" i="2"/>
  <c r="DR289" i="2"/>
  <c r="DQ289" i="2"/>
  <c r="DP289" i="2"/>
  <c r="DO289" i="2"/>
  <c r="DN289" i="2"/>
  <c r="DM289" i="2"/>
  <c r="DL289" i="2"/>
  <c r="DK289" i="2"/>
  <c r="DJ289" i="2"/>
  <c r="DI289" i="2"/>
  <c r="DH289" i="2"/>
  <c r="DG289" i="2"/>
  <c r="DF289" i="2"/>
  <c r="DE289" i="2"/>
  <c r="DD289" i="2"/>
  <c r="DC289" i="2"/>
  <c r="CU289" i="2" s="1"/>
  <c r="DB289" i="2"/>
  <c r="CR289" i="2"/>
  <c r="CQ289" i="2"/>
  <c r="CP289" i="2"/>
  <c r="CO289" i="2"/>
  <c r="CN289" i="2"/>
  <c r="FS288" i="2"/>
  <c r="FR288" i="2"/>
  <c r="FQ288" i="2"/>
  <c r="FP288" i="2"/>
  <c r="FO288" i="2"/>
  <c r="FN288" i="2"/>
  <c r="FM288" i="2"/>
  <c r="FL288" i="2"/>
  <c r="FK288" i="2"/>
  <c r="FJ288" i="2"/>
  <c r="FI288" i="2"/>
  <c r="FH288" i="2"/>
  <c r="FG288" i="2"/>
  <c r="FF288" i="2"/>
  <c r="FE288" i="2"/>
  <c r="FD288" i="2"/>
  <c r="FC288" i="2"/>
  <c r="FB288" i="2"/>
  <c r="FA288" i="2"/>
  <c r="EZ288" i="2"/>
  <c r="EY288" i="2"/>
  <c r="EX288" i="2"/>
  <c r="EW288" i="2"/>
  <c r="EV288" i="2"/>
  <c r="EU288" i="2"/>
  <c r="ET288" i="2"/>
  <c r="ES288" i="2"/>
  <c r="ER288" i="2"/>
  <c r="EQ288" i="2"/>
  <c r="EP288" i="2"/>
  <c r="EO288" i="2"/>
  <c r="EN288" i="2"/>
  <c r="EM288" i="2"/>
  <c r="EL288" i="2"/>
  <c r="EK288" i="2"/>
  <c r="EJ288" i="2"/>
  <c r="EI288" i="2"/>
  <c r="EH288" i="2"/>
  <c r="EG288" i="2"/>
  <c r="EF288" i="2"/>
  <c r="EE288" i="2"/>
  <c r="ED288" i="2"/>
  <c r="EC288" i="2"/>
  <c r="EB288" i="2"/>
  <c r="EA288" i="2"/>
  <c r="DZ288" i="2"/>
  <c r="DY288" i="2"/>
  <c r="DX288" i="2"/>
  <c r="DW288" i="2"/>
  <c r="DV288" i="2"/>
  <c r="DU288" i="2"/>
  <c r="DT288" i="2"/>
  <c r="DS288" i="2"/>
  <c r="DR288" i="2"/>
  <c r="DQ288" i="2"/>
  <c r="DP288" i="2"/>
  <c r="DO288" i="2"/>
  <c r="DN288" i="2"/>
  <c r="DM288" i="2"/>
  <c r="DL288" i="2"/>
  <c r="DK288" i="2"/>
  <c r="DJ288" i="2"/>
  <c r="DI288" i="2"/>
  <c r="DH288" i="2"/>
  <c r="DG288" i="2"/>
  <c r="DF288" i="2"/>
  <c r="DE288" i="2"/>
  <c r="DD288" i="2"/>
  <c r="DC288" i="2"/>
  <c r="DB288" i="2"/>
  <c r="CR288" i="2"/>
  <c r="CQ288" i="2"/>
  <c r="CP288" i="2"/>
  <c r="CO288" i="2"/>
  <c r="CN288" i="2"/>
  <c r="FS287" i="2"/>
  <c r="FR287" i="2"/>
  <c r="FQ287" i="2"/>
  <c r="FP287" i="2"/>
  <c r="FO287" i="2"/>
  <c r="FN287" i="2"/>
  <c r="FM287" i="2"/>
  <c r="FL287" i="2"/>
  <c r="FK287" i="2"/>
  <c r="FJ287" i="2"/>
  <c r="FI287" i="2"/>
  <c r="FH287" i="2"/>
  <c r="FG287" i="2"/>
  <c r="FF287" i="2"/>
  <c r="FE287" i="2"/>
  <c r="FD287" i="2"/>
  <c r="FC287" i="2"/>
  <c r="FB287" i="2"/>
  <c r="FA287" i="2"/>
  <c r="EZ287" i="2"/>
  <c r="EY287" i="2"/>
  <c r="EX287" i="2"/>
  <c r="EW287" i="2"/>
  <c r="EV287" i="2"/>
  <c r="EU287" i="2"/>
  <c r="ET287" i="2"/>
  <c r="ES287" i="2"/>
  <c r="ER287" i="2"/>
  <c r="EQ287" i="2"/>
  <c r="EP287" i="2"/>
  <c r="EO287" i="2"/>
  <c r="EN287" i="2"/>
  <c r="EM287" i="2"/>
  <c r="EL287" i="2"/>
  <c r="EK287" i="2"/>
  <c r="EJ287" i="2"/>
  <c r="EI287" i="2"/>
  <c r="EH287" i="2"/>
  <c r="EG287" i="2"/>
  <c r="EF287" i="2"/>
  <c r="EE287" i="2"/>
  <c r="ED287" i="2"/>
  <c r="EC287" i="2"/>
  <c r="EB287" i="2"/>
  <c r="EA287" i="2"/>
  <c r="DZ287" i="2"/>
  <c r="DY287" i="2"/>
  <c r="DX287" i="2"/>
  <c r="DW287" i="2"/>
  <c r="DV287" i="2"/>
  <c r="DU287" i="2"/>
  <c r="DT287" i="2"/>
  <c r="DS287" i="2"/>
  <c r="DR287" i="2"/>
  <c r="DQ287" i="2"/>
  <c r="DP287" i="2"/>
  <c r="DO287" i="2"/>
  <c r="DN287" i="2"/>
  <c r="DM287" i="2"/>
  <c r="DL287" i="2"/>
  <c r="DK287" i="2"/>
  <c r="DJ287" i="2"/>
  <c r="DI287" i="2"/>
  <c r="DH287" i="2"/>
  <c r="DG287" i="2"/>
  <c r="DF287" i="2"/>
  <c r="DE287" i="2"/>
  <c r="DD287" i="2"/>
  <c r="DC287" i="2"/>
  <c r="DB287" i="2"/>
  <c r="CU287" i="2" s="1"/>
  <c r="CR287" i="2"/>
  <c r="CQ287" i="2"/>
  <c r="CP287" i="2"/>
  <c r="CO287" i="2"/>
  <c r="CN287" i="2"/>
  <c r="FS286" i="2"/>
  <c r="FR286" i="2"/>
  <c r="FQ286" i="2"/>
  <c r="FP286" i="2"/>
  <c r="FO286" i="2"/>
  <c r="FN286" i="2"/>
  <c r="FM286" i="2"/>
  <c r="FL286" i="2"/>
  <c r="FK286" i="2"/>
  <c r="FJ286" i="2"/>
  <c r="FI286" i="2"/>
  <c r="FH286" i="2"/>
  <c r="FG286" i="2"/>
  <c r="FF286" i="2"/>
  <c r="FE286" i="2"/>
  <c r="FD286" i="2"/>
  <c r="FC286" i="2"/>
  <c r="FB286" i="2"/>
  <c r="FA286" i="2"/>
  <c r="EZ286" i="2"/>
  <c r="EY286" i="2"/>
  <c r="EX286" i="2"/>
  <c r="EW286" i="2"/>
  <c r="EV286" i="2"/>
  <c r="EU286" i="2"/>
  <c r="ET286" i="2"/>
  <c r="ES286" i="2"/>
  <c r="ER286" i="2"/>
  <c r="EQ286" i="2"/>
  <c r="EP286" i="2"/>
  <c r="EO286" i="2"/>
  <c r="EN286" i="2"/>
  <c r="EM286" i="2"/>
  <c r="EL286" i="2"/>
  <c r="EK286" i="2"/>
  <c r="EJ286" i="2"/>
  <c r="EI286" i="2"/>
  <c r="EH286" i="2"/>
  <c r="EG286" i="2"/>
  <c r="EF286" i="2"/>
  <c r="EE286" i="2"/>
  <c r="ED286" i="2"/>
  <c r="EC286" i="2"/>
  <c r="EB286" i="2"/>
  <c r="EA286" i="2"/>
  <c r="DZ286" i="2"/>
  <c r="DY286" i="2"/>
  <c r="DX286" i="2"/>
  <c r="DW286" i="2"/>
  <c r="DV286" i="2"/>
  <c r="DU286" i="2"/>
  <c r="DT286" i="2"/>
  <c r="DS286" i="2"/>
  <c r="DR286" i="2"/>
  <c r="DQ286" i="2"/>
  <c r="DP286" i="2"/>
  <c r="DO286" i="2"/>
  <c r="DN286" i="2"/>
  <c r="DM286" i="2"/>
  <c r="DL286" i="2"/>
  <c r="DK286" i="2"/>
  <c r="DJ286" i="2"/>
  <c r="DI286" i="2"/>
  <c r="DH286" i="2"/>
  <c r="DG286" i="2"/>
  <c r="DF286" i="2"/>
  <c r="DE286" i="2"/>
  <c r="DD286" i="2"/>
  <c r="DC286" i="2"/>
  <c r="DB286" i="2"/>
  <c r="CR286" i="2"/>
  <c r="CQ286" i="2"/>
  <c r="CP286" i="2"/>
  <c r="CO286" i="2"/>
  <c r="CN286" i="2"/>
  <c r="FS285" i="2"/>
  <c r="FR285" i="2"/>
  <c r="FQ285" i="2"/>
  <c r="FP285" i="2"/>
  <c r="FO285" i="2"/>
  <c r="FN285" i="2"/>
  <c r="FM285" i="2"/>
  <c r="FL285" i="2"/>
  <c r="FK285" i="2"/>
  <c r="FJ285" i="2"/>
  <c r="FI285" i="2"/>
  <c r="FH285" i="2"/>
  <c r="FG285" i="2"/>
  <c r="FF285" i="2"/>
  <c r="FE285" i="2"/>
  <c r="FD285" i="2"/>
  <c r="FC285" i="2"/>
  <c r="FB285" i="2"/>
  <c r="FA285" i="2"/>
  <c r="EZ285" i="2"/>
  <c r="EY285" i="2"/>
  <c r="EX285" i="2"/>
  <c r="EW285" i="2"/>
  <c r="EV285" i="2"/>
  <c r="EU285" i="2"/>
  <c r="ET285" i="2"/>
  <c r="ES285" i="2"/>
  <c r="ER285" i="2"/>
  <c r="EQ285" i="2"/>
  <c r="EP285" i="2"/>
  <c r="EO285" i="2"/>
  <c r="EN285" i="2"/>
  <c r="EM285" i="2"/>
  <c r="EL285" i="2"/>
  <c r="EK285" i="2"/>
  <c r="EJ285" i="2"/>
  <c r="EI285" i="2"/>
  <c r="EH285" i="2"/>
  <c r="EG285" i="2"/>
  <c r="EF285" i="2"/>
  <c r="EE285" i="2"/>
  <c r="ED285" i="2"/>
  <c r="EC285" i="2"/>
  <c r="EB285" i="2"/>
  <c r="EA285" i="2"/>
  <c r="DZ285" i="2"/>
  <c r="DY285" i="2"/>
  <c r="DX285" i="2"/>
  <c r="DW285" i="2"/>
  <c r="DV285" i="2"/>
  <c r="DU285" i="2"/>
  <c r="DT285" i="2"/>
  <c r="DS285" i="2"/>
  <c r="DR285" i="2"/>
  <c r="DQ285" i="2"/>
  <c r="DP285" i="2"/>
  <c r="DO285" i="2"/>
  <c r="DN285" i="2"/>
  <c r="DM285" i="2"/>
  <c r="DL285" i="2"/>
  <c r="DK285" i="2"/>
  <c r="DJ285" i="2"/>
  <c r="DI285" i="2"/>
  <c r="DH285" i="2"/>
  <c r="DG285" i="2"/>
  <c r="DF285" i="2"/>
  <c r="DE285" i="2"/>
  <c r="DD285" i="2"/>
  <c r="DC285" i="2"/>
  <c r="DB285" i="2"/>
  <c r="CR285" i="2"/>
  <c r="CQ285" i="2"/>
  <c r="CP285" i="2"/>
  <c r="CO285" i="2"/>
  <c r="CN285" i="2"/>
  <c r="FS284" i="2"/>
  <c r="FR284" i="2"/>
  <c r="FQ284" i="2"/>
  <c r="FP284" i="2"/>
  <c r="FO284" i="2"/>
  <c r="FN284" i="2"/>
  <c r="FM284" i="2"/>
  <c r="FL284" i="2"/>
  <c r="FK284" i="2"/>
  <c r="FJ284" i="2"/>
  <c r="FI284" i="2"/>
  <c r="FH284" i="2"/>
  <c r="FG284" i="2"/>
  <c r="FF284" i="2"/>
  <c r="FE284" i="2"/>
  <c r="FD284" i="2"/>
  <c r="FC284" i="2"/>
  <c r="FB284" i="2"/>
  <c r="FA284" i="2"/>
  <c r="EZ284" i="2"/>
  <c r="EY284" i="2"/>
  <c r="EX284" i="2"/>
  <c r="EW284" i="2"/>
  <c r="EV284" i="2"/>
  <c r="EU284" i="2"/>
  <c r="ET284" i="2"/>
  <c r="ES284" i="2"/>
  <c r="ER284" i="2"/>
  <c r="EQ284" i="2"/>
  <c r="EP284" i="2"/>
  <c r="EO284" i="2"/>
  <c r="EN284" i="2"/>
  <c r="EM284" i="2"/>
  <c r="EL284" i="2"/>
  <c r="EK284" i="2"/>
  <c r="EJ284" i="2"/>
  <c r="EI284" i="2"/>
  <c r="EH284" i="2"/>
  <c r="EG284" i="2"/>
  <c r="EF284" i="2"/>
  <c r="EE284" i="2"/>
  <c r="ED284" i="2"/>
  <c r="EC284" i="2"/>
  <c r="EB284" i="2"/>
  <c r="EA284" i="2"/>
  <c r="DZ284" i="2"/>
  <c r="DY284" i="2"/>
  <c r="DX284" i="2"/>
  <c r="DW284" i="2"/>
  <c r="DV284" i="2"/>
  <c r="DU284" i="2"/>
  <c r="DT284" i="2"/>
  <c r="DS284" i="2"/>
  <c r="DR284" i="2"/>
  <c r="DQ284" i="2"/>
  <c r="DP284" i="2"/>
  <c r="DO284" i="2"/>
  <c r="DN284" i="2"/>
  <c r="DM284" i="2"/>
  <c r="DL284" i="2"/>
  <c r="DK284" i="2"/>
  <c r="DJ284" i="2"/>
  <c r="DI284" i="2"/>
  <c r="DH284" i="2"/>
  <c r="DG284" i="2"/>
  <c r="DF284" i="2"/>
  <c r="DE284" i="2"/>
  <c r="DD284" i="2"/>
  <c r="DC284" i="2"/>
  <c r="DB284" i="2"/>
  <c r="CU284" i="2" s="1"/>
  <c r="CR284" i="2"/>
  <c r="CQ284" i="2"/>
  <c r="CP284" i="2"/>
  <c r="CO284" i="2"/>
  <c r="CN284" i="2"/>
  <c r="FS283" i="2"/>
  <c r="FR283" i="2"/>
  <c r="FQ283" i="2"/>
  <c r="FP283" i="2"/>
  <c r="FO283" i="2"/>
  <c r="FN283" i="2"/>
  <c r="FM283" i="2"/>
  <c r="FL283" i="2"/>
  <c r="FK283" i="2"/>
  <c r="FJ283" i="2"/>
  <c r="FI283" i="2"/>
  <c r="FH283" i="2"/>
  <c r="FG283" i="2"/>
  <c r="FF283" i="2"/>
  <c r="FE283" i="2"/>
  <c r="FD283" i="2"/>
  <c r="FC283" i="2"/>
  <c r="FB283" i="2"/>
  <c r="FA283" i="2"/>
  <c r="EZ283" i="2"/>
  <c r="EY283" i="2"/>
  <c r="EX283" i="2"/>
  <c r="EW283" i="2"/>
  <c r="EV283" i="2"/>
  <c r="EU283" i="2"/>
  <c r="ET283" i="2"/>
  <c r="ES283" i="2"/>
  <c r="ER283" i="2"/>
  <c r="EQ283" i="2"/>
  <c r="EP283" i="2"/>
  <c r="EO283" i="2"/>
  <c r="EN283" i="2"/>
  <c r="EM283" i="2"/>
  <c r="EL283" i="2"/>
  <c r="EK283" i="2"/>
  <c r="EJ283" i="2"/>
  <c r="EI283" i="2"/>
  <c r="EH283" i="2"/>
  <c r="EG283" i="2"/>
  <c r="EF283" i="2"/>
  <c r="EE283" i="2"/>
  <c r="ED283" i="2"/>
  <c r="EC283" i="2"/>
  <c r="EB283" i="2"/>
  <c r="EA283" i="2"/>
  <c r="DZ283" i="2"/>
  <c r="DY283" i="2"/>
  <c r="DX283" i="2"/>
  <c r="DW283" i="2"/>
  <c r="DV283" i="2"/>
  <c r="DU283" i="2"/>
  <c r="DT283" i="2"/>
  <c r="DS283" i="2"/>
  <c r="DR283" i="2"/>
  <c r="DQ283" i="2"/>
  <c r="DP283" i="2"/>
  <c r="DO283" i="2"/>
  <c r="DN283" i="2"/>
  <c r="DM283" i="2"/>
  <c r="DL283" i="2"/>
  <c r="DK283" i="2"/>
  <c r="DJ283" i="2"/>
  <c r="DI283" i="2"/>
  <c r="DH283" i="2"/>
  <c r="DG283" i="2"/>
  <c r="DF283" i="2"/>
  <c r="DE283" i="2"/>
  <c r="DD283" i="2"/>
  <c r="DC283" i="2"/>
  <c r="DB283" i="2"/>
  <c r="CR283" i="2"/>
  <c r="CQ283" i="2"/>
  <c r="CP283" i="2"/>
  <c r="CO283" i="2"/>
  <c r="CN283" i="2"/>
  <c r="FS282" i="2"/>
  <c r="FR282" i="2"/>
  <c r="FQ282" i="2"/>
  <c r="FP282" i="2"/>
  <c r="FO282" i="2"/>
  <c r="FN282" i="2"/>
  <c r="FM282" i="2"/>
  <c r="FL282" i="2"/>
  <c r="FK282" i="2"/>
  <c r="FJ282" i="2"/>
  <c r="FI282" i="2"/>
  <c r="FH282" i="2"/>
  <c r="FG282" i="2"/>
  <c r="FF282" i="2"/>
  <c r="FE282" i="2"/>
  <c r="FD282" i="2"/>
  <c r="FC282" i="2"/>
  <c r="FB282" i="2"/>
  <c r="FA282" i="2"/>
  <c r="EZ282" i="2"/>
  <c r="EY282" i="2"/>
  <c r="EX282" i="2"/>
  <c r="EW282" i="2"/>
  <c r="EV282" i="2"/>
  <c r="EU282" i="2"/>
  <c r="ET282" i="2"/>
  <c r="ES282" i="2"/>
  <c r="ER282" i="2"/>
  <c r="EQ282" i="2"/>
  <c r="EP282" i="2"/>
  <c r="EO282" i="2"/>
  <c r="EN282" i="2"/>
  <c r="EM282" i="2"/>
  <c r="EL282" i="2"/>
  <c r="EK282" i="2"/>
  <c r="EJ282" i="2"/>
  <c r="EI282" i="2"/>
  <c r="EH282" i="2"/>
  <c r="EG282" i="2"/>
  <c r="EF282" i="2"/>
  <c r="EE282" i="2"/>
  <c r="ED282" i="2"/>
  <c r="EC282" i="2"/>
  <c r="EB282" i="2"/>
  <c r="EA282" i="2"/>
  <c r="DZ282" i="2"/>
  <c r="DY282" i="2"/>
  <c r="DX282" i="2"/>
  <c r="DW282" i="2"/>
  <c r="DV282" i="2"/>
  <c r="DU282" i="2"/>
  <c r="DT282" i="2"/>
  <c r="DS282" i="2"/>
  <c r="DR282" i="2"/>
  <c r="DQ282" i="2"/>
  <c r="DP282" i="2"/>
  <c r="DO282" i="2"/>
  <c r="DN282" i="2"/>
  <c r="DM282" i="2"/>
  <c r="DL282" i="2"/>
  <c r="DK282" i="2"/>
  <c r="DJ282" i="2"/>
  <c r="DI282" i="2"/>
  <c r="DH282" i="2"/>
  <c r="DG282" i="2"/>
  <c r="DF282" i="2"/>
  <c r="DE282" i="2"/>
  <c r="DD282" i="2"/>
  <c r="DC282" i="2"/>
  <c r="DB282" i="2"/>
  <c r="CR282" i="2"/>
  <c r="CQ282" i="2"/>
  <c r="CP282" i="2"/>
  <c r="CO282" i="2"/>
  <c r="CN282" i="2"/>
  <c r="FS281" i="2"/>
  <c r="FR281" i="2"/>
  <c r="FQ281" i="2"/>
  <c r="FP281" i="2"/>
  <c r="FO281" i="2"/>
  <c r="FN281" i="2"/>
  <c r="FM281" i="2"/>
  <c r="FL281" i="2"/>
  <c r="FK281" i="2"/>
  <c r="FJ281" i="2"/>
  <c r="FI281" i="2"/>
  <c r="FH281" i="2"/>
  <c r="FG281" i="2"/>
  <c r="FF281" i="2"/>
  <c r="FE281" i="2"/>
  <c r="FD281" i="2"/>
  <c r="FC281" i="2"/>
  <c r="FB281" i="2"/>
  <c r="FA281" i="2"/>
  <c r="EZ281" i="2"/>
  <c r="EY281" i="2"/>
  <c r="EX281" i="2"/>
  <c r="EW281" i="2"/>
  <c r="EV281" i="2"/>
  <c r="EU281" i="2"/>
  <c r="ET281" i="2"/>
  <c r="ES281" i="2"/>
  <c r="ER281" i="2"/>
  <c r="EQ281" i="2"/>
  <c r="EP281" i="2"/>
  <c r="EO281" i="2"/>
  <c r="EN281" i="2"/>
  <c r="EM281" i="2"/>
  <c r="EL281" i="2"/>
  <c r="EK281" i="2"/>
  <c r="EJ281" i="2"/>
  <c r="EI281" i="2"/>
  <c r="EH281" i="2"/>
  <c r="EG281" i="2"/>
  <c r="EF281" i="2"/>
  <c r="EE281" i="2"/>
  <c r="ED281" i="2"/>
  <c r="EC281" i="2"/>
  <c r="EB281" i="2"/>
  <c r="EA281" i="2"/>
  <c r="DZ281" i="2"/>
  <c r="DY281" i="2"/>
  <c r="DX281" i="2"/>
  <c r="DW281" i="2"/>
  <c r="DV281" i="2"/>
  <c r="DU281" i="2"/>
  <c r="DT281" i="2"/>
  <c r="DS281" i="2"/>
  <c r="DR281" i="2"/>
  <c r="DQ281" i="2"/>
  <c r="DP281" i="2"/>
  <c r="DO281" i="2"/>
  <c r="DN281" i="2"/>
  <c r="DM281" i="2"/>
  <c r="DL281" i="2"/>
  <c r="DK281" i="2"/>
  <c r="DJ281" i="2"/>
  <c r="DI281" i="2"/>
  <c r="DH281" i="2"/>
  <c r="DG281" i="2"/>
  <c r="DF281" i="2"/>
  <c r="DE281" i="2"/>
  <c r="DD281" i="2"/>
  <c r="DC281" i="2"/>
  <c r="DB281" i="2"/>
  <c r="CR281" i="2"/>
  <c r="CQ281" i="2"/>
  <c r="CP281" i="2"/>
  <c r="CO281" i="2"/>
  <c r="CN281" i="2"/>
  <c r="FS280" i="2"/>
  <c r="FR280" i="2"/>
  <c r="FQ280" i="2"/>
  <c r="FP280" i="2"/>
  <c r="FO280" i="2"/>
  <c r="FN280" i="2"/>
  <c r="FM280" i="2"/>
  <c r="FL280" i="2"/>
  <c r="FK280" i="2"/>
  <c r="FJ280" i="2"/>
  <c r="FI280" i="2"/>
  <c r="FH280" i="2"/>
  <c r="FG280" i="2"/>
  <c r="FF280" i="2"/>
  <c r="FE280" i="2"/>
  <c r="FD280" i="2"/>
  <c r="FC280" i="2"/>
  <c r="FB280" i="2"/>
  <c r="FA280" i="2"/>
  <c r="EZ280" i="2"/>
  <c r="EY280" i="2"/>
  <c r="EX280" i="2"/>
  <c r="EW280" i="2"/>
  <c r="EV280" i="2"/>
  <c r="EU280" i="2"/>
  <c r="ET280" i="2"/>
  <c r="ES280" i="2"/>
  <c r="ER280" i="2"/>
  <c r="EQ280" i="2"/>
  <c r="EP280" i="2"/>
  <c r="EO280" i="2"/>
  <c r="EN280" i="2"/>
  <c r="EM280" i="2"/>
  <c r="EL280" i="2"/>
  <c r="EK280" i="2"/>
  <c r="EJ280" i="2"/>
  <c r="EI280" i="2"/>
  <c r="EH280" i="2"/>
  <c r="EG280" i="2"/>
  <c r="EF280" i="2"/>
  <c r="EE280" i="2"/>
  <c r="ED280" i="2"/>
  <c r="EC280" i="2"/>
  <c r="EB280" i="2"/>
  <c r="EA280" i="2"/>
  <c r="DZ280" i="2"/>
  <c r="DY280" i="2"/>
  <c r="DX280" i="2"/>
  <c r="DW280" i="2"/>
  <c r="DV280" i="2"/>
  <c r="DU280" i="2"/>
  <c r="DT280" i="2"/>
  <c r="DS280" i="2"/>
  <c r="DR280" i="2"/>
  <c r="DQ280" i="2"/>
  <c r="DP280" i="2"/>
  <c r="DO280" i="2"/>
  <c r="DN280" i="2"/>
  <c r="DM280" i="2"/>
  <c r="DL280" i="2"/>
  <c r="DK280" i="2"/>
  <c r="DJ280" i="2"/>
  <c r="DI280" i="2"/>
  <c r="DH280" i="2"/>
  <c r="DG280" i="2"/>
  <c r="DF280" i="2"/>
  <c r="CU280" i="2" s="1"/>
  <c r="DE280" i="2"/>
  <c r="DD280" i="2"/>
  <c r="DC280" i="2"/>
  <c r="DB280" i="2"/>
  <c r="CR280" i="2"/>
  <c r="CQ280" i="2"/>
  <c r="CP280" i="2"/>
  <c r="CO280" i="2"/>
  <c r="CN280" i="2"/>
  <c r="FS279" i="2"/>
  <c r="FR279" i="2"/>
  <c r="FQ279" i="2"/>
  <c r="FP279" i="2"/>
  <c r="FO279" i="2"/>
  <c r="FN279" i="2"/>
  <c r="FM279" i="2"/>
  <c r="FL279" i="2"/>
  <c r="FK279" i="2"/>
  <c r="FJ279" i="2"/>
  <c r="FI279" i="2"/>
  <c r="FH279" i="2"/>
  <c r="FG279" i="2"/>
  <c r="FF279" i="2"/>
  <c r="FE279" i="2"/>
  <c r="FD279" i="2"/>
  <c r="FC279" i="2"/>
  <c r="FB279" i="2"/>
  <c r="FA279" i="2"/>
  <c r="EZ279" i="2"/>
  <c r="EY279" i="2"/>
  <c r="EX279" i="2"/>
  <c r="EW279" i="2"/>
  <c r="EV279" i="2"/>
  <c r="EU279" i="2"/>
  <c r="ET279" i="2"/>
  <c r="ES279" i="2"/>
  <c r="ER279" i="2"/>
  <c r="EQ279" i="2"/>
  <c r="EP279" i="2"/>
  <c r="EO279" i="2"/>
  <c r="EN279" i="2"/>
  <c r="EM279" i="2"/>
  <c r="EL279" i="2"/>
  <c r="EK279" i="2"/>
  <c r="EJ279" i="2"/>
  <c r="EI279" i="2"/>
  <c r="EH279" i="2"/>
  <c r="EG279" i="2"/>
  <c r="EF279" i="2"/>
  <c r="EE279" i="2"/>
  <c r="ED279" i="2"/>
  <c r="EC279" i="2"/>
  <c r="EB279" i="2"/>
  <c r="EA279" i="2"/>
  <c r="DZ279" i="2"/>
  <c r="DY279" i="2"/>
  <c r="DX279" i="2"/>
  <c r="DW279" i="2"/>
  <c r="DV279" i="2"/>
  <c r="DU279" i="2"/>
  <c r="DT279" i="2"/>
  <c r="DS279" i="2"/>
  <c r="DR279" i="2"/>
  <c r="DQ279" i="2"/>
  <c r="DP279" i="2"/>
  <c r="DO279" i="2"/>
  <c r="DN279" i="2"/>
  <c r="DM279" i="2"/>
  <c r="DL279" i="2"/>
  <c r="DK279" i="2"/>
  <c r="DJ279" i="2"/>
  <c r="DI279" i="2"/>
  <c r="DH279" i="2"/>
  <c r="DG279" i="2"/>
  <c r="DF279" i="2"/>
  <c r="DE279" i="2"/>
  <c r="DD279" i="2"/>
  <c r="DC279" i="2"/>
  <c r="DB279" i="2"/>
  <c r="CU279" i="2" s="1"/>
  <c r="CR279" i="2"/>
  <c r="CQ279" i="2"/>
  <c r="CP279" i="2"/>
  <c r="CO279" i="2"/>
  <c r="CN279" i="2"/>
  <c r="FS278" i="2"/>
  <c r="FR278" i="2"/>
  <c r="FQ278" i="2"/>
  <c r="FP278" i="2"/>
  <c r="FO278" i="2"/>
  <c r="FN278" i="2"/>
  <c r="FM278" i="2"/>
  <c r="FL278" i="2"/>
  <c r="FK278" i="2"/>
  <c r="FJ278" i="2"/>
  <c r="FI278" i="2"/>
  <c r="FH278" i="2"/>
  <c r="FG278" i="2"/>
  <c r="FF278" i="2"/>
  <c r="FE278" i="2"/>
  <c r="FD278" i="2"/>
  <c r="FC278" i="2"/>
  <c r="FB278" i="2"/>
  <c r="FA278" i="2"/>
  <c r="EZ278" i="2"/>
  <c r="EY278" i="2"/>
  <c r="EX278" i="2"/>
  <c r="EW278" i="2"/>
  <c r="EV278" i="2"/>
  <c r="EU278" i="2"/>
  <c r="ET278" i="2"/>
  <c r="ES278" i="2"/>
  <c r="ER278" i="2"/>
  <c r="EQ278" i="2"/>
  <c r="EP278" i="2"/>
  <c r="EO278" i="2"/>
  <c r="EN278" i="2"/>
  <c r="EM278" i="2"/>
  <c r="EL278" i="2"/>
  <c r="EK278" i="2"/>
  <c r="EJ278" i="2"/>
  <c r="EI278" i="2"/>
  <c r="EH278" i="2"/>
  <c r="EG278" i="2"/>
  <c r="EF278" i="2"/>
  <c r="EE278" i="2"/>
  <c r="ED278" i="2"/>
  <c r="EC278" i="2"/>
  <c r="EB278" i="2"/>
  <c r="EA278" i="2"/>
  <c r="DZ278" i="2"/>
  <c r="DY278" i="2"/>
  <c r="DX278" i="2"/>
  <c r="DW278" i="2"/>
  <c r="DV278" i="2"/>
  <c r="DU278" i="2"/>
  <c r="DT278" i="2"/>
  <c r="DS278" i="2"/>
  <c r="DR278" i="2"/>
  <c r="DQ278" i="2"/>
  <c r="DP278" i="2"/>
  <c r="DO278" i="2"/>
  <c r="DN278" i="2"/>
  <c r="DM278" i="2"/>
  <c r="DL278" i="2"/>
  <c r="DK278" i="2"/>
  <c r="DJ278" i="2"/>
  <c r="DI278" i="2"/>
  <c r="DH278" i="2"/>
  <c r="DG278" i="2"/>
  <c r="DF278" i="2"/>
  <c r="DE278" i="2"/>
  <c r="DD278" i="2"/>
  <c r="DC278" i="2"/>
  <c r="DB278" i="2"/>
  <c r="CR278" i="2"/>
  <c r="CQ278" i="2"/>
  <c r="CP278" i="2"/>
  <c r="CO278" i="2"/>
  <c r="CN278" i="2"/>
  <c r="FS277" i="2"/>
  <c r="FR277" i="2"/>
  <c r="FQ277" i="2"/>
  <c r="FP277" i="2"/>
  <c r="FO277" i="2"/>
  <c r="FN277" i="2"/>
  <c r="FM277" i="2"/>
  <c r="FL277" i="2"/>
  <c r="FK277" i="2"/>
  <c r="FJ277" i="2"/>
  <c r="FI277" i="2"/>
  <c r="FH277" i="2"/>
  <c r="FG277" i="2"/>
  <c r="FF277" i="2"/>
  <c r="FE277" i="2"/>
  <c r="FD277" i="2"/>
  <c r="FC277" i="2"/>
  <c r="FB277" i="2"/>
  <c r="FA277" i="2"/>
  <c r="EZ277" i="2"/>
  <c r="EY277" i="2"/>
  <c r="EX277" i="2"/>
  <c r="EW277" i="2"/>
  <c r="EV277" i="2"/>
  <c r="EU277" i="2"/>
  <c r="ET277" i="2"/>
  <c r="ES277" i="2"/>
  <c r="ER277" i="2"/>
  <c r="EQ277" i="2"/>
  <c r="EP277" i="2"/>
  <c r="EO277" i="2"/>
  <c r="EN277" i="2"/>
  <c r="EM277" i="2"/>
  <c r="EL277" i="2"/>
  <c r="EK277" i="2"/>
  <c r="EJ277" i="2"/>
  <c r="EI277" i="2"/>
  <c r="EH277" i="2"/>
  <c r="EG277" i="2"/>
  <c r="EF277" i="2"/>
  <c r="EE277" i="2"/>
  <c r="ED277" i="2"/>
  <c r="EC277" i="2"/>
  <c r="EB277" i="2"/>
  <c r="EA277" i="2"/>
  <c r="DZ277" i="2"/>
  <c r="DY277" i="2"/>
  <c r="DX277" i="2"/>
  <c r="DW277" i="2"/>
  <c r="DV277" i="2"/>
  <c r="DU277" i="2"/>
  <c r="DT277" i="2"/>
  <c r="DS277" i="2"/>
  <c r="DR277" i="2"/>
  <c r="DQ277" i="2"/>
  <c r="DP277" i="2"/>
  <c r="DO277" i="2"/>
  <c r="DN277" i="2"/>
  <c r="DM277" i="2"/>
  <c r="DL277" i="2"/>
  <c r="DK277" i="2"/>
  <c r="DJ277" i="2"/>
  <c r="DI277" i="2"/>
  <c r="DH277" i="2"/>
  <c r="CU277" i="2" s="1"/>
  <c r="DG277" i="2"/>
  <c r="DF277" i="2"/>
  <c r="DE277" i="2"/>
  <c r="DD277" i="2"/>
  <c r="DC277" i="2"/>
  <c r="DB277" i="2"/>
  <c r="CR277" i="2"/>
  <c r="CQ277" i="2"/>
  <c r="CP277" i="2"/>
  <c r="CO277" i="2"/>
  <c r="CN277" i="2"/>
  <c r="FS276" i="2"/>
  <c r="FR276" i="2"/>
  <c r="FQ276" i="2"/>
  <c r="FP276" i="2"/>
  <c r="FO276" i="2"/>
  <c r="FN276" i="2"/>
  <c r="FM276" i="2"/>
  <c r="FL276" i="2"/>
  <c r="FK276" i="2"/>
  <c r="FJ276" i="2"/>
  <c r="FI276" i="2"/>
  <c r="FH276" i="2"/>
  <c r="FG276" i="2"/>
  <c r="FF276" i="2"/>
  <c r="FE276" i="2"/>
  <c r="FD276" i="2"/>
  <c r="FC276" i="2"/>
  <c r="FB276" i="2"/>
  <c r="FA276" i="2"/>
  <c r="EZ276" i="2"/>
  <c r="EY276" i="2"/>
  <c r="EX276" i="2"/>
  <c r="EW276" i="2"/>
  <c r="EV276" i="2"/>
  <c r="EU276" i="2"/>
  <c r="ET276" i="2"/>
  <c r="ES276" i="2"/>
  <c r="ER276" i="2"/>
  <c r="EQ276" i="2"/>
  <c r="EP276" i="2"/>
  <c r="EO276" i="2"/>
  <c r="EN276" i="2"/>
  <c r="EM276" i="2"/>
  <c r="EL276" i="2"/>
  <c r="EK276" i="2"/>
  <c r="EJ276" i="2"/>
  <c r="EI276" i="2"/>
  <c r="EH276" i="2"/>
  <c r="EG276" i="2"/>
  <c r="EF276" i="2"/>
  <c r="EE276" i="2"/>
  <c r="ED276" i="2"/>
  <c r="EC276" i="2"/>
  <c r="EB276" i="2"/>
  <c r="EA276" i="2"/>
  <c r="DZ276" i="2"/>
  <c r="DY276" i="2"/>
  <c r="DX276" i="2"/>
  <c r="DW276" i="2"/>
  <c r="DV276" i="2"/>
  <c r="DU276" i="2"/>
  <c r="DT276" i="2"/>
  <c r="DS276" i="2"/>
  <c r="DR276" i="2"/>
  <c r="DQ276" i="2"/>
  <c r="DP276" i="2"/>
  <c r="DO276" i="2"/>
  <c r="DN276" i="2"/>
  <c r="DM276" i="2"/>
  <c r="DL276" i="2"/>
  <c r="DK276" i="2"/>
  <c r="DJ276" i="2"/>
  <c r="DI276" i="2"/>
  <c r="DH276" i="2"/>
  <c r="DG276" i="2"/>
  <c r="DF276" i="2"/>
  <c r="DE276" i="2"/>
  <c r="DD276" i="2"/>
  <c r="DC276" i="2"/>
  <c r="DB276" i="2"/>
  <c r="CR276" i="2"/>
  <c r="CQ276" i="2"/>
  <c r="CP276" i="2"/>
  <c r="CO276" i="2"/>
  <c r="CN276" i="2"/>
  <c r="FS275" i="2"/>
  <c r="FR275" i="2"/>
  <c r="FQ275" i="2"/>
  <c r="FP275" i="2"/>
  <c r="FO275" i="2"/>
  <c r="FN275" i="2"/>
  <c r="FM275" i="2"/>
  <c r="FL275" i="2"/>
  <c r="FK275" i="2"/>
  <c r="FJ275" i="2"/>
  <c r="FI275" i="2"/>
  <c r="FH275" i="2"/>
  <c r="FG275" i="2"/>
  <c r="FF275" i="2"/>
  <c r="FE275" i="2"/>
  <c r="FD275" i="2"/>
  <c r="FC275" i="2"/>
  <c r="FB275" i="2"/>
  <c r="FA275" i="2"/>
  <c r="EZ275" i="2"/>
  <c r="EY275" i="2"/>
  <c r="EX275" i="2"/>
  <c r="EW275" i="2"/>
  <c r="EV275" i="2"/>
  <c r="EU275" i="2"/>
  <c r="ET275" i="2"/>
  <c r="ES275" i="2"/>
  <c r="ER275" i="2"/>
  <c r="EQ275" i="2"/>
  <c r="EP275" i="2"/>
  <c r="EO275" i="2"/>
  <c r="EN275" i="2"/>
  <c r="EM275" i="2"/>
  <c r="EL275" i="2"/>
  <c r="EK275" i="2"/>
  <c r="EJ275" i="2"/>
  <c r="EI275" i="2"/>
  <c r="EH275" i="2"/>
  <c r="EG275" i="2"/>
  <c r="EF275" i="2"/>
  <c r="EE275" i="2"/>
  <c r="ED275" i="2"/>
  <c r="EC275" i="2"/>
  <c r="EB275" i="2"/>
  <c r="EA275" i="2"/>
  <c r="DZ275" i="2"/>
  <c r="DY275" i="2"/>
  <c r="DX275" i="2"/>
  <c r="DW275" i="2"/>
  <c r="DV275" i="2"/>
  <c r="DU275" i="2"/>
  <c r="DT275" i="2"/>
  <c r="DS275" i="2"/>
  <c r="DR275" i="2"/>
  <c r="DQ275" i="2"/>
  <c r="DP275" i="2"/>
  <c r="DO275" i="2"/>
  <c r="DN275" i="2"/>
  <c r="DM275" i="2"/>
  <c r="DL275" i="2"/>
  <c r="DK275" i="2"/>
  <c r="DJ275" i="2"/>
  <c r="DI275" i="2"/>
  <c r="DH275" i="2"/>
  <c r="DG275" i="2"/>
  <c r="DF275" i="2"/>
  <c r="DE275" i="2"/>
  <c r="DD275" i="2"/>
  <c r="DC275" i="2"/>
  <c r="DB275" i="2"/>
  <c r="CR275" i="2"/>
  <c r="CQ275" i="2"/>
  <c r="CP275" i="2"/>
  <c r="CO275" i="2"/>
  <c r="CN275" i="2"/>
  <c r="FS274" i="2"/>
  <c r="FR274" i="2"/>
  <c r="FQ274" i="2"/>
  <c r="FP274" i="2"/>
  <c r="FO274" i="2"/>
  <c r="FN274" i="2"/>
  <c r="FM274" i="2"/>
  <c r="FL274" i="2"/>
  <c r="FK274" i="2"/>
  <c r="FJ274" i="2"/>
  <c r="FI274" i="2"/>
  <c r="FH274" i="2"/>
  <c r="FG274" i="2"/>
  <c r="FF274" i="2"/>
  <c r="FE274" i="2"/>
  <c r="FD274" i="2"/>
  <c r="FC274" i="2"/>
  <c r="FB274" i="2"/>
  <c r="FA274" i="2"/>
  <c r="EZ274" i="2"/>
  <c r="EY274" i="2"/>
  <c r="EX274" i="2"/>
  <c r="EW274" i="2"/>
  <c r="EV274" i="2"/>
  <c r="EU274" i="2"/>
  <c r="ET274" i="2"/>
  <c r="ES274" i="2"/>
  <c r="ER274" i="2"/>
  <c r="EQ274" i="2"/>
  <c r="EP274" i="2"/>
  <c r="EO274" i="2"/>
  <c r="EN274" i="2"/>
  <c r="EM274" i="2"/>
  <c r="EL274" i="2"/>
  <c r="EK274" i="2"/>
  <c r="EJ274" i="2"/>
  <c r="EI274" i="2"/>
  <c r="EH274" i="2"/>
  <c r="EG274" i="2"/>
  <c r="EF274" i="2"/>
  <c r="EE274" i="2"/>
  <c r="ED274" i="2"/>
  <c r="EC274" i="2"/>
  <c r="EB274" i="2"/>
  <c r="EA274" i="2"/>
  <c r="DZ274" i="2"/>
  <c r="DY274" i="2"/>
  <c r="DX274" i="2"/>
  <c r="DW274" i="2"/>
  <c r="DV274" i="2"/>
  <c r="DU274" i="2"/>
  <c r="DT274" i="2"/>
  <c r="DS274" i="2"/>
  <c r="DR274" i="2"/>
  <c r="DQ274" i="2"/>
  <c r="DP274" i="2"/>
  <c r="DO274" i="2"/>
  <c r="DN274" i="2"/>
  <c r="DM274" i="2"/>
  <c r="DL274" i="2"/>
  <c r="DK274" i="2"/>
  <c r="DJ274" i="2"/>
  <c r="DI274" i="2"/>
  <c r="DH274" i="2"/>
  <c r="DG274" i="2"/>
  <c r="DF274" i="2"/>
  <c r="DE274" i="2"/>
  <c r="DD274" i="2"/>
  <c r="DC274" i="2"/>
  <c r="DB274" i="2"/>
  <c r="CU274" i="2" s="1"/>
  <c r="CR274" i="2"/>
  <c r="CQ274" i="2"/>
  <c r="CP274" i="2"/>
  <c r="CO274" i="2"/>
  <c r="CN274" i="2"/>
  <c r="FS273" i="2"/>
  <c r="FR273" i="2"/>
  <c r="FQ273" i="2"/>
  <c r="FP273" i="2"/>
  <c r="FO273" i="2"/>
  <c r="FN273" i="2"/>
  <c r="FM273" i="2"/>
  <c r="FL273" i="2"/>
  <c r="FK273" i="2"/>
  <c r="FJ273" i="2"/>
  <c r="FI273" i="2"/>
  <c r="FH273" i="2"/>
  <c r="FG273" i="2"/>
  <c r="FF273" i="2"/>
  <c r="FE273" i="2"/>
  <c r="FD273" i="2"/>
  <c r="FC273" i="2"/>
  <c r="FB273" i="2"/>
  <c r="FA273" i="2"/>
  <c r="EZ273" i="2"/>
  <c r="EY273" i="2"/>
  <c r="EX273" i="2"/>
  <c r="EW273" i="2"/>
  <c r="EV273" i="2"/>
  <c r="EU273" i="2"/>
  <c r="ET273" i="2"/>
  <c r="ES273" i="2"/>
  <c r="ER273" i="2"/>
  <c r="EQ273" i="2"/>
  <c r="EP273" i="2"/>
  <c r="EO273" i="2"/>
  <c r="EN273" i="2"/>
  <c r="EM273" i="2"/>
  <c r="EL273" i="2"/>
  <c r="EK273" i="2"/>
  <c r="EJ273" i="2"/>
  <c r="EI273" i="2"/>
  <c r="EH273" i="2"/>
  <c r="EG273" i="2"/>
  <c r="EF273" i="2"/>
  <c r="EE273" i="2"/>
  <c r="ED273" i="2"/>
  <c r="EC273" i="2"/>
  <c r="EB273" i="2"/>
  <c r="EA273" i="2"/>
  <c r="DZ273" i="2"/>
  <c r="DY273" i="2"/>
  <c r="DX273" i="2"/>
  <c r="DW273" i="2"/>
  <c r="DV273" i="2"/>
  <c r="DU273" i="2"/>
  <c r="DT273" i="2"/>
  <c r="DS273" i="2"/>
  <c r="DR273" i="2"/>
  <c r="DQ273" i="2"/>
  <c r="DP273" i="2"/>
  <c r="DO273" i="2"/>
  <c r="DN273" i="2"/>
  <c r="DM273" i="2"/>
  <c r="DL273" i="2"/>
  <c r="DK273" i="2"/>
  <c r="DJ273" i="2"/>
  <c r="DI273" i="2"/>
  <c r="DH273" i="2"/>
  <c r="DG273" i="2"/>
  <c r="DF273" i="2"/>
  <c r="DE273" i="2"/>
  <c r="DD273" i="2"/>
  <c r="DC273" i="2"/>
  <c r="DB273" i="2"/>
  <c r="CR273" i="2"/>
  <c r="CQ273" i="2"/>
  <c r="CP273" i="2"/>
  <c r="CO273" i="2"/>
  <c r="CN273" i="2"/>
  <c r="FS272" i="2"/>
  <c r="FR272" i="2"/>
  <c r="FQ272" i="2"/>
  <c r="FP272" i="2"/>
  <c r="FO272" i="2"/>
  <c r="FN272" i="2"/>
  <c r="FM272" i="2"/>
  <c r="FL272" i="2"/>
  <c r="FK272" i="2"/>
  <c r="FJ272" i="2"/>
  <c r="FI272" i="2"/>
  <c r="FH272" i="2"/>
  <c r="FG272" i="2"/>
  <c r="FF272" i="2"/>
  <c r="FE272" i="2"/>
  <c r="FD272" i="2"/>
  <c r="FC272" i="2"/>
  <c r="FB272" i="2"/>
  <c r="FA272" i="2"/>
  <c r="EZ272" i="2"/>
  <c r="EY272" i="2"/>
  <c r="EX272" i="2"/>
  <c r="EW272" i="2"/>
  <c r="EV272" i="2"/>
  <c r="EU272" i="2"/>
  <c r="ET272" i="2"/>
  <c r="ES272" i="2"/>
  <c r="ER272" i="2"/>
  <c r="EQ272" i="2"/>
  <c r="EP272" i="2"/>
  <c r="EO272" i="2"/>
  <c r="EN272" i="2"/>
  <c r="EM272" i="2"/>
  <c r="EL272" i="2"/>
  <c r="EK272" i="2"/>
  <c r="EJ272" i="2"/>
  <c r="EI272" i="2"/>
  <c r="EH272" i="2"/>
  <c r="EG272" i="2"/>
  <c r="EF272" i="2"/>
  <c r="EE272" i="2"/>
  <c r="ED272" i="2"/>
  <c r="EC272" i="2"/>
  <c r="EB272" i="2"/>
  <c r="EA272" i="2"/>
  <c r="DZ272" i="2"/>
  <c r="DY272" i="2"/>
  <c r="DX272" i="2"/>
  <c r="DW272" i="2"/>
  <c r="DV272" i="2"/>
  <c r="DU272" i="2"/>
  <c r="DT272" i="2"/>
  <c r="DS272" i="2"/>
  <c r="DR272" i="2"/>
  <c r="DQ272" i="2"/>
  <c r="DP272" i="2"/>
  <c r="DO272" i="2"/>
  <c r="DN272" i="2"/>
  <c r="DM272" i="2"/>
  <c r="DL272" i="2"/>
  <c r="DK272" i="2"/>
  <c r="DJ272" i="2"/>
  <c r="DI272" i="2"/>
  <c r="DH272" i="2"/>
  <c r="DG272" i="2"/>
  <c r="DF272" i="2"/>
  <c r="DE272" i="2"/>
  <c r="DD272" i="2"/>
  <c r="DC272" i="2"/>
  <c r="DB272" i="2"/>
  <c r="CR272" i="2"/>
  <c r="CQ272" i="2"/>
  <c r="CP272" i="2"/>
  <c r="CO272" i="2"/>
  <c r="CN272" i="2"/>
  <c r="FS271" i="2"/>
  <c r="FR271" i="2"/>
  <c r="FQ271" i="2"/>
  <c r="FP271" i="2"/>
  <c r="FO271" i="2"/>
  <c r="FN271" i="2"/>
  <c r="FM271" i="2"/>
  <c r="FL271" i="2"/>
  <c r="FK271" i="2"/>
  <c r="FJ271" i="2"/>
  <c r="FI271" i="2"/>
  <c r="FH271" i="2"/>
  <c r="FG271" i="2"/>
  <c r="FF271" i="2"/>
  <c r="FE271" i="2"/>
  <c r="FD271" i="2"/>
  <c r="FC271" i="2"/>
  <c r="FB271" i="2"/>
  <c r="FA271" i="2"/>
  <c r="EZ271" i="2"/>
  <c r="EY271" i="2"/>
  <c r="EX271" i="2"/>
  <c r="EW271" i="2"/>
  <c r="EV271" i="2"/>
  <c r="EU271" i="2"/>
  <c r="ET271" i="2"/>
  <c r="ES271" i="2"/>
  <c r="ER271" i="2"/>
  <c r="EQ271" i="2"/>
  <c r="EP271" i="2"/>
  <c r="EO271" i="2"/>
  <c r="EN271" i="2"/>
  <c r="EM271" i="2"/>
  <c r="EL271" i="2"/>
  <c r="EK271" i="2"/>
  <c r="EJ271" i="2"/>
  <c r="EI271" i="2"/>
  <c r="EH271" i="2"/>
  <c r="EG271" i="2"/>
  <c r="EF271" i="2"/>
  <c r="EE271" i="2"/>
  <c r="ED271" i="2"/>
  <c r="EC271" i="2"/>
  <c r="EB271" i="2"/>
  <c r="EA271" i="2"/>
  <c r="DZ271" i="2"/>
  <c r="DY271" i="2"/>
  <c r="DX271" i="2"/>
  <c r="DW271" i="2"/>
  <c r="DV271" i="2"/>
  <c r="DU271" i="2"/>
  <c r="DT271" i="2"/>
  <c r="DS271" i="2"/>
  <c r="DR271" i="2"/>
  <c r="DQ271" i="2"/>
  <c r="DP271" i="2"/>
  <c r="DO271" i="2"/>
  <c r="DN271" i="2"/>
  <c r="DM271" i="2"/>
  <c r="DL271" i="2"/>
  <c r="DK271" i="2"/>
  <c r="DJ271" i="2"/>
  <c r="DI271" i="2"/>
  <c r="DH271" i="2"/>
  <c r="DG271" i="2"/>
  <c r="DF271" i="2"/>
  <c r="DE271" i="2"/>
  <c r="DD271" i="2"/>
  <c r="DC271" i="2"/>
  <c r="DB271" i="2"/>
  <c r="CR271" i="2"/>
  <c r="CQ271" i="2"/>
  <c r="CP271" i="2"/>
  <c r="CO271" i="2"/>
  <c r="CN271" i="2"/>
  <c r="FS270" i="2"/>
  <c r="FR270" i="2"/>
  <c r="FQ270" i="2"/>
  <c r="FP270" i="2"/>
  <c r="FO270" i="2"/>
  <c r="FN270" i="2"/>
  <c r="FM270" i="2"/>
  <c r="FL270" i="2"/>
  <c r="FK270" i="2"/>
  <c r="FJ270" i="2"/>
  <c r="FI270" i="2"/>
  <c r="FH270" i="2"/>
  <c r="FG270" i="2"/>
  <c r="FF270" i="2"/>
  <c r="FE270" i="2"/>
  <c r="FD270" i="2"/>
  <c r="FC270" i="2"/>
  <c r="FB270" i="2"/>
  <c r="FA270" i="2"/>
  <c r="EZ270" i="2"/>
  <c r="EY270" i="2"/>
  <c r="EX270" i="2"/>
  <c r="EW270" i="2"/>
  <c r="EV270" i="2"/>
  <c r="EU270" i="2"/>
  <c r="ET270" i="2"/>
  <c r="ES270" i="2"/>
  <c r="ER270" i="2"/>
  <c r="EQ270" i="2"/>
  <c r="EP270" i="2"/>
  <c r="EO270" i="2"/>
  <c r="EN270" i="2"/>
  <c r="EM270" i="2"/>
  <c r="EL270" i="2"/>
  <c r="EK270" i="2"/>
  <c r="EJ270" i="2"/>
  <c r="EI270" i="2"/>
  <c r="EH270" i="2"/>
  <c r="EG270" i="2"/>
  <c r="EF270" i="2"/>
  <c r="EE270" i="2"/>
  <c r="ED270" i="2"/>
  <c r="EC270" i="2"/>
  <c r="EB270" i="2"/>
  <c r="EA270" i="2"/>
  <c r="DZ270" i="2"/>
  <c r="DY270" i="2"/>
  <c r="DX270" i="2"/>
  <c r="DW270" i="2"/>
  <c r="DV270" i="2"/>
  <c r="DU270" i="2"/>
  <c r="DT270" i="2"/>
  <c r="DS270" i="2"/>
  <c r="DR270" i="2"/>
  <c r="DQ270" i="2"/>
  <c r="DP270" i="2"/>
  <c r="DO270" i="2"/>
  <c r="DN270" i="2"/>
  <c r="DM270" i="2"/>
  <c r="DL270" i="2"/>
  <c r="DK270" i="2"/>
  <c r="DJ270" i="2"/>
  <c r="DI270" i="2"/>
  <c r="DH270" i="2"/>
  <c r="DG270" i="2"/>
  <c r="DF270" i="2"/>
  <c r="DE270" i="2"/>
  <c r="DD270" i="2"/>
  <c r="DC270" i="2"/>
  <c r="DB270" i="2"/>
  <c r="CR270" i="2"/>
  <c r="CQ270" i="2"/>
  <c r="CP270" i="2"/>
  <c r="CO270" i="2"/>
  <c r="CN270" i="2"/>
  <c r="FS269" i="2"/>
  <c r="FR269" i="2"/>
  <c r="FQ269" i="2"/>
  <c r="FP269" i="2"/>
  <c r="FO269" i="2"/>
  <c r="FN269" i="2"/>
  <c r="FM269" i="2"/>
  <c r="FL269" i="2"/>
  <c r="FK269" i="2"/>
  <c r="FJ269" i="2"/>
  <c r="FI269" i="2"/>
  <c r="FH269" i="2"/>
  <c r="FG269" i="2"/>
  <c r="FF269" i="2"/>
  <c r="FE269" i="2"/>
  <c r="FD269" i="2"/>
  <c r="FC269" i="2"/>
  <c r="FB269" i="2"/>
  <c r="FA269" i="2"/>
  <c r="EZ269" i="2"/>
  <c r="EY269" i="2"/>
  <c r="EX269" i="2"/>
  <c r="EW269" i="2"/>
  <c r="EV269" i="2"/>
  <c r="EU269" i="2"/>
  <c r="ET269" i="2"/>
  <c r="ES269" i="2"/>
  <c r="ER269" i="2"/>
  <c r="EQ269" i="2"/>
  <c r="EP269" i="2"/>
  <c r="EO269" i="2"/>
  <c r="EN269" i="2"/>
  <c r="EM269" i="2"/>
  <c r="EL269" i="2"/>
  <c r="EK269" i="2"/>
  <c r="EJ269" i="2"/>
  <c r="EI269" i="2"/>
  <c r="EH269" i="2"/>
  <c r="EG269" i="2"/>
  <c r="EF269" i="2"/>
  <c r="EE269" i="2"/>
  <c r="ED269" i="2"/>
  <c r="EC269" i="2"/>
  <c r="EB269" i="2"/>
  <c r="EA269" i="2"/>
  <c r="DZ269" i="2"/>
  <c r="DY269" i="2"/>
  <c r="DX269" i="2"/>
  <c r="DW269" i="2"/>
  <c r="DV269" i="2"/>
  <c r="DU269" i="2"/>
  <c r="DT269" i="2"/>
  <c r="DS269" i="2"/>
  <c r="DR269" i="2"/>
  <c r="DQ269" i="2"/>
  <c r="DP269" i="2"/>
  <c r="DO269" i="2"/>
  <c r="DN269" i="2"/>
  <c r="DM269" i="2"/>
  <c r="DL269" i="2"/>
  <c r="DK269" i="2"/>
  <c r="DJ269" i="2"/>
  <c r="DI269" i="2"/>
  <c r="DH269" i="2"/>
  <c r="DG269" i="2"/>
  <c r="DF269" i="2"/>
  <c r="DE269" i="2"/>
  <c r="DD269" i="2"/>
  <c r="DC269" i="2"/>
  <c r="CU269" i="2" s="1"/>
  <c r="DB269" i="2"/>
  <c r="CR269" i="2"/>
  <c r="CQ269" i="2"/>
  <c r="CP269" i="2"/>
  <c r="CO269" i="2"/>
  <c r="CN269" i="2"/>
  <c r="FS268" i="2"/>
  <c r="FR268" i="2"/>
  <c r="FQ268" i="2"/>
  <c r="FP268" i="2"/>
  <c r="FO268" i="2"/>
  <c r="FN268" i="2"/>
  <c r="FM268" i="2"/>
  <c r="FL268" i="2"/>
  <c r="FK268" i="2"/>
  <c r="FJ268" i="2"/>
  <c r="FI268" i="2"/>
  <c r="FH268" i="2"/>
  <c r="FG268" i="2"/>
  <c r="FF268" i="2"/>
  <c r="FE268" i="2"/>
  <c r="FD268" i="2"/>
  <c r="FC268" i="2"/>
  <c r="FB268" i="2"/>
  <c r="FA268" i="2"/>
  <c r="EZ268" i="2"/>
  <c r="EY268" i="2"/>
  <c r="EX268" i="2"/>
  <c r="EW268" i="2"/>
  <c r="EV268" i="2"/>
  <c r="EU268" i="2"/>
  <c r="ET268" i="2"/>
  <c r="ES268" i="2"/>
  <c r="ER268" i="2"/>
  <c r="EQ268" i="2"/>
  <c r="EP268" i="2"/>
  <c r="EO268" i="2"/>
  <c r="EN268" i="2"/>
  <c r="EM268" i="2"/>
  <c r="EL268" i="2"/>
  <c r="EK268" i="2"/>
  <c r="EJ268" i="2"/>
  <c r="EI268" i="2"/>
  <c r="EH268" i="2"/>
  <c r="EG268" i="2"/>
  <c r="EF268" i="2"/>
  <c r="EE268" i="2"/>
  <c r="ED268" i="2"/>
  <c r="EC268" i="2"/>
  <c r="EB268" i="2"/>
  <c r="EA268" i="2"/>
  <c r="DZ268" i="2"/>
  <c r="DY268" i="2"/>
  <c r="DX268" i="2"/>
  <c r="DW268" i="2"/>
  <c r="DV268" i="2"/>
  <c r="DU268" i="2"/>
  <c r="DT268" i="2"/>
  <c r="DS268" i="2"/>
  <c r="DR268" i="2"/>
  <c r="DQ268" i="2"/>
  <c r="DP268" i="2"/>
  <c r="DO268" i="2"/>
  <c r="DN268" i="2"/>
  <c r="DM268" i="2"/>
  <c r="DL268" i="2"/>
  <c r="DK268" i="2"/>
  <c r="DJ268" i="2"/>
  <c r="DI268" i="2"/>
  <c r="DH268" i="2"/>
  <c r="DG268" i="2"/>
  <c r="DF268" i="2"/>
  <c r="DE268" i="2"/>
  <c r="DD268" i="2"/>
  <c r="DC268" i="2"/>
  <c r="DB268" i="2"/>
  <c r="CU268" i="2" s="1"/>
  <c r="CR268" i="2"/>
  <c r="CQ268" i="2"/>
  <c r="CP268" i="2"/>
  <c r="CO268" i="2"/>
  <c r="CN268" i="2"/>
  <c r="FS267" i="2"/>
  <c r="FR267" i="2"/>
  <c r="FQ267" i="2"/>
  <c r="FP267" i="2"/>
  <c r="FO267" i="2"/>
  <c r="FN267" i="2"/>
  <c r="FM267" i="2"/>
  <c r="FL267" i="2"/>
  <c r="FK267" i="2"/>
  <c r="FJ267" i="2"/>
  <c r="FI267" i="2"/>
  <c r="FH267" i="2"/>
  <c r="FG267" i="2"/>
  <c r="FF267" i="2"/>
  <c r="FE267" i="2"/>
  <c r="FD267" i="2"/>
  <c r="FC267" i="2"/>
  <c r="FB267" i="2"/>
  <c r="FA267" i="2"/>
  <c r="EZ267" i="2"/>
  <c r="EY267" i="2"/>
  <c r="EX267" i="2"/>
  <c r="EW267" i="2"/>
  <c r="EV267" i="2"/>
  <c r="EU267" i="2"/>
  <c r="ET267" i="2"/>
  <c r="ES267" i="2"/>
  <c r="ER267" i="2"/>
  <c r="EQ267" i="2"/>
  <c r="EP267" i="2"/>
  <c r="EO267" i="2"/>
  <c r="EN267" i="2"/>
  <c r="EM267" i="2"/>
  <c r="EL267" i="2"/>
  <c r="EK267" i="2"/>
  <c r="EJ267" i="2"/>
  <c r="EI267" i="2"/>
  <c r="EH267" i="2"/>
  <c r="EG267" i="2"/>
  <c r="EF267" i="2"/>
  <c r="EE267" i="2"/>
  <c r="ED267" i="2"/>
  <c r="EC267" i="2"/>
  <c r="EB267" i="2"/>
  <c r="EA267" i="2"/>
  <c r="DZ267" i="2"/>
  <c r="DY267" i="2"/>
  <c r="DX267" i="2"/>
  <c r="DW267" i="2"/>
  <c r="DV267" i="2"/>
  <c r="DU267" i="2"/>
  <c r="DT267" i="2"/>
  <c r="DS267" i="2"/>
  <c r="DR267" i="2"/>
  <c r="DQ267" i="2"/>
  <c r="DP267" i="2"/>
  <c r="DO267" i="2"/>
  <c r="DN267" i="2"/>
  <c r="DM267" i="2"/>
  <c r="DL267" i="2"/>
  <c r="DK267" i="2"/>
  <c r="DJ267" i="2"/>
  <c r="DI267" i="2"/>
  <c r="DH267" i="2"/>
  <c r="DG267" i="2"/>
  <c r="DF267" i="2"/>
  <c r="DE267" i="2"/>
  <c r="DD267" i="2"/>
  <c r="DC267" i="2"/>
  <c r="DB267" i="2"/>
  <c r="CR267" i="2"/>
  <c r="CQ267" i="2"/>
  <c r="CP267" i="2"/>
  <c r="CO267" i="2"/>
  <c r="CN267" i="2"/>
  <c r="FS266" i="2"/>
  <c r="FR266" i="2"/>
  <c r="FQ266" i="2"/>
  <c r="FP266" i="2"/>
  <c r="FO266" i="2"/>
  <c r="FN266" i="2"/>
  <c r="FM266" i="2"/>
  <c r="FL266" i="2"/>
  <c r="FK266" i="2"/>
  <c r="FJ266" i="2"/>
  <c r="FI266" i="2"/>
  <c r="FH266" i="2"/>
  <c r="FG266" i="2"/>
  <c r="FF266" i="2"/>
  <c r="FE266" i="2"/>
  <c r="FD266" i="2"/>
  <c r="FC266" i="2"/>
  <c r="FB266" i="2"/>
  <c r="FA266" i="2"/>
  <c r="EZ266" i="2"/>
  <c r="EY266" i="2"/>
  <c r="EX266" i="2"/>
  <c r="EW266" i="2"/>
  <c r="EV266" i="2"/>
  <c r="EU266" i="2"/>
  <c r="ET266" i="2"/>
  <c r="ES266" i="2"/>
  <c r="ER266" i="2"/>
  <c r="EQ266" i="2"/>
  <c r="EP266" i="2"/>
  <c r="EO266" i="2"/>
  <c r="EN266" i="2"/>
  <c r="EM266" i="2"/>
  <c r="EL266" i="2"/>
  <c r="EK266" i="2"/>
  <c r="EJ266" i="2"/>
  <c r="EI266" i="2"/>
  <c r="EH266" i="2"/>
  <c r="EG266" i="2"/>
  <c r="EF266" i="2"/>
  <c r="EE266" i="2"/>
  <c r="ED266" i="2"/>
  <c r="EC266" i="2"/>
  <c r="EB266" i="2"/>
  <c r="EA266" i="2"/>
  <c r="DZ266" i="2"/>
  <c r="DY266" i="2"/>
  <c r="DX266" i="2"/>
  <c r="DW266" i="2"/>
  <c r="DV266" i="2"/>
  <c r="DU266" i="2"/>
  <c r="DT266" i="2"/>
  <c r="DS266" i="2"/>
  <c r="DR266" i="2"/>
  <c r="DQ266" i="2"/>
  <c r="DP266" i="2"/>
  <c r="DO266" i="2"/>
  <c r="DN266" i="2"/>
  <c r="DM266" i="2"/>
  <c r="DL266" i="2"/>
  <c r="DK266" i="2"/>
  <c r="DJ266" i="2"/>
  <c r="DI266" i="2"/>
  <c r="DH266" i="2"/>
  <c r="DG266" i="2"/>
  <c r="DF266" i="2"/>
  <c r="DE266" i="2"/>
  <c r="DD266" i="2"/>
  <c r="DC266" i="2"/>
  <c r="CU266" i="2" s="1"/>
  <c r="DB266" i="2"/>
  <c r="CR266" i="2"/>
  <c r="CQ266" i="2"/>
  <c r="CP266" i="2"/>
  <c r="CO266" i="2"/>
  <c r="CN266" i="2"/>
  <c r="FS265" i="2"/>
  <c r="FR265" i="2"/>
  <c r="FQ265" i="2"/>
  <c r="FP265" i="2"/>
  <c r="FO265" i="2"/>
  <c r="FN265" i="2"/>
  <c r="FM265" i="2"/>
  <c r="FL265" i="2"/>
  <c r="FK265" i="2"/>
  <c r="FJ265" i="2"/>
  <c r="FI265" i="2"/>
  <c r="FH265" i="2"/>
  <c r="FG265" i="2"/>
  <c r="FF265" i="2"/>
  <c r="FE265" i="2"/>
  <c r="FD265" i="2"/>
  <c r="FC265" i="2"/>
  <c r="FB265" i="2"/>
  <c r="FA265" i="2"/>
  <c r="EZ265" i="2"/>
  <c r="EY265" i="2"/>
  <c r="EX265" i="2"/>
  <c r="EW265" i="2"/>
  <c r="EV265" i="2"/>
  <c r="EU265" i="2"/>
  <c r="ET265" i="2"/>
  <c r="ES265" i="2"/>
  <c r="ER265" i="2"/>
  <c r="EQ265" i="2"/>
  <c r="EP265" i="2"/>
  <c r="EO265" i="2"/>
  <c r="EN265" i="2"/>
  <c r="EM265" i="2"/>
  <c r="EL265" i="2"/>
  <c r="EK265" i="2"/>
  <c r="EJ265" i="2"/>
  <c r="EI265" i="2"/>
  <c r="EH265" i="2"/>
  <c r="EG265" i="2"/>
  <c r="EF265" i="2"/>
  <c r="EE265" i="2"/>
  <c r="ED265" i="2"/>
  <c r="EC265" i="2"/>
  <c r="EB265" i="2"/>
  <c r="EA265" i="2"/>
  <c r="DZ265" i="2"/>
  <c r="DY265" i="2"/>
  <c r="DX265" i="2"/>
  <c r="DW265" i="2"/>
  <c r="DV265" i="2"/>
  <c r="DU265" i="2"/>
  <c r="DT265" i="2"/>
  <c r="DS265" i="2"/>
  <c r="DR265" i="2"/>
  <c r="DQ265" i="2"/>
  <c r="DP265" i="2"/>
  <c r="DO265" i="2"/>
  <c r="DN265" i="2"/>
  <c r="DM265" i="2"/>
  <c r="DL265" i="2"/>
  <c r="DK265" i="2"/>
  <c r="DJ265" i="2"/>
  <c r="DI265" i="2"/>
  <c r="DH265" i="2"/>
  <c r="DG265" i="2"/>
  <c r="DF265" i="2"/>
  <c r="DE265" i="2"/>
  <c r="DD265" i="2"/>
  <c r="DC265" i="2"/>
  <c r="CU265" i="2" s="1"/>
  <c r="DB265" i="2"/>
  <c r="CR265" i="2"/>
  <c r="CQ265" i="2"/>
  <c r="CP265" i="2"/>
  <c r="CO265" i="2"/>
  <c r="CN265" i="2"/>
  <c r="FS264" i="2"/>
  <c r="FR264" i="2"/>
  <c r="FQ264" i="2"/>
  <c r="FP264" i="2"/>
  <c r="FO264" i="2"/>
  <c r="FN264" i="2"/>
  <c r="FM264" i="2"/>
  <c r="FL264" i="2"/>
  <c r="FK264" i="2"/>
  <c r="FJ264" i="2"/>
  <c r="FI264" i="2"/>
  <c r="FH264" i="2"/>
  <c r="FG264" i="2"/>
  <c r="FF264" i="2"/>
  <c r="FE264" i="2"/>
  <c r="FD264" i="2"/>
  <c r="FC264" i="2"/>
  <c r="FB264" i="2"/>
  <c r="FA264" i="2"/>
  <c r="EZ264" i="2"/>
  <c r="EY264" i="2"/>
  <c r="EX264" i="2"/>
  <c r="EW264" i="2"/>
  <c r="EV264" i="2"/>
  <c r="EU264" i="2"/>
  <c r="ET264" i="2"/>
  <c r="ES264" i="2"/>
  <c r="ER264" i="2"/>
  <c r="EQ264" i="2"/>
  <c r="EP264" i="2"/>
  <c r="EO264" i="2"/>
  <c r="EN264" i="2"/>
  <c r="EM264" i="2"/>
  <c r="EL264" i="2"/>
  <c r="EK264" i="2"/>
  <c r="EJ264" i="2"/>
  <c r="EI264" i="2"/>
  <c r="EH264" i="2"/>
  <c r="EG264" i="2"/>
  <c r="EF264" i="2"/>
  <c r="EE264" i="2"/>
  <c r="ED264" i="2"/>
  <c r="EC264" i="2"/>
  <c r="EB264" i="2"/>
  <c r="EA264" i="2"/>
  <c r="DZ264" i="2"/>
  <c r="DY264" i="2"/>
  <c r="DX264" i="2"/>
  <c r="DW264" i="2"/>
  <c r="DV264" i="2"/>
  <c r="DU264" i="2"/>
  <c r="DT264" i="2"/>
  <c r="DS264" i="2"/>
  <c r="DR264" i="2"/>
  <c r="DQ264" i="2"/>
  <c r="DP264" i="2"/>
  <c r="DO264" i="2"/>
  <c r="DN264" i="2"/>
  <c r="DM264" i="2"/>
  <c r="DL264" i="2"/>
  <c r="DK264" i="2"/>
  <c r="DJ264" i="2"/>
  <c r="DI264" i="2"/>
  <c r="DH264" i="2"/>
  <c r="DG264" i="2"/>
  <c r="DF264" i="2"/>
  <c r="DE264" i="2"/>
  <c r="DD264" i="2"/>
  <c r="DC264" i="2"/>
  <c r="DB264" i="2"/>
  <c r="CU264" i="2" s="1"/>
  <c r="CR264" i="2"/>
  <c r="CQ264" i="2"/>
  <c r="CP264" i="2"/>
  <c r="CO264" i="2"/>
  <c r="CN264" i="2"/>
  <c r="FS263" i="2"/>
  <c r="FR263" i="2"/>
  <c r="FQ263" i="2"/>
  <c r="FP263" i="2"/>
  <c r="FO263" i="2"/>
  <c r="FN263" i="2"/>
  <c r="FM263" i="2"/>
  <c r="FL263" i="2"/>
  <c r="FK263" i="2"/>
  <c r="FJ263" i="2"/>
  <c r="FI263" i="2"/>
  <c r="FH263" i="2"/>
  <c r="FG263" i="2"/>
  <c r="FF263" i="2"/>
  <c r="FE263" i="2"/>
  <c r="FD263" i="2"/>
  <c r="FC263" i="2"/>
  <c r="FB263" i="2"/>
  <c r="FA263" i="2"/>
  <c r="EZ263" i="2"/>
  <c r="EY263" i="2"/>
  <c r="EX263" i="2"/>
  <c r="EW263" i="2"/>
  <c r="EV263" i="2"/>
  <c r="EU263" i="2"/>
  <c r="ET263" i="2"/>
  <c r="ES263" i="2"/>
  <c r="ER263" i="2"/>
  <c r="EQ263" i="2"/>
  <c r="EP263" i="2"/>
  <c r="EO263" i="2"/>
  <c r="EN263" i="2"/>
  <c r="EM263" i="2"/>
  <c r="EL263" i="2"/>
  <c r="EK263" i="2"/>
  <c r="EJ263" i="2"/>
  <c r="EI263" i="2"/>
  <c r="EH263" i="2"/>
  <c r="EG263" i="2"/>
  <c r="EF263" i="2"/>
  <c r="EE263" i="2"/>
  <c r="ED263" i="2"/>
  <c r="EC263" i="2"/>
  <c r="EB263" i="2"/>
  <c r="EA263" i="2"/>
  <c r="DZ263" i="2"/>
  <c r="DY263" i="2"/>
  <c r="DX263" i="2"/>
  <c r="DW263" i="2"/>
  <c r="DV263" i="2"/>
  <c r="DU263" i="2"/>
  <c r="DT263" i="2"/>
  <c r="DS263" i="2"/>
  <c r="DR263" i="2"/>
  <c r="DQ263" i="2"/>
  <c r="DP263" i="2"/>
  <c r="DO263" i="2"/>
  <c r="DN263" i="2"/>
  <c r="DM263" i="2"/>
  <c r="DL263" i="2"/>
  <c r="DK263" i="2"/>
  <c r="DJ263" i="2"/>
  <c r="DI263" i="2"/>
  <c r="DH263" i="2"/>
  <c r="DG263" i="2"/>
  <c r="DF263" i="2"/>
  <c r="DE263" i="2"/>
  <c r="DD263" i="2"/>
  <c r="DC263" i="2"/>
  <c r="DB263" i="2"/>
  <c r="CR263" i="2"/>
  <c r="CQ263" i="2"/>
  <c r="CP263" i="2"/>
  <c r="CO263" i="2"/>
  <c r="CN263" i="2"/>
  <c r="FS262" i="2"/>
  <c r="FR262" i="2"/>
  <c r="FQ262" i="2"/>
  <c r="FP262" i="2"/>
  <c r="FO262" i="2"/>
  <c r="FN262" i="2"/>
  <c r="FM262" i="2"/>
  <c r="FL262" i="2"/>
  <c r="FK262" i="2"/>
  <c r="FJ262" i="2"/>
  <c r="FI262" i="2"/>
  <c r="FH262" i="2"/>
  <c r="FG262" i="2"/>
  <c r="FF262" i="2"/>
  <c r="FE262" i="2"/>
  <c r="FD262" i="2"/>
  <c r="FC262" i="2"/>
  <c r="FB262" i="2"/>
  <c r="FA262" i="2"/>
  <c r="EZ262" i="2"/>
  <c r="EY262" i="2"/>
  <c r="EX262" i="2"/>
  <c r="EW262" i="2"/>
  <c r="EV262" i="2"/>
  <c r="EU262" i="2"/>
  <c r="ET262" i="2"/>
  <c r="ES262" i="2"/>
  <c r="ER262" i="2"/>
  <c r="EQ262" i="2"/>
  <c r="EP262" i="2"/>
  <c r="EO262" i="2"/>
  <c r="EN262" i="2"/>
  <c r="EM262" i="2"/>
  <c r="EL262" i="2"/>
  <c r="EK262" i="2"/>
  <c r="EJ262" i="2"/>
  <c r="EI262" i="2"/>
  <c r="EH262" i="2"/>
  <c r="EG262" i="2"/>
  <c r="EF262" i="2"/>
  <c r="EE262" i="2"/>
  <c r="ED262" i="2"/>
  <c r="EC262" i="2"/>
  <c r="EB262" i="2"/>
  <c r="EA262" i="2"/>
  <c r="DZ262" i="2"/>
  <c r="DY262" i="2"/>
  <c r="DX262" i="2"/>
  <c r="DW262" i="2"/>
  <c r="DV262" i="2"/>
  <c r="DU262" i="2"/>
  <c r="DT262" i="2"/>
  <c r="DS262" i="2"/>
  <c r="DR262" i="2"/>
  <c r="DQ262" i="2"/>
  <c r="DP262" i="2"/>
  <c r="DO262" i="2"/>
  <c r="DN262" i="2"/>
  <c r="DM262" i="2"/>
  <c r="DL262" i="2"/>
  <c r="DK262" i="2"/>
  <c r="DJ262" i="2"/>
  <c r="DI262" i="2"/>
  <c r="DH262" i="2"/>
  <c r="DG262" i="2"/>
  <c r="DF262" i="2"/>
  <c r="DE262" i="2"/>
  <c r="DD262" i="2"/>
  <c r="DC262" i="2"/>
  <c r="DB262" i="2"/>
  <c r="CR262" i="2"/>
  <c r="CQ262" i="2"/>
  <c r="CP262" i="2"/>
  <c r="CO262" i="2"/>
  <c r="CN262" i="2"/>
  <c r="FS261" i="2"/>
  <c r="FR261" i="2"/>
  <c r="FQ261" i="2"/>
  <c r="FP261" i="2"/>
  <c r="FO261" i="2"/>
  <c r="FN261" i="2"/>
  <c r="FM261" i="2"/>
  <c r="FL261" i="2"/>
  <c r="FK261" i="2"/>
  <c r="FJ261" i="2"/>
  <c r="FI261" i="2"/>
  <c r="FH261" i="2"/>
  <c r="FG261" i="2"/>
  <c r="FF261" i="2"/>
  <c r="FE261" i="2"/>
  <c r="FD261" i="2"/>
  <c r="FC261" i="2"/>
  <c r="FB261" i="2"/>
  <c r="FA261" i="2"/>
  <c r="EZ261" i="2"/>
  <c r="EY261" i="2"/>
  <c r="EX261" i="2"/>
  <c r="EW261" i="2"/>
  <c r="EV261" i="2"/>
  <c r="EU261" i="2"/>
  <c r="ET261" i="2"/>
  <c r="ES261" i="2"/>
  <c r="ER261" i="2"/>
  <c r="EQ261" i="2"/>
  <c r="EP261" i="2"/>
  <c r="EO261" i="2"/>
  <c r="EN261" i="2"/>
  <c r="EM261" i="2"/>
  <c r="EL261" i="2"/>
  <c r="EK261" i="2"/>
  <c r="EJ261" i="2"/>
  <c r="EI261" i="2"/>
  <c r="EH261" i="2"/>
  <c r="EG261" i="2"/>
  <c r="EF261" i="2"/>
  <c r="EE261" i="2"/>
  <c r="ED261" i="2"/>
  <c r="EC261" i="2"/>
  <c r="EB261" i="2"/>
  <c r="EA261" i="2"/>
  <c r="DZ261" i="2"/>
  <c r="DY261" i="2"/>
  <c r="DX261" i="2"/>
  <c r="DW261" i="2"/>
  <c r="DV261" i="2"/>
  <c r="DU261" i="2"/>
  <c r="DT261" i="2"/>
  <c r="DS261" i="2"/>
  <c r="DR261" i="2"/>
  <c r="DQ261" i="2"/>
  <c r="DP261" i="2"/>
  <c r="DO261" i="2"/>
  <c r="DN261" i="2"/>
  <c r="DM261" i="2"/>
  <c r="DL261" i="2"/>
  <c r="DK261" i="2"/>
  <c r="DJ261" i="2"/>
  <c r="DI261" i="2"/>
  <c r="DH261" i="2"/>
  <c r="DG261" i="2"/>
  <c r="DF261" i="2"/>
  <c r="DE261" i="2"/>
  <c r="DD261" i="2"/>
  <c r="DC261" i="2"/>
  <c r="DB261" i="2"/>
  <c r="CR261" i="2"/>
  <c r="CQ261" i="2"/>
  <c r="CP261" i="2"/>
  <c r="CO261" i="2"/>
  <c r="CN261" i="2"/>
  <c r="FS260" i="2"/>
  <c r="FR260" i="2"/>
  <c r="FQ260" i="2"/>
  <c r="FP260" i="2"/>
  <c r="FO260" i="2"/>
  <c r="FN260" i="2"/>
  <c r="FM260" i="2"/>
  <c r="FL260" i="2"/>
  <c r="FK260" i="2"/>
  <c r="FJ260" i="2"/>
  <c r="FI260" i="2"/>
  <c r="FH260" i="2"/>
  <c r="FG260" i="2"/>
  <c r="FF260" i="2"/>
  <c r="FE260" i="2"/>
  <c r="FD260" i="2"/>
  <c r="FC260" i="2"/>
  <c r="FB260" i="2"/>
  <c r="FA260" i="2"/>
  <c r="EZ260" i="2"/>
  <c r="EY260" i="2"/>
  <c r="EX260" i="2"/>
  <c r="EW260" i="2"/>
  <c r="EV260" i="2"/>
  <c r="EU260" i="2"/>
  <c r="ET260" i="2"/>
  <c r="ES260" i="2"/>
  <c r="ER260" i="2"/>
  <c r="EQ260" i="2"/>
  <c r="EP260" i="2"/>
  <c r="EO260" i="2"/>
  <c r="EN260" i="2"/>
  <c r="EM260" i="2"/>
  <c r="EL260" i="2"/>
  <c r="EK260" i="2"/>
  <c r="EJ260" i="2"/>
  <c r="EI260" i="2"/>
  <c r="EH260" i="2"/>
  <c r="EG260" i="2"/>
  <c r="EF260" i="2"/>
  <c r="EE260" i="2"/>
  <c r="ED260" i="2"/>
  <c r="EC260" i="2"/>
  <c r="EB260" i="2"/>
  <c r="EA260" i="2"/>
  <c r="DZ260" i="2"/>
  <c r="DY260" i="2"/>
  <c r="DX260" i="2"/>
  <c r="DW260" i="2"/>
  <c r="DV260" i="2"/>
  <c r="DU260" i="2"/>
  <c r="DT260" i="2"/>
  <c r="DS260" i="2"/>
  <c r="DR260" i="2"/>
  <c r="DQ260" i="2"/>
  <c r="DP260" i="2"/>
  <c r="DO260" i="2"/>
  <c r="DN260" i="2"/>
  <c r="DM260" i="2"/>
  <c r="DL260" i="2"/>
  <c r="DK260" i="2"/>
  <c r="DJ260" i="2"/>
  <c r="DI260" i="2"/>
  <c r="DH260" i="2"/>
  <c r="DG260" i="2"/>
  <c r="DF260" i="2"/>
  <c r="DE260" i="2"/>
  <c r="DD260" i="2"/>
  <c r="DC260" i="2"/>
  <c r="DB260" i="2"/>
  <c r="CR260" i="2"/>
  <c r="CQ260" i="2"/>
  <c r="CP260" i="2"/>
  <c r="CO260" i="2"/>
  <c r="CN260" i="2"/>
  <c r="FS259" i="2"/>
  <c r="FR259" i="2"/>
  <c r="FQ259" i="2"/>
  <c r="FP259" i="2"/>
  <c r="FO259" i="2"/>
  <c r="FN259" i="2"/>
  <c r="FM259" i="2"/>
  <c r="FL259" i="2"/>
  <c r="FK259" i="2"/>
  <c r="FJ259" i="2"/>
  <c r="FI259" i="2"/>
  <c r="FH259" i="2"/>
  <c r="FG259" i="2"/>
  <c r="FF259" i="2"/>
  <c r="FE259" i="2"/>
  <c r="FD259" i="2"/>
  <c r="FC259" i="2"/>
  <c r="FB259" i="2"/>
  <c r="FA259" i="2"/>
  <c r="EZ259" i="2"/>
  <c r="EY259" i="2"/>
  <c r="EX259" i="2"/>
  <c r="EW259" i="2"/>
  <c r="EV259" i="2"/>
  <c r="EU259" i="2"/>
  <c r="ET259" i="2"/>
  <c r="ES259" i="2"/>
  <c r="ER259" i="2"/>
  <c r="EQ259" i="2"/>
  <c r="EP259" i="2"/>
  <c r="EO259" i="2"/>
  <c r="EN259" i="2"/>
  <c r="EM259" i="2"/>
  <c r="EL259" i="2"/>
  <c r="EK259" i="2"/>
  <c r="EJ259" i="2"/>
  <c r="EI259" i="2"/>
  <c r="EH259" i="2"/>
  <c r="EG259" i="2"/>
  <c r="EF259" i="2"/>
  <c r="EE259" i="2"/>
  <c r="ED259" i="2"/>
  <c r="EC259" i="2"/>
  <c r="EB259" i="2"/>
  <c r="EA259" i="2"/>
  <c r="DZ259" i="2"/>
  <c r="DY259" i="2"/>
  <c r="DX259" i="2"/>
  <c r="DW259" i="2"/>
  <c r="DV259" i="2"/>
  <c r="DU259" i="2"/>
  <c r="DT259" i="2"/>
  <c r="DS259" i="2"/>
  <c r="DR259" i="2"/>
  <c r="DQ259" i="2"/>
  <c r="DP259" i="2"/>
  <c r="DO259" i="2"/>
  <c r="DN259" i="2"/>
  <c r="DM259" i="2"/>
  <c r="DL259" i="2"/>
  <c r="DK259" i="2"/>
  <c r="DJ259" i="2"/>
  <c r="DI259" i="2"/>
  <c r="DH259" i="2"/>
  <c r="DG259" i="2"/>
  <c r="DF259" i="2"/>
  <c r="DE259" i="2"/>
  <c r="DD259" i="2"/>
  <c r="DC259" i="2"/>
  <c r="DB259" i="2"/>
  <c r="CU259" i="2" s="1"/>
  <c r="CR259" i="2"/>
  <c r="CQ259" i="2"/>
  <c r="CP259" i="2"/>
  <c r="CO259" i="2"/>
  <c r="CN259" i="2"/>
  <c r="FS258" i="2"/>
  <c r="FR258" i="2"/>
  <c r="FQ258" i="2"/>
  <c r="FP258" i="2"/>
  <c r="FO258" i="2"/>
  <c r="FN258" i="2"/>
  <c r="FM258" i="2"/>
  <c r="FL258" i="2"/>
  <c r="FK258" i="2"/>
  <c r="FJ258" i="2"/>
  <c r="FI258" i="2"/>
  <c r="FH258" i="2"/>
  <c r="FG258" i="2"/>
  <c r="FF258" i="2"/>
  <c r="FE258" i="2"/>
  <c r="FD258" i="2"/>
  <c r="FC258" i="2"/>
  <c r="FB258" i="2"/>
  <c r="FA258" i="2"/>
  <c r="EZ258" i="2"/>
  <c r="EY258" i="2"/>
  <c r="EX258" i="2"/>
  <c r="EW258" i="2"/>
  <c r="EV258" i="2"/>
  <c r="EU258" i="2"/>
  <c r="ET258" i="2"/>
  <c r="ES258" i="2"/>
  <c r="ER258" i="2"/>
  <c r="EQ258" i="2"/>
  <c r="EP258" i="2"/>
  <c r="EO258" i="2"/>
  <c r="EN258" i="2"/>
  <c r="EM258" i="2"/>
  <c r="EL258" i="2"/>
  <c r="EK258" i="2"/>
  <c r="EJ258" i="2"/>
  <c r="EI258" i="2"/>
  <c r="EH258" i="2"/>
  <c r="EG258" i="2"/>
  <c r="EF258" i="2"/>
  <c r="EE258" i="2"/>
  <c r="ED258" i="2"/>
  <c r="EC258" i="2"/>
  <c r="EB258" i="2"/>
  <c r="EA258" i="2"/>
  <c r="DZ258" i="2"/>
  <c r="DY258" i="2"/>
  <c r="DX258" i="2"/>
  <c r="DW258" i="2"/>
  <c r="DV258" i="2"/>
  <c r="DU258" i="2"/>
  <c r="DT258" i="2"/>
  <c r="DS258" i="2"/>
  <c r="DR258" i="2"/>
  <c r="DQ258" i="2"/>
  <c r="DP258" i="2"/>
  <c r="DO258" i="2"/>
  <c r="DN258" i="2"/>
  <c r="DM258" i="2"/>
  <c r="DL258" i="2"/>
  <c r="DK258" i="2"/>
  <c r="DJ258" i="2"/>
  <c r="DI258" i="2"/>
  <c r="DH258" i="2"/>
  <c r="DG258" i="2"/>
  <c r="DF258" i="2"/>
  <c r="DE258" i="2"/>
  <c r="DD258" i="2"/>
  <c r="DC258" i="2"/>
  <c r="DB258" i="2"/>
  <c r="CR258" i="2"/>
  <c r="CQ258" i="2"/>
  <c r="CP258" i="2"/>
  <c r="CO258" i="2"/>
  <c r="CN258" i="2"/>
  <c r="FS257" i="2"/>
  <c r="FR257" i="2"/>
  <c r="FQ257" i="2"/>
  <c r="FP257" i="2"/>
  <c r="FO257" i="2"/>
  <c r="FN257" i="2"/>
  <c r="FM257" i="2"/>
  <c r="FL257" i="2"/>
  <c r="FK257" i="2"/>
  <c r="FJ257" i="2"/>
  <c r="FI257" i="2"/>
  <c r="FH257" i="2"/>
  <c r="FG257" i="2"/>
  <c r="FF257" i="2"/>
  <c r="FE257" i="2"/>
  <c r="FD257" i="2"/>
  <c r="FC257" i="2"/>
  <c r="FB257" i="2"/>
  <c r="FA257" i="2"/>
  <c r="EZ257" i="2"/>
  <c r="EY257" i="2"/>
  <c r="EX257" i="2"/>
  <c r="EW257" i="2"/>
  <c r="EV257" i="2"/>
  <c r="EU257" i="2"/>
  <c r="ET257" i="2"/>
  <c r="ES257" i="2"/>
  <c r="ER257" i="2"/>
  <c r="EQ257" i="2"/>
  <c r="EP257" i="2"/>
  <c r="EO257" i="2"/>
  <c r="EN257" i="2"/>
  <c r="EM257" i="2"/>
  <c r="EL257" i="2"/>
  <c r="EK257" i="2"/>
  <c r="EJ257" i="2"/>
  <c r="EI257" i="2"/>
  <c r="EH257" i="2"/>
  <c r="EG257" i="2"/>
  <c r="EF257" i="2"/>
  <c r="EE257" i="2"/>
  <c r="ED257" i="2"/>
  <c r="EC257" i="2"/>
  <c r="EB257" i="2"/>
  <c r="EA257" i="2"/>
  <c r="DZ257" i="2"/>
  <c r="DY257" i="2"/>
  <c r="DX257" i="2"/>
  <c r="DW257" i="2"/>
  <c r="DV257" i="2"/>
  <c r="DU257" i="2"/>
  <c r="DT257" i="2"/>
  <c r="DS257" i="2"/>
  <c r="DR257" i="2"/>
  <c r="DQ257" i="2"/>
  <c r="DP257" i="2"/>
  <c r="DO257" i="2"/>
  <c r="DN257" i="2"/>
  <c r="DM257" i="2"/>
  <c r="DL257" i="2"/>
  <c r="DK257" i="2"/>
  <c r="DJ257" i="2"/>
  <c r="DI257" i="2"/>
  <c r="DH257" i="2"/>
  <c r="DG257" i="2"/>
  <c r="DF257" i="2"/>
  <c r="DE257" i="2"/>
  <c r="DD257" i="2"/>
  <c r="DC257" i="2"/>
  <c r="DB257" i="2"/>
  <c r="CR257" i="2"/>
  <c r="CQ257" i="2"/>
  <c r="CP257" i="2"/>
  <c r="CO257" i="2"/>
  <c r="CN257" i="2"/>
  <c r="FS256" i="2"/>
  <c r="FR256" i="2"/>
  <c r="FQ256" i="2"/>
  <c r="FP256" i="2"/>
  <c r="FO256" i="2"/>
  <c r="FN256" i="2"/>
  <c r="FM256" i="2"/>
  <c r="FL256" i="2"/>
  <c r="FK256" i="2"/>
  <c r="FJ256" i="2"/>
  <c r="FI256" i="2"/>
  <c r="FH256" i="2"/>
  <c r="FG256" i="2"/>
  <c r="FF256" i="2"/>
  <c r="FE256" i="2"/>
  <c r="FD256" i="2"/>
  <c r="FC256" i="2"/>
  <c r="FB256" i="2"/>
  <c r="FA256" i="2"/>
  <c r="EZ256" i="2"/>
  <c r="EY256" i="2"/>
  <c r="EX256" i="2"/>
  <c r="EW256" i="2"/>
  <c r="EV256" i="2"/>
  <c r="EU256" i="2"/>
  <c r="ET256" i="2"/>
  <c r="ES256" i="2"/>
  <c r="ER256" i="2"/>
  <c r="EQ256" i="2"/>
  <c r="EP256" i="2"/>
  <c r="EO256" i="2"/>
  <c r="EN256" i="2"/>
  <c r="EM256" i="2"/>
  <c r="EL256" i="2"/>
  <c r="EK256" i="2"/>
  <c r="EJ256" i="2"/>
  <c r="EI256" i="2"/>
  <c r="EH256" i="2"/>
  <c r="EG256" i="2"/>
  <c r="EF256" i="2"/>
  <c r="EE256" i="2"/>
  <c r="ED256" i="2"/>
  <c r="EC256" i="2"/>
  <c r="EB256" i="2"/>
  <c r="EA256" i="2"/>
  <c r="DZ256" i="2"/>
  <c r="DY256" i="2"/>
  <c r="DX256" i="2"/>
  <c r="DW256" i="2"/>
  <c r="DV256" i="2"/>
  <c r="DU256" i="2"/>
  <c r="DT256" i="2"/>
  <c r="DS256" i="2"/>
  <c r="DR256" i="2"/>
  <c r="DQ256" i="2"/>
  <c r="DP256" i="2"/>
  <c r="DO256" i="2"/>
  <c r="DN256" i="2"/>
  <c r="DM256" i="2"/>
  <c r="DL256" i="2"/>
  <c r="DK256" i="2"/>
  <c r="DJ256" i="2"/>
  <c r="DI256" i="2"/>
  <c r="DH256" i="2"/>
  <c r="DG256" i="2"/>
  <c r="DF256" i="2"/>
  <c r="DE256" i="2"/>
  <c r="DD256" i="2"/>
  <c r="DC256" i="2"/>
  <c r="DB256" i="2"/>
  <c r="CU256" i="2" s="1"/>
  <c r="CR256" i="2"/>
  <c r="CQ256" i="2"/>
  <c r="CP256" i="2"/>
  <c r="CO256" i="2"/>
  <c r="CN256" i="2"/>
  <c r="FS255" i="2"/>
  <c r="FR255" i="2"/>
  <c r="FQ255" i="2"/>
  <c r="FP255" i="2"/>
  <c r="FO255" i="2"/>
  <c r="FN255" i="2"/>
  <c r="FM255" i="2"/>
  <c r="FL255" i="2"/>
  <c r="FK255" i="2"/>
  <c r="FJ255" i="2"/>
  <c r="FI255" i="2"/>
  <c r="FH255" i="2"/>
  <c r="FG255" i="2"/>
  <c r="FF255" i="2"/>
  <c r="FE255" i="2"/>
  <c r="FD255" i="2"/>
  <c r="FC255" i="2"/>
  <c r="FB255" i="2"/>
  <c r="FA255" i="2"/>
  <c r="EZ255" i="2"/>
  <c r="EY255" i="2"/>
  <c r="EX255" i="2"/>
  <c r="EW255" i="2"/>
  <c r="EV255" i="2"/>
  <c r="EU255" i="2"/>
  <c r="ET255" i="2"/>
  <c r="ES255" i="2"/>
  <c r="ER255" i="2"/>
  <c r="EQ255" i="2"/>
  <c r="EP255" i="2"/>
  <c r="EO255" i="2"/>
  <c r="EN255" i="2"/>
  <c r="EM255" i="2"/>
  <c r="EL255" i="2"/>
  <c r="EK255" i="2"/>
  <c r="EJ255" i="2"/>
  <c r="EI255" i="2"/>
  <c r="EH255" i="2"/>
  <c r="EG255" i="2"/>
  <c r="EF255" i="2"/>
  <c r="EE255" i="2"/>
  <c r="ED255" i="2"/>
  <c r="EC255" i="2"/>
  <c r="EB255" i="2"/>
  <c r="EA255" i="2"/>
  <c r="DZ255" i="2"/>
  <c r="DY255" i="2"/>
  <c r="DX255" i="2"/>
  <c r="DW255" i="2"/>
  <c r="DV255" i="2"/>
  <c r="DU255" i="2"/>
  <c r="DT255" i="2"/>
  <c r="DS255" i="2"/>
  <c r="DR255" i="2"/>
  <c r="DQ255" i="2"/>
  <c r="DP255" i="2"/>
  <c r="DO255" i="2"/>
  <c r="DN255" i="2"/>
  <c r="DM255" i="2"/>
  <c r="DL255" i="2"/>
  <c r="DK255" i="2"/>
  <c r="DJ255" i="2"/>
  <c r="DI255" i="2"/>
  <c r="DH255" i="2"/>
  <c r="DG255" i="2"/>
  <c r="DF255" i="2"/>
  <c r="DE255" i="2"/>
  <c r="DD255" i="2"/>
  <c r="DC255" i="2"/>
  <c r="DB255" i="2"/>
  <c r="CR255" i="2"/>
  <c r="CQ255" i="2"/>
  <c r="CP255" i="2"/>
  <c r="CO255" i="2"/>
  <c r="CN255" i="2"/>
  <c r="FS254" i="2"/>
  <c r="FR254" i="2"/>
  <c r="FQ254" i="2"/>
  <c r="FP254" i="2"/>
  <c r="FO254" i="2"/>
  <c r="FN254" i="2"/>
  <c r="FM254" i="2"/>
  <c r="FL254" i="2"/>
  <c r="FK254" i="2"/>
  <c r="FJ254" i="2"/>
  <c r="FI254" i="2"/>
  <c r="FH254" i="2"/>
  <c r="FG254" i="2"/>
  <c r="FF254" i="2"/>
  <c r="FE254" i="2"/>
  <c r="FD254" i="2"/>
  <c r="FC254" i="2"/>
  <c r="FB254" i="2"/>
  <c r="FA254" i="2"/>
  <c r="EZ254" i="2"/>
  <c r="EY254" i="2"/>
  <c r="EX254" i="2"/>
  <c r="EW254" i="2"/>
  <c r="EV254" i="2"/>
  <c r="EU254" i="2"/>
  <c r="ET254" i="2"/>
  <c r="ES254" i="2"/>
  <c r="ER254" i="2"/>
  <c r="EQ254" i="2"/>
  <c r="EP254" i="2"/>
  <c r="EO254" i="2"/>
  <c r="EN254" i="2"/>
  <c r="EM254" i="2"/>
  <c r="EL254" i="2"/>
  <c r="EK254" i="2"/>
  <c r="EJ254" i="2"/>
  <c r="EI254" i="2"/>
  <c r="EH254" i="2"/>
  <c r="EG254" i="2"/>
  <c r="EF254" i="2"/>
  <c r="EE254" i="2"/>
  <c r="ED254" i="2"/>
  <c r="EC254" i="2"/>
  <c r="EB254" i="2"/>
  <c r="EA254" i="2"/>
  <c r="DZ254" i="2"/>
  <c r="DY254" i="2"/>
  <c r="DX254" i="2"/>
  <c r="DW254" i="2"/>
  <c r="DV254" i="2"/>
  <c r="DU254" i="2"/>
  <c r="DT254" i="2"/>
  <c r="DS254" i="2"/>
  <c r="DR254" i="2"/>
  <c r="DQ254" i="2"/>
  <c r="DP254" i="2"/>
  <c r="DO254" i="2"/>
  <c r="DN254" i="2"/>
  <c r="DM254" i="2"/>
  <c r="DL254" i="2"/>
  <c r="DK254" i="2"/>
  <c r="DJ254" i="2"/>
  <c r="DI254" i="2"/>
  <c r="DH254" i="2"/>
  <c r="DG254" i="2"/>
  <c r="DF254" i="2"/>
  <c r="DE254" i="2"/>
  <c r="DD254" i="2"/>
  <c r="DC254" i="2"/>
  <c r="DB254" i="2"/>
  <c r="CR254" i="2"/>
  <c r="CQ254" i="2"/>
  <c r="CP254" i="2"/>
  <c r="CO254" i="2"/>
  <c r="CN254" i="2"/>
  <c r="FS253" i="2"/>
  <c r="FR253" i="2"/>
  <c r="FQ253" i="2"/>
  <c r="FP253" i="2"/>
  <c r="FO253" i="2"/>
  <c r="FN253" i="2"/>
  <c r="FM253" i="2"/>
  <c r="FL253" i="2"/>
  <c r="FK253" i="2"/>
  <c r="FJ253" i="2"/>
  <c r="FI253" i="2"/>
  <c r="FH253" i="2"/>
  <c r="FG253" i="2"/>
  <c r="FF253" i="2"/>
  <c r="FE253" i="2"/>
  <c r="FD253" i="2"/>
  <c r="FC253" i="2"/>
  <c r="FB253" i="2"/>
  <c r="FA253" i="2"/>
  <c r="EZ253" i="2"/>
  <c r="EY253" i="2"/>
  <c r="EX253" i="2"/>
  <c r="EW253" i="2"/>
  <c r="EV253" i="2"/>
  <c r="EU253" i="2"/>
  <c r="ET253" i="2"/>
  <c r="ES253" i="2"/>
  <c r="ER253" i="2"/>
  <c r="EQ253" i="2"/>
  <c r="EP253" i="2"/>
  <c r="EO253" i="2"/>
  <c r="EN253" i="2"/>
  <c r="EM253" i="2"/>
  <c r="EL253" i="2"/>
  <c r="EK253" i="2"/>
  <c r="EJ253" i="2"/>
  <c r="EI253" i="2"/>
  <c r="EH253" i="2"/>
  <c r="EG253" i="2"/>
  <c r="EF253" i="2"/>
  <c r="EE253" i="2"/>
  <c r="ED253" i="2"/>
  <c r="EC253" i="2"/>
  <c r="EB253" i="2"/>
  <c r="EA253" i="2"/>
  <c r="DZ253" i="2"/>
  <c r="DY253" i="2"/>
  <c r="DX253" i="2"/>
  <c r="DW253" i="2"/>
  <c r="DV253" i="2"/>
  <c r="DU253" i="2"/>
  <c r="DT253" i="2"/>
  <c r="DS253" i="2"/>
  <c r="DR253" i="2"/>
  <c r="DQ253" i="2"/>
  <c r="DP253" i="2"/>
  <c r="DO253" i="2"/>
  <c r="DN253" i="2"/>
  <c r="DM253" i="2"/>
  <c r="DL253" i="2"/>
  <c r="DK253" i="2"/>
  <c r="DJ253" i="2"/>
  <c r="DI253" i="2"/>
  <c r="DH253" i="2"/>
  <c r="DG253" i="2"/>
  <c r="DF253" i="2"/>
  <c r="DE253" i="2"/>
  <c r="DD253" i="2"/>
  <c r="CU253" i="2" s="1"/>
  <c r="DC253" i="2"/>
  <c r="DB253" i="2"/>
  <c r="CR253" i="2"/>
  <c r="CQ253" i="2"/>
  <c r="CP253" i="2"/>
  <c r="CO253" i="2"/>
  <c r="CN253" i="2"/>
  <c r="FS252" i="2"/>
  <c r="FR252" i="2"/>
  <c r="FQ252" i="2"/>
  <c r="FP252" i="2"/>
  <c r="FO252" i="2"/>
  <c r="FN252" i="2"/>
  <c r="FM252" i="2"/>
  <c r="FL252" i="2"/>
  <c r="FK252" i="2"/>
  <c r="FJ252" i="2"/>
  <c r="FI252" i="2"/>
  <c r="FH252" i="2"/>
  <c r="FG252" i="2"/>
  <c r="FF252" i="2"/>
  <c r="FE252" i="2"/>
  <c r="FD252" i="2"/>
  <c r="FC252" i="2"/>
  <c r="FB252" i="2"/>
  <c r="FA252" i="2"/>
  <c r="EZ252" i="2"/>
  <c r="EY252" i="2"/>
  <c r="EX252" i="2"/>
  <c r="EW252" i="2"/>
  <c r="EV252" i="2"/>
  <c r="EU252" i="2"/>
  <c r="ET252" i="2"/>
  <c r="ES252" i="2"/>
  <c r="ER252" i="2"/>
  <c r="EQ252" i="2"/>
  <c r="EP252" i="2"/>
  <c r="EO252" i="2"/>
  <c r="EN252" i="2"/>
  <c r="EM252" i="2"/>
  <c r="EL252" i="2"/>
  <c r="EK252" i="2"/>
  <c r="EJ252" i="2"/>
  <c r="EI252" i="2"/>
  <c r="EH252" i="2"/>
  <c r="EG252" i="2"/>
  <c r="EF252" i="2"/>
  <c r="EE252" i="2"/>
  <c r="ED252" i="2"/>
  <c r="EC252" i="2"/>
  <c r="EB252" i="2"/>
  <c r="EA252" i="2"/>
  <c r="DZ252" i="2"/>
  <c r="DY252" i="2"/>
  <c r="DX252" i="2"/>
  <c r="DW252" i="2"/>
  <c r="DV252" i="2"/>
  <c r="DU252" i="2"/>
  <c r="DT252" i="2"/>
  <c r="DS252" i="2"/>
  <c r="DR252" i="2"/>
  <c r="DQ252" i="2"/>
  <c r="DP252" i="2"/>
  <c r="DO252" i="2"/>
  <c r="DN252" i="2"/>
  <c r="DM252" i="2"/>
  <c r="DL252" i="2"/>
  <c r="DK252" i="2"/>
  <c r="DJ252" i="2"/>
  <c r="DI252" i="2"/>
  <c r="DH252" i="2"/>
  <c r="DG252" i="2"/>
  <c r="DF252" i="2"/>
  <c r="DE252" i="2"/>
  <c r="DD252" i="2"/>
  <c r="DC252" i="2"/>
  <c r="DB252" i="2"/>
  <c r="CV252" i="2"/>
  <c r="U252" i="2"/>
  <c r="FS251" i="2"/>
  <c r="FR251" i="2"/>
  <c r="FQ251" i="2"/>
  <c r="FP251" i="2"/>
  <c r="FO251" i="2"/>
  <c r="FN251" i="2"/>
  <c r="FM251" i="2"/>
  <c r="FL251" i="2"/>
  <c r="FK251" i="2"/>
  <c r="FJ251" i="2"/>
  <c r="FI251" i="2"/>
  <c r="FH251" i="2"/>
  <c r="FG251" i="2"/>
  <c r="FF251" i="2"/>
  <c r="FE251" i="2"/>
  <c r="FD251" i="2"/>
  <c r="FC251" i="2"/>
  <c r="FB251" i="2"/>
  <c r="FA251" i="2"/>
  <c r="EZ251" i="2"/>
  <c r="EY251" i="2"/>
  <c r="EX251" i="2"/>
  <c r="EW251" i="2"/>
  <c r="EV251" i="2"/>
  <c r="EU251" i="2"/>
  <c r="ET251" i="2"/>
  <c r="ES251" i="2"/>
  <c r="ER251" i="2"/>
  <c r="EQ251" i="2"/>
  <c r="EP251" i="2"/>
  <c r="EO251" i="2"/>
  <c r="EN251" i="2"/>
  <c r="EM251" i="2"/>
  <c r="EL251" i="2"/>
  <c r="EK251" i="2"/>
  <c r="EJ251" i="2"/>
  <c r="EI251" i="2"/>
  <c r="EH251" i="2"/>
  <c r="EG251" i="2"/>
  <c r="EF251" i="2"/>
  <c r="EE251" i="2"/>
  <c r="ED251" i="2"/>
  <c r="EC251" i="2"/>
  <c r="EB251" i="2"/>
  <c r="EA251" i="2"/>
  <c r="DZ251" i="2"/>
  <c r="DY251" i="2"/>
  <c r="DX251" i="2"/>
  <c r="DW251" i="2"/>
  <c r="DV251" i="2"/>
  <c r="DU251" i="2"/>
  <c r="DT251" i="2"/>
  <c r="DS251" i="2"/>
  <c r="DR251" i="2"/>
  <c r="DQ251" i="2"/>
  <c r="DP251" i="2"/>
  <c r="DO251" i="2"/>
  <c r="DN251" i="2"/>
  <c r="DM251" i="2"/>
  <c r="DL251" i="2"/>
  <c r="DK251" i="2"/>
  <c r="DJ251" i="2"/>
  <c r="DI251" i="2"/>
  <c r="DH251" i="2"/>
  <c r="DG251" i="2"/>
  <c r="DF251" i="2"/>
  <c r="DE251" i="2"/>
  <c r="DD251" i="2"/>
  <c r="DC251" i="2"/>
  <c r="DB251" i="2"/>
  <c r="CV251" i="2"/>
  <c r="CU251" i="2"/>
  <c r="U251" i="2"/>
  <c r="FS250" i="2"/>
  <c r="FR250" i="2"/>
  <c r="FQ250" i="2"/>
  <c r="FP250" i="2"/>
  <c r="FO250" i="2"/>
  <c r="FN250" i="2"/>
  <c r="FM250" i="2"/>
  <c r="FL250" i="2"/>
  <c r="FK250" i="2"/>
  <c r="FJ250" i="2"/>
  <c r="FI250" i="2"/>
  <c r="FH250" i="2"/>
  <c r="FG250" i="2"/>
  <c r="FF250" i="2"/>
  <c r="FE250" i="2"/>
  <c r="FD250" i="2"/>
  <c r="FC250" i="2"/>
  <c r="FB250" i="2"/>
  <c r="FA250" i="2"/>
  <c r="EZ250" i="2"/>
  <c r="EY250" i="2"/>
  <c r="EX250" i="2"/>
  <c r="EW250" i="2"/>
  <c r="EV250" i="2"/>
  <c r="EU250" i="2"/>
  <c r="ET250" i="2"/>
  <c r="ES250" i="2"/>
  <c r="ER250" i="2"/>
  <c r="EQ250" i="2"/>
  <c r="EP250" i="2"/>
  <c r="EO250" i="2"/>
  <c r="EN250" i="2"/>
  <c r="EM250" i="2"/>
  <c r="EL250" i="2"/>
  <c r="EK250" i="2"/>
  <c r="EJ250" i="2"/>
  <c r="EI250" i="2"/>
  <c r="EH250" i="2"/>
  <c r="EG250" i="2"/>
  <c r="EF250" i="2"/>
  <c r="EE250" i="2"/>
  <c r="ED250" i="2"/>
  <c r="EC250" i="2"/>
  <c r="EB250" i="2"/>
  <c r="EA250" i="2"/>
  <c r="DZ250" i="2"/>
  <c r="DY250" i="2"/>
  <c r="DX250" i="2"/>
  <c r="DW250" i="2"/>
  <c r="DV250" i="2"/>
  <c r="DU250" i="2"/>
  <c r="DT250" i="2"/>
  <c r="DS250" i="2"/>
  <c r="DR250" i="2"/>
  <c r="DQ250" i="2"/>
  <c r="DP250" i="2"/>
  <c r="DO250" i="2"/>
  <c r="DN250" i="2"/>
  <c r="DM250" i="2"/>
  <c r="DL250" i="2"/>
  <c r="DK250" i="2"/>
  <c r="DJ250" i="2"/>
  <c r="DI250" i="2"/>
  <c r="DH250" i="2"/>
  <c r="DG250" i="2"/>
  <c r="DF250" i="2"/>
  <c r="DE250" i="2"/>
  <c r="DD250" i="2"/>
  <c r="DC250" i="2"/>
  <c r="DB250" i="2"/>
  <c r="CV250" i="2"/>
  <c r="U250" i="2"/>
  <c r="FS249" i="2"/>
  <c r="FR249" i="2"/>
  <c r="FQ249" i="2"/>
  <c r="FP249" i="2"/>
  <c r="FO249" i="2"/>
  <c r="FN249" i="2"/>
  <c r="FM249" i="2"/>
  <c r="FL249" i="2"/>
  <c r="FK249" i="2"/>
  <c r="FJ249" i="2"/>
  <c r="FI249" i="2"/>
  <c r="FH249" i="2"/>
  <c r="FG249" i="2"/>
  <c r="FF249" i="2"/>
  <c r="FE249" i="2"/>
  <c r="FD249" i="2"/>
  <c r="FC249" i="2"/>
  <c r="FB249" i="2"/>
  <c r="FA249" i="2"/>
  <c r="EZ249" i="2"/>
  <c r="EY249" i="2"/>
  <c r="EX249" i="2"/>
  <c r="EW249" i="2"/>
  <c r="EV249" i="2"/>
  <c r="EU249" i="2"/>
  <c r="ET249" i="2"/>
  <c r="ES249" i="2"/>
  <c r="ER249" i="2"/>
  <c r="EQ249" i="2"/>
  <c r="EP249" i="2"/>
  <c r="EO249" i="2"/>
  <c r="EN249" i="2"/>
  <c r="EM249" i="2"/>
  <c r="EL249" i="2"/>
  <c r="EK249" i="2"/>
  <c r="EJ249" i="2"/>
  <c r="EI249" i="2"/>
  <c r="EH249" i="2"/>
  <c r="EG249" i="2"/>
  <c r="EF249" i="2"/>
  <c r="EE249" i="2"/>
  <c r="ED249" i="2"/>
  <c r="EC249" i="2"/>
  <c r="EB249" i="2"/>
  <c r="EA249" i="2"/>
  <c r="DZ249" i="2"/>
  <c r="DY249" i="2"/>
  <c r="DX249" i="2"/>
  <c r="DW249" i="2"/>
  <c r="DV249" i="2"/>
  <c r="DU249" i="2"/>
  <c r="DT249" i="2"/>
  <c r="DS249" i="2"/>
  <c r="DR249" i="2"/>
  <c r="DQ249" i="2"/>
  <c r="DP249" i="2"/>
  <c r="DO249" i="2"/>
  <c r="DN249" i="2"/>
  <c r="DM249" i="2"/>
  <c r="DL249" i="2"/>
  <c r="DK249" i="2"/>
  <c r="DJ249" i="2"/>
  <c r="DI249" i="2"/>
  <c r="DH249" i="2"/>
  <c r="DG249" i="2"/>
  <c r="DF249" i="2"/>
  <c r="DE249" i="2"/>
  <c r="DD249" i="2"/>
  <c r="DC249" i="2"/>
  <c r="CU249" i="2" s="1"/>
  <c r="DB249" i="2"/>
  <c r="CV249" i="2"/>
  <c r="U249" i="2"/>
  <c r="FS248" i="2"/>
  <c r="FR248" i="2"/>
  <c r="FQ248" i="2"/>
  <c r="FP248" i="2"/>
  <c r="FO248" i="2"/>
  <c r="FN248" i="2"/>
  <c r="FM248" i="2"/>
  <c r="FL248" i="2"/>
  <c r="FK248" i="2"/>
  <c r="FJ248" i="2"/>
  <c r="FI248" i="2"/>
  <c r="FH248" i="2"/>
  <c r="FG248" i="2"/>
  <c r="FF248" i="2"/>
  <c r="FE248" i="2"/>
  <c r="FD248" i="2"/>
  <c r="FC248" i="2"/>
  <c r="FB248" i="2"/>
  <c r="FA248" i="2"/>
  <c r="EZ248" i="2"/>
  <c r="EY248" i="2"/>
  <c r="EX248" i="2"/>
  <c r="EW248" i="2"/>
  <c r="EV248" i="2"/>
  <c r="EU248" i="2"/>
  <c r="ET248" i="2"/>
  <c r="ES248" i="2"/>
  <c r="ER248" i="2"/>
  <c r="EQ248" i="2"/>
  <c r="EP248" i="2"/>
  <c r="EO248" i="2"/>
  <c r="EN248" i="2"/>
  <c r="EM248" i="2"/>
  <c r="EL248" i="2"/>
  <c r="EK248" i="2"/>
  <c r="EJ248" i="2"/>
  <c r="EI248" i="2"/>
  <c r="EH248" i="2"/>
  <c r="EG248" i="2"/>
  <c r="EF248" i="2"/>
  <c r="EE248" i="2"/>
  <c r="ED248" i="2"/>
  <c r="EC248" i="2"/>
  <c r="EB248" i="2"/>
  <c r="EA248" i="2"/>
  <c r="DZ248" i="2"/>
  <c r="DY248" i="2"/>
  <c r="DX248" i="2"/>
  <c r="DW248" i="2"/>
  <c r="DV248" i="2"/>
  <c r="DU248" i="2"/>
  <c r="DT248" i="2"/>
  <c r="DS248" i="2"/>
  <c r="DR248" i="2"/>
  <c r="DQ248" i="2"/>
  <c r="DP248" i="2"/>
  <c r="DO248" i="2"/>
  <c r="DN248" i="2"/>
  <c r="DM248" i="2"/>
  <c r="DL248" i="2"/>
  <c r="DK248" i="2"/>
  <c r="DJ248" i="2"/>
  <c r="DI248" i="2"/>
  <c r="DH248" i="2"/>
  <c r="DG248" i="2"/>
  <c r="DF248" i="2"/>
  <c r="DE248" i="2"/>
  <c r="DD248" i="2"/>
  <c r="DC248" i="2"/>
  <c r="DB248" i="2"/>
  <c r="CU248" i="2" s="1"/>
  <c r="CV248" i="2"/>
  <c r="FS247" i="2"/>
  <c r="FR247" i="2"/>
  <c r="FQ247" i="2"/>
  <c r="FP247" i="2"/>
  <c r="FO247" i="2"/>
  <c r="FN247" i="2"/>
  <c r="FM247" i="2"/>
  <c r="FL247" i="2"/>
  <c r="FK247" i="2"/>
  <c r="FJ247" i="2"/>
  <c r="FI247" i="2"/>
  <c r="FH247" i="2"/>
  <c r="FG247" i="2"/>
  <c r="FF247" i="2"/>
  <c r="FE247" i="2"/>
  <c r="FD247" i="2"/>
  <c r="FC247" i="2"/>
  <c r="FB247" i="2"/>
  <c r="FA247" i="2"/>
  <c r="EZ247" i="2"/>
  <c r="EY247" i="2"/>
  <c r="EX247" i="2"/>
  <c r="EW247" i="2"/>
  <c r="EV247" i="2"/>
  <c r="EU247" i="2"/>
  <c r="ET247" i="2"/>
  <c r="ES247" i="2"/>
  <c r="ER247" i="2"/>
  <c r="EQ247" i="2"/>
  <c r="EP247" i="2"/>
  <c r="EO247" i="2"/>
  <c r="EN247" i="2"/>
  <c r="EM247" i="2"/>
  <c r="EL247" i="2"/>
  <c r="EK247" i="2"/>
  <c r="EJ247" i="2"/>
  <c r="EI247" i="2"/>
  <c r="EH247" i="2"/>
  <c r="EG247" i="2"/>
  <c r="EF247" i="2"/>
  <c r="EE247" i="2"/>
  <c r="ED247" i="2"/>
  <c r="EC247" i="2"/>
  <c r="EB247" i="2"/>
  <c r="EA247" i="2"/>
  <c r="DZ247" i="2"/>
  <c r="DY247" i="2"/>
  <c r="DX247" i="2"/>
  <c r="DW247" i="2"/>
  <c r="DV247" i="2"/>
  <c r="DU247" i="2"/>
  <c r="DT247" i="2"/>
  <c r="DS247" i="2"/>
  <c r="DR247" i="2"/>
  <c r="DQ247" i="2"/>
  <c r="DP247" i="2"/>
  <c r="DO247" i="2"/>
  <c r="DN247" i="2"/>
  <c r="DM247" i="2"/>
  <c r="DL247" i="2"/>
  <c r="DK247" i="2"/>
  <c r="DJ247" i="2"/>
  <c r="DI247" i="2"/>
  <c r="DH247" i="2"/>
  <c r="DG247" i="2"/>
  <c r="DF247" i="2"/>
  <c r="DE247" i="2"/>
  <c r="DD247" i="2"/>
  <c r="DC247" i="2"/>
  <c r="DB247" i="2"/>
  <c r="CV247" i="2"/>
  <c r="CR247" i="2"/>
  <c r="CQ247" i="2"/>
  <c r="CP247" i="2"/>
  <c r="CO247" i="2"/>
  <c r="CN247" i="2"/>
  <c r="T247" i="2"/>
  <c r="C247" i="2"/>
  <c r="FS246" i="2"/>
  <c r="FR246" i="2"/>
  <c r="FQ246" i="2"/>
  <c r="FP246" i="2"/>
  <c r="FO246" i="2"/>
  <c r="FN246" i="2"/>
  <c r="FM246" i="2"/>
  <c r="FL246" i="2"/>
  <c r="FK246" i="2"/>
  <c r="FJ246" i="2"/>
  <c r="FI246" i="2"/>
  <c r="FH246" i="2"/>
  <c r="FG246" i="2"/>
  <c r="FF246" i="2"/>
  <c r="FE246" i="2"/>
  <c r="FD246" i="2"/>
  <c r="FC246" i="2"/>
  <c r="FB246" i="2"/>
  <c r="FA246" i="2"/>
  <c r="EZ246" i="2"/>
  <c r="EY246" i="2"/>
  <c r="EX246" i="2"/>
  <c r="EW246" i="2"/>
  <c r="EV246" i="2"/>
  <c r="EU246" i="2"/>
  <c r="ET246" i="2"/>
  <c r="ES246" i="2"/>
  <c r="ER246" i="2"/>
  <c r="EQ246" i="2"/>
  <c r="EP246" i="2"/>
  <c r="EO246" i="2"/>
  <c r="EN246" i="2"/>
  <c r="EM246" i="2"/>
  <c r="EL246" i="2"/>
  <c r="EK246" i="2"/>
  <c r="EJ246" i="2"/>
  <c r="EI246" i="2"/>
  <c r="EH246" i="2"/>
  <c r="EG246" i="2"/>
  <c r="EF246" i="2"/>
  <c r="EE246" i="2"/>
  <c r="ED246" i="2"/>
  <c r="EC246" i="2"/>
  <c r="EB246" i="2"/>
  <c r="EA246" i="2"/>
  <c r="DZ246" i="2"/>
  <c r="DY246" i="2"/>
  <c r="DX246" i="2"/>
  <c r="DW246" i="2"/>
  <c r="DV246" i="2"/>
  <c r="DU246" i="2"/>
  <c r="DT246" i="2"/>
  <c r="DS246" i="2"/>
  <c r="DR246" i="2"/>
  <c r="DQ246" i="2"/>
  <c r="DP246" i="2"/>
  <c r="DO246" i="2"/>
  <c r="DN246" i="2"/>
  <c r="DM246" i="2"/>
  <c r="DL246" i="2"/>
  <c r="DK246" i="2"/>
  <c r="DJ246" i="2"/>
  <c r="DI246" i="2"/>
  <c r="DH246" i="2"/>
  <c r="DG246" i="2"/>
  <c r="DF246" i="2"/>
  <c r="DE246" i="2"/>
  <c r="DD246" i="2"/>
  <c r="DC246" i="2"/>
  <c r="DB246" i="2"/>
  <c r="CV246" i="2"/>
  <c r="CR246" i="2"/>
  <c r="CQ246" i="2"/>
  <c r="CP246" i="2"/>
  <c r="CO246" i="2"/>
  <c r="CN246" i="2"/>
  <c r="T246" i="2"/>
  <c r="C246" i="2"/>
  <c r="FS245" i="2"/>
  <c r="FR245" i="2"/>
  <c r="FQ245" i="2"/>
  <c r="FP245" i="2"/>
  <c r="FO245" i="2"/>
  <c r="FN245" i="2"/>
  <c r="FM245" i="2"/>
  <c r="FL245" i="2"/>
  <c r="FK245" i="2"/>
  <c r="FJ245" i="2"/>
  <c r="FI245" i="2"/>
  <c r="FH245" i="2"/>
  <c r="FG245" i="2"/>
  <c r="FF245" i="2"/>
  <c r="FE245" i="2"/>
  <c r="FD245" i="2"/>
  <c r="FC245" i="2"/>
  <c r="FB245" i="2"/>
  <c r="FA245" i="2"/>
  <c r="EZ245" i="2"/>
  <c r="EY245" i="2"/>
  <c r="EX245" i="2"/>
  <c r="EW245" i="2"/>
  <c r="EV245" i="2"/>
  <c r="EU245" i="2"/>
  <c r="ET245" i="2"/>
  <c r="ES245" i="2"/>
  <c r="ER245" i="2"/>
  <c r="EQ245" i="2"/>
  <c r="EP245" i="2"/>
  <c r="EO245" i="2"/>
  <c r="EN245" i="2"/>
  <c r="EM245" i="2"/>
  <c r="EL245" i="2"/>
  <c r="EK245" i="2"/>
  <c r="EJ245" i="2"/>
  <c r="EI245" i="2"/>
  <c r="EH245" i="2"/>
  <c r="EG245" i="2"/>
  <c r="EF245" i="2"/>
  <c r="EE245" i="2"/>
  <c r="ED245" i="2"/>
  <c r="EC245" i="2"/>
  <c r="EB245" i="2"/>
  <c r="EA245" i="2"/>
  <c r="DZ245" i="2"/>
  <c r="DY245" i="2"/>
  <c r="DX245" i="2"/>
  <c r="DW245" i="2"/>
  <c r="DV245" i="2"/>
  <c r="DU245" i="2"/>
  <c r="DT245" i="2"/>
  <c r="DS245" i="2"/>
  <c r="DR245" i="2"/>
  <c r="DQ245" i="2"/>
  <c r="DP245" i="2"/>
  <c r="DO245" i="2"/>
  <c r="DN245" i="2"/>
  <c r="DM245" i="2"/>
  <c r="DL245" i="2"/>
  <c r="DK245" i="2"/>
  <c r="DJ245" i="2"/>
  <c r="DI245" i="2"/>
  <c r="DH245" i="2"/>
  <c r="DG245" i="2"/>
  <c r="DF245" i="2"/>
  <c r="DE245" i="2"/>
  <c r="DD245" i="2"/>
  <c r="DC245" i="2"/>
  <c r="DB245" i="2"/>
  <c r="CR245" i="2"/>
  <c r="CQ245" i="2"/>
  <c r="CP245" i="2"/>
  <c r="CO245" i="2"/>
  <c r="CN245" i="2"/>
  <c r="T245" i="2"/>
  <c r="CV245" i="2" s="1"/>
  <c r="C245" i="2"/>
  <c r="FS244" i="2"/>
  <c r="FR244" i="2"/>
  <c r="FQ244" i="2"/>
  <c r="FP244" i="2"/>
  <c r="FO244" i="2"/>
  <c r="FN244" i="2"/>
  <c r="FM244" i="2"/>
  <c r="FL244" i="2"/>
  <c r="FK244" i="2"/>
  <c r="FJ244" i="2"/>
  <c r="FI244" i="2"/>
  <c r="FH244" i="2"/>
  <c r="FG244" i="2"/>
  <c r="FF244" i="2"/>
  <c r="FE244" i="2"/>
  <c r="FD244" i="2"/>
  <c r="FC244" i="2"/>
  <c r="FB244" i="2"/>
  <c r="FA244" i="2"/>
  <c r="EZ244" i="2"/>
  <c r="EY244" i="2"/>
  <c r="EX244" i="2"/>
  <c r="EW244" i="2"/>
  <c r="EV244" i="2"/>
  <c r="EU244" i="2"/>
  <c r="ET244" i="2"/>
  <c r="ES244" i="2"/>
  <c r="ER244" i="2"/>
  <c r="EQ244" i="2"/>
  <c r="EP244" i="2"/>
  <c r="EO244" i="2"/>
  <c r="EN244" i="2"/>
  <c r="EM244" i="2"/>
  <c r="EL244" i="2"/>
  <c r="EK244" i="2"/>
  <c r="EJ244" i="2"/>
  <c r="EI244" i="2"/>
  <c r="EH244" i="2"/>
  <c r="EG244" i="2"/>
  <c r="EF244" i="2"/>
  <c r="EE244" i="2"/>
  <c r="ED244" i="2"/>
  <c r="EC244" i="2"/>
  <c r="EB244" i="2"/>
  <c r="EA244" i="2"/>
  <c r="DZ244" i="2"/>
  <c r="DY244" i="2"/>
  <c r="DX244" i="2"/>
  <c r="DW244" i="2"/>
  <c r="DV244" i="2"/>
  <c r="DU244" i="2"/>
  <c r="DT244" i="2"/>
  <c r="DS244" i="2"/>
  <c r="DR244" i="2"/>
  <c r="DQ244" i="2"/>
  <c r="DP244" i="2"/>
  <c r="DO244" i="2"/>
  <c r="DN244" i="2"/>
  <c r="DM244" i="2"/>
  <c r="DL244" i="2"/>
  <c r="DK244" i="2"/>
  <c r="DJ244" i="2"/>
  <c r="DI244" i="2"/>
  <c r="DH244" i="2"/>
  <c r="DG244" i="2"/>
  <c r="DF244" i="2"/>
  <c r="DE244" i="2"/>
  <c r="DD244" i="2"/>
  <c r="DC244" i="2"/>
  <c r="DB244" i="2"/>
  <c r="CR244" i="2"/>
  <c r="CQ244" i="2"/>
  <c r="CP244" i="2"/>
  <c r="CO244" i="2"/>
  <c r="CN244" i="2"/>
  <c r="T244" i="2"/>
  <c r="CV244" i="2" s="1"/>
  <c r="C244" i="2"/>
  <c r="FS243" i="2"/>
  <c r="FR243" i="2"/>
  <c r="FQ243" i="2"/>
  <c r="FP243" i="2"/>
  <c r="FO243" i="2"/>
  <c r="FN243" i="2"/>
  <c r="FM243" i="2"/>
  <c r="FL243" i="2"/>
  <c r="FK243" i="2"/>
  <c r="FJ243" i="2"/>
  <c r="FI243" i="2"/>
  <c r="FH243" i="2"/>
  <c r="FG243" i="2"/>
  <c r="FF243" i="2"/>
  <c r="FE243" i="2"/>
  <c r="FD243" i="2"/>
  <c r="FC243" i="2"/>
  <c r="FB243" i="2"/>
  <c r="FA243" i="2"/>
  <c r="EZ243" i="2"/>
  <c r="EY243" i="2"/>
  <c r="EX243" i="2"/>
  <c r="EW243" i="2"/>
  <c r="EV243" i="2"/>
  <c r="EU243" i="2"/>
  <c r="ET243" i="2"/>
  <c r="ES243" i="2"/>
  <c r="ER243" i="2"/>
  <c r="EQ243" i="2"/>
  <c r="EP243" i="2"/>
  <c r="EO243" i="2"/>
  <c r="EN243" i="2"/>
  <c r="EM243" i="2"/>
  <c r="EL243" i="2"/>
  <c r="EK243" i="2"/>
  <c r="EJ243" i="2"/>
  <c r="EI243" i="2"/>
  <c r="EH243" i="2"/>
  <c r="EG243" i="2"/>
  <c r="EF243" i="2"/>
  <c r="EE243" i="2"/>
  <c r="ED243" i="2"/>
  <c r="EC243" i="2"/>
  <c r="EB243" i="2"/>
  <c r="EA243" i="2"/>
  <c r="DZ243" i="2"/>
  <c r="DY243" i="2"/>
  <c r="DX243" i="2"/>
  <c r="DW243" i="2"/>
  <c r="DV243" i="2"/>
  <c r="DU243" i="2"/>
  <c r="DT243" i="2"/>
  <c r="DS243" i="2"/>
  <c r="DR243" i="2"/>
  <c r="DQ243" i="2"/>
  <c r="DP243" i="2"/>
  <c r="DO243" i="2"/>
  <c r="DN243" i="2"/>
  <c r="DM243" i="2"/>
  <c r="DL243" i="2"/>
  <c r="DK243" i="2"/>
  <c r="DJ243" i="2"/>
  <c r="DI243" i="2"/>
  <c r="DH243" i="2"/>
  <c r="DG243" i="2"/>
  <c r="DF243" i="2"/>
  <c r="DE243" i="2"/>
  <c r="DD243" i="2"/>
  <c r="DC243" i="2"/>
  <c r="DB243" i="2"/>
  <c r="CV243" i="2"/>
  <c r="CR243" i="2"/>
  <c r="CQ243" i="2"/>
  <c r="CP243" i="2"/>
  <c r="CO243" i="2"/>
  <c r="CN243" i="2"/>
  <c r="T243" i="2"/>
  <c r="C243" i="2"/>
  <c r="FS242" i="2"/>
  <c r="FR242" i="2"/>
  <c r="FQ242" i="2"/>
  <c r="FP242" i="2"/>
  <c r="FO242" i="2"/>
  <c r="FN242" i="2"/>
  <c r="FM242" i="2"/>
  <c r="FL242" i="2"/>
  <c r="FK242" i="2"/>
  <c r="FJ242" i="2"/>
  <c r="FI242" i="2"/>
  <c r="FH242" i="2"/>
  <c r="FG242" i="2"/>
  <c r="FF242" i="2"/>
  <c r="FE242" i="2"/>
  <c r="FD242" i="2"/>
  <c r="FC242" i="2"/>
  <c r="FB242" i="2"/>
  <c r="FA242" i="2"/>
  <c r="EZ242" i="2"/>
  <c r="EY242" i="2"/>
  <c r="EX242" i="2"/>
  <c r="EW242" i="2"/>
  <c r="EV242" i="2"/>
  <c r="EU242" i="2"/>
  <c r="ET242" i="2"/>
  <c r="ES242" i="2"/>
  <c r="ER242" i="2"/>
  <c r="EQ242" i="2"/>
  <c r="EP242" i="2"/>
  <c r="EO242" i="2"/>
  <c r="EN242" i="2"/>
  <c r="EM242" i="2"/>
  <c r="EL242" i="2"/>
  <c r="EK242" i="2"/>
  <c r="EJ242" i="2"/>
  <c r="EI242" i="2"/>
  <c r="EH242" i="2"/>
  <c r="EG242" i="2"/>
  <c r="EF242" i="2"/>
  <c r="EE242" i="2"/>
  <c r="ED242" i="2"/>
  <c r="EC242" i="2"/>
  <c r="EB242" i="2"/>
  <c r="EA242" i="2"/>
  <c r="DZ242" i="2"/>
  <c r="DY242" i="2"/>
  <c r="DX242" i="2"/>
  <c r="DW242" i="2"/>
  <c r="DV242" i="2"/>
  <c r="DU242" i="2"/>
  <c r="DT242" i="2"/>
  <c r="DS242" i="2"/>
  <c r="DR242" i="2"/>
  <c r="DQ242" i="2"/>
  <c r="DP242" i="2"/>
  <c r="DO242" i="2"/>
  <c r="DN242" i="2"/>
  <c r="DM242" i="2"/>
  <c r="DL242" i="2"/>
  <c r="DK242" i="2"/>
  <c r="DJ242" i="2"/>
  <c r="DI242" i="2"/>
  <c r="DH242" i="2"/>
  <c r="DG242" i="2"/>
  <c r="DF242" i="2"/>
  <c r="DE242" i="2"/>
  <c r="DD242" i="2"/>
  <c r="DC242" i="2"/>
  <c r="DB242" i="2"/>
  <c r="CU242" i="2" s="1"/>
  <c r="CR242" i="2"/>
  <c r="CQ242" i="2"/>
  <c r="CP242" i="2"/>
  <c r="CO242" i="2"/>
  <c r="CN242" i="2"/>
  <c r="T242" i="2"/>
  <c r="CV242" i="2" s="1"/>
  <c r="C242" i="2"/>
  <c r="FS241" i="2"/>
  <c r="FR241" i="2"/>
  <c r="FQ241" i="2"/>
  <c r="FP241" i="2"/>
  <c r="FO241" i="2"/>
  <c r="FN241" i="2"/>
  <c r="FM241" i="2"/>
  <c r="FL241" i="2"/>
  <c r="FK241" i="2"/>
  <c r="FJ241" i="2"/>
  <c r="FI241" i="2"/>
  <c r="FH241" i="2"/>
  <c r="FG241" i="2"/>
  <c r="FF241" i="2"/>
  <c r="FE241" i="2"/>
  <c r="FD241" i="2"/>
  <c r="FC241" i="2"/>
  <c r="FB241" i="2"/>
  <c r="FA241" i="2"/>
  <c r="EZ241" i="2"/>
  <c r="EY241" i="2"/>
  <c r="EX241" i="2"/>
  <c r="EW241" i="2"/>
  <c r="EV241" i="2"/>
  <c r="EU241" i="2"/>
  <c r="ET241" i="2"/>
  <c r="ES241" i="2"/>
  <c r="ER241" i="2"/>
  <c r="EQ241" i="2"/>
  <c r="EP241" i="2"/>
  <c r="EO241" i="2"/>
  <c r="EN241" i="2"/>
  <c r="EM241" i="2"/>
  <c r="EL241" i="2"/>
  <c r="EK241" i="2"/>
  <c r="EJ241" i="2"/>
  <c r="EI241" i="2"/>
  <c r="EH241" i="2"/>
  <c r="EG241" i="2"/>
  <c r="EF241" i="2"/>
  <c r="EE241" i="2"/>
  <c r="ED241" i="2"/>
  <c r="EC241" i="2"/>
  <c r="EB241" i="2"/>
  <c r="EA241" i="2"/>
  <c r="DZ241" i="2"/>
  <c r="DY241" i="2"/>
  <c r="DX241" i="2"/>
  <c r="DW241" i="2"/>
  <c r="DV241" i="2"/>
  <c r="DU241" i="2"/>
  <c r="DT241" i="2"/>
  <c r="DS241" i="2"/>
  <c r="DR241" i="2"/>
  <c r="DQ241" i="2"/>
  <c r="DP241" i="2"/>
  <c r="DO241" i="2"/>
  <c r="DN241" i="2"/>
  <c r="DM241" i="2"/>
  <c r="DL241" i="2"/>
  <c r="DK241" i="2"/>
  <c r="DJ241" i="2"/>
  <c r="DI241" i="2"/>
  <c r="DH241" i="2"/>
  <c r="DG241" i="2"/>
  <c r="DF241" i="2"/>
  <c r="DE241" i="2"/>
  <c r="DD241" i="2"/>
  <c r="DC241" i="2"/>
  <c r="DB241" i="2"/>
  <c r="CR241" i="2"/>
  <c r="CQ241" i="2"/>
  <c r="CP241" i="2"/>
  <c r="CO241" i="2"/>
  <c r="CN241" i="2"/>
  <c r="T241" i="2"/>
  <c r="CV241" i="2" s="1"/>
  <c r="C241" i="2"/>
  <c r="FS240" i="2"/>
  <c r="FR240" i="2"/>
  <c r="FQ240" i="2"/>
  <c r="FP240" i="2"/>
  <c r="FO240" i="2"/>
  <c r="FN240" i="2"/>
  <c r="FM240" i="2"/>
  <c r="FL240" i="2"/>
  <c r="FK240" i="2"/>
  <c r="FJ240" i="2"/>
  <c r="FI240" i="2"/>
  <c r="FH240" i="2"/>
  <c r="FG240" i="2"/>
  <c r="FF240" i="2"/>
  <c r="FE240" i="2"/>
  <c r="FD240" i="2"/>
  <c r="FC240" i="2"/>
  <c r="FB240" i="2"/>
  <c r="FA240" i="2"/>
  <c r="EZ240" i="2"/>
  <c r="EY240" i="2"/>
  <c r="EX240" i="2"/>
  <c r="EW240" i="2"/>
  <c r="EV240" i="2"/>
  <c r="EU240" i="2"/>
  <c r="ET240" i="2"/>
  <c r="ES240" i="2"/>
  <c r="ER240" i="2"/>
  <c r="EQ240" i="2"/>
  <c r="EP240" i="2"/>
  <c r="EO240" i="2"/>
  <c r="EN240" i="2"/>
  <c r="EM240" i="2"/>
  <c r="EL240" i="2"/>
  <c r="EK240" i="2"/>
  <c r="EJ240" i="2"/>
  <c r="EI240" i="2"/>
  <c r="EH240" i="2"/>
  <c r="EG240" i="2"/>
  <c r="EF240" i="2"/>
  <c r="EE240" i="2"/>
  <c r="ED240" i="2"/>
  <c r="EC240" i="2"/>
  <c r="EB240" i="2"/>
  <c r="EA240" i="2"/>
  <c r="DZ240" i="2"/>
  <c r="DY240" i="2"/>
  <c r="DX240" i="2"/>
  <c r="DW240" i="2"/>
  <c r="DV240" i="2"/>
  <c r="DU240" i="2"/>
  <c r="DT240" i="2"/>
  <c r="DS240" i="2"/>
  <c r="DR240" i="2"/>
  <c r="DQ240" i="2"/>
  <c r="DP240" i="2"/>
  <c r="DO240" i="2"/>
  <c r="DN240" i="2"/>
  <c r="DM240" i="2"/>
  <c r="DL240" i="2"/>
  <c r="DK240" i="2"/>
  <c r="DJ240" i="2"/>
  <c r="DI240" i="2"/>
  <c r="DH240" i="2"/>
  <c r="DG240" i="2"/>
  <c r="DF240" i="2"/>
  <c r="DE240" i="2"/>
  <c r="DD240" i="2"/>
  <c r="DC240" i="2"/>
  <c r="DB240" i="2"/>
  <c r="CV240" i="2"/>
  <c r="CR240" i="2"/>
  <c r="CQ240" i="2"/>
  <c r="CP240" i="2"/>
  <c r="CO240" i="2"/>
  <c r="CN240" i="2"/>
  <c r="T240" i="2"/>
  <c r="C240" i="2"/>
  <c r="FS239" i="2"/>
  <c r="FR239" i="2"/>
  <c r="FQ239" i="2"/>
  <c r="FP239" i="2"/>
  <c r="FO239" i="2"/>
  <c r="FN239" i="2"/>
  <c r="FM239" i="2"/>
  <c r="FL239" i="2"/>
  <c r="FK239" i="2"/>
  <c r="FJ239" i="2"/>
  <c r="FI239" i="2"/>
  <c r="FH239" i="2"/>
  <c r="FG239" i="2"/>
  <c r="FF239" i="2"/>
  <c r="FE239" i="2"/>
  <c r="FD239" i="2"/>
  <c r="FC239" i="2"/>
  <c r="FB239" i="2"/>
  <c r="FA239" i="2"/>
  <c r="EZ239" i="2"/>
  <c r="EY239" i="2"/>
  <c r="EX239" i="2"/>
  <c r="EW239" i="2"/>
  <c r="EV239" i="2"/>
  <c r="EU239" i="2"/>
  <c r="ET239" i="2"/>
  <c r="ES239" i="2"/>
  <c r="ER239" i="2"/>
  <c r="EQ239" i="2"/>
  <c r="EP239" i="2"/>
  <c r="EO239" i="2"/>
  <c r="EN239" i="2"/>
  <c r="EM239" i="2"/>
  <c r="EL239" i="2"/>
  <c r="EK239" i="2"/>
  <c r="EJ239" i="2"/>
  <c r="EI239" i="2"/>
  <c r="EH239" i="2"/>
  <c r="EG239" i="2"/>
  <c r="EF239" i="2"/>
  <c r="EE239" i="2"/>
  <c r="ED239" i="2"/>
  <c r="EC239" i="2"/>
  <c r="EB239" i="2"/>
  <c r="EA239" i="2"/>
  <c r="DZ239" i="2"/>
  <c r="DY239" i="2"/>
  <c r="DX239" i="2"/>
  <c r="DW239" i="2"/>
  <c r="DV239" i="2"/>
  <c r="DU239" i="2"/>
  <c r="DT239" i="2"/>
  <c r="DS239" i="2"/>
  <c r="DR239" i="2"/>
  <c r="DQ239" i="2"/>
  <c r="DP239" i="2"/>
  <c r="DO239" i="2"/>
  <c r="DN239" i="2"/>
  <c r="DM239" i="2"/>
  <c r="DL239" i="2"/>
  <c r="DK239" i="2"/>
  <c r="DJ239" i="2"/>
  <c r="DI239" i="2"/>
  <c r="DH239" i="2"/>
  <c r="DG239" i="2"/>
  <c r="DF239" i="2"/>
  <c r="DE239" i="2"/>
  <c r="DD239" i="2"/>
  <c r="DC239" i="2"/>
  <c r="DB239" i="2"/>
  <c r="CR239" i="2"/>
  <c r="CQ239" i="2"/>
  <c r="CP239" i="2"/>
  <c r="CO239" i="2"/>
  <c r="CN239" i="2"/>
  <c r="T239" i="2"/>
  <c r="CV239" i="2" s="1"/>
  <c r="C239" i="2"/>
  <c r="FS238" i="2"/>
  <c r="FR238" i="2"/>
  <c r="FQ238" i="2"/>
  <c r="FP238" i="2"/>
  <c r="FO238" i="2"/>
  <c r="FN238" i="2"/>
  <c r="FM238" i="2"/>
  <c r="FL238" i="2"/>
  <c r="FK238" i="2"/>
  <c r="FJ238" i="2"/>
  <c r="FI238" i="2"/>
  <c r="FH238" i="2"/>
  <c r="FG238" i="2"/>
  <c r="FF238" i="2"/>
  <c r="FE238" i="2"/>
  <c r="FD238" i="2"/>
  <c r="FC238" i="2"/>
  <c r="FB238" i="2"/>
  <c r="FA238" i="2"/>
  <c r="EZ238" i="2"/>
  <c r="EY238" i="2"/>
  <c r="EX238" i="2"/>
  <c r="EW238" i="2"/>
  <c r="EV238" i="2"/>
  <c r="EU238" i="2"/>
  <c r="ET238" i="2"/>
  <c r="ES238" i="2"/>
  <c r="ER238" i="2"/>
  <c r="EQ238" i="2"/>
  <c r="EP238" i="2"/>
  <c r="EO238" i="2"/>
  <c r="EN238" i="2"/>
  <c r="EM238" i="2"/>
  <c r="EL238" i="2"/>
  <c r="EK238" i="2"/>
  <c r="EJ238" i="2"/>
  <c r="EI238" i="2"/>
  <c r="EH238" i="2"/>
  <c r="EG238" i="2"/>
  <c r="EF238" i="2"/>
  <c r="EE238" i="2"/>
  <c r="ED238" i="2"/>
  <c r="EC238" i="2"/>
  <c r="EB238" i="2"/>
  <c r="EA238" i="2"/>
  <c r="DZ238" i="2"/>
  <c r="DY238" i="2"/>
  <c r="DX238" i="2"/>
  <c r="DW238" i="2"/>
  <c r="DV238" i="2"/>
  <c r="DU238" i="2"/>
  <c r="DT238" i="2"/>
  <c r="DS238" i="2"/>
  <c r="DR238" i="2"/>
  <c r="DQ238" i="2"/>
  <c r="DP238" i="2"/>
  <c r="DO238" i="2"/>
  <c r="DN238" i="2"/>
  <c r="DM238" i="2"/>
  <c r="DL238" i="2"/>
  <c r="DK238" i="2"/>
  <c r="DJ238" i="2"/>
  <c r="DI238" i="2"/>
  <c r="DH238" i="2"/>
  <c r="DG238" i="2"/>
  <c r="DF238" i="2"/>
  <c r="DE238" i="2"/>
  <c r="DD238" i="2"/>
  <c r="CU238" i="2" s="1"/>
  <c r="DC238" i="2"/>
  <c r="DB238" i="2"/>
  <c r="CR238" i="2"/>
  <c r="CQ238" i="2"/>
  <c r="CP238" i="2"/>
  <c r="CO238" i="2"/>
  <c r="CN238" i="2"/>
  <c r="T238" i="2"/>
  <c r="CV238" i="2" s="1"/>
  <c r="C238" i="2"/>
  <c r="FS237" i="2"/>
  <c r="FR237" i="2"/>
  <c r="FQ237" i="2"/>
  <c r="FP237" i="2"/>
  <c r="FO237" i="2"/>
  <c r="FN237" i="2"/>
  <c r="FM237" i="2"/>
  <c r="FL237" i="2"/>
  <c r="FK237" i="2"/>
  <c r="FJ237" i="2"/>
  <c r="FI237" i="2"/>
  <c r="FH237" i="2"/>
  <c r="FG237" i="2"/>
  <c r="FF237" i="2"/>
  <c r="FE237" i="2"/>
  <c r="FD237" i="2"/>
  <c r="FC237" i="2"/>
  <c r="FB237" i="2"/>
  <c r="FA237" i="2"/>
  <c r="EZ237" i="2"/>
  <c r="EY237" i="2"/>
  <c r="EX237" i="2"/>
  <c r="EW237" i="2"/>
  <c r="EV237" i="2"/>
  <c r="EU237" i="2"/>
  <c r="ET237" i="2"/>
  <c r="ES237" i="2"/>
  <c r="ER237" i="2"/>
  <c r="EQ237" i="2"/>
  <c r="EP237" i="2"/>
  <c r="EO237" i="2"/>
  <c r="EN237" i="2"/>
  <c r="EM237" i="2"/>
  <c r="EL237" i="2"/>
  <c r="EK237" i="2"/>
  <c r="EJ237" i="2"/>
  <c r="EI237" i="2"/>
  <c r="EH237" i="2"/>
  <c r="EG237" i="2"/>
  <c r="EF237" i="2"/>
  <c r="EE237" i="2"/>
  <c r="ED237" i="2"/>
  <c r="EC237" i="2"/>
  <c r="EB237" i="2"/>
  <c r="EA237" i="2"/>
  <c r="DZ237" i="2"/>
  <c r="DY237" i="2"/>
  <c r="DX237" i="2"/>
  <c r="DW237" i="2"/>
  <c r="DV237" i="2"/>
  <c r="DU237" i="2"/>
  <c r="DT237" i="2"/>
  <c r="DS237" i="2"/>
  <c r="DR237" i="2"/>
  <c r="DQ237" i="2"/>
  <c r="DP237" i="2"/>
  <c r="DO237" i="2"/>
  <c r="DN237" i="2"/>
  <c r="DM237" i="2"/>
  <c r="DL237" i="2"/>
  <c r="DK237" i="2"/>
  <c r="DJ237" i="2"/>
  <c r="DI237" i="2"/>
  <c r="DH237" i="2"/>
  <c r="DG237" i="2"/>
  <c r="DF237" i="2"/>
  <c r="DE237" i="2"/>
  <c r="DD237" i="2"/>
  <c r="DC237" i="2"/>
  <c r="DB237" i="2"/>
  <c r="CV237" i="2"/>
  <c r="CR237" i="2"/>
  <c r="CQ237" i="2"/>
  <c r="CP237" i="2"/>
  <c r="CO237" i="2"/>
  <c r="CN237" i="2"/>
  <c r="U237" i="2"/>
  <c r="FS236" i="2"/>
  <c r="FR236" i="2"/>
  <c r="FQ236" i="2"/>
  <c r="FP236" i="2"/>
  <c r="FO236" i="2"/>
  <c r="FN236" i="2"/>
  <c r="FM236" i="2"/>
  <c r="FL236" i="2"/>
  <c r="FK236" i="2"/>
  <c r="FJ236" i="2"/>
  <c r="FI236" i="2"/>
  <c r="FH236" i="2"/>
  <c r="FG236" i="2"/>
  <c r="FF236" i="2"/>
  <c r="FE236" i="2"/>
  <c r="FD236" i="2"/>
  <c r="FC236" i="2"/>
  <c r="FB236" i="2"/>
  <c r="FA236" i="2"/>
  <c r="EZ236" i="2"/>
  <c r="EY236" i="2"/>
  <c r="EX236" i="2"/>
  <c r="EW236" i="2"/>
  <c r="EV236" i="2"/>
  <c r="EU236" i="2"/>
  <c r="ET236" i="2"/>
  <c r="ES236" i="2"/>
  <c r="ER236" i="2"/>
  <c r="EQ236" i="2"/>
  <c r="EP236" i="2"/>
  <c r="EO236" i="2"/>
  <c r="EN236" i="2"/>
  <c r="EM236" i="2"/>
  <c r="EL236" i="2"/>
  <c r="EK236" i="2"/>
  <c r="EJ236" i="2"/>
  <c r="EI236" i="2"/>
  <c r="EH236" i="2"/>
  <c r="EG236" i="2"/>
  <c r="EF236" i="2"/>
  <c r="EE236" i="2"/>
  <c r="ED236" i="2"/>
  <c r="EC236" i="2"/>
  <c r="EB236" i="2"/>
  <c r="EA236" i="2"/>
  <c r="DZ236" i="2"/>
  <c r="DY236" i="2"/>
  <c r="DX236" i="2"/>
  <c r="DW236" i="2"/>
  <c r="DV236" i="2"/>
  <c r="DU236" i="2"/>
  <c r="DT236" i="2"/>
  <c r="DS236" i="2"/>
  <c r="DR236" i="2"/>
  <c r="DQ236" i="2"/>
  <c r="DP236" i="2"/>
  <c r="DO236" i="2"/>
  <c r="DN236" i="2"/>
  <c r="DM236" i="2"/>
  <c r="DL236" i="2"/>
  <c r="DK236" i="2"/>
  <c r="DJ236" i="2"/>
  <c r="DI236" i="2"/>
  <c r="DH236" i="2"/>
  <c r="DG236" i="2"/>
  <c r="DF236" i="2"/>
  <c r="DE236" i="2"/>
  <c r="DD236" i="2"/>
  <c r="DC236" i="2"/>
  <c r="DB236" i="2"/>
  <c r="CV236" i="2"/>
  <c r="CR236" i="2"/>
  <c r="CQ236" i="2"/>
  <c r="CP236" i="2"/>
  <c r="CO236" i="2"/>
  <c r="CN236" i="2"/>
  <c r="U236" i="2"/>
  <c r="FS235" i="2"/>
  <c r="FR235" i="2"/>
  <c r="FQ235" i="2"/>
  <c r="FP235" i="2"/>
  <c r="FO235" i="2"/>
  <c r="FN235" i="2"/>
  <c r="FM235" i="2"/>
  <c r="FL235" i="2"/>
  <c r="FK235" i="2"/>
  <c r="FJ235" i="2"/>
  <c r="FI235" i="2"/>
  <c r="FH235" i="2"/>
  <c r="FG235" i="2"/>
  <c r="FF235" i="2"/>
  <c r="FE235" i="2"/>
  <c r="FD235" i="2"/>
  <c r="FC235" i="2"/>
  <c r="FB235" i="2"/>
  <c r="FA235" i="2"/>
  <c r="EZ235" i="2"/>
  <c r="EY235" i="2"/>
  <c r="EX235" i="2"/>
  <c r="EW235" i="2"/>
  <c r="EV235" i="2"/>
  <c r="EU235" i="2"/>
  <c r="ET235" i="2"/>
  <c r="ES235" i="2"/>
  <c r="ER235" i="2"/>
  <c r="EQ235" i="2"/>
  <c r="EP235" i="2"/>
  <c r="EO235" i="2"/>
  <c r="EN235" i="2"/>
  <c r="EM235" i="2"/>
  <c r="EL235" i="2"/>
  <c r="EK235" i="2"/>
  <c r="EJ235" i="2"/>
  <c r="EI235" i="2"/>
  <c r="EH235" i="2"/>
  <c r="EG235" i="2"/>
  <c r="EF235" i="2"/>
  <c r="EE235" i="2"/>
  <c r="ED235" i="2"/>
  <c r="EC235" i="2"/>
  <c r="EB235" i="2"/>
  <c r="EA235" i="2"/>
  <c r="DZ235" i="2"/>
  <c r="DY235" i="2"/>
  <c r="DX235" i="2"/>
  <c r="DW235" i="2"/>
  <c r="DV235" i="2"/>
  <c r="DU235" i="2"/>
  <c r="DT235" i="2"/>
  <c r="DS235" i="2"/>
  <c r="DR235" i="2"/>
  <c r="DQ235" i="2"/>
  <c r="DP235" i="2"/>
  <c r="DO235" i="2"/>
  <c r="DN235" i="2"/>
  <c r="DM235" i="2"/>
  <c r="DL235" i="2"/>
  <c r="DK235" i="2"/>
  <c r="DJ235" i="2"/>
  <c r="DI235" i="2"/>
  <c r="DH235" i="2"/>
  <c r="DG235" i="2"/>
  <c r="DF235" i="2"/>
  <c r="DE235" i="2"/>
  <c r="DD235" i="2"/>
  <c r="DC235" i="2"/>
  <c r="DB235" i="2"/>
  <c r="CV235" i="2"/>
  <c r="CR235" i="2"/>
  <c r="CQ235" i="2"/>
  <c r="CP235" i="2"/>
  <c r="CO235" i="2"/>
  <c r="CN235" i="2"/>
  <c r="U235" i="2"/>
  <c r="M234" i="1" s="1"/>
  <c r="FS234" i="2"/>
  <c r="FR234" i="2"/>
  <c r="FQ234" i="2"/>
  <c r="FP234" i="2"/>
  <c r="FO234" i="2"/>
  <c r="FN234" i="2"/>
  <c r="FM234" i="2"/>
  <c r="FL234" i="2"/>
  <c r="FK234" i="2"/>
  <c r="FJ234" i="2"/>
  <c r="FI234" i="2"/>
  <c r="FH234" i="2"/>
  <c r="FG234" i="2"/>
  <c r="FF234" i="2"/>
  <c r="FE234" i="2"/>
  <c r="FD234" i="2"/>
  <c r="FC234" i="2"/>
  <c r="FB234" i="2"/>
  <c r="FA234" i="2"/>
  <c r="EZ234" i="2"/>
  <c r="EY234" i="2"/>
  <c r="EX234" i="2"/>
  <c r="EW234" i="2"/>
  <c r="EV234" i="2"/>
  <c r="EU234" i="2"/>
  <c r="ET234" i="2"/>
  <c r="ES234" i="2"/>
  <c r="ER234" i="2"/>
  <c r="EQ234" i="2"/>
  <c r="EP234" i="2"/>
  <c r="EO234" i="2"/>
  <c r="EN234" i="2"/>
  <c r="EM234" i="2"/>
  <c r="EL234" i="2"/>
  <c r="EK234" i="2"/>
  <c r="EJ234" i="2"/>
  <c r="EI234" i="2"/>
  <c r="EH234" i="2"/>
  <c r="EG234" i="2"/>
  <c r="EF234" i="2"/>
  <c r="EE234" i="2"/>
  <c r="ED234" i="2"/>
  <c r="EC234" i="2"/>
  <c r="EB234" i="2"/>
  <c r="EA234" i="2"/>
  <c r="DZ234" i="2"/>
  <c r="DY234" i="2"/>
  <c r="DX234" i="2"/>
  <c r="DW234" i="2"/>
  <c r="DV234" i="2"/>
  <c r="DU234" i="2"/>
  <c r="DT234" i="2"/>
  <c r="DS234" i="2"/>
  <c r="DR234" i="2"/>
  <c r="DQ234" i="2"/>
  <c r="DP234" i="2"/>
  <c r="DO234" i="2"/>
  <c r="DN234" i="2"/>
  <c r="DM234" i="2"/>
  <c r="DL234" i="2"/>
  <c r="DK234" i="2"/>
  <c r="DJ234" i="2"/>
  <c r="DI234" i="2"/>
  <c r="DH234" i="2"/>
  <c r="DG234" i="2"/>
  <c r="DF234" i="2"/>
  <c r="DE234" i="2"/>
  <c r="DD234" i="2"/>
  <c r="DC234" i="2"/>
  <c r="DB234" i="2"/>
  <c r="CV234" i="2"/>
  <c r="CR234" i="2"/>
  <c r="CQ234" i="2"/>
  <c r="CP234" i="2"/>
  <c r="CO234" i="2"/>
  <c r="CN234" i="2"/>
  <c r="U234" i="2"/>
  <c r="FS233" i="2"/>
  <c r="FR233" i="2"/>
  <c r="FQ233" i="2"/>
  <c r="FP233" i="2"/>
  <c r="FO233" i="2"/>
  <c r="FN233" i="2"/>
  <c r="FM233" i="2"/>
  <c r="FL233" i="2"/>
  <c r="FK233" i="2"/>
  <c r="FJ233" i="2"/>
  <c r="FI233" i="2"/>
  <c r="FH233" i="2"/>
  <c r="FG233" i="2"/>
  <c r="FF233" i="2"/>
  <c r="FE233" i="2"/>
  <c r="FD233" i="2"/>
  <c r="FC233" i="2"/>
  <c r="FB233" i="2"/>
  <c r="FA233" i="2"/>
  <c r="EZ233" i="2"/>
  <c r="EY233" i="2"/>
  <c r="EX233" i="2"/>
  <c r="EW233" i="2"/>
  <c r="EV233" i="2"/>
  <c r="EU233" i="2"/>
  <c r="ET233" i="2"/>
  <c r="ES233" i="2"/>
  <c r="ER233" i="2"/>
  <c r="EQ233" i="2"/>
  <c r="EP233" i="2"/>
  <c r="EO233" i="2"/>
  <c r="EN233" i="2"/>
  <c r="EM233" i="2"/>
  <c r="EL233" i="2"/>
  <c r="EK233" i="2"/>
  <c r="EJ233" i="2"/>
  <c r="EI233" i="2"/>
  <c r="EH233" i="2"/>
  <c r="EG233" i="2"/>
  <c r="EF233" i="2"/>
  <c r="EE233" i="2"/>
  <c r="ED233" i="2"/>
  <c r="EC233" i="2"/>
  <c r="EB233" i="2"/>
  <c r="EA233" i="2"/>
  <c r="DZ233" i="2"/>
  <c r="DY233" i="2"/>
  <c r="DX233" i="2"/>
  <c r="DW233" i="2"/>
  <c r="DV233" i="2"/>
  <c r="DU233" i="2"/>
  <c r="DT233" i="2"/>
  <c r="DS233" i="2"/>
  <c r="DR233" i="2"/>
  <c r="DQ233" i="2"/>
  <c r="DP233" i="2"/>
  <c r="DO233" i="2"/>
  <c r="DN233" i="2"/>
  <c r="DM233" i="2"/>
  <c r="DL233" i="2"/>
  <c r="DK233" i="2"/>
  <c r="DJ233" i="2"/>
  <c r="DI233" i="2"/>
  <c r="DH233" i="2"/>
  <c r="DG233" i="2"/>
  <c r="DF233" i="2"/>
  <c r="DE233" i="2"/>
  <c r="CU233" i="2" s="1"/>
  <c r="DD233" i="2"/>
  <c r="DC233" i="2"/>
  <c r="DB233" i="2"/>
  <c r="CV233" i="2"/>
  <c r="CR233" i="2"/>
  <c r="CQ233" i="2"/>
  <c r="CP233" i="2"/>
  <c r="CO233" i="2"/>
  <c r="CN233" i="2"/>
  <c r="U233" i="2"/>
  <c r="FS232" i="2"/>
  <c r="FR232" i="2"/>
  <c r="FQ232" i="2"/>
  <c r="FP232" i="2"/>
  <c r="FO232" i="2"/>
  <c r="FN232" i="2"/>
  <c r="FM232" i="2"/>
  <c r="FL232" i="2"/>
  <c r="FK232" i="2"/>
  <c r="FJ232" i="2"/>
  <c r="FI232" i="2"/>
  <c r="FH232" i="2"/>
  <c r="FG232" i="2"/>
  <c r="FF232" i="2"/>
  <c r="FE232" i="2"/>
  <c r="FD232" i="2"/>
  <c r="FC232" i="2"/>
  <c r="FB232" i="2"/>
  <c r="FA232" i="2"/>
  <c r="EZ232" i="2"/>
  <c r="EY232" i="2"/>
  <c r="EX232" i="2"/>
  <c r="EW232" i="2"/>
  <c r="EV232" i="2"/>
  <c r="EU232" i="2"/>
  <c r="ET232" i="2"/>
  <c r="ES232" i="2"/>
  <c r="ER232" i="2"/>
  <c r="EQ232" i="2"/>
  <c r="EP232" i="2"/>
  <c r="EO232" i="2"/>
  <c r="EN232" i="2"/>
  <c r="EM232" i="2"/>
  <c r="EL232" i="2"/>
  <c r="EK232" i="2"/>
  <c r="EJ232" i="2"/>
  <c r="EI232" i="2"/>
  <c r="EH232" i="2"/>
  <c r="EG232" i="2"/>
  <c r="EF232" i="2"/>
  <c r="EE232" i="2"/>
  <c r="ED232" i="2"/>
  <c r="EC232" i="2"/>
  <c r="EB232" i="2"/>
  <c r="EA232" i="2"/>
  <c r="DZ232" i="2"/>
  <c r="DY232" i="2"/>
  <c r="DX232" i="2"/>
  <c r="DW232" i="2"/>
  <c r="DV232" i="2"/>
  <c r="DU232" i="2"/>
  <c r="DT232" i="2"/>
  <c r="DS232" i="2"/>
  <c r="DR232" i="2"/>
  <c r="DQ232" i="2"/>
  <c r="DP232" i="2"/>
  <c r="DO232" i="2"/>
  <c r="DN232" i="2"/>
  <c r="DM232" i="2"/>
  <c r="DL232" i="2"/>
  <c r="DK232" i="2"/>
  <c r="DJ232" i="2"/>
  <c r="DI232" i="2"/>
  <c r="DH232" i="2"/>
  <c r="DG232" i="2"/>
  <c r="DF232" i="2"/>
  <c r="DE232" i="2"/>
  <c r="DD232" i="2"/>
  <c r="DC232" i="2"/>
  <c r="DB232" i="2"/>
  <c r="CU232" i="2" s="1"/>
  <c r="CV232" i="2"/>
  <c r="CR232" i="2"/>
  <c r="CQ232" i="2"/>
  <c r="CP232" i="2"/>
  <c r="CO232" i="2"/>
  <c r="CN232" i="2"/>
  <c r="U232" i="2"/>
  <c r="FS231" i="2"/>
  <c r="FR231" i="2"/>
  <c r="FQ231" i="2"/>
  <c r="FP231" i="2"/>
  <c r="FO231" i="2"/>
  <c r="FN231" i="2"/>
  <c r="FM231" i="2"/>
  <c r="FL231" i="2"/>
  <c r="FK231" i="2"/>
  <c r="FJ231" i="2"/>
  <c r="FI231" i="2"/>
  <c r="FH231" i="2"/>
  <c r="FG231" i="2"/>
  <c r="FF231" i="2"/>
  <c r="FE231" i="2"/>
  <c r="FD231" i="2"/>
  <c r="FC231" i="2"/>
  <c r="FB231" i="2"/>
  <c r="FA231" i="2"/>
  <c r="EZ231" i="2"/>
  <c r="EY231" i="2"/>
  <c r="EX231" i="2"/>
  <c r="EW231" i="2"/>
  <c r="EV231" i="2"/>
  <c r="EU231" i="2"/>
  <c r="ET231" i="2"/>
  <c r="ES231" i="2"/>
  <c r="ER231" i="2"/>
  <c r="EQ231" i="2"/>
  <c r="EP231" i="2"/>
  <c r="EO231" i="2"/>
  <c r="EN231" i="2"/>
  <c r="EM231" i="2"/>
  <c r="EL231" i="2"/>
  <c r="EK231" i="2"/>
  <c r="EJ231" i="2"/>
  <c r="EI231" i="2"/>
  <c r="EH231" i="2"/>
  <c r="EG231" i="2"/>
  <c r="EF231" i="2"/>
  <c r="EE231" i="2"/>
  <c r="ED231" i="2"/>
  <c r="EC231" i="2"/>
  <c r="EB231" i="2"/>
  <c r="EA231" i="2"/>
  <c r="DZ231" i="2"/>
  <c r="DY231" i="2"/>
  <c r="DX231" i="2"/>
  <c r="DW231" i="2"/>
  <c r="DV231" i="2"/>
  <c r="DU231" i="2"/>
  <c r="DT231" i="2"/>
  <c r="DS231" i="2"/>
  <c r="DR231" i="2"/>
  <c r="DQ231" i="2"/>
  <c r="DP231" i="2"/>
  <c r="DO231" i="2"/>
  <c r="DN231" i="2"/>
  <c r="DM231" i="2"/>
  <c r="DL231" i="2"/>
  <c r="DK231" i="2"/>
  <c r="DJ231" i="2"/>
  <c r="DI231" i="2"/>
  <c r="DH231" i="2"/>
  <c r="DG231" i="2"/>
  <c r="DF231" i="2"/>
  <c r="DE231" i="2"/>
  <c r="DD231" i="2"/>
  <c r="DC231" i="2"/>
  <c r="DB231" i="2"/>
  <c r="CV231" i="2"/>
  <c r="CR231" i="2"/>
  <c r="CQ231" i="2"/>
  <c r="CP231" i="2"/>
  <c r="CO231" i="2"/>
  <c r="CN231" i="2"/>
  <c r="U231" i="2"/>
  <c r="FS230" i="2"/>
  <c r="FR230" i="2"/>
  <c r="FQ230" i="2"/>
  <c r="FP230" i="2"/>
  <c r="FO230" i="2"/>
  <c r="FN230" i="2"/>
  <c r="FM230" i="2"/>
  <c r="FL230" i="2"/>
  <c r="FK230" i="2"/>
  <c r="FJ230" i="2"/>
  <c r="FI230" i="2"/>
  <c r="FH230" i="2"/>
  <c r="FG230" i="2"/>
  <c r="FF230" i="2"/>
  <c r="FE230" i="2"/>
  <c r="FD230" i="2"/>
  <c r="FC230" i="2"/>
  <c r="FB230" i="2"/>
  <c r="FA230" i="2"/>
  <c r="EZ230" i="2"/>
  <c r="EY230" i="2"/>
  <c r="EX230" i="2"/>
  <c r="EW230" i="2"/>
  <c r="EV230" i="2"/>
  <c r="EU230" i="2"/>
  <c r="ET230" i="2"/>
  <c r="ES230" i="2"/>
  <c r="ER230" i="2"/>
  <c r="EQ230" i="2"/>
  <c r="EP230" i="2"/>
  <c r="EO230" i="2"/>
  <c r="EN230" i="2"/>
  <c r="EM230" i="2"/>
  <c r="EL230" i="2"/>
  <c r="EK230" i="2"/>
  <c r="EJ230" i="2"/>
  <c r="EI230" i="2"/>
  <c r="EH230" i="2"/>
  <c r="EG230" i="2"/>
  <c r="EF230" i="2"/>
  <c r="EE230" i="2"/>
  <c r="ED230" i="2"/>
  <c r="EC230" i="2"/>
  <c r="EB230" i="2"/>
  <c r="EA230" i="2"/>
  <c r="DZ230" i="2"/>
  <c r="DY230" i="2"/>
  <c r="DX230" i="2"/>
  <c r="DW230" i="2"/>
  <c r="DV230" i="2"/>
  <c r="DU230" i="2"/>
  <c r="DT230" i="2"/>
  <c r="DS230" i="2"/>
  <c r="DR230" i="2"/>
  <c r="DQ230" i="2"/>
  <c r="DP230" i="2"/>
  <c r="DO230" i="2"/>
  <c r="DN230" i="2"/>
  <c r="DM230" i="2"/>
  <c r="DL230" i="2"/>
  <c r="DK230" i="2"/>
  <c r="DJ230" i="2"/>
  <c r="DI230" i="2"/>
  <c r="DH230" i="2"/>
  <c r="DG230" i="2"/>
  <c r="DF230" i="2"/>
  <c r="DE230" i="2"/>
  <c r="DD230" i="2"/>
  <c r="DC230" i="2"/>
  <c r="DB230" i="2"/>
  <c r="CV230" i="2"/>
  <c r="CR230" i="2"/>
  <c r="CQ230" i="2"/>
  <c r="CP230" i="2"/>
  <c r="CO230" i="2"/>
  <c r="CN230" i="2"/>
  <c r="U230" i="2"/>
  <c r="FS229" i="2"/>
  <c r="FR229" i="2"/>
  <c r="FQ229" i="2"/>
  <c r="FP229" i="2"/>
  <c r="FO229" i="2"/>
  <c r="FN229" i="2"/>
  <c r="FM229" i="2"/>
  <c r="FL229" i="2"/>
  <c r="FK229" i="2"/>
  <c r="FJ229" i="2"/>
  <c r="FI229" i="2"/>
  <c r="FH229" i="2"/>
  <c r="FG229" i="2"/>
  <c r="FF229" i="2"/>
  <c r="FE229" i="2"/>
  <c r="FD229" i="2"/>
  <c r="FC229" i="2"/>
  <c r="FB229" i="2"/>
  <c r="FA229" i="2"/>
  <c r="EZ229" i="2"/>
  <c r="EY229" i="2"/>
  <c r="EX229" i="2"/>
  <c r="EW229" i="2"/>
  <c r="EV229" i="2"/>
  <c r="EU229" i="2"/>
  <c r="ET229" i="2"/>
  <c r="ES229" i="2"/>
  <c r="ER229" i="2"/>
  <c r="EQ229" i="2"/>
  <c r="EP229" i="2"/>
  <c r="EO229" i="2"/>
  <c r="EN229" i="2"/>
  <c r="EM229" i="2"/>
  <c r="EL229" i="2"/>
  <c r="EK229" i="2"/>
  <c r="EJ229" i="2"/>
  <c r="EI229" i="2"/>
  <c r="EH229" i="2"/>
  <c r="EG229" i="2"/>
  <c r="EF229" i="2"/>
  <c r="EE229" i="2"/>
  <c r="ED229" i="2"/>
  <c r="EC229" i="2"/>
  <c r="EB229" i="2"/>
  <c r="EA229" i="2"/>
  <c r="DZ229" i="2"/>
  <c r="DY229" i="2"/>
  <c r="DX229" i="2"/>
  <c r="DW229" i="2"/>
  <c r="DV229" i="2"/>
  <c r="DU229" i="2"/>
  <c r="DT229" i="2"/>
  <c r="DS229" i="2"/>
  <c r="DR229" i="2"/>
  <c r="DQ229" i="2"/>
  <c r="DP229" i="2"/>
  <c r="DO229" i="2"/>
  <c r="DN229" i="2"/>
  <c r="DM229" i="2"/>
  <c r="DL229" i="2"/>
  <c r="DK229" i="2"/>
  <c r="DJ229" i="2"/>
  <c r="DI229" i="2"/>
  <c r="DH229" i="2"/>
  <c r="DG229" i="2"/>
  <c r="DF229" i="2"/>
  <c r="DE229" i="2"/>
  <c r="DD229" i="2"/>
  <c r="DC229" i="2"/>
  <c r="DB229" i="2"/>
  <c r="CV229" i="2"/>
  <c r="I228" i="1" s="1"/>
  <c r="K228" i="1" s="1"/>
  <c r="CR229" i="2"/>
  <c r="CQ229" i="2"/>
  <c r="CP229" i="2"/>
  <c r="CO229" i="2"/>
  <c r="CN229" i="2"/>
  <c r="U229" i="2"/>
  <c r="FS228" i="2"/>
  <c r="FR228" i="2"/>
  <c r="FQ228" i="2"/>
  <c r="FP228" i="2"/>
  <c r="FO228" i="2"/>
  <c r="FN228" i="2"/>
  <c r="FM228" i="2"/>
  <c r="FL228" i="2"/>
  <c r="FK228" i="2"/>
  <c r="FJ228" i="2"/>
  <c r="FI228" i="2"/>
  <c r="FH228" i="2"/>
  <c r="FG228" i="2"/>
  <c r="FF228" i="2"/>
  <c r="FE228" i="2"/>
  <c r="FD228" i="2"/>
  <c r="FC228" i="2"/>
  <c r="FB228" i="2"/>
  <c r="FA228" i="2"/>
  <c r="EZ228" i="2"/>
  <c r="EY228" i="2"/>
  <c r="EX228" i="2"/>
  <c r="EW228" i="2"/>
  <c r="EV228" i="2"/>
  <c r="EU228" i="2"/>
  <c r="ET228" i="2"/>
  <c r="ES228" i="2"/>
  <c r="ER228" i="2"/>
  <c r="EQ228" i="2"/>
  <c r="EP228" i="2"/>
  <c r="EO228" i="2"/>
  <c r="EN228" i="2"/>
  <c r="EM228" i="2"/>
  <c r="EL228" i="2"/>
  <c r="EK228" i="2"/>
  <c r="EJ228" i="2"/>
  <c r="EI228" i="2"/>
  <c r="EH228" i="2"/>
  <c r="EG228" i="2"/>
  <c r="EF228" i="2"/>
  <c r="EE228" i="2"/>
  <c r="ED228" i="2"/>
  <c r="EC228" i="2"/>
  <c r="EB228" i="2"/>
  <c r="EA228" i="2"/>
  <c r="DZ228" i="2"/>
  <c r="DY228" i="2"/>
  <c r="DX228" i="2"/>
  <c r="DW228" i="2"/>
  <c r="DV228" i="2"/>
  <c r="DU228" i="2"/>
  <c r="DT228" i="2"/>
  <c r="DS228" i="2"/>
  <c r="DR228" i="2"/>
  <c r="DQ228" i="2"/>
  <c r="DP228" i="2"/>
  <c r="DO228" i="2"/>
  <c r="DN228" i="2"/>
  <c r="DM228" i="2"/>
  <c r="DL228" i="2"/>
  <c r="DK228" i="2"/>
  <c r="DJ228" i="2"/>
  <c r="DI228" i="2"/>
  <c r="DH228" i="2"/>
  <c r="DG228" i="2"/>
  <c r="DF228" i="2"/>
  <c r="DE228" i="2"/>
  <c r="DD228" i="2"/>
  <c r="DC228" i="2"/>
  <c r="DB228" i="2"/>
  <c r="CV228" i="2"/>
  <c r="CR228" i="2"/>
  <c r="CQ228" i="2"/>
  <c r="CP228" i="2"/>
  <c r="CO228" i="2"/>
  <c r="CN228" i="2"/>
  <c r="U228" i="2"/>
  <c r="FS227" i="2"/>
  <c r="FR227" i="2"/>
  <c r="FQ227" i="2"/>
  <c r="FP227" i="2"/>
  <c r="FO227" i="2"/>
  <c r="FN227" i="2"/>
  <c r="FM227" i="2"/>
  <c r="FL227" i="2"/>
  <c r="FK227" i="2"/>
  <c r="FJ227" i="2"/>
  <c r="FI227" i="2"/>
  <c r="FH227" i="2"/>
  <c r="FG227" i="2"/>
  <c r="FF227" i="2"/>
  <c r="FE227" i="2"/>
  <c r="FD227" i="2"/>
  <c r="FC227" i="2"/>
  <c r="FB227" i="2"/>
  <c r="FA227" i="2"/>
  <c r="EZ227" i="2"/>
  <c r="EY227" i="2"/>
  <c r="EX227" i="2"/>
  <c r="EW227" i="2"/>
  <c r="EV227" i="2"/>
  <c r="EU227" i="2"/>
  <c r="ET227" i="2"/>
  <c r="ES227" i="2"/>
  <c r="ER227" i="2"/>
  <c r="EQ227" i="2"/>
  <c r="EP227" i="2"/>
  <c r="EO227" i="2"/>
  <c r="EN227" i="2"/>
  <c r="EM227" i="2"/>
  <c r="EL227" i="2"/>
  <c r="EK227" i="2"/>
  <c r="EJ227" i="2"/>
  <c r="EI227" i="2"/>
  <c r="EH227" i="2"/>
  <c r="EG227" i="2"/>
  <c r="EF227" i="2"/>
  <c r="EE227" i="2"/>
  <c r="ED227" i="2"/>
  <c r="EC227" i="2"/>
  <c r="EB227" i="2"/>
  <c r="EA227" i="2"/>
  <c r="DZ227" i="2"/>
  <c r="DY227" i="2"/>
  <c r="DX227" i="2"/>
  <c r="DW227" i="2"/>
  <c r="DV227" i="2"/>
  <c r="DU227" i="2"/>
  <c r="DT227" i="2"/>
  <c r="DS227" i="2"/>
  <c r="DR227" i="2"/>
  <c r="DQ227" i="2"/>
  <c r="DP227" i="2"/>
  <c r="DO227" i="2"/>
  <c r="DN227" i="2"/>
  <c r="DM227" i="2"/>
  <c r="DL227" i="2"/>
  <c r="DK227" i="2"/>
  <c r="DJ227" i="2"/>
  <c r="DI227" i="2"/>
  <c r="DH227" i="2"/>
  <c r="DG227" i="2"/>
  <c r="DF227" i="2"/>
  <c r="DE227" i="2"/>
  <c r="DD227" i="2"/>
  <c r="DC227" i="2"/>
  <c r="DB227" i="2"/>
  <c r="CV227" i="2"/>
  <c r="CR227" i="2"/>
  <c r="CQ227" i="2"/>
  <c r="CP227" i="2"/>
  <c r="CO227" i="2"/>
  <c r="CN227" i="2"/>
  <c r="FS226" i="2"/>
  <c r="FR226" i="2"/>
  <c r="FQ226" i="2"/>
  <c r="FP226" i="2"/>
  <c r="FO226" i="2"/>
  <c r="FN226" i="2"/>
  <c r="FM226" i="2"/>
  <c r="FL226" i="2"/>
  <c r="FK226" i="2"/>
  <c r="FJ226" i="2"/>
  <c r="FI226" i="2"/>
  <c r="FH226" i="2"/>
  <c r="FG226" i="2"/>
  <c r="FF226" i="2"/>
  <c r="FE226" i="2"/>
  <c r="FD226" i="2"/>
  <c r="FC226" i="2"/>
  <c r="FB226" i="2"/>
  <c r="FA226" i="2"/>
  <c r="EZ226" i="2"/>
  <c r="EY226" i="2"/>
  <c r="EX226" i="2"/>
  <c r="EW226" i="2"/>
  <c r="EV226" i="2"/>
  <c r="EU226" i="2"/>
  <c r="ET226" i="2"/>
  <c r="ES226" i="2"/>
  <c r="ER226" i="2"/>
  <c r="EQ226" i="2"/>
  <c r="EP226" i="2"/>
  <c r="EO226" i="2"/>
  <c r="EN226" i="2"/>
  <c r="EM226" i="2"/>
  <c r="EL226" i="2"/>
  <c r="EK226" i="2"/>
  <c r="EJ226" i="2"/>
  <c r="EI226" i="2"/>
  <c r="EH226" i="2"/>
  <c r="EG226" i="2"/>
  <c r="EF226" i="2"/>
  <c r="EE226" i="2"/>
  <c r="ED226" i="2"/>
  <c r="EC226" i="2"/>
  <c r="EB226" i="2"/>
  <c r="EA226" i="2"/>
  <c r="DZ226" i="2"/>
  <c r="DY226" i="2"/>
  <c r="DX226" i="2"/>
  <c r="DW226" i="2"/>
  <c r="DV226" i="2"/>
  <c r="DU226" i="2"/>
  <c r="DT226" i="2"/>
  <c r="DS226" i="2"/>
  <c r="DR226" i="2"/>
  <c r="DQ226" i="2"/>
  <c r="DP226" i="2"/>
  <c r="DO226" i="2"/>
  <c r="DN226" i="2"/>
  <c r="DM226" i="2"/>
  <c r="DL226" i="2"/>
  <c r="DK226" i="2"/>
  <c r="DJ226" i="2"/>
  <c r="DI226" i="2"/>
  <c r="DH226" i="2"/>
  <c r="DG226" i="2"/>
  <c r="CU226" i="2" s="1"/>
  <c r="DF226" i="2"/>
  <c r="DE226" i="2"/>
  <c r="DD226" i="2"/>
  <c r="DC226" i="2"/>
  <c r="DB226" i="2"/>
  <c r="CV226" i="2"/>
  <c r="CR226" i="2"/>
  <c r="CQ226" i="2"/>
  <c r="CP226" i="2"/>
  <c r="CO226" i="2"/>
  <c r="CN226" i="2"/>
  <c r="FS225" i="2"/>
  <c r="FR225" i="2"/>
  <c r="FQ225" i="2"/>
  <c r="FP225" i="2"/>
  <c r="FO225" i="2"/>
  <c r="FN225" i="2"/>
  <c r="FM225" i="2"/>
  <c r="FL225" i="2"/>
  <c r="FK225" i="2"/>
  <c r="FJ225" i="2"/>
  <c r="FI225" i="2"/>
  <c r="FH225" i="2"/>
  <c r="FG225" i="2"/>
  <c r="FF225" i="2"/>
  <c r="FE225" i="2"/>
  <c r="FD225" i="2"/>
  <c r="FC225" i="2"/>
  <c r="FB225" i="2"/>
  <c r="FA225" i="2"/>
  <c r="EZ225" i="2"/>
  <c r="EY225" i="2"/>
  <c r="EX225" i="2"/>
  <c r="EW225" i="2"/>
  <c r="EV225" i="2"/>
  <c r="EU225" i="2"/>
  <c r="ET225" i="2"/>
  <c r="ES225" i="2"/>
  <c r="ER225" i="2"/>
  <c r="EQ225" i="2"/>
  <c r="EP225" i="2"/>
  <c r="EO225" i="2"/>
  <c r="EN225" i="2"/>
  <c r="EM225" i="2"/>
  <c r="EL225" i="2"/>
  <c r="EK225" i="2"/>
  <c r="EJ225" i="2"/>
  <c r="EI225" i="2"/>
  <c r="EH225" i="2"/>
  <c r="EG225" i="2"/>
  <c r="EF225" i="2"/>
  <c r="EE225" i="2"/>
  <c r="ED225" i="2"/>
  <c r="EC225" i="2"/>
  <c r="EB225" i="2"/>
  <c r="EA225" i="2"/>
  <c r="DZ225" i="2"/>
  <c r="DY225" i="2"/>
  <c r="DX225" i="2"/>
  <c r="DW225" i="2"/>
  <c r="DV225" i="2"/>
  <c r="DU225" i="2"/>
  <c r="DT225" i="2"/>
  <c r="DS225" i="2"/>
  <c r="DR225" i="2"/>
  <c r="DQ225" i="2"/>
  <c r="DP225" i="2"/>
  <c r="DO225" i="2"/>
  <c r="DN225" i="2"/>
  <c r="DM225" i="2"/>
  <c r="DL225" i="2"/>
  <c r="DK225" i="2"/>
  <c r="DJ225" i="2"/>
  <c r="DI225" i="2"/>
  <c r="DH225" i="2"/>
  <c r="DG225" i="2"/>
  <c r="DF225" i="2"/>
  <c r="DE225" i="2"/>
  <c r="DD225" i="2"/>
  <c r="DC225" i="2"/>
  <c r="DB225" i="2"/>
  <c r="CV225" i="2"/>
  <c r="CR225" i="2"/>
  <c r="CQ225" i="2"/>
  <c r="CP225" i="2"/>
  <c r="CO225" i="2"/>
  <c r="CN225" i="2"/>
  <c r="FS224" i="2"/>
  <c r="FR224" i="2"/>
  <c r="FQ224" i="2"/>
  <c r="FP224" i="2"/>
  <c r="FO224" i="2"/>
  <c r="FN224" i="2"/>
  <c r="FM224" i="2"/>
  <c r="FL224" i="2"/>
  <c r="FK224" i="2"/>
  <c r="FJ224" i="2"/>
  <c r="FI224" i="2"/>
  <c r="FH224" i="2"/>
  <c r="FG224" i="2"/>
  <c r="FF224" i="2"/>
  <c r="FE224" i="2"/>
  <c r="FD224" i="2"/>
  <c r="FC224" i="2"/>
  <c r="FB224" i="2"/>
  <c r="FA224" i="2"/>
  <c r="EZ224" i="2"/>
  <c r="EY224" i="2"/>
  <c r="EX224" i="2"/>
  <c r="EW224" i="2"/>
  <c r="EV224" i="2"/>
  <c r="EU224" i="2"/>
  <c r="ET224" i="2"/>
  <c r="ES224" i="2"/>
  <c r="ER224" i="2"/>
  <c r="EQ224" i="2"/>
  <c r="EP224" i="2"/>
  <c r="EO224" i="2"/>
  <c r="EN224" i="2"/>
  <c r="EM224" i="2"/>
  <c r="EL224" i="2"/>
  <c r="EK224" i="2"/>
  <c r="EJ224" i="2"/>
  <c r="EI224" i="2"/>
  <c r="EH224" i="2"/>
  <c r="EG224" i="2"/>
  <c r="EF224" i="2"/>
  <c r="EE224" i="2"/>
  <c r="ED224" i="2"/>
  <c r="EC224" i="2"/>
  <c r="EB224" i="2"/>
  <c r="EA224" i="2"/>
  <c r="DZ224" i="2"/>
  <c r="DY224" i="2"/>
  <c r="DX224" i="2"/>
  <c r="DW224" i="2"/>
  <c r="DV224" i="2"/>
  <c r="DU224" i="2"/>
  <c r="DT224" i="2"/>
  <c r="DS224" i="2"/>
  <c r="DR224" i="2"/>
  <c r="DQ224" i="2"/>
  <c r="DP224" i="2"/>
  <c r="DO224" i="2"/>
  <c r="DN224" i="2"/>
  <c r="DM224" i="2"/>
  <c r="DL224" i="2"/>
  <c r="DK224" i="2"/>
  <c r="DJ224" i="2"/>
  <c r="DI224" i="2"/>
  <c r="DH224" i="2"/>
  <c r="DG224" i="2"/>
  <c r="DF224" i="2"/>
  <c r="DE224" i="2"/>
  <c r="DD224" i="2"/>
  <c r="DC224" i="2"/>
  <c r="DB224" i="2"/>
  <c r="CV224" i="2"/>
  <c r="CR224" i="2"/>
  <c r="CQ224" i="2"/>
  <c r="CP224" i="2"/>
  <c r="CO224" i="2"/>
  <c r="CN224" i="2"/>
  <c r="FS223" i="2"/>
  <c r="FR223" i="2"/>
  <c r="FQ223" i="2"/>
  <c r="FP223" i="2"/>
  <c r="FO223" i="2"/>
  <c r="FN223" i="2"/>
  <c r="FM223" i="2"/>
  <c r="FL223" i="2"/>
  <c r="FK223" i="2"/>
  <c r="FJ223" i="2"/>
  <c r="FI223" i="2"/>
  <c r="FH223" i="2"/>
  <c r="FG223" i="2"/>
  <c r="FF223" i="2"/>
  <c r="FE223" i="2"/>
  <c r="FD223" i="2"/>
  <c r="FC223" i="2"/>
  <c r="FB223" i="2"/>
  <c r="FA223" i="2"/>
  <c r="EZ223" i="2"/>
  <c r="EY223" i="2"/>
  <c r="EX223" i="2"/>
  <c r="EW223" i="2"/>
  <c r="EV223" i="2"/>
  <c r="EU223" i="2"/>
  <c r="ET223" i="2"/>
  <c r="ES223" i="2"/>
  <c r="ER223" i="2"/>
  <c r="EQ223" i="2"/>
  <c r="EP223" i="2"/>
  <c r="EO223" i="2"/>
  <c r="EN223" i="2"/>
  <c r="EM223" i="2"/>
  <c r="EL223" i="2"/>
  <c r="EK223" i="2"/>
  <c r="EJ223" i="2"/>
  <c r="EI223" i="2"/>
  <c r="EH223" i="2"/>
  <c r="EG223" i="2"/>
  <c r="EF223" i="2"/>
  <c r="EE223" i="2"/>
  <c r="ED223" i="2"/>
  <c r="EC223" i="2"/>
  <c r="EB223" i="2"/>
  <c r="EA223" i="2"/>
  <c r="DZ223" i="2"/>
  <c r="DY223" i="2"/>
  <c r="DX223" i="2"/>
  <c r="DW223" i="2"/>
  <c r="DV223" i="2"/>
  <c r="DU223" i="2"/>
  <c r="DT223" i="2"/>
  <c r="DS223" i="2"/>
  <c r="DR223" i="2"/>
  <c r="DQ223" i="2"/>
  <c r="DP223" i="2"/>
  <c r="DO223" i="2"/>
  <c r="DN223" i="2"/>
  <c r="DM223" i="2"/>
  <c r="DL223" i="2"/>
  <c r="DK223" i="2"/>
  <c r="DJ223" i="2"/>
  <c r="DI223" i="2"/>
  <c r="DH223" i="2"/>
  <c r="DG223" i="2"/>
  <c r="DF223" i="2"/>
  <c r="DE223" i="2"/>
  <c r="DD223" i="2"/>
  <c r="DC223" i="2"/>
  <c r="DB223" i="2"/>
  <c r="CV223" i="2"/>
  <c r="CR223" i="2"/>
  <c r="CQ223" i="2"/>
  <c r="CP223" i="2"/>
  <c r="CO223" i="2"/>
  <c r="CN223" i="2"/>
  <c r="T223" i="2"/>
  <c r="FS222" i="2"/>
  <c r="FR222" i="2"/>
  <c r="FQ222" i="2"/>
  <c r="FP222" i="2"/>
  <c r="FO222" i="2"/>
  <c r="FN222" i="2"/>
  <c r="FM222" i="2"/>
  <c r="FL222" i="2"/>
  <c r="FK222" i="2"/>
  <c r="FJ222" i="2"/>
  <c r="FI222" i="2"/>
  <c r="FH222" i="2"/>
  <c r="FG222" i="2"/>
  <c r="FF222" i="2"/>
  <c r="FE222" i="2"/>
  <c r="FD222" i="2"/>
  <c r="FC222" i="2"/>
  <c r="FB222" i="2"/>
  <c r="FA222" i="2"/>
  <c r="EZ222" i="2"/>
  <c r="EY222" i="2"/>
  <c r="EX222" i="2"/>
  <c r="EW222" i="2"/>
  <c r="EV222" i="2"/>
  <c r="EU222" i="2"/>
  <c r="ET222" i="2"/>
  <c r="ES222" i="2"/>
  <c r="ER222" i="2"/>
  <c r="EQ222" i="2"/>
  <c r="EP222" i="2"/>
  <c r="EO222" i="2"/>
  <c r="EN222" i="2"/>
  <c r="EM222" i="2"/>
  <c r="EL222" i="2"/>
  <c r="EK222" i="2"/>
  <c r="EJ222" i="2"/>
  <c r="EI222" i="2"/>
  <c r="EH222" i="2"/>
  <c r="EG222" i="2"/>
  <c r="EF222" i="2"/>
  <c r="EE222" i="2"/>
  <c r="ED222" i="2"/>
  <c r="EC222" i="2"/>
  <c r="EB222" i="2"/>
  <c r="EA222" i="2"/>
  <c r="DZ222" i="2"/>
  <c r="DY222" i="2"/>
  <c r="DX222" i="2"/>
  <c r="DW222" i="2"/>
  <c r="DV222" i="2"/>
  <c r="DU222" i="2"/>
  <c r="DT222" i="2"/>
  <c r="DS222" i="2"/>
  <c r="DR222" i="2"/>
  <c r="DQ222" i="2"/>
  <c r="DP222" i="2"/>
  <c r="DO222" i="2"/>
  <c r="DN222" i="2"/>
  <c r="DM222" i="2"/>
  <c r="DL222" i="2"/>
  <c r="DK222" i="2"/>
  <c r="DJ222" i="2"/>
  <c r="DI222" i="2"/>
  <c r="DH222" i="2"/>
  <c r="DG222" i="2"/>
  <c r="DF222" i="2"/>
  <c r="DE222" i="2"/>
  <c r="DD222" i="2"/>
  <c r="DC222" i="2"/>
  <c r="DB222" i="2"/>
  <c r="CV222" i="2"/>
  <c r="CR222" i="2"/>
  <c r="CQ222" i="2"/>
  <c r="CP222" i="2"/>
  <c r="CO222" i="2"/>
  <c r="CN222" i="2"/>
  <c r="T222" i="2"/>
  <c r="FS221" i="2"/>
  <c r="FR221" i="2"/>
  <c r="FQ221" i="2"/>
  <c r="FP221" i="2"/>
  <c r="FO221" i="2"/>
  <c r="FN221" i="2"/>
  <c r="FM221" i="2"/>
  <c r="FL221" i="2"/>
  <c r="FK221" i="2"/>
  <c r="FJ221" i="2"/>
  <c r="FI221" i="2"/>
  <c r="FH221" i="2"/>
  <c r="FG221" i="2"/>
  <c r="FF221" i="2"/>
  <c r="FE221" i="2"/>
  <c r="FD221" i="2"/>
  <c r="FC221" i="2"/>
  <c r="FB221" i="2"/>
  <c r="FA221" i="2"/>
  <c r="EZ221" i="2"/>
  <c r="EY221" i="2"/>
  <c r="EX221" i="2"/>
  <c r="EW221" i="2"/>
  <c r="EV221" i="2"/>
  <c r="EU221" i="2"/>
  <c r="ET221" i="2"/>
  <c r="ES221" i="2"/>
  <c r="ER221" i="2"/>
  <c r="EQ221" i="2"/>
  <c r="EP221" i="2"/>
  <c r="EO221" i="2"/>
  <c r="EN221" i="2"/>
  <c r="EM221" i="2"/>
  <c r="EL221" i="2"/>
  <c r="EK221" i="2"/>
  <c r="EJ221" i="2"/>
  <c r="EI221" i="2"/>
  <c r="EH221" i="2"/>
  <c r="EG221" i="2"/>
  <c r="EF221" i="2"/>
  <c r="EE221" i="2"/>
  <c r="ED221" i="2"/>
  <c r="EC221" i="2"/>
  <c r="EB221" i="2"/>
  <c r="EA221" i="2"/>
  <c r="DZ221" i="2"/>
  <c r="DY221" i="2"/>
  <c r="DX221" i="2"/>
  <c r="DW221" i="2"/>
  <c r="DV221" i="2"/>
  <c r="DU221" i="2"/>
  <c r="DT221" i="2"/>
  <c r="DS221" i="2"/>
  <c r="DR221" i="2"/>
  <c r="DQ221" i="2"/>
  <c r="DP221" i="2"/>
  <c r="DO221" i="2"/>
  <c r="DN221" i="2"/>
  <c r="DM221" i="2"/>
  <c r="DL221" i="2"/>
  <c r="DK221" i="2"/>
  <c r="DJ221" i="2"/>
  <c r="DI221" i="2"/>
  <c r="DH221" i="2"/>
  <c r="DG221" i="2"/>
  <c r="DF221" i="2"/>
  <c r="DE221" i="2"/>
  <c r="DD221" i="2"/>
  <c r="DC221" i="2"/>
  <c r="DB221" i="2"/>
  <c r="CR221" i="2"/>
  <c r="CQ221" i="2"/>
  <c r="CP221" i="2"/>
  <c r="CO221" i="2"/>
  <c r="CN221" i="2"/>
  <c r="U221" i="2"/>
  <c r="T221" i="2"/>
  <c r="CV221" i="2" s="1"/>
  <c r="FS220" i="2"/>
  <c r="FR220" i="2"/>
  <c r="FQ220" i="2"/>
  <c r="FP220" i="2"/>
  <c r="FO220" i="2"/>
  <c r="FN220" i="2"/>
  <c r="FM220" i="2"/>
  <c r="FL220" i="2"/>
  <c r="FK220" i="2"/>
  <c r="FJ220" i="2"/>
  <c r="FI220" i="2"/>
  <c r="FH220" i="2"/>
  <c r="FG220" i="2"/>
  <c r="FF220" i="2"/>
  <c r="FE220" i="2"/>
  <c r="FD220" i="2"/>
  <c r="FC220" i="2"/>
  <c r="FB220" i="2"/>
  <c r="FA220" i="2"/>
  <c r="EZ220" i="2"/>
  <c r="EY220" i="2"/>
  <c r="EX220" i="2"/>
  <c r="EW220" i="2"/>
  <c r="EV220" i="2"/>
  <c r="EU220" i="2"/>
  <c r="ET220" i="2"/>
  <c r="ES220" i="2"/>
  <c r="ER220" i="2"/>
  <c r="EQ220" i="2"/>
  <c r="EP220" i="2"/>
  <c r="EO220" i="2"/>
  <c r="EN220" i="2"/>
  <c r="EM220" i="2"/>
  <c r="EL220" i="2"/>
  <c r="EK220" i="2"/>
  <c r="EJ220" i="2"/>
  <c r="EI220" i="2"/>
  <c r="EH220" i="2"/>
  <c r="EG220" i="2"/>
  <c r="EF220" i="2"/>
  <c r="EE220" i="2"/>
  <c r="ED220" i="2"/>
  <c r="EC220" i="2"/>
  <c r="EB220" i="2"/>
  <c r="EA220" i="2"/>
  <c r="DZ220" i="2"/>
  <c r="DY220" i="2"/>
  <c r="DX220" i="2"/>
  <c r="DW220" i="2"/>
  <c r="DV220" i="2"/>
  <c r="DU220" i="2"/>
  <c r="DT220" i="2"/>
  <c r="DS220" i="2"/>
  <c r="DR220" i="2"/>
  <c r="DQ220" i="2"/>
  <c r="DP220" i="2"/>
  <c r="DO220" i="2"/>
  <c r="DN220" i="2"/>
  <c r="DM220" i="2"/>
  <c r="DL220" i="2"/>
  <c r="DK220" i="2"/>
  <c r="DJ220" i="2"/>
  <c r="DI220" i="2"/>
  <c r="DH220" i="2"/>
  <c r="DG220" i="2"/>
  <c r="DF220" i="2"/>
  <c r="DE220" i="2"/>
  <c r="DD220" i="2"/>
  <c r="DC220" i="2"/>
  <c r="DB220" i="2"/>
  <c r="CV220" i="2"/>
  <c r="CR220" i="2"/>
  <c r="CQ220" i="2"/>
  <c r="CP220" i="2"/>
  <c r="CO220" i="2"/>
  <c r="CN220" i="2"/>
  <c r="FS219" i="2"/>
  <c r="FR219" i="2"/>
  <c r="FQ219" i="2"/>
  <c r="FP219" i="2"/>
  <c r="FO219" i="2"/>
  <c r="FN219" i="2"/>
  <c r="FM219" i="2"/>
  <c r="FL219" i="2"/>
  <c r="FK219" i="2"/>
  <c r="FJ219" i="2"/>
  <c r="FI219" i="2"/>
  <c r="FH219" i="2"/>
  <c r="FG219" i="2"/>
  <c r="FF219" i="2"/>
  <c r="FE219" i="2"/>
  <c r="FD219" i="2"/>
  <c r="FC219" i="2"/>
  <c r="FB219" i="2"/>
  <c r="FA219" i="2"/>
  <c r="EZ219" i="2"/>
  <c r="EY219" i="2"/>
  <c r="EX219" i="2"/>
  <c r="EW219" i="2"/>
  <c r="EV219" i="2"/>
  <c r="EU219" i="2"/>
  <c r="ET219" i="2"/>
  <c r="ES219" i="2"/>
  <c r="ER219" i="2"/>
  <c r="EQ219" i="2"/>
  <c r="EP219" i="2"/>
  <c r="EO219" i="2"/>
  <c r="EN219" i="2"/>
  <c r="EM219" i="2"/>
  <c r="EL219" i="2"/>
  <c r="EK219" i="2"/>
  <c r="EJ219" i="2"/>
  <c r="EI219" i="2"/>
  <c r="EH219" i="2"/>
  <c r="EG219" i="2"/>
  <c r="EF219" i="2"/>
  <c r="EE219" i="2"/>
  <c r="ED219" i="2"/>
  <c r="EC219" i="2"/>
  <c r="EB219" i="2"/>
  <c r="EA219" i="2"/>
  <c r="DZ219" i="2"/>
  <c r="DY219" i="2"/>
  <c r="DX219" i="2"/>
  <c r="DW219" i="2"/>
  <c r="DV219" i="2"/>
  <c r="DU219" i="2"/>
  <c r="DT219" i="2"/>
  <c r="DS219" i="2"/>
  <c r="DR219" i="2"/>
  <c r="DQ219" i="2"/>
  <c r="DP219" i="2"/>
  <c r="DO219" i="2"/>
  <c r="DN219" i="2"/>
  <c r="DM219" i="2"/>
  <c r="DL219" i="2"/>
  <c r="DK219" i="2"/>
  <c r="DJ219" i="2"/>
  <c r="DI219" i="2"/>
  <c r="DH219" i="2"/>
  <c r="DG219" i="2"/>
  <c r="DF219" i="2"/>
  <c r="DE219" i="2"/>
  <c r="DD219" i="2"/>
  <c r="DC219" i="2"/>
  <c r="DB219" i="2"/>
  <c r="CV219" i="2"/>
  <c r="CR219" i="2"/>
  <c r="CQ219" i="2"/>
  <c r="CP219" i="2"/>
  <c r="CO219" i="2"/>
  <c r="CN219" i="2"/>
  <c r="FS218" i="2"/>
  <c r="FR218" i="2"/>
  <c r="FQ218" i="2"/>
  <c r="FP218" i="2"/>
  <c r="FO218" i="2"/>
  <c r="FN218" i="2"/>
  <c r="FM218" i="2"/>
  <c r="FL218" i="2"/>
  <c r="FK218" i="2"/>
  <c r="FJ218" i="2"/>
  <c r="FI218" i="2"/>
  <c r="FH218" i="2"/>
  <c r="FG218" i="2"/>
  <c r="FF218" i="2"/>
  <c r="FE218" i="2"/>
  <c r="FD218" i="2"/>
  <c r="FC218" i="2"/>
  <c r="FB218" i="2"/>
  <c r="FA218" i="2"/>
  <c r="EZ218" i="2"/>
  <c r="EY218" i="2"/>
  <c r="EX218" i="2"/>
  <c r="EW218" i="2"/>
  <c r="EV218" i="2"/>
  <c r="EU218" i="2"/>
  <c r="ET218" i="2"/>
  <c r="ES218" i="2"/>
  <c r="ER218" i="2"/>
  <c r="EQ218" i="2"/>
  <c r="EP218" i="2"/>
  <c r="EO218" i="2"/>
  <c r="EN218" i="2"/>
  <c r="EM218" i="2"/>
  <c r="EL218" i="2"/>
  <c r="EK218" i="2"/>
  <c r="EJ218" i="2"/>
  <c r="EI218" i="2"/>
  <c r="EH218" i="2"/>
  <c r="EG218" i="2"/>
  <c r="EF218" i="2"/>
  <c r="EE218" i="2"/>
  <c r="ED218" i="2"/>
  <c r="EC218" i="2"/>
  <c r="EB218" i="2"/>
  <c r="EA218" i="2"/>
  <c r="DZ218" i="2"/>
  <c r="DY218" i="2"/>
  <c r="DX218" i="2"/>
  <c r="DW218" i="2"/>
  <c r="DV218" i="2"/>
  <c r="DU218" i="2"/>
  <c r="DT218" i="2"/>
  <c r="DS218" i="2"/>
  <c r="DR218" i="2"/>
  <c r="DQ218" i="2"/>
  <c r="DP218" i="2"/>
  <c r="DO218" i="2"/>
  <c r="DN218" i="2"/>
  <c r="DM218" i="2"/>
  <c r="DL218" i="2"/>
  <c r="DK218" i="2"/>
  <c r="DJ218" i="2"/>
  <c r="DI218" i="2"/>
  <c r="DH218" i="2"/>
  <c r="DG218" i="2"/>
  <c r="DF218" i="2"/>
  <c r="DE218" i="2"/>
  <c r="DD218" i="2"/>
  <c r="DC218" i="2"/>
  <c r="DB218" i="2"/>
  <c r="CU218" i="2" s="1"/>
  <c r="CV218" i="2"/>
  <c r="CR218" i="2"/>
  <c r="CQ218" i="2"/>
  <c r="CP218" i="2"/>
  <c r="CO218" i="2"/>
  <c r="CN218" i="2"/>
  <c r="FS217" i="2"/>
  <c r="FR217" i="2"/>
  <c r="FQ217" i="2"/>
  <c r="FP217" i="2"/>
  <c r="FO217" i="2"/>
  <c r="FN217" i="2"/>
  <c r="FM217" i="2"/>
  <c r="FL217" i="2"/>
  <c r="FK217" i="2"/>
  <c r="FJ217" i="2"/>
  <c r="FI217" i="2"/>
  <c r="FH217" i="2"/>
  <c r="FG217" i="2"/>
  <c r="FF217" i="2"/>
  <c r="FE217" i="2"/>
  <c r="FD217" i="2"/>
  <c r="FC217" i="2"/>
  <c r="FB217" i="2"/>
  <c r="FA217" i="2"/>
  <c r="EZ217" i="2"/>
  <c r="EY217" i="2"/>
  <c r="EX217" i="2"/>
  <c r="EW217" i="2"/>
  <c r="EV217" i="2"/>
  <c r="EU217" i="2"/>
  <c r="ET217" i="2"/>
  <c r="ES217" i="2"/>
  <c r="ER217" i="2"/>
  <c r="EQ217" i="2"/>
  <c r="EP217" i="2"/>
  <c r="EO217" i="2"/>
  <c r="EN217" i="2"/>
  <c r="EM217" i="2"/>
  <c r="EL217" i="2"/>
  <c r="EK217" i="2"/>
  <c r="EJ217" i="2"/>
  <c r="EI217" i="2"/>
  <c r="EH217" i="2"/>
  <c r="EG217" i="2"/>
  <c r="EF217" i="2"/>
  <c r="EE217" i="2"/>
  <c r="ED217" i="2"/>
  <c r="EC217" i="2"/>
  <c r="EB217" i="2"/>
  <c r="EA217" i="2"/>
  <c r="DZ217" i="2"/>
  <c r="DY217" i="2"/>
  <c r="DX217" i="2"/>
  <c r="DW217" i="2"/>
  <c r="DV217" i="2"/>
  <c r="DU217" i="2"/>
  <c r="DT217" i="2"/>
  <c r="DS217" i="2"/>
  <c r="DR217" i="2"/>
  <c r="DQ217" i="2"/>
  <c r="DP217" i="2"/>
  <c r="DO217" i="2"/>
  <c r="DN217" i="2"/>
  <c r="DM217" i="2"/>
  <c r="DL217" i="2"/>
  <c r="DK217" i="2"/>
  <c r="DJ217" i="2"/>
  <c r="DI217" i="2"/>
  <c r="DH217" i="2"/>
  <c r="DG217" i="2"/>
  <c r="DF217" i="2"/>
  <c r="DE217" i="2"/>
  <c r="DD217" i="2"/>
  <c r="DC217" i="2"/>
  <c r="DB217" i="2"/>
  <c r="CV217" i="2"/>
  <c r="I217" i="1" s="1"/>
  <c r="K217" i="1" s="1"/>
  <c r="CR217" i="2"/>
  <c r="CQ217" i="2"/>
  <c r="CP217" i="2"/>
  <c r="CO217" i="2"/>
  <c r="CN217" i="2"/>
  <c r="FS216" i="2"/>
  <c r="FR216" i="2"/>
  <c r="FQ216" i="2"/>
  <c r="FP216" i="2"/>
  <c r="FO216" i="2"/>
  <c r="FN216" i="2"/>
  <c r="FM216" i="2"/>
  <c r="FL216" i="2"/>
  <c r="FK216" i="2"/>
  <c r="FJ216" i="2"/>
  <c r="FI216" i="2"/>
  <c r="FH216" i="2"/>
  <c r="FG216" i="2"/>
  <c r="FF216" i="2"/>
  <c r="FE216" i="2"/>
  <c r="FD216" i="2"/>
  <c r="FC216" i="2"/>
  <c r="FB216" i="2"/>
  <c r="FA216" i="2"/>
  <c r="EZ216" i="2"/>
  <c r="EY216" i="2"/>
  <c r="EX216" i="2"/>
  <c r="EW216" i="2"/>
  <c r="EV216" i="2"/>
  <c r="EU216" i="2"/>
  <c r="ET216" i="2"/>
  <c r="ES216" i="2"/>
  <c r="ER216" i="2"/>
  <c r="EQ216" i="2"/>
  <c r="EP216" i="2"/>
  <c r="EO216" i="2"/>
  <c r="EN216" i="2"/>
  <c r="EM216" i="2"/>
  <c r="EL216" i="2"/>
  <c r="EK216" i="2"/>
  <c r="EJ216" i="2"/>
  <c r="EI216" i="2"/>
  <c r="EH216" i="2"/>
  <c r="EG216" i="2"/>
  <c r="EF216" i="2"/>
  <c r="EE216" i="2"/>
  <c r="ED216" i="2"/>
  <c r="EC216" i="2"/>
  <c r="EB216" i="2"/>
  <c r="EA216" i="2"/>
  <c r="DZ216" i="2"/>
  <c r="DY216" i="2"/>
  <c r="DX216" i="2"/>
  <c r="DW216" i="2"/>
  <c r="DV216" i="2"/>
  <c r="DU216" i="2"/>
  <c r="DT216" i="2"/>
  <c r="DS216" i="2"/>
  <c r="DR216" i="2"/>
  <c r="DQ216" i="2"/>
  <c r="DP216" i="2"/>
  <c r="DO216" i="2"/>
  <c r="DN216" i="2"/>
  <c r="DM216" i="2"/>
  <c r="DL216" i="2"/>
  <c r="DK216" i="2"/>
  <c r="DJ216" i="2"/>
  <c r="DI216" i="2"/>
  <c r="DH216" i="2"/>
  <c r="DG216" i="2"/>
  <c r="DF216" i="2"/>
  <c r="DE216" i="2"/>
  <c r="DD216" i="2"/>
  <c r="DC216" i="2"/>
  <c r="DB216" i="2"/>
  <c r="CV216" i="2"/>
  <c r="CR216" i="2"/>
  <c r="CQ216" i="2"/>
  <c r="CP216" i="2"/>
  <c r="CO216" i="2"/>
  <c r="CN216" i="2"/>
  <c r="FS215" i="2"/>
  <c r="FR215" i="2"/>
  <c r="FQ215" i="2"/>
  <c r="FP215" i="2"/>
  <c r="FO215" i="2"/>
  <c r="FN215" i="2"/>
  <c r="FM215" i="2"/>
  <c r="FL215" i="2"/>
  <c r="FK215" i="2"/>
  <c r="FJ215" i="2"/>
  <c r="FI215" i="2"/>
  <c r="FH215" i="2"/>
  <c r="FG215" i="2"/>
  <c r="FF215" i="2"/>
  <c r="FE215" i="2"/>
  <c r="FD215" i="2"/>
  <c r="FC215" i="2"/>
  <c r="FB215" i="2"/>
  <c r="FA215" i="2"/>
  <c r="EZ215" i="2"/>
  <c r="EY215" i="2"/>
  <c r="EX215" i="2"/>
  <c r="EW215" i="2"/>
  <c r="EV215" i="2"/>
  <c r="EU215" i="2"/>
  <c r="ET215" i="2"/>
  <c r="ES215" i="2"/>
  <c r="ER215" i="2"/>
  <c r="EQ215" i="2"/>
  <c r="EP215" i="2"/>
  <c r="EO215" i="2"/>
  <c r="EN215" i="2"/>
  <c r="EM215" i="2"/>
  <c r="EL215" i="2"/>
  <c r="EK215" i="2"/>
  <c r="EJ215" i="2"/>
  <c r="EI215" i="2"/>
  <c r="EH215" i="2"/>
  <c r="EG215" i="2"/>
  <c r="EF215" i="2"/>
  <c r="EE215" i="2"/>
  <c r="ED215" i="2"/>
  <c r="EC215" i="2"/>
  <c r="EB215" i="2"/>
  <c r="EA215" i="2"/>
  <c r="DZ215" i="2"/>
  <c r="DY215" i="2"/>
  <c r="DX215" i="2"/>
  <c r="DW215" i="2"/>
  <c r="DV215" i="2"/>
  <c r="DU215" i="2"/>
  <c r="DT215" i="2"/>
  <c r="DS215" i="2"/>
  <c r="DR215" i="2"/>
  <c r="DQ215" i="2"/>
  <c r="DP215" i="2"/>
  <c r="DO215" i="2"/>
  <c r="DN215" i="2"/>
  <c r="DM215" i="2"/>
  <c r="DL215" i="2"/>
  <c r="DK215" i="2"/>
  <c r="DJ215" i="2"/>
  <c r="DI215" i="2"/>
  <c r="DH215" i="2"/>
  <c r="DG215" i="2"/>
  <c r="DF215" i="2"/>
  <c r="DE215" i="2"/>
  <c r="DD215" i="2"/>
  <c r="DC215" i="2"/>
  <c r="DB215" i="2"/>
  <c r="CV215" i="2"/>
  <c r="I215" i="1" s="1"/>
  <c r="K215" i="1" s="1"/>
  <c r="CR215" i="2"/>
  <c r="CQ215" i="2"/>
  <c r="CP215" i="2"/>
  <c r="CO215" i="2"/>
  <c r="CN215" i="2"/>
  <c r="FS214" i="2"/>
  <c r="FR214" i="2"/>
  <c r="FQ214" i="2"/>
  <c r="FP214" i="2"/>
  <c r="FO214" i="2"/>
  <c r="FN214" i="2"/>
  <c r="FM214" i="2"/>
  <c r="FL214" i="2"/>
  <c r="FK214" i="2"/>
  <c r="FJ214" i="2"/>
  <c r="FI214" i="2"/>
  <c r="FH214" i="2"/>
  <c r="FG214" i="2"/>
  <c r="FF214" i="2"/>
  <c r="FE214" i="2"/>
  <c r="FD214" i="2"/>
  <c r="FC214" i="2"/>
  <c r="FB214" i="2"/>
  <c r="FA214" i="2"/>
  <c r="EZ214" i="2"/>
  <c r="EY214" i="2"/>
  <c r="EX214" i="2"/>
  <c r="EW214" i="2"/>
  <c r="EV214" i="2"/>
  <c r="EU214" i="2"/>
  <c r="ET214" i="2"/>
  <c r="ES214" i="2"/>
  <c r="ER214" i="2"/>
  <c r="EQ214" i="2"/>
  <c r="EP214" i="2"/>
  <c r="EO214" i="2"/>
  <c r="EN214" i="2"/>
  <c r="EM214" i="2"/>
  <c r="EL214" i="2"/>
  <c r="EK214" i="2"/>
  <c r="EJ214" i="2"/>
  <c r="EI214" i="2"/>
  <c r="EH214" i="2"/>
  <c r="EG214" i="2"/>
  <c r="EF214" i="2"/>
  <c r="EE214" i="2"/>
  <c r="ED214" i="2"/>
  <c r="EC214" i="2"/>
  <c r="EB214" i="2"/>
  <c r="EA214" i="2"/>
  <c r="DZ214" i="2"/>
  <c r="DY214" i="2"/>
  <c r="DX214" i="2"/>
  <c r="DW214" i="2"/>
  <c r="DV214" i="2"/>
  <c r="DU214" i="2"/>
  <c r="DT214" i="2"/>
  <c r="DS214" i="2"/>
  <c r="DR214" i="2"/>
  <c r="DQ214" i="2"/>
  <c r="DP214" i="2"/>
  <c r="DO214" i="2"/>
  <c r="DN214" i="2"/>
  <c r="DM214" i="2"/>
  <c r="DL214" i="2"/>
  <c r="DK214" i="2"/>
  <c r="DJ214" i="2"/>
  <c r="DI214" i="2"/>
  <c r="DH214" i="2"/>
  <c r="DG214" i="2"/>
  <c r="DF214" i="2"/>
  <c r="DE214" i="2"/>
  <c r="DD214" i="2"/>
  <c r="DC214" i="2"/>
  <c r="DB214" i="2"/>
  <c r="CV214" i="2"/>
  <c r="CR214" i="2"/>
  <c r="CQ214" i="2"/>
  <c r="CP214" i="2"/>
  <c r="CO214" i="2"/>
  <c r="CN214" i="2"/>
  <c r="FS213" i="2"/>
  <c r="FR213" i="2"/>
  <c r="FQ213" i="2"/>
  <c r="FP213" i="2"/>
  <c r="FO213" i="2"/>
  <c r="FN213" i="2"/>
  <c r="FM213" i="2"/>
  <c r="FL213" i="2"/>
  <c r="FK213" i="2"/>
  <c r="FJ213" i="2"/>
  <c r="FI213" i="2"/>
  <c r="FH213" i="2"/>
  <c r="FG213" i="2"/>
  <c r="FF213" i="2"/>
  <c r="FE213" i="2"/>
  <c r="FD213" i="2"/>
  <c r="FC213" i="2"/>
  <c r="FB213" i="2"/>
  <c r="FA213" i="2"/>
  <c r="EZ213" i="2"/>
  <c r="EY213" i="2"/>
  <c r="EX213" i="2"/>
  <c r="EW213" i="2"/>
  <c r="EV213" i="2"/>
  <c r="EU213" i="2"/>
  <c r="ET213" i="2"/>
  <c r="ES213" i="2"/>
  <c r="ER213" i="2"/>
  <c r="EQ213" i="2"/>
  <c r="EP213" i="2"/>
  <c r="EO213" i="2"/>
  <c r="EN213" i="2"/>
  <c r="EM213" i="2"/>
  <c r="EL213" i="2"/>
  <c r="EK213" i="2"/>
  <c r="EJ213" i="2"/>
  <c r="EI213" i="2"/>
  <c r="EH213" i="2"/>
  <c r="EG213" i="2"/>
  <c r="EF213" i="2"/>
  <c r="EE213" i="2"/>
  <c r="ED213" i="2"/>
  <c r="EC213" i="2"/>
  <c r="EB213" i="2"/>
  <c r="EA213" i="2"/>
  <c r="DZ213" i="2"/>
  <c r="DY213" i="2"/>
  <c r="DX213" i="2"/>
  <c r="DW213" i="2"/>
  <c r="DV213" i="2"/>
  <c r="DU213" i="2"/>
  <c r="DT213" i="2"/>
  <c r="DS213" i="2"/>
  <c r="DR213" i="2"/>
  <c r="DQ213" i="2"/>
  <c r="DP213" i="2"/>
  <c r="DO213" i="2"/>
  <c r="DN213" i="2"/>
  <c r="DM213" i="2"/>
  <c r="DL213" i="2"/>
  <c r="DK213" i="2"/>
  <c r="DJ213" i="2"/>
  <c r="DI213" i="2"/>
  <c r="DH213" i="2"/>
  <c r="DG213" i="2"/>
  <c r="DF213" i="2"/>
  <c r="DE213" i="2"/>
  <c r="DD213" i="2"/>
  <c r="DC213" i="2"/>
  <c r="DB213" i="2"/>
  <c r="CV213" i="2"/>
  <c r="CR213" i="2"/>
  <c r="CQ213" i="2"/>
  <c r="CP213" i="2"/>
  <c r="CO213" i="2"/>
  <c r="CN213" i="2"/>
  <c r="FS212" i="2"/>
  <c r="FR212" i="2"/>
  <c r="FQ212" i="2"/>
  <c r="FP212" i="2"/>
  <c r="FO212" i="2"/>
  <c r="FN212" i="2"/>
  <c r="FM212" i="2"/>
  <c r="FL212" i="2"/>
  <c r="FK212" i="2"/>
  <c r="FJ212" i="2"/>
  <c r="FI212" i="2"/>
  <c r="FH212" i="2"/>
  <c r="FG212" i="2"/>
  <c r="FF212" i="2"/>
  <c r="FE212" i="2"/>
  <c r="FD212" i="2"/>
  <c r="FC212" i="2"/>
  <c r="FB212" i="2"/>
  <c r="FA212" i="2"/>
  <c r="EZ212" i="2"/>
  <c r="EY212" i="2"/>
  <c r="EX212" i="2"/>
  <c r="EW212" i="2"/>
  <c r="EV212" i="2"/>
  <c r="EU212" i="2"/>
  <c r="ET212" i="2"/>
  <c r="ES212" i="2"/>
  <c r="ER212" i="2"/>
  <c r="EQ212" i="2"/>
  <c r="EP212" i="2"/>
  <c r="EO212" i="2"/>
  <c r="EN212" i="2"/>
  <c r="EM212" i="2"/>
  <c r="EL212" i="2"/>
  <c r="EK212" i="2"/>
  <c r="EJ212" i="2"/>
  <c r="EI212" i="2"/>
  <c r="EH212" i="2"/>
  <c r="EG212" i="2"/>
  <c r="EF212" i="2"/>
  <c r="EE212" i="2"/>
  <c r="ED212" i="2"/>
  <c r="EC212" i="2"/>
  <c r="EB212" i="2"/>
  <c r="EA212" i="2"/>
  <c r="DZ212" i="2"/>
  <c r="DY212" i="2"/>
  <c r="DX212" i="2"/>
  <c r="DW212" i="2"/>
  <c r="DV212" i="2"/>
  <c r="DU212" i="2"/>
  <c r="DT212" i="2"/>
  <c r="DS212" i="2"/>
  <c r="DR212" i="2"/>
  <c r="DQ212" i="2"/>
  <c r="DP212" i="2"/>
  <c r="DO212" i="2"/>
  <c r="DN212" i="2"/>
  <c r="DM212" i="2"/>
  <c r="DL212" i="2"/>
  <c r="DK212" i="2"/>
  <c r="DJ212" i="2"/>
  <c r="DI212" i="2"/>
  <c r="DH212" i="2"/>
  <c r="DG212" i="2"/>
  <c r="DF212" i="2"/>
  <c r="DE212" i="2"/>
  <c r="DD212" i="2"/>
  <c r="DC212" i="2"/>
  <c r="DB212" i="2"/>
  <c r="CU212" i="2" s="1"/>
  <c r="CV212" i="2"/>
  <c r="CR212" i="2"/>
  <c r="CQ212" i="2"/>
  <c r="CP212" i="2"/>
  <c r="CO212" i="2"/>
  <c r="CN212" i="2"/>
  <c r="FS211" i="2"/>
  <c r="FR211" i="2"/>
  <c r="FQ211" i="2"/>
  <c r="FP211" i="2"/>
  <c r="FO211" i="2"/>
  <c r="FN211" i="2"/>
  <c r="FM211" i="2"/>
  <c r="FL211" i="2"/>
  <c r="FK211" i="2"/>
  <c r="FJ211" i="2"/>
  <c r="FI211" i="2"/>
  <c r="FH211" i="2"/>
  <c r="FG211" i="2"/>
  <c r="FF211" i="2"/>
  <c r="FE211" i="2"/>
  <c r="FD211" i="2"/>
  <c r="FC211" i="2"/>
  <c r="FB211" i="2"/>
  <c r="FA211" i="2"/>
  <c r="EZ211" i="2"/>
  <c r="EY211" i="2"/>
  <c r="EX211" i="2"/>
  <c r="EW211" i="2"/>
  <c r="EV211" i="2"/>
  <c r="EU211" i="2"/>
  <c r="ET211" i="2"/>
  <c r="ES211" i="2"/>
  <c r="ER211" i="2"/>
  <c r="EQ211" i="2"/>
  <c r="EP211" i="2"/>
  <c r="EO211" i="2"/>
  <c r="EN211" i="2"/>
  <c r="EM211" i="2"/>
  <c r="EL211" i="2"/>
  <c r="EK211" i="2"/>
  <c r="EJ211" i="2"/>
  <c r="EI211" i="2"/>
  <c r="EH211" i="2"/>
  <c r="EG211" i="2"/>
  <c r="EF211" i="2"/>
  <c r="EE211" i="2"/>
  <c r="ED211" i="2"/>
  <c r="EC211" i="2"/>
  <c r="EB211" i="2"/>
  <c r="EA211" i="2"/>
  <c r="DZ211" i="2"/>
  <c r="DY211" i="2"/>
  <c r="DX211" i="2"/>
  <c r="DW211" i="2"/>
  <c r="DV211" i="2"/>
  <c r="DU211" i="2"/>
  <c r="DT211" i="2"/>
  <c r="DS211" i="2"/>
  <c r="DR211" i="2"/>
  <c r="DQ211" i="2"/>
  <c r="DP211" i="2"/>
  <c r="DO211" i="2"/>
  <c r="DN211" i="2"/>
  <c r="DM211" i="2"/>
  <c r="DL211" i="2"/>
  <c r="DK211" i="2"/>
  <c r="DJ211" i="2"/>
  <c r="DI211" i="2"/>
  <c r="DH211" i="2"/>
  <c r="DG211" i="2"/>
  <c r="DF211" i="2"/>
  <c r="DE211" i="2"/>
  <c r="DD211" i="2"/>
  <c r="DC211" i="2"/>
  <c r="DB211" i="2"/>
  <c r="CU211" i="2" s="1"/>
  <c r="CV211" i="2"/>
  <c r="CR211" i="2"/>
  <c r="CQ211" i="2"/>
  <c r="CP211" i="2"/>
  <c r="CO211" i="2"/>
  <c r="CN211" i="2"/>
  <c r="FS210" i="2"/>
  <c r="FR210" i="2"/>
  <c r="FQ210" i="2"/>
  <c r="FP210" i="2"/>
  <c r="FO210" i="2"/>
  <c r="FN210" i="2"/>
  <c r="FM210" i="2"/>
  <c r="FL210" i="2"/>
  <c r="FK210" i="2"/>
  <c r="FJ210" i="2"/>
  <c r="FI210" i="2"/>
  <c r="FH210" i="2"/>
  <c r="FG210" i="2"/>
  <c r="FF210" i="2"/>
  <c r="FE210" i="2"/>
  <c r="FD210" i="2"/>
  <c r="FC210" i="2"/>
  <c r="FB210" i="2"/>
  <c r="FA210" i="2"/>
  <c r="EZ210" i="2"/>
  <c r="EY210" i="2"/>
  <c r="EX210" i="2"/>
  <c r="EW210" i="2"/>
  <c r="EV210" i="2"/>
  <c r="EU210" i="2"/>
  <c r="ET210" i="2"/>
  <c r="ES210" i="2"/>
  <c r="ER210" i="2"/>
  <c r="EQ210" i="2"/>
  <c r="EP210" i="2"/>
  <c r="EO210" i="2"/>
  <c r="EN210" i="2"/>
  <c r="EM210" i="2"/>
  <c r="EL210" i="2"/>
  <c r="EK210" i="2"/>
  <c r="EJ210" i="2"/>
  <c r="EI210" i="2"/>
  <c r="EH210" i="2"/>
  <c r="EG210" i="2"/>
  <c r="EF210" i="2"/>
  <c r="EE210" i="2"/>
  <c r="ED210" i="2"/>
  <c r="EC210" i="2"/>
  <c r="EB210" i="2"/>
  <c r="EA210" i="2"/>
  <c r="DZ210" i="2"/>
  <c r="DY210" i="2"/>
  <c r="DX210" i="2"/>
  <c r="DW210" i="2"/>
  <c r="DV210" i="2"/>
  <c r="DU210" i="2"/>
  <c r="DT210" i="2"/>
  <c r="DS210" i="2"/>
  <c r="DR210" i="2"/>
  <c r="DQ210" i="2"/>
  <c r="DP210" i="2"/>
  <c r="DO210" i="2"/>
  <c r="DN210" i="2"/>
  <c r="DM210" i="2"/>
  <c r="DL210" i="2"/>
  <c r="DK210" i="2"/>
  <c r="DJ210" i="2"/>
  <c r="DI210" i="2"/>
  <c r="DH210" i="2"/>
  <c r="DG210" i="2"/>
  <c r="DF210" i="2"/>
  <c r="DE210" i="2"/>
  <c r="DD210" i="2"/>
  <c r="DC210" i="2"/>
  <c r="DB210" i="2"/>
  <c r="CV210" i="2"/>
  <c r="CR210" i="2"/>
  <c r="CQ210" i="2"/>
  <c r="CP210" i="2"/>
  <c r="CO210" i="2"/>
  <c r="CN210" i="2"/>
  <c r="FS209" i="2"/>
  <c r="FR209" i="2"/>
  <c r="FQ209" i="2"/>
  <c r="FP209" i="2"/>
  <c r="FO209" i="2"/>
  <c r="FN209" i="2"/>
  <c r="FM209" i="2"/>
  <c r="FL209" i="2"/>
  <c r="FK209" i="2"/>
  <c r="FJ209" i="2"/>
  <c r="FI209" i="2"/>
  <c r="FH209" i="2"/>
  <c r="FG209" i="2"/>
  <c r="FF209" i="2"/>
  <c r="FE209" i="2"/>
  <c r="FD209" i="2"/>
  <c r="FC209" i="2"/>
  <c r="FB209" i="2"/>
  <c r="FA209" i="2"/>
  <c r="EZ209" i="2"/>
  <c r="EY209" i="2"/>
  <c r="EX209" i="2"/>
  <c r="EW209" i="2"/>
  <c r="EV209" i="2"/>
  <c r="EU209" i="2"/>
  <c r="ET209" i="2"/>
  <c r="ES209" i="2"/>
  <c r="ER209" i="2"/>
  <c r="EQ209" i="2"/>
  <c r="EP209" i="2"/>
  <c r="EO209" i="2"/>
  <c r="EN209" i="2"/>
  <c r="EM209" i="2"/>
  <c r="EL209" i="2"/>
  <c r="EK209" i="2"/>
  <c r="EJ209" i="2"/>
  <c r="EI209" i="2"/>
  <c r="EH209" i="2"/>
  <c r="EG209" i="2"/>
  <c r="EF209" i="2"/>
  <c r="EE209" i="2"/>
  <c r="ED209" i="2"/>
  <c r="EC209" i="2"/>
  <c r="EB209" i="2"/>
  <c r="EA209" i="2"/>
  <c r="DZ209" i="2"/>
  <c r="DY209" i="2"/>
  <c r="DX209" i="2"/>
  <c r="DW209" i="2"/>
  <c r="DV209" i="2"/>
  <c r="DU209" i="2"/>
  <c r="DT209" i="2"/>
  <c r="DS209" i="2"/>
  <c r="DR209" i="2"/>
  <c r="DQ209" i="2"/>
  <c r="DP209" i="2"/>
  <c r="DO209" i="2"/>
  <c r="DN209" i="2"/>
  <c r="DM209" i="2"/>
  <c r="DL209" i="2"/>
  <c r="DK209" i="2"/>
  <c r="DJ209" i="2"/>
  <c r="DI209" i="2"/>
  <c r="DH209" i="2"/>
  <c r="DG209" i="2"/>
  <c r="DF209" i="2"/>
  <c r="DE209" i="2"/>
  <c r="DD209" i="2"/>
  <c r="DC209" i="2"/>
  <c r="DB209" i="2"/>
  <c r="CV209" i="2"/>
  <c r="CR209" i="2"/>
  <c r="CQ209" i="2"/>
  <c r="CP209" i="2"/>
  <c r="CO209" i="2"/>
  <c r="CN209" i="2"/>
  <c r="FS208" i="2"/>
  <c r="FR208" i="2"/>
  <c r="FQ208" i="2"/>
  <c r="FP208" i="2"/>
  <c r="FO208" i="2"/>
  <c r="FN208" i="2"/>
  <c r="FM208" i="2"/>
  <c r="FL208" i="2"/>
  <c r="FK208" i="2"/>
  <c r="FJ208" i="2"/>
  <c r="FI208" i="2"/>
  <c r="FH208" i="2"/>
  <c r="FG208" i="2"/>
  <c r="FF208" i="2"/>
  <c r="FE208" i="2"/>
  <c r="FD208" i="2"/>
  <c r="FC208" i="2"/>
  <c r="FB208" i="2"/>
  <c r="FA208" i="2"/>
  <c r="EZ208" i="2"/>
  <c r="EY208" i="2"/>
  <c r="EX208" i="2"/>
  <c r="EW208" i="2"/>
  <c r="EV208" i="2"/>
  <c r="EU208" i="2"/>
  <c r="ET208" i="2"/>
  <c r="ES208" i="2"/>
  <c r="ER208" i="2"/>
  <c r="EQ208" i="2"/>
  <c r="EP208" i="2"/>
  <c r="EO208" i="2"/>
  <c r="EN208" i="2"/>
  <c r="EM208" i="2"/>
  <c r="EL208" i="2"/>
  <c r="EK208" i="2"/>
  <c r="EJ208" i="2"/>
  <c r="EI208" i="2"/>
  <c r="EH208" i="2"/>
  <c r="EG208" i="2"/>
  <c r="EF208" i="2"/>
  <c r="EE208" i="2"/>
  <c r="ED208" i="2"/>
  <c r="EC208" i="2"/>
  <c r="EB208" i="2"/>
  <c r="EA208" i="2"/>
  <c r="DZ208" i="2"/>
  <c r="DY208" i="2"/>
  <c r="DX208" i="2"/>
  <c r="DW208" i="2"/>
  <c r="DV208" i="2"/>
  <c r="DU208" i="2"/>
  <c r="DT208" i="2"/>
  <c r="DS208" i="2"/>
  <c r="DR208" i="2"/>
  <c r="DQ208" i="2"/>
  <c r="DP208" i="2"/>
  <c r="DO208" i="2"/>
  <c r="DN208" i="2"/>
  <c r="DM208" i="2"/>
  <c r="DL208" i="2"/>
  <c r="DK208" i="2"/>
  <c r="DJ208" i="2"/>
  <c r="DI208" i="2"/>
  <c r="DH208" i="2"/>
  <c r="DG208" i="2"/>
  <c r="DF208" i="2"/>
  <c r="DE208" i="2"/>
  <c r="DD208" i="2"/>
  <c r="DC208" i="2"/>
  <c r="DB208" i="2"/>
  <c r="CV208" i="2"/>
  <c r="CR208" i="2"/>
  <c r="CQ208" i="2"/>
  <c r="CP208" i="2"/>
  <c r="CO208" i="2"/>
  <c r="CN208" i="2"/>
  <c r="U208" i="2"/>
  <c r="CR202" i="2" s="1"/>
  <c r="FS207" i="2"/>
  <c r="FR207" i="2"/>
  <c r="FQ207" i="2"/>
  <c r="FP207" i="2"/>
  <c r="FO207" i="2"/>
  <c r="FN207" i="2"/>
  <c r="FM207" i="2"/>
  <c r="FL207" i="2"/>
  <c r="FK207" i="2"/>
  <c r="FJ207" i="2"/>
  <c r="FI207" i="2"/>
  <c r="FH207" i="2"/>
  <c r="FG207" i="2"/>
  <c r="FF207" i="2"/>
  <c r="FE207" i="2"/>
  <c r="FD207" i="2"/>
  <c r="FC207" i="2"/>
  <c r="FB207" i="2"/>
  <c r="FA207" i="2"/>
  <c r="EZ207" i="2"/>
  <c r="EY207" i="2"/>
  <c r="EX207" i="2"/>
  <c r="EW207" i="2"/>
  <c r="EV207" i="2"/>
  <c r="EU207" i="2"/>
  <c r="ET207" i="2"/>
  <c r="ES207" i="2"/>
  <c r="ER207" i="2"/>
  <c r="EQ207" i="2"/>
  <c r="EP207" i="2"/>
  <c r="EO207" i="2"/>
  <c r="EN207" i="2"/>
  <c r="EM207" i="2"/>
  <c r="EL207" i="2"/>
  <c r="EK207" i="2"/>
  <c r="EJ207" i="2"/>
  <c r="EI207" i="2"/>
  <c r="EH207" i="2"/>
  <c r="EG207" i="2"/>
  <c r="EF207" i="2"/>
  <c r="EE207" i="2"/>
  <c r="ED207" i="2"/>
  <c r="EC207" i="2"/>
  <c r="EB207" i="2"/>
  <c r="EA207" i="2"/>
  <c r="DZ207" i="2"/>
  <c r="DY207" i="2"/>
  <c r="DX207" i="2"/>
  <c r="DW207" i="2"/>
  <c r="DV207" i="2"/>
  <c r="DU207" i="2"/>
  <c r="DT207" i="2"/>
  <c r="DS207" i="2"/>
  <c r="DR207" i="2"/>
  <c r="DQ207" i="2"/>
  <c r="DP207" i="2"/>
  <c r="DO207" i="2"/>
  <c r="DN207" i="2"/>
  <c r="DM207" i="2"/>
  <c r="DL207" i="2"/>
  <c r="DK207" i="2"/>
  <c r="DJ207" i="2"/>
  <c r="DI207" i="2"/>
  <c r="DH207" i="2"/>
  <c r="DG207" i="2"/>
  <c r="DF207" i="2"/>
  <c r="DE207" i="2"/>
  <c r="DD207" i="2"/>
  <c r="DC207" i="2"/>
  <c r="DB207" i="2"/>
  <c r="CV207" i="2"/>
  <c r="CR207" i="2"/>
  <c r="CQ207" i="2"/>
  <c r="CP207" i="2"/>
  <c r="CO207" i="2"/>
  <c r="CN207" i="2"/>
  <c r="U207" i="2"/>
  <c r="M207" i="1" s="1"/>
  <c r="FS206" i="2"/>
  <c r="FR206" i="2"/>
  <c r="FQ206" i="2"/>
  <c r="FP206" i="2"/>
  <c r="FO206" i="2"/>
  <c r="FN206" i="2"/>
  <c r="FM206" i="2"/>
  <c r="FL206" i="2"/>
  <c r="FK206" i="2"/>
  <c r="FJ206" i="2"/>
  <c r="FI206" i="2"/>
  <c r="FH206" i="2"/>
  <c r="FG206" i="2"/>
  <c r="FF206" i="2"/>
  <c r="FE206" i="2"/>
  <c r="FD206" i="2"/>
  <c r="FC206" i="2"/>
  <c r="FB206" i="2"/>
  <c r="FA206" i="2"/>
  <c r="EZ206" i="2"/>
  <c r="EY206" i="2"/>
  <c r="EX206" i="2"/>
  <c r="EW206" i="2"/>
  <c r="EV206" i="2"/>
  <c r="EU206" i="2"/>
  <c r="ET206" i="2"/>
  <c r="ES206" i="2"/>
  <c r="ER206" i="2"/>
  <c r="EQ206" i="2"/>
  <c r="EP206" i="2"/>
  <c r="EO206" i="2"/>
  <c r="EN206" i="2"/>
  <c r="EM206" i="2"/>
  <c r="EL206" i="2"/>
  <c r="EK206" i="2"/>
  <c r="EJ206" i="2"/>
  <c r="EI206" i="2"/>
  <c r="EH206" i="2"/>
  <c r="EG206" i="2"/>
  <c r="EF206" i="2"/>
  <c r="EE206" i="2"/>
  <c r="ED206" i="2"/>
  <c r="EC206" i="2"/>
  <c r="EB206" i="2"/>
  <c r="EA206" i="2"/>
  <c r="DZ206" i="2"/>
  <c r="DY206" i="2"/>
  <c r="DX206" i="2"/>
  <c r="DW206" i="2"/>
  <c r="DV206" i="2"/>
  <c r="DU206" i="2"/>
  <c r="DT206" i="2"/>
  <c r="DS206" i="2"/>
  <c r="DR206" i="2"/>
  <c r="DQ206" i="2"/>
  <c r="DP206" i="2"/>
  <c r="DO206" i="2"/>
  <c r="DN206" i="2"/>
  <c r="DM206" i="2"/>
  <c r="DL206" i="2"/>
  <c r="DK206" i="2"/>
  <c r="DJ206" i="2"/>
  <c r="DI206" i="2"/>
  <c r="DH206" i="2"/>
  <c r="DG206" i="2"/>
  <c r="DF206" i="2"/>
  <c r="DE206" i="2"/>
  <c r="DD206" i="2"/>
  <c r="DC206" i="2"/>
  <c r="DB206" i="2"/>
  <c r="CV206" i="2"/>
  <c r="CR206" i="2"/>
  <c r="CQ206" i="2"/>
  <c r="CP206" i="2"/>
  <c r="CO206" i="2"/>
  <c r="CN206" i="2"/>
  <c r="U206" i="2"/>
  <c r="FS205" i="2"/>
  <c r="FR205" i="2"/>
  <c r="FQ205" i="2"/>
  <c r="FP205" i="2"/>
  <c r="FO205" i="2"/>
  <c r="FN205" i="2"/>
  <c r="FM205" i="2"/>
  <c r="FL205" i="2"/>
  <c r="FK205" i="2"/>
  <c r="FJ205" i="2"/>
  <c r="FI205" i="2"/>
  <c r="FH205" i="2"/>
  <c r="FG205" i="2"/>
  <c r="FF205" i="2"/>
  <c r="FE205" i="2"/>
  <c r="FD205" i="2"/>
  <c r="FC205" i="2"/>
  <c r="FB205" i="2"/>
  <c r="FA205" i="2"/>
  <c r="EZ205" i="2"/>
  <c r="EY205" i="2"/>
  <c r="EX205" i="2"/>
  <c r="EW205" i="2"/>
  <c r="EV205" i="2"/>
  <c r="EU205" i="2"/>
  <c r="ET205" i="2"/>
  <c r="ES205" i="2"/>
  <c r="ER205" i="2"/>
  <c r="EQ205" i="2"/>
  <c r="EP205" i="2"/>
  <c r="EO205" i="2"/>
  <c r="EN205" i="2"/>
  <c r="EM205" i="2"/>
  <c r="EL205" i="2"/>
  <c r="EK205" i="2"/>
  <c r="EJ205" i="2"/>
  <c r="EI205" i="2"/>
  <c r="EH205" i="2"/>
  <c r="EG205" i="2"/>
  <c r="EF205" i="2"/>
  <c r="EE205" i="2"/>
  <c r="ED205" i="2"/>
  <c r="EC205" i="2"/>
  <c r="EB205" i="2"/>
  <c r="EA205" i="2"/>
  <c r="DZ205" i="2"/>
  <c r="DY205" i="2"/>
  <c r="DX205" i="2"/>
  <c r="DW205" i="2"/>
  <c r="DV205" i="2"/>
  <c r="DU205" i="2"/>
  <c r="DT205" i="2"/>
  <c r="DS205" i="2"/>
  <c r="DR205" i="2"/>
  <c r="DQ205" i="2"/>
  <c r="DP205" i="2"/>
  <c r="DO205" i="2"/>
  <c r="DN205" i="2"/>
  <c r="DM205" i="2"/>
  <c r="DL205" i="2"/>
  <c r="DK205" i="2"/>
  <c r="DJ205" i="2"/>
  <c r="DI205" i="2"/>
  <c r="DH205" i="2"/>
  <c r="DG205" i="2"/>
  <c r="DF205" i="2"/>
  <c r="DE205" i="2"/>
  <c r="DD205" i="2"/>
  <c r="DC205" i="2"/>
  <c r="DB205" i="2"/>
  <c r="CV205" i="2"/>
  <c r="CR205" i="2"/>
  <c r="CQ205" i="2"/>
  <c r="CP205" i="2"/>
  <c r="CO205" i="2"/>
  <c r="CN205" i="2"/>
  <c r="U205" i="2"/>
  <c r="FS204" i="2"/>
  <c r="FR204" i="2"/>
  <c r="FQ204" i="2"/>
  <c r="FP204" i="2"/>
  <c r="FO204" i="2"/>
  <c r="FN204" i="2"/>
  <c r="FM204" i="2"/>
  <c r="FL204" i="2"/>
  <c r="FK204" i="2"/>
  <c r="FJ204" i="2"/>
  <c r="FI204" i="2"/>
  <c r="FH204" i="2"/>
  <c r="FG204" i="2"/>
  <c r="FF204" i="2"/>
  <c r="FE204" i="2"/>
  <c r="FD204" i="2"/>
  <c r="FC204" i="2"/>
  <c r="FB204" i="2"/>
  <c r="FA204" i="2"/>
  <c r="EZ204" i="2"/>
  <c r="EY204" i="2"/>
  <c r="EX204" i="2"/>
  <c r="EW204" i="2"/>
  <c r="EV204" i="2"/>
  <c r="EU204" i="2"/>
  <c r="ET204" i="2"/>
  <c r="ES204" i="2"/>
  <c r="ER204" i="2"/>
  <c r="EQ204" i="2"/>
  <c r="EP204" i="2"/>
  <c r="EO204" i="2"/>
  <c r="EN204" i="2"/>
  <c r="EM204" i="2"/>
  <c r="EL204" i="2"/>
  <c r="EK204" i="2"/>
  <c r="EJ204" i="2"/>
  <c r="EI204" i="2"/>
  <c r="EH204" i="2"/>
  <c r="EG204" i="2"/>
  <c r="EF204" i="2"/>
  <c r="EE204" i="2"/>
  <c r="ED204" i="2"/>
  <c r="EC204" i="2"/>
  <c r="EB204" i="2"/>
  <c r="EA204" i="2"/>
  <c r="DZ204" i="2"/>
  <c r="DY204" i="2"/>
  <c r="DX204" i="2"/>
  <c r="DW204" i="2"/>
  <c r="DV204" i="2"/>
  <c r="DU204" i="2"/>
  <c r="DT204" i="2"/>
  <c r="DS204" i="2"/>
  <c r="DR204" i="2"/>
  <c r="DQ204" i="2"/>
  <c r="DP204" i="2"/>
  <c r="DO204" i="2"/>
  <c r="DN204" i="2"/>
  <c r="DM204" i="2"/>
  <c r="DL204" i="2"/>
  <c r="DK204" i="2"/>
  <c r="DJ204" i="2"/>
  <c r="DI204" i="2"/>
  <c r="DH204" i="2"/>
  <c r="DG204" i="2"/>
  <c r="DF204" i="2"/>
  <c r="DE204" i="2"/>
  <c r="DD204" i="2"/>
  <c r="DC204" i="2"/>
  <c r="DB204" i="2"/>
  <c r="CU204" i="2" s="1"/>
  <c r="CV204" i="2"/>
  <c r="CR204" i="2"/>
  <c r="CQ204" i="2"/>
  <c r="CP204" i="2"/>
  <c r="CO204" i="2"/>
  <c r="CN204" i="2"/>
  <c r="U204" i="2"/>
  <c r="FS203" i="2"/>
  <c r="FR203" i="2"/>
  <c r="FQ203" i="2"/>
  <c r="FP203" i="2"/>
  <c r="FO203" i="2"/>
  <c r="FN203" i="2"/>
  <c r="FM203" i="2"/>
  <c r="FL203" i="2"/>
  <c r="FK203" i="2"/>
  <c r="FJ203" i="2"/>
  <c r="FI203" i="2"/>
  <c r="FH203" i="2"/>
  <c r="FG203" i="2"/>
  <c r="FF203" i="2"/>
  <c r="FE203" i="2"/>
  <c r="FD203" i="2"/>
  <c r="FC203" i="2"/>
  <c r="FB203" i="2"/>
  <c r="FA203" i="2"/>
  <c r="EZ203" i="2"/>
  <c r="EY203" i="2"/>
  <c r="EX203" i="2"/>
  <c r="EW203" i="2"/>
  <c r="EV203" i="2"/>
  <c r="EU203" i="2"/>
  <c r="ET203" i="2"/>
  <c r="ES203" i="2"/>
  <c r="ER203" i="2"/>
  <c r="EQ203" i="2"/>
  <c r="EP203" i="2"/>
  <c r="EO203" i="2"/>
  <c r="EN203" i="2"/>
  <c r="EM203" i="2"/>
  <c r="EL203" i="2"/>
  <c r="EK203" i="2"/>
  <c r="EJ203" i="2"/>
  <c r="EI203" i="2"/>
  <c r="EH203" i="2"/>
  <c r="EG203" i="2"/>
  <c r="EF203" i="2"/>
  <c r="EE203" i="2"/>
  <c r="ED203" i="2"/>
  <c r="EC203" i="2"/>
  <c r="EB203" i="2"/>
  <c r="EA203" i="2"/>
  <c r="DZ203" i="2"/>
  <c r="DY203" i="2"/>
  <c r="DX203" i="2"/>
  <c r="DW203" i="2"/>
  <c r="DV203" i="2"/>
  <c r="DU203" i="2"/>
  <c r="DT203" i="2"/>
  <c r="DS203" i="2"/>
  <c r="DR203" i="2"/>
  <c r="DQ203" i="2"/>
  <c r="DP203" i="2"/>
  <c r="DO203" i="2"/>
  <c r="DN203" i="2"/>
  <c r="DM203" i="2"/>
  <c r="DL203" i="2"/>
  <c r="DK203" i="2"/>
  <c r="DJ203" i="2"/>
  <c r="DI203" i="2"/>
  <c r="DH203" i="2"/>
  <c r="DG203" i="2"/>
  <c r="DF203" i="2"/>
  <c r="DE203" i="2"/>
  <c r="DD203" i="2"/>
  <c r="DC203" i="2"/>
  <c r="DB203" i="2"/>
  <c r="CV203" i="2"/>
  <c r="CR203" i="2"/>
  <c r="CQ203" i="2"/>
  <c r="CP203" i="2"/>
  <c r="CO203" i="2"/>
  <c r="CN203" i="2"/>
  <c r="U203" i="2"/>
  <c r="FS202" i="2"/>
  <c r="FR202" i="2"/>
  <c r="FQ202" i="2"/>
  <c r="FP202" i="2"/>
  <c r="FO202" i="2"/>
  <c r="FN202" i="2"/>
  <c r="FM202" i="2"/>
  <c r="FL202" i="2"/>
  <c r="FK202" i="2"/>
  <c r="FJ202" i="2"/>
  <c r="FI202" i="2"/>
  <c r="FH202" i="2"/>
  <c r="FG202" i="2"/>
  <c r="FF202" i="2"/>
  <c r="FE202" i="2"/>
  <c r="FD202" i="2"/>
  <c r="FC202" i="2"/>
  <c r="FB202" i="2"/>
  <c r="FA202" i="2"/>
  <c r="EZ202" i="2"/>
  <c r="EY202" i="2"/>
  <c r="EX202" i="2"/>
  <c r="EW202" i="2"/>
  <c r="EV202" i="2"/>
  <c r="EU202" i="2"/>
  <c r="ET202" i="2"/>
  <c r="ES202" i="2"/>
  <c r="ER202" i="2"/>
  <c r="EQ202" i="2"/>
  <c r="EP202" i="2"/>
  <c r="EO202" i="2"/>
  <c r="EN202" i="2"/>
  <c r="EM202" i="2"/>
  <c r="EL202" i="2"/>
  <c r="EK202" i="2"/>
  <c r="EJ202" i="2"/>
  <c r="EI202" i="2"/>
  <c r="EH202" i="2"/>
  <c r="EG202" i="2"/>
  <c r="EF202" i="2"/>
  <c r="EE202" i="2"/>
  <c r="ED202" i="2"/>
  <c r="EC202" i="2"/>
  <c r="EB202" i="2"/>
  <c r="EA202" i="2"/>
  <c r="DZ202" i="2"/>
  <c r="DY202" i="2"/>
  <c r="DX202" i="2"/>
  <c r="DW202" i="2"/>
  <c r="DV202" i="2"/>
  <c r="DU202" i="2"/>
  <c r="DT202" i="2"/>
  <c r="DS202" i="2"/>
  <c r="DR202" i="2"/>
  <c r="DQ202" i="2"/>
  <c r="DP202" i="2"/>
  <c r="DO202" i="2"/>
  <c r="DN202" i="2"/>
  <c r="DM202" i="2"/>
  <c r="DL202" i="2"/>
  <c r="DK202" i="2"/>
  <c r="DJ202" i="2"/>
  <c r="DI202" i="2"/>
  <c r="DH202" i="2"/>
  <c r="DG202" i="2"/>
  <c r="DF202" i="2"/>
  <c r="DE202" i="2"/>
  <c r="DD202" i="2"/>
  <c r="DC202" i="2"/>
  <c r="DB202" i="2"/>
  <c r="CV202" i="2"/>
  <c r="CQ202" i="2"/>
  <c r="CP202" i="2"/>
  <c r="CO202" i="2"/>
  <c r="CN202" i="2"/>
  <c r="U202" i="2"/>
  <c r="FS201" i="2"/>
  <c r="FR201" i="2"/>
  <c r="FQ201" i="2"/>
  <c r="FP201" i="2"/>
  <c r="FO201" i="2"/>
  <c r="FN201" i="2"/>
  <c r="FM201" i="2"/>
  <c r="FL201" i="2"/>
  <c r="FK201" i="2"/>
  <c r="FJ201" i="2"/>
  <c r="FI201" i="2"/>
  <c r="FH201" i="2"/>
  <c r="FG201" i="2"/>
  <c r="FF201" i="2"/>
  <c r="FE201" i="2"/>
  <c r="FD201" i="2"/>
  <c r="FC201" i="2"/>
  <c r="FB201" i="2"/>
  <c r="FA201" i="2"/>
  <c r="EZ201" i="2"/>
  <c r="EY201" i="2"/>
  <c r="EX201" i="2"/>
  <c r="EW201" i="2"/>
  <c r="EV201" i="2"/>
  <c r="EU201" i="2"/>
  <c r="ET201" i="2"/>
  <c r="ES201" i="2"/>
  <c r="ER201" i="2"/>
  <c r="EQ201" i="2"/>
  <c r="EP201" i="2"/>
  <c r="EO201" i="2"/>
  <c r="EN201" i="2"/>
  <c r="EM201" i="2"/>
  <c r="EL201" i="2"/>
  <c r="EK201" i="2"/>
  <c r="EJ201" i="2"/>
  <c r="EI201" i="2"/>
  <c r="EH201" i="2"/>
  <c r="EG201" i="2"/>
  <c r="EF201" i="2"/>
  <c r="EE201" i="2"/>
  <c r="ED201" i="2"/>
  <c r="EC201" i="2"/>
  <c r="EB201" i="2"/>
  <c r="EA201" i="2"/>
  <c r="DZ201" i="2"/>
  <c r="DY201" i="2"/>
  <c r="DX201" i="2"/>
  <c r="DW201" i="2"/>
  <c r="DV201" i="2"/>
  <c r="DU201" i="2"/>
  <c r="DT201" i="2"/>
  <c r="DS201" i="2"/>
  <c r="DR201" i="2"/>
  <c r="DQ201" i="2"/>
  <c r="DP201" i="2"/>
  <c r="DO201" i="2"/>
  <c r="DN201" i="2"/>
  <c r="DM201" i="2"/>
  <c r="DL201" i="2"/>
  <c r="DK201" i="2"/>
  <c r="DJ201" i="2"/>
  <c r="DI201" i="2"/>
  <c r="DH201" i="2"/>
  <c r="DG201" i="2"/>
  <c r="DF201" i="2"/>
  <c r="DE201" i="2"/>
  <c r="DD201" i="2"/>
  <c r="DC201" i="2"/>
  <c r="DB201" i="2"/>
  <c r="CV201" i="2"/>
  <c r="CR201" i="2"/>
  <c r="CQ201" i="2"/>
  <c r="CP201" i="2"/>
  <c r="CO201" i="2"/>
  <c r="CN201" i="2"/>
  <c r="U201" i="2"/>
  <c r="CR158" i="2" s="1"/>
  <c r="FS200" i="2"/>
  <c r="FR200" i="2"/>
  <c r="FQ200" i="2"/>
  <c r="FP200" i="2"/>
  <c r="FO200" i="2"/>
  <c r="FN200" i="2"/>
  <c r="FM200" i="2"/>
  <c r="FL200" i="2"/>
  <c r="FK200" i="2"/>
  <c r="FJ200" i="2"/>
  <c r="FI200" i="2"/>
  <c r="FH200" i="2"/>
  <c r="FG200" i="2"/>
  <c r="FF200" i="2"/>
  <c r="FE200" i="2"/>
  <c r="FD200" i="2"/>
  <c r="FC200" i="2"/>
  <c r="FB200" i="2"/>
  <c r="FA200" i="2"/>
  <c r="EZ200" i="2"/>
  <c r="EY200" i="2"/>
  <c r="EX200" i="2"/>
  <c r="EW200" i="2"/>
  <c r="EV200" i="2"/>
  <c r="EU200" i="2"/>
  <c r="ET200" i="2"/>
  <c r="ES200" i="2"/>
  <c r="ER200" i="2"/>
  <c r="EQ200" i="2"/>
  <c r="EP200" i="2"/>
  <c r="EO200" i="2"/>
  <c r="EN200" i="2"/>
  <c r="EM200" i="2"/>
  <c r="EL200" i="2"/>
  <c r="EK200" i="2"/>
  <c r="EJ200" i="2"/>
  <c r="EI200" i="2"/>
  <c r="EH200" i="2"/>
  <c r="EG200" i="2"/>
  <c r="EF200" i="2"/>
  <c r="EE200" i="2"/>
  <c r="ED200" i="2"/>
  <c r="EC200" i="2"/>
  <c r="EB200" i="2"/>
  <c r="EA200" i="2"/>
  <c r="DZ200" i="2"/>
  <c r="DY200" i="2"/>
  <c r="DX200" i="2"/>
  <c r="DW200" i="2"/>
  <c r="DV200" i="2"/>
  <c r="DU200" i="2"/>
  <c r="DT200" i="2"/>
  <c r="DS200" i="2"/>
  <c r="DR200" i="2"/>
  <c r="DQ200" i="2"/>
  <c r="DP200" i="2"/>
  <c r="DO200" i="2"/>
  <c r="DN200" i="2"/>
  <c r="DM200" i="2"/>
  <c r="DL200" i="2"/>
  <c r="DK200" i="2"/>
  <c r="DJ200" i="2"/>
  <c r="DI200" i="2"/>
  <c r="DH200" i="2"/>
  <c r="DG200" i="2"/>
  <c r="DF200" i="2"/>
  <c r="DE200" i="2"/>
  <c r="DD200" i="2"/>
  <c r="DC200" i="2"/>
  <c r="DB200" i="2"/>
  <c r="CV200" i="2"/>
  <c r="CR200" i="2"/>
  <c r="CQ200" i="2"/>
  <c r="CP200" i="2"/>
  <c r="CO200" i="2"/>
  <c r="CN200" i="2"/>
  <c r="U200" i="2"/>
  <c r="FS199" i="2"/>
  <c r="FR199" i="2"/>
  <c r="FQ199" i="2"/>
  <c r="FP199" i="2"/>
  <c r="FO199" i="2"/>
  <c r="FN199" i="2"/>
  <c r="FM199" i="2"/>
  <c r="FL199" i="2"/>
  <c r="FK199" i="2"/>
  <c r="FJ199" i="2"/>
  <c r="FI199" i="2"/>
  <c r="FH199" i="2"/>
  <c r="FG199" i="2"/>
  <c r="FF199" i="2"/>
  <c r="FE199" i="2"/>
  <c r="FD199" i="2"/>
  <c r="FC199" i="2"/>
  <c r="FB199" i="2"/>
  <c r="FA199" i="2"/>
  <c r="EZ199" i="2"/>
  <c r="EY199" i="2"/>
  <c r="EX199" i="2"/>
  <c r="EW199" i="2"/>
  <c r="EV199" i="2"/>
  <c r="EU199" i="2"/>
  <c r="ET199" i="2"/>
  <c r="ES199" i="2"/>
  <c r="ER199" i="2"/>
  <c r="EQ199" i="2"/>
  <c r="EP199" i="2"/>
  <c r="EO199" i="2"/>
  <c r="EN199" i="2"/>
  <c r="EM199" i="2"/>
  <c r="EL199" i="2"/>
  <c r="EK199" i="2"/>
  <c r="EJ199" i="2"/>
  <c r="EI199" i="2"/>
  <c r="EH199" i="2"/>
  <c r="EG199" i="2"/>
  <c r="EF199" i="2"/>
  <c r="EE199" i="2"/>
  <c r="ED199" i="2"/>
  <c r="EC199" i="2"/>
  <c r="EB199" i="2"/>
  <c r="EA199" i="2"/>
  <c r="DZ199" i="2"/>
  <c r="DY199" i="2"/>
  <c r="DX199" i="2"/>
  <c r="DW199" i="2"/>
  <c r="DV199" i="2"/>
  <c r="DU199" i="2"/>
  <c r="DT199" i="2"/>
  <c r="DS199" i="2"/>
  <c r="DR199" i="2"/>
  <c r="DQ199" i="2"/>
  <c r="DP199" i="2"/>
  <c r="DO199" i="2"/>
  <c r="DN199" i="2"/>
  <c r="DM199" i="2"/>
  <c r="DL199" i="2"/>
  <c r="DK199" i="2"/>
  <c r="DJ199" i="2"/>
  <c r="DI199" i="2"/>
  <c r="DH199" i="2"/>
  <c r="DG199" i="2"/>
  <c r="DF199" i="2"/>
  <c r="DE199" i="2"/>
  <c r="DD199" i="2"/>
  <c r="DC199" i="2"/>
  <c r="DB199" i="2"/>
  <c r="CV199" i="2"/>
  <c r="CR199" i="2"/>
  <c r="CQ199" i="2"/>
  <c r="CP199" i="2"/>
  <c r="CO199" i="2"/>
  <c r="CN199" i="2"/>
  <c r="U199" i="2"/>
  <c r="CR156" i="2" s="1"/>
  <c r="FS198" i="2"/>
  <c r="FR198" i="2"/>
  <c r="FQ198" i="2"/>
  <c r="FP198" i="2"/>
  <c r="FO198" i="2"/>
  <c r="FN198" i="2"/>
  <c r="FM198" i="2"/>
  <c r="FL198" i="2"/>
  <c r="FK198" i="2"/>
  <c r="FJ198" i="2"/>
  <c r="FI198" i="2"/>
  <c r="FH198" i="2"/>
  <c r="FG198" i="2"/>
  <c r="FF198" i="2"/>
  <c r="FE198" i="2"/>
  <c r="FD198" i="2"/>
  <c r="FC198" i="2"/>
  <c r="FB198" i="2"/>
  <c r="FA198" i="2"/>
  <c r="EZ198" i="2"/>
  <c r="EY198" i="2"/>
  <c r="EX198" i="2"/>
  <c r="EW198" i="2"/>
  <c r="EV198" i="2"/>
  <c r="EU198" i="2"/>
  <c r="ET198" i="2"/>
  <c r="ES198" i="2"/>
  <c r="ER198" i="2"/>
  <c r="EQ198" i="2"/>
  <c r="EP198" i="2"/>
  <c r="EO198" i="2"/>
  <c r="EN198" i="2"/>
  <c r="EM198" i="2"/>
  <c r="EL198" i="2"/>
  <c r="EK198" i="2"/>
  <c r="EJ198" i="2"/>
  <c r="EI198" i="2"/>
  <c r="EH198" i="2"/>
  <c r="EG198" i="2"/>
  <c r="EF198" i="2"/>
  <c r="EE198" i="2"/>
  <c r="ED198" i="2"/>
  <c r="EC198" i="2"/>
  <c r="EB198" i="2"/>
  <c r="EA198" i="2"/>
  <c r="DZ198" i="2"/>
  <c r="DY198" i="2"/>
  <c r="DX198" i="2"/>
  <c r="DW198" i="2"/>
  <c r="DV198" i="2"/>
  <c r="DU198" i="2"/>
  <c r="DT198" i="2"/>
  <c r="DS198" i="2"/>
  <c r="DR198" i="2"/>
  <c r="DQ198" i="2"/>
  <c r="DP198" i="2"/>
  <c r="DO198" i="2"/>
  <c r="DN198" i="2"/>
  <c r="DM198" i="2"/>
  <c r="DL198" i="2"/>
  <c r="DK198" i="2"/>
  <c r="DJ198" i="2"/>
  <c r="DI198" i="2"/>
  <c r="DH198" i="2"/>
  <c r="DG198" i="2"/>
  <c r="DF198" i="2"/>
  <c r="DE198" i="2"/>
  <c r="DD198" i="2"/>
  <c r="DC198" i="2"/>
  <c r="DB198" i="2"/>
  <c r="CV198" i="2"/>
  <c r="CR198" i="2"/>
  <c r="CQ198" i="2"/>
  <c r="CP198" i="2"/>
  <c r="CO198" i="2"/>
  <c r="CN198" i="2"/>
  <c r="U198" i="2"/>
  <c r="FS197" i="2"/>
  <c r="FR197" i="2"/>
  <c r="FQ197" i="2"/>
  <c r="FP197" i="2"/>
  <c r="FO197" i="2"/>
  <c r="FN197" i="2"/>
  <c r="FM197" i="2"/>
  <c r="FL197" i="2"/>
  <c r="FK197" i="2"/>
  <c r="FJ197" i="2"/>
  <c r="FI197" i="2"/>
  <c r="FH197" i="2"/>
  <c r="FG197" i="2"/>
  <c r="FF197" i="2"/>
  <c r="FE197" i="2"/>
  <c r="FD197" i="2"/>
  <c r="FC197" i="2"/>
  <c r="FB197" i="2"/>
  <c r="FA197" i="2"/>
  <c r="EZ197" i="2"/>
  <c r="EY197" i="2"/>
  <c r="EX197" i="2"/>
  <c r="EW197" i="2"/>
  <c r="EV197" i="2"/>
  <c r="EU197" i="2"/>
  <c r="ET197" i="2"/>
  <c r="ES197" i="2"/>
  <c r="ER197" i="2"/>
  <c r="EQ197" i="2"/>
  <c r="EP197" i="2"/>
  <c r="EO197" i="2"/>
  <c r="EN197" i="2"/>
  <c r="EM197" i="2"/>
  <c r="EL197" i="2"/>
  <c r="EK197" i="2"/>
  <c r="EJ197" i="2"/>
  <c r="EI197" i="2"/>
  <c r="EH197" i="2"/>
  <c r="EG197" i="2"/>
  <c r="EF197" i="2"/>
  <c r="EE197" i="2"/>
  <c r="ED197" i="2"/>
  <c r="EC197" i="2"/>
  <c r="EB197" i="2"/>
  <c r="EA197" i="2"/>
  <c r="DZ197" i="2"/>
  <c r="DY197" i="2"/>
  <c r="DX197" i="2"/>
  <c r="DW197" i="2"/>
  <c r="DV197" i="2"/>
  <c r="DU197" i="2"/>
  <c r="DT197" i="2"/>
  <c r="DS197" i="2"/>
  <c r="DR197" i="2"/>
  <c r="DQ197" i="2"/>
  <c r="DP197" i="2"/>
  <c r="DO197" i="2"/>
  <c r="DN197" i="2"/>
  <c r="DM197" i="2"/>
  <c r="DL197" i="2"/>
  <c r="DK197" i="2"/>
  <c r="DJ197" i="2"/>
  <c r="DI197" i="2"/>
  <c r="DH197" i="2"/>
  <c r="DG197" i="2"/>
  <c r="DF197" i="2"/>
  <c r="DE197" i="2"/>
  <c r="DD197" i="2"/>
  <c r="DC197" i="2"/>
  <c r="DB197" i="2"/>
  <c r="CR197" i="2"/>
  <c r="CQ197" i="2"/>
  <c r="CP197" i="2"/>
  <c r="CO197" i="2"/>
  <c r="CN197" i="2"/>
  <c r="U197" i="2"/>
  <c r="FS196" i="2"/>
  <c r="FR196" i="2"/>
  <c r="FQ196" i="2"/>
  <c r="FP196" i="2"/>
  <c r="FO196" i="2"/>
  <c r="FN196" i="2"/>
  <c r="FM196" i="2"/>
  <c r="FL196" i="2"/>
  <c r="FK196" i="2"/>
  <c r="FJ196" i="2"/>
  <c r="FI196" i="2"/>
  <c r="FH196" i="2"/>
  <c r="FG196" i="2"/>
  <c r="FF196" i="2"/>
  <c r="FE196" i="2"/>
  <c r="FD196" i="2"/>
  <c r="FC196" i="2"/>
  <c r="FB196" i="2"/>
  <c r="FA196" i="2"/>
  <c r="EZ196" i="2"/>
  <c r="EY196" i="2"/>
  <c r="EX196" i="2"/>
  <c r="EW196" i="2"/>
  <c r="EV196" i="2"/>
  <c r="EU196" i="2"/>
  <c r="ET196" i="2"/>
  <c r="ES196" i="2"/>
  <c r="ER196" i="2"/>
  <c r="EQ196" i="2"/>
  <c r="EP196" i="2"/>
  <c r="EO196" i="2"/>
  <c r="EN196" i="2"/>
  <c r="EM196" i="2"/>
  <c r="EL196" i="2"/>
  <c r="EK196" i="2"/>
  <c r="EJ196" i="2"/>
  <c r="EI196" i="2"/>
  <c r="EH196" i="2"/>
  <c r="EG196" i="2"/>
  <c r="EF196" i="2"/>
  <c r="EE196" i="2"/>
  <c r="ED196" i="2"/>
  <c r="EC196" i="2"/>
  <c r="EB196" i="2"/>
  <c r="EA196" i="2"/>
  <c r="DZ196" i="2"/>
  <c r="DY196" i="2"/>
  <c r="DX196" i="2"/>
  <c r="DW196" i="2"/>
  <c r="DV196" i="2"/>
  <c r="DU196" i="2"/>
  <c r="DT196" i="2"/>
  <c r="DS196" i="2"/>
  <c r="DR196" i="2"/>
  <c r="DQ196" i="2"/>
  <c r="DP196" i="2"/>
  <c r="DO196" i="2"/>
  <c r="DN196" i="2"/>
  <c r="DM196" i="2"/>
  <c r="DL196" i="2"/>
  <c r="DK196" i="2"/>
  <c r="DJ196" i="2"/>
  <c r="DI196" i="2"/>
  <c r="DH196" i="2"/>
  <c r="DG196" i="2"/>
  <c r="DF196" i="2"/>
  <c r="DE196" i="2"/>
  <c r="DD196" i="2"/>
  <c r="DC196" i="2"/>
  <c r="DB196" i="2"/>
  <c r="CR196" i="2"/>
  <c r="CQ196" i="2"/>
  <c r="CP196" i="2"/>
  <c r="CO196" i="2"/>
  <c r="CN196" i="2"/>
  <c r="U196" i="2"/>
  <c r="CR195" i="2" s="1"/>
  <c r="FS195" i="2"/>
  <c r="FR195" i="2"/>
  <c r="FQ195" i="2"/>
  <c r="FP195" i="2"/>
  <c r="FO195" i="2"/>
  <c r="FN195" i="2"/>
  <c r="FM195" i="2"/>
  <c r="FL195" i="2"/>
  <c r="FK195" i="2"/>
  <c r="FJ195" i="2"/>
  <c r="FI195" i="2"/>
  <c r="FH195" i="2"/>
  <c r="FG195" i="2"/>
  <c r="FF195" i="2"/>
  <c r="FE195" i="2"/>
  <c r="FD195" i="2"/>
  <c r="FC195" i="2"/>
  <c r="FB195" i="2"/>
  <c r="FA195" i="2"/>
  <c r="EZ195" i="2"/>
  <c r="EY195" i="2"/>
  <c r="EX195" i="2"/>
  <c r="EW195" i="2"/>
  <c r="EV195" i="2"/>
  <c r="EU195" i="2"/>
  <c r="ET195" i="2"/>
  <c r="ES195" i="2"/>
  <c r="ER195" i="2"/>
  <c r="EQ195" i="2"/>
  <c r="EP195" i="2"/>
  <c r="EO195" i="2"/>
  <c r="EN195" i="2"/>
  <c r="EM195" i="2"/>
  <c r="EL195" i="2"/>
  <c r="EK195" i="2"/>
  <c r="EJ195" i="2"/>
  <c r="EI195" i="2"/>
  <c r="EH195" i="2"/>
  <c r="EG195" i="2"/>
  <c r="EF195" i="2"/>
  <c r="EE195" i="2"/>
  <c r="ED195" i="2"/>
  <c r="EC195" i="2"/>
  <c r="EB195" i="2"/>
  <c r="EA195" i="2"/>
  <c r="DZ195" i="2"/>
  <c r="DY195" i="2"/>
  <c r="DX195" i="2"/>
  <c r="DW195" i="2"/>
  <c r="DV195" i="2"/>
  <c r="DU195" i="2"/>
  <c r="DT195" i="2"/>
  <c r="DS195" i="2"/>
  <c r="DR195" i="2"/>
  <c r="DQ195" i="2"/>
  <c r="DP195" i="2"/>
  <c r="DO195" i="2"/>
  <c r="DN195" i="2"/>
  <c r="DM195" i="2"/>
  <c r="DL195" i="2"/>
  <c r="DK195" i="2"/>
  <c r="DJ195" i="2"/>
  <c r="DI195" i="2"/>
  <c r="DH195" i="2"/>
  <c r="DG195" i="2"/>
  <c r="DF195" i="2"/>
  <c r="DE195" i="2"/>
  <c r="DD195" i="2"/>
  <c r="DC195" i="2"/>
  <c r="DB195" i="2"/>
  <c r="CQ195" i="2"/>
  <c r="CP195" i="2"/>
  <c r="CO195" i="2"/>
  <c r="CN195" i="2"/>
  <c r="U195" i="2"/>
  <c r="FS194" i="2"/>
  <c r="FR194" i="2"/>
  <c r="FQ194" i="2"/>
  <c r="FP194" i="2"/>
  <c r="FO194" i="2"/>
  <c r="FN194" i="2"/>
  <c r="FM194" i="2"/>
  <c r="FL194" i="2"/>
  <c r="FK194" i="2"/>
  <c r="FJ194" i="2"/>
  <c r="FI194" i="2"/>
  <c r="FH194" i="2"/>
  <c r="FG194" i="2"/>
  <c r="FF194" i="2"/>
  <c r="FE194" i="2"/>
  <c r="FD194" i="2"/>
  <c r="FC194" i="2"/>
  <c r="FB194" i="2"/>
  <c r="FA194" i="2"/>
  <c r="EZ194" i="2"/>
  <c r="EY194" i="2"/>
  <c r="EX194" i="2"/>
  <c r="EW194" i="2"/>
  <c r="EV194" i="2"/>
  <c r="EU194" i="2"/>
  <c r="ET194" i="2"/>
  <c r="ES194" i="2"/>
  <c r="ER194" i="2"/>
  <c r="EQ194" i="2"/>
  <c r="EP194" i="2"/>
  <c r="EO194" i="2"/>
  <c r="EN194" i="2"/>
  <c r="EM194" i="2"/>
  <c r="EL194" i="2"/>
  <c r="EK194" i="2"/>
  <c r="EJ194" i="2"/>
  <c r="EI194" i="2"/>
  <c r="EH194" i="2"/>
  <c r="EG194" i="2"/>
  <c r="EF194" i="2"/>
  <c r="EE194" i="2"/>
  <c r="ED194" i="2"/>
  <c r="EC194" i="2"/>
  <c r="EB194" i="2"/>
  <c r="EA194" i="2"/>
  <c r="DZ194" i="2"/>
  <c r="DY194" i="2"/>
  <c r="DX194" i="2"/>
  <c r="DW194" i="2"/>
  <c r="DV194" i="2"/>
  <c r="DU194" i="2"/>
  <c r="DT194" i="2"/>
  <c r="DS194" i="2"/>
  <c r="DR194" i="2"/>
  <c r="DQ194" i="2"/>
  <c r="DP194" i="2"/>
  <c r="DO194" i="2"/>
  <c r="DN194" i="2"/>
  <c r="DM194" i="2"/>
  <c r="DL194" i="2"/>
  <c r="DK194" i="2"/>
  <c r="DJ194" i="2"/>
  <c r="DI194" i="2"/>
  <c r="DH194" i="2"/>
  <c r="DG194" i="2"/>
  <c r="DF194" i="2"/>
  <c r="DE194" i="2"/>
  <c r="DD194" i="2"/>
  <c r="DC194" i="2"/>
  <c r="DB194" i="2"/>
  <c r="CQ194" i="2"/>
  <c r="CP194" i="2"/>
  <c r="CO194" i="2"/>
  <c r="CN194" i="2"/>
  <c r="U194" i="2"/>
  <c r="FS193" i="2"/>
  <c r="FR193" i="2"/>
  <c r="FQ193" i="2"/>
  <c r="FP193" i="2"/>
  <c r="FO193" i="2"/>
  <c r="FN193" i="2"/>
  <c r="FM193" i="2"/>
  <c r="FL193" i="2"/>
  <c r="FK193" i="2"/>
  <c r="FJ193" i="2"/>
  <c r="FI193" i="2"/>
  <c r="FH193" i="2"/>
  <c r="FG193" i="2"/>
  <c r="FF193" i="2"/>
  <c r="FE193" i="2"/>
  <c r="FD193" i="2"/>
  <c r="FC193" i="2"/>
  <c r="FB193" i="2"/>
  <c r="FA193" i="2"/>
  <c r="EZ193" i="2"/>
  <c r="EY193" i="2"/>
  <c r="EX193" i="2"/>
  <c r="EW193" i="2"/>
  <c r="EV193" i="2"/>
  <c r="EU193" i="2"/>
  <c r="ET193" i="2"/>
  <c r="ES193" i="2"/>
  <c r="ER193" i="2"/>
  <c r="EQ193" i="2"/>
  <c r="EP193" i="2"/>
  <c r="EO193" i="2"/>
  <c r="EN193" i="2"/>
  <c r="EM193" i="2"/>
  <c r="EL193" i="2"/>
  <c r="EK193" i="2"/>
  <c r="EJ193" i="2"/>
  <c r="EI193" i="2"/>
  <c r="EH193" i="2"/>
  <c r="EG193" i="2"/>
  <c r="EF193" i="2"/>
  <c r="EE193" i="2"/>
  <c r="ED193" i="2"/>
  <c r="EC193" i="2"/>
  <c r="EB193" i="2"/>
  <c r="EA193" i="2"/>
  <c r="DZ193" i="2"/>
  <c r="DY193" i="2"/>
  <c r="DX193" i="2"/>
  <c r="DW193" i="2"/>
  <c r="DV193" i="2"/>
  <c r="DU193" i="2"/>
  <c r="DT193" i="2"/>
  <c r="DS193" i="2"/>
  <c r="DR193" i="2"/>
  <c r="DQ193" i="2"/>
  <c r="DP193" i="2"/>
  <c r="DO193" i="2"/>
  <c r="DN193" i="2"/>
  <c r="DM193" i="2"/>
  <c r="DL193" i="2"/>
  <c r="DK193" i="2"/>
  <c r="DJ193" i="2"/>
  <c r="DI193" i="2"/>
  <c r="DH193" i="2"/>
  <c r="DG193" i="2"/>
  <c r="DF193" i="2"/>
  <c r="DE193" i="2"/>
  <c r="DD193" i="2"/>
  <c r="CU193" i="2" s="1"/>
  <c r="DC193" i="2"/>
  <c r="DB193" i="2"/>
  <c r="CR193" i="2"/>
  <c r="CQ193" i="2"/>
  <c r="CP193" i="2"/>
  <c r="CO193" i="2"/>
  <c r="CN193" i="2"/>
  <c r="U193" i="2"/>
  <c r="CR186" i="2" s="1"/>
  <c r="FS192" i="2"/>
  <c r="FR192" i="2"/>
  <c r="FQ192" i="2"/>
  <c r="FP192" i="2"/>
  <c r="FO192" i="2"/>
  <c r="FN192" i="2"/>
  <c r="FM192" i="2"/>
  <c r="FL192" i="2"/>
  <c r="FK192" i="2"/>
  <c r="FJ192" i="2"/>
  <c r="FI192" i="2"/>
  <c r="FH192" i="2"/>
  <c r="FG192" i="2"/>
  <c r="FF192" i="2"/>
  <c r="FE192" i="2"/>
  <c r="FD192" i="2"/>
  <c r="FC192" i="2"/>
  <c r="FB192" i="2"/>
  <c r="FA192" i="2"/>
  <c r="EZ192" i="2"/>
  <c r="EY192" i="2"/>
  <c r="EX192" i="2"/>
  <c r="EW192" i="2"/>
  <c r="EV192" i="2"/>
  <c r="EU192" i="2"/>
  <c r="ET192" i="2"/>
  <c r="ES192" i="2"/>
  <c r="ER192" i="2"/>
  <c r="EQ192" i="2"/>
  <c r="EP192" i="2"/>
  <c r="EO192" i="2"/>
  <c r="EN192" i="2"/>
  <c r="EM192" i="2"/>
  <c r="EL192" i="2"/>
  <c r="EK192" i="2"/>
  <c r="EJ192" i="2"/>
  <c r="EI192" i="2"/>
  <c r="EH192" i="2"/>
  <c r="EG192" i="2"/>
  <c r="EF192" i="2"/>
  <c r="EE192" i="2"/>
  <c r="ED192" i="2"/>
  <c r="EC192" i="2"/>
  <c r="EB192" i="2"/>
  <c r="EA192" i="2"/>
  <c r="DZ192" i="2"/>
  <c r="DY192" i="2"/>
  <c r="DX192" i="2"/>
  <c r="DW192" i="2"/>
  <c r="DV192" i="2"/>
  <c r="DU192" i="2"/>
  <c r="DT192" i="2"/>
  <c r="DS192" i="2"/>
  <c r="DR192" i="2"/>
  <c r="DQ192" i="2"/>
  <c r="DP192" i="2"/>
  <c r="DO192" i="2"/>
  <c r="DN192" i="2"/>
  <c r="DM192" i="2"/>
  <c r="DL192" i="2"/>
  <c r="DK192" i="2"/>
  <c r="DJ192" i="2"/>
  <c r="DI192" i="2"/>
  <c r="DH192" i="2"/>
  <c r="DG192" i="2"/>
  <c r="DF192" i="2"/>
  <c r="DE192" i="2"/>
  <c r="DD192" i="2"/>
  <c r="DC192" i="2"/>
  <c r="DB192" i="2"/>
  <c r="CQ192" i="2"/>
  <c r="CP192" i="2"/>
  <c r="CO192" i="2"/>
  <c r="CN192" i="2"/>
  <c r="U192" i="2"/>
  <c r="FS191" i="2"/>
  <c r="FR191" i="2"/>
  <c r="FQ191" i="2"/>
  <c r="FP191" i="2"/>
  <c r="FO191" i="2"/>
  <c r="FN191" i="2"/>
  <c r="FM191" i="2"/>
  <c r="FL191" i="2"/>
  <c r="FK191" i="2"/>
  <c r="FJ191" i="2"/>
  <c r="FI191" i="2"/>
  <c r="FH191" i="2"/>
  <c r="FG191" i="2"/>
  <c r="FF191" i="2"/>
  <c r="FE191" i="2"/>
  <c r="FD191" i="2"/>
  <c r="FC191" i="2"/>
  <c r="FB191" i="2"/>
  <c r="FA191" i="2"/>
  <c r="EZ191" i="2"/>
  <c r="EY191" i="2"/>
  <c r="EX191" i="2"/>
  <c r="EW191" i="2"/>
  <c r="EV191" i="2"/>
  <c r="EU191" i="2"/>
  <c r="ET191" i="2"/>
  <c r="ES191" i="2"/>
  <c r="ER191" i="2"/>
  <c r="EQ191" i="2"/>
  <c r="EP191" i="2"/>
  <c r="EO191" i="2"/>
  <c r="EN191" i="2"/>
  <c r="EM191" i="2"/>
  <c r="EL191" i="2"/>
  <c r="EK191" i="2"/>
  <c r="EJ191" i="2"/>
  <c r="EI191" i="2"/>
  <c r="EH191" i="2"/>
  <c r="EG191" i="2"/>
  <c r="EF191" i="2"/>
  <c r="EE191" i="2"/>
  <c r="ED191" i="2"/>
  <c r="EC191" i="2"/>
  <c r="EB191" i="2"/>
  <c r="EA191" i="2"/>
  <c r="DZ191" i="2"/>
  <c r="DY191" i="2"/>
  <c r="DX191" i="2"/>
  <c r="DW191" i="2"/>
  <c r="DV191" i="2"/>
  <c r="DU191" i="2"/>
  <c r="DT191" i="2"/>
  <c r="DS191" i="2"/>
  <c r="DR191" i="2"/>
  <c r="DQ191" i="2"/>
  <c r="DP191" i="2"/>
  <c r="DO191" i="2"/>
  <c r="DN191" i="2"/>
  <c r="DM191" i="2"/>
  <c r="DL191" i="2"/>
  <c r="DK191" i="2"/>
  <c r="DJ191" i="2"/>
  <c r="DI191" i="2"/>
  <c r="DH191" i="2"/>
  <c r="DG191" i="2"/>
  <c r="DF191" i="2"/>
  <c r="DE191" i="2"/>
  <c r="DD191" i="2"/>
  <c r="DC191" i="2"/>
  <c r="DB191" i="2"/>
  <c r="CR191" i="2"/>
  <c r="CQ191" i="2"/>
  <c r="CP191" i="2"/>
  <c r="CO191" i="2"/>
  <c r="CN191" i="2"/>
  <c r="U191" i="2"/>
  <c r="FS190" i="2"/>
  <c r="FR190" i="2"/>
  <c r="FQ190" i="2"/>
  <c r="FP190" i="2"/>
  <c r="FO190" i="2"/>
  <c r="FN190" i="2"/>
  <c r="FM190" i="2"/>
  <c r="FL190" i="2"/>
  <c r="FK190" i="2"/>
  <c r="FJ190" i="2"/>
  <c r="FI190" i="2"/>
  <c r="FH190" i="2"/>
  <c r="FG190" i="2"/>
  <c r="FF190" i="2"/>
  <c r="FE190" i="2"/>
  <c r="FD190" i="2"/>
  <c r="FC190" i="2"/>
  <c r="FB190" i="2"/>
  <c r="FA190" i="2"/>
  <c r="EZ190" i="2"/>
  <c r="EY190" i="2"/>
  <c r="EX190" i="2"/>
  <c r="EW190" i="2"/>
  <c r="EV190" i="2"/>
  <c r="EU190" i="2"/>
  <c r="ET190" i="2"/>
  <c r="ES190" i="2"/>
  <c r="ER190" i="2"/>
  <c r="EQ190" i="2"/>
  <c r="EP190" i="2"/>
  <c r="EO190" i="2"/>
  <c r="EN190" i="2"/>
  <c r="EM190" i="2"/>
  <c r="EL190" i="2"/>
  <c r="EK190" i="2"/>
  <c r="EJ190" i="2"/>
  <c r="EI190" i="2"/>
  <c r="EH190" i="2"/>
  <c r="EG190" i="2"/>
  <c r="EF190" i="2"/>
  <c r="EE190" i="2"/>
  <c r="ED190" i="2"/>
  <c r="EC190" i="2"/>
  <c r="EB190" i="2"/>
  <c r="EA190" i="2"/>
  <c r="DZ190" i="2"/>
  <c r="DY190" i="2"/>
  <c r="DX190" i="2"/>
  <c r="DW190" i="2"/>
  <c r="DV190" i="2"/>
  <c r="DU190" i="2"/>
  <c r="DT190" i="2"/>
  <c r="DS190" i="2"/>
  <c r="DR190" i="2"/>
  <c r="DQ190" i="2"/>
  <c r="DP190" i="2"/>
  <c r="DO190" i="2"/>
  <c r="DN190" i="2"/>
  <c r="DM190" i="2"/>
  <c r="DL190" i="2"/>
  <c r="DK190" i="2"/>
  <c r="DJ190" i="2"/>
  <c r="DI190" i="2"/>
  <c r="DH190" i="2"/>
  <c r="DG190" i="2"/>
  <c r="DF190" i="2"/>
  <c r="DE190" i="2"/>
  <c r="DD190" i="2"/>
  <c r="DC190" i="2"/>
  <c r="DB190" i="2"/>
  <c r="CQ190" i="2"/>
  <c r="CP190" i="2"/>
  <c r="CO190" i="2"/>
  <c r="CN190" i="2"/>
  <c r="U190" i="2"/>
  <c r="CR189" i="2" s="1"/>
  <c r="FS189" i="2"/>
  <c r="FR189" i="2"/>
  <c r="FQ189" i="2"/>
  <c r="FP189" i="2"/>
  <c r="FO189" i="2"/>
  <c r="FN189" i="2"/>
  <c r="FM189" i="2"/>
  <c r="FL189" i="2"/>
  <c r="FK189" i="2"/>
  <c r="FJ189" i="2"/>
  <c r="FI189" i="2"/>
  <c r="FH189" i="2"/>
  <c r="FG189" i="2"/>
  <c r="FF189" i="2"/>
  <c r="FE189" i="2"/>
  <c r="FD189" i="2"/>
  <c r="FC189" i="2"/>
  <c r="FB189" i="2"/>
  <c r="FA189" i="2"/>
  <c r="EZ189" i="2"/>
  <c r="EY189" i="2"/>
  <c r="EX189" i="2"/>
  <c r="EW189" i="2"/>
  <c r="EV189" i="2"/>
  <c r="EU189" i="2"/>
  <c r="ET189" i="2"/>
  <c r="ES189" i="2"/>
  <c r="ER189" i="2"/>
  <c r="EQ189" i="2"/>
  <c r="EP189" i="2"/>
  <c r="EO189" i="2"/>
  <c r="EN189" i="2"/>
  <c r="EM189" i="2"/>
  <c r="EL189" i="2"/>
  <c r="EK189" i="2"/>
  <c r="EJ189" i="2"/>
  <c r="EI189" i="2"/>
  <c r="EH189" i="2"/>
  <c r="EG189" i="2"/>
  <c r="EF189" i="2"/>
  <c r="EE189" i="2"/>
  <c r="ED189" i="2"/>
  <c r="EC189" i="2"/>
  <c r="EB189" i="2"/>
  <c r="EA189" i="2"/>
  <c r="DZ189" i="2"/>
  <c r="DY189" i="2"/>
  <c r="DX189" i="2"/>
  <c r="DW189" i="2"/>
  <c r="DV189" i="2"/>
  <c r="DU189" i="2"/>
  <c r="DT189" i="2"/>
  <c r="DS189" i="2"/>
  <c r="DR189" i="2"/>
  <c r="DQ189" i="2"/>
  <c r="DP189" i="2"/>
  <c r="DO189" i="2"/>
  <c r="DN189" i="2"/>
  <c r="DM189" i="2"/>
  <c r="DL189" i="2"/>
  <c r="DK189" i="2"/>
  <c r="DJ189" i="2"/>
  <c r="DI189" i="2"/>
  <c r="DH189" i="2"/>
  <c r="DG189" i="2"/>
  <c r="DF189" i="2"/>
  <c r="DE189" i="2"/>
  <c r="DD189" i="2"/>
  <c r="CU189" i="2" s="1"/>
  <c r="DC189" i="2"/>
  <c r="DB189" i="2"/>
  <c r="CQ189" i="2"/>
  <c r="CP189" i="2"/>
  <c r="CO189" i="2"/>
  <c r="CN189" i="2"/>
  <c r="U189" i="2"/>
  <c r="CR146" i="2" s="1"/>
  <c r="FS188" i="2"/>
  <c r="FR188" i="2"/>
  <c r="FQ188" i="2"/>
  <c r="FP188" i="2"/>
  <c r="FO188" i="2"/>
  <c r="FN188" i="2"/>
  <c r="FM188" i="2"/>
  <c r="FL188" i="2"/>
  <c r="FK188" i="2"/>
  <c r="FJ188" i="2"/>
  <c r="FI188" i="2"/>
  <c r="FH188" i="2"/>
  <c r="FG188" i="2"/>
  <c r="FF188" i="2"/>
  <c r="FE188" i="2"/>
  <c r="FD188" i="2"/>
  <c r="FC188" i="2"/>
  <c r="FB188" i="2"/>
  <c r="FA188" i="2"/>
  <c r="EZ188" i="2"/>
  <c r="EY188" i="2"/>
  <c r="EX188" i="2"/>
  <c r="EW188" i="2"/>
  <c r="EV188" i="2"/>
  <c r="EU188" i="2"/>
  <c r="ET188" i="2"/>
  <c r="ES188" i="2"/>
  <c r="ER188" i="2"/>
  <c r="EQ188" i="2"/>
  <c r="EP188" i="2"/>
  <c r="EO188" i="2"/>
  <c r="EN188" i="2"/>
  <c r="EM188" i="2"/>
  <c r="EL188" i="2"/>
  <c r="EK188" i="2"/>
  <c r="EJ188" i="2"/>
  <c r="EI188" i="2"/>
  <c r="EH188" i="2"/>
  <c r="EG188" i="2"/>
  <c r="EF188" i="2"/>
  <c r="EE188" i="2"/>
  <c r="ED188" i="2"/>
  <c r="EC188" i="2"/>
  <c r="EB188" i="2"/>
  <c r="EA188" i="2"/>
  <c r="DZ188" i="2"/>
  <c r="DY188" i="2"/>
  <c r="DX188" i="2"/>
  <c r="DW188" i="2"/>
  <c r="DV188" i="2"/>
  <c r="DU188" i="2"/>
  <c r="DT188" i="2"/>
  <c r="DS188" i="2"/>
  <c r="DR188" i="2"/>
  <c r="DQ188" i="2"/>
  <c r="DP188" i="2"/>
  <c r="DO188" i="2"/>
  <c r="DN188" i="2"/>
  <c r="DM188" i="2"/>
  <c r="DL188" i="2"/>
  <c r="DK188" i="2"/>
  <c r="DJ188" i="2"/>
  <c r="DI188" i="2"/>
  <c r="DH188" i="2"/>
  <c r="DG188" i="2"/>
  <c r="DF188" i="2"/>
  <c r="DE188" i="2"/>
  <c r="DD188" i="2"/>
  <c r="DC188" i="2"/>
  <c r="DB188" i="2"/>
  <c r="CR188" i="2"/>
  <c r="CQ188" i="2"/>
  <c r="CP188" i="2"/>
  <c r="CO188" i="2"/>
  <c r="CN188" i="2"/>
  <c r="U188" i="2"/>
  <c r="FS187" i="2"/>
  <c r="FR187" i="2"/>
  <c r="FQ187" i="2"/>
  <c r="FP187" i="2"/>
  <c r="FO187" i="2"/>
  <c r="FN187" i="2"/>
  <c r="FM187" i="2"/>
  <c r="FL187" i="2"/>
  <c r="FK187" i="2"/>
  <c r="FJ187" i="2"/>
  <c r="FI187" i="2"/>
  <c r="FH187" i="2"/>
  <c r="FG187" i="2"/>
  <c r="FF187" i="2"/>
  <c r="FE187" i="2"/>
  <c r="FD187" i="2"/>
  <c r="FC187" i="2"/>
  <c r="FB187" i="2"/>
  <c r="FA187" i="2"/>
  <c r="EZ187" i="2"/>
  <c r="EY187" i="2"/>
  <c r="EX187" i="2"/>
  <c r="EW187" i="2"/>
  <c r="EV187" i="2"/>
  <c r="EU187" i="2"/>
  <c r="ET187" i="2"/>
  <c r="ES187" i="2"/>
  <c r="ER187" i="2"/>
  <c r="EQ187" i="2"/>
  <c r="EP187" i="2"/>
  <c r="EO187" i="2"/>
  <c r="EN187" i="2"/>
  <c r="EM187" i="2"/>
  <c r="EL187" i="2"/>
  <c r="EK187" i="2"/>
  <c r="EJ187" i="2"/>
  <c r="EI187" i="2"/>
  <c r="EH187" i="2"/>
  <c r="EG187" i="2"/>
  <c r="EF187" i="2"/>
  <c r="EE187" i="2"/>
  <c r="ED187" i="2"/>
  <c r="EC187" i="2"/>
  <c r="EB187" i="2"/>
  <c r="EA187" i="2"/>
  <c r="DZ187" i="2"/>
  <c r="DY187" i="2"/>
  <c r="DX187" i="2"/>
  <c r="DW187" i="2"/>
  <c r="DV187" i="2"/>
  <c r="DU187" i="2"/>
  <c r="DT187" i="2"/>
  <c r="DS187" i="2"/>
  <c r="DR187" i="2"/>
  <c r="DQ187" i="2"/>
  <c r="DP187" i="2"/>
  <c r="DO187" i="2"/>
  <c r="DN187" i="2"/>
  <c r="DM187" i="2"/>
  <c r="DL187" i="2"/>
  <c r="DK187" i="2"/>
  <c r="DJ187" i="2"/>
  <c r="DI187" i="2"/>
  <c r="DH187" i="2"/>
  <c r="DG187" i="2"/>
  <c r="DF187" i="2"/>
  <c r="DE187" i="2"/>
  <c r="DD187" i="2"/>
  <c r="DC187" i="2"/>
  <c r="DB187" i="2"/>
  <c r="CV187" i="2"/>
  <c r="CR187" i="2"/>
  <c r="CQ187" i="2"/>
  <c r="CP187" i="2"/>
  <c r="CO187" i="2"/>
  <c r="CN187" i="2"/>
  <c r="FS186" i="2"/>
  <c r="FR186" i="2"/>
  <c r="FQ186" i="2"/>
  <c r="FP186" i="2"/>
  <c r="FO186" i="2"/>
  <c r="FN186" i="2"/>
  <c r="FM186" i="2"/>
  <c r="FL186" i="2"/>
  <c r="FK186" i="2"/>
  <c r="FJ186" i="2"/>
  <c r="FI186" i="2"/>
  <c r="FH186" i="2"/>
  <c r="FG186" i="2"/>
  <c r="FF186" i="2"/>
  <c r="FE186" i="2"/>
  <c r="FD186" i="2"/>
  <c r="FC186" i="2"/>
  <c r="FB186" i="2"/>
  <c r="FA186" i="2"/>
  <c r="EZ186" i="2"/>
  <c r="EY186" i="2"/>
  <c r="EX186" i="2"/>
  <c r="EW186" i="2"/>
  <c r="EV186" i="2"/>
  <c r="EU186" i="2"/>
  <c r="ET186" i="2"/>
  <c r="ES186" i="2"/>
  <c r="ER186" i="2"/>
  <c r="EQ186" i="2"/>
  <c r="EP186" i="2"/>
  <c r="EO186" i="2"/>
  <c r="EN186" i="2"/>
  <c r="EM186" i="2"/>
  <c r="EL186" i="2"/>
  <c r="EK186" i="2"/>
  <c r="EJ186" i="2"/>
  <c r="EI186" i="2"/>
  <c r="EH186" i="2"/>
  <c r="EG186" i="2"/>
  <c r="EF186" i="2"/>
  <c r="EE186" i="2"/>
  <c r="ED186" i="2"/>
  <c r="EC186" i="2"/>
  <c r="EB186" i="2"/>
  <c r="EA186" i="2"/>
  <c r="DZ186" i="2"/>
  <c r="DY186" i="2"/>
  <c r="DX186" i="2"/>
  <c r="DW186" i="2"/>
  <c r="DV186" i="2"/>
  <c r="DU186" i="2"/>
  <c r="DT186" i="2"/>
  <c r="DS186" i="2"/>
  <c r="DR186" i="2"/>
  <c r="DQ186" i="2"/>
  <c r="DP186" i="2"/>
  <c r="DO186" i="2"/>
  <c r="DN186" i="2"/>
  <c r="DM186" i="2"/>
  <c r="DL186" i="2"/>
  <c r="DK186" i="2"/>
  <c r="DJ186" i="2"/>
  <c r="DI186" i="2"/>
  <c r="DH186" i="2"/>
  <c r="DG186" i="2"/>
  <c r="DF186" i="2"/>
  <c r="DE186" i="2"/>
  <c r="DD186" i="2"/>
  <c r="DC186" i="2"/>
  <c r="DB186" i="2"/>
  <c r="CV186" i="2"/>
  <c r="CQ186" i="2"/>
  <c r="CP186" i="2"/>
  <c r="CO186" i="2"/>
  <c r="CN186" i="2"/>
  <c r="FS185" i="2"/>
  <c r="FR185" i="2"/>
  <c r="FQ185" i="2"/>
  <c r="FP185" i="2"/>
  <c r="FO185" i="2"/>
  <c r="FN185" i="2"/>
  <c r="FM185" i="2"/>
  <c r="FL185" i="2"/>
  <c r="FK185" i="2"/>
  <c r="FJ185" i="2"/>
  <c r="FI185" i="2"/>
  <c r="FH185" i="2"/>
  <c r="FG185" i="2"/>
  <c r="FF185" i="2"/>
  <c r="FE185" i="2"/>
  <c r="FD185" i="2"/>
  <c r="FC185" i="2"/>
  <c r="FB185" i="2"/>
  <c r="FA185" i="2"/>
  <c r="EZ185" i="2"/>
  <c r="EY185" i="2"/>
  <c r="EX185" i="2"/>
  <c r="EW185" i="2"/>
  <c r="EV185" i="2"/>
  <c r="EU185" i="2"/>
  <c r="ET185" i="2"/>
  <c r="ES185" i="2"/>
  <c r="ER185" i="2"/>
  <c r="EQ185" i="2"/>
  <c r="EP185" i="2"/>
  <c r="EO185" i="2"/>
  <c r="EN185" i="2"/>
  <c r="EM185" i="2"/>
  <c r="EL185" i="2"/>
  <c r="EK185" i="2"/>
  <c r="EJ185" i="2"/>
  <c r="EI185" i="2"/>
  <c r="EH185" i="2"/>
  <c r="EG185" i="2"/>
  <c r="EF185" i="2"/>
  <c r="EE185" i="2"/>
  <c r="ED185" i="2"/>
  <c r="EC185" i="2"/>
  <c r="EB185" i="2"/>
  <c r="EA185" i="2"/>
  <c r="DZ185" i="2"/>
  <c r="DY185" i="2"/>
  <c r="DX185" i="2"/>
  <c r="DW185" i="2"/>
  <c r="DV185" i="2"/>
  <c r="DU185" i="2"/>
  <c r="DT185" i="2"/>
  <c r="DS185" i="2"/>
  <c r="DR185" i="2"/>
  <c r="DQ185" i="2"/>
  <c r="DP185" i="2"/>
  <c r="DO185" i="2"/>
  <c r="DN185" i="2"/>
  <c r="DM185" i="2"/>
  <c r="DL185" i="2"/>
  <c r="DK185" i="2"/>
  <c r="DJ185" i="2"/>
  <c r="DI185" i="2"/>
  <c r="DH185" i="2"/>
  <c r="DG185" i="2"/>
  <c r="DF185" i="2"/>
  <c r="DE185" i="2"/>
  <c r="DD185" i="2"/>
  <c r="DC185" i="2"/>
  <c r="DB185" i="2"/>
  <c r="CV185" i="2"/>
  <c r="CR185" i="2"/>
  <c r="CQ185" i="2"/>
  <c r="CP185" i="2"/>
  <c r="CO185" i="2"/>
  <c r="CN185" i="2"/>
  <c r="U185" i="2"/>
  <c r="L185" i="4" s="1"/>
  <c r="N185" i="4" s="1"/>
  <c r="FS184" i="2"/>
  <c r="FR184" i="2"/>
  <c r="FQ184" i="2"/>
  <c r="FP184" i="2"/>
  <c r="FO184" i="2"/>
  <c r="FN184" i="2"/>
  <c r="FM184" i="2"/>
  <c r="FL184" i="2"/>
  <c r="FK184" i="2"/>
  <c r="FJ184" i="2"/>
  <c r="FI184" i="2"/>
  <c r="FH184" i="2"/>
  <c r="FG184" i="2"/>
  <c r="FF184" i="2"/>
  <c r="FE184" i="2"/>
  <c r="FD184" i="2"/>
  <c r="FC184" i="2"/>
  <c r="FB184" i="2"/>
  <c r="FA184" i="2"/>
  <c r="EZ184" i="2"/>
  <c r="EY184" i="2"/>
  <c r="EX184" i="2"/>
  <c r="EW184" i="2"/>
  <c r="EV184" i="2"/>
  <c r="EU184" i="2"/>
  <c r="ET184" i="2"/>
  <c r="ES184" i="2"/>
  <c r="ER184" i="2"/>
  <c r="EQ184" i="2"/>
  <c r="EP184" i="2"/>
  <c r="EO184" i="2"/>
  <c r="EN184" i="2"/>
  <c r="EM184" i="2"/>
  <c r="EL184" i="2"/>
  <c r="EK184" i="2"/>
  <c r="EJ184" i="2"/>
  <c r="EI184" i="2"/>
  <c r="EH184" i="2"/>
  <c r="EG184" i="2"/>
  <c r="EF184" i="2"/>
  <c r="EE184" i="2"/>
  <c r="ED184" i="2"/>
  <c r="EC184" i="2"/>
  <c r="EB184" i="2"/>
  <c r="EA184" i="2"/>
  <c r="DZ184" i="2"/>
  <c r="DY184" i="2"/>
  <c r="DX184" i="2"/>
  <c r="DW184" i="2"/>
  <c r="DV184" i="2"/>
  <c r="DU184" i="2"/>
  <c r="DT184" i="2"/>
  <c r="DS184" i="2"/>
  <c r="DR184" i="2"/>
  <c r="DQ184" i="2"/>
  <c r="DP184" i="2"/>
  <c r="DO184" i="2"/>
  <c r="DN184" i="2"/>
  <c r="DM184" i="2"/>
  <c r="DL184" i="2"/>
  <c r="DK184" i="2"/>
  <c r="DJ184" i="2"/>
  <c r="DI184" i="2"/>
  <c r="DH184" i="2"/>
  <c r="DG184" i="2"/>
  <c r="DF184" i="2"/>
  <c r="DE184" i="2"/>
  <c r="DD184" i="2"/>
  <c r="DC184" i="2"/>
  <c r="DB184" i="2"/>
  <c r="CV184" i="2"/>
  <c r="CR184" i="2"/>
  <c r="CQ184" i="2"/>
  <c r="CP184" i="2"/>
  <c r="CO184" i="2"/>
  <c r="CN184" i="2"/>
  <c r="FS183" i="2"/>
  <c r="FR183" i="2"/>
  <c r="FQ183" i="2"/>
  <c r="FP183" i="2"/>
  <c r="FO183" i="2"/>
  <c r="FN183" i="2"/>
  <c r="FM183" i="2"/>
  <c r="FL183" i="2"/>
  <c r="FK183" i="2"/>
  <c r="FJ183" i="2"/>
  <c r="FI183" i="2"/>
  <c r="FH183" i="2"/>
  <c r="FG183" i="2"/>
  <c r="FF183" i="2"/>
  <c r="FE183" i="2"/>
  <c r="FD183" i="2"/>
  <c r="FC183" i="2"/>
  <c r="FB183" i="2"/>
  <c r="FA183" i="2"/>
  <c r="EZ183" i="2"/>
  <c r="EY183" i="2"/>
  <c r="EX183" i="2"/>
  <c r="EW183" i="2"/>
  <c r="EV183" i="2"/>
  <c r="EU183" i="2"/>
  <c r="ET183" i="2"/>
  <c r="ES183" i="2"/>
  <c r="ER183" i="2"/>
  <c r="EQ183" i="2"/>
  <c r="EP183" i="2"/>
  <c r="EO183" i="2"/>
  <c r="EN183" i="2"/>
  <c r="EM183" i="2"/>
  <c r="EL183" i="2"/>
  <c r="EK183" i="2"/>
  <c r="EJ183" i="2"/>
  <c r="EI183" i="2"/>
  <c r="EH183" i="2"/>
  <c r="EG183" i="2"/>
  <c r="EF183" i="2"/>
  <c r="EE183" i="2"/>
  <c r="ED183" i="2"/>
  <c r="EC183" i="2"/>
  <c r="EB183" i="2"/>
  <c r="EA183" i="2"/>
  <c r="DZ183" i="2"/>
  <c r="DY183" i="2"/>
  <c r="DX183" i="2"/>
  <c r="DW183" i="2"/>
  <c r="DV183" i="2"/>
  <c r="DU183" i="2"/>
  <c r="DT183" i="2"/>
  <c r="DS183" i="2"/>
  <c r="DR183" i="2"/>
  <c r="DQ183" i="2"/>
  <c r="DP183" i="2"/>
  <c r="DO183" i="2"/>
  <c r="DN183" i="2"/>
  <c r="DM183" i="2"/>
  <c r="DL183" i="2"/>
  <c r="DK183" i="2"/>
  <c r="DJ183" i="2"/>
  <c r="DI183" i="2"/>
  <c r="DH183" i="2"/>
  <c r="DG183" i="2"/>
  <c r="DF183" i="2"/>
  <c r="DE183" i="2"/>
  <c r="DD183" i="2"/>
  <c r="DC183" i="2"/>
  <c r="DB183" i="2"/>
  <c r="CV183" i="2"/>
  <c r="CR183" i="2"/>
  <c r="CQ183" i="2"/>
  <c r="CP183" i="2"/>
  <c r="CO183" i="2"/>
  <c r="CN183" i="2"/>
  <c r="U183" i="2"/>
  <c r="L183" i="4" s="1"/>
  <c r="FS182" i="2"/>
  <c r="FR182" i="2"/>
  <c r="FQ182" i="2"/>
  <c r="FP182" i="2"/>
  <c r="FO182" i="2"/>
  <c r="FN182" i="2"/>
  <c r="FM182" i="2"/>
  <c r="FL182" i="2"/>
  <c r="FK182" i="2"/>
  <c r="FJ182" i="2"/>
  <c r="FI182" i="2"/>
  <c r="FH182" i="2"/>
  <c r="FG182" i="2"/>
  <c r="FF182" i="2"/>
  <c r="FE182" i="2"/>
  <c r="FD182" i="2"/>
  <c r="FC182" i="2"/>
  <c r="FB182" i="2"/>
  <c r="FA182" i="2"/>
  <c r="EZ182" i="2"/>
  <c r="EY182" i="2"/>
  <c r="EX182" i="2"/>
  <c r="EW182" i="2"/>
  <c r="EV182" i="2"/>
  <c r="EU182" i="2"/>
  <c r="ET182" i="2"/>
  <c r="ES182" i="2"/>
  <c r="ER182" i="2"/>
  <c r="EQ182" i="2"/>
  <c r="EP182" i="2"/>
  <c r="EO182" i="2"/>
  <c r="EN182" i="2"/>
  <c r="EM182" i="2"/>
  <c r="EL182" i="2"/>
  <c r="EK182" i="2"/>
  <c r="EJ182" i="2"/>
  <c r="EI182" i="2"/>
  <c r="EH182" i="2"/>
  <c r="EG182" i="2"/>
  <c r="EF182" i="2"/>
  <c r="EE182" i="2"/>
  <c r="ED182" i="2"/>
  <c r="EC182" i="2"/>
  <c r="EB182" i="2"/>
  <c r="EA182" i="2"/>
  <c r="DZ182" i="2"/>
  <c r="DY182" i="2"/>
  <c r="DX182" i="2"/>
  <c r="DW182" i="2"/>
  <c r="DV182" i="2"/>
  <c r="DU182" i="2"/>
  <c r="DT182" i="2"/>
  <c r="DS182" i="2"/>
  <c r="DR182" i="2"/>
  <c r="DQ182" i="2"/>
  <c r="DP182" i="2"/>
  <c r="DO182" i="2"/>
  <c r="DN182" i="2"/>
  <c r="DM182" i="2"/>
  <c r="DL182" i="2"/>
  <c r="DK182" i="2"/>
  <c r="DJ182" i="2"/>
  <c r="DI182" i="2"/>
  <c r="DH182" i="2"/>
  <c r="DG182" i="2"/>
  <c r="DF182" i="2"/>
  <c r="DE182" i="2"/>
  <c r="DD182" i="2"/>
  <c r="DC182" i="2"/>
  <c r="DB182" i="2"/>
  <c r="CV182" i="2"/>
  <c r="CR182" i="2"/>
  <c r="CQ182" i="2"/>
  <c r="CP182" i="2"/>
  <c r="CO182" i="2"/>
  <c r="CN182" i="2"/>
  <c r="U182" i="2"/>
  <c r="L182" i="4" s="1"/>
  <c r="N182" i="4" s="1"/>
  <c r="FS181" i="2"/>
  <c r="FR181" i="2"/>
  <c r="FQ181" i="2"/>
  <c r="FP181" i="2"/>
  <c r="FO181" i="2"/>
  <c r="FN181" i="2"/>
  <c r="FM181" i="2"/>
  <c r="FL181" i="2"/>
  <c r="FK181" i="2"/>
  <c r="FJ181" i="2"/>
  <c r="FI181" i="2"/>
  <c r="FH181" i="2"/>
  <c r="FG181" i="2"/>
  <c r="FF181" i="2"/>
  <c r="FE181" i="2"/>
  <c r="FD181" i="2"/>
  <c r="FC181" i="2"/>
  <c r="FB181" i="2"/>
  <c r="FA181" i="2"/>
  <c r="EZ181" i="2"/>
  <c r="EY181" i="2"/>
  <c r="EX181" i="2"/>
  <c r="EW181" i="2"/>
  <c r="EV181" i="2"/>
  <c r="EU181" i="2"/>
  <c r="ET181" i="2"/>
  <c r="ES181" i="2"/>
  <c r="ER181" i="2"/>
  <c r="EQ181" i="2"/>
  <c r="EP181" i="2"/>
  <c r="EO181" i="2"/>
  <c r="EN181" i="2"/>
  <c r="EM181" i="2"/>
  <c r="EL181" i="2"/>
  <c r="EK181" i="2"/>
  <c r="EJ181" i="2"/>
  <c r="EI181" i="2"/>
  <c r="EH181" i="2"/>
  <c r="EG181" i="2"/>
  <c r="EF181" i="2"/>
  <c r="EE181" i="2"/>
  <c r="ED181" i="2"/>
  <c r="EC181" i="2"/>
  <c r="EB181" i="2"/>
  <c r="EA181" i="2"/>
  <c r="DZ181" i="2"/>
  <c r="DY181" i="2"/>
  <c r="DX181" i="2"/>
  <c r="DW181" i="2"/>
  <c r="DV181" i="2"/>
  <c r="DU181" i="2"/>
  <c r="DT181" i="2"/>
  <c r="DS181" i="2"/>
  <c r="DR181" i="2"/>
  <c r="DQ181" i="2"/>
  <c r="DP181" i="2"/>
  <c r="DO181" i="2"/>
  <c r="DN181" i="2"/>
  <c r="DM181" i="2"/>
  <c r="DL181" i="2"/>
  <c r="DK181" i="2"/>
  <c r="DJ181" i="2"/>
  <c r="DI181" i="2"/>
  <c r="DH181" i="2"/>
  <c r="DG181" i="2"/>
  <c r="DF181" i="2"/>
  <c r="DE181" i="2"/>
  <c r="DD181" i="2"/>
  <c r="DC181" i="2"/>
  <c r="DB181" i="2"/>
  <c r="CV181" i="2"/>
  <c r="CR181" i="2"/>
  <c r="CQ181" i="2"/>
  <c r="CP181" i="2"/>
  <c r="CO181" i="2"/>
  <c r="CN181" i="2"/>
  <c r="U181" i="2"/>
  <c r="L181" i="4" s="1"/>
  <c r="FS180" i="2"/>
  <c r="FR180" i="2"/>
  <c r="FQ180" i="2"/>
  <c r="FP180" i="2"/>
  <c r="FO180" i="2"/>
  <c r="FN180" i="2"/>
  <c r="FM180" i="2"/>
  <c r="FL180" i="2"/>
  <c r="FK180" i="2"/>
  <c r="FJ180" i="2"/>
  <c r="FI180" i="2"/>
  <c r="FH180" i="2"/>
  <c r="FG180" i="2"/>
  <c r="FF180" i="2"/>
  <c r="FE180" i="2"/>
  <c r="FD180" i="2"/>
  <c r="FC180" i="2"/>
  <c r="FB180" i="2"/>
  <c r="FA180" i="2"/>
  <c r="EZ180" i="2"/>
  <c r="EY180" i="2"/>
  <c r="EX180" i="2"/>
  <c r="EW180" i="2"/>
  <c r="EV180" i="2"/>
  <c r="EU180" i="2"/>
  <c r="ET180" i="2"/>
  <c r="ES180" i="2"/>
  <c r="ER180" i="2"/>
  <c r="EQ180" i="2"/>
  <c r="EP180" i="2"/>
  <c r="EO180" i="2"/>
  <c r="EN180" i="2"/>
  <c r="EM180" i="2"/>
  <c r="EL180" i="2"/>
  <c r="EK180" i="2"/>
  <c r="EJ180" i="2"/>
  <c r="EI180" i="2"/>
  <c r="EH180" i="2"/>
  <c r="EG180" i="2"/>
  <c r="EF180" i="2"/>
  <c r="EE180" i="2"/>
  <c r="ED180" i="2"/>
  <c r="EC180" i="2"/>
  <c r="EB180" i="2"/>
  <c r="EA180" i="2"/>
  <c r="DZ180" i="2"/>
  <c r="DY180" i="2"/>
  <c r="DX180" i="2"/>
  <c r="DW180" i="2"/>
  <c r="DV180" i="2"/>
  <c r="DU180" i="2"/>
  <c r="DT180" i="2"/>
  <c r="DS180" i="2"/>
  <c r="DR180" i="2"/>
  <c r="DQ180" i="2"/>
  <c r="DP180" i="2"/>
  <c r="DO180" i="2"/>
  <c r="DN180" i="2"/>
  <c r="DM180" i="2"/>
  <c r="DL180" i="2"/>
  <c r="DK180" i="2"/>
  <c r="DJ180" i="2"/>
  <c r="DI180" i="2"/>
  <c r="DH180" i="2"/>
  <c r="DG180" i="2"/>
  <c r="DF180" i="2"/>
  <c r="DE180" i="2"/>
  <c r="DD180" i="2"/>
  <c r="DC180" i="2"/>
  <c r="CU180" i="2" s="1"/>
  <c r="DB180" i="2"/>
  <c r="CV180" i="2"/>
  <c r="CR180" i="2"/>
  <c r="CQ180" i="2"/>
  <c r="CP180" i="2"/>
  <c r="CO180" i="2"/>
  <c r="CN180" i="2"/>
  <c r="U180" i="2"/>
  <c r="FS179" i="2"/>
  <c r="FR179" i="2"/>
  <c r="FQ179" i="2"/>
  <c r="FP179" i="2"/>
  <c r="FO179" i="2"/>
  <c r="FN179" i="2"/>
  <c r="FM179" i="2"/>
  <c r="FL179" i="2"/>
  <c r="FK179" i="2"/>
  <c r="FJ179" i="2"/>
  <c r="FI179" i="2"/>
  <c r="FH179" i="2"/>
  <c r="FG179" i="2"/>
  <c r="FF179" i="2"/>
  <c r="FE179" i="2"/>
  <c r="FD179" i="2"/>
  <c r="FC179" i="2"/>
  <c r="FB179" i="2"/>
  <c r="FA179" i="2"/>
  <c r="EZ179" i="2"/>
  <c r="EY179" i="2"/>
  <c r="EX179" i="2"/>
  <c r="EW179" i="2"/>
  <c r="EV179" i="2"/>
  <c r="EU179" i="2"/>
  <c r="ET179" i="2"/>
  <c r="ES179" i="2"/>
  <c r="ER179" i="2"/>
  <c r="EQ179" i="2"/>
  <c r="EP179" i="2"/>
  <c r="EO179" i="2"/>
  <c r="EN179" i="2"/>
  <c r="EM179" i="2"/>
  <c r="EL179" i="2"/>
  <c r="EK179" i="2"/>
  <c r="EJ179" i="2"/>
  <c r="EI179" i="2"/>
  <c r="EH179" i="2"/>
  <c r="EG179" i="2"/>
  <c r="EF179" i="2"/>
  <c r="EE179" i="2"/>
  <c r="ED179" i="2"/>
  <c r="EC179" i="2"/>
  <c r="EB179" i="2"/>
  <c r="EA179" i="2"/>
  <c r="DZ179" i="2"/>
  <c r="DY179" i="2"/>
  <c r="DX179" i="2"/>
  <c r="DW179" i="2"/>
  <c r="DV179" i="2"/>
  <c r="DU179" i="2"/>
  <c r="DT179" i="2"/>
  <c r="DS179" i="2"/>
  <c r="DR179" i="2"/>
  <c r="DQ179" i="2"/>
  <c r="DP179" i="2"/>
  <c r="DO179" i="2"/>
  <c r="DN179" i="2"/>
  <c r="DM179" i="2"/>
  <c r="DL179" i="2"/>
  <c r="DK179" i="2"/>
  <c r="DJ179" i="2"/>
  <c r="DI179" i="2"/>
  <c r="DH179" i="2"/>
  <c r="DG179" i="2"/>
  <c r="DF179" i="2"/>
  <c r="DE179" i="2"/>
  <c r="DD179" i="2"/>
  <c r="DC179" i="2"/>
  <c r="DB179" i="2"/>
  <c r="CV179" i="2"/>
  <c r="CR179" i="2"/>
  <c r="CQ179" i="2"/>
  <c r="CP179" i="2"/>
  <c r="CO179" i="2"/>
  <c r="CN179" i="2"/>
  <c r="U179" i="2"/>
  <c r="L179" i="4" s="1"/>
  <c r="N179" i="4" s="1"/>
  <c r="FS178" i="2"/>
  <c r="FR178" i="2"/>
  <c r="FQ178" i="2"/>
  <c r="FP178" i="2"/>
  <c r="FO178" i="2"/>
  <c r="FN178" i="2"/>
  <c r="FM178" i="2"/>
  <c r="FL178" i="2"/>
  <c r="FK178" i="2"/>
  <c r="FJ178" i="2"/>
  <c r="FI178" i="2"/>
  <c r="FH178" i="2"/>
  <c r="FG178" i="2"/>
  <c r="FF178" i="2"/>
  <c r="FE178" i="2"/>
  <c r="FD178" i="2"/>
  <c r="FC178" i="2"/>
  <c r="FB178" i="2"/>
  <c r="FA178" i="2"/>
  <c r="EZ178" i="2"/>
  <c r="EY178" i="2"/>
  <c r="EX178" i="2"/>
  <c r="EW178" i="2"/>
  <c r="EV178" i="2"/>
  <c r="EU178" i="2"/>
  <c r="ET178" i="2"/>
  <c r="ES178" i="2"/>
  <c r="ER178" i="2"/>
  <c r="EQ178" i="2"/>
  <c r="EP178" i="2"/>
  <c r="EO178" i="2"/>
  <c r="EN178" i="2"/>
  <c r="EM178" i="2"/>
  <c r="EL178" i="2"/>
  <c r="EK178" i="2"/>
  <c r="EJ178" i="2"/>
  <c r="EI178" i="2"/>
  <c r="EH178" i="2"/>
  <c r="EG178" i="2"/>
  <c r="EF178" i="2"/>
  <c r="EE178" i="2"/>
  <c r="ED178" i="2"/>
  <c r="EC178" i="2"/>
  <c r="EB178" i="2"/>
  <c r="EA178" i="2"/>
  <c r="DZ178" i="2"/>
  <c r="DY178" i="2"/>
  <c r="DX178" i="2"/>
  <c r="DW178" i="2"/>
  <c r="DV178" i="2"/>
  <c r="DU178" i="2"/>
  <c r="DT178" i="2"/>
  <c r="DS178" i="2"/>
  <c r="DR178" i="2"/>
  <c r="DQ178" i="2"/>
  <c r="DP178" i="2"/>
  <c r="DO178" i="2"/>
  <c r="DN178" i="2"/>
  <c r="DM178" i="2"/>
  <c r="DL178" i="2"/>
  <c r="DK178" i="2"/>
  <c r="DJ178" i="2"/>
  <c r="DI178" i="2"/>
  <c r="DH178" i="2"/>
  <c r="DG178" i="2"/>
  <c r="DF178" i="2"/>
  <c r="DE178" i="2"/>
  <c r="DD178" i="2"/>
  <c r="DC178" i="2"/>
  <c r="DB178" i="2"/>
  <c r="CV178" i="2"/>
  <c r="CR178" i="2"/>
  <c r="CQ178" i="2"/>
  <c r="CP178" i="2"/>
  <c r="CO178" i="2"/>
  <c r="CN178" i="2"/>
  <c r="U178" i="2"/>
  <c r="L178" i="4" s="1"/>
  <c r="FS177" i="2"/>
  <c r="FR177" i="2"/>
  <c r="FQ177" i="2"/>
  <c r="FP177" i="2"/>
  <c r="FO177" i="2"/>
  <c r="FN177" i="2"/>
  <c r="FM177" i="2"/>
  <c r="FL177" i="2"/>
  <c r="FK177" i="2"/>
  <c r="FJ177" i="2"/>
  <c r="FI177" i="2"/>
  <c r="FH177" i="2"/>
  <c r="FG177" i="2"/>
  <c r="FF177" i="2"/>
  <c r="FE177" i="2"/>
  <c r="FD177" i="2"/>
  <c r="FC177" i="2"/>
  <c r="FB177" i="2"/>
  <c r="FA177" i="2"/>
  <c r="EZ177" i="2"/>
  <c r="EY177" i="2"/>
  <c r="EX177" i="2"/>
  <c r="EW177" i="2"/>
  <c r="EV177" i="2"/>
  <c r="EU177" i="2"/>
  <c r="ET177" i="2"/>
  <c r="ES177" i="2"/>
  <c r="ER177" i="2"/>
  <c r="EQ177" i="2"/>
  <c r="EP177" i="2"/>
  <c r="EO177" i="2"/>
  <c r="EN177" i="2"/>
  <c r="EM177" i="2"/>
  <c r="EL177" i="2"/>
  <c r="EK177" i="2"/>
  <c r="EJ177" i="2"/>
  <c r="EI177" i="2"/>
  <c r="EH177" i="2"/>
  <c r="EG177" i="2"/>
  <c r="EF177" i="2"/>
  <c r="EE177" i="2"/>
  <c r="ED177" i="2"/>
  <c r="EC177" i="2"/>
  <c r="EB177" i="2"/>
  <c r="EA177" i="2"/>
  <c r="DZ177" i="2"/>
  <c r="DY177" i="2"/>
  <c r="DX177" i="2"/>
  <c r="DW177" i="2"/>
  <c r="DV177" i="2"/>
  <c r="DU177" i="2"/>
  <c r="DT177" i="2"/>
  <c r="DS177" i="2"/>
  <c r="DR177" i="2"/>
  <c r="DQ177" i="2"/>
  <c r="DP177" i="2"/>
  <c r="DO177" i="2"/>
  <c r="DN177" i="2"/>
  <c r="DM177" i="2"/>
  <c r="DL177" i="2"/>
  <c r="DK177" i="2"/>
  <c r="DJ177" i="2"/>
  <c r="DI177" i="2"/>
  <c r="DH177" i="2"/>
  <c r="DG177" i="2"/>
  <c r="DF177" i="2"/>
  <c r="DE177" i="2"/>
  <c r="DD177" i="2"/>
  <c r="DC177" i="2"/>
  <c r="DB177" i="2"/>
  <c r="CV177" i="2"/>
  <c r="CR177" i="2"/>
  <c r="CQ177" i="2"/>
  <c r="CP177" i="2"/>
  <c r="CO177" i="2"/>
  <c r="CN177" i="2"/>
  <c r="U177" i="2"/>
  <c r="L177" i="4" s="1"/>
  <c r="FS176" i="2"/>
  <c r="FR176" i="2"/>
  <c r="FQ176" i="2"/>
  <c r="FP176" i="2"/>
  <c r="FO176" i="2"/>
  <c r="FN176" i="2"/>
  <c r="FM176" i="2"/>
  <c r="FL176" i="2"/>
  <c r="FK176" i="2"/>
  <c r="FJ176" i="2"/>
  <c r="FI176" i="2"/>
  <c r="FH176" i="2"/>
  <c r="FG176" i="2"/>
  <c r="FF176" i="2"/>
  <c r="FE176" i="2"/>
  <c r="FD176" i="2"/>
  <c r="FC176" i="2"/>
  <c r="FB176" i="2"/>
  <c r="FA176" i="2"/>
  <c r="EZ176" i="2"/>
  <c r="EY176" i="2"/>
  <c r="EX176" i="2"/>
  <c r="EW176" i="2"/>
  <c r="EV176" i="2"/>
  <c r="EU176" i="2"/>
  <c r="ET176" i="2"/>
  <c r="ES176" i="2"/>
  <c r="ER176" i="2"/>
  <c r="EQ176" i="2"/>
  <c r="EP176" i="2"/>
  <c r="EO176" i="2"/>
  <c r="EN176" i="2"/>
  <c r="EM176" i="2"/>
  <c r="EL176" i="2"/>
  <c r="EK176" i="2"/>
  <c r="EJ176" i="2"/>
  <c r="EI176" i="2"/>
  <c r="EH176" i="2"/>
  <c r="EG176" i="2"/>
  <c r="EF176" i="2"/>
  <c r="EE176" i="2"/>
  <c r="ED176" i="2"/>
  <c r="EC176" i="2"/>
  <c r="EB176" i="2"/>
  <c r="EA176" i="2"/>
  <c r="DZ176" i="2"/>
  <c r="DY176" i="2"/>
  <c r="DX176" i="2"/>
  <c r="DW176" i="2"/>
  <c r="DV176" i="2"/>
  <c r="DU176" i="2"/>
  <c r="DT176" i="2"/>
  <c r="DS176" i="2"/>
  <c r="DR176" i="2"/>
  <c r="DQ176" i="2"/>
  <c r="DP176" i="2"/>
  <c r="DO176" i="2"/>
  <c r="DN176" i="2"/>
  <c r="DM176" i="2"/>
  <c r="DL176" i="2"/>
  <c r="DK176" i="2"/>
  <c r="DJ176" i="2"/>
  <c r="DI176" i="2"/>
  <c r="DH176" i="2"/>
  <c r="DG176" i="2"/>
  <c r="DF176" i="2"/>
  <c r="DE176" i="2"/>
  <c r="DD176" i="2"/>
  <c r="DC176" i="2"/>
  <c r="DB176" i="2"/>
  <c r="CV176" i="2"/>
  <c r="CR176" i="2"/>
  <c r="CQ176" i="2"/>
  <c r="CP176" i="2"/>
  <c r="CO176" i="2"/>
  <c r="CN176" i="2"/>
  <c r="U176" i="2"/>
  <c r="L176" i="4" s="1"/>
  <c r="N176" i="4" s="1"/>
  <c r="FS175" i="2"/>
  <c r="FR175" i="2"/>
  <c r="FQ175" i="2"/>
  <c r="FP175" i="2"/>
  <c r="FO175" i="2"/>
  <c r="FN175" i="2"/>
  <c r="FM175" i="2"/>
  <c r="FL175" i="2"/>
  <c r="FK175" i="2"/>
  <c r="FJ175" i="2"/>
  <c r="FI175" i="2"/>
  <c r="FH175" i="2"/>
  <c r="FG175" i="2"/>
  <c r="FF175" i="2"/>
  <c r="FE175" i="2"/>
  <c r="FD175" i="2"/>
  <c r="FC175" i="2"/>
  <c r="FB175" i="2"/>
  <c r="FA175" i="2"/>
  <c r="EZ175" i="2"/>
  <c r="EY175" i="2"/>
  <c r="EX175" i="2"/>
  <c r="EW175" i="2"/>
  <c r="EV175" i="2"/>
  <c r="EU175" i="2"/>
  <c r="ET175" i="2"/>
  <c r="ES175" i="2"/>
  <c r="ER175" i="2"/>
  <c r="EQ175" i="2"/>
  <c r="EP175" i="2"/>
  <c r="EO175" i="2"/>
  <c r="EN175" i="2"/>
  <c r="EM175" i="2"/>
  <c r="EL175" i="2"/>
  <c r="EK175" i="2"/>
  <c r="EJ175" i="2"/>
  <c r="EI175" i="2"/>
  <c r="EH175" i="2"/>
  <c r="EG175" i="2"/>
  <c r="EF175" i="2"/>
  <c r="EE175" i="2"/>
  <c r="ED175" i="2"/>
  <c r="EC175" i="2"/>
  <c r="EB175" i="2"/>
  <c r="EA175" i="2"/>
  <c r="DZ175" i="2"/>
  <c r="DY175" i="2"/>
  <c r="DX175" i="2"/>
  <c r="DW175" i="2"/>
  <c r="DV175" i="2"/>
  <c r="DU175" i="2"/>
  <c r="DT175" i="2"/>
  <c r="DS175" i="2"/>
  <c r="DR175" i="2"/>
  <c r="DQ175" i="2"/>
  <c r="DP175" i="2"/>
  <c r="DO175" i="2"/>
  <c r="DN175" i="2"/>
  <c r="DM175" i="2"/>
  <c r="DL175" i="2"/>
  <c r="DK175" i="2"/>
  <c r="DJ175" i="2"/>
  <c r="DI175" i="2"/>
  <c r="DH175" i="2"/>
  <c r="DG175" i="2"/>
  <c r="DF175" i="2"/>
  <c r="DE175" i="2"/>
  <c r="DD175" i="2"/>
  <c r="DC175" i="2"/>
  <c r="DB175" i="2"/>
  <c r="CV175" i="2"/>
  <c r="CR175" i="2"/>
  <c r="CQ175" i="2"/>
  <c r="CP175" i="2"/>
  <c r="CO175" i="2"/>
  <c r="CN175" i="2"/>
  <c r="U175" i="2"/>
  <c r="L175" i="4" s="1"/>
  <c r="N175" i="4" s="1"/>
  <c r="FS174" i="2"/>
  <c r="FR174" i="2"/>
  <c r="FQ174" i="2"/>
  <c r="FP174" i="2"/>
  <c r="FO174" i="2"/>
  <c r="FN174" i="2"/>
  <c r="FM174" i="2"/>
  <c r="FL174" i="2"/>
  <c r="FK174" i="2"/>
  <c r="FJ174" i="2"/>
  <c r="FI174" i="2"/>
  <c r="FH174" i="2"/>
  <c r="FG174" i="2"/>
  <c r="FF174" i="2"/>
  <c r="FE174" i="2"/>
  <c r="FD174" i="2"/>
  <c r="FC174" i="2"/>
  <c r="FB174" i="2"/>
  <c r="FA174" i="2"/>
  <c r="EZ174" i="2"/>
  <c r="EY174" i="2"/>
  <c r="EX174" i="2"/>
  <c r="EW174" i="2"/>
  <c r="EV174" i="2"/>
  <c r="EU174" i="2"/>
  <c r="ET174" i="2"/>
  <c r="ES174" i="2"/>
  <c r="ER174" i="2"/>
  <c r="EQ174" i="2"/>
  <c r="EP174" i="2"/>
  <c r="EO174" i="2"/>
  <c r="EN174" i="2"/>
  <c r="EM174" i="2"/>
  <c r="EL174" i="2"/>
  <c r="EK174" i="2"/>
  <c r="EJ174" i="2"/>
  <c r="EI174" i="2"/>
  <c r="EH174" i="2"/>
  <c r="EG174" i="2"/>
  <c r="EF174" i="2"/>
  <c r="EE174" i="2"/>
  <c r="ED174" i="2"/>
  <c r="EC174" i="2"/>
  <c r="EB174" i="2"/>
  <c r="EA174" i="2"/>
  <c r="DZ174" i="2"/>
  <c r="DY174" i="2"/>
  <c r="DX174" i="2"/>
  <c r="DW174" i="2"/>
  <c r="DV174" i="2"/>
  <c r="DU174" i="2"/>
  <c r="DT174" i="2"/>
  <c r="DS174" i="2"/>
  <c r="DR174" i="2"/>
  <c r="DQ174" i="2"/>
  <c r="DP174" i="2"/>
  <c r="DO174" i="2"/>
  <c r="DN174" i="2"/>
  <c r="DM174" i="2"/>
  <c r="DL174" i="2"/>
  <c r="DK174" i="2"/>
  <c r="DJ174" i="2"/>
  <c r="DI174" i="2"/>
  <c r="DH174" i="2"/>
  <c r="DG174" i="2"/>
  <c r="DF174" i="2"/>
  <c r="DE174" i="2"/>
  <c r="DD174" i="2"/>
  <c r="DC174" i="2"/>
  <c r="DB174" i="2"/>
  <c r="CV174" i="2"/>
  <c r="CR174" i="2"/>
  <c r="CQ174" i="2"/>
  <c r="CP174" i="2"/>
  <c r="CO174" i="2"/>
  <c r="CN174" i="2"/>
  <c r="U174" i="2"/>
  <c r="L174" i="4" s="1"/>
  <c r="FS173" i="2"/>
  <c r="FR173" i="2"/>
  <c r="FQ173" i="2"/>
  <c r="FP173" i="2"/>
  <c r="FO173" i="2"/>
  <c r="FN173" i="2"/>
  <c r="FM173" i="2"/>
  <c r="FL173" i="2"/>
  <c r="FK173" i="2"/>
  <c r="FJ173" i="2"/>
  <c r="FI173" i="2"/>
  <c r="FH173" i="2"/>
  <c r="FG173" i="2"/>
  <c r="FF173" i="2"/>
  <c r="FE173" i="2"/>
  <c r="FD173" i="2"/>
  <c r="FC173" i="2"/>
  <c r="FB173" i="2"/>
  <c r="FA173" i="2"/>
  <c r="EZ173" i="2"/>
  <c r="EY173" i="2"/>
  <c r="EX173" i="2"/>
  <c r="EW173" i="2"/>
  <c r="EV173" i="2"/>
  <c r="EU173" i="2"/>
  <c r="ET173" i="2"/>
  <c r="ES173" i="2"/>
  <c r="ER173" i="2"/>
  <c r="EQ173" i="2"/>
  <c r="EP173" i="2"/>
  <c r="EO173" i="2"/>
  <c r="EN173" i="2"/>
  <c r="EM173" i="2"/>
  <c r="EL173" i="2"/>
  <c r="EK173" i="2"/>
  <c r="EJ173" i="2"/>
  <c r="EI173" i="2"/>
  <c r="EH173" i="2"/>
  <c r="EG173" i="2"/>
  <c r="EF173" i="2"/>
  <c r="EE173" i="2"/>
  <c r="ED173" i="2"/>
  <c r="EC173" i="2"/>
  <c r="EB173" i="2"/>
  <c r="EA173" i="2"/>
  <c r="DZ173" i="2"/>
  <c r="DY173" i="2"/>
  <c r="DX173" i="2"/>
  <c r="DW173" i="2"/>
  <c r="DV173" i="2"/>
  <c r="DU173" i="2"/>
  <c r="DT173" i="2"/>
  <c r="DS173" i="2"/>
  <c r="DR173" i="2"/>
  <c r="DQ173" i="2"/>
  <c r="DP173" i="2"/>
  <c r="DO173" i="2"/>
  <c r="DN173" i="2"/>
  <c r="DM173" i="2"/>
  <c r="DL173" i="2"/>
  <c r="DK173" i="2"/>
  <c r="DJ173" i="2"/>
  <c r="DI173" i="2"/>
  <c r="DH173" i="2"/>
  <c r="DG173" i="2"/>
  <c r="DF173" i="2"/>
  <c r="DE173" i="2"/>
  <c r="DD173" i="2"/>
  <c r="DC173" i="2"/>
  <c r="DB173" i="2"/>
  <c r="CV173" i="2"/>
  <c r="CR173" i="2"/>
  <c r="CQ173" i="2"/>
  <c r="CP173" i="2"/>
  <c r="CO173" i="2"/>
  <c r="CN173" i="2"/>
  <c r="U173" i="2"/>
  <c r="L173" i="4" s="1"/>
  <c r="N173" i="4" s="1"/>
  <c r="FS172" i="2"/>
  <c r="FR172" i="2"/>
  <c r="FQ172" i="2"/>
  <c r="FP172" i="2"/>
  <c r="FO172" i="2"/>
  <c r="FN172" i="2"/>
  <c r="FM172" i="2"/>
  <c r="FL172" i="2"/>
  <c r="FK172" i="2"/>
  <c r="FJ172" i="2"/>
  <c r="FI172" i="2"/>
  <c r="FH172" i="2"/>
  <c r="FG172" i="2"/>
  <c r="FF172" i="2"/>
  <c r="FE172" i="2"/>
  <c r="FD172" i="2"/>
  <c r="FC172" i="2"/>
  <c r="FB172" i="2"/>
  <c r="FA172" i="2"/>
  <c r="EZ172" i="2"/>
  <c r="EY172" i="2"/>
  <c r="EX172" i="2"/>
  <c r="EW172" i="2"/>
  <c r="EV172" i="2"/>
  <c r="EU172" i="2"/>
  <c r="ET172" i="2"/>
  <c r="ES172" i="2"/>
  <c r="ER172" i="2"/>
  <c r="EQ172" i="2"/>
  <c r="EP172" i="2"/>
  <c r="EO172" i="2"/>
  <c r="EN172" i="2"/>
  <c r="EM172" i="2"/>
  <c r="EL172" i="2"/>
  <c r="EK172" i="2"/>
  <c r="EJ172" i="2"/>
  <c r="EI172" i="2"/>
  <c r="EH172" i="2"/>
  <c r="EG172" i="2"/>
  <c r="EF172" i="2"/>
  <c r="EE172" i="2"/>
  <c r="ED172" i="2"/>
  <c r="EC172" i="2"/>
  <c r="EB172" i="2"/>
  <c r="EA172" i="2"/>
  <c r="DZ172" i="2"/>
  <c r="DY172" i="2"/>
  <c r="DX172" i="2"/>
  <c r="DW172" i="2"/>
  <c r="DV172" i="2"/>
  <c r="DU172" i="2"/>
  <c r="DT172" i="2"/>
  <c r="DS172" i="2"/>
  <c r="DR172" i="2"/>
  <c r="DQ172" i="2"/>
  <c r="DP172" i="2"/>
  <c r="DO172" i="2"/>
  <c r="DN172" i="2"/>
  <c r="DM172" i="2"/>
  <c r="DL172" i="2"/>
  <c r="DK172" i="2"/>
  <c r="DJ172" i="2"/>
  <c r="DI172" i="2"/>
  <c r="DH172" i="2"/>
  <c r="DG172" i="2"/>
  <c r="DF172" i="2"/>
  <c r="DE172" i="2"/>
  <c r="DD172" i="2"/>
  <c r="DC172" i="2"/>
  <c r="CU172" i="2" s="1"/>
  <c r="DB172" i="2"/>
  <c r="CV172" i="2"/>
  <c r="CR172" i="2"/>
  <c r="CQ172" i="2"/>
  <c r="CP172" i="2"/>
  <c r="CO172" i="2"/>
  <c r="CN172" i="2"/>
  <c r="U172" i="2"/>
  <c r="FS171" i="2"/>
  <c r="FR171" i="2"/>
  <c r="FQ171" i="2"/>
  <c r="FP171" i="2"/>
  <c r="FO171" i="2"/>
  <c r="FN171" i="2"/>
  <c r="FM171" i="2"/>
  <c r="FL171" i="2"/>
  <c r="FK171" i="2"/>
  <c r="FJ171" i="2"/>
  <c r="FI171" i="2"/>
  <c r="FH171" i="2"/>
  <c r="FG171" i="2"/>
  <c r="FF171" i="2"/>
  <c r="FE171" i="2"/>
  <c r="FD171" i="2"/>
  <c r="FC171" i="2"/>
  <c r="FB171" i="2"/>
  <c r="FA171" i="2"/>
  <c r="EZ171" i="2"/>
  <c r="EY171" i="2"/>
  <c r="EX171" i="2"/>
  <c r="EW171" i="2"/>
  <c r="EV171" i="2"/>
  <c r="EU171" i="2"/>
  <c r="ET171" i="2"/>
  <c r="ES171" i="2"/>
  <c r="ER171" i="2"/>
  <c r="EQ171" i="2"/>
  <c r="EP171" i="2"/>
  <c r="EO171" i="2"/>
  <c r="EN171" i="2"/>
  <c r="EM171" i="2"/>
  <c r="EL171" i="2"/>
  <c r="EK171" i="2"/>
  <c r="EJ171" i="2"/>
  <c r="EI171" i="2"/>
  <c r="EH171" i="2"/>
  <c r="EG171" i="2"/>
  <c r="EF171" i="2"/>
  <c r="EE171" i="2"/>
  <c r="ED171" i="2"/>
  <c r="EC171" i="2"/>
  <c r="EB171" i="2"/>
  <c r="EA171" i="2"/>
  <c r="DZ171" i="2"/>
  <c r="DY171" i="2"/>
  <c r="DX171" i="2"/>
  <c r="DW171" i="2"/>
  <c r="DV171" i="2"/>
  <c r="DU171" i="2"/>
  <c r="DT171" i="2"/>
  <c r="DS171" i="2"/>
  <c r="DR171" i="2"/>
  <c r="DQ171" i="2"/>
  <c r="DP171" i="2"/>
  <c r="DO171" i="2"/>
  <c r="DN171" i="2"/>
  <c r="DM171" i="2"/>
  <c r="DL171" i="2"/>
  <c r="DK171" i="2"/>
  <c r="DJ171" i="2"/>
  <c r="DI171" i="2"/>
  <c r="DH171" i="2"/>
  <c r="DG171" i="2"/>
  <c r="DF171" i="2"/>
  <c r="DE171" i="2"/>
  <c r="DD171" i="2"/>
  <c r="DC171" i="2"/>
  <c r="DB171" i="2"/>
  <c r="CV171" i="2"/>
  <c r="CR171" i="2"/>
  <c r="CQ171" i="2"/>
  <c r="CP171" i="2"/>
  <c r="CO171" i="2"/>
  <c r="CN171" i="2"/>
  <c r="U171" i="2"/>
  <c r="L171" i="4" s="1"/>
  <c r="FS170" i="2"/>
  <c r="FR170" i="2"/>
  <c r="FQ170" i="2"/>
  <c r="FP170" i="2"/>
  <c r="FO170" i="2"/>
  <c r="FN170" i="2"/>
  <c r="FM170" i="2"/>
  <c r="FL170" i="2"/>
  <c r="FK170" i="2"/>
  <c r="FJ170" i="2"/>
  <c r="FI170" i="2"/>
  <c r="FH170" i="2"/>
  <c r="FG170" i="2"/>
  <c r="FF170" i="2"/>
  <c r="FE170" i="2"/>
  <c r="FD170" i="2"/>
  <c r="FC170" i="2"/>
  <c r="FB170" i="2"/>
  <c r="FA170" i="2"/>
  <c r="EZ170" i="2"/>
  <c r="EY170" i="2"/>
  <c r="EX170" i="2"/>
  <c r="EW170" i="2"/>
  <c r="EV170" i="2"/>
  <c r="EU170" i="2"/>
  <c r="ET170" i="2"/>
  <c r="ES170" i="2"/>
  <c r="ER170" i="2"/>
  <c r="EQ170" i="2"/>
  <c r="EP170" i="2"/>
  <c r="EO170" i="2"/>
  <c r="EN170" i="2"/>
  <c r="EM170" i="2"/>
  <c r="EL170" i="2"/>
  <c r="EK170" i="2"/>
  <c r="EJ170" i="2"/>
  <c r="EI170" i="2"/>
  <c r="EH170" i="2"/>
  <c r="EG170" i="2"/>
  <c r="EF170" i="2"/>
  <c r="EE170" i="2"/>
  <c r="ED170" i="2"/>
  <c r="EC170" i="2"/>
  <c r="EB170" i="2"/>
  <c r="EA170" i="2"/>
  <c r="DZ170" i="2"/>
  <c r="DY170" i="2"/>
  <c r="DX170" i="2"/>
  <c r="DW170" i="2"/>
  <c r="DV170" i="2"/>
  <c r="DU170" i="2"/>
  <c r="DT170" i="2"/>
  <c r="DS170" i="2"/>
  <c r="DR170" i="2"/>
  <c r="DQ170" i="2"/>
  <c r="DP170" i="2"/>
  <c r="DO170" i="2"/>
  <c r="DN170" i="2"/>
  <c r="DM170" i="2"/>
  <c r="DL170" i="2"/>
  <c r="DK170" i="2"/>
  <c r="DJ170" i="2"/>
  <c r="DI170" i="2"/>
  <c r="DH170" i="2"/>
  <c r="DG170" i="2"/>
  <c r="DF170" i="2"/>
  <c r="DE170" i="2"/>
  <c r="DD170" i="2"/>
  <c r="DC170" i="2"/>
  <c r="DB170" i="2"/>
  <c r="CV170" i="2"/>
  <c r="CR170" i="2"/>
  <c r="CQ170" i="2"/>
  <c r="CP170" i="2"/>
  <c r="CO170" i="2"/>
  <c r="CN170" i="2"/>
  <c r="FS169" i="2"/>
  <c r="FR169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B169" i="2"/>
  <c r="FA169" i="2"/>
  <c r="EZ169" i="2"/>
  <c r="EY169" i="2"/>
  <c r="EX169" i="2"/>
  <c r="EW169" i="2"/>
  <c r="EV169" i="2"/>
  <c r="EU169" i="2"/>
  <c r="ET169" i="2"/>
  <c r="ES169" i="2"/>
  <c r="ER169" i="2"/>
  <c r="EQ169" i="2"/>
  <c r="EP169" i="2"/>
  <c r="EO169" i="2"/>
  <c r="EN169" i="2"/>
  <c r="EM169" i="2"/>
  <c r="EL169" i="2"/>
  <c r="EK169" i="2"/>
  <c r="EJ169" i="2"/>
  <c r="EI169" i="2"/>
  <c r="EH169" i="2"/>
  <c r="EG169" i="2"/>
  <c r="EF169" i="2"/>
  <c r="EE169" i="2"/>
  <c r="ED169" i="2"/>
  <c r="EC169" i="2"/>
  <c r="EB169" i="2"/>
  <c r="EA169" i="2"/>
  <c r="DZ169" i="2"/>
  <c r="DY169" i="2"/>
  <c r="DX169" i="2"/>
  <c r="DW169" i="2"/>
  <c r="DV169" i="2"/>
  <c r="DU169" i="2"/>
  <c r="DT169" i="2"/>
  <c r="DS169" i="2"/>
  <c r="DR169" i="2"/>
  <c r="DQ169" i="2"/>
  <c r="DP169" i="2"/>
  <c r="DO169" i="2"/>
  <c r="DN169" i="2"/>
  <c r="DM169" i="2"/>
  <c r="DL169" i="2"/>
  <c r="DK169" i="2"/>
  <c r="DJ169" i="2"/>
  <c r="DI169" i="2"/>
  <c r="DH169" i="2"/>
  <c r="DG169" i="2"/>
  <c r="DF169" i="2"/>
  <c r="DE169" i="2"/>
  <c r="DD169" i="2"/>
  <c r="DC169" i="2"/>
  <c r="DB169" i="2"/>
  <c r="CV169" i="2"/>
  <c r="CR169" i="2"/>
  <c r="CQ169" i="2"/>
  <c r="CP169" i="2"/>
  <c r="CO169" i="2"/>
  <c r="CN169" i="2"/>
  <c r="FS168" i="2"/>
  <c r="FR168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B168" i="2"/>
  <c r="FA168" i="2"/>
  <c r="EZ168" i="2"/>
  <c r="EY168" i="2"/>
  <c r="EX168" i="2"/>
  <c r="EW168" i="2"/>
  <c r="EV168" i="2"/>
  <c r="EU168" i="2"/>
  <c r="ET168" i="2"/>
  <c r="ES168" i="2"/>
  <c r="ER168" i="2"/>
  <c r="EQ168" i="2"/>
  <c r="EP168" i="2"/>
  <c r="EO168" i="2"/>
  <c r="EN168" i="2"/>
  <c r="EM168" i="2"/>
  <c r="EL168" i="2"/>
  <c r="EK168" i="2"/>
  <c r="EJ168" i="2"/>
  <c r="EI168" i="2"/>
  <c r="EH168" i="2"/>
  <c r="EG168" i="2"/>
  <c r="EF168" i="2"/>
  <c r="EE168" i="2"/>
  <c r="ED168" i="2"/>
  <c r="EC168" i="2"/>
  <c r="EB168" i="2"/>
  <c r="EA168" i="2"/>
  <c r="DZ168" i="2"/>
  <c r="DY168" i="2"/>
  <c r="DX168" i="2"/>
  <c r="DW168" i="2"/>
  <c r="DV168" i="2"/>
  <c r="DU168" i="2"/>
  <c r="DT168" i="2"/>
  <c r="DS168" i="2"/>
  <c r="DR168" i="2"/>
  <c r="DQ168" i="2"/>
  <c r="DP168" i="2"/>
  <c r="DO168" i="2"/>
  <c r="DN168" i="2"/>
  <c r="DM168" i="2"/>
  <c r="DL168" i="2"/>
  <c r="DK168" i="2"/>
  <c r="DJ168" i="2"/>
  <c r="DI168" i="2"/>
  <c r="DH168" i="2"/>
  <c r="DG168" i="2"/>
  <c r="DF168" i="2"/>
  <c r="DE168" i="2"/>
  <c r="DD168" i="2"/>
  <c r="DC168" i="2"/>
  <c r="DB168" i="2"/>
  <c r="CV168" i="2"/>
  <c r="CR168" i="2"/>
  <c r="CQ168" i="2"/>
  <c r="CP168" i="2"/>
  <c r="CO168" i="2"/>
  <c r="CN168" i="2"/>
  <c r="FS167" i="2"/>
  <c r="FR167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B167" i="2"/>
  <c r="FA167" i="2"/>
  <c r="EZ167" i="2"/>
  <c r="EY167" i="2"/>
  <c r="EX167" i="2"/>
  <c r="EW167" i="2"/>
  <c r="EV167" i="2"/>
  <c r="EU167" i="2"/>
  <c r="ET167" i="2"/>
  <c r="ES167" i="2"/>
  <c r="ER167" i="2"/>
  <c r="EQ167" i="2"/>
  <c r="EP167" i="2"/>
  <c r="EO167" i="2"/>
  <c r="EN167" i="2"/>
  <c r="EM167" i="2"/>
  <c r="EL167" i="2"/>
  <c r="EK167" i="2"/>
  <c r="EJ167" i="2"/>
  <c r="EI167" i="2"/>
  <c r="EH167" i="2"/>
  <c r="EG167" i="2"/>
  <c r="EF167" i="2"/>
  <c r="EE167" i="2"/>
  <c r="ED167" i="2"/>
  <c r="EC167" i="2"/>
  <c r="EB167" i="2"/>
  <c r="EA167" i="2"/>
  <c r="DZ167" i="2"/>
  <c r="DY167" i="2"/>
  <c r="DX167" i="2"/>
  <c r="DW167" i="2"/>
  <c r="DV167" i="2"/>
  <c r="DU167" i="2"/>
  <c r="DT167" i="2"/>
  <c r="DS167" i="2"/>
  <c r="DR167" i="2"/>
  <c r="DQ167" i="2"/>
  <c r="DP167" i="2"/>
  <c r="DO167" i="2"/>
  <c r="DN167" i="2"/>
  <c r="DM167" i="2"/>
  <c r="DL167" i="2"/>
  <c r="DK167" i="2"/>
  <c r="DJ167" i="2"/>
  <c r="DI167" i="2"/>
  <c r="DH167" i="2"/>
  <c r="DG167" i="2"/>
  <c r="DF167" i="2"/>
  <c r="DE167" i="2"/>
  <c r="DD167" i="2"/>
  <c r="DC167" i="2"/>
  <c r="DB167" i="2"/>
  <c r="CV167" i="2"/>
  <c r="CR167" i="2"/>
  <c r="CQ167" i="2"/>
  <c r="CP167" i="2"/>
  <c r="CO167" i="2"/>
  <c r="CN167" i="2"/>
  <c r="FS166" i="2"/>
  <c r="FR166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FB166" i="2"/>
  <c r="FA166" i="2"/>
  <c r="EZ166" i="2"/>
  <c r="EY166" i="2"/>
  <c r="EX166" i="2"/>
  <c r="EW166" i="2"/>
  <c r="EV166" i="2"/>
  <c r="EU166" i="2"/>
  <c r="ET166" i="2"/>
  <c r="ES166" i="2"/>
  <c r="ER166" i="2"/>
  <c r="EQ166" i="2"/>
  <c r="EP166" i="2"/>
  <c r="EO166" i="2"/>
  <c r="EN166" i="2"/>
  <c r="EM166" i="2"/>
  <c r="EL166" i="2"/>
  <c r="EK166" i="2"/>
  <c r="EJ166" i="2"/>
  <c r="EI166" i="2"/>
  <c r="EH166" i="2"/>
  <c r="EG166" i="2"/>
  <c r="EF166" i="2"/>
  <c r="EE166" i="2"/>
  <c r="ED166" i="2"/>
  <c r="EC166" i="2"/>
  <c r="EB166" i="2"/>
  <c r="EA166" i="2"/>
  <c r="DZ166" i="2"/>
  <c r="DY166" i="2"/>
  <c r="DX166" i="2"/>
  <c r="DW166" i="2"/>
  <c r="DV166" i="2"/>
  <c r="DU166" i="2"/>
  <c r="DT166" i="2"/>
  <c r="DS166" i="2"/>
  <c r="DR166" i="2"/>
  <c r="DQ166" i="2"/>
  <c r="DP166" i="2"/>
  <c r="DO166" i="2"/>
  <c r="DN166" i="2"/>
  <c r="DM166" i="2"/>
  <c r="DL166" i="2"/>
  <c r="DK166" i="2"/>
  <c r="DJ166" i="2"/>
  <c r="DI166" i="2"/>
  <c r="DH166" i="2"/>
  <c r="DG166" i="2"/>
  <c r="DF166" i="2"/>
  <c r="DE166" i="2"/>
  <c r="DD166" i="2"/>
  <c r="DC166" i="2"/>
  <c r="DB166" i="2"/>
  <c r="CV166" i="2"/>
  <c r="CR166" i="2"/>
  <c r="CQ166" i="2"/>
  <c r="CP166" i="2"/>
  <c r="CO166" i="2"/>
  <c r="CN166" i="2"/>
  <c r="FS165" i="2"/>
  <c r="FR165" i="2"/>
  <c r="FQ165" i="2"/>
  <c r="FP165" i="2"/>
  <c r="FO165" i="2"/>
  <c r="FN165" i="2"/>
  <c r="FM165" i="2"/>
  <c r="FL165" i="2"/>
  <c r="FK165" i="2"/>
  <c r="FJ165" i="2"/>
  <c r="FI165" i="2"/>
  <c r="FH165" i="2"/>
  <c r="FG165" i="2"/>
  <c r="FF165" i="2"/>
  <c r="FE165" i="2"/>
  <c r="FD165" i="2"/>
  <c r="FC165" i="2"/>
  <c r="FB165" i="2"/>
  <c r="FA165" i="2"/>
  <c r="EZ165" i="2"/>
  <c r="EY165" i="2"/>
  <c r="EX165" i="2"/>
  <c r="EW165" i="2"/>
  <c r="EV165" i="2"/>
  <c r="EU165" i="2"/>
  <c r="ET165" i="2"/>
  <c r="ES165" i="2"/>
  <c r="ER165" i="2"/>
  <c r="EQ165" i="2"/>
  <c r="EP165" i="2"/>
  <c r="EO165" i="2"/>
  <c r="EN165" i="2"/>
  <c r="EM165" i="2"/>
  <c r="EL165" i="2"/>
  <c r="EK165" i="2"/>
  <c r="EJ165" i="2"/>
  <c r="EI165" i="2"/>
  <c r="EH165" i="2"/>
  <c r="EG165" i="2"/>
  <c r="EF165" i="2"/>
  <c r="EE165" i="2"/>
  <c r="ED165" i="2"/>
  <c r="EC165" i="2"/>
  <c r="EB165" i="2"/>
  <c r="EA165" i="2"/>
  <c r="DZ165" i="2"/>
  <c r="DY165" i="2"/>
  <c r="DX165" i="2"/>
  <c r="DW165" i="2"/>
  <c r="DV165" i="2"/>
  <c r="DU165" i="2"/>
  <c r="DT165" i="2"/>
  <c r="DS165" i="2"/>
  <c r="DR165" i="2"/>
  <c r="DQ165" i="2"/>
  <c r="DP165" i="2"/>
  <c r="DO165" i="2"/>
  <c r="DN165" i="2"/>
  <c r="DM165" i="2"/>
  <c r="DL165" i="2"/>
  <c r="DK165" i="2"/>
  <c r="DJ165" i="2"/>
  <c r="DI165" i="2"/>
  <c r="DH165" i="2"/>
  <c r="DG165" i="2"/>
  <c r="DF165" i="2"/>
  <c r="DE165" i="2"/>
  <c r="DD165" i="2"/>
  <c r="DC165" i="2"/>
  <c r="DB165" i="2"/>
  <c r="CV165" i="2"/>
  <c r="CR165" i="2"/>
  <c r="CQ165" i="2"/>
  <c r="CP165" i="2"/>
  <c r="CO165" i="2"/>
  <c r="CN165" i="2"/>
  <c r="FS164" i="2"/>
  <c r="FR164" i="2"/>
  <c r="FQ164" i="2"/>
  <c r="FP164" i="2"/>
  <c r="FO164" i="2"/>
  <c r="FN164" i="2"/>
  <c r="FM164" i="2"/>
  <c r="FL164" i="2"/>
  <c r="FK164" i="2"/>
  <c r="FJ164" i="2"/>
  <c r="FI164" i="2"/>
  <c r="FH164" i="2"/>
  <c r="FG164" i="2"/>
  <c r="FF164" i="2"/>
  <c r="FE164" i="2"/>
  <c r="FD164" i="2"/>
  <c r="FC164" i="2"/>
  <c r="FB164" i="2"/>
  <c r="FA164" i="2"/>
  <c r="EZ164" i="2"/>
  <c r="EY164" i="2"/>
  <c r="EX164" i="2"/>
  <c r="EW164" i="2"/>
  <c r="EV164" i="2"/>
  <c r="EU164" i="2"/>
  <c r="ET164" i="2"/>
  <c r="ES164" i="2"/>
  <c r="ER164" i="2"/>
  <c r="EQ164" i="2"/>
  <c r="EP164" i="2"/>
  <c r="EO164" i="2"/>
  <c r="EN164" i="2"/>
  <c r="EM164" i="2"/>
  <c r="EL164" i="2"/>
  <c r="EK164" i="2"/>
  <c r="EJ164" i="2"/>
  <c r="EI164" i="2"/>
  <c r="EH164" i="2"/>
  <c r="EG164" i="2"/>
  <c r="EF164" i="2"/>
  <c r="EE164" i="2"/>
  <c r="ED164" i="2"/>
  <c r="EC164" i="2"/>
  <c r="EB164" i="2"/>
  <c r="EA164" i="2"/>
  <c r="DZ164" i="2"/>
  <c r="DY164" i="2"/>
  <c r="DX164" i="2"/>
  <c r="DW164" i="2"/>
  <c r="DV164" i="2"/>
  <c r="DU164" i="2"/>
  <c r="DT164" i="2"/>
  <c r="DS164" i="2"/>
  <c r="DR164" i="2"/>
  <c r="DQ164" i="2"/>
  <c r="DP164" i="2"/>
  <c r="DO164" i="2"/>
  <c r="DN164" i="2"/>
  <c r="DM164" i="2"/>
  <c r="DL164" i="2"/>
  <c r="DK164" i="2"/>
  <c r="DJ164" i="2"/>
  <c r="DI164" i="2"/>
  <c r="DH164" i="2"/>
  <c r="DG164" i="2"/>
  <c r="DF164" i="2"/>
  <c r="DE164" i="2"/>
  <c r="DD164" i="2"/>
  <c r="DC164" i="2"/>
  <c r="DB164" i="2"/>
  <c r="CV164" i="2"/>
  <c r="CR164" i="2"/>
  <c r="CQ164" i="2"/>
  <c r="CP164" i="2"/>
  <c r="CO164" i="2"/>
  <c r="CN164" i="2"/>
  <c r="FS163" i="2"/>
  <c r="FR163" i="2"/>
  <c r="FQ163" i="2"/>
  <c r="FP163" i="2"/>
  <c r="FO163" i="2"/>
  <c r="FN163" i="2"/>
  <c r="FM163" i="2"/>
  <c r="FL163" i="2"/>
  <c r="FK163" i="2"/>
  <c r="FJ163" i="2"/>
  <c r="FI163" i="2"/>
  <c r="FH163" i="2"/>
  <c r="FG163" i="2"/>
  <c r="FF163" i="2"/>
  <c r="FE163" i="2"/>
  <c r="FD163" i="2"/>
  <c r="FC163" i="2"/>
  <c r="FB163" i="2"/>
  <c r="FA163" i="2"/>
  <c r="EZ163" i="2"/>
  <c r="EY163" i="2"/>
  <c r="EX163" i="2"/>
  <c r="EW163" i="2"/>
  <c r="EV163" i="2"/>
  <c r="EU163" i="2"/>
  <c r="ET163" i="2"/>
  <c r="ES163" i="2"/>
  <c r="ER163" i="2"/>
  <c r="EQ163" i="2"/>
  <c r="EP163" i="2"/>
  <c r="EO163" i="2"/>
  <c r="EN163" i="2"/>
  <c r="EM163" i="2"/>
  <c r="EL163" i="2"/>
  <c r="EK163" i="2"/>
  <c r="EJ163" i="2"/>
  <c r="EI163" i="2"/>
  <c r="EH163" i="2"/>
  <c r="EG163" i="2"/>
  <c r="EF163" i="2"/>
  <c r="EE163" i="2"/>
  <c r="ED163" i="2"/>
  <c r="EC163" i="2"/>
  <c r="EB163" i="2"/>
  <c r="EA163" i="2"/>
  <c r="DZ163" i="2"/>
  <c r="DY163" i="2"/>
  <c r="DX163" i="2"/>
  <c r="DW163" i="2"/>
  <c r="DV163" i="2"/>
  <c r="DU163" i="2"/>
  <c r="DT163" i="2"/>
  <c r="DS163" i="2"/>
  <c r="DR163" i="2"/>
  <c r="DQ163" i="2"/>
  <c r="DP163" i="2"/>
  <c r="DO163" i="2"/>
  <c r="DN163" i="2"/>
  <c r="DM163" i="2"/>
  <c r="DL163" i="2"/>
  <c r="DK163" i="2"/>
  <c r="DJ163" i="2"/>
  <c r="DI163" i="2"/>
  <c r="DH163" i="2"/>
  <c r="DG163" i="2"/>
  <c r="DF163" i="2"/>
  <c r="DE163" i="2"/>
  <c r="DD163" i="2"/>
  <c r="DC163" i="2"/>
  <c r="DB163" i="2"/>
  <c r="CU163" i="2" s="1"/>
  <c r="CV163" i="2"/>
  <c r="CR163" i="2"/>
  <c r="CQ163" i="2"/>
  <c r="CP163" i="2"/>
  <c r="CO163" i="2"/>
  <c r="CN163" i="2"/>
  <c r="FS162" i="2"/>
  <c r="FR162" i="2"/>
  <c r="FQ162" i="2"/>
  <c r="FP162" i="2"/>
  <c r="FO162" i="2"/>
  <c r="FN162" i="2"/>
  <c r="FM162" i="2"/>
  <c r="FL162" i="2"/>
  <c r="FK162" i="2"/>
  <c r="FJ162" i="2"/>
  <c r="FI162" i="2"/>
  <c r="FH162" i="2"/>
  <c r="FG162" i="2"/>
  <c r="FF162" i="2"/>
  <c r="FE162" i="2"/>
  <c r="FD162" i="2"/>
  <c r="FC162" i="2"/>
  <c r="FB162" i="2"/>
  <c r="FA162" i="2"/>
  <c r="EZ162" i="2"/>
  <c r="EY162" i="2"/>
  <c r="EX162" i="2"/>
  <c r="EW162" i="2"/>
  <c r="EV162" i="2"/>
  <c r="EU162" i="2"/>
  <c r="ET162" i="2"/>
  <c r="ES162" i="2"/>
  <c r="ER162" i="2"/>
  <c r="EQ162" i="2"/>
  <c r="EP162" i="2"/>
  <c r="EO162" i="2"/>
  <c r="EN162" i="2"/>
  <c r="EM162" i="2"/>
  <c r="EL162" i="2"/>
  <c r="EK162" i="2"/>
  <c r="EJ162" i="2"/>
  <c r="EI162" i="2"/>
  <c r="EH162" i="2"/>
  <c r="EG162" i="2"/>
  <c r="EF162" i="2"/>
  <c r="EE162" i="2"/>
  <c r="ED162" i="2"/>
  <c r="EC162" i="2"/>
  <c r="EB162" i="2"/>
  <c r="EA162" i="2"/>
  <c r="DZ162" i="2"/>
  <c r="DY162" i="2"/>
  <c r="DX162" i="2"/>
  <c r="DW162" i="2"/>
  <c r="DV162" i="2"/>
  <c r="DU162" i="2"/>
  <c r="DT162" i="2"/>
  <c r="DS162" i="2"/>
  <c r="DR162" i="2"/>
  <c r="DQ162" i="2"/>
  <c r="DP162" i="2"/>
  <c r="DO162" i="2"/>
  <c r="DN162" i="2"/>
  <c r="DM162" i="2"/>
  <c r="DL162" i="2"/>
  <c r="DK162" i="2"/>
  <c r="DJ162" i="2"/>
  <c r="DI162" i="2"/>
  <c r="DH162" i="2"/>
  <c r="DG162" i="2"/>
  <c r="DF162" i="2"/>
  <c r="DE162" i="2"/>
  <c r="DD162" i="2"/>
  <c r="DC162" i="2"/>
  <c r="DB162" i="2"/>
  <c r="CV162" i="2"/>
  <c r="CR162" i="2"/>
  <c r="CQ162" i="2"/>
  <c r="CP162" i="2"/>
  <c r="CO162" i="2"/>
  <c r="CN162" i="2"/>
  <c r="U162" i="2"/>
  <c r="L162" i="4" s="1"/>
  <c r="FS161" i="2"/>
  <c r="FR161" i="2"/>
  <c r="FQ161" i="2"/>
  <c r="FP161" i="2"/>
  <c r="FO161" i="2"/>
  <c r="FN161" i="2"/>
  <c r="FM161" i="2"/>
  <c r="FL161" i="2"/>
  <c r="FK161" i="2"/>
  <c r="FJ161" i="2"/>
  <c r="FI161" i="2"/>
  <c r="FH161" i="2"/>
  <c r="FG161" i="2"/>
  <c r="FF161" i="2"/>
  <c r="FE161" i="2"/>
  <c r="FD161" i="2"/>
  <c r="FC161" i="2"/>
  <c r="FB161" i="2"/>
  <c r="FA161" i="2"/>
  <c r="EZ161" i="2"/>
  <c r="EY161" i="2"/>
  <c r="EX161" i="2"/>
  <c r="EW161" i="2"/>
  <c r="EV161" i="2"/>
  <c r="EU161" i="2"/>
  <c r="ET161" i="2"/>
  <c r="ES161" i="2"/>
  <c r="ER161" i="2"/>
  <c r="EQ161" i="2"/>
  <c r="EP161" i="2"/>
  <c r="EO161" i="2"/>
  <c r="EN161" i="2"/>
  <c r="EM161" i="2"/>
  <c r="EL161" i="2"/>
  <c r="EK161" i="2"/>
  <c r="EJ161" i="2"/>
  <c r="EI161" i="2"/>
  <c r="EH161" i="2"/>
  <c r="EG161" i="2"/>
  <c r="EF161" i="2"/>
  <c r="EE161" i="2"/>
  <c r="ED161" i="2"/>
  <c r="EC161" i="2"/>
  <c r="EB161" i="2"/>
  <c r="EA161" i="2"/>
  <c r="DZ161" i="2"/>
  <c r="DY161" i="2"/>
  <c r="DX161" i="2"/>
  <c r="DW161" i="2"/>
  <c r="DV161" i="2"/>
  <c r="DU161" i="2"/>
  <c r="DT161" i="2"/>
  <c r="DS161" i="2"/>
  <c r="DR161" i="2"/>
  <c r="DQ161" i="2"/>
  <c r="DP161" i="2"/>
  <c r="DO161" i="2"/>
  <c r="DN161" i="2"/>
  <c r="DM161" i="2"/>
  <c r="DL161" i="2"/>
  <c r="DK161" i="2"/>
  <c r="DJ161" i="2"/>
  <c r="DI161" i="2"/>
  <c r="DH161" i="2"/>
  <c r="DG161" i="2"/>
  <c r="DF161" i="2"/>
  <c r="DE161" i="2"/>
  <c r="DD161" i="2"/>
  <c r="DC161" i="2"/>
  <c r="DB161" i="2"/>
  <c r="CV161" i="2"/>
  <c r="CR161" i="2"/>
  <c r="CQ161" i="2"/>
  <c r="CP161" i="2"/>
  <c r="CO161" i="2"/>
  <c r="CN161" i="2"/>
  <c r="U161" i="2"/>
  <c r="L161" i="4" s="1"/>
  <c r="N161" i="4" s="1"/>
  <c r="FS160" i="2"/>
  <c r="FR160" i="2"/>
  <c r="FQ160" i="2"/>
  <c r="FP160" i="2"/>
  <c r="FO160" i="2"/>
  <c r="FN160" i="2"/>
  <c r="FM160" i="2"/>
  <c r="FL160" i="2"/>
  <c r="FK160" i="2"/>
  <c r="FJ160" i="2"/>
  <c r="FI160" i="2"/>
  <c r="FH160" i="2"/>
  <c r="FG160" i="2"/>
  <c r="FF160" i="2"/>
  <c r="FE160" i="2"/>
  <c r="FD160" i="2"/>
  <c r="FC160" i="2"/>
  <c r="FB160" i="2"/>
  <c r="FA160" i="2"/>
  <c r="EZ160" i="2"/>
  <c r="EY160" i="2"/>
  <c r="EX160" i="2"/>
  <c r="EW160" i="2"/>
  <c r="EV160" i="2"/>
  <c r="EU160" i="2"/>
  <c r="ET160" i="2"/>
  <c r="ES160" i="2"/>
  <c r="ER160" i="2"/>
  <c r="EQ160" i="2"/>
  <c r="EP160" i="2"/>
  <c r="EO160" i="2"/>
  <c r="EN160" i="2"/>
  <c r="EM160" i="2"/>
  <c r="EL160" i="2"/>
  <c r="EK160" i="2"/>
  <c r="EJ160" i="2"/>
  <c r="EI160" i="2"/>
  <c r="EH160" i="2"/>
  <c r="EG160" i="2"/>
  <c r="EF160" i="2"/>
  <c r="EE160" i="2"/>
  <c r="ED160" i="2"/>
  <c r="EC160" i="2"/>
  <c r="EB160" i="2"/>
  <c r="EA160" i="2"/>
  <c r="DZ160" i="2"/>
  <c r="DY160" i="2"/>
  <c r="DX160" i="2"/>
  <c r="DW160" i="2"/>
  <c r="DV160" i="2"/>
  <c r="DU160" i="2"/>
  <c r="DT160" i="2"/>
  <c r="DS160" i="2"/>
  <c r="DR160" i="2"/>
  <c r="DQ160" i="2"/>
  <c r="DP160" i="2"/>
  <c r="DO160" i="2"/>
  <c r="DN160" i="2"/>
  <c r="DM160" i="2"/>
  <c r="DL160" i="2"/>
  <c r="DK160" i="2"/>
  <c r="DJ160" i="2"/>
  <c r="DI160" i="2"/>
  <c r="DH160" i="2"/>
  <c r="DG160" i="2"/>
  <c r="DF160" i="2"/>
  <c r="DE160" i="2"/>
  <c r="DD160" i="2"/>
  <c r="DC160" i="2"/>
  <c r="DB160" i="2"/>
  <c r="CV160" i="2"/>
  <c r="CR160" i="2"/>
  <c r="CQ160" i="2"/>
  <c r="CP160" i="2"/>
  <c r="CO160" i="2"/>
  <c r="CN160" i="2"/>
  <c r="U160" i="2"/>
  <c r="L160" i="4" s="1"/>
  <c r="FS159" i="2"/>
  <c r="FR159" i="2"/>
  <c r="FQ159" i="2"/>
  <c r="FP159" i="2"/>
  <c r="FO159" i="2"/>
  <c r="FN159" i="2"/>
  <c r="FM159" i="2"/>
  <c r="FL159" i="2"/>
  <c r="FK159" i="2"/>
  <c r="FJ159" i="2"/>
  <c r="FI159" i="2"/>
  <c r="FH159" i="2"/>
  <c r="FG159" i="2"/>
  <c r="FF159" i="2"/>
  <c r="FE159" i="2"/>
  <c r="FD159" i="2"/>
  <c r="FC159" i="2"/>
  <c r="FB159" i="2"/>
  <c r="FA159" i="2"/>
  <c r="EZ159" i="2"/>
  <c r="EY159" i="2"/>
  <c r="EX159" i="2"/>
  <c r="EW159" i="2"/>
  <c r="EV159" i="2"/>
  <c r="EU159" i="2"/>
  <c r="ET159" i="2"/>
  <c r="ES159" i="2"/>
  <c r="ER159" i="2"/>
  <c r="EQ159" i="2"/>
  <c r="EP159" i="2"/>
  <c r="EO159" i="2"/>
  <c r="EN159" i="2"/>
  <c r="EM159" i="2"/>
  <c r="EL159" i="2"/>
  <c r="EK159" i="2"/>
  <c r="EJ159" i="2"/>
  <c r="EI159" i="2"/>
  <c r="EH159" i="2"/>
  <c r="EG159" i="2"/>
  <c r="EF159" i="2"/>
  <c r="EE159" i="2"/>
  <c r="ED159" i="2"/>
  <c r="EC159" i="2"/>
  <c r="EB159" i="2"/>
  <c r="EA159" i="2"/>
  <c r="DZ159" i="2"/>
  <c r="DY159" i="2"/>
  <c r="DX159" i="2"/>
  <c r="DW159" i="2"/>
  <c r="DV159" i="2"/>
  <c r="DU159" i="2"/>
  <c r="DT159" i="2"/>
  <c r="DS159" i="2"/>
  <c r="DR159" i="2"/>
  <c r="DQ159" i="2"/>
  <c r="DP159" i="2"/>
  <c r="DO159" i="2"/>
  <c r="DN159" i="2"/>
  <c r="DM159" i="2"/>
  <c r="DL159" i="2"/>
  <c r="DK159" i="2"/>
  <c r="DJ159" i="2"/>
  <c r="DI159" i="2"/>
  <c r="DH159" i="2"/>
  <c r="DG159" i="2"/>
  <c r="DF159" i="2"/>
  <c r="DE159" i="2"/>
  <c r="DD159" i="2"/>
  <c r="DC159" i="2"/>
  <c r="DB159" i="2"/>
  <c r="CV159" i="2"/>
  <c r="CR159" i="2"/>
  <c r="CQ159" i="2"/>
  <c r="CP159" i="2"/>
  <c r="CO159" i="2"/>
  <c r="CN159" i="2"/>
  <c r="U159" i="2"/>
  <c r="L159" i="4" s="1"/>
  <c r="FS158" i="2"/>
  <c r="FR158" i="2"/>
  <c r="FQ158" i="2"/>
  <c r="FP158" i="2"/>
  <c r="FO158" i="2"/>
  <c r="FN158" i="2"/>
  <c r="FM158" i="2"/>
  <c r="FL158" i="2"/>
  <c r="FK158" i="2"/>
  <c r="FJ158" i="2"/>
  <c r="FI158" i="2"/>
  <c r="FH158" i="2"/>
  <c r="FG158" i="2"/>
  <c r="FF158" i="2"/>
  <c r="FE158" i="2"/>
  <c r="FD158" i="2"/>
  <c r="FC158" i="2"/>
  <c r="FB158" i="2"/>
  <c r="FA158" i="2"/>
  <c r="EZ158" i="2"/>
  <c r="EY158" i="2"/>
  <c r="EX158" i="2"/>
  <c r="EW158" i="2"/>
  <c r="EV158" i="2"/>
  <c r="EU158" i="2"/>
  <c r="ET158" i="2"/>
  <c r="ES158" i="2"/>
  <c r="ER158" i="2"/>
  <c r="EQ158" i="2"/>
  <c r="EP158" i="2"/>
  <c r="EO158" i="2"/>
  <c r="EN158" i="2"/>
  <c r="EM158" i="2"/>
  <c r="EL158" i="2"/>
  <c r="EK158" i="2"/>
  <c r="EJ158" i="2"/>
  <c r="EI158" i="2"/>
  <c r="EH158" i="2"/>
  <c r="EG158" i="2"/>
  <c r="EF158" i="2"/>
  <c r="EE158" i="2"/>
  <c r="ED158" i="2"/>
  <c r="EC158" i="2"/>
  <c r="EB158" i="2"/>
  <c r="EA158" i="2"/>
  <c r="DZ158" i="2"/>
  <c r="DY158" i="2"/>
  <c r="DX158" i="2"/>
  <c r="DW158" i="2"/>
  <c r="DV158" i="2"/>
  <c r="DU158" i="2"/>
  <c r="DT158" i="2"/>
  <c r="DS158" i="2"/>
  <c r="DR158" i="2"/>
  <c r="DQ158" i="2"/>
  <c r="DP158" i="2"/>
  <c r="DO158" i="2"/>
  <c r="DN158" i="2"/>
  <c r="DM158" i="2"/>
  <c r="DL158" i="2"/>
  <c r="DK158" i="2"/>
  <c r="DJ158" i="2"/>
  <c r="DI158" i="2"/>
  <c r="DH158" i="2"/>
  <c r="DG158" i="2"/>
  <c r="DF158" i="2"/>
  <c r="DE158" i="2"/>
  <c r="DD158" i="2"/>
  <c r="DC158" i="2"/>
  <c r="DB158" i="2"/>
  <c r="CV158" i="2"/>
  <c r="CQ158" i="2"/>
  <c r="CP158" i="2"/>
  <c r="CO158" i="2"/>
  <c r="CN158" i="2"/>
  <c r="U158" i="2"/>
  <c r="L158" i="4" s="1"/>
  <c r="N158" i="4" s="1"/>
  <c r="FS157" i="2"/>
  <c r="FR157" i="2"/>
  <c r="FQ157" i="2"/>
  <c r="FP157" i="2"/>
  <c r="FO157" i="2"/>
  <c r="FN157" i="2"/>
  <c r="FM157" i="2"/>
  <c r="FL157" i="2"/>
  <c r="FK157" i="2"/>
  <c r="FJ157" i="2"/>
  <c r="FI157" i="2"/>
  <c r="FH157" i="2"/>
  <c r="FG157" i="2"/>
  <c r="FF157" i="2"/>
  <c r="FE157" i="2"/>
  <c r="FD157" i="2"/>
  <c r="FC157" i="2"/>
  <c r="FB157" i="2"/>
  <c r="FA157" i="2"/>
  <c r="EZ157" i="2"/>
  <c r="EY157" i="2"/>
  <c r="EX157" i="2"/>
  <c r="EW157" i="2"/>
  <c r="EV157" i="2"/>
  <c r="EU157" i="2"/>
  <c r="ET157" i="2"/>
  <c r="ES157" i="2"/>
  <c r="ER157" i="2"/>
  <c r="EQ157" i="2"/>
  <c r="EP157" i="2"/>
  <c r="EO157" i="2"/>
  <c r="EN157" i="2"/>
  <c r="EM157" i="2"/>
  <c r="EL157" i="2"/>
  <c r="EK157" i="2"/>
  <c r="EJ157" i="2"/>
  <c r="EI157" i="2"/>
  <c r="EH157" i="2"/>
  <c r="EG157" i="2"/>
  <c r="EF157" i="2"/>
  <c r="EE157" i="2"/>
  <c r="ED157" i="2"/>
  <c r="EC157" i="2"/>
  <c r="EB157" i="2"/>
  <c r="EA157" i="2"/>
  <c r="DZ157" i="2"/>
  <c r="DY157" i="2"/>
  <c r="DX157" i="2"/>
  <c r="DW157" i="2"/>
  <c r="DV157" i="2"/>
  <c r="DU157" i="2"/>
  <c r="DT157" i="2"/>
  <c r="DS157" i="2"/>
  <c r="DR157" i="2"/>
  <c r="DQ157" i="2"/>
  <c r="DP157" i="2"/>
  <c r="DO157" i="2"/>
  <c r="DN157" i="2"/>
  <c r="DM157" i="2"/>
  <c r="DL157" i="2"/>
  <c r="DK157" i="2"/>
  <c r="DJ157" i="2"/>
  <c r="DI157" i="2"/>
  <c r="DH157" i="2"/>
  <c r="DG157" i="2"/>
  <c r="DF157" i="2"/>
  <c r="DE157" i="2"/>
  <c r="DD157" i="2"/>
  <c r="DC157" i="2"/>
  <c r="DB157" i="2"/>
  <c r="CV157" i="2"/>
  <c r="CR157" i="2"/>
  <c r="CQ157" i="2"/>
  <c r="CP157" i="2"/>
  <c r="CO157" i="2"/>
  <c r="CN157" i="2"/>
  <c r="FS156" i="2"/>
  <c r="FR156" i="2"/>
  <c r="FQ156" i="2"/>
  <c r="FP156" i="2"/>
  <c r="FO156" i="2"/>
  <c r="FN156" i="2"/>
  <c r="FM156" i="2"/>
  <c r="FL156" i="2"/>
  <c r="FK156" i="2"/>
  <c r="FJ156" i="2"/>
  <c r="FI156" i="2"/>
  <c r="FH156" i="2"/>
  <c r="FG156" i="2"/>
  <c r="FF156" i="2"/>
  <c r="FE156" i="2"/>
  <c r="FD156" i="2"/>
  <c r="FC156" i="2"/>
  <c r="FB156" i="2"/>
  <c r="FA156" i="2"/>
  <c r="EZ156" i="2"/>
  <c r="EY156" i="2"/>
  <c r="EX156" i="2"/>
  <c r="EW156" i="2"/>
  <c r="EV156" i="2"/>
  <c r="EU156" i="2"/>
  <c r="ET156" i="2"/>
  <c r="ES156" i="2"/>
  <c r="ER156" i="2"/>
  <c r="EQ156" i="2"/>
  <c r="EP156" i="2"/>
  <c r="EO156" i="2"/>
  <c r="EN156" i="2"/>
  <c r="EM156" i="2"/>
  <c r="EL156" i="2"/>
  <c r="EK156" i="2"/>
  <c r="EJ156" i="2"/>
  <c r="EI156" i="2"/>
  <c r="EH156" i="2"/>
  <c r="EG156" i="2"/>
  <c r="EF156" i="2"/>
  <c r="EE156" i="2"/>
  <c r="ED156" i="2"/>
  <c r="EC156" i="2"/>
  <c r="EB156" i="2"/>
  <c r="EA156" i="2"/>
  <c r="DZ156" i="2"/>
  <c r="DY156" i="2"/>
  <c r="DX156" i="2"/>
  <c r="DW156" i="2"/>
  <c r="DV156" i="2"/>
  <c r="DU156" i="2"/>
  <c r="DT156" i="2"/>
  <c r="DS156" i="2"/>
  <c r="DR156" i="2"/>
  <c r="DQ156" i="2"/>
  <c r="DP156" i="2"/>
  <c r="DO156" i="2"/>
  <c r="DN156" i="2"/>
  <c r="DM156" i="2"/>
  <c r="DL156" i="2"/>
  <c r="DK156" i="2"/>
  <c r="DJ156" i="2"/>
  <c r="DI156" i="2"/>
  <c r="DH156" i="2"/>
  <c r="DG156" i="2"/>
  <c r="DF156" i="2"/>
  <c r="DE156" i="2"/>
  <c r="DD156" i="2"/>
  <c r="DC156" i="2"/>
  <c r="DB156" i="2"/>
  <c r="CV156" i="2"/>
  <c r="CQ156" i="2"/>
  <c r="CP156" i="2"/>
  <c r="CO156" i="2"/>
  <c r="CN156" i="2"/>
  <c r="U156" i="2"/>
  <c r="L156" i="4" s="1"/>
  <c r="FS155" i="2"/>
  <c r="FR155" i="2"/>
  <c r="FQ155" i="2"/>
  <c r="FP155" i="2"/>
  <c r="FO155" i="2"/>
  <c r="FN155" i="2"/>
  <c r="FM155" i="2"/>
  <c r="FL155" i="2"/>
  <c r="FK155" i="2"/>
  <c r="FJ155" i="2"/>
  <c r="FI155" i="2"/>
  <c r="FH155" i="2"/>
  <c r="FG155" i="2"/>
  <c r="FF155" i="2"/>
  <c r="FE155" i="2"/>
  <c r="FD155" i="2"/>
  <c r="FC155" i="2"/>
  <c r="FB155" i="2"/>
  <c r="FA155" i="2"/>
  <c r="EZ155" i="2"/>
  <c r="EY155" i="2"/>
  <c r="EX155" i="2"/>
  <c r="EW155" i="2"/>
  <c r="EV155" i="2"/>
  <c r="EU155" i="2"/>
  <c r="ET155" i="2"/>
  <c r="ES155" i="2"/>
  <c r="ER155" i="2"/>
  <c r="EQ155" i="2"/>
  <c r="EP155" i="2"/>
  <c r="EO155" i="2"/>
  <c r="EN155" i="2"/>
  <c r="EM155" i="2"/>
  <c r="EL155" i="2"/>
  <c r="EK155" i="2"/>
  <c r="EJ155" i="2"/>
  <c r="EI155" i="2"/>
  <c r="EH155" i="2"/>
  <c r="EG155" i="2"/>
  <c r="EF155" i="2"/>
  <c r="EE155" i="2"/>
  <c r="ED155" i="2"/>
  <c r="EC155" i="2"/>
  <c r="EB155" i="2"/>
  <c r="EA155" i="2"/>
  <c r="DZ155" i="2"/>
  <c r="DY155" i="2"/>
  <c r="DX155" i="2"/>
  <c r="DW155" i="2"/>
  <c r="DV155" i="2"/>
  <c r="DU155" i="2"/>
  <c r="DT155" i="2"/>
  <c r="DS155" i="2"/>
  <c r="DR155" i="2"/>
  <c r="DQ155" i="2"/>
  <c r="DP155" i="2"/>
  <c r="DO155" i="2"/>
  <c r="DN155" i="2"/>
  <c r="DM155" i="2"/>
  <c r="DL155" i="2"/>
  <c r="DK155" i="2"/>
  <c r="DJ155" i="2"/>
  <c r="DI155" i="2"/>
  <c r="DH155" i="2"/>
  <c r="DG155" i="2"/>
  <c r="DF155" i="2"/>
  <c r="DE155" i="2"/>
  <c r="DD155" i="2"/>
  <c r="DC155" i="2"/>
  <c r="DB155" i="2"/>
  <c r="CV155" i="2"/>
  <c r="CU155" i="2"/>
  <c r="CR155" i="2"/>
  <c r="CQ155" i="2"/>
  <c r="CP155" i="2"/>
  <c r="CO155" i="2"/>
  <c r="CN155" i="2"/>
  <c r="U155" i="2"/>
  <c r="L155" i="4" s="1"/>
  <c r="N155" i="4" s="1"/>
  <c r="FS154" i="2"/>
  <c r="FR154" i="2"/>
  <c r="FQ154" i="2"/>
  <c r="FP154" i="2"/>
  <c r="FO154" i="2"/>
  <c r="FN154" i="2"/>
  <c r="FM154" i="2"/>
  <c r="FL154" i="2"/>
  <c r="FK154" i="2"/>
  <c r="FJ154" i="2"/>
  <c r="FI154" i="2"/>
  <c r="FH154" i="2"/>
  <c r="FG154" i="2"/>
  <c r="FF154" i="2"/>
  <c r="FE154" i="2"/>
  <c r="FD154" i="2"/>
  <c r="FC154" i="2"/>
  <c r="FB154" i="2"/>
  <c r="FA154" i="2"/>
  <c r="EZ154" i="2"/>
  <c r="EY154" i="2"/>
  <c r="EX154" i="2"/>
  <c r="EW154" i="2"/>
  <c r="EV154" i="2"/>
  <c r="EU154" i="2"/>
  <c r="ET154" i="2"/>
  <c r="ES154" i="2"/>
  <c r="ER154" i="2"/>
  <c r="EQ154" i="2"/>
  <c r="EP154" i="2"/>
  <c r="EO154" i="2"/>
  <c r="EN154" i="2"/>
  <c r="EM154" i="2"/>
  <c r="EL154" i="2"/>
  <c r="EK154" i="2"/>
  <c r="EJ154" i="2"/>
  <c r="EI154" i="2"/>
  <c r="EH154" i="2"/>
  <c r="EG154" i="2"/>
  <c r="EF154" i="2"/>
  <c r="EE154" i="2"/>
  <c r="ED154" i="2"/>
  <c r="EC154" i="2"/>
  <c r="EB154" i="2"/>
  <c r="EA154" i="2"/>
  <c r="DZ154" i="2"/>
  <c r="DY154" i="2"/>
  <c r="DX154" i="2"/>
  <c r="DW154" i="2"/>
  <c r="DV154" i="2"/>
  <c r="DU154" i="2"/>
  <c r="DT154" i="2"/>
  <c r="DS154" i="2"/>
  <c r="DR154" i="2"/>
  <c r="DQ154" i="2"/>
  <c r="DP154" i="2"/>
  <c r="DO154" i="2"/>
  <c r="DN154" i="2"/>
  <c r="DM154" i="2"/>
  <c r="DL154" i="2"/>
  <c r="DK154" i="2"/>
  <c r="DJ154" i="2"/>
  <c r="DI154" i="2"/>
  <c r="DH154" i="2"/>
  <c r="DG154" i="2"/>
  <c r="DF154" i="2"/>
  <c r="CU154" i="2" s="1"/>
  <c r="DE154" i="2"/>
  <c r="DD154" i="2"/>
  <c r="DC154" i="2"/>
  <c r="DB154" i="2"/>
  <c r="CV154" i="2"/>
  <c r="CR154" i="2"/>
  <c r="CQ154" i="2"/>
  <c r="CP154" i="2"/>
  <c r="CO154" i="2"/>
  <c r="CN154" i="2"/>
  <c r="U154" i="2"/>
  <c r="L154" i="4" s="1"/>
  <c r="FS153" i="2"/>
  <c r="FR153" i="2"/>
  <c r="FQ153" i="2"/>
  <c r="FP153" i="2"/>
  <c r="FO153" i="2"/>
  <c r="FN153" i="2"/>
  <c r="FM153" i="2"/>
  <c r="FL153" i="2"/>
  <c r="FK153" i="2"/>
  <c r="FJ153" i="2"/>
  <c r="FI153" i="2"/>
  <c r="FH153" i="2"/>
  <c r="FG153" i="2"/>
  <c r="FF153" i="2"/>
  <c r="FE153" i="2"/>
  <c r="FD153" i="2"/>
  <c r="FC153" i="2"/>
  <c r="FB153" i="2"/>
  <c r="FA153" i="2"/>
  <c r="EZ153" i="2"/>
  <c r="EY153" i="2"/>
  <c r="EX153" i="2"/>
  <c r="EW153" i="2"/>
  <c r="EV153" i="2"/>
  <c r="EU153" i="2"/>
  <c r="ET153" i="2"/>
  <c r="ES153" i="2"/>
  <c r="ER153" i="2"/>
  <c r="EQ153" i="2"/>
  <c r="EP153" i="2"/>
  <c r="EO153" i="2"/>
  <c r="EN153" i="2"/>
  <c r="EM153" i="2"/>
  <c r="EL153" i="2"/>
  <c r="EK153" i="2"/>
  <c r="EJ153" i="2"/>
  <c r="EI153" i="2"/>
  <c r="EH153" i="2"/>
  <c r="EG153" i="2"/>
  <c r="EF153" i="2"/>
  <c r="EE153" i="2"/>
  <c r="ED153" i="2"/>
  <c r="EC153" i="2"/>
  <c r="EB153" i="2"/>
  <c r="EA153" i="2"/>
  <c r="DZ153" i="2"/>
  <c r="DY153" i="2"/>
  <c r="DX153" i="2"/>
  <c r="DW153" i="2"/>
  <c r="DV153" i="2"/>
  <c r="DU153" i="2"/>
  <c r="DT153" i="2"/>
  <c r="DS153" i="2"/>
  <c r="DR153" i="2"/>
  <c r="DQ153" i="2"/>
  <c r="DP153" i="2"/>
  <c r="DO153" i="2"/>
  <c r="DN153" i="2"/>
  <c r="DM153" i="2"/>
  <c r="DL153" i="2"/>
  <c r="DK153" i="2"/>
  <c r="DJ153" i="2"/>
  <c r="DI153" i="2"/>
  <c r="DH153" i="2"/>
  <c r="DG153" i="2"/>
  <c r="DF153" i="2"/>
  <c r="DE153" i="2"/>
  <c r="DD153" i="2"/>
  <c r="DC153" i="2"/>
  <c r="DB153" i="2"/>
  <c r="CV153" i="2"/>
  <c r="CR153" i="2"/>
  <c r="CQ153" i="2"/>
  <c r="CP153" i="2"/>
  <c r="CO153" i="2"/>
  <c r="CN153" i="2"/>
  <c r="U153" i="2"/>
  <c r="L153" i="4" s="1"/>
  <c r="FS152" i="2"/>
  <c r="FR152" i="2"/>
  <c r="FQ152" i="2"/>
  <c r="FP152" i="2"/>
  <c r="FO152" i="2"/>
  <c r="FN152" i="2"/>
  <c r="FM152" i="2"/>
  <c r="FL152" i="2"/>
  <c r="FK152" i="2"/>
  <c r="FJ152" i="2"/>
  <c r="FI152" i="2"/>
  <c r="FH152" i="2"/>
  <c r="FG152" i="2"/>
  <c r="FF152" i="2"/>
  <c r="FE152" i="2"/>
  <c r="FD152" i="2"/>
  <c r="FC152" i="2"/>
  <c r="FB152" i="2"/>
  <c r="FA152" i="2"/>
  <c r="EZ152" i="2"/>
  <c r="EY152" i="2"/>
  <c r="EX152" i="2"/>
  <c r="EW152" i="2"/>
  <c r="EV152" i="2"/>
  <c r="EU152" i="2"/>
  <c r="ET152" i="2"/>
  <c r="ES152" i="2"/>
  <c r="ER152" i="2"/>
  <c r="EQ152" i="2"/>
  <c r="EP152" i="2"/>
  <c r="EO152" i="2"/>
  <c r="EN152" i="2"/>
  <c r="EM152" i="2"/>
  <c r="EL152" i="2"/>
  <c r="EK152" i="2"/>
  <c r="EJ152" i="2"/>
  <c r="EI152" i="2"/>
  <c r="EH152" i="2"/>
  <c r="EG152" i="2"/>
  <c r="EF152" i="2"/>
  <c r="EE152" i="2"/>
  <c r="ED152" i="2"/>
  <c r="EC152" i="2"/>
  <c r="EB152" i="2"/>
  <c r="EA152" i="2"/>
  <c r="DZ152" i="2"/>
  <c r="DY152" i="2"/>
  <c r="DX152" i="2"/>
  <c r="DW152" i="2"/>
  <c r="DV152" i="2"/>
  <c r="DU152" i="2"/>
  <c r="DT152" i="2"/>
  <c r="DS152" i="2"/>
  <c r="DR152" i="2"/>
  <c r="DQ152" i="2"/>
  <c r="DP152" i="2"/>
  <c r="DO152" i="2"/>
  <c r="DN152" i="2"/>
  <c r="DM152" i="2"/>
  <c r="DL152" i="2"/>
  <c r="DK152" i="2"/>
  <c r="DJ152" i="2"/>
  <c r="DI152" i="2"/>
  <c r="DH152" i="2"/>
  <c r="DG152" i="2"/>
  <c r="DF152" i="2"/>
  <c r="DE152" i="2"/>
  <c r="DD152" i="2"/>
  <c r="DC152" i="2"/>
  <c r="DB152" i="2"/>
  <c r="CU152" i="2" s="1"/>
  <c r="CV152" i="2"/>
  <c r="CQ152" i="2"/>
  <c r="CP152" i="2"/>
  <c r="CO152" i="2"/>
  <c r="CN152" i="2"/>
  <c r="U152" i="2"/>
  <c r="L152" i="4" s="1"/>
  <c r="N152" i="4" s="1"/>
  <c r="FS151" i="2"/>
  <c r="FR151" i="2"/>
  <c r="FQ151" i="2"/>
  <c r="FP151" i="2"/>
  <c r="FO151" i="2"/>
  <c r="FN151" i="2"/>
  <c r="FM151" i="2"/>
  <c r="FL151" i="2"/>
  <c r="FK151" i="2"/>
  <c r="FJ151" i="2"/>
  <c r="FI151" i="2"/>
  <c r="FH151" i="2"/>
  <c r="FG151" i="2"/>
  <c r="FF151" i="2"/>
  <c r="FE151" i="2"/>
  <c r="FD151" i="2"/>
  <c r="FC151" i="2"/>
  <c r="FB151" i="2"/>
  <c r="FA151" i="2"/>
  <c r="EZ151" i="2"/>
  <c r="EY151" i="2"/>
  <c r="EX151" i="2"/>
  <c r="EW151" i="2"/>
  <c r="EV151" i="2"/>
  <c r="EU151" i="2"/>
  <c r="ET151" i="2"/>
  <c r="ES151" i="2"/>
  <c r="ER151" i="2"/>
  <c r="EQ151" i="2"/>
  <c r="EP151" i="2"/>
  <c r="EO151" i="2"/>
  <c r="EN151" i="2"/>
  <c r="EM151" i="2"/>
  <c r="EL151" i="2"/>
  <c r="EK151" i="2"/>
  <c r="EJ151" i="2"/>
  <c r="EI151" i="2"/>
  <c r="EH151" i="2"/>
  <c r="EG151" i="2"/>
  <c r="EF151" i="2"/>
  <c r="EE151" i="2"/>
  <c r="ED151" i="2"/>
  <c r="EC151" i="2"/>
  <c r="EB151" i="2"/>
  <c r="EA151" i="2"/>
  <c r="DZ151" i="2"/>
  <c r="DY151" i="2"/>
  <c r="DX151" i="2"/>
  <c r="DW151" i="2"/>
  <c r="DV151" i="2"/>
  <c r="DU151" i="2"/>
  <c r="DT151" i="2"/>
  <c r="DS151" i="2"/>
  <c r="DR151" i="2"/>
  <c r="DQ151" i="2"/>
  <c r="DP151" i="2"/>
  <c r="DO151" i="2"/>
  <c r="DN151" i="2"/>
  <c r="DM151" i="2"/>
  <c r="DL151" i="2"/>
  <c r="DK151" i="2"/>
  <c r="DJ151" i="2"/>
  <c r="DI151" i="2"/>
  <c r="DH151" i="2"/>
  <c r="DG151" i="2"/>
  <c r="DF151" i="2"/>
  <c r="DE151" i="2"/>
  <c r="DD151" i="2"/>
  <c r="DC151" i="2"/>
  <c r="DB151" i="2"/>
  <c r="CV151" i="2"/>
  <c r="CR151" i="2"/>
  <c r="CQ151" i="2"/>
  <c r="CP151" i="2"/>
  <c r="CO151" i="2"/>
  <c r="CN151" i="2"/>
  <c r="U151" i="2"/>
  <c r="L151" i="4" s="1"/>
  <c r="N151" i="4" s="1"/>
  <c r="FS150" i="2"/>
  <c r="FR150" i="2"/>
  <c r="FQ150" i="2"/>
  <c r="FP150" i="2"/>
  <c r="FO150" i="2"/>
  <c r="FN150" i="2"/>
  <c r="FM150" i="2"/>
  <c r="FL150" i="2"/>
  <c r="FK150" i="2"/>
  <c r="FJ150" i="2"/>
  <c r="FI150" i="2"/>
  <c r="FH150" i="2"/>
  <c r="FG150" i="2"/>
  <c r="FF150" i="2"/>
  <c r="FE150" i="2"/>
  <c r="FD150" i="2"/>
  <c r="FC150" i="2"/>
  <c r="FB150" i="2"/>
  <c r="FA150" i="2"/>
  <c r="EZ150" i="2"/>
  <c r="EY150" i="2"/>
  <c r="EX150" i="2"/>
  <c r="EW150" i="2"/>
  <c r="EV150" i="2"/>
  <c r="EU150" i="2"/>
  <c r="ET150" i="2"/>
  <c r="ES150" i="2"/>
  <c r="ER150" i="2"/>
  <c r="EQ150" i="2"/>
  <c r="EP150" i="2"/>
  <c r="EO150" i="2"/>
  <c r="EN150" i="2"/>
  <c r="EM150" i="2"/>
  <c r="EL150" i="2"/>
  <c r="EK150" i="2"/>
  <c r="EJ150" i="2"/>
  <c r="EI150" i="2"/>
  <c r="EH150" i="2"/>
  <c r="EG150" i="2"/>
  <c r="EF150" i="2"/>
  <c r="EE150" i="2"/>
  <c r="ED150" i="2"/>
  <c r="EC150" i="2"/>
  <c r="EB150" i="2"/>
  <c r="EA150" i="2"/>
  <c r="DZ150" i="2"/>
  <c r="DY150" i="2"/>
  <c r="DX150" i="2"/>
  <c r="DW150" i="2"/>
  <c r="DV150" i="2"/>
  <c r="DU150" i="2"/>
  <c r="DT150" i="2"/>
  <c r="DS150" i="2"/>
  <c r="DR150" i="2"/>
  <c r="DQ150" i="2"/>
  <c r="DP150" i="2"/>
  <c r="DO150" i="2"/>
  <c r="DN150" i="2"/>
  <c r="DM150" i="2"/>
  <c r="DL150" i="2"/>
  <c r="DK150" i="2"/>
  <c r="DJ150" i="2"/>
  <c r="DI150" i="2"/>
  <c r="DH150" i="2"/>
  <c r="DG150" i="2"/>
  <c r="DF150" i="2"/>
  <c r="DE150" i="2"/>
  <c r="DD150" i="2"/>
  <c r="DC150" i="2"/>
  <c r="DB150" i="2"/>
  <c r="CV150" i="2"/>
  <c r="CQ150" i="2"/>
  <c r="CP150" i="2"/>
  <c r="CO150" i="2"/>
  <c r="CN150" i="2"/>
  <c r="U150" i="2"/>
  <c r="L150" i="4" s="1"/>
  <c r="N150" i="4" s="1"/>
  <c r="FS149" i="2"/>
  <c r="FR149" i="2"/>
  <c r="FQ149" i="2"/>
  <c r="FP149" i="2"/>
  <c r="FO149" i="2"/>
  <c r="FN149" i="2"/>
  <c r="FM149" i="2"/>
  <c r="FL149" i="2"/>
  <c r="FK149" i="2"/>
  <c r="FJ149" i="2"/>
  <c r="FI149" i="2"/>
  <c r="FH149" i="2"/>
  <c r="FG149" i="2"/>
  <c r="FF149" i="2"/>
  <c r="FE149" i="2"/>
  <c r="FD149" i="2"/>
  <c r="FC149" i="2"/>
  <c r="FB149" i="2"/>
  <c r="FA149" i="2"/>
  <c r="EZ149" i="2"/>
  <c r="EY149" i="2"/>
  <c r="EX149" i="2"/>
  <c r="EW149" i="2"/>
  <c r="EV149" i="2"/>
  <c r="EU149" i="2"/>
  <c r="ET149" i="2"/>
  <c r="ES149" i="2"/>
  <c r="ER149" i="2"/>
  <c r="EQ149" i="2"/>
  <c r="EP149" i="2"/>
  <c r="EO149" i="2"/>
  <c r="EN149" i="2"/>
  <c r="EM149" i="2"/>
  <c r="EL149" i="2"/>
  <c r="EK149" i="2"/>
  <c r="EJ149" i="2"/>
  <c r="EI149" i="2"/>
  <c r="EH149" i="2"/>
  <c r="EG149" i="2"/>
  <c r="EF149" i="2"/>
  <c r="EE149" i="2"/>
  <c r="ED149" i="2"/>
  <c r="EC149" i="2"/>
  <c r="EB149" i="2"/>
  <c r="EA149" i="2"/>
  <c r="DZ149" i="2"/>
  <c r="DY149" i="2"/>
  <c r="DX149" i="2"/>
  <c r="DW149" i="2"/>
  <c r="DV149" i="2"/>
  <c r="DU149" i="2"/>
  <c r="DT149" i="2"/>
  <c r="DS149" i="2"/>
  <c r="DR149" i="2"/>
  <c r="DQ149" i="2"/>
  <c r="DP149" i="2"/>
  <c r="DO149" i="2"/>
  <c r="DN149" i="2"/>
  <c r="DM149" i="2"/>
  <c r="DL149" i="2"/>
  <c r="DK149" i="2"/>
  <c r="DJ149" i="2"/>
  <c r="DI149" i="2"/>
  <c r="DH149" i="2"/>
  <c r="DG149" i="2"/>
  <c r="DF149" i="2"/>
  <c r="DE149" i="2"/>
  <c r="DD149" i="2"/>
  <c r="DC149" i="2"/>
  <c r="DB149" i="2"/>
  <c r="CV149" i="2"/>
  <c r="CU149" i="2"/>
  <c r="CR149" i="2"/>
  <c r="CQ149" i="2"/>
  <c r="CP149" i="2"/>
  <c r="CO149" i="2"/>
  <c r="CN149" i="2"/>
  <c r="U149" i="2"/>
  <c r="L149" i="4" s="1"/>
  <c r="FS148" i="2"/>
  <c r="FR148" i="2"/>
  <c r="FQ148" i="2"/>
  <c r="FP148" i="2"/>
  <c r="FO148" i="2"/>
  <c r="FN148" i="2"/>
  <c r="FM148" i="2"/>
  <c r="FL148" i="2"/>
  <c r="FK148" i="2"/>
  <c r="FJ148" i="2"/>
  <c r="FI148" i="2"/>
  <c r="FH148" i="2"/>
  <c r="FG148" i="2"/>
  <c r="FF148" i="2"/>
  <c r="FE148" i="2"/>
  <c r="FD148" i="2"/>
  <c r="FC148" i="2"/>
  <c r="FB148" i="2"/>
  <c r="FA148" i="2"/>
  <c r="EZ148" i="2"/>
  <c r="EY148" i="2"/>
  <c r="EX148" i="2"/>
  <c r="EW148" i="2"/>
  <c r="EV148" i="2"/>
  <c r="EU148" i="2"/>
  <c r="ET148" i="2"/>
  <c r="ES148" i="2"/>
  <c r="ER148" i="2"/>
  <c r="EQ148" i="2"/>
  <c r="EP148" i="2"/>
  <c r="EO148" i="2"/>
  <c r="EN148" i="2"/>
  <c r="EM148" i="2"/>
  <c r="EL148" i="2"/>
  <c r="EK148" i="2"/>
  <c r="EJ148" i="2"/>
  <c r="EI148" i="2"/>
  <c r="EH148" i="2"/>
  <c r="EG148" i="2"/>
  <c r="EF148" i="2"/>
  <c r="EE148" i="2"/>
  <c r="ED148" i="2"/>
  <c r="EC148" i="2"/>
  <c r="EB148" i="2"/>
  <c r="EA148" i="2"/>
  <c r="DZ148" i="2"/>
  <c r="DY148" i="2"/>
  <c r="DX148" i="2"/>
  <c r="DW148" i="2"/>
  <c r="DV148" i="2"/>
  <c r="DU148" i="2"/>
  <c r="DT148" i="2"/>
  <c r="DS148" i="2"/>
  <c r="DR148" i="2"/>
  <c r="DQ148" i="2"/>
  <c r="DP148" i="2"/>
  <c r="DO148" i="2"/>
  <c r="DN148" i="2"/>
  <c r="DM148" i="2"/>
  <c r="DL148" i="2"/>
  <c r="DK148" i="2"/>
  <c r="DJ148" i="2"/>
  <c r="DI148" i="2"/>
  <c r="DH148" i="2"/>
  <c r="DG148" i="2"/>
  <c r="DF148" i="2"/>
  <c r="CU148" i="2" s="1"/>
  <c r="DE148" i="2"/>
  <c r="DD148" i="2"/>
  <c r="DC148" i="2"/>
  <c r="DB148" i="2"/>
  <c r="CV148" i="2"/>
  <c r="CQ148" i="2"/>
  <c r="CP148" i="2"/>
  <c r="CO148" i="2"/>
  <c r="CN148" i="2"/>
  <c r="U148" i="2"/>
  <c r="L148" i="4" s="1"/>
  <c r="FS147" i="2"/>
  <c r="FR147" i="2"/>
  <c r="FQ147" i="2"/>
  <c r="FP147" i="2"/>
  <c r="FO147" i="2"/>
  <c r="FN147" i="2"/>
  <c r="FM147" i="2"/>
  <c r="FL147" i="2"/>
  <c r="FK147" i="2"/>
  <c r="FJ147" i="2"/>
  <c r="FI147" i="2"/>
  <c r="FH147" i="2"/>
  <c r="FG147" i="2"/>
  <c r="FF147" i="2"/>
  <c r="FE147" i="2"/>
  <c r="FD147" i="2"/>
  <c r="FC147" i="2"/>
  <c r="FB147" i="2"/>
  <c r="FA147" i="2"/>
  <c r="EZ147" i="2"/>
  <c r="EY147" i="2"/>
  <c r="EX147" i="2"/>
  <c r="EW147" i="2"/>
  <c r="EV147" i="2"/>
  <c r="EU147" i="2"/>
  <c r="ET147" i="2"/>
  <c r="ES147" i="2"/>
  <c r="ER147" i="2"/>
  <c r="EQ147" i="2"/>
  <c r="EP147" i="2"/>
  <c r="EO147" i="2"/>
  <c r="EN147" i="2"/>
  <c r="EM147" i="2"/>
  <c r="EL147" i="2"/>
  <c r="EK147" i="2"/>
  <c r="EJ147" i="2"/>
  <c r="EI147" i="2"/>
  <c r="EH147" i="2"/>
  <c r="EG147" i="2"/>
  <c r="EF147" i="2"/>
  <c r="EE147" i="2"/>
  <c r="ED147" i="2"/>
  <c r="EC147" i="2"/>
  <c r="EB147" i="2"/>
  <c r="EA147" i="2"/>
  <c r="DZ147" i="2"/>
  <c r="DY147" i="2"/>
  <c r="DX147" i="2"/>
  <c r="DW147" i="2"/>
  <c r="DV147" i="2"/>
  <c r="DU147" i="2"/>
  <c r="DT147" i="2"/>
  <c r="DS147" i="2"/>
  <c r="DR147" i="2"/>
  <c r="DQ147" i="2"/>
  <c r="DP147" i="2"/>
  <c r="DO147" i="2"/>
  <c r="DN147" i="2"/>
  <c r="DM147" i="2"/>
  <c r="DL147" i="2"/>
  <c r="DK147" i="2"/>
  <c r="DJ147" i="2"/>
  <c r="DI147" i="2"/>
  <c r="DH147" i="2"/>
  <c r="DG147" i="2"/>
  <c r="DF147" i="2"/>
  <c r="DE147" i="2"/>
  <c r="DD147" i="2"/>
  <c r="DC147" i="2"/>
  <c r="DB147" i="2"/>
  <c r="CV147" i="2"/>
  <c r="CR147" i="2"/>
  <c r="CQ147" i="2"/>
  <c r="CP147" i="2"/>
  <c r="CO147" i="2"/>
  <c r="CN147" i="2"/>
  <c r="U147" i="2"/>
  <c r="L147" i="4" s="1"/>
  <c r="N147" i="4" s="1"/>
  <c r="FS146" i="2"/>
  <c r="FR146" i="2"/>
  <c r="FQ146" i="2"/>
  <c r="FP146" i="2"/>
  <c r="FO146" i="2"/>
  <c r="FN146" i="2"/>
  <c r="FM146" i="2"/>
  <c r="FL146" i="2"/>
  <c r="FK146" i="2"/>
  <c r="FJ146" i="2"/>
  <c r="FI146" i="2"/>
  <c r="FH146" i="2"/>
  <c r="FG146" i="2"/>
  <c r="FF146" i="2"/>
  <c r="FE146" i="2"/>
  <c r="FD146" i="2"/>
  <c r="FC146" i="2"/>
  <c r="FB146" i="2"/>
  <c r="FA146" i="2"/>
  <c r="EZ146" i="2"/>
  <c r="EY146" i="2"/>
  <c r="EX146" i="2"/>
  <c r="EW146" i="2"/>
  <c r="EV146" i="2"/>
  <c r="EU146" i="2"/>
  <c r="ET146" i="2"/>
  <c r="ES146" i="2"/>
  <c r="ER146" i="2"/>
  <c r="EQ146" i="2"/>
  <c r="EP146" i="2"/>
  <c r="EO146" i="2"/>
  <c r="EN146" i="2"/>
  <c r="EM146" i="2"/>
  <c r="EL146" i="2"/>
  <c r="EK146" i="2"/>
  <c r="EJ146" i="2"/>
  <c r="EI146" i="2"/>
  <c r="EH146" i="2"/>
  <c r="EG146" i="2"/>
  <c r="EF146" i="2"/>
  <c r="EE146" i="2"/>
  <c r="ED146" i="2"/>
  <c r="EC146" i="2"/>
  <c r="EB146" i="2"/>
  <c r="EA146" i="2"/>
  <c r="DZ146" i="2"/>
  <c r="DY146" i="2"/>
  <c r="DX146" i="2"/>
  <c r="DW146" i="2"/>
  <c r="DV146" i="2"/>
  <c r="DU146" i="2"/>
  <c r="DT146" i="2"/>
  <c r="DS146" i="2"/>
  <c r="DR146" i="2"/>
  <c r="DQ146" i="2"/>
  <c r="DP146" i="2"/>
  <c r="DO146" i="2"/>
  <c r="DN146" i="2"/>
  <c r="DM146" i="2"/>
  <c r="DL146" i="2"/>
  <c r="DK146" i="2"/>
  <c r="DJ146" i="2"/>
  <c r="DI146" i="2"/>
  <c r="DH146" i="2"/>
  <c r="DG146" i="2"/>
  <c r="DF146" i="2"/>
  <c r="DE146" i="2"/>
  <c r="DD146" i="2"/>
  <c r="DC146" i="2"/>
  <c r="DB146" i="2"/>
  <c r="CU146" i="2" s="1"/>
  <c r="CV146" i="2"/>
  <c r="CQ146" i="2"/>
  <c r="CP146" i="2"/>
  <c r="CO146" i="2"/>
  <c r="CN146" i="2"/>
  <c r="U146" i="2"/>
  <c r="L146" i="4" s="1"/>
  <c r="FS145" i="2"/>
  <c r="FR145" i="2"/>
  <c r="FQ145" i="2"/>
  <c r="FP145" i="2"/>
  <c r="FO145" i="2"/>
  <c r="FN145" i="2"/>
  <c r="FM145" i="2"/>
  <c r="FL145" i="2"/>
  <c r="FK145" i="2"/>
  <c r="FJ145" i="2"/>
  <c r="FI145" i="2"/>
  <c r="FH145" i="2"/>
  <c r="FG145" i="2"/>
  <c r="FF145" i="2"/>
  <c r="FE145" i="2"/>
  <c r="FD145" i="2"/>
  <c r="FC145" i="2"/>
  <c r="FB145" i="2"/>
  <c r="FA145" i="2"/>
  <c r="EZ145" i="2"/>
  <c r="EY145" i="2"/>
  <c r="EX145" i="2"/>
  <c r="EW145" i="2"/>
  <c r="EV145" i="2"/>
  <c r="EU145" i="2"/>
  <c r="ET145" i="2"/>
  <c r="ES145" i="2"/>
  <c r="ER145" i="2"/>
  <c r="EQ145" i="2"/>
  <c r="EP145" i="2"/>
  <c r="EO145" i="2"/>
  <c r="EN145" i="2"/>
  <c r="EM145" i="2"/>
  <c r="EL145" i="2"/>
  <c r="EK145" i="2"/>
  <c r="EJ145" i="2"/>
  <c r="EI145" i="2"/>
  <c r="EH145" i="2"/>
  <c r="EG145" i="2"/>
  <c r="EF145" i="2"/>
  <c r="EE145" i="2"/>
  <c r="ED145" i="2"/>
  <c r="EC145" i="2"/>
  <c r="EB145" i="2"/>
  <c r="EA145" i="2"/>
  <c r="DZ145" i="2"/>
  <c r="DY145" i="2"/>
  <c r="DX145" i="2"/>
  <c r="DW145" i="2"/>
  <c r="DV145" i="2"/>
  <c r="DU145" i="2"/>
  <c r="DT145" i="2"/>
  <c r="DS145" i="2"/>
  <c r="DR145" i="2"/>
  <c r="DQ145" i="2"/>
  <c r="DP145" i="2"/>
  <c r="DO145" i="2"/>
  <c r="DN145" i="2"/>
  <c r="DM145" i="2"/>
  <c r="DL145" i="2"/>
  <c r="DK145" i="2"/>
  <c r="DJ145" i="2"/>
  <c r="DI145" i="2"/>
  <c r="DH145" i="2"/>
  <c r="DG145" i="2"/>
  <c r="CU145" i="2" s="1"/>
  <c r="DF145" i="2"/>
  <c r="DE145" i="2"/>
  <c r="DD145" i="2"/>
  <c r="DC145" i="2"/>
  <c r="DB145" i="2"/>
  <c r="CV145" i="2"/>
  <c r="CR145" i="2"/>
  <c r="CQ145" i="2"/>
  <c r="CP145" i="2"/>
  <c r="CO145" i="2"/>
  <c r="CN145" i="2"/>
  <c r="U145" i="2"/>
  <c r="L145" i="4" s="1"/>
  <c r="FS144" i="2"/>
  <c r="FR144" i="2"/>
  <c r="FQ144" i="2"/>
  <c r="FP144" i="2"/>
  <c r="FO144" i="2"/>
  <c r="FN144" i="2"/>
  <c r="FM144" i="2"/>
  <c r="FL144" i="2"/>
  <c r="FK144" i="2"/>
  <c r="FJ144" i="2"/>
  <c r="FI144" i="2"/>
  <c r="FH144" i="2"/>
  <c r="FG144" i="2"/>
  <c r="FF144" i="2"/>
  <c r="FE144" i="2"/>
  <c r="FD144" i="2"/>
  <c r="FC144" i="2"/>
  <c r="FB144" i="2"/>
  <c r="FA144" i="2"/>
  <c r="EZ144" i="2"/>
  <c r="EY144" i="2"/>
  <c r="EX144" i="2"/>
  <c r="EW144" i="2"/>
  <c r="EV144" i="2"/>
  <c r="EU144" i="2"/>
  <c r="ET144" i="2"/>
  <c r="ES144" i="2"/>
  <c r="ER144" i="2"/>
  <c r="EQ144" i="2"/>
  <c r="EP144" i="2"/>
  <c r="EO144" i="2"/>
  <c r="EN144" i="2"/>
  <c r="EM144" i="2"/>
  <c r="EL144" i="2"/>
  <c r="EK144" i="2"/>
  <c r="EJ144" i="2"/>
  <c r="EI144" i="2"/>
  <c r="EH144" i="2"/>
  <c r="EG144" i="2"/>
  <c r="EF144" i="2"/>
  <c r="EE144" i="2"/>
  <c r="ED144" i="2"/>
  <c r="EC144" i="2"/>
  <c r="EB144" i="2"/>
  <c r="EA144" i="2"/>
  <c r="DZ144" i="2"/>
  <c r="DY144" i="2"/>
  <c r="DX144" i="2"/>
  <c r="DW144" i="2"/>
  <c r="DV144" i="2"/>
  <c r="DU144" i="2"/>
  <c r="DT144" i="2"/>
  <c r="DS144" i="2"/>
  <c r="DR144" i="2"/>
  <c r="DQ144" i="2"/>
  <c r="DP144" i="2"/>
  <c r="DO144" i="2"/>
  <c r="DN144" i="2"/>
  <c r="DM144" i="2"/>
  <c r="DL144" i="2"/>
  <c r="DK144" i="2"/>
  <c r="DJ144" i="2"/>
  <c r="DI144" i="2"/>
  <c r="DH144" i="2"/>
  <c r="DG144" i="2"/>
  <c r="DF144" i="2"/>
  <c r="DE144" i="2"/>
  <c r="DD144" i="2"/>
  <c r="DC144" i="2"/>
  <c r="DB144" i="2"/>
  <c r="CU144" i="2" s="1"/>
  <c r="CV144" i="2"/>
  <c r="CQ144" i="2"/>
  <c r="CP144" i="2"/>
  <c r="CO144" i="2"/>
  <c r="CN144" i="2"/>
  <c r="U144" i="2"/>
  <c r="L144" i="4" s="1"/>
  <c r="N144" i="4" s="1"/>
  <c r="FS143" i="2"/>
  <c r="FR143" i="2"/>
  <c r="FQ143" i="2"/>
  <c r="FP143" i="2"/>
  <c r="FO143" i="2"/>
  <c r="FN143" i="2"/>
  <c r="FM143" i="2"/>
  <c r="FL143" i="2"/>
  <c r="FK143" i="2"/>
  <c r="FJ143" i="2"/>
  <c r="FI143" i="2"/>
  <c r="FH143" i="2"/>
  <c r="FG143" i="2"/>
  <c r="FF143" i="2"/>
  <c r="FE143" i="2"/>
  <c r="FD143" i="2"/>
  <c r="FC143" i="2"/>
  <c r="FB143" i="2"/>
  <c r="FA143" i="2"/>
  <c r="EZ143" i="2"/>
  <c r="EY143" i="2"/>
  <c r="EX143" i="2"/>
  <c r="EW143" i="2"/>
  <c r="EV143" i="2"/>
  <c r="EU143" i="2"/>
  <c r="ET143" i="2"/>
  <c r="ES143" i="2"/>
  <c r="ER143" i="2"/>
  <c r="EQ143" i="2"/>
  <c r="EP143" i="2"/>
  <c r="EO143" i="2"/>
  <c r="EN143" i="2"/>
  <c r="EM143" i="2"/>
  <c r="EL143" i="2"/>
  <c r="EK143" i="2"/>
  <c r="EJ143" i="2"/>
  <c r="EI143" i="2"/>
  <c r="EH143" i="2"/>
  <c r="EG143" i="2"/>
  <c r="EF143" i="2"/>
  <c r="EE143" i="2"/>
  <c r="ED143" i="2"/>
  <c r="EC143" i="2"/>
  <c r="EB143" i="2"/>
  <c r="EA143" i="2"/>
  <c r="DZ143" i="2"/>
  <c r="DY143" i="2"/>
  <c r="DX143" i="2"/>
  <c r="DW143" i="2"/>
  <c r="DV143" i="2"/>
  <c r="DU143" i="2"/>
  <c r="DT143" i="2"/>
  <c r="DS143" i="2"/>
  <c r="DR143" i="2"/>
  <c r="DQ143" i="2"/>
  <c r="DP143" i="2"/>
  <c r="DO143" i="2"/>
  <c r="DN143" i="2"/>
  <c r="DM143" i="2"/>
  <c r="DL143" i="2"/>
  <c r="DK143" i="2"/>
  <c r="DJ143" i="2"/>
  <c r="DI143" i="2"/>
  <c r="DH143" i="2"/>
  <c r="DG143" i="2"/>
  <c r="DF143" i="2"/>
  <c r="DE143" i="2"/>
  <c r="DC143" i="2"/>
  <c r="DB143" i="2"/>
  <c r="CV143" i="2"/>
  <c r="CQ143" i="2"/>
  <c r="CP143" i="2"/>
  <c r="CO143" i="2"/>
  <c r="CN143" i="2"/>
  <c r="FS142" i="2"/>
  <c r="FR142" i="2"/>
  <c r="FQ142" i="2"/>
  <c r="FP142" i="2"/>
  <c r="FO142" i="2"/>
  <c r="FN142" i="2"/>
  <c r="FM142" i="2"/>
  <c r="FL142" i="2"/>
  <c r="FK142" i="2"/>
  <c r="FJ142" i="2"/>
  <c r="FI142" i="2"/>
  <c r="FH142" i="2"/>
  <c r="FG142" i="2"/>
  <c r="FF142" i="2"/>
  <c r="FE142" i="2"/>
  <c r="FD142" i="2"/>
  <c r="FC142" i="2"/>
  <c r="FB142" i="2"/>
  <c r="FA142" i="2"/>
  <c r="EZ142" i="2"/>
  <c r="EY142" i="2"/>
  <c r="EX142" i="2"/>
  <c r="EW142" i="2"/>
  <c r="EV142" i="2"/>
  <c r="EU142" i="2"/>
  <c r="ET142" i="2"/>
  <c r="ES142" i="2"/>
  <c r="ER142" i="2"/>
  <c r="EQ142" i="2"/>
  <c r="EO142" i="2"/>
  <c r="EN142" i="2"/>
  <c r="EM142" i="2"/>
  <c r="EL142" i="2"/>
  <c r="EK142" i="2"/>
  <c r="EJ142" i="2"/>
  <c r="EI142" i="2"/>
  <c r="EH142" i="2"/>
  <c r="EG142" i="2"/>
  <c r="EF142" i="2"/>
  <c r="EE142" i="2"/>
  <c r="ED142" i="2"/>
  <c r="EC142" i="2"/>
  <c r="EB142" i="2"/>
  <c r="EA142" i="2"/>
  <c r="DZ142" i="2"/>
  <c r="DY142" i="2"/>
  <c r="DX142" i="2"/>
  <c r="DW142" i="2"/>
  <c r="DV142" i="2"/>
  <c r="DU142" i="2"/>
  <c r="DT142" i="2"/>
  <c r="DS142" i="2"/>
  <c r="DR142" i="2"/>
  <c r="DQ142" i="2"/>
  <c r="DP142" i="2"/>
  <c r="DO142" i="2"/>
  <c r="DN142" i="2"/>
  <c r="DM142" i="2"/>
  <c r="DL142" i="2"/>
  <c r="DK142" i="2"/>
  <c r="DJ142" i="2"/>
  <c r="DI142" i="2"/>
  <c r="DH142" i="2"/>
  <c r="DG142" i="2"/>
  <c r="DF142" i="2"/>
  <c r="DE142" i="2"/>
  <c r="DC142" i="2"/>
  <c r="DB142" i="2"/>
  <c r="CV142" i="2"/>
  <c r="CR142" i="2"/>
  <c r="CQ142" i="2"/>
  <c r="CP142" i="2"/>
  <c r="CO142" i="2"/>
  <c r="CN142" i="2"/>
  <c r="FS141" i="2"/>
  <c r="FR141" i="2"/>
  <c r="FQ141" i="2"/>
  <c r="FP141" i="2"/>
  <c r="FO141" i="2"/>
  <c r="FN141" i="2"/>
  <c r="FM141" i="2"/>
  <c r="FL141" i="2"/>
  <c r="FK141" i="2"/>
  <c r="FJ141" i="2"/>
  <c r="FI141" i="2"/>
  <c r="FH141" i="2"/>
  <c r="FG141" i="2"/>
  <c r="FF141" i="2"/>
  <c r="FE141" i="2"/>
  <c r="FD141" i="2"/>
  <c r="FC141" i="2"/>
  <c r="FB141" i="2"/>
  <c r="FA141" i="2"/>
  <c r="EZ141" i="2"/>
  <c r="EY141" i="2"/>
  <c r="EX141" i="2"/>
  <c r="EW141" i="2"/>
  <c r="EV141" i="2"/>
  <c r="EU141" i="2"/>
  <c r="ET141" i="2"/>
  <c r="ES141" i="2"/>
  <c r="ER141" i="2"/>
  <c r="EQ141" i="2"/>
  <c r="EO141" i="2"/>
  <c r="EN141" i="2"/>
  <c r="EM141" i="2"/>
  <c r="EL141" i="2"/>
  <c r="EK141" i="2"/>
  <c r="EJ141" i="2"/>
  <c r="EI141" i="2"/>
  <c r="EH141" i="2"/>
  <c r="EG141" i="2"/>
  <c r="EF141" i="2"/>
  <c r="EE141" i="2"/>
  <c r="ED141" i="2"/>
  <c r="EC141" i="2"/>
  <c r="EB141" i="2"/>
  <c r="EA141" i="2"/>
  <c r="DZ141" i="2"/>
  <c r="DY141" i="2"/>
  <c r="DX141" i="2"/>
  <c r="DW141" i="2"/>
  <c r="DV141" i="2"/>
  <c r="DU141" i="2"/>
  <c r="DT141" i="2"/>
  <c r="DS141" i="2"/>
  <c r="DR141" i="2"/>
  <c r="DQ141" i="2"/>
  <c r="DP141" i="2"/>
  <c r="DO141" i="2"/>
  <c r="DN141" i="2"/>
  <c r="DM141" i="2"/>
  <c r="DL141" i="2"/>
  <c r="DK141" i="2"/>
  <c r="DJ141" i="2"/>
  <c r="DI141" i="2"/>
  <c r="DH141" i="2"/>
  <c r="DG141" i="2"/>
  <c r="DF141" i="2"/>
  <c r="DE141" i="2"/>
  <c r="DC141" i="2"/>
  <c r="DB141" i="2"/>
  <c r="CV141" i="2"/>
  <c r="CQ141" i="2"/>
  <c r="CP141" i="2"/>
  <c r="CO141" i="2"/>
  <c r="CN141" i="2"/>
  <c r="FS140" i="2"/>
  <c r="FR140" i="2"/>
  <c r="FQ140" i="2"/>
  <c r="FP140" i="2"/>
  <c r="FO140" i="2"/>
  <c r="FN140" i="2"/>
  <c r="FM140" i="2"/>
  <c r="FL140" i="2"/>
  <c r="FK140" i="2"/>
  <c r="FJ140" i="2"/>
  <c r="FI140" i="2"/>
  <c r="FH140" i="2"/>
  <c r="FG140" i="2"/>
  <c r="FF140" i="2"/>
  <c r="FE140" i="2"/>
  <c r="FD140" i="2"/>
  <c r="FC140" i="2"/>
  <c r="FB140" i="2"/>
  <c r="FA140" i="2"/>
  <c r="EZ140" i="2"/>
  <c r="EY140" i="2"/>
  <c r="EX140" i="2"/>
  <c r="EW140" i="2"/>
  <c r="EV140" i="2"/>
  <c r="EU140" i="2"/>
  <c r="ET140" i="2"/>
  <c r="ES140" i="2"/>
  <c r="ER140" i="2"/>
  <c r="EQ140" i="2"/>
  <c r="EO140" i="2"/>
  <c r="EN140" i="2"/>
  <c r="EM140" i="2"/>
  <c r="EL140" i="2"/>
  <c r="EK140" i="2"/>
  <c r="EJ140" i="2"/>
  <c r="EI140" i="2"/>
  <c r="EH140" i="2"/>
  <c r="EG140" i="2"/>
  <c r="EF140" i="2"/>
  <c r="EE140" i="2"/>
  <c r="ED140" i="2"/>
  <c r="EC140" i="2"/>
  <c r="EB140" i="2"/>
  <c r="EA140" i="2"/>
  <c r="DZ140" i="2"/>
  <c r="DY140" i="2"/>
  <c r="DX140" i="2"/>
  <c r="DW140" i="2"/>
  <c r="DV140" i="2"/>
  <c r="DU140" i="2"/>
  <c r="DT140" i="2"/>
  <c r="DS140" i="2"/>
  <c r="DR140" i="2"/>
  <c r="DQ140" i="2"/>
  <c r="DP140" i="2"/>
  <c r="DO140" i="2"/>
  <c r="DN140" i="2"/>
  <c r="DM140" i="2"/>
  <c r="DL140" i="2"/>
  <c r="DK140" i="2"/>
  <c r="DJ140" i="2"/>
  <c r="DI140" i="2"/>
  <c r="DH140" i="2"/>
  <c r="DG140" i="2"/>
  <c r="DF140" i="2"/>
  <c r="DE140" i="2"/>
  <c r="DC140" i="2"/>
  <c r="DB140" i="2"/>
  <c r="CV140" i="2"/>
  <c r="CR140" i="2"/>
  <c r="CQ140" i="2"/>
  <c r="CP140" i="2"/>
  <c r="CO140" i="2"/>
  <c r="CN140" i="2"/>
  <c r="FS139" i="2"/>
  <c r="FR139" i="2"/>
  <c r="FQ139" i="2"/>
  <c r="FP139" i="2"/>
  <c r="FO139" i="2"/>
  <c r="FN139" i="2"/>
  <c r="FM139" i="2"/>
  <c r="FL139" i="2"/>
  <c r="FK139" i="2"/>
  <c r="FJ139" i="2"/>
  <c r="FI139" i="2"/>
  <c r="FH139" i="2"/>
  <c r="FG139" i="2"/>
  <c r="FF139" i="2"/>
  <c r="FE139" i="2"/>
  <c r="FD139" i="2"/>
  <c r="FC139" i="2"/>
  <c r="FB139" i="2"/>
  <c r="FA139" i="2"/>
  <c r="EZ139" i="2"/>
  <c r="EY139" i="2"/>
  <c r="EX139" i="2"/>
  <c r="EW139" i="2"/>
  <c r="EV139" i="2"/>
  <c r="EU139" i="2"/>
  <c r="ET139" i="2"/>
  <c r="ES139" i="2"/>
  <c r="ER139" i="2"/>
  <c r="EQ139" i="2"/>
  <c r="EO139" i="2"/>
  <c r="EN139" i="2"/>
  <c r="EM139" i="2"/>
  <c r="EL139" i="2"/>
  <c r="EK139" i="2"/>
  <c r="EJ139" i="2"/>
  <c r="EI139" i="2"/>
  <c r="EH139" i="2"/>
  <c r="EG139" i="2"/>
  <c r="EF139" i="2"/>
  <c r="EE139" i="2"/>
  <c r="ED139" i="2"/>
  <c r="EC139" i="2"/>
  <c r="EB139" i="2"/>
  <c r="EA139" i="2"/>
  <c r="DZ139" i="2"/>
  <c r="DY139" i="2"/>
  <c r="DX139" i="2"/>
  <c r="DW139" i="2"/>
  <c r="DV139" i="2"/>
  <c r="DU139" i="2"/>
  <c r="DT139" i="2"/>
  <c r="DS139" i="2"/>
  <c r="DR139" i="2"/>
  <c r="DQ139" i="2"/>
  <c r="DP139" i="2"/>
  <c r="DO139" i="2"/>
  <c r="DN139" i="2"/>
  <c r="DM139" i="2"/>
  <c r="DL139" i="2"/>
  <c r="DK139" i="2"/>
  <c r="DJ139" i="2"/>
  <c r="DI139" i="2"/>
  <c r="DH139" i="2"/>
  <c r="DG139" i="2"/>
  <c r="DF139" i="2"/>
  <c r="DE139" i="2"/>
  <c r="DC139" i="2"/>
  <c r="DB139" i="2"/>
  <c r="CV139" i="2"/>
  <c r="CQ139" i="2"/>
  <c r="CP139" i="2"/>
  <c r="CO139" i="2"/>
  <c r="CN139" i="2"/>
  <c r="FS138" i="2"/>
  <c r="FR138" i="2"/>
  <c r="FQ138" i="2"/>
  <c r="FP138" i="2"/>
  <c r="FO138" i="2"/>
  <c r="FN138" i="2"/>
  <c r="FM138" i="2"/>
  <c r="FL138" i="2"/>
  <c r="FK138" i="2"/>
  <c r="FJ138" i="2"/>
  <c r="FI138" i="2"/>
  <c r="FH138" i="2"/>
  <c r="FG138" i="2"/>
  <c r="FF138" i="2"/>
  <c r="FE138" i="2"/>
  <c r="FD138" i="2"/>
  <c r="FC138" i="2"/>
  <c r="FB138" i="2"/>
  <c r="FA138" i="2"/>
  <c r="EZ138" i="2"/>
  <c r="EY138" i="2"/>
  <c r="EX138" i="2"/>
  <c r="EW138" i="2"/>
  <c r="EV138" i="2"/>
  <c r="EU138" i="2"/>
  <c r="ET138" i="2"/>
  <c r="ES138" i="2"/>
  <c r="ER138" i="2"/>
  <c r="EQ138" i="2"/>
  <c r="EO138" i="2"/>
  <c r="EN138" i="2"/>
  <c r="EM138" i="2"/>
  <c r="EL138" i="2"/>
  <c r="EK138" i="2"/>
  <c r="EJ138" i="2"/>
  <c r="EI138" i="2"/>
  <c r="EH138" i="2"/>
  <c r="EG138" i="2"/>
  <c r="EF138" i="2"/>
  <c r="EE138" i="2"/>
  <c r="ED138" i="2"/>
  <c r="EC138" i="2"/>
  <c r="EB138" i="2"/>
  <c r="EA138" i="2"/>
  <c r="DZ138" i="2"/>
  <c r="DY138" i="2"/>
  <c r="DX138" i="2"/>
  <c r="DW138" i="2"/>
  <c r="DV138" i="2"/>
  <c r="DU138" i="2"/>
  <c r="DT138" i="2"/>
  <c r="DS138" i="2"/>
  <c r="DR138" i="2"/>
  <c r="DQ138" i="2"/>
  <c r="DP138" i="2"/>
  <c r="DO138" i="2"/>
  <c r="DN138" i="2"/>
  <c r="DM138" i="2"/>
  <c r="DL138" i="2"/>
  <c r="DK138" i="2"/>
  <c r="DJ138" i="2"/>
  <c r="DI138" i="2"/>
  <c r="DH138" i="2"/>
  <c r="DG138" i="2"/>
  <c r="DF138" i="2"/>
  <c r="DE138" i="2"/>
  <c r="DC138" i="2"/>
  <c r="DB138" i="2"/>
  <c r="CV138" i="2"/>
  <c r="CR138" i="2"/>
  <c r="CQ138" i="2"/>
  <c r="CP138" i="2"/>
  <c r="CO138" i="2"/>
  <c r="CN138" i="2"/>
  <c r="FS137" i="2"/>
  <c r="FR137" i="2"/>
  <c r="FQ137" i="2"/>
  <c r="FP137" i="2"/>
  <c r="FO137" i="2"/>
  <c r="FN137" i="2"/>
  <c r="FM137" i="2"/>
  <c r="FL137" i="2"/>
  <c r="FK137" i="2"/>
  <c r="FJ137" i="2"/>
  <c r="FI137" i="2"/>
  <c r="FH137" i="2"/>
  <c r="FG137" i="2"/>
  <c r="FF137" i="2"/>
  <c r="FE137" i="2"/>
  <c r="FD137" i="2"/>
  <c r="FC137" i="2"/>
  <c r="FB137" i="2"/>
  <c r="FA137" i="2"/>
  <c r="EZ137" i="2"/>
  <c r="EY137" i="2"/>
  <c r="EX137" i="2"/>
  <c r="EW137" i="2"/>
  <c r="EV137" i="2"/>
  <c r="EU137" i="2"/>
  <c r="ET137" i="2"/>
  <c r="ES137" i="2"/>
  <c r="ER137" i="2"/>
  <c r="EQ137" i="2"/>
  <c r="EP137" i="2"/>
  <c r="EO137" i="2"/>
  <c r="EN137" i="2"/>
  <c r="EM137" i="2"/>
  <c r="EL137" i="2"/>
  <c r="EK137" i="2"/>
  <c r="EJ137" i="2"/>
  <c r="EI137" i="2"/>
  <c r="EH137" i="2"/>
  <c r="EG137" i="2"/>
  <c r="EF137" i="2"/>
  <c r="EE137" i="2"/>
  <c r="ED137" i="2"/>
  <c r="EC137" i="2"/>
  <c r="EB137" i="2"/>
  <c r="EA137" i="2"/>
  <c r="DZ137" i="2"/>
  <c r="DY137" i="2"/>
  <c r="DX137" i="2"/>
  <c r="DW137" i="2"/>
  <c r="DV137" i="2"/>
  <c r="DU137" i="2"/>
  <c r="DT137" i="2"/>
  <c r="DS137" i="2"/>
  <c r="DR137" i="2"/>
  <c r="DQ137" i="2"/>
  <c r="DP137" i="2"/>
  <c r="DO137" i="2"/>
  <c r="DN137" i="2"/>
  <c r="DM137" i="2"/>
  <c r="DL137" i="2"/>
  <c r="DK137" i="2"/>
  <c r="DJ137" i="2"/>
  <c r="DI137" i="2"/>
  <c r="DH137" i="2"/>
  <c r="DG137" i="2"/>
  <c r="DF137" i="2"/>
  <c r="DE137" i="2"/>
  <c r="DD137" i="2"/>
  <c r="DC137" i="2"/>
  <c r="DB137" i="2"/>
  <c r="CV137" i="2"/>
  <c r="CQ137" i="2"/>
  <c r="CP137" i="2"/>
  <c r="CO137" i="2"/>
  <c r="CN137" i="2"/>
  <c r="U137" i="2"/>
  <c r="L137" i="4" s="1"/>
  <c r="N137" i="4" s="1"/>
  <c r="FS136" i="2"/>
  <c r="FR136" i="2"/>
  <c r="FQ136" i="2"/>
  <c r="FP136" i="2"/>
  <c r="FO136" i="2"/>
  <c r="FN136" i="2"/>
  <c r="FM136" i="2"/>
  <c r="FL136" i="2"/>
  <c r="FK136" i="2"/>
  <c r="FJ136" i="2"/>
  <c r="FI136" i="2"/>
  <c r="FH136" i="2"/>
  <c r="FG136" i="2"/>
  <c r="FF136" i="2"/>
  <c r="FE136" i="2"/>
  <c r="FD136" i="2"/>
  <c r="FC136" i="2"/>
  <c r="FB136" i="2"/>
  <c r="FA136" i="2"/>
  <c r="EZ136" i="2"/>
  <c r="EY136" i="2"/>
  <c r="EX136" i="2"/>
  <c r="EW136" i="2"/>
  <c r="EV136" i="2"/>
  <c r="EU136" i="2"/>
  <c r="ET136" i="2"/>
  <c r="ES136" i="2"/>
  <c r="ER136" i="2"/>
  <c r="EQ136" i="2"/>
  <c r="EP136" i="2"/>
  <c r="EO136" i="2"/>
  <c r="EN136" i="2"/>
  <c r="EM136" i="2"/>
  <c r="EL136" i="2"/>
  <c r="EK136" i="2"/>
  <c r="EJ136" i="2"/>
  <c r="EI136" i="2"/>
  <c r="EH136" i="2"/>
  <c r="EG136" i="2"/>
  <c r="EF136" i="2"/>
  <c r="EE136" i="2"/>
  <c r="ED136" i="2"/>
  <c r="EC136" i="2"/>
  <c r="EB136" i="2"/>
  <c r="EA136" i="2"/>
  <c r="DZ136" i="2"/>
  <c r="DY136" i="2"/>
  <c r="DX136" i="2"/>
  <c r="DW136" i="2"/>
  <c r="DV136" i="2"/>
  <c r="DU136" i="2"/>
  <c r="DT136" i="2"/>
  <c r="DS136" i="2"/>
  <c r="DR136" i="2"/>
  <c r="DQ136" i="2"/>
  <c r="DP136" i="2"/>
  <c r="DO136" i="2"/>
  <c r="DN136" i="2"/>
  <c r="DM136" i="2"/>
  <c r="DL136" i="2"/>
  <c r="DK136" i="2"/>
  <c r="DJ136" i="2"/>
  <c r="DI136" i="2"/>
  <c r="DH136" i="2"/>
  <c r="DG136" i="2"/>
  <c r="DF136" i="2"/>
  <c r="DE136" i="2"/>
  <c r="DD136" i="2"/>
  <c r="DC136" i="2"/>
  <c r="DB136" i="2"/>
  <c r="CU136" i="2" s="1"/>
  <c r="CV136" i="2"/>
  <c r="CR136" i="2"/>
  <c r="CQ136" i="2"/>
  <c r="CP136" i="2"/>
  <c r="CO136" i="2"/>
  <c r="CN136" i="2"/>
  <c r="U136" i="2"/>
  <c r="L136" i="4" s="1"/>
  <c r="FS135" i="2"/>
  <c r="FR135" i="2"/>
  <c r="FQ135" i="2"/>
  <c r="FP135" i="2"/>
  <c r="FO135" i="2"/>
  <c r="FN135" i="2"/>
  <c r="FM135" i="2"/>
  <c r="FL135" i="2"/>
  <c r="FK135" i="2"/>
  <c r="FJ135" i="2"/>
  <c r="FI135" i="2"/>
  <c r="FH135" i="2"/>
  <c r="FG135" i="2"/>
  <c r="FF135" i="2"/>
  <c r="FE135" i="2"/>
  <c r="FD135" i="2"/>
  <c r="FC135" i="2"/>
  <c r="FB135" i="2"/>
  <c r="FA135" i="2"/>
  <c r="EZ135" i="2"/>
  <c r="EY135" i="2"/>
  <c r="EX135" i="2"/>
  <c r="EW135" i="2"/>
  <c r="EV135" i="2"/>
  <c r="EU135" i="2"/>
  <c r="ET135" i="2"/>
  <c r="ES135" i="2"/>
  <c r="ER135" i="2"/>
  <c r="EQ135" i="2"/>
  <c r="EP135" i="2"/>
  <c r="EO135" i="2"/>
  <c r="EN135" i="2"/>
  <c r="EM135" i="2"/>
  <c r="EL135" i="2"/>
  <c r="EK135" i="2"/>
  <c r="EJ135" i="2"/>
  <c r="EI135" i="2"/>
  <c r="EH135" i="2"/>
  <c r="EG135" i="2"/>
  <c r="EF135" i="2"/>
  <c r="EE135" i="2"/>
  <c r="ED135" i="2"/>
  <c r="EC135" i="2"/>
  <c r="EB135" i="2"/>
  <c r="EA135" i="2"/>
  <c r="DZ135" i="2"/>
  <c r="DY135" i="2"/>
  <c r="DX135" i="2"/>
  <c r="DW135" i="2"/>
  <c r="DV135" i="2"/>
  <c r="DU135" i="2"/>
  <c r="DT135" i="2"/>
  <c r="DS135" i="2"/>
  <c r="DR135" i="2"/>
  <c r="DQ135" i="2"/>
  <c r="DP135" i="2"/>
  <c r="DO135" i="2"/>
  <c r="DN135" i="2"/>
  <c r="DM135" i="2"/>
  <c r="DL135" i="2"/>
  <c r="DK135" i="2"/>
  <c r="DJ135" i="2"/>
  <c r="DI135" i="2"/>
  <c r="DH135" i="2"/>
  <c r="DG135" i="2"/>
  <c r="DF135" i="2"/>
  <c r="DE135" i="2"/>
  <c r="DD135" i="2"/>
  <c r="DC135" i="2"/>
  <c r="DB135" i="2"/>
  <c r="CV135" i="2"/>
  <c r="CR135" i="2"/>
  <c r="CQ135" i="2"/>
  <c r="CP135" i="2"/>
  <c r="CO135" i="2"/>
  <c r="CN135" i="2"/>
  <c r="U135" i="2"/>
  <c r="L135" i="4" s="1"/>
  <c r="N135" i="4" s="1"/>
  <c r="FS134" i="2"/>
  <c r="FR134" i="2"/>
  <c r="FQ134" i="2"/>
  <c r="FP134" i="2"/>
  <c r="FO134" i="2"/>
  <c r="FN134" i="2"/>
  <c r="FM134" i="2"/>
  <c r="FL134" i="2"/>
  <c r="FK134" i="2"/>
  <c r="FJ134" i="2"/>
  <c r="FI134" i="2"/>
  <c r="FH134" i="2"/>
  <c r="FG134" i="2"/>
  <c r="FF134" i="2"/>
  <c r="FE134" i="2"/>
  <c r="FD134" i="2"/>
  <c r="FC134" i="2"/>
  <c r="FB134" i="2"/>
  <c r="FA134" i="2"/>
  <c r="EZ134" i="2"/>
  <c r="EY134" i="2"/>
  <c r="EX134" i="2"/>
  <c r="EW134" i="2"/>
  <c r="EV134" i="2"/>
  <c r="EU134" i="2"/>
  <c r="ET134" i="2"/>
  <c r="ES134" i="2"/>
  <c r="ER134" i="2"/>
  <c r="EQ134" i="2"/>
  <c r="EP134" i="2"/>
  <c r="EO134" i="2"/>
  <c r="EN134" i="2"/>
  <c r="EM134" i="2"/>
  <c r="EL134" i="2"/>
  <c r="EK134" i="2"/>
  <c r="EJ134" i="2"/>
  <c r="EI134" i="2"/>
  <c r="EH134" i="2"/>
  <c r="EG134" i="2"/>
  <c r="EF134" i="2"/>
  <c r="EE134" i="2"/>
  <c r="ED134" i="2"/>
  <c r="EC134" i="2"/>
  <c r="EB134" i="2"/>
  <c r="EA134" i="2"/>
  <c r="DZ134" i="2"/>
  <c r="DY134" i="2"/>
  <c r="DX134" i="2"/>
  <c r="DW134" i="2"/>
  <c r="DV134" i="2"/>
  <c r="DU134" i="2"/>
  <c r="DT134" i="2"/>
  <c r="DS134" i="2"/>
  <c r="DR134" i="2"/>
  <c r="DQ134" i="2"/>
  <c r="DP134" i="2"/>
  <c r="DO134" i="2"/>
  <c r="DN134" i="2"/>
  <c r="DM134" i="2"/>
  <c r="DL134" i="2"/>
  <c r="DK134" i="2"/>
  <c r="DJ134" i="2"/>
  <c r="DI134" i="2"/>
  <c r="DH134" i="2"/>
  <c r="DG134" i="2"/>
  <c r="DF134" i="2"/>
  <c r="DE134" i="2"/>
  <c r="DD134" i="2"/>
  <c r="DC134" i="2"/>
  <c r="DB134" i="2"/>
  <c r="CV134" i="2"/>
  <c r="CQ134" i="2"/>
  <c r="CP134" i="2"/>
  <c r="CO134" i="2"/>
  <c r="CN134" i="2"/>
  <c r="U134" i="2"/>
  <c r="FS133" i="2"/>
  <c r="FR133" i="2"/>
  <c r="FQ133" i="2"/>
  <c r="FP133" i="2"/>
  <c r="FO133" i="2"/>
  <c r="FN133" i="2"/>
  <c r="FM133" i="2"/>
  <c r="FL133" i="2"/>
  <c r="FK133" i="2"/>
  <c r="FJ133" i="2"/>
  <c r="FI133" i="2"/>
  <c r="FH133" i="2"/>
  <c r="FG133" i="2"/>
  <c r="FF133" i="2"/>
  <c r="FE133" i="2"/>
  <c r="FD133" i="2"/>
  <c r="FC133" i="2"/>
  <c r="FB133" i="2"/>
  <c r="FA133" i="2"/>
  <c r="EZ133" i="2"/>
  <c r="EY133" i="2"/>
  <c r="EX133" i="2"/>
  <c r="EW133" i="2"/>
  <c r="EV133" i="2"/>
  <c r="EU133" i="2"/>
  <c r="ET133" i="2"/>
  <c r="ES133" i="2"/>
  <c r="ER133" i="2"/>
  <c r="EQ133" i="2"/>
  <c r="EP133" i="2"/>
  <c r="EO133" i="2"/>
  <c r="EN133" i="2"/>
  <c r="EM133" i="2"/>
  <c r="EL133" i="2"/>
  <c r="EK133" i="2"/>
  <c r="EJ133" i="2"/>
  <c r="EI133" i="2"/>
  <c r="EH133" i="2"/>
  <c r="EG133" i="2"/>
  <c r="EF133" i="2"/>
  <c r="EE133" i="2"/>
  <c r="ED133" i="2"/>
  <c r="EC133" i="2"/>
  <c r="EB133" i="2"/>
  <c r="EA133" i="2"/>
  <c r="DZ133" i="2"/>
  <c r="DY133" i="2"/>
  <c r="DX133" i="2"/>
  <c r="DW133" i="2"/>
  <c r="DV133" i="2"/>
  <c r="DU133" i="2"/>
  <c r="DT133" i="2"/>
  <c r="DS133" i="2"/>
  <c r="DR133" i="2"/>
  <c r="DQ133" i="2"/>
  <c r="DP133" i="2"/>
  <c r="DO133" i="2"/>
  <c r="DN133" i="2"/>
  <c r="DM133" i="2"/>
  <c r="DL133" i="2"/>
  <c r="DK133" i="2"/>
  <c r="DJ133" i="2"/>
  <c r="DI133" i="2"/>
  <c r="DH133" i="2"/>
  <c r="DG133" i="2"/>
  <c r="DF133" i="2"/>
  <c r="DE133" i="2"/>
  <c r="DD133" i="2"/>
  <c r="DC133" i="2"/>
  <c r="DB133" i="2"/>
  <c r="CV133" i="2"/>
  <c r="CR133" i="2"/>
  <c r="CQ133" i="2"/>
  <c r="CP133" i="2"/>
  <c r="CO133" i="2"/>
  <c r="CN133" i="2"/>
  <c r="U133" i="2"/>
  <c r="L133" i="4" s="1"/>
  <c r="FS132" i="2"/>
  <c r="FR132" i="2"/>
  <c r="FQ132" i="2"/>
  <c r="FP132" i="2"/>
  <c r="FO132" i="2"/>
  <c r="FN132" i="2"/>
  <c r="FM132" i="2"/>
  <c r="FL132" i="2"/>
  <c r="FK132" i="2"/>
  <c r="FJ132" i="2"/>
  <c r="FI132" i="2"/>
  <c r="FH132" i="2"/>
  <c r="FG132" i="2"/>
  <c r="FF132" i="2"/>
  <c r="FE132" i="2"/>
  <c r="FD132" i="2"/>
  <c r="FC132" i="2"/>
  <c r="FB132" i="2"/>
  <c r="FA132" i="2"/>
  <c r="EZ132" i="2"/>
  <c r="EY132" i="2"/>
  <c r="EX132" i="2"/>
  <c r="EW132" i="2"/>
  <c r="EV132" i="2"/>
  <c r="EU132" i="2"/>
  <c r="ET132" i="2"/>
  <c r="ES132" i="2"/>
  <c r="ER132" i="2"/>
  <c r="EQ132" i="2"/>
  <c r="EP132" i="2"/>
  <c r="EO132" i="2"/>
  <c r="EN132" i="2"/>
  <c r="EM132" i="2"/>
  <c r="EL132" i="2"/>
  <c r="EK132" i="2"/>
  <c r="EJ132" i="2"/>
  <c r="EI132" i="2"/>
  <c r="EH132" i="2"/>
  <c r="EG132" i="2"/>
  <c r="EF132" i="2"/>
  <c r="EE132" i="2"/>
  <c r="ED132" i="2"/>
  <c r="EC132" i="2"/>
  <c r="EB132" i="2"/>
  <c r="EA132" i="2"/>
  <c r="DZ132" i="2"/>
  <c r="DY132" i="2"/>
  <c r="DX132" i="2"/>
  <c r="DW132" i="2"/>
  <c r="DV132" i="2"/>
  <c r="DU132" i="2"/>
  <c r="DT132" i="2"/>
  <c r="DS132" i="2"/>
  <c r="DR132" i="2"/>
  <c r="DQ132" i="2"/>
  <c r="DP132" i="2"/>
  <c r="DO132" i="2"/>
  <c r="DN132" i="2"/>
  <c r="DM132" i="2"/>
  <c r="DL132" i="2"/>
  <c r="DK132" i="2"/>
  <c r="DJ132" i="2"/>
  <c r="DI132" i="2"/>
  <c r="DH132" i="2"/>
  <c r="DG132" i="2"/>
  <c r="DF132" i="2"/>
  <c r="DE132" i="2"/>
  <c r="DD132" i="2"/>
  <c r="DC132" i="2"/>
  <c r="DB132" i="2"/>
  <c r="CV132" i="2"/>
  <c r="CR132" i="2"/>
  <c r="CQ132" i="2"/>
  <c r="CP132" i="2"/>
  <c r="CO132" i="2"/>
  <c r="CN132" i="2"/>
  <c r="U132" i="2"/>
  <c r="FS131" i="2"/>
  <c r="FR131" i="2"/>
  <c r="FQ131" i="2"/>
  <c r="FP131" i="2"/>
  <c r="FO131" i="2"/>
  <c r="FN131" i="2"/>
  <c r="FM131" i="2"/>
  <c r="FL131" i="2"/>
  <c r="FK131" i="2"/>
  <c r="FJ131" i="2"/>
  <c r="FI131" i="2"/>
  <c r="FH131" i="2"/>
  <c r="FG131" i="2"/>
  <c r="FF131" i="2"/>
  <c r="FE131" i="2"/>
  <c r="FD131" i="2"/>
  <c r="FC131" i="2"/>
  <c r="FB131" i="2"/>
  <c r="FA131" i="2"/>
  <c r="EZ131" i="2"/>
  <c r="EY131" i="2"/>
  <c r="EX131" i="2"/>
  <c r="EW131" i="2"/>
  <c r="EV131" i="2"/>
  <c r="EU131" i="2"/>
  <c r="ET131" i="2"/>
  <c r="ES131" i="2"/>
  <c r="ER131" i="2"/>
  <c r="EQ131" i="2"/>
  <c r="EP131" i="2"/>
  <c r="EO131" i="2"/>
  <c r="EN131" i="2"/>
  <c r="EM131" i="2"/>
  <c r="EL131" i="2"/>
  <c r="EK131" i="2"/>
  <c r="EJ131" i="2"/>
  <c r="EI131" i="2"/>
  <c r="EH131" i="2"/>
  <c r="EG131" i="2"/>
  <c r="EF131" i="2"/>
  <c r="EE131" i="2"/>
  <c r="ED131" i="2"/>
  <c r="EC131" i="2"/>
  <c r="EB131" i="2"/>
  <c r="EA131" i="2"/>
  <c r="DZ131" i="2"/>
  <c r="DY131" i="2"/>
  <c r="DX131" i="2"/>
  <c r="DW131" i="2"/>
  <c r="DV131" i="2"/>
  <c r="DU131" i="2"/>
  <c r="DT131" i="2"/>
  <c r="DS131" i="2"/>
  <c r="DR131" i="2"/>
  <c r="DQ131" i="2"/>
  <c r="DP131" i="2"/>
  <c r="DO131" i="2"/>
  <c r="DN131" i="2"/>
  <c r="DM131" i="2"/>
  <c r="DL131" i="2"/>
  <c r="DK131" i="2"/>
  <c r="DJ131" i="2"/>
  <c r="DI131" i="2"/>
  <c r="DH131" i="2"/>
  <c r="DG131" i="2"/>
  <c r="DF131" i="2"/>
  <c r="DE131" i="2"/>
  <c r="DD131" i="2"/>
  <c r="DC131" i="2"/>
  <c r="DB131" i="2"/>
  <c r="CV131" i="2"/>
  <c r="CQ131" i="2"/>
  <c r="CP131" i="2"/>
  <c r="CO131" i="2"/>
  <c r="CN131" i="2"/>
  <c r="FS130" i="2"/>
  <c r="FR130" i="2"/>
  <c r="FQ130" i="2"/>
  <c r="FP130" i="2"/>
  <c r="FO130" i="2"/>
  <c r="FN130" i="2"/>
  <c r="FM130" i="2"/>
  <c r="FL130" i="2"/>
  <c r="FK130" i="2"/>
  <c r="FJ130" i="2"/>
  <c r="FI130" i="2"/>
  <c r="FH130" i="2"/>
  <c r="FG130" i="2"/>
  <c r="FF130" i="2"/>
  <c r="FE130" i="2"/>
  <c r="FD130" i="2"/>
  <c r="FC130" i="2"/>
  <c r="FB130" i="2"/>
  <c r="FA130" i="2"/>
  <c r="EZ130" i="2"/>
  <c r="EY130" i="2"/>
  <c r="EX130" i="2"/>
  <c r="EW130" i="2"/>
  <c r="EV130" i="2"/>
  <c r="EU130" i="2"/>
  <c r="ET130" i="2"/>
  <c r="ES130" i="2"/>
  <c r="ER130" i="2"/>
  <c r="EQ130" i="2"/>
  <c r="EP130" i="2"/>
  <c r="EO130" i="2"/>
  <c r="EN130" i="2"/>
  <c r="EM130" i="2"/>
  <c r="EL130" i="2"/>
  <c r="EK130" i="2"/>
  <c r="EJ130" i="2"/>
  <c r="EI130" i="2"/>
  <c r="EH130" i="2"/>
  <c r="EG130" i="2"/>
  <c r="EF130" i="2"/>
  <c r="EE130" i="2"/>
  <c r="ED130" i="2"/>
  <c r="EC130" i="2"/>
  <c r="EB130" i="2"/>
  <c r="EA130" i="2"/>
  <c r="DZ130" i="2"/>
  <c r="DY130" i="2"/>
  <c r="DX130" i="2"/>
  <c r="DW130" i="2"/>
  <c r="DV130" i="2"/>
  <c r="DU130" i="2"/>
  <c r="DT130" i="2"/>
  <c r="DS130" i="2"/>
  <c r="DR130" i="2"/>
  <c r="DQ130" i="2"/>
  <c r="DP130" i="2"/>
  <c r="DO130" i="2"/>
  <c r="DN130" i="2"/>
  <c r="DM130" i="2"/>
  <c r="DL130" i="2"/>
  <c r="DK130" i="2"/>
  <c r="DJ130" i="2"/>
  <c r="DI130" i="2"/>
  <c r="DH130" i="2"/>
  <c r="DG130" i="2"/>
  <c r="DF130" i="2"/>
  <c r="DE130" i="2"/>
  <c r="DD130" i="2"/>
  <c r="DC130" i="2"/>
  <c r="DB130" i="2"/>
  <c r="CV130" i="2"/>
  <c r="CR130" i="2"/>
  <c r="CQ130" i="2"/>
  <c r="CP130" i="2"/>
  <c r="CO130" i="2"/>
  <c r="CN130" i="2"/>
  <c r="FS129" i="2"/>
  <c r="FR129" i="2"/>
  <c r="FQ129" i="2"/>
  <c r="FP129" i="2"/>
  <c r="FO129" i="2"/>
  <c r="FN129" i="2"/>
  <c r="FM129" i="2"/>
  <c r="FL129" i="2"/>
  <c r="FK129" i="2"/>
  <c r="FJ129" i="2"/>
  <c r="FI129" i="2"/>
  <c r="FH129" i="2"/>
  <c r="FG129" i="2"/>
  <c r="FF129" i="2"/>
  <c r="FE129" i="2"/>
  <c r="FD129" i="2"/>
  <c r="FC129" i="2"/>
  <c r="FB129" i="2"/>
  <c r="FA129" i="2"/>
  <c r="EZ129" i="2"/>
  <c r="EY129" i="2"/>
  <c r="EX129" i="2"/>
  <c r="EW129" i="2"/>
  <c r="EV129" i="2"/>
  <c r="EU129" i="2"/>
  <c r="ET129" i="2"/>
  <c r="ES129" i="2"/>
  <c r="ER129" i="2"/>
  <c r="EQ129" i="2"/>
  <c r="EP129" i="2"/>
  <c r="EO129" i="2"/>
  <c r="EN129" i="2"/>
  <c r="EM129" i="2"/>
  <c r="EL129" i="2"/>
  <c r="EK129" i="2"/>
  <c r="EJ129" i="2"/>
  <c r="EI129" i="2"/>
  <c r="EH129" i="2"/>
  <c r="EG129" i="2"/>
  <c r="EF129" i="2"/>
  <c r="EE129" i="2"/>
  <c r="ED129" i="2"/>
  <c r="EC129" i="2"/>
  <c r="EB129" i="2"/>
  <c r="EA129" i="2"/>
  <c r="DZ129" i="2"/>
  <c r="DY129" i="2"/>
  <c r="DX129" i="2"/>
  <c r="DW129" i="2"/>
  <c r="DV129" i="2"/>
  <c r="DU129" i="2"/>
  <c r="DT129" i="2"/>
  <c r="DS129" i="2"/>
  <c r="DR129" i="2"/>
  <c r="DQ129" i="2"/>
  <c r="DP129" i="2"/>
  <c r="DO129" i="2"/>
  <c r="DN129" i="2"/>
  <c r="DM129" i="2"/>
  <c r="DL129" i="2"/>
  <c r="DK129" i="2"/>
  <c r="DJ129" i="2"/>
  <c r="DI129" i="2"/>
  <c r="DH129" i="2"/>
  <c r="DG129" i="2"/>
  <c r="DF129" i="2"/>
  <c r="DE129" i="2"/>
  <c r="DD129" i="2"/>
  <c r="DC129" i="2"/>
  <c r="DB129" i="2"/>
  <c r="CV129" i="2"/>
  <c r="CQ129" i="2"/>
  <c r="CP129" i="2"/>
  <c r="CO129" i="2"/>
  <c r="CN129" i="2"/>
  <c r="FS128" i="2"/>
  <c r="FR128" i="2"/>
  <c r="FQ128" i="2"/>
  <c r="FP128" i="2"/>
  <c r="FO128" i="2"/>
  <c r="FN128" i="2"/>
  <c r="FM128" i="2"/>
  <c r="FL128" i="2"/>
  <c r="FK128" i="2"/>
  <c r="FJ128" i="2"/>
  <c r="FI128" i="2"/>
  <c r="FH128" i="2"/>
  <c r="FG128" i="2"/>
  <c r="FF128" i="2"/>
  <c r="FE128" i="2"/>
  <c r="FD128" i="2"/>
  <c r="FC128" i="2"/>
  <c r="FB128" i="2"/>
  <c r="FA128" i="2"/>
  <c r="EZ128" i="2"/>
  <c r="EY128" i="2"/>
  <c r="EX128" i="2"/>
  <c r="EW128" i="2"/>
  <c r="EV128" i="2"/>
  <c r="EU128" i="2"/>
  <c r="ET128" i="2"/>
  <c r="ES128" i="2"/>
  <c r="ER128" i="2"/>
  <c r="EQ128" i="2"/>
  <c r="EP128" i="2"/>
  <c r="EO128" i="2"/>
  <c r="EN128" i="2"/>
  <c r="EM128" i="2"/>
  <c r="EL128" i="2"/>
  <c r="EK128" i="2"/>
  <c r="EJ128" i="2"/>
  <c r="EI128" i="2"/>
  <c r="EH128" i="2"/>
  <c r="EG128" i="2"/>
  <c r="EF128" i="2"/>
  <c r="EE128" i="2"/>
  <c r="ED128" i="2"/>
  <c r="EC128" i="2"/>
  <c r="EB128" i="2"/>
  <c r="EA128" i="2"/>
  <c r="DZ128" i="2"/>
  <c r="DY128" i="2"/>
  <c r="DX128" i="2"/>
  <c r="DW128" i="2"/>
  <c r="DV128" i="2"/>
  <c r="DU128" i="2"/>
  <c r="DT128" i="2"/>
  <c r="DS128" i="2"/>
  <c r="DR128" i="2"/>
  <c r="DQ128" i="2"/>
  <c r="DP128" i="2"/>
  <c r="DO128" i="2"/>
  <c r="DN128" i="2"/>
  <c r="DM128" i="2"/>
  <c r="DL128" i="2"/>
  <c r="DK128" i="2"/>
  <c r="DJ128" i="2"/>
  <c r="DI128" i="2"/>
  <c r="DH128" i="2"/>
  <c r="DG128" i="2"/>
  <c r="DF128" i="2"/>
  <c r="DE128" i="2"/>
  <c r="DD128" i="2"/>
  <c r="DC128" i="2"/>
  <c r="DB128" i="2"/>
  <c r="CV128" i="2"/>
  <c r="CR128" i="2"/>
  <c r="CQ128" i="2"/>
  <c r="CP128" i="2"/>
  <c r="CO128" i="2"/>
  <c r="CN128" i="2"/>
  <c r="FS127" i="2"/>
  <c r="FR127" i="2"/>
  <c r="FQ127" i="2"/>
  <c r="FP127" i="2"/>
  <c r="FO127" i="2"/>
  <c r="FN127" i="2"/>
  <c r="FM127" i="2"/>
  <c r="FL127" i="2"/>
  <c r="FK127" i="2"/>
  <c r="FJ127" i="2"/>
  <c r="FI127" i="2"/>
  <c r="FH127" i="2"/>
  <c r="FG127" i="2"/>
  <c r="FF127" i="2"/>
  <c r="FE127" i="2"/>
  <c r="FD127" i="2"/>
  <c r="FC127" i="2"/>
  <c r="FB127" i="2"/>
  <c r="FA127" i="2"/>
  <c r="EZ127" i="2"/>
  <c r="EY127" i="2"/>
  <c r="EX127" i="2"/>
  <c r="EW127" i="2"/>
  <c r="EV127" i="2"/>
  <c r="EU127" i="2"/>
  <c r="ET127" i="2"/>
  <c r="ES127" i="2"/>
  <c r="ER127" i="2"/>
  <c r="EQ127" i="2"/>
  <c r="EP127" i="2"/>
  <c r="EO127" i="2"/>
  <c r="EN127" i="2"/>
  <c r="EM127" i="2"/>
  <c r="EL127" i="2"/>
  <c r="EK127" i="2"/>
  <c r="EJ127" i="2"/>
  <c r="EI127" i="2"/>
  <c r="EH127" i="2"/>
  <c r="EG127" i="2"/>
  <c r="EF127" i="2"/>
  <c r="EE127" i="2"/>
  <c r="ED127" i="2"/>
  <c r="EC127" i="2"/>
  <c r="EB127" i="2"/>
  <c r="EA127" i="2"/>
  <c r="DZ127" i="2"/>
  <c r="DY127" i="2"/>
  <c r="DX127" i="2"/>
  <c r="DW127" i="2"/>
  <c r="DV127" i="2"/>
  <c r="DU127" i="2"/>
  <c r="DT127" i="2"/>
  <c r="DS127" i="2"/>
  <c r="DR127" i="2"/>
  <c r="DQ127" i="2"/>
  <c r="DP127" i="2"/>
  <c r="DO127" i="2"/>
  <c r="DN127" i="2"/>
  <c r="DM127" i="2"/>
  <c r="DL127" i="2"/>
  <c r="DK127" i="2"/>
  <c r="DJ127" i="2"/>
  <c r="DI127" i="2"/>
  <c r="DH127" i="2"/>
  <c r="DG127" i="2"/>
  <c r="DF127" i="2"/>
  <c r="DE127" i="2"/>
  <c r="DD127" i="2"/>
  <c r="DC127" i="2"/>
  <c r="DB127" i="2"/>
  <c r="CV127" i="2"/>
  <c r="CR127" i="2"/>
  <c r="CQ127" i="2"/>
  <c r="CP127" i="2"/>
  <c r="CO127" i="2"/>
  <c r="CN127" i="2"/>
  <c r="FS126" i="2"/>
  <c r="FR126" i="2"/>
  <c r="FQ126" i="2"/>
  <c r="FP126" i="2"/>
  <c r="FO126" i="2"/>
  <c r="FN126" i="2"/>
  <c r="FM126" i="2"/>
  <c r="FL126" i="2"/>
  <c r="FK126" i="2"/>
  <c r="FJ126" i="2"/>
  <c r="FI126" i="2"/>
  <c r="FH126" i="2"/>
  <c r="FG126" i="2"/>
  <c r="FF126" i="2"/>
  <c r="FE126" i="2"/>
  <c r="FD126" i="2"/>
  <c r="FC126" i="2"/>
  <c r="FB126" i="2"/>
  <c r="FA126" i="2"/>
  <c r="EZ126" i="2"/>
  <c r="EY126" i="2"/>
  <c r="EX126" i="2"/>
  <c r="EW126" i="2"/>
  <c r="EV126" i="2"/>
  <c r="EU126" i="2"/>
  <c r="ET126" i="2"/>
  <c r="ES126" i="2"/>
  <c r="ER126" i="2"/>
  <c r="EQ126" i="2"/>
  <c r="EP126" i="2"/>
  <c r="EO126" i="2"/>
  <c r="EN126" i="2"/>
  <c r="EM126" i="2"/>
  <c r="EL126" i="2"/>
  <c r="EK126" i="2"/>
  <c r="EJ126" i="2"/>
  <c r="EI126" i="2"/>
  <c r="EH126" i="2"/>
  <c r="EG126" i="2"/>
  <c r="EF126" i="2"/>
  <c r="EE126" i="2"/>
  <c r="ED126" i="2"/>
  <c r="EC126" i="2"/>
  <c r="EB126" i="2"/>
  <c r="EA126" i="2"/>
  <c r="DZ126" i="2"/>
  <c r="DY126" i="2"/>
  <c r="DX126" i="2"/>
  <c r="DW126" i="2"/>
  <c r="DV126" i="2"/>
  <c r="DU126" i="2"/>
  <c r="DT126" i="2"/>
  <c r="DS126" i="2"/>
  <c r="DR126" i="2"/>
  <c r="DQ126" i="2"/>
  <c r="DP126" i="2"/>
  <c r="DO126" i="2"/>
  <c r="DN126" i="2"/>
  <c r="DM126" i="2"/>
  <c r="DL126" i="2"/>
  <c r="DK126" i="2"/>
  <c r="DJ126" i="2"/>
  <c r="DI126" i="2"/>
  <c r="DH126" i="2"/>
  <c r="DG126" i="2"/>
  <c r="DF126" i="2"/>
  <c r="DE126" i="2"/>
  <c r="DD126" i="2"/>
  <c r="DC126" i="2"/>
  <c r="DB126" i="2"/>
  <c r="CV126" i="2"/>
  <c r="CR126" i="2"/>
  <c r="CQ126" i="2"/>
  <c r="CP126" i="2"/>
  <c r="CO126" i="2"/>
  <c r="CN126" i="2"/>
  <c r="FS125" i="2"/>
  <c r="FR125" i="2"/>
  <c r="FQ125" i="2"/>
  <c r="FP125" i="2"/>
  <c r="FO125" i="2"/>
  <c r="FN125" i="2"/>
  <c r="FM125" i="2"/>
  <c r="FL125" i="2"/>
  <c r="FK125" i="2"/>
  <c r="FJ125" i="2"/>
  <c r="FI125" i="2"/>
  <c r="FH125" i="2"/>
  <c r="FG125" i="2"/>
  <c r="FF125" i="2"/>
  <c r="FE125" i="2"/>
  <c r="FD125" i="2"/>
  <c r="FC125" i="2"/>
  <c r="FB125" i="2"/>
  <c r="FA125" i="2"/>
  <c r="EZ125" i="2"/>
  <c r="EY125" i="2"/>
  <c r="EX125" i="2"/>
  <c r="EW125" i="2"/>
  <c r="EV125" i="2"/>
  <c r="EU125" i="2"/>
  <c r="ET125" i="2"/>
  <c r="ES125" i="2"/>
  <c r="ER125" i="2"/>
  <c r="EQ125" i="2"/>
  <c r="EP125" i="2"/>
  <c r="EO125" i="2"/>
  <c r="EN125" i="2"/>
  <c r="EM125" i="2"/>
  <c r="EL125" i="2"/>
  <c r="EK125" i="2"/>
  <c r="EJ125" i="2"/>
  <c r="EI125" i="2"/>
  <c r="EH125" i="2"/>
  <c r="EG125" i="2"/>
  <c r="EF125" i="2"/>
  <c r="EE125" i="2"/>
  <c r="ED125" i="2"/>
  <c r="EC125" i="2"/>
  <c r="EB125" i="2"/>
  <c r="EA125" i="2"/>
  <c r="DZ125" i="2"/>
  <c r="DY125" i="2"/>
  <c r="DX125" i="2"/>
  <c r="DW125" i="2"/>
  <c r="DV125" i="2"/>
  <c r="DU125" i="2"/>
  <c r="DT125" i="2"/>
  <c r="DS125" i="2"/>
  <c r="DR125" i="2"/>
  <c r="DQ125" i="2"/>
  <c r="DP125" i="2"/>
  <c r="DO125" i="2"/>
  <c r="DN125" i="2"/>
  <c r="DM125" i="2"/>
  <c r="DL125" i="2"/>
  <c r="DK125" i="2"/>
  <c r="DJ125" i="2"/>
  <c r="DI125" i="2"/>
  <c r="DH125" i="2"/>
  <c r="DG125" i="2"/>
  <c r="DF125" i="2"/>
  <c r="DE125" i="2"/>
  <c r="DD125" i="2"/>
  <c r="DC125" i="2"/>
  <c r="DB125" i="2"/>
  <c r="CV125" i="2"/>
  <c r="CR125" i="2"/>
  <c r="CQ125" i="2"/>
  <c r="CP125" i="2"/>
  <c r="CO125" i="2"/>
  <c r="CN125" i="2"/>
  <c r="FS124" i="2"/>
  <c r="FR124" i="2"/>
  <c r="FQ124" i="2"/>
  <c r="FP124" i="2"/>
  <c r="FO124" i="2"/>
  <c r="FN124" i="2"/>
  <c r="FM124" i="2"/>
  <c r="FL124" i="2"/>
  <c r="FK124" i="2"/>
  <c r="FJ124" i="2"/>
  <c r="FI124" i="2"/>
  <c r="FH124" i="2"/>
  <c r="FG124" i="2"/>
  <c r="FF124" i="2"/>
  <c r="FE124" i="2"/>
  <c r="FD124" i="2"/>
  <c r="FC124" i="2"/>
  <c r="FB124" i="2"/>
  <c r="FA124" i="2"/>
  <c r="EZ124" i="2"/>
  <c r="EY124" i="2"/>
  <c r="EX124" i="2"/>
  <c r="EW124" i="2"/>
  <c r="EV124" i="2"/>
  <c r="EU124" i="2"/>
  <c r="ET124" i="2"/>
  <c r="ES124" i="2"/>
  <c r="ER124" i="2"/>
  <c r="EQ124" i="2"/>
  <c r="EP124" i="2"/>
  <c r="EO124" i="2"/>
  <c r="EN124" i="2"/>
  <c r="EM124" i="2"/>
  <c r="EL124" i="2"/>
  <c r="EK124" i="2"/>
  <c r="EJ124" i="2"/>
  <c r="EI124" i="2"/>
  <c r="EH124" i="2"/>
  <c r="EG124" i="2"/>
  <c r="EF124" i="2"/>
  <c r="EE124" i="2"/>
  <c r="ED124" i="2"/>
  <c r="EC124" i="2"/>
  <c r="EB124" i="2"/>
  <c r="EA124" i="2"/>
  <c r="DZ124" i="2"/>
  <c r="DY124" i="2"/>
  <c r="DX124" i="2"/>
  <c r="DW124" i="2"/>
  <c r="DV124" i="2"/>
  <c r="DU124" i="2"/>
  <c r="DT124" i="2"/>
  <c r="DS124" i="2"/>
  <c r="DR124" i="2"/>
  <c r="DQ124" i="2"/>
  <c r="DP124" i="2"/>
  <c r="DO124" i="2"/>
  <c r="DN124" i="2"/>
  <c r="DM124" i="2"/>
  <c r="DL124" i="2"/>
  <c r="DK124" i="2"/>
  <c r="DJ124" i="2"/>
  <c r="DI124" i="2"/>
  <c r="DH124" i="2"/>
  <c r="DG124" i="2"/>
  <c r="DF124" i="2"/>
  <c r="DE124" i="2"/>
  <c r="DD124" i="2"/>
  <c r="DC124" i="2"/>
  <c r="DB124" i="2"/>
  <c r="CV124" i="2"/>
  <c r="CR124" i="2"/>
  <c r="CQ124" i="2"/>
  <c r="CP124" i="2"/>
  <c r="CO124" i="2"/>
  <c r="CN124" i="2"/>
  <c r="FS123" i="2"/>
  <c r="FR123" i="2"/>
  <c r="FQ123" i="2"/>
  <c r="FP123" i="2"/>
  <c r="FO123" i="2"/>
  <c r="FN123" i="2"/>
  <c r="FM123" i="2"/>
  <c r="FL123" i="2"/>
  <c r="FK123" i="2"/>
  <c r="FJ123" i="2"/>
  <c r="FI123" i="2"/>
  <c r="FH123" i="2"/>
  <c r="FG123" i="2"/>
  <c r="FF123" i="2"/>
  <c r="FE123" i="2"/>
  <c r="FD123" i="2"/>
  <c r="FC123" i="2"/>
  <c r="FB123" i="2"/>
  <c r="FA123" i="2"/>
  <c r="EZ123" i="2"/>
  <c r="EY123" i="2"/>
  <c r="EX123" i="2"/>
  <c r="EW123" i="2"/>
  <c r="EV123" i="2"/>
  <c r="EU123" i="2"/>
  <c r="ET123" i="2"/>
  <c r="ES123" i="2"/>
  <c r="ER123" i="2"/>
  <c r="EQ123" i="2"/>
  <c r="EP123" i="2"/>
  <c r="EO123" i="2"/>
  <c r="EN123" i="2"/>
  <c r="EM123" i="2"/>
  <c r="EL123" i="2"/>
  <c r="EK123" i="2"/>
  <c r="EJ123" i="2"/>
  <c r="EI123" i="2"/>
  <c r="EH123" i="2"/>
  <c r="EG123" i="2"/>
  <c r="EF123" i="2"/>
  <c r="EE123" i="2"/>
  <c r="ED123" i="2"/>
  <c r="EC123" i="2"/>
  <c r="EB123" i="2"/>
  <c r="EA123" i="2"/>
  <c r="DZ123" i="2"/>
  <c r="DY123" i="2"/>
  <c r="DX123" i="2"/>
  <c r="DW123" i="2"/>
  <c r="DV123" i="2"/>
  <c r="DU123" i="2"/>
  <c r="DT123" i="2"/>
  <c r="DS123" i="2"/>
  <c r="DR123" i="2"/>
  <c r="DQ123" i="2"/>
  <c r="DP123" i="2"/>
  <c r="DO123" i="2"/>
  <c r="DN123" i="2"/>
  <c r="DM123" i="2"/>
  <c r="DL123" i="2"/>
  <c r="DK123" i="2"/>
  <c r="DJ123" i="2"/>
  <c r="DI123" i="2"/>
  <c r="DH123" i="2"/>
  <c r="DG123" i="2"/>
  <c r="DF123" i="2"/>
  <c r="DE123" i="2"/>
  <c r="DD123" i="2"/>
  <c r="DC123" i="2"/>
  <c r="DB123" i="2"/>
  <c r="CV123" i="2"/>
  <c r="CR123" i="2"/>
  <c r="CQ123" i="2"/>
  <c r="CP123" i="2"/>
  <c r="CO123" i="2"/>
  <c r="CN123" i="2"/>
  <c r="FS122" i="2"/>
  <c r="FR122" i="2"/>
  <c r="FQ122" i="2"/>
  <c r="FP122" i="2"/>
  <c r="FO122" i="2"/>
  <c r="FN122" i="2"/>
  <c r="FM122" i="2"/>
  <c r="FL122" i="2"/>
  <c r="FK122" i="2"/>
  <c r="FJ122" i="2"/>
  <c r="FI122" i="2"/>
  <c r="FH122" i="2"/>
  <c r="FG122" i="2"/>
  <c r="FF122" i="2"/>
  <c r="FE122" i="2"/>
  <c r="FD122" i="2"/>
  <c r="FC122" i="2"/>
  <c r="FB122" i="2"/>
  <c r="FA122" i="2"/>
  <c r="EZ122" i="2"/>
  <c r="EY122" i="2"/>
  <c r="EX122" i="2"/>
  <c r="EW122" i="2"/>
  <c r="EV122" i="2"/>
  <c r="EU122" i="2"/>
  <c r="ET122" i="2"/>
  <c r="ES122" i="2"/>
  <c r="ER122" i="2"/>
  <c r="EQ122" i="2"/>
  <c r="EP122" i="2"/>
  <c r="EO122" i="2"/>
  <c r="EN122" i="2"/>
  <c r="EM122" i="2"/>
  <c r="EL122" i="2"/>
  <c r="EK122" i="2"/>
  <c r="EJ122" i="2"/>
  <c r="EI122" i="2"/>
  <c r="EH122" i="2"/>
  <c r="EG122" i="2"/>
  <c r="EF122" i="2"/>
  <c r="EE122" i="2"/>
  <c r="ED122" i="2"/>
  <c r="EC122" i="2"/>
  <c r="EB122" i="2"/>
  <c r="EA122" i="2"/>
  <c r="DZ122" i="2"/>
  <c r="DY122" i="2"/>
  <c r="DX122" i="2"/>
  <c r="DW122" i="2"/>
  <c r="DV122" i="2"/>
  <c r="DU122" i="2"/>
  <c r="DT122" i="2"/>
  <c r="DS122" i="2"/>
  <c r="DR122" i="2"/>
  <c r="DQ122" i="2"/>
  <c r="DP122" i="2"/>
  <c r="DO122" i="2"/>
  <c r="DN122" i="2"/>
  <c r="DM122" i="2"/>
  <c r="DL122" i="2"/>
  <c r="DK122" i="2"/>
  <c r="DJ122" i="2"/>
  <c r="DI122" i="2"/>
  <c r="DH122" i="2"/>
  <c r="DG122" i="2"/>
  <c r="DF122" i="2"/>
  <c r="DE122" i="2"/>
  <c r="DD122" i="2"/>
  <c r="DC122" i="2"/>
  <c r="DB122" i="2"/>
  <c r="CR122" i="2"/>
  <c r="CQ122" i="2"/>
  <c r="CP122" i="2"/>
  <c r="CO122" i="2"/>
  <c r="CN122" i="2"/>
  <c r="FS121" i="2"/>
  <c r="FR121" i="2"/>
  <c r="FQ121" i="2"/>
  <c r="FP121" i="2"/>
  <c r="FO121" i="2"/>
  <c r="FN121" i="2"/>
  <c r="FM121" i="2"/>
  <c r="FL121" i="2"/>
  <c r="FK121" i="2"/>
  <c r="FJ121" i="2"/>
  <c r="FI121" i="2"/>
  <c r="FH121" i="2"/>
  <c r="FG121" i="2"/>
  <c r="FF121" i="2"/>
  <c r="FE121" i="2"/>
  <c r="FD121" i="2"/>
  <c r="FC121" i="2"/>
  <c r="FB121" i="2"/>
  <c r="FA121" i="2"/>
  <c r="EZ121" i="2"/>
  <c r="EY121" i="2"/>
  <c r="EX121" i="2"/>
  <c r="EW121" i="2"/>
  <c r="EV121" i="2"/>
  <c r="EU121" i="2"/>
  <c r="ET121" i="2"/>
  <c r="ES121" i="2"/>
  <c r="ER121" i="2"/>
  <c r="EQ121" i="2"/>
  <c r="EP121" i="2"/>
  <c r="EO121" i="2"/>
  <c r="EN121" i="2"/>
  <c r="EM121" i="2"/>
  <c r="EL121" i="2"/>
  <c r="EK121" i="2"/>
  <c r="EJ121" i="2"/>
  <c r="EI121" i="2"/>
  <c r="EH121" i="2"/>
  <c r="EG121" i="2"/>
  <c r="EF121" i="2"/>
  <c r="EE121" i="2"/>
  <c r="ED121" i="2"/>
  <c r="EC121" i="2"/>
  <c r="EB121" i="2"/>
  <c r="EA121" i="2"/>
  <c r="DZ121" i="2"/>
  <c r="DY121" i="2"/>
  <c r="DX121" i="2"/>
  <c r="DW121" i="2"/>
  <c r="DV121" i="2"/>
  <c r="DU121" i="2"/>
  <c r="DT121" i="2"/>
  <c r="DS121" i="2"/>
  <c r="DR121" i="2"/>
  <c r="DQ121" i="2"/>
  <c r="DP121" i="2"/>
  <c r="DO121" i="2"/>
  <c r="DN121" i="2"/>
  <c r="DM121" i="2"/>
  <c r="DL121" i="2"/>
  <c r="DK121" i="2"/>
  <c r="DJ121" i="2"/>
  <c r="DI121" i="2"/>
  <c r="DH121" i="2"/>
  <c r="DG121" i="2"/>
  <c r="DF121" i="2"/>
  <c r="DE121" i="2"/>
  <c r="DD121" i="2"/>
  <c r="DC121" i="2"/>
  <c r="DB121" i="2"/>
  <c r="CR121" i="2"/>
  <c r="CQ121" i="2"/>
  <c r="CP121" i="2"/>
  <c r="CO121" i="2"/>
  <c r="CN121" i="2"/>
  <c r="FS120" i="2"/>
  <c r="FR120" i="2"/>
  <c r="FQ120" i="2"/>
  <c r="FP120" i="2"/>
  <c r="FO120" i="2"/>
  <c r="FN120" i="2"/>
  <c r="FM120" i="2"/>
  <c r="FL120" i="2"/>
  <c r="FK120" i="2"/>
  <c r="FJ120" i="2"/>
  <c r="FI120" i="2"/>
  <c r="FH120" i="2"/>
  <c r="FG120" i="2"/>
  <c r="FF120" i="2"/>
  <c r="FE120" i="2"/>
  <c r="FD120" i="2"/>
  <c r="FC120" i="2"/>
  <c r="FB120" i="2"/>
  <c r="FA120" i="2"/>
  <c r="EZ120" i="2"/>
  <c r="EY120" i="2"/>
  <c r="EX120" i="2"/>
  <c r="EW120" i="2"/>
  <c r="EV120" i="2"/>
  <c r="EU120" i="2"/>
  <c r="ET120" i="2"/>
  <c r="ES120" i="2"/>
  <c r="ER120" i="2"/>
  <c r="EQ120" i="2"/>
  <c r="EP120" i="2"/>
  <c r="EO120" i="2"/>
  <c r="EN120" i="2"/>
  <c r="EM120" i="2"/>
  <c r="EL120" i="2"/>
  <c r="EK120" i="2"/>
  <c r="EJ120" i="2"/>
  <c r="EI120" i="2"/>
  <c r="EH120" i="2"/>
  <c r="EG120" i="2"/>
  <c r="EF120" i="2"/>
  <c r="EE120" i="2"/>
  <c r="ED120" i="2"/>
  <c r="EC120" i="2"/>
  <c r="EB120" i="2"/>
  <c r="EA120" i="2"/>
  <c r="DZ120" i="2"/>
  <c r="DY120" i="2"/>
  <c r="DX120" i="2"/>
  <c r="DW120" i="2"/>
  <c r="DV120" i="2"/>
  <c r="DU120" i="2"/>
  <c r="DT120" i="2"/>
  <c r="DS120" i="2"/>
  <c r="DR120" i="2"/>
  <c r="DQ120" i="2"/>
  <c r="DP120" i="2"/>
  <c r="DO120" i="2"/>
  <c r="DN120" i="2"/>
  <c r="DM120" i="2"/>
  <c r="DL120" i="2"/>
  <c r="DK120" i="2"/>
  <c r="DJ120" i="2"/>
  <c r="DI120" i="2"/>
  <c r="DH120" i="2"/>
  <c r="DG120" i="2"/>
  <c r="DF120" i="2"/>
  <c r="DE120" i="2"/>
  <c r="DD120" i="2"/>
  <c r="DC120" i="2"/>
  <c r="CU120" i="2" s="1"/>
  <c r="DB120" i="2"/>
  <c r="CR120" i="2"/>
  <c r="CQ120" i="2"/>
  <c r="CP120" i="2"/>
  <c r="CO120" i="2"/>
  <c r="CN120" i="2"/>
  <c r="FS119" i="2"/>
  <c r="FR119" i="2"/>
  <c r="FQ119" i="2"/>
  <c r="FP119" i="2"/>
  <c r="FO119" i="2"/>
  <c r="FN119" i="2"/>
  <c r="FM119" i="2"/>
  <c r="FL119" i="2"/>
  <c r="FK119" i="2"/>
  <c r="FJ119" i="2"/>
  <c r="FI119" i="2"/>
  <c r="FH119" i="2"/>
  <c r="FG119" i="2"/>
  <c r="FF119" i="2"/>
  <c r="FE119" i="2"/>
  <c r="FD119" i="2"/>
  <c r="FC119" i="2"/>
  <c r="FB119" i="2"/>
  <c r="FA119" i="2"/>
  <c r="EZ119" i="2"/>
  <c r="EY119" i="2"/>
  <c r="EX119" i="2"/>
  <c r="EW119" i="2"/>
  <c r="EV119" i="2"/>
  <c r="EU119" i="2"/>
  <c r="ET119" i="2"/>
  <c r="ES119" i="2"/>
  <c r="ER119" i="2"/>
  <c r="EQ119" i="2"/>
  <c r="EP119" i="2"/>
  <c r="EO119" i="2"/>
  <c r="EN119" i="2"/>
  <c r="EM119" i="2"/>
  <c r="EL119" i="2"/>
  <c r="EK119" i="2"/>
  <c r="EJ119" i="2"/>
  <c r="EI119" i="2"/>
  <c r="EH119" i="2"/>
  <c r="EG119" i="2"/>
  <c r="EF119" i="2"/>
  <c r="EE119" i="2"/>
  <c r="ED119" i="2"/>
  <c r="EC119" i="2"/>
  <c r="EB119" i="2"/>
  <c r="EA119" i="2"/>
  <c r="DZ119" i="2"/>
  <c r="DY119" i="2"/>
  <c r="DX119" i="2"/>
  <c r="DW119" i="2"/>
  <c r="DV119" i="2"/>
  <c r="DU119" i="2"/>
  <c r="DT119" i="2"/>
  <c r="DS119" i="2"/>
  <c r="DR119" i="2"/>
  <c r="DQ119" i="2"/>
  <c r="DP119" i="2"/>
  <c r="DO119" i="2"/>
  <c r="DN119" i="2"/>
  <c r="DM119" i="2"/>
  <c r="DL119" i="2"/>
  <c r="DK119" i="2"/>
  <c r="DJ119" i="2"/>
  <c r="DI119" i="2"/>
  <c r="DH119" i="2"/>
  <c r="DG119" i="2"/>
  <c r="DF119" i="2"/>
  <c r="DE119" i="2"/>
  <c r="DD119" i="2"/>
  <c r="DC119" i="2"/>
  <c r="DB119" i="2"/>
  <c r="CR119" i="2"/>
  <c r="CQ119" i="2"/>
  <c r="CP119" i="2"/>
  <c r="CO119" i="2"/>
  <c r="CN119" i="2"/>
  <c r="FS118" i="2"/>
  <c r="FR118" i="2"/>
  <c r="FQ118" i="2"/>
  <c r="FP118" i="2"/>
  <c r="FO118" i="2"/>
  <c r="FN118" i="2"/>
  <c r="FM118" i="2"/>
  <c r="FL118" i="2"/>
  <c r="FK118" i="2"/>
  <c r="FJ118" i="2"/>
  <c r="FI118" i="2"/>
  <c r="FH118" i="2"/>
  <c r="FG118" i="2"/>
  <c r="FF118" i="2"/>
  <c r="FE118" i="2"/>
  <c r="FD118" i="2"/>
  <c r="FC118" i="2"/>
  <c r="FB118" i="2"/>
  <c r="FA118" i="2"/>
  <c r="EZ118" i="2"/>
  <c r="EY118" i="2"/>
  <c r="EX118" i="2"/>
  <c r="EW118" i="2"/>
  <c r="EV118" i="2"/>
  <c r="EU118" i="2"/>
  <c r="ET118" i="2"/>
  <c r="ES118" i="2"/>
  <c r="ER118" i="2"/>
  <c r="EQ118" i="2"/>
  <c r="EP118" i="2"/>
  <c r="EO118" i="2"/>
  <c r="EN118" i="2"/>
  <c r="EM118" i="2"/>
  <c r="EL118" i="2"/>
  <c r="EK118" i="2"/>
  <c r="EJ118" i="2"/>
  <c r="EI118" i="2"/>
  <c r="EH118" i="2"/>
  <c r="EG118" i="2"/>
  <c r="EF118" i="2"/>
  <c r="EE118" i="2"/>
  <c r="ED118" i="2"/>
  <c r="EC118" i="2"/>
  <c r="EB118" i="2"/>
  <c r="EA118" i="2"/>
  <c r="DZ118" i="2"/>
  <c r="DY118" i="2"/>
  <c r="DX118" i="2"/>
  <c r="DW118" i="2"/>
  <c r="DV118" i="2"/>
  <c r="DU118" i="2"/>
  <c r="DT118" i="2"/>
  <c r="DS118" i="2"/>
  <c r="DR118" i="2"/>
  <c r="DQ118" i="2"/>
  <c r="DP118" i="2"/>
  <c r="DO118" i="2"/>
  <c r="DN118" i="2"/>
  <c r="DM118" i="2"/>
  <c r="DL118" i="2"/>
  <c r="DK118" i="2"/>
  <c r="DJ118" i="2"/>
  <c r="DI118" i="2"/>
  <c r="DH118" i="2"/>
  <c r="DG118" i="2"/>
  <c r="DF118" i="2"/>
  <c r="DE118" i="2"/>
  <c r="DD118" i="2"/>
  <c r="DC118" i="2"/>
  <c r="DB118" i="2"/>
  <c r="CR118" i="2"/>
  <c r="CQ118" i="2"/>
  <c r="CP118" i="2"/>
  <c r="CO118" i="2"/>
  <c r="CN118" i="2"/>
  <c r="FS117" i="2"/>
  <c r="FR117" i="2"/>
  <c r="FQ117" i="2"/>
  <c r="FP117" i="2"/>
  <c r="FO117" i="2"/>
  <c r="FN117" i="2"/>
  <c r="FM117" i="2"/>
  <c r="FL117" i="2"/>
  <c r="FK117" i="2"/>
  <c r="FJ117" i="2"/>
  <c r="FI117" i="2"/>
  <c r="FH117" i="2"/>
  <c r="FG117" i="2"/>
  <c r="FF117" i="2"/>
  <c r="FE117" i="2"/>
  <c r="FD117" i="2"/>
  <c r="FC117" i="2"/>
  <c r="FB117" i="2"/>
  <c r="FA117" i="2"/>
  <c r="EZ117" i="2"/>
  <c r="EY117" i="2"/>
  <c r="EX117" i="2"/>
  <c r="EW117" i="2"/>
  <c r="EV117" i="2"/>
  <c r="EU117" i="2"/>
  <c r="ET117" i="2"/>
  <c r="ES117" i="2"/>
  <c r="ER117" i="2"/>
  <c r="EQ117" i="2"/>
  <c r="EP117" i="2"/>
  <c r="EO117" i="2"/>
  <c r="EN117" i="2"/>
  <c r="EM117" i="2"/>
  <c r="EL117" i="2"/>
  <c r="EK117" i="2"/>
  <c r="EJ117" i="2"/>
  <c r="EI117" i="2"/>
  <c r="EH117" i="2"/>
  <c r="EG117" i="2"/>
  <c r="EF117" i="2"/>
  <c r="EE117" i="2"/>
  <c r="ED117" i="2"/>
  <c r="EC117" i="2"/>
  <c r="EB117" i="2"/>
  <c r="EA117" i="2"/>
  <c r="DZ117" i="2"/>
  <c r="DY117" i="2"/>
  <c r="DX117" i="2"/>
  <c r="DW117" i="2"/>
  <c r="DV117" i="2"/>
  <c r="DU117" i="2"/>
  <c r="DT117" i="2"/>
  <c r="DS117" i="2"/>
  <c r="DR117" i="2"/>
  <c r="DQ117" i="2"/>
  <c r="DP117" i="2"/>
  <c r="DO117" i="2"/>
  <c r="DN117" i="2"/>
  <c r="DM117" i="2"/>
  <c r="DL117" i="2"/>
  <c r="DK117" i="2"/>
  <c r="DJ117" i="2"/>
  <c r="DI117" i="2"/>
  <c r="DH117" i="2"/>
  <c r="DG117" i="2"/>
  <c r="DF117" i="2"/>
  <c r="DE117" i="2"/>
  <c r="DD117" i="2"/>
  <c r="DC117" i="2"/>
  <c r="DB117" i="2"/>
  <c r="CR117" i="2"/>
  <c r="CQ117" i="2"/>
  <c r="CP117" i="2"/>
  <c r="CO117" i="2"/>
  <c r="CN117" i="2"/>
  <c r="FS116" i="2"/>
  <c r="FR116" i="2"/>
  <c r="FQ116" i="2"/>
  <c r="FP116" i="2"/>
  <c r="FO116" i="2"/>
  <c r="FN116" i="2"/>
  <c r="FM116" i="2"/>
  <c r="FL116" i="2"/>
  <c r="FK116" i="2"/>
  <c r="FJ116" i="2"/>
  <c r="FI116" i="2"/>
  <c r="FH116" i="2"/>
  <c r="FG116" i="2"/>
  <c r="FF116" i="2"/>
  <c r="FE116" i="2"/>
  <c r="FD116" i="2"/>
  <c r="FC116" i="2"/>
  <c r="FB116" i="2"/>
  <c r="FA116" i="2"/>
  <c r="EZ116" i="2"/>
  <c r="EY116" i="2"/>
  <c r="EX116" i="2"/>
  <c r="EW116" i="2"/>
  <c r="EV116" i="2"/>
  <c r="EU116" i="2"/>
  <c r="ET116" i="2"/>
  <c r="ES116" i="2"/>
  <c r="ER116" i="2"/>
  <c r="EQ116" i="2"/>
  <c r="EP116" i="2"/>
  <c r="EO116" i="2"/>
  <c r="EN116" i="2"/>
  <c r="EM116" i="2"/>
  <c r="EL116" i="2"/>
  <c r="EK116" i="2"/>
  <c r="EJ116" i="2"/>
  <c r="EI116" i="2"/>
  <c r="EH116" i="2"/>
  <c r="EG116" i="2"/>
  <c r="EF116" i="2"/>
  <c r="EE116" i="2"/>
  <c r="ED116" i="2"/>
  <c r="EC116" i="2"/>
  <c r="EB116" i="2"/>
  <c r="EA116" i="2"/>
  <c r="DZ116" i="2"/>
  <c r="DY116" i="2"/>
  <c r="DX116" i="2"/>
  <c r="DW116" i="2"/>
  <c r="DV116" i="2"/>
  <c r="DU116" i="2"/>
  <c r="DT116" i="2"/>
  <c r="DS116" i="2"/>
  <c r="DR116" i="2"/>
  <c r="DQ116" i="2"/>
  <c r="DP116" i="2"/>
  <c r="DO116" i="2"/>
  <c r="DN116" i="2"/>
  <c r="DM116" i="2"/>
  <c r="DL116" i="2"/>
  <c r="DK116" i="2"/>
  <c r="DJ116" i="2"/>
  <c r="DI116" i="2"/>
  <c r="DH116" i="2"/>
  <c r="DG116" i="2"/>
  <c r="DF116" i="2"/>
  <c r="DE116" i="2"/>
  <c r="DD116" i="2"/>
  <c r="DC116" i="2"/>
  <c r="DB116" i="2"/>
  <c r="CR116" i="2"/>
  <c r="CQ116" i="2"/>
  <c r="CP116" i="2"/>
  <c r="CO116" i="2"/>
  <c r="CN116" i="2"/>
  <c r="FS115" i="2"/>
  <c r="FR115" i="2"/>
  <c r="FQ115" i="2"/>
  <c r="FP115" i="2"/>
  <c r="FO115" i="2"/>
  <c r="FN115" i="2"/>
  <c r="FM115" i="2"/>
  <c r="FL115" i="2"/>
  <c r="FK115" i="2"/>
  <c r="FJ115" i="2"/>
  <c r="FI115" i="2"/>
  <c r="FH115" i="2"/>
  <c r="FG115" i="2"/>
  <c r="FF115" i="2"/>
  <c r="FE115" i="2"/>
  <c r="FD115" i="2"/>
  <c r="FC115" i="2"/>
  <c r="FB115" i="2"/>
  <c r="FA115" i="2"/>
  <c r="EZ115" i="2"/>
  <c r="EY115" i="2"/>
  <c r="EX115" i="2"/>
  <c r="EW115" i="2"/>
  <c r="EV115" i="2"/>
  <c r="EU115" i="2"/>
  <c r="ET115" i="2"/>
  <c r="ES115" i="2"/>
  <c r="ER115" i="2"/>
  <c r="EQ115" i="2"/>
  <c r="EP115" i="2"/>
  <c r="EO115" i="2"/>
  <c r="EN115" i="2"/>
  <c r="EM115" i="2"/>
  <c r="EL115" i="2"/>
  <c r="EK115" i="2"/>
  <c r="EJ115" i="2"/>
  <c r="EI115" i="2"/>
  <c r="EH115" i="2"/>
  <c r="EG115" i="2"/>
  <c r="EF115" i="2"/>
  <c r="EE115" i="2"/>
  <c r="ED115" i="2"/>
  <c r="EC115" i="2"/>
  <c r="EB115" i="2"/>
  <c r="EA115" i="2"/>
  <c r="DZ115" i="2"/>
  <c r="DY115" i="2"/>
  <c r="DX115" i="2"/>
  <c r="DW115" i="2"/>
  <c r="DV115" i="2"/>
  <c r="DU115" i="2"/>
  <c r="DT115" i="2"/>
  <c r="DS115" i="2"/>
  <c r="DR115" i="2"/>
  <c r="DQ115" i="2"/>
  <c r="DP115" i="2"/>
  <c r="DO115" i="2"/>
  <c r="DN115" i="2"/>
  <c r="DM115" i="2"/>
  <c r="DL115" i="2"/>
  <c r="DK115" i="2"/>
  <c r="DJ115" i="2"/>
  <c r="DI115" i="2"/>
  <c r="DH115" i="2"/>
  <c r="DG115" i="2"/>
  <c r="DF115" i="2"/>
  <c r="DE115" i="2"/>
  <c r="DD115" i="2"/>
  <c r="DC115" i="2"/>
  <c r="DB115" i="2"/>
  <c r="CR115" i="2"/>
  <c r="CQ115" i="2"/>
  <c r="CP115" i="2"/>
  <c r="CO115" i="2"/>
  <c r="CN115" i="2"/>
  <c r="FS114" i="2"/>
  <c r="FR114" i="2"/>
  <c r="FQ114" i="2"/>
  <c r="FP114" i="2"/>
  <c r="FO114" i="2"/>
  <c r="FN114" i="2"/>
  <c r="FM114" i="2"/>
  <c r="FL114" i="2"/>
  <c r="FK114" i="2"/>
  <c r="FJ114" i="2"/>
  <c r="FI114" i="2"/>
  <c r="FH114" i="2"/>
  <c r="FG114" i="2"/>
  <c r="FF114" i="2"/>
  <c r="FE114" i="2"/>
  <c r="FD114" i="2"/>
  <c r="FC114" i="2"/>
  <c r="FB114" i="2"/>
  <c r="FA114" i="2"/>
  <c r="EZ114" i="2"/>
  <c r="EY114" i="2"/>
  <c r="EX114" i="2"/>
  <c r="EW114" i="2"/>
  <c r="EV114" i="2"/>
  <c r="EU114" i="2"/>
  <c r="ET114" i="2"/>
  <c r="ES114" i="2"/>
  <c r="ER114" i="2"/>
  <c r="EQ114" i="2"/>
  <c r="EP114" i="2"/>
  <c r="EO114" i="2"/>
  <c r="EN114" i="2"/>
  <c r="EM114" i="2"/>
  <c r="EL114" i="2"/>
  <c r="EK114" i="2"/>
  <c r="EJ114" i="2"/>
  <c r="EI114" i="2"/>
  <c r="EH114" i="2"/>
  <c r="EG114" i="2"/>
  <c r="EF114" i="2"/>
  <c r="EE114" i="2"/>
  <c r="ED114" i="2"/>
  <c r="EC114" i="2"/>
  <c r="EB114" i="2"/>
  <c r="EA114" i="2"/>
  <c r="DZ114" i="2"/>
  <c r="DY114" i="2"/>
  <c r="DX114" i="2"/>
  <c r="DW114" i="2"/>
  <c r="DV114" i="2"/>
  <c r="DU114" i="2"/>
  <c r="DT114" i="2"/>
  <c r="DS114" i="2"/>
  <c r="DR114" i="2"/>
  <c r="DQ114" i="2"/>
  <c r="DP114" i="2"/>
  <c r="DO114" i="2"/>
  <c r="DN114" i="2"/>
  <c r="DM114" i="2"/>
  <c r="DL114" i="2"/>
  <c r="DK114" i="2"/>
  <c r="DJ114" i="2"/>
  <c r="DI114" i="2"/>
  <c r="DH114" i="2"/>
  <c r="DG114" i="2"/>
  <c r="DF114" i="2"/>
  <c r="DE114" i="2"/>
  <c r="DD114" i="2"/>
  <c r="DC114" i="2"/>
  <c r="DB114" i="2"/>
  <c r="CR114" i="2"/>
  <c r="CQ114" i="2"/>
  <c r="CP114" i="2"/>
  <c r="CO114" i="2"/>
  <c r="CN114" i="2"/>
  <c r="FS113" i="2"/>
  <c r="FR113" i="2"/>
  <c r="FQ113" i="2"/>
  <c r="FP113" i="2"/>
  <c r="FO113" i="2"/>
  <c r="FN113" i="2"/>
  <c r="FM113" i="2"/>
  <c r="FL113" i="2"/>
  <c r="FK113" i="2"/>
  <c r="FJ113" i="2"/>
  <c r="FI113" i="2"/>
  <c r="FH113" i="2"/>
  <c r="FG113" i="2"/>
  <c r="FF113" i="2"/>
  <c r="FE113" i="2"/>
  <c r="FD113" i="2"/>
  <c r="FC113" i="2"/>
  <c r="FB113" i="2"/>
  <c r="FA113" i="2"/>
  <c r="EZ113" i="2"/>
  <c r="EY113" i="2"/>
  <c r="EX113" i="2"/>
  <c r="EW113" i="2"/>
  <c r="EV113" i="2"/>
  <c r="EU113" i="2"/>
  <c r="ET113" i="2"/>
  <c r="ES113" i="2"/>
  <c r="ER113" i="2"/>
  <c r="EQ113" i="2"/>
  <c r="EP113" i="2"/>
  <c r="EO113" i="2"/>
  <c r="EN113" i="2"/>
  <c r="EM113" i="2"/>
  <c r="EL113" i="2"/>
  <c r="EK113" i="2"/>
  <c r="EJ113" i="2"/>
  <c r="EI113" i="2"/>
  <c r="EH113" i="2"/>
  <c r="EG113" i="2"/>
  <c r="EF113" i="2"/>
  <c r="EE113" i="2"/>
  <c r="ED113" i="2"/>
  <c r="EC113" i="2"/>
  <c r="EB113" i="2"/>
  <c r="EA113" i="2"/>
  <c r="DZ113" i="2"/>
  <c r="DY113" i="2"/>
  <c r="DX113" i="2"/>
  <c r="DW113" i="2"/>
  <c r="DV113" i="2"/>
  <c r="DU113" i="2"/>
  <c r="DT113" i="2"/>
  <c r="DS113" i="2"/>
  <c r="DR113" i="2"/>
  <c r="DQ113" i="2"/>
  <c r="DP113" i="2"/>
  <c r="DO113" i="2"/>
  <c r="DN113" i="2"/>
  <c r="DM113" i="2"/>
  <c r="DL113" i="2"/>
  <c r="DK113" i="2"/>
  <c r="DJ113" i="2"/>
  <c r="DI113" i="2"/>
  <c r="DH113" i="2"/>
  <c r="DG113" i="2"/>
  <c r="DF113" i="2"/>
  <c r="DE113" i="2"/>
  <c r="DD113" i="2"/>
  <c r="DC113" i="2"/>
  <c r="DB113" i="2"/>
  <c r="CR113" i="2"/>
  <c r="CQ113" i="2"/>
  <c r="CP113" i="2"/>
  <c r="CO113" i="2"/>
  <c r="CN113" i="2"/>
  <c r="FS112" i="2"/>
  <c r="FR112" i="2"/>
  <c r="FQ112" i="2"/>
  <c r="FP112" i="2"/>
  <c r="FO112" i="2"/>
  <c r="FN112" i="2"/>
  <c r="FM112" i="2"/>
  <c r="FL112" i="2"/>
  <c r="FK112" i="2"/>
  <c r="FJ112" i="2"/>
  <c r="FI112" i="2"/>
  <c r="FH112" i="2"/>
  <c r="FG112" i="2"/>
  <c r="FF112" i="2"/>
  <c r="FE112" i="2"/>
  <c r="FD112" i="2"/>
  <c r="FC112" i="2"/>
  <c r="FB112" i="2"/>
  <c r="FA112" i="2"/>
  <c r="EZ112" i="2"/>
  <c r="EY112" i="2"/>
  <c r="EX112" i="2"/>
  <c r="EW112" i="2"/>
  <c r="EV112" i="2"/>
  <c r="EU112" i="2"/>
  <c r="ET112" i="2"/>
  <c r="ES112" i="2"/>
  <c r="ER112" i="2"/>
  <c r="EQ112" i="2"/>
  <c r="EP112" i="2"/>
  <c r="EO112" i="2"/>
  <c r="EN112" i="2"/>
  <c r="EM112" i="2"/>
  <c r="EL112" i="2"/>
  <c r="EK112" i="2"/>
  <c r="EJ112" i="2"/>
  <c r="EI112" i="2"/>
  <c r="EH112" i="2"/>
  <c r="EG112" i="2"/>
  <c r="EF112" i="2"/>
  <c r="EE112" i="2"/>
  <c r="ED112" i="2"/>
  <c r="EC112" i="2"/>
  <c r="EB112" i="2"/>
  <c r="EA112" i="2"/>
  <c r="DZ112" i="2"/>
  <c r="DY112" i="2"/>
  <c r="DX112" i="2"/>
  <c r="DW112" i="2"/>
  <c r="DV112" i="2"/>
  <c r="DU112" i="2"/>
  <c r="DT112" i="2"/>
  <c r="DS112" i="2"/>
  <c r="DR112" i="2"/>
  <c r="DQ112" i="2"/>
  <c r="DP112" i="2"/>
  <c r="DO112" i="2"/>
  <c r="DN112" i="2"/>
  <c r="DM112" i="2"/>
  <c r="DL112" i="2"/>
  <c r="DK112" i="2"/>
  <c r="DJ112" i="2"/>
  <c r="DI112" i="2"/>
  <c r="DH112" i="2"/>
  <c r="DG112" i="2"/>
  <c r="DF112" i="2"/>
  <c r="DE112" i="2"/>
  <c r="DD112" i="2"/>
  <c r="DC112" i="2"/>
  <c r="CU112" i="2" s="1"/>
  <c r="DB112" i="2"/>
  <c r="CR112" i="2"/>
  <c r="CQ112" i="2"/>
  <c r="CP112" i="2"/>
  <c r="CO112" i="2"/>
  <c r="CN112" i="2"/>
  <c r="FS111" i="2"/>
  <c r="FR111" i="2"/>
  <c r="FQ111" i="2"/>
  <c r="FP111" i="2"/>
  <c r="FO111" i="2"/>
  <c r="FN111" i="2"/>
  <c r="FM111" i="2"/>
  <c r="FL111" i="2"/>
  <c r="FK111" i="2"/>
  <c r="FJ111" i="2"/>
  <c r="FI111" i="2"/>
  <c r="FH111" i="2"/>
  <c r="FG111" i="2"/>
  <c r="FF111" i="2"/>
  <c r="FE111" i="2"/>
  <c r="FD111" i="2"/>
  <c r="FC111" i="2"/>
  <c r="FB111" i="2"/>
  <c r="FA111" i="2"/>
  <c r="EZ111" i="2"/>
  <c r="EY111" i="2"/>
  <c r="EX111" i="2"/>
  <c r="EW111" i="2"/>
  <c r="EV111" i="2"/>
  <c r="EU111" i="2"/>
  <c r="ET111" i="2"/>
  <c r="ES111" i="2"/>
  <c r="ER111" i="2"/>
  <c r="EQ111" i="2"/>
  <c r="EP111" i="2"/>
  <c r="EO111" i="2"/>
  <c r="EN111" i="2"/>
  <c r="EM111" i="2"/>
  <c r="EL111" i="2"/>
  <c r="EK111" i="2"/>
  <c r="EJ111" i="2"/>
  <c r="EI111" i="2"/>
  <c r="EH111" i="2"/>
  <c r="EG111" i="2"/>
  <c r="EF111" i="2"/>
  <c r="EE111" i="2"/>
  <c r="ED111" i="2"/>
  <c r="EC111" i="2"/>
  <c r="EB111" i="2"/>
  <c r="EA111" i="2"/>
  <c r="DZ111" i="2"/>
  <c r="DY111" i="2"/>
  <c r="DX111" i="2"/>
  <c r="DW111" i="2"/>
  <c r="DV111" i="2"/>
  <c r="DU111" i="2"/>
  <c r="DT111" i="2"/>
  <c r="DS111" i="2"/>
  <c r="DR111" i="2"/>
  <c r="DQ111" i="2"/>
  <c r="DP111" i="2"/>
  <c r="DO111" i="2"/>
  <c r="DN111" i="2"/>
  <c r="DM111" i="2"/>
  <c r="DL111" i="2"/>
  <c r="DK111" i="2"/>
  <c r="DJ111" i="2"/>
  <c r="DI111" i="2"/>
  <c r="DH111" i="2"/>
  <c r="DG111" i="2"/>
  <c r="DF111" i="2"/>
  <c r="DE111" i="2"/>
  <c r="DD111" i="2"/>
  <c r="DC111" i="2"/>
  <c r="DB111" i="2"/>
  <c r="CR111" i="2"/>
  <c r="CQ111" i="2"/>
  <c r="CP111" i="2"/>
  <c r="CO111" i="2"/>
  <c r="CN111" i="2"/>
  <c r="FS110" i="2"/>
  <c r="FR110" i="2"/>
  <c r="FQ110" i="2"/>
  <c r="FP110" i="2"/>
  <c r="FO110" i="2"/>
  <c r="FN110" i="2"/>
  <c r="FM110" i="2"/>
  <c r="FL110" i="2"/>
  <c r="FK110" i="2"/>
  <c r="FJ110" i="2"/>
  <c r="FI110" i="2"/>
  <c r="FH110" i="2"/>
  <c r="FG110" i="2"/>
  <c r="FF110" i="2"/>
  <c r="FE110" i="2"/>
  <c r="FD110" i="2"/>
  <c r="FC110" i="2"/>
  <c r="FB110" i="2"/>
  <c r="FA110" i="2"/>
  <c r="EZ110" i="2"/>
  <c r="EY110" i="2"/>
  <c r="EX110" i="2"/>
  <c r="EW110" i="2"/>
  <c r="EV110" i="2"/>
  <c r="EU110" i="2"/>
  <c r="ET110" i="2"/>
  <c r="ES110" i="2"/>
  <c r="ER110" i="2"/>
  <c r="EQ110" i="2"/>
  <c r="EP110" i="2"/>
  <c r="EO110" i="2"/>
  <c r="EN110" i="2"/>
  <c r="EM110" i="2"/>
  <c r="EL110" i="2"/>
  <c r="EK110" i="2"/>
  <c r="EJ110" i="2"/>
  <c r="EI110" i="2"/>
  <c r="EH110" i="2"/>
  <c r="EG110" i="2"/>
  <c r="EF110" i="2"/>
  <c r="EE110" i="2"/>
  <c r="ED110" i="2"/>
  <c r="EC110" i="2"/>
  <c r="EB110" i="2"/>
  <c r="EA110" i="2"/>
  <c r="DZ110" i="2"/>
  <c r="DY110" i="2"/>
  <c r="DX110" i="2"/>
  <c r="DW110" i="2"/>
  <c r="DV110" i="2"/>
  <c r="DU110" i="2"/>
  <c r="DT110" i="2"/>
  <c r="DS110" i="2"/>
  <c r="DR110" i="2"/>
  <c r="DQ110" i="2"/>
  <c r="DP110" i="2"/>
  <c r="DO110" i="2"/>
  <c r="DN110" i="2"/>
  <c r="DM110" i="2"/>
  <c r="DL110" i="2"/>
  <c r="DK110" i="2"/>
  <c r="DJ110" i="2"/>
  <c r="DI110" i="2"/>
  <c r="DH110" i="2"/>
  <c r="DG110" i="2"/>
  <c r="DF110" i="2"/>
  <c r="DE110" i="2"/>
  <c r="DD110" i="2"/>
  <c r="DC110" i="2"/>
  <c r="DB110" i="2"/>
  <c r="CR110" i="2"/>
  <c r="CQ110" i="2"/>
  <c r="CP110" i="2"/>
  <c r="CO110" i="2"/>
  <c r="CN110" i="2"/>
  <c r="FS109" i="2"/>
  <c r="FR109" i="2"/>
  <c r="FQ109" i="2"/>
  <c r="FP109" i="2"/>
  <c r="FO109" i="2"/>
  <c r="FN109" i="2"/>
  <c r="FM109" i="2"/>
  <c r="FL109" i="2"/>
  <c r="FK109" i="2"/>
  <c r="FJ109" i="2"/>
  <c r="FI109" i="2"/>
  <c r="FH109" i="2"/>
  <c r="FG109" i="2"/>
  <c r="FF109" i="2"/>
  <c r="FE109" i="2"/>
  <c r="FD109" i="2"/>
  <c r="FC109" i="2"/>
  <c r="FB109" i="2"/>
  <c r="FA109" i="2"/>
  <c r="EZ109" i="2"/>
  <c r="EY109" i="2"/>
  <c r="EX109" i="2"/>
  <c r="EW109" i="2"/>
  <c r="EV109" i="2"/>
  <c r="EU109" i="2"/>
  <c r="ET109" i="2"/>
  <c r="ES109" i="2"/>
  <c r="ER109" i="2"/>
  <c r="EQ109" i="2"/>
  <c r="EP109" i="2"/>
  <c r="EO109" i="2"/>
  <c r="EN109" i="2"/>
  <c r="EM109" i="2"/>
  <c r="EL109" i="2"/>
  <c r="EK109" i="2"/>
  <c r="EJ109" i="2"/>
  <c r="EI109" i="2"/>
  <c r="EH109" i="2"/>
  <c r="EG109" i="2"/>
  <c r="EF109" i="2"/>
  <c r="EE109" i="2"/>
  <c r="ED109" i="2"/>
  <c r="EC109" i="2"/>
  <c r="EB109" i="2"/>
  <c r="EA109" i="2"/>
  <c r="DZ109" i="2"/>
  <c r="DY109" i="2"/>
  <c r="DX109" i="2"/>
  <c r="DW109" i="2"/>
  <c r="DV109" i="2"/>
  <c r="DU109" i="2"/>
  <c r="DT109" i="2"/>
  <c r="DS109" i="2"/>
  <c r="DR109" i="2"/>
  <c r="DQ109" i="2"/>
  <c r="DP109" i="2"/>
  <c r="DO109" i="2"/>
  <c r="DN109" i="2"/>
  <c r="DM109" i="2"/>
  <c r="DL109" i="2"/>
  <c r="DK109" i="2"/>
  <c r="DJ109" i="2"/>
  <c r="DI109" i="2"/>
  <c r="DH109" i="2"/>
  <c r="DG109" i="2"/>
  <c r="DF109" i="2"/>
  <c r="DE109" i="2"/>
  <c r="DD109" i="2"/>
  <c r="DC109" i="2"/>
  <c r="DB109" i="2"/>
  <c r="CR109" i="2"/>
  <c r="CQ109" i="2"/>
  <c r="CP109" i="2"/>
  <c r="CO109" i="2"/>
  <c r="CN109" i="2"/>
  <c r="FS108" i="2"/>
  <c r="FR108" i="2"/>
  <c r="FQ108" i="2"/>
  <c r="FP108" i="2"/>
  <c r="FO108" i="2"/>
  <c r="FN108" i="2"/>
  <c r="FM108" i="2"/>
  <c r="FL108" i="2"/>
  <c r="FK108" i="2"/>
  <c r="FJ108" i="2"/>
  <c r="FI108" i="2"/>
  <c r="FH108" i="2"/>
  <c r="FG108" i="2"/>
  <c r="FF108" i="2"/>
  <c r="FE108" i="2"/>
  <c r="FD108" i="2"/>
  <c r="FC108" i="2"/>
  <c r="FB108" i="2"/>
  <c r="FA108" i="2"/>
  <c r="EZ108" i="2"/>
  <c r="EY108" i="2"/>
  <c r="EX108" i="2"/>
  <c r="EW108" i="2"/>
  <c r="EV108" i="2"/>
  <c r="EU108" i="2"/>
  <c r="ET108" i="2"/>
  <c r="ES108" i="2"/>
  <c r="ER108" i="2"/>
  <c r="EQ108" i="2"/>
  <c r="EP108" i="2"/>
  <c r="EO108" i="2"/>
  <c r="EN108" i="2"/>
  <c r="EM108" i="2"/>
  <c r="EL108" i="2"/>
  <c r="EK108" i="2"/>
  <c r="EJ108" i="2"/>
  <c r="EI108" i="2"/>
  <c r="EH108" i="2"/>
  <c r="EG108" i="2"/>
  <c r="EF108" i="2"/>
  <c r="EE108" i="2"/>
  <c r="ED108" i="2"/>
  <c r="EC108" i="2"/>
  <c r="EB108" i="2"/>
  <c r="EA108" i="2"/>
  <c r="DZ108" i="2"/>
  <c r="DY108" i="2"/>
  <c r="DX108" i="2"/>
  <c r="DW108" i="2"/>
  <c r="DV108" i="2"/>
  <c r="DU108" i="2"/>
  <c r="DT108" i="2"/>
  <c r="DS108" i="2"/>
  <c r="DR108" i="2"/>
  <c r="DQ108" i="2"/>
  <c r="DP108" i="2"/>
  <c r="DO108" i="2"/>
  <c r="DN108" i="2"/>
  <c r="DM108" i="2"/>
  <c r="DL108" i="2"/>
  <c r="DK108" i="2"/>
  <c r="DJ108" i="2"/>
  <c r="DI108" i="2"/>
  <c r="DH108" i="2"/>
  <c r="DG108" i="2"/>
  <c r="DF108" i="2"/>
  <c r="DE108" i="2"/>
  <c r="DD108" i="2"/>
  <c r="DC108" i="2"/>
  <c r="DB108" i="2"/>
  <c r="CR108" i="2"/>
  <c r="CQ108" i="2"/>
  <c r="CP108" i="2"/>
  <c r="CO108" i="2"/>
  <c r="CN108" i="2"/>
  <c r="FS107" i="2"/>
  <c r="FR107" i="2"/>
  <c r="FQ107" i="2"/>
  <c r="FP107" i="2"/>
  <c r="FO107" i="2"/>
  <c r="FN107" i="2"/>
  <c r="FM107" i="2"/>
  <c r="FL107" i="2"/>
  <c r="FK107" i="2"/>
  <c r="FJ107" i="2"/>
  <c r="FI107" i="2"/>
  <c r="FH107" i="2"/>
  <c r="FG107" i="2"/>
  <c r="FF107" i="2"/>
  <c r="FE107" i="2"/>
  <c r="FD107" i="2"/>
  <c r="FC107" i="2"/>
  <c r="FB107" i="2"/>
  <c r="FA107" i="2"/>
  <c r="EZ107" i="2"/>
  <c r="EY107" i="2"/>
  <c r="EX107" i="2"/>
  <c r="EW107" i="2"/>
  <c r="EV107" i="2"/>
  <c r="EU107" i="2"/>
  <c r="ET107" i="2"/>
  <c r="ES107" i="2"/>
  <c r="ER107" i="2"/>
  <c r="EQ107" i="2"/>
  <c r="EP107" i="2"/>
  <c r="EO107" i="2"/>
  <c r="EN107" i="2"/>
  <c r="EM107" i="2"/>
  <c r="EL107" i="2"/>
  <c r="EK107" i="2"/>
  <c r="EJ107" i="2"/>
  <c r="EI107" i="2"/>
  <c r="EH107" i="2"/>
  <c r="EG107" i="2"/>
  <c r="EF107" i="2"/>
  <c r="EE107" i="2"/>
  <c r="ED107" i="2"/>
  <c r="EC107" i="2"/>
  <c r="EB107" i="2"/>
  <c r="EA107" i="2"/>
  <c r="DZ107" i="2"/>
  <c r="DY107" i="2"/>
  <c r="DX107" i="2"/>
  <c r="DW107" i="2"/>
  <c r="DV107" i="2"/>
  <c r="DU107" i="2"/>
  <c r="DT107" i="2"/>
  <c r="DS107" i="2"/>
  <c r="DR107" i="2"/>
  <c r="DQ107" i="2"/>
  <c r="DP107" i="2"/>
  <c r="DO107" i="2"/>
  <c r="DN107" i="2"/>
  <c r="DM107" i="2"/>
  <c r="DL107" i="2"/>
  <c r="DK107" i="2"/>
  <c r="DJ107" i="2"/>
  <c r="DI107" i="2"/>
  <c r="DH107" i="2"/>
  <c r="DG107" i="2"/>
  <c r="DF107" i="2"/>
  <c r="DE107" i="2"/>
  <c r="DD107" i="2"/>
  <c r="DC107" i="2"/>
  <c r="DB107" i="2"/>
  <c r="CR107" i="2"/>
  <c r="CQ107" i="2"/>
  <c r="CP107" i="2"/>
  <c r="CO107" i="2"/>
  <c r="CN107" i="2"/>
  <c r="FS106" i="2"/>
  <c r="FR106" i="2"/>
  <c r="FQ106" i="2"/>
  <c r="FP106" i="2"/>
  <c r="FO106" i="2"/>
  <c r="FN106" i="2"/>
  <c r="FM106" i="2"/>
  <c r="FL106" i="2"/>
  <c r="FK106" i="2"/>
  <c r="FJ106" i="2"/>
  <c r="FI106" i="2"/>
  <c r="FH106" i="2"/>
  <c r="FG106" i="2"/>
  <c r="FF106" i="2"/>
  <c r="FE106" i="2"/>
  <c r="FD106" i="2"/>
  <c r="FC106" i="2"/>
  <c r="FB106" i="2"/>
  <c r="FA106" i="2"/>
  <c r="EZ106" i="2"/>
  <c r="EY106" i="2"/>
  <c r="EX106" i="2"/>
  <c r="EW106" i="2"/>
  <c r="EV106" i="2"/>
  <c r="EU106" i="2"/>
  <c r="ET106" i="2"/>
  <c r="ES106" i="2"/>
  <c r="ER106" i="2"/>
  <c r="EQ106" i="2"/>
  <c r="EP106" i="2"/>
  <c r="EO106" i="2"/>
  <c r="EN106" i="2"/>
  <c r="EM106" i="2"/>
  <c r="EL106" i="2"/>
  <c r="EK106" i="2"/>
  <c r="EJ106" i="2"/>
  <c r="EI106" i="2"/>
  <c r="EH106" i="2"/>
  <c r="EG106" i="2"/>
  <c r="EF106" i="2"/>
  <c r="EE106" i="2"/>
  <c r="ED106" i="2"/>
  <c r="EC106" i="2"/>
  <c r="EB106" i="2"/>
  <c r="EA106" i="2"/>
  <c r="DZ106" i="2"/>
  <c r="DY106" i="2"/>
  <c r="DX106" i="2"/>
  <c r="DW106" i="2"/>
  <c r="DV106" i="2"/>
  <c r="DU106" i="2"/>
  <c r="DT106" i="2"/>
  <c r="DS106" i="2"/>
  <c r="DR106" i="2"/>
  <c r="DQ106" i="2"/>
  <c r="DP106" i="2"/>
  <c r="DO106" i="2"/>
  <c r="DN106" i="2"/>
  <c r="DM106" i="2"/>
  <c r="DL106" i="2"/>
  <c r="DK106" i="2"/>
  <c r="DJ106" i="2"/>
  <c r="DI106" i="2"/>
  <c r="DH106" i="2"/>
  <c r="DG106" i="2"/>
  <c r="DF106" i="2"/>
  <c r="DE106" i="2"/>
  <c r="DD106" i="2"/>
  <c r="DC106" i="2"/>
  <c r="DB106" i="2"/>
  <c r="CR106" i="2"/>
  <c r="CQ106" i="2"/>
  <c r="CP106" i="2"/>
  <c r="CO106" i="2"/>
  <c r="CN106" i="2"/>
  <c r="FS105" i="2"/>
  <c r="FR105" i="2"/>
  <c r="FQ105" i="2"/>
  <c r="FP105" i="2"/>
  <c r="FO105" i="2"/>
  <c r="FN105" i="2"/>
  <c r="FM105" i="2"/>
  <c r="FL105" i="2"/>
  <c r="FK105" i="2"/>
  <c r="FJ105" i="2"/>
  <c r="FI105" i="2"/>
  <c r="FH105" i="2"/>
  <c r="FG105" i="2"/>
  <c r="FF105" i="2"/>
  <c r="FE105" i="2"/>
  <c r="FD105" i="2"/>
  <c r="FC105" i="2"/>
  <c r="FB105" i="2"/>
  <c r="FA105" i="2"/>
  <c r="EZ105" i="2"/>
  <c r="EY105" i="2"/>
  <c r="EX105" i="2"/>
  <c r="EW105" i="2"/>
  <c r="EV105" i="2"/>
  <c r="EU105" i="2"/>
  <c r="ET105" i="2"/>
  <c r="ES105" i="2"/>
  <c r="ER105" i="2"/>
  <c r="EQ105" i="2"/>
  <c r="EP105" i="2"/>
  <c r="EO105" i="2"/>
  <c r="EN105" i="2"/>
  <c r="EM105" i="2"/>
  <c r="EL105" i="2"/>
  <c r="EK105" i="2"/>
  <c r="EJ105" i="2"/>
  <c r="EI105" i="2"/>
  <c r="EH105" i="2"/>
  <c r="EG105" i="2"/>
  <c r="EF105" i="2"/>
  <c r="EE105" i="2"/>
  <c r="ED105" i="2"/>
  <c r="EC105" i="2"/>
  <c r="EB105" i="2"/>
  <c r="EA105" i="2"/>
  <c r="DZ105" i="2"/>
  <c r="DY105" i="2"/>
  <c r="DX105" i="2"/>
  <c r="DW105" i="2"/>
  <c r="DV105" i="2"/>
  <c r="DU105" i="2"/>
  <c r="DT105" i="2"/>
  <c r="DS105" i="2"/>
  <c r="DR105" i="2"/>
  <c r="DQ105" i="2"/>
  <c r="DP105" i="2"/>
  <c r="DO105" i="2"/>
  <c r="DN105" i="2"/>
  <c r="DM105" i="2"/>
  <c r="DL105" i="2"/>
  <c r="DK105" i="2"/>
  <c r="DJ105" i="2"/>
  <c r="DI105" i="2"/>
  <c r="DH105" i="2"/>
  <c r="DG105" i="2"/>
  <c r="DF105" i="2"/>
  <c r="DE105" i="2"/>
  <c r="DD105" i="2"/>
  <c r="DC105" i="2"/>
  <c r="DB105" i="2"/>
  <c r="CR105" i="2"/>
  <c r="CQ105" i="2"/>
  <c r="CP105" i="2"/>
  <c r="CO105" i="2"/>
  <c r="CN105" i="2"/>
  <c r="FS104" i="2"/>
  <c r="FR104" i="2"/>
  <c r="FQ104" i="2"/>
  <c r="FP104" i="2"/>
  <c r="FO104" i="2"/>
  <c r="FN104" i="2"/>
  <c r="FM104" i="2"/>
  <c r="FL104" i="2"/>
  <c r="FK104" i="2"/>
  <c r="FJ104" i="2"/>
  <c r="FI104" i="2"/>
  <c r="FH104" i="2"/>
  <c r="FG104" i="2"/>
  <c r="FF104" i="2"/>
  <c r="FE104" i="2"/>
  <c r="FD104" i="2"/>
  <c r="FC104" i="2"/>
  <c r="FB104" i="2"/>
  <c r="FA104" i="2"/>
  <c r="EZ104" i="2"/>
  <c r="EY104" i="2"/>
  <c r="EX104" i="2"/>
  <c r="EW104" i="2"/>
  <c r="EV104" i="2"/>
  <c r="EU104" i="2"/>
  <c r="ET104" i="2"/>
  <c r="ES104" i="2"/>
  <c r="ER104" i="2"/>
  <c r="EQ104" i="2"/>
  <c r="EP104" i="2"/>
  <c r="EO104" i="2"/>
  <c r="EN104" i="2"/>
  <c r="EM104" i="2"/>
  <c r="EL104" i="2"/>
  <c r="EK104" i="2"/>
  <c r="EJ104" i="2"/>
  <c r="EI104" i="2"/>
  <c r="EH104" i="2"/>
  <c r="EG104" i="2"/>
  <c r="EF104" i="2"/>
  <c r="EE104" i="2"/>
  <c r="ED104" i="2"/>
  <c r="EC104" i="2"/>
  <c r="EB104" i="2"/>
  <c r="EA104" i="2"/>
  <c r="DZ104" i="2"/>
  <c r="DY104" i="2"/>
  <c r="DX104" i="2"/>
  <c r="DW104" i="2"/>
  <c r="DV104" i="2"/>
  <c r="DU104" i="2"/>
  <c r="DT104" i="2"/>
  <c r="DS104" i="2"/>
  <c r="DR104" i="2"/>
  <c r="DQ104" i="2"/>
  <c r="DP104" i="2"/>
  <c r="DO104" i="2"/>
  <c r="DN104" i="2"/>
  <c r="DM104" i="2"/>
  <c r="DL104" i="2"/>
  <c r="DK104" i="2"/>
  <c r="DJ104" i="2"/>
  <c r="DI104" i="2"/>
  <c r="DH104" i="2"/>
  <c r="DG104" i="2"/>
  <c r="DF104" i="2"/>
  <c r="DE104" i="2"/>
  <c r="DD104" i="2"/>
  <c r="DC104" i="2"/>
  <c r="CU104" i="2" s="1"/>
  <c r="DB104" i="2"/>
  <c r="CR104" i="2"/>
  <c r="CQ104" i="2"/>
  <c r="CP104" i="2"/>
  <c r="CO104" i="2"/>
  <c r="CN104" i="2"/>
  <c r="FS103" i="2"/>
  <c r="FR103" i="2"/>
  <c r="FQ103" i="2"/>
  <c r="FP103" i="2"/>
  <c r="FO103" i="2"/>
  <c r="FN103" i="2"/>
  <c r="FM103" i="2"/>
  <c r="FL103" i="2"/>
  <c r="FK103" i="2"/>
  <c r="FJ103" i="2"/>
  <c r="FI103" i="2"/>
  <c r="FH103" i="2"/>
  <c r="FG103" i="2"/>
  <c r="FF103" i="2"/>
  <c r="FE103" i="2"/>
  <c r="FD103" i="2"/>
  <c r="FC103" i="2"/>
  <c r="FB103" i="2"/>
  <c r="FA103" i="2"/>
  <c r="EZ103" i="2"/>
  <c r="EY103" i="2"/>
  <c r="EX103" i="2"/>
  <c r="EW103" i="2"/>
  <c r="EV103" i="2"/>
  <c r="EU103" i="2"/>
  <c r="ET103" i="2"/>
  <c r="ES103" i="2"/>
  <c r="ER103" i="2"/>
  <c r="EQ103" i="2"/>
  <c r="EP103" i="2"/>
  <c r="EO103" i="2"/>
  <c r="EN103" i="2"/>
  <c r="EM103" i="2"/>
  <c r="EL103" i="2"/>
  <c r="EK103" i="2"/>
  <c r="EJ103" i="2"/>
  <c r="EI103" i="2"/>
  <c r="EH103" i="2"/>
  <c r="EG103" i="2"/>
  <c r="EF103" i="2"/>
  <c r="EE103" i="2"/>
  <c r="ED103" i="2"/>
  <c r="EC103" i="2"/>
  <c r="EB103" i="2"/>
  <c r="EA103" i="2"/>
  <c r="DZ103" i="2"/>
  <c r="DY103" i="2"/>
  <c r="DX103" i="2"/>
  <c r="DW103" i="2"/>
  <c r="DV103" i="2"/>
  <c r="DU103" i="2"/>
  <c r="DT103" i="2"/>
  <c r="DS103" i="2"/>
  <c r="DR103" i="2"/>
  <c r="DQ103" i="2"/>
  <c r="DP103" i="2"/>
  <c r="DO103" i="2"/>
  <c r="DN103" i="2"/>
  <c r="DM103" i="2"/>
  <c r="DL103" i="2"/>
  <c r="DK103" i="2"/>
  <c r="DJ103" i="2"/>
  <c r="DI103" i="2"/>
  <c r="DH103" i="2"/>
  <c r="DG103" i="2"/>
  <c r="DF103" i="2"/>
  <c r="DE103" i="2"/>
  <c r="DD103" i="2"/>
  <c r="DC103" i="2"/>
  <c r="DB103" i="2"/>
  <c r="CR103" i="2"/>
  <c r="CQ103" i="2"/>
  <c r="CP103" i="2"/>
  <c r="CO103" i="2"/>
  <c r="CN103" i="2"/>
  <c r="FS102" i="2"/>
  <c r="FR102" i="2"/>
  <c r="FQ102" i="2"/>
  <c r="FP102" i="2"/>
  <c r="FO102" i="2"/>
  <c r="FN102" i="2"/>
  <c r="FM102" i="2"/>
  <c r="FL102" i="2"/>
  <c r="FK102" i="2"/>
  <c r="FJ102" i="2"/>
  <c r="FI102" i="2"/>
  <c r="FH102" i="2"/>
  <c r="FG102" i="2"/>
  <c r="FF102" i="2"/>
  <c r="FE102" i="2"/>
  <c r="FD102" i="2"/>
  <c r="FC102" i="2"/>
  <c r="FB102" i="2"/>
  <c r="FA102" i="2"/>
  <c r="EZ102" i="2"/>
  <c r="EY102" i="2"/>
  <c r="EX102" i="2"/>
  <c r="EW102" i="2"/>
  <c r="EV102" i="2"/>
  <c r="EU102" i="2"/>
  <c r="ET102" i="2"/>
  <c r="ES102" i="2"/>
  <c r="ER102" i="2"/>
  <c r="EQ102" i="2"/>
  <c r="EP102" i="2"/>
  <c r="EO102" i="2"/>
  <c r="EN102" i="2"/>
  <c r="EM102" i="2"/>
  <c r="EL102" i="2"/>
  <c r="EK102" i="2"/>
  <c r="EJ102" i="2"/>
  <c r="EI102" i="2"/>
  <c r="EH102" i="2"/>
  <c r="EG102" i="2"/>
  <c r="EF102" i="2"/>
  <c r="EE102" i="2"/>
  <c r="ED102" i="2"/>
  <c r="EC102" i="2"/>
  <c r="EB102" i="2"/>
  <c r="EA102" i="2"/>
  <c r="DZ102" i="2"/>
  <c r="DY102" i="2"/>
  <c r="DX102" i="2"/>
  <c r="DW102" i="2"/>
  <c r="DV102" i="2"/>
  <c r="DU102" i="2"/>
  <c r="DT102" i="2"/>
  <c r="DS102" i="2"/>
  <c r="DR102" i="2"/>
  <c r="DQ102" i="2"/>
  <c r="DO102" i="2"/>
  <c r="DN102" i="2"/>
  <c r="DM102" i="2"/>
  <c r="DL102" i="2"/>
  <c r="DK102" i="2"/>
  <c r="DJ102" i="2"/>
  <c r="DI102" i="2"/>
  <c r="DG102" i="2"/>
  <c r="DE102" i="2"/>
  <c r="DD102" i="2"/>
  <c r="FS101" i="2"/>
  <c r="FR101" i="2"/>
  <c r="FQ101" i="2"/>
  <c r="FP101" i="2"/>
  <c r="FO101" i="2"/>
  <c r="FN101" i="2"/>
  <c r="FM101" i="2"/>
  <c r="FL101" i="2"/>
  <c r="FK101" i="2"/>
  <c r="FJ101" i="2"/>
  <c r="FI101" i="2"/>
  <c r="FH101" i="2"/>
  <c r="FG101" i="2"/>
  <c r="FF101" i="2"/>
  <c r="FE101" i="2"/>
  <c r="FD101" i="2"/>
  <c r="FC101" i="2"/>
  <c r="FB101" i="2"/>
  <c r="FA101" i="2"/>
  <c r="EZ101" i="2"/>
  <c r="EY101" i="2"/>
  <c r="EX101" i="2"/>
  <c r="EW101" i="2"/>
  <c r="EV101" i="2"/>
  <c r="EU101" i="2"/>
  <c r="ET101" i="2"/>
  <c r="ES101" i="2"/>
  <c r="ER101" i="2"/>
  <c r="EQ101" i="2"/>
  <c r="EP101" i="2"/>
  <c r="EO101" i="2"/>
  <c r="EN101" i="2"/>
  <c r="EM101" i="2"/>
  <c r="EL101" i="2"/>
  <c r="EK101" i="2"/>
  <c r="EJ101" i="2"/>
  <c r="EI101" i="2"/>
  <c r="EH101" i="2"/>
  <c r="EG101" i="2"/>
  <c r="EF101" i="2"/>
  <c r="EE101" i="2"/>
  <c r="ED101" i="2"/>
  <c r="EC101" i="2"/>
  <c r="EB101" i="2"/>
  <c r="EA101" i="2"/>
  <c r="DZ101" i="2"/>
  <c r="DY101" i="2"/>
  <c r="DX101" i="2"/>
  <c r="DW101" i="2"/>
  <c r="DV101" i="2"/>
  <c r="DU101" i="2"/>
  <c r="DT101" i="2"/>
  <c r="DS101" i="2"/>
  <c r="DR101" i="2"/>
  <c r="DO101" i="2"/>
  <c r="DN101" i="2"/>
  <c r="DM101" i="2"/>
  <c r="DL101" i="2"/>
  <c r="DK101" i="2"/>
  <c r="DJ101" i="2"/>
  <c r="DI101" i="2"/>
  <c r="DG101" i="2"/>
  <c r="DE101" i="2"/>
  <c r="DD101" i="2"/>
  <c r="FS100" i="2"/>
  <c r="FR100" i="2"/>
  <c r="FQ100" i="2"/>
  <c r="FP100" i="2"/>
  <c r="FO100" i="2"/>
  <c r="FN100" i="2"/>
  <c r="FM100" i="2"/>
  <c r="FL100" i="2"/>
  <c r="FK100" i="2"/>
  <c r="FJ100" i="2"/>
  <c r="FI100" i="2"/>
  <c r="FH100" i="2"/>
  <c r="FG100" i="2"/>
  <c r="FF100" i="2"/>
  <c r="FE100" i="2"/>
  <c r="FD100" i="2"/>
  <c r="FC100" i="2"/>
  <c r="FB100" i="2"/>
  <c r="FA100" i="2"/>
  <c r="EZ100" i="2"/>
  <c r="EY100" i="2"/>
  <c r="EX100" i="2"/>
  <c r="EW100" i="2"/>
  <c r="EV100" i="2"/>
  <c r="EU100" i="2"/>
  <c r="ET100" i="2"/>
  <c r="ES100" i="2"/>
  <c r="ER100" i="2"/>
  <c r="EQ100" i="2"/>
  <c r="EP100" i="2"/>
  <c r="EO100" i="2"/>
  <c r="EN100" i="2"/>
  <c r="EM100" i="2"/>
  <c r="EL100" i="2"/>
  <c r="EK100" i="2"/>
  <c r="EJ100" i="2"/>
  <c r="EI100" i="2"/>
  <c r="EH100" i="2"/>
  <c r="EG100" i="2"/>
  <c r="EF100" i="2"/>
  <c r="EE100" i="2"/>
  <c r="ED100" i="2"/>
  <c r="EC100" i="2"/>
  <c r="EB100" i="2"/>
  <c r="EA100" i="2"/>
  <c r="DZ100" i="2"/>
  <c r="DY100" i="2"/>
  <c r="DX100" i="2"/>
  <c r="DW100" i="2"/>
  <c r="DV100" i="2"/>
  <c r="DU100" i="2"/>
  <c r="DT100" i="2"/>
  <c r="DS100" i="2"/>
  <c r="DR100" i="2"/>
  <c r="DO100" i="2"/>
  <c r="DN100" i="2"/>
  <c r="DM100" i="2"/>
  <c r="DL100" i="2"/>
  <c r="DK100" i="2"/>
  <c r="DJ100" i="2"/>
  <c r="DI100" i="2"/>
  <c r="DG100" i="2"/>
  <c r="DE100" i="2"/>
  <c r="DD100" i="2"/>
  <c r="FS99" i="2"/>
  <c r="FR99" i="2"/>
  <c r="FQ99" i="2"/>
  <c r="FP99" i="2"/>
  <c r="FO99" i="2"/>
  <c r="FN99" i="2"/>
  <c r="FM99" i="2"/>
  <c r="FL99" i="2"/>
  <c r="FK99" i="2"/>
  <c r="FJ99" i="2"/>
  <c r="FI99" i="2"/>
  <c r="FH99" i="2"/>
  <c r="FG99" i="2"/>
  <c r="FF99" i="2"/>
  <c r="FE99" i="2"/>
  <c r="FD99" i="2"/>
  <c r="FC99" i="2"/>
  <c r="FB99" i="2"/>
  <c r="FA99" i="2"/>
  <c r="EZ99" i="2"/>
  <c r="EY99" i="2"/>
  <c r="EX99" i="2"/>
  <c r="EW99" i="2"/>
  <c r="EV99" i="2"/>
  <c r="EU99" i="2"/>
  <c r="ET99" i="2"/>
  <c r="ES99" i="2"/>
  <c r="ER99" i="2"/>
  <c r="EQ99" i="2"/>
  <c r="EP99" i="2"/>
  <c r="EO99" i="2"/>
  <c r="EN99" i="2"/>
  <c r="EM99" i="2"/>
  <c r="EL99" i="2"/>
  <c r="EK99" i="2"/>
  <c r="EJ99" i="2"/>
  <c r="EI99" i="2"/>
  <c r="EH99" i="2"/>
  <c r="EG99" i="2"/>
  <c r="EF99" i="2"/>
  <c r="EE99" i="2"/>
  <c r="ED99" i="2"/>
  <c r="EC99" i="2"/>
  <c r="EB99" i="2"/>
  <c r="EA99" i="2"/>
  <c r="DZ99" i="2"/>
  <c r="DY99" i="2"/>
  <c r="DX99" i="2"/>
  <c r="DW99" i="2"/>
  <c r="DV99" i="2"/>
  <c r="DU99" i="2"/>
  <c r="DT99" i="2"/>
  <c r="DS99" i="2"/>
  <c r="DR99" i="2"/>
  <c r="DO99" i="2"/>
  <c r="DN99" i="2"/>
  <c r="DM99" i="2"/>
  <c r="DL99" i="2"/>
  <c r="DK99" i="2"/>
  <c r="DJ99" i="2"/>
  <c r="DI99" i="2"/>
  <c r="DG99" i="2"/>
  <c r="DE99" i="2"/>
  <c r="DD99" i="2"/>
  <c r="FS98" i="2"/>
  <c r="FR98" i="2"/>
  <c r="FQ98" i="2"/>
  <c r="FP98" i="2"/>
  <c r="FO98" i="2"/>
  <c r="FN98" i="2"/>
  <c r="FM98" i="2"/>
  <c r="FL98" i="2"/>
  <c r="FK98" i="2"/>
  <c r="FJ98" i="2"/>
  <c r="FI98" i="2"/>
  <c r="FH98" i="2"/>
  <c r="FG98" i="2"/>
  <c r="FF98" i="2"/>
  <c r="FE98" i="2"/>
  <c r="FD98" i="2"/>
  <c r="FC98" i="2"/>
  <c r="FB98" i="2"/>
  <c r="FA98" i="2"/>
  <c r="EZ98" i="2"/>
  <c r="EY98" i="2"/>
  <c r="EX98" i="2"/>
  <c r="EW98" i="2"/>
  <c r="EV98" i="2"/>
  <c r="EU98" i="2"/>
  <c r="ET98" i="2"/>
  <c r="ES98" i="2"/>
  <c r="ER98" i="2"/>
  <c r="EQ98" i="2"/>
  <c r="EP98" i="2"/>
  <c r="EO98" i="2"/>
  <c r="EN98" i="2"/>
  <c r="EM98" i="2"/>
  <c r="EL98" i="2"/>
  <c r="EK98" i="2"/>
  <c r="EJ98" i="2"/>
  <c r="EI98" i="2"/>
  <c r="EH98" i="2"/>
  <c r="EG98" i="2"/>
  <c r="EF98" i="2"/>
  <c r="EE98" i="2"/>
  <c r="ED98" i="2"/>
  <c r="EC98" i="2"/>
  <c r="EB98" i="2"/>
  <c r="EA98" i="2"/>
  <c r="DZ98" i="2"/>
  <c r="DY98" i="2"/>
  <c r="DX98" i="2"/>
  <c r="DW98" i="2"/>
  <c r="DV98" i="2"/>
  <c r="DU98" i="2"/>
  <c r="DT98" i="2"/>
  <c r="DS98" i="2"/>
  <c r="DR98" i="2"/>
  <c r="DO98" i="2"/>
  <c r="DN98" i="2"/>
  <c r="DM98" i="2"/>
  <c r="DL98" i="2"/>
  <c r="DK98" i="2"/>
  <c r="DJ98" i="2"/>
  <c r="DI98" i="2"/>
  <c r="DG98" i="2"/>
  <c r="DE98" i="2"/>
  <c r="DD98" i="2"/>
  <c r="FS97" i="2"/>
  <c r="FR97" i="2"/>
  <c r="FQ97" i="2"/>
  <c r="FP97" i="2"/>
  <c r="FO97" i="2"/>
  <c r="FN97" i="2"/>
  <c r="FM97" i="2"/>
  <c r="FL97" i="2"/>
  <c r="FK97" i="2"/>
  <c r="FJ97" i="2"/>
  <c r="FI97" i="2"/>
  <c r="FH97" i="2"/>
  <c r="FG97" i="2"/>
  <c r="FF97" i="2"/>
  <c r="FE97" i="2"/>
  <c r="FD97" i="2"/>
  <c r="FC97" i="2"/>
  <c r="FB97" i="2"/>
  <c r="FA97" i="2"/>
  <c r="EZ97" i="2"/>
  <c r="EY97" i="2"/>
  <c r="EX97" i="2"/>
  <c r="EW97" i="2"/>
  <c r="EV97" i="2"/>
  <c r="EU97" i="2"/>
  <c r="ET97" i="2"/>
  <c r="ES97" i="2"/>
  <c r="ER97" i="2"/>
  <c r="EQ97" i="2"/>
  <c r="EP97" i="2"/>
  <c r="EO97" i="2"/>
  <c r="EN97" i="2"/>
  <c r="EM97" i="2"/>
  <c r="EL97" i="2"/>
  <c r="EK97" i="2"/>
  <c r="EJ97" i="2"/>
  <c r="EI97" i="2"/>
  <c r="EH97" i="2"/>
  <c r="EG97" i="2"/>
  <c r="EF97" i="2"/>
  <c r="EE97" i="2"/>
  <c r="ED97" i="2"/>
  <c r="EC97" i="2"/>
  <c r="EB97" i="2"/>
  <c r="EA97" i="2"/>
  <c r="DZ97" i="2"/>
  <c r="DY97" i="2"/>
  <c r="DX97" i="2"/>
  <c r="DW97" i="2"/>
  <c r="DV97" i="2"/>
  <c r="DU97" i="2"/>
  <c r="DT97" i="2"/>
  <c r="DS97" i="2"/>
  <c r="DR97" i="2"/>
  <c r="DO97" i="2"/>
  <c r="DN97" i="2"/>
  <c r="DM97" i="2"/>
  <c r="DL97" i="2"/>
  <c r="DK97" i="2"/>
  <c r="DJ97" i="2"/>
  <c r="DI97" i="2"/>
  <c r="DG97" i="2"/>
  <c r="DE97" i="2"/>
  <c r="DD97" i="2"/>
  <c r="FS96" i="2"/>
  <c r="FR96" i="2"/>
  <c r="FQ96" i="2"/>
  <c r="FP96" i="2"/>
  <c r="FO96" i="2"/>
  <c r="FN96" i="2"/>
  <c r="FM96" i="2"/>
  <c r="FL96" i="2"/>
  <c r="FK96" i="2"/>
  <c r="FJ96" i="2"/>
  <c r="FI96" i="2"/>
  <c r="FH96" i="2"/>
  <c r="FG96" i="2"/>
  <c r="FF96" i="2"/>
  <c r="FE96" i="2"/>
  <c r="FD96" i="2"/>
  <c r="FC96" i="2"/>
  <c r="FB96" i="2"/>
  <c r="FA96" i="2"/>
  <c r="EZ96" i="2"/>
  <c r="EY96" i="2"/>
  <c r="EX96" i="2"/>
  <c r="EW96" i="2"/>
  <c r="EV96" i="2"/>
  <c r="EU96" i="2"/>
  <c r="ET96" i="2"/>
  <c r="ES96" i="2"/>
  <c r="ER96" i="2"/>
  <c r="EQ96" i="2"/>
  <c r="EP96" i="2"/>
  <c r="EO96" i="2"/>
  <c r="EN96" i="2"/>
  <c r="EM96" i="2"/>
  <c r="EL96" i="2"/>
  <c r="EK96" i="2"/>
  <c r="EJ96" i="2"/>
  <c r="EI96" i="2"/>
  <c r="EH96" i="2"/>
  <c r="EG96" i="2"/>
  <c r="EF96" i="2"/>
  <c r="EE96" i="2"/>
  <c r="ED96" i="2"/>
  <c r="EC96" i="2"/>
  <c r="EB96" i="2"/>
  <c r="EA96" i="2"/>
  <c r="DZ96" i="2"/>
  <c r="DY96" i="2"/>
  <c r="DX96" i="2"/>
  <c r="DW96" i="2"/>
  <c r="DV96" i="2"/>
  <c r="DU96" i="2"/>
  <c r="DT96" i="2"/>
  <c r="DS96" i="2"/>
  <c r="DR96" i="2"/>
  <c r="DO96" i="2"/>
  <c r="DN96" i="2"/>
  <c r="DM96" i="2"/>
  <c r="DL96" i="2"/>
  <c r="DK96" i="2"/>
  <c r="DJ96" i="2"/>
  <c r="DI96" i="2"/>
  <c r="DG96" i="2"/>
  <c r="DE96" i="2"/>
  <c r="DD96" i="2"/>
  <c r="FS95" i="2"/>
  <c r="FR95" i="2"/>
  <c r="FQ95" i="2"/>
  <c r="FP95" i="2"/>
  <c r="FO95" i="2"/>
  <c r="FN95" i="2"/>
  <c r="FM95" i="2"/>
  <c r="FL95" i="2"/>
  <c r="FK95" i="2"/>
  <c r="FJ95" i="2"/>
  <c r="FI95" i="2"/>
  <c r="FH95" i="2"/>
  <c r="FG95" i="2"/>
  <c r="FF95" i="2"/>
  <c r="FE95" i="2"/>
  <c r="FD95" i="2"/>
  <c r="FC95" i="2"/>
  <c r="FB95" i="2"/>
  <c r="FA95" i="2"/>
  <c r="EZ95" i="2"/>
  <c r="EY95" i="2"/>
  <c r="EX95" i="2"/>
  <c r="EW95" i="2"/>
  <c r="EV95" i="2"/>
  <c r="EU95" i="2"/>
  <c r="ET95" i="2"/>
  <c r="ES95" i="2"/>
  <c r="ER95" i="2"/>
  <c r="EQ95" i="2"/>
  <c r="EP95" i="2"/>
  <c r="EO95" i="2"/>
  <c r="EN95" i="2"/>
  <c r="EM95" i="2"/>
  <c r="EL95" i="2"/>
  <c r="EK95" i="2"/>
  <c r="EJ95" i="2"/>
  <c r="EI95" i="2"/>
  <c r="EH95" i="2"/>
  <c r="EG95" i="2"/>
  <c r="EF95" i="2"/>
  <c r="EE95" i="2"/>
  <c r="ED95" i="2"/>
  <c r="EC95" i="2"/>
  <c r="EB95" i="2"/>
  <c r="EA95" i="2"/>
  <c r="DZ95" i="2"/>
  <c r="DY95" i="2"/>
  <c r="DX95" i="2"/>
  <c r="DW95" i="2"/>
  <c r="DV95" i="2"/>
  <c r="DU95" i="2"/>
  <c r="DT95" i="2"/>
  <c r="DS95" i="2"/>
  <c r="DR95" i="2"/>
  <c r="DO95" i="2"/>
  <c r="DN95" i="2"/>
  <c r="DM95" i="2"/>
  <c r="DL95" i="2"/>
  <c r="DK95" i="2"/>
  <c r="DJ95" i="2"/>
  <c r="DI95" i="2"/>
  <c r="DG95" i="2"/>
  <c r="DE95" i="2"/>
  <c r="DD95" i="2"/>
  <c r="FS94" i="2"/>
  <c r="FR94" i="2"/>
  <c r="FQ94" i="2"/>
  <c r="FP94" i="2"/>
  <c r="FO94" i="2"/>
  <c r="FN94" i="2"/>
  <c r="FM94" i="2"/>
  <c r="FL94" i="2"/>
  <c r="FK94" i="2"/>
  <c r="FJ94" i="2"/>
  <c r="FI94" i="2"/>
  <c r="FH94" i="2"/>
  <c r="FG94" i="2"/>
  <c r="FF94" i="2"/>
  <c r="FE94" i="2"/>
  <c r="FD94" i="2"/>
  <c r="FC94" i="2"/>
  <c r="FB94" i="2"/>
  <c r="FA94" i="2"/>
  <c r="EZ94" i="2"/>
  <c r="EY94" i="2"/>
  <c r="EX94" i="2"/>
  <c r="EW94" i="2"/>
  <c r="EV94" i="2"/>
  <c r="EU94" i="2"/>
  <c r="ET94" i="2"/>
  <c r="ES94" i="2"/>
  <c r="ER94" i="2"/>
  <c r="EQ94" i="2"/>
  <c r="EP94" i="2"/>
  <c r="EO94" i="2"/>
  <c r="EN94" i="2"/>
  <c r="EM94" i="2"/>
  <c r="EL94" i="2"/>
  <c r="EK94" i="2"/>
  <c r="EJ94" i="2"/>
  <c r="EI94" i="2"/>
  <c r="EH94" i="2"/>
  <c r="EG94" i="2"/>
  <c r="EF94" i="2"/>
  <c r="EE94" i="2"/>
  <c r="ED94" i="2"/>
  <c r="EC94" i="2"/>
  <c r="EB94" i="2"/>
  <c r="EA94" i="2"/>
  <c r="DZ94" i="2"/>
  <c r="DY94" i="2"/>
  <c r="DX94" i="2"/>
  <c r="DW94" i="2"/>
  <c r="DV94" i="2"/>
  <c r="DU94" i="2"/>
  <c r="DT94" i="2"/>
  <c r="DS94" i="2"/>
  <c r="DR94" i="2"/>
  <c r="DQ94" i="2"/>
  <c r="DO94" i="2"/>
  <c r="DN94" i="2"/>
  <c r="DM94" i="2"/>
  <c r="DL94" i="2"/>
  <c r="DK94" i="2"/>
  <c r="DJ94" i="2"/>
  <c r="DI94" i="2"/>
  <c r="DG94" i="2"/>
  <c r="DE94" i="2"/>
  <c r="DD94" i="2"/>
  <c r="FS93" i="2"/>
  <c r="FR93" i="2"/>
  <c r="FQ93" i="2"/>
  <c r="FP93" i="2"/>
  <c r="FO93" i="2"/>
  <c r="FN93" i="2"/>
  <c r="FM93" i="2"/>
  <c r="FL93" i="2"/>
  <c r="FK93" i="2"/>
  <c r="FJ93" i="2"/>
  <c r="FI93" i="2"/>
  <c r="FH93" i="2"/>
  <c r="FG93" i="2"/>
  <c r="FF93" i="2"/>
  <c r="FE93" i="2"/>
  <c r="FD93" i="2"/>
  <c r="FC93" i="2"/>
  <c r="FB93" i="2"/>
  <c r="FA93" i="2"/>
  <c r="EZ93" i="2"/>
  <c r="EY93" i="2"/>
  <c r="EX93" i="2"/>
  <c r="EW93" i="2"/>
  <c r="EV93" i="2"/>
  <c r="EU93" i="2"/>
  <c r="ET93" i="2"/>
  <c r="ES93" i="2"/>
  <c r="ER93" i="2"/>
  <c r="EQ93" i="2"/>
  <c r="EP93" i="2"/>
  <c r="EO93" i="2"/>
  <c r="EN93" i="2"/>
  <c r="EM93" i="2"/>
  <c r="EL93" i="2"/>
  <c r="EK93" i="2"/>
  <c r="EJ93" i="2"/>
  <c r="EI93" i="2"/>
  <c r="EH93" i="2"/>
  <c r="EG93" i="2"/>
  <c r="EF93" i="2"/>
  <c r="EE93" i="2"/>
  <c r="ED93" i="2"/>
  <c r="EC93" i="2"/>
  <c r="EB93" i="2"/>
  <c r="EA93" i="2"/>
  <c r="DZ93" i="2"/>
  <c r="DY93" i="2"/>
  <c r="DX93" i="2"/>
  <c r="DW93" i="2"/>
  <c r="DV93" i="2"/>
  <c r="DU93" i="2"/>
  <c r="DT93" i="2"/>
  <c r="DS93" i="2"/>
  <c r="DR93" i="2"/>
  <c r="DO93" i="2"/>
  <c r="DN93" i="2"/>
  <c r="DM93" i="2"/>
  <c r="DL93" i="2"/>
  <c r="DK93" i="2"/>
  <c r="DJ93" i="2"/>
  <c r="DI93" i="2"/>
  <c r="DG93" i="2"/>
  <c r="DE93" i="2"/>
  <c r="DD93" i="2"/>
  <c r="CR93" i="2"/>
  <c r="CQ93" i="2"/>
  <c r="CP93" i="2"/>
  <c r="FS92" i="2"/>
  <c r="FR92" i="2"/>
  <c r="FQ92" i="2"/>
  <c r="FP92" i="2"/>
  <c r="FO92" i="2"/>
  <c r="FN92" i="2"/>
  <c r="FM92" i="2"/>
  <c r="FL92" i="2"/>
  <c r="FK92" i="2"/>
  <c r="FJ92" i="2"/>
  <c r="FI92" i="2"/>
  <c r="FH92" i="2"/>
  <c r="FG92" i="2"/>
  <c r="FF92" i="2"/>
  <c r="FE92" i="2"/>
  <c r="FD92" i="2"/>
  <c r="FC92" i="2"/>
  <c r="FB92" i="2"/>
  <c r="FA92" i="2"/>
  <c r="EZ92" i="2"/>
  <c r="EY92" i="2"/>
  <c r="EX92" i="2"/>
  <c r="EW92" i="2"/>
  <c r="EV92" i="2"/>
  <c r="EU92" i="2"/>
  <c r="ET92" i="2"/>
  <c r="ES92" i="2"/>
  <c r="ER92" i="2"/>
  <c r="EQ92" i="2"/>
  <c r="EP92" i="2"/>
  <c r="EO92" i="2"/>
  <c r="EN92" i="2"/>
  <c r="EM92" i="2"/>
  <c r="EL92" i="2"/>
  <c r="EK92" i="2"/>
  <c r="EJ92" i="2"/>
  <c r="EI92" i="2"/>
  <c r="EH92" i="2"/>
  <c r="EG92" i="2"/>
  <c r="EF92" i="2"/>
  <c r="EE92" i="2"/>
  <c r="ED92" i="2"/>
  <c r="EC92" i="2"/>
  <c r="EB92" i="2"/>
  <c r="EA92" i="2"/>
  <c r="DZ92" i="2"/>
  <c r="DY92" i="2"/>
  <c r="DX92" i="2"/>
  <c r="DW92" i="2"/>
  <c r="DV92" i="2"/>
  <c r="DU92" i="2"/>
  <c r="DT92" i="2"/>
  <c r="DS92" i="2"/>
  <c r="DR92" i="2"/>
  <c r="DQ92" i="2"/>
  <c r="DP92" i="2"/>
  <c r="DO92" i="2"/>
  <c r="DN92" i="2"/>
  <c r="DM92" i="2"/>
  <c r="DL92" i="2"/>
  <c r="DK92" i="2"/>
  <c r="DJ92" i="2"/>
  <c r="DI92" i="2"/>
  <c r="DG92" i="2"/>
  <c r="DE92" i="2"/>
  <c r="DC92" i="2"/>
  <c r="DB92" i="2"/>
  <c r="CR92" i="2"/>
  <c r="CQ92" i="2"/>
  <c r="CP92" i="2"/>
  <c r="CO92" i="2"/>
  <c r="CN92" i="2"/>
  <c r="FS91" i="2"/>
  <c r="FR91" i="2"/>
  <c r="FQ91" i="2"/>
  <c r="FP91" i="2"/>
  <c r="FO91" i="2"/>
  <c r="FN91" i="2"/>
  <c r="FM91" i="2"/>
  <c r="FL91" i="2"/>
  <c r="FK91" i="2"/>
  <c r="FJ91" i="2"/>
  <c r="FI91" i="2"/>
  <c r="FH91" i="2"/>
  <c r="FG91" i="2"/>
  <c r="FF91" i="2"/>
  <c r="FE91" i="2"/>
  <c r="FD91" i="2"/>
  <c r="FC91" i="2"/>
  <c r="FB91" i="2"/>
  <c r="FA91" i="2"/>
  <c r="EZ91" i="2"/>
  <c r="EY91" i="2"/>
  <c r="EX91" i="2"/>
  <c r="EW91" i="2"/>
  <c r="EV91" i="2"/>
  <c r="EU91" i="2"/>
  <c r="ET91" i="2"/>
  <c r="ES91" i="2"/>
  <c r="ER91" i="2"/>
  <c r="EQ91" i="2"/>
  <c r="EP91" i="2"/>
  <c r="EO91" i="2"/>
  <c r="EN91" i="2"/>
  <c r="EM91" i="2"/>
  <c r="EL91" i="2"/>
  <c r="EK91" i="2"/>
  <c r="EJ91" i="2"/>
  <c r="EI91" i="2"/>
  <c r="EH91" i="2"/>
  <c r="EG91" i="2"/>
  <c r="EF91" i="2"/>
  <c r="EE91" i="2"/>
  <c r="ED91" i="2"/>
  <c r="EC91" i="2"/>
  <c r="EB91" i="2"/>
  <c r="EA91" i="2"/>
  <c r="DZ91" i="2"/>
  <c r="DY91" i="2"/>
  <c r="DX91" i="2"/>
  <c r="DW91" i="2"/>
  <c r="DV91" i="2"/>
  <c r="DU91" i="2"/>
  <c r="DT91" i="2"/>
  <c r="DS91" i="2"/>
  <c r="DR91" i="2"/>
  <c r="DQ91" i="2"/>
  <c r="DP91" i="2"/>
  <c r="DO91" i="2"/>
  <c r="DN91" i="2"/>
  <c r="DM91" i="2"/>
  <c r="DL91" i="2"/>
  <c r="DK91" i="2"/>
  <c r="DJ91" i="2"/>
  <c r="DI91" i="2"/>
  <c r="DG91" i="2"/>
  <c r="DE91" i="2"/>
  <c r="DC91" i="2"/>
  <c r="DB91" i="2"/>
  <c r="CQ91" i="2"/>
  <c r="CP91" i="2"/>
  <c r="CO91" i="2"/>
  <c r="CN91" i="2"/>
  <c r="I91" i="2"/>
  <c r="FS90" i="2"/>
  <c r="FR90" i="2"/>
  <c r="FQ90" i="2"/>
  <c r="FP90" i="2"/>
  <c r="FO90" i="2"/>
  <c r="FN90" i="2"/>
  <c r="FM90" i="2"/>
  <c r="FL90" i="2"/>
  <c r="FK90" i="2"/>
  <c r="FJ90" i="2"/>
  <c r="FI90" i="2"/>
  <c r="FH90" i="2"/>
  <c r="FG90" i="2"/>
  <c r="FF90" i="2"/>
  <c r="FE90" i="2"/>
  <c r="FD90" i="2"/>
  <c r="FC90" i="2"/>
  <c r="FB90" i="2"/>
  <c r="FA90" i="2"/>
  <c r="EZ90" i="2"/>
  <c r="EY90" i="2"/>
  <c r="EX90" i="2"/>
  <c r="EW90" i="2"/>
  <c r="EV90" i="2"/>
  <c r="EU90" i="2"/>
  <c r="ET90" i="2"/>
  <c r="ES90" i="2"/>
  <c r="ER90" i="2"/>
  <c r="EQ90" i="2"/>
  <c r="EP90" i="2"/>
  <c r="EO90" i="2"/>
  <c r="EN90" i="2"/>
  <c r="EM90" i="2"/>
  <c r="EL90" i="2"/>
  <c r="EK90" i="2"/>
  <c r="EJ90" i="2"/>
  <c r="EI90" i="2"/>
  <c r="EH90" i="2"/>
  <c r="EG90" i="2"/>
  <c r="EF90" i="2"/>
  <c r="EE90" i="2"/>
  <c r="ED90" i="2"/>
  <c r="EC90" i="2"/>
  <c r="EB90" i="2"/>
  <c r="EA90" i="2"/>
  <c r="DZ90" i="2"/>
  <c r="DY90" i="2"/>
  <c r="DX90" i="2"/>
  <c r="DW90" i="2"/>
  <c r="DV90" i="2"/>
  <c r="DU90" i="2"/>
  <c r="DT90" i="2"/>
  <c r="DS90" i="2"/>
  <c r="DR90" i="2"/>
  <c r="DQ90" i="2"/>
  <c r="DP90" i="2"/>
  <c r="DO90" i="2"/>
  <c r="DN90" i="2"/>
  <c r="DM90" i="2"/>
  <c r="DL90" i="2"/>
  <c r="DK90" i="2"/>
  <c r="DJ90" i="2"/>
  <c r="DI90" i="2"/>
  <c r="DG90" i="2"/>
  <c r="DE90" i="2"/>
  <c r="DC90" i="2"/>
  <c r="DB90" i="2"/>
  <c r="CQ90" i="2"/>
  <c r="CP90" i="2"/>
  <c r="CO90" i="2"/>
  <c r="CN90" i="2"/>
  <c r="I90" i="2"/>
  <c r="G90" i="4" s="1"/>
  <c r="FS89" i="2"/>
  <c r="FR89" i="2"/>
  <c r="FQ89" i="2"/>
  <c r="FP89" i="2"/>
  <c r="FO89" i="2"/>
  <c r="FN89" i="2"/>
  <c r="FM89" i="2"/>
  <c r="FL89" i="2"/>
  <c r="FK89" i="2"/>
  <c r="FJ89" i="2"/>
  <c r="FI89" i="2"/>
  <c r="FH89" i="2"/>
  <c r="FG89" i="2"/>
  <c r="FF89" i="2"/>
  <c r="FE89" i="2"/>
  <c r="FD89" i="2"/>
  <c r="FC89" i="2"/>
  <c r="FB89" i="2"/>
  <c r="FA89" i="2"/>
  <c r="EZ89" i="2"/>
  <c r="EY89" i="2"/>
  <c r="EX89" i="2"/>
  <c r="EW89" i="2"/>
  <c r="EV89" i="2"/>
  <c r="EU89" i="2"/>
  <c r="ET89" i="2"/>
  <c r="ES89" i="2"/>
  <c r="ER89" i="2"/>
  <c r="EQ89" i="2"/>
  <c r="EP89" i="2"/>
  <c r="EO89" i="2"/>
  <c r="EN89" i="2"/>
  <c r="EM89" i="2"/>
  <c r="EL89" i="2"/>
  <c r="EK89" i="2"/>
  <c r="EJ89" i="2"/>
  <c r="EI89" i="2"/>
  <c r="EH89" i="2"/>
  <c r="EG89" i="2"/>
  <c r="EF89" i="2"/>
  <c r="EE89" i="2"/>
  <c r="ED89" i="2"/>
  <c r="EC89" i="2"/>
  <c r="EB89" i="2"/>
  <c r="EA89" i="2"/>
  <c r="DZ89" i="2"/>
  <c r="DY89" i="2"/>
  <c r="DX89" i="2"/>
  <c r="DW89" i="2"/>
  <c r="DV89" i="2"/>
  <c r="DU89" i="2"/>
  <c r="DT89" i="2"/>
  <c r="DS89" i="2"/>
  <c r="DR89" i="2"/>
  <c r="DQ89" i="2"/>
  <c r="DP89" i="2"/>
  <c r="DO89" i="2"/>
  <c r="DN89" i="2"/>
  <c r="DM89" i="2"/>
  <c r="DL89" i="2"/>
  <c r="DK89" i="2"/>
  <c r="DJ89" i="2"/>
  <c r="DI89" i="2"/>
  <c r="DG89" i="2"/>
  <c r="DE89" i="2"/>
  <c r="DC89" i="2"/>
  <c r="DB89" i="2"/>
  <c r="CR89" i="2"/>
  <c r="CQ89" i="2"/>
  <c r="CP89" i="2"/>
  <c r="CO89" i="2"/>
  <c r="CN89" i="2"/>
  <c r="I89" i="2"/>
  <c r="G89" i="4" s="1"/>
  <c r="FS88" i="2"/>
  <c r="FR88" i="2"/>
  <c r="FQ88" i="2"/>
  <c r="FP88" i="2"/>
  <c r="FO88" i="2"/>
  <c r="FN88" i="2"/>
  <c r="FM88" i="2"/>
  <c r="FL88" i="2"/>
  <c r="FK88" i="2"/>
  <c r="FJ88" i="2"/>
  <c r="FI88" i="2"/>
  <c r="FH88" i="2"/>
  <c r="FG88" i="2"/>
  <c r="FF88" i="2"/>
  <c r="FE88" i="2"/>
  <c r="FD88" i="2"/>
  <c r="FC88" i="2"/>
  <c r="FB88" i="2"/>
  <c r="FA88" i="2"/>
  <c r="EZ88" i="2"/>
  <c r="EY88" i="2"/>
  <c r="EX88" i="2"/>
  <c r="EW88" i="2"/>
  <c r="EV88" i="2"/>
  <c r="EU88" i="2"/>
  <c r="ET88" i="2"/>
  <c r="ES88" i="2"/>
  <c r="ER88" i="2"/>
  <c r="EQ88" i="2"/>
  <c r="EP88" i="2"/>
  <c r="EO88" i="2"/>
  <c r="EN88" i="2"/>
  <c r="EM88" i="2"/>
  <c r="EL88" i="2"/>
  <c r="EK88" i="2"/>
  <c r="EJ88" i="2"/>
  <c r="EI88" i="2"/>
  <c r="EH88" i="2"/>
  <c r="EG88" i="2"/>
  <c r="EF88" i="2"/>
  <c r="EE88" i="2"/>
  <c r="ED88" i="2"/>
  <c r="EC88" i="2"/>
  <c r="EB88" i="2"/>
  <c r="EA88" i="2"/>
  <c r="DZ88" i="2"/>
  <c r="DY88" i="2"/>
  <c r="DX88" i="2"/>
  <c r="DW88" i="2"/>
  <c r="DV88" i="2"/>
  <c r="DU88" i="2"/>
  <c r="DT88" i="2"/>
  <c r="DS88" i="2"/>
  <c r="DR88" i="2"/>
  <c r="DQ88" i="2"/>
  <c r="DP88" i="2"/>
  <c r="DO88" i="2"/>
  <c r="DN88" i="2"/>
  <c r="DM88" i="2"/>
  <c r="DL88" i="2"/>
  <c r="DK88" i="2"/>
  <c r="DJ88" i="2"/>
  <c r="DI88" i="2"/>
  <c r="DG88" i="2"/>
  <c r="DE88" i="2"/>
  <c r="DC88" i="2"/>
  <c r="DB88" i="2"/>
  <c r="CR88" i="2"/>
  <c r="CQ88" i="2"/>
  <c r="CP88" i="2"/>
  <c r="CO88" i="2"/>
  <c r="CN88" i="2"/>
  <c r="I88" i="2"/>
  <c r="G88" i="4" s="1"/>
  <c r="FS87" i="2"/>
  <c r="FR87" i="2"/>
  <c r="FQ87" i="2"/>
  <c r="FP87" i="2"/>
  <c r="FO87" i="2"/>
  <c r="FN87" i="2"/>
  <c r="FM87" i="2"/>
  <c r="FL87" i="2"/>
  <c r="FK87" i="2"/>
  <c r="FJ87" i="2"/>
  <c r="FI87" i="2"/>
  <c r="FH87" i="2"/>
  <c r="FG87" i="2"/>
  <c r="FF87" i="2"/>
  <c r="FE87" i="2"/>
  <c r="FD87" i="2"/>
  <c r="FC87" i="2"/>
  <c r="FB87" i="2"/>
  <c r="FA87" i="2"/>
  <c r="EZ87" i="2"/>
  <c r="EY87" i="2"/>
  <c r="EX87" i="2"/>
  <c r="EW87" i="2"/>
  <c r="EV87" i="2"/>
  <c r="EU87" i="2"/>
  <c r="ET87" i="2"/>
  <c r="ES87" i="2"/>
  <c r="ER87" i="2"/>
  <c r="EQ87" i="2"/>
  <c r="EP87" i="2"/>
  <c r="EO87" i="2"/>
  <c r="EN87" i="2"/>
  <c r="EM87" i="2"/>
  <c r="EL87" i="2"/>
  <c r="EK87" i="2"/>
  <c r="EJ87" i="2"/>
  <c r="EI87" i="2"/>
  <c r="EH87" i="2"/>
  <c r="EG87" i="2"/>
  <c r="EF87" i="2"/>
  <c r="EE87" i="2"/>
  <c r="ED87" i="2"/>
  <c r="EC87" i="2"/>
  <c r="EB87" i="2"/>
  <c r="EA87" i="2"/>
  <c r="DZ87" i="2"/>
  <c r="DY87" i="2"/>
  <c r="DX87" i="2"/>
  <c r="DW87" i="2"/>
  <c r="DV87" i="2"/>
  <c r="DU87" i="2"/>
  <c r="DT87" i="2"/>
  <c r="DS87" i="2"/>
  <c r="DR87" i="2"/>
  <c r="DQ87" i="2"/>
  <c r="DP87" i="2"/>
  <c r="DO87" i="2"/>
  <c r="DN87" i="2"/>
  <c r="DM87" i="2"/>
  <c r="DL87" i="2"/>
  <c r="DK87" i="2"/>
  <c r="DJ87" i="2"/>
  <c r="DI87" i="2"/>
  <c r="DG87" i="2"/>
  <c r="DE87" i="2"/>
  <c r="DC87" i="2"/>
  <c r="DB87" i="2"/>
  <c r="CR87" i="2"/>
  <c r="CQ87" i="2"/>
  <c r="CP87" i="2"/>
  <c r="CO87" i="2"/>
  <c r="CN87" i="2"/>
  <c r="I87" i="2"/>
  <c r="G87" i="4" s="1"/>
  <c r="FS86" i="2"/>
  <c r="FR86" i="2"/>
  <c r="FQ86" i="2"/>
  <c r="FP86" i="2"/>
  <c r="FO86" i="2"/>
  <c r="FN86" i="2"/>
  <c r="FM86" i="2"/>
  <c r="FL86" i="2"/>
  <c r="FK86" i="2"/>
  <c r="FJ86" i="2"/>
  <c r="FI86" i="2"/>
  <c r="FH86" i="2"/>
  <c r="FG86" i="2"/>
  <c r="FF86" i="2"/>
  <c r="FE86" i="2"/>
  <c r="FD86" i="2"/>
  <c r="FC86" i="2"/>
  <c r="FB86" i="2"/>
  <c r="FA86" i="2"/>
  <c r="EZ86" i="2"/>
  <c r="EY86" i="2"/>
  <c r="EX86" i="2"/>
  <c r="EW86" i="2"/>
  <c r="EV86" i="2"/>
  <c r="EU86" i="2"/>
  <c r="ET86" i="2"/>
  <c r="ES86" i="2"/>
  <c r="ER86" i="2"/>
  <c r="EQ86" i="2"/>
  <c r="EP86" i="2"/>
  <c r="EO86" i="2"/>
  <c r="EN86" i="2"/>
  <c r="EM86" i="2"/>
  <c r="EL86" i="2"/>
  <c r="EK86" i="2"/>
  <c r="EJ86" i="2"/>
  <c r="EI86" i="2"/>
  <c r="EH86" i="2"/>
  <c r="EG86" i="2"/>
  <c r="EF86" i="2"/>
  <c r="EE86" i="2"/>
  <c r="ED86" i="2"/>
  <c r="EC86" i="2"/>
  <c r="EB86" i="2"/>
  <c r="EA86" i="2"/>
  <c r="DZ86" i="2"/>
  <c r="DY86" i="2"/>
  <c r="DX86" i="2"/>
  <c r="DW86" i="2"/>
  <c r="DV86" i="2"/>
  <c r="DU86" i="2"/>
  <c r="DT86" i="2"/>
  <c r="DS86" i="2"/>
  <c r="DR86" i="2"/>
  <c r="DQ86" i="2"/>
  <c r="DP86" i="2"/>
  <c r="DO86" i="2"/>
  <c r="DN86" i="2"/>
  <c r="DM86" i="2"/>
  <c r="DL86" i="2"/>
  <c r="DK86" i="2"/>
  <c r="DJ86" i="2"/>
  <c r="DI86" i="2"/>
  <c r="DG86" i="2"/>
  <c r="DE86" i="2"/>
  <c r="DC86" i="2"/>
  <c r="DB86" i="2"/>
  <c r="CR86" i="2"/>
  <c r="CQ86" i="2"/>
  <c r="CP86" i="2"/>
  <c r="CO86" i="2"/>
  <c r="CN86" i="2"/>
  <c r="I86" i="2"/>
  <c r="G86" i="4" s="1"/>
  <c r="FS85" i="2"/>
  <c r="FR85" i="2"/>
  <c r="FQ85" i="2"/>
  <c r="FP85" i="2"/>
  <c r="FO85" i="2"/>
  <c r="FN85" i="2"/>
  <c r="FM85" i="2"/>
  <c r="FL85" i="2"/>
  <c r="FK85" i="2"/>
  <c r="FJ85" i="2"/>
  <c r="FI85" i="2"/>
  <c r="FH85" i="2"/>
  <c r="FG85" i="2"/>
  <c r="FF85" i="2"/>
  <c r="FE85" i="2"/>
  <c r="FD85" i="2"/>
  <c r="FC85" i="2"/>
  <c r="FB85" i="2"/>
  <c r="FA85" i="2"/>
  <c r="EZ85" i="2"/>
  <c r="EY85" i="2"/>
  <c r="EX85" i="2"/>
  <c r="EW85" i="2"/>
  <c r="EV85" i="2"/>
  <c r="EU85" i="2"/>
  <c r="ET85" i="2"/>
  <c r="ES85" i="2"/>
  <c r="ER85" i="2"/>
  <c r="EQ85" i="2"/>
  <c r="EP85" i="2"/>
  <c r="EO85" i="2"/>
  <c r="EN85" i="2"/>
  <c r="EM85" i="2"/>
  <c r="EL85" i="2"/>
  <c r="EK85" i="2"/>
  <c r="EJ85" i="2"/>
  <c r="EI85" i="2"/>
  <c r="EH85" i="2"/>
  <c r="EG85" i="2"/>
  <c r="EF85" i="2"/>
  <c r="EE85" i="2"/>
  <c r="ED85" i="2"/>
  <c r="EC85" i="2"/>
  <c r="EB85" i="2"/>
  <c r="EA85" i="2"/>
  <c r="DZ85" i="2"/>
  <c r="DY85" i="2"/>
  <c r="DX85" i="2"/>
  <c r="DW85" i="2"/>
  <c r="DV85" i="2"/>
  <c r="DU85" i="2"/>
  <c r="DT85" i="2"/>
  <c r="DS85" i="2"/>
  <c r="DR85" i="2"/>
  <c r="DQ85" i="2"/>
  <c r="DP85" i="2"/>
  <c r="DO85" i="2"/>
  <c r="DN85" i="2"/>
  <c r="DM85" i="2"/>
  <c r="DL85" i="2"/>
  <c r="DK85" i="2"/>
  <c r="DJ85" i="2"/>
  <c r="DI85" i="2"/>
  <c r="DG85" i="2"/>
  <c r="DE85" i="2"/>
  <c r="DC85" i="2"/>
  <c r="DB85" i="2"/>
  <c r="CQ85" i="2"/>
  <c r="CP85" i="2"/>
  <c r="CO85" i="2"/>
  <c r="CN85" i="2"/>
  <c r="I85" i="2"/>
  <c r="G85" i="4" s="1"/>
  <c r="FS84" i="2"/>
  <c r="FR84" i="2"/>
  <c r="FQ84" i="2"/>
  <c r="FP84" i="2"/>
  <c r="FO84" i="2"/>
  <c r="FN84" i="2"/>
  <c r="FM84" i="2"/>
  <c r="FL84" i="2"/>
  <c r="FK84" i="2"/>
  <c r="FJ84" i="2"/>
  <c r="FI84" i="2"/>
  <c r="FH84" i="2"/>
  <c r="FG84" i="2"/>
  <c r="FF84" i="2"/>
  <c r="FE84" i="2"/>
  <c r="FD84" i="2"/>
  <c r="FC84" i="2"/>
  <c r="FB84" i="2"/>
  <c r="FA84" i="2"/>
  <c r="EZ84" i="2"/>
  <c r="EY84" i="2"/>
  <c r="EX84" i="2"/>
  <c r="EW84" i="2"/>
  <c r="EV84" i="2"/>
  <c r="EU84" i="2"/>
  <c r="ET84" i="2"/>
  <c r="ES84" i="2"/>
  <c r="ER84" i="2"/>
  <c r="EQ84" i="2"/>
  <c r="EP84" i="2"/>
  <c r="EO84" i="2"/>
  <c r="EN84" i="2"/>
  <c r="EM84" i="2"/>
  <c r="EL84" i="2"/>
  <c r="EK84" i="2"/>
  <c r="EJ84" i="2"/>
  <c r="EI84" i="2"/>
  <c r="EH84" i="2"/>
  <c r="EG84" i="2"/>
  <c r="EF84" i="2"/>
  <c r="EE84" i="2"/>
  <c r="ED84" i="2"/>
  <c r="EC84" i="2"/>
  <c r="EB84" i="2"/>
  <c r="EA84" i="2"/>
  <c r="DZ84" i="2"/>
  <c r="DY84" i="2"/>
  <c r="DX84" i="2"/>
  <c r="DW84" i="2"/>
  <c r="DV84" i="2"/>
  <c r="DU84" i="2"/>
  <c r="DT84" i="2"/>
  <c r="DS84" i="2"/>
  <c r="DR84" i="2"/>
  <c r="DQ84" i="2"/>
  <c r="DP84" i="2"/>
  <c r="DO84" i="2"/>
  <c r="DN84" i="2"/>
  <c r="DM84" i="2"/>
  <c r="DL84" i="2"/>
  <c r="DK84" i="2"/>
  <c r="DJ84" i="2"/>
  <c r="DI84" i="2"/>
  <c r="DG84" i="2"/>
  <c r="DE84" i="2"/>
  <c r="DC84" i="2"/>
  <c r="DB84" i="2"/>
  <c r="CQ84" i="2"/>
  <c r="CP84" i="2"/>
  <c r="CO84" i="2"/>
  <c r="CN84" i="2"/>
  <c r="I84" i="2"/>
  <c r="G84" i="4" s="1"/>
  <c r="FS83" i="2"/>
  <c r="FR83" i="2"/>
  <c r="FQ83" i="2"/>
  <c r="FP83" i="2"/>
  <c r="FO83" i="2"/>
  <c r="FN83" i="2"/>
  <c r="FM83" i="2"/>
  <c r="FL83" i="2"/>
  <c r="FK83" i="2"/>
  <c r="FJ83" i="2"/>
  <c r="FI83" i="2"/>
  <c r="FH83" i="2"/>
  <c r="FG83" i="2"/>
  <c r="FF83" i="2"/>
  <c r="FE83" i="2"/>
  <c r="FD83" i="2"/>
  <c r="FC83" i="2"/>
  <c r="FB83" i="2"/>
  <c r="FA83" i="2"/>
  <c r="EZ83" i="2"/>
  <c r="EY83" i="2"/>
  <c r="EX83" i="2"/>
  <c r="EW83" i="2"/>
  <c r="EV83" i="2"/>
  <c r="EU83" i="2"/>
  <c r="ET83" i="2"/>
  <c r="ES83" i="2"/>
  <c r="ER83" i="2"/>
  <c r="EQ83" i="2"/>
  <c r="EP83" i="2"/>
  <c r="EO83" i="2"/>
  <c r="EN83" i="2"/>
  <c r="EM83" i="2"/>
  <c r="EL83" i="2"/>
  <c r="EK83" i="2"/>
  <c r="EJ83" i="2"/>
  <c r="EI83" i="2"/>
  <c r="EH83" i="2"/>
  <c r="EG83" i="2"/>
  <c r="EF83" i="2"/>
  <c r="EE83" i="2"/>
  <c r="ED83" i="2"/>
  <c r="EC83" i="2"/>
  <c r="EB83" i="2"/>
  <c r="EA83" i="2"/>
  <c r="DZ83" i="2"/>
  <c r="DY83" i="2"/>
  <c r="DX83" i="2"/>
  <c r="DW83" i="2"/>
  <c r="DV83" i="2"/>
  <c r="DU83" i="2"/>
  <c r="DT83" i="2"/>
  <c r="DS83" i="2"/>
  <c r="DR83" i="2"/>
  <c r="DQ83" i="2"/>
  <c r="DP83" i="2"/>
  <c r="DO83" i="2"/>
  <c r="DN83" i="2"/>
  <c r="DM83" i="2"/>
  <c r="DL83" i="2"/>
  <c r="DK83" i="2"/>
  <c r="DJ83" i="2"/>
  <c r="DI83" i="2"/>
  <c r="DG83" i="2"/>
  <c r="DE83" i="2"/>
  <c r="DC83" i="2"/>
  <c r="DB83" i="2"/>
  <c r="CQ83" i="2"/>
  <c r="CP83" i="2"/>
  <c r="CO83" i="2"/>
  <c r="CN83" i="2"/>
  <c r="I83" i="2"/>
  <c r="FS82" i="2"/>
  <c r="FR82" i="2"/>
  <c r="FQ82" i="2"/>
  <c r="FP82" i="2"/>
  <c r="FO82" i="2"/>
  <c r="FN82" i="2"/>
  <c r="FM82" i="2"/>
  <c r="FL82" i="2"/>
  <c r="FK82" i="2"/>
  <c r="FJ82" i="2"/>
  <c r="FI82" i="2"/>
  <c r="FH82" i="2"/>
  <c r="FG82" i="2"/>
  <c r="FF82" i="2"/>
  <c r="FE82" i="2"/>
  <c r="FD82" i="2"/>
  <c r="FC82" i="2"/>
  <c r="FB82" i="2"/>
  <c r="FA82" i="2"/>
  <c r="EZ82" i="2"/>
  <c r="EY82" i="2"/>
  <c r="EX82" i="2"/>
  <c r="EW82" i="2"/>
  <c r="EV82" i="2"/>
  <c r="EU82" i="2"/>
  <c r="ET82" i="2"/>
  <c r="ES82" i="2"/>
  <c r="ER82" i="2"/>
  <c r="EQ82" i="2"/>
  <c r="EP82" i="2"/>
  <c r="EO82" i="2"/>
  <c r="EN82" i="2"/>
  <c r="EM82" i="2"/>
  <c r="EL82" i="2"/>
  <c r="EK82" i="2"/>
  <c r="EJ82" i="2"/>
  <c r="EI82" i="2"/>
  <c r="EH82" i="2"/>
  <c r="EG82" i="2"/>
  <c r="EF82" i="2"/>
  <c r="EE82" i="2"/>
  <c r="ED82" i="2"/>
  <c r="EC82" i="2"/>
  <c r="EB82" i="2"/>
  <c r="EA82" i="2"/>
  <c r="DZ82" i="2"/>
  <c r="DY82" i="2"/>
  <c r="DX82" i="2"/>
  <c r="DW82" i="2"/>
  <c r="DV82" i="2"/>
  <c r="DU82" i="2"/>
  <c r="DT82" i="2"/>
  <c r="DS82" i="2"/>
  <c r="DR82" i="2"/>
  <c r="DQ82" i="2"/>
  <c r="DP82" i="2"/>
  <c r="DO82" i="2"/>
  <c r="DN82" i="2"/>
  <c r="DM82" i="2"/>
  <c r="DL82" i="2"/>
  <c r="DK82" i="2"/>
  <c r="DJ82" i="2"/>
  <c r="DI82" i="2"/>
  <c r="DG82" i="2"/>
  <c r="DE82" i="2"/>
  <c r="DC82" i="2"/>
  <c r="DB82" i="2"/>
  <c r="CQ82" i="2"/>
  <c r="CP82" i="2"/>
  <c r="CO82" i="2"/>
  <c r="CN82" i="2"/>
  <c r="I82" i="2"/>
  <c r="G82" i="4" s="1"/>
  <c r="FS81" i="2"/>
  <c r="FR81" i="2"/>
  <c r="FQ81" i="2"/>
  <c r="FP81" i="2"/>
  <c r="FO81" i="2"/>
  <c r="FN81" i="2"/>
  <c r="FM81" i="2"/>
  <c r="FL81" i="2"/>
  <c r="FK81" i="2"/>
  <c r="FJ81" i="2"/>
  <c r="FI81" i="2"/>
  <c r="FH81" i="2"/>
  <c r="FG81" i="2"/>
  <c r="FF81" i="2"/>
  <c r="FE81" i="2"/>
  <c r="FD81" i="2"/>
  <c r="FC81" i="2"/>
  <c r="FB81" i="2"/>
  <c r="FA81" i="2"/>
  <c r="EZ81" i="2"/>
  <c r="EY81" i="2"/>
  <c r="EX81" i="2"/>
  <c r="EW81" i="2"/>
  <c r="EV81" i="2"/>
  <c r="EU81" i="2"/>
  <c r="ET81" i="2"/>
  <c r="ES81" i="2"/>
  <c r="ER81" i="2"/>
  <c r="EQ81" i="2"/>
  <c r="EP81" i="2"/>
  <c r="EO81" i="2"/>
  <c r="EN81" i="2"/>
  <c r="EM81" i="2"/>
  <c r="EL81" i="2"/>
  <c r="EK81" i="2"/>
  <c r="EJ81" i="2"/>
  <c r="EI81" i="2"/>
  <c r="EH81" i="2"/>
  <c r="EG81" i="2"/>
  <c r="EF81" i="2"/>
  <c r="EE81" i="2"/>
  <c r="ED81" i="2"/>
  <c r="EC81" i="2"/>
  <c r="EB81" i="2"/>
  <c r="EA81" i="2"/>
  <c r="DZ81" i="2"/>
  <c r="DY81" i="2"/>
  <c r="DX81" i="2"/>
  <c r="DW81" i="2"/>
  <c r="DV81" i="2"/>
  <c r="DU81" i="2"/>
  <c r="DT81" i="2"/>
  <c r="DS81" i="2"/>
  <c r="DR81" i="2"/>
  <c r="DQ81" i="2"/>
  <c r="DP81" i="2"/>
  <c r="DO81" i="2"/>
  <c r="DN81" i="2"/>
  <c r="DM81" i="2"/>
  <c r="DL81" i="2"/>
  <c r="DK81" i="2"/>
  <c r="DJ81" i="2"/>
  <c r="DI81" i="2"/>
  <c r="DG81" i="2"/>
  <c r="DE81" i="2"/>
  <c r="DC81" i="2"/>
  <c r="DB81" i="2"/>
  <c r="CR81" i="2"/>
  <c r="CQ81" i="2"/>
  <c r="CP81" i="2"/>
  <c r="CO81" i="2"/>
  <c r="CN81" i="2"/>
  <c r="I81" i="2"/>
  <c r="G81" i="4" s="1"/>
  <c r="FS80" i="2"/>
  <c r="FR80" i="2"/>
  <c r="FQ80" i="2"/>
  <c r="FP80" i="2"/>
  <c r="FO80" i="2"/>
  <c r="FN80" i="2"/>
  <c r="FM80" i="2"/>
  <c r="FL80" i="2"/>
  <c r="FK80" i="2"/>
  <c r="FJ80" i="2"/>
  <c r="FI80" i="2"/>
  <c r="FH80" i="2"/>
  <c r="FG80" i="2"/>
  <c r="FF80" i="2"/>
  <c r="FE80" i="2"/>
  <c r="FD80" i="2"/>
  <c r="FC80" i="2"/>
  <c r="FB80" i="2"/>
  <c r="FA80" i="2"/>
  <c r="EZ80" i="2"/>
  <c r="EY80" i="2"/>
  <c r="EX80" i="2"/>
  <c r="EW80" i="2"/>
  <c r="EV80" i="2"/>
  <c r="EU80" i="2"/>
  <c r="ET80" i="2"/>
  <c r="ES80" i="2"/>
  <c r="ER80" i="2"/>
  <c r="EQ80" i="2"/>
  <c r="EP80" i="2"/>
  <c r="EO80" i="2"/>
  <c r="EN80" i="2"/>
  <c r="EM80" i="2"/>
  <c r="EL80" i="2"/>
  <c r="EK80" i="2"/>
  <c r="EJ80" i="2"/>
  <c r="EI80" i="2"/>
  <c r="EH80" i="2"/>
  <c r="EG80" i="2"/>
  <c r="EF80" i="2"/>
  <c r="EE80" i="2"/>
  <c r="ED80" i="2"/>
  <c r="EC80" i="2"/>
  <c r="EB80" i="2"/>
  <c r="EA80" i="2"/>
  <c r="DZ80" i="2"/>
  <c r="DY80" i="2"/>
  <c r="DX80" i="2"/>
  <c r="DW80" i="2"/>
  <c r="DV80" i="2"/>
  <c r="DU80" i="2"/>
  <c r="DT80" i="2"/>
  <c r="DS80" i="2"/>
  <c r="DR80" i="2"/>
  <c r="DQ80" i="2"/>
  <c r="DP80" i="2"/>
  <c r="DO80" i="2"/>
  <c r="DN80" i="2"/>
  <c r="DM80" i="2"/>
  <c r="DL80" i="2"/>
  <c r="DK80" i="2"/>
  <c r="DJ80" i="2"/>
  <c r="DI80" i="2"/>
  <c r="DG80" i="2"/>
  <c r="DE80" i="2"/>
  <c r="DC80" i="2"/>
  <c r="DB80" i="2"/>
  <c r="CR80" i="2"/>
  <c r="CQ80" i="2"/>
  <c r="CP80" i="2"/>
  <c r="CO80" i="2"/>
  <c r="CN80" i="2"/>
  <c r="I80" i="2"/>
  <c r="G80" i="4" s="1"/>
  <c r="FS79" i="2"/>
  <c r="FR79" i="2"/>
  <c r="FQ79" i="2"/>
  <c r="FP79" i="2"/>
  <c r="FO79" i="2"/>
  <c r="FN79" i="2"/>
  <c r="FM79" i="2"/>
  <c r="FL79" i="2"/>
  <c r="FK79" i="2"/>
  <c r="FJ79" i="2"/>
  <c r="FI79" i="2"/>
  <c r="FH79" i="2"/>
  <c r="FG79" i="2"/>
  <c r="FF79" i="2"/>
  <c r="FE79" i="2"/>
  <c r="FD79" i="2"/>
  <c r="FC79" i="2"/>
  <c r="FB79" i="2"/>
  <c r="FA79" i="2"/>
  <c r="EZ79" i="2"/>
  <c r="EY79" i="2"/>
  <c r="EX79" i="2"/>
  <c r="EW79" i="2"/>
  <c r="EV79" i="2"/>
  <c r="EU79" i="2"/>
  <c r="ET79" i="2"/>
  <c r="ES79" i="2"/>
  <c r="ER79" i="2"/>
  <c r="EQ79" i="2"/>
  <c r="EP79" i="2"/>
  <c r="EO79" i="2"/>
  <c r="EN79" i="2"/>
  <c r="EM79" i="2"/>
  <c r="EL79" i="2"/>
  <c r="EK79" i="2"/>
  <c r="EJ79" i="2"/>
  <c r="EI79" i="2"/>
  <c r="EH79" i="2"/>
  <c r="EG79" i="2"/>
  <c r="EF79" i="2"/>
  <c r="EE79" i="2"/>
  <c r="ED79" i="2"/>
  <c r="EC79" i="2"/>
  <c r="EB79" i="2"/>
  <c r="EA79" i="2"/>
  <c r="DZ79" i="2"/>
  <c r="DY79" i="2"/>
  <c r="DX79" i="2"/>
  <c r="DW79" i="2"/>
  <c r="DV79" i="2"/>
  <c r="DU79" i="2"/>
  <c r="DT79" i="2"/>
  <c r="DS79" i="2"/>
  <c r="DR79" i="2"/>
  <c r="DQ79" i="2"/>
  <c r="DP79" i="2"/>
  <c r="DO79" i="2"/>
  <c r="DN79" i="2"/>
  <c r="DM79" i="2"/>
  <c r="DL79" i="2"/>
  <c r="DK79" i="2"/>
  <c r="DJ79" i="2"/>
  <c r="DI79" i="2"/>
  <c r="DG79" i="2"/>
  <c r="DE79" i="2"/>
  <c r="DC79" i="2"/>
  <c r="DB79" i="2"/>
  <c r="CR79" i="2"/>
  <c r="CQ79" i="2"/>
  <c r="CP79" i="2"/>
  <c r="CO79" i="2"/>
  <c r="CN79" i="2"/>
  <c r="I79" i="2"/>
  <c r="G79" i="4" s="1"/>
  <c r="FS78" i="2"/>
  <c r="FR78" i="2"/>
  <c r="FQ78" i="2"/>
  <c r="FP78" i="2"/>
  <c r="FO78" i="2"/>
  <c r="FN78" i="2"/>
  <c r="FM78" i="2"/>
  <c r="FL78" i="2"/>
  <c r="FK78" i="2"/>
  <c r="FJ78" i="2"/>
  <c r="FI78" i="2"/>
  <c r="FH78" i="2"/>
  <c r="FG78" i="2"/>
  <c r="FF78" i="2"/>
  <c r="FE78" i="2"/>
  <c r="FD78" i="2"/>
  <c r="FC78" i="2"/>
  <c r="FB78" i="2"/>
  <c r="FA78" i="2"/>
  <c r="EZ78" i="2"/>
  <c r="EY78" i="2"/>
  <c r="EX78" i="2"/>
  <c r="EW78" i="2"/>
  <c r="EV78" i="2"/>
  <c r="EU78" i="2"/>
  <c r="ET78" i="2"/>
  <c r="ES78" i="2"/>
  <c r="ER78" i="2"/>
  <c r="EQ78" i="2"/>
  <c r="EP78" i="2"/>
  <c r="EO78" i="2"/>
  <c r="EN78" i="2"/>
  <c r="EM78" i="2"/>
  <c r="EL78" i="2"/>
  <c r="EK78" i="2"/>
  <c r="EJ78" i="2"/>
  <c r="EI78" i="2"/>
  <c r="EH78" i="2"/>
  <c r="EG78" i="2"/>
  <c r="EF78" i="2"/>
  <c r="EE78" i="2"/>
  <c r="ED78" i="2"/>
  <c r="EC78" i="2"/>
  <c r="EB78" i="2"/>
  <c r="EA78" i="2"/>
  <c r="DZ78" i="2"/>
  <c r="DY78" i="2"/>
  <c r="DX78" i="2"/>
  <c r="DW78" i="2"/>
  <c r="DV78" i="2"/>
  <c r="DU78" i="2"/>
  <c r="DT78" i="2"/>
  <c r="DS78" i="2"/>
  <c r="DR78" i="2"/>
  <c r="DQ78" i="2"/>
  <c r="DP78" i="2"/>
  <c r="DO78" i="2"/>
  <c r="DN78" i="2"/>
  <c r="DM78" i="2"/>
  <c r="DL78" i="2"/>
  <c r="DK78" i="2"/>
  <c r="DJ78" i="2"/>
  <c r="DI78" i="2"/>
  <c r="DG78" i="2"/>
  <c r="DE78" i="2"/>
  <c r="DC78" i="2"/>
  <c r="DB78" i="2"/>
  <c r="CR78" i="2"/>
  <c r="CQ78" i="2"/>
  <c r="CP78" i="2"/>
  <c r="CO78" i="2"/>
  <c r="CN78" i="2"/>
  <c r="I78" i="2"/>
  <c r="G78" i="4" s="1"/>
  <c r="FS77" i="2"/>
  <c r="FR77" i="2"/>
  <c r="FQ77" i="2"/>
  <c r="FP77" i="2"/>
  <c r="FO77" i="2"/>
  <c r="FN77" i="2"/>
  <c r="FM77" i="2"/>
  <c r="FL77" i="2"/>
  <c r="FK77" i="2"/>
  <c r="FJ77" i="2"/>
  <c r="FI77" i="2"/>
  <c r="FH77" i="2"/>
  <c r="FG77" i="2"/>
  <c r="FF77" i="2"/>
  <c r="FE77" i="2"/>
  <c r="FD77" i="2"/>
  <c r="FC77" i="2"/>
  <c r="FB77" i="2"/>
  <c r="FA77" i="2"/>
  <c r="EZ77" i="2"/>
  <c r="EY77" i="2"/>
  <c r="EX77" i="2"/>
  <c r="EW77" i="2"/>
  <c r="EV77" i="2"/>
  <c r="EU77" i="2"/>
  <c r="ET77" i="2"/>
  <c r="ES77" i="2"/>
  <c r="ER77" i="2"/>
  <c r="EQ77" i="2"/>
  <c r="EP77" i="2"/>
  <c r="EO77" i="2"/>
  <c r="EN77" i="2"/>
  <c r="EM77" i="2"/>
  <c r="EL77" i="2"/>
  <c r="EK77" i="2"/>
  <c r="EJ77" i="2"/>
  <c r="EI77" i="2"/>
  <c r="EH77" i="2"/>
  <c r="EG77" i="2"/>
  <c r="EF77" i="2"/>
  <c r="EE77" i="2"/>
  <c r="ED77" i="2"/>
  <c r="EC77" i="2"/>
  <c r="EB77" i="2"/>
  <c r="EA77" i="2"/>
  <c r="DZ77" i="2"/>
  <c r="DY77" i="2"/>
  <c r="DX77" i="2"/>
  <c r="DW77" i="2"/>
  <c r="DV77" i="2"/>
  <c r="DU77" i="2"/>
  <c r="DT77" i="2"/>
  <c r="DS77" i="2"/>
  <c r="DR77" i="2"/>
  <c r="DQ77" i="2"/>
  <c r="DP77" i="2"/>
  <c r="DO77" i="2"/>
  <c r="DN77" i="2"/>
  <c r="DM77" i="2"/>
  <c r="DL77" i="2"/>
  <c r="DK77" i="2"/>
  <c r="DJ77" i="2"/>
  <c r="DI77" i="2"/>
  <c r="DG77" i="2"/>
  <c r="DE77" i="2"/>
  <c r="DC77" i="2"/>
  <c r="DB77" i="2"/>
  <c r="CQ77" i="2"/>
  <c r="CP77" i="2"/>
  <c r="CO77" i="2"/>
  <c r="CN77" i="2"/>
  <c r="I77" i="2"/>
  <c r="G77" i="4" s="1"/>
  <c r="FS76" i="2"/>
  <c r="FR76" i="2"/>
  <c r="FQ76" i="2"/>
  <c r="FP76" i="2"/>
  <c r="FO76" i="2"/>
  <c r="FN76" i="2"/>
  <c r="FM76" i="2"/>
  <c r="FL76" i="2"/>
  <c r="FK76" i="2"/>
  <c r="FJ76" i="2"/>
  <c r="FI76" i="2"/>
  <c r="FH76" i="2"/>
  <c r="FG76" i="2"/>
  <c r="FF76" i="2"/>
  <c r="FE76" i="2"/>
  <c r="FD76" i="2"/>
  <c r="FC76" i="2"/>
  <c r="FB76" i="2"/>
  <c r="FA76" i="2"/>
  <c r="EZ76" i="2"/>
  <c r="EY76" i="2"/>
  <c r="EX76" i="2"/>
  <c r="EW76" i="2"/>
  <c r="EV76" i="2"/>
  <c r="EU76" i="2"/>
  <c r="ET76" i="2"/>
  <c r="ES76" i="2"/>
  <c r="ER76" i="2"/>
  <c r="EQ76" i="2"/>
  <c r="EP76" i="2"/>
  <c r="EO76" i="2"/>
  <c r="EN76" i="2"/>
  <c r="EM76" i="2"/>
  <c r="EL76" i="2"/>
  <c r="EK76" i="2"/>
  <c r="EJ76" i="2"/>
  <c r="EI76" i="2"/>
  <c r="EH76" i="2"/>
  <c r="EG76" i="2"/>
  <c r="EF76" i="2"/>
  <c r="EE76" i="2"/>
  <c r="ED76" i="2"/>
  <c r="EC76" i="2"/>
  <c r="EB76" i="2"/>
  <c r="EA76" i="2"/>
  <c r="DZ76" i="2"/>
  <c r="DY76" i="2"/>
  <c r="DX76" i="2"/>
  <c r="DW76" i="2"/>
  <c r="DV76" i="2"/>
  <c r="DU76" i="2"/>
  <c r="DT76" i="2"/>
  <c r="DS76" i="2"/>
  <c r="DR76" i="2"/>
  <c r="DQ76" i="2"/>
  <c r="DP76" i="2"/>
  <c r="DO76" i="2"/>
  <c r="DN76" i="2"/>
  <c r="DM76" i="2"/>
  <c r="DL76" i="2"/>
  <c r="DK76" i="2"/>
  <c r="DJ76" i="2"/>
  <c r="DI76" i="2"/>
  <c r="DG76" i="2"/>
  <c r="DE76" i="2"/>
  <c r="DC76" i="2"/>
  <c r="DB76" i="2"/>
  <c r="CQ76" i="2"/>
  <c r="CP76" i="2"/>
  <c r="CO76" i="2"/>
  <c r="CN76" i="2"/>
  <c r="I76" i="2"/>
  <c r="G76" i="4" s="1"/>
  <c r="FS75" i="2"/>
  <c r="FR75" i="2"/>
  <c r="FQ75" i="2"/>
  <c r="FP75" i="2"/>
  <c r="FO75" i="2"/>
  <c r="FN75" i="2"/>
  <c r="FM75" i="2"/>
  <c r="FL75" i="2"/>
  <c r="FK75" i="2"/>
  <c r="FJ75" i="2"/>
  <c r="FI75" i="2"/>
  <c r="FH75" i="2"/>
  <c r="FG75" i="2"/>
  <c r="FF75" i="2"/>
  <c r="FE75" i="2"/>
  <c r="FD75" i="2"/>
  <c r="FC75" i="2"/>
  <c r="FB75" i="2"/>
  <c r="FA75" i="2"/>
  <c r="EZ75" i="2"/>
  <c r="EY75" i="2"/>
  <c r="EX75" i="2"/>
  <c r="EW75" i="2"/>
  <c r="EV75" i="2"/>
  <c r="EU75" i="2"/>
  <c r="ET75" i="2"/>
  <c r="ES75" i="2"/>
  <c r="ER75" i="2"/>
  <c r="EQ75" i="2"/>
  <c r="EP75" i="2"/>
  <c r="EO75" i="2"/>
  <c r="EN75" i="2"/>
  <c r="EM75" i="2"/>
  <c r="EL75" i="2"/>
  <c r="EK75" i="2"/>
  <c r="EJ75" i="2"/>
  <c r="EI75" i="2"/>
  <c r="EH75" i="2"/>
  <c r="EG75" i="2"/>
  <c r="EF75" i="2"/>
  <c r="EE75" i="2"/>
  <c r="ED75" i="2"/>
  <c r="EC75" i="2"/>
  <c r="EB75" i="2"/>
  <c r="EA75" i="2"/>
  <c r="DZ75" i="2"/>
  <c r="DY75" i="2"/>
  <c r="DX75" i="2"/>
  <c r="DW75" i="2"/>
  <c r="DV75" i="2"/>
  <c r="DU75" i="2"/>
  <c r="DT75" i="2"/>
  <c r="DS75" i="2"/>
  <c r="DR75" i="2"/>
  <c r="DQ75" i="2"/>
  <c r="DP75" i="2"/>
  <c r="DO75" i="2"/>
  <c r="DN75" i="2"/>
  <c r="DM75" i="2"/>
  <c r="DL75" i="2"/>
  <c r="DK75" i="2"/>
  <c r="DJ75" i="2"/>
  <c r="DI75" i="2"/>
  <c r="DG75" i="2"/>
  <c r="DE75" i="2"/>
  <c r="DC75" i="2"/>
  <c r="DB75" i="2"/>
  <c r="CQ75" i="2"/>
  <c r="CP75" i="2"/>
  <c r="CO75" i="2"/>
  <c r="CN75" i="2"/>
  <c r="I75" i="2"/>
  <c r="FS74" i="2"/>
  <c r="FR74" i="2"/>
  <c r="FQ74" i="2"/>
  <c r="FP74" i="2"/>
  <c r="FO74" i="2"/>
  <c r="FN74" i="2"/>
  <c r="FM74" i="2"/>
  <c r="FL74" i="2"/>
  <c r="FK74" i="2"/>
  <c r="FJ74" i="2"/>
  <c r="FI74" i="2"/>
  <c r="FH74" i="2"/>
  <c r="FG74" i="2"/>
  <c r="FF74" i="2"/>
  <c r="FE74" i="2"/>
  <c r="FD74" i="2"/>
  <c r="FC74" i="2"/>
  <c r="FB74" i="2"/>
  <c r="FA74" i="2"/>
  <c r="EZ74" i="2"/>
  <c r="EY74" i="2"/>
  <c r="EX74" i="2"/>
  <c r="EW74" i="2"/>
  <c r="EV74" i="2"/>
  <c r="EU74" i="2"/>
  <c r="ET74" i="2"/>
  <c r="ES74" i="2"/>
  <c r="ER74" i="2"/>
  <c r="EQ74" i="2"/>
  <c r="EP74" i="2"/>
  <c r="EO74" i="2"/>
  <c r="EN74" i="2"/>
  <c r="EM74" i="2"/>
  <c r="EL74" i="2"/>
  <c r="EK74" i="2"/>
  <c r="EJ74" i="2"/>
  <c r="EI74" i="2"/>
  <c r="EH74" i="2"/>
  <c r="EG74" i="2"/>
  <c r="EF74" i="2"/>
  <c r="EE74" i="2"/>
  <c r="ED74" i="2"/>
  <c r="EC74" i="2"/>
  <c r="EB74" i="2"/>
  <c r="EA74" i="2"/>
  <c r="DZ74" i="2"/>
  <c r="DY74" i="2"/>
  <c r="DX74" i="2"/>
  <c r="DW74" i="2"/>
  <c r="DV74" i="2"/>
  <c r="DU74" i="2"/>
  <c r="DT74" i="2"/>
  <c r="DS74" i="2"/>
  <c r="DR74" i="2"/>
  <c r="DQ74" i="2"/>
  <c r="DP74" i="2"/>
  <c r="DO74" i="2"/>
  <c r="DN74" i="2"/>
  <c r="DM74" i="2"/>
  <c r="DL74" i="2"/>
  <c r="DK74" i="2"/>
  <c r="DJ74" i="2"/>
  <c r="DI74" i="2"/>
  <c r="DG74" i="2"/>
  <c r="DE74" i="2"/>
  <c r="DC74" i="2"/>
  <c r="DB74" i="2"/>
  <c r="CQ74" i="2"/>
  <c r="CP74" i="2"/>
  <c r="CO74" i="2"/>
  <c r="CN74" i="2"/>
  <c r="I74" i="2"/>
  <c r="G74" i="4" s="1"/>
  <c r="FS73" i="2"/>
  <c r="FR73" i="2"/>
  <c r="FQ73" i="2"/>
  <c r="FP73" i="2"/>
  <c r="FO73" i="2"/>
  <c r="FN73" i="2"/>
  <c r="FM73" i="2"/>
  <c r="FL73" i="2"/>
  <c r="FK73" i="2"/>
  <c r="FJ73" i="2"/>
  <c r="FI73" i="2"/>
  <c r="FH73" i="2"/>
  <c r="FG73" i="2"/>
  <c r="FF73" i="2"/>
  <c r="FE73" i="2"/>
  <c r="FD73" i="2"/>
  <c r="FC73" i="2"/>
  <c r="FB73" i="2"/>
  <c r="FA73" i="2"/>
  <c r="EZ73" i="2"/>
  <c r="EY73" i="2"/>
  <c r="EX73" i="2"/>
  <c r="EW73" i="2"/>
  <c r="EV73" i="2"/>
  <c r="EU73" i="2"/>
  <c r="ET73" i="2"/>
  <c r="ES73" i="2"/>
  <c r="ER73" i="2"/>
  <c r="EQ73" i="2"/>
  <c r="EP73" i="2"/>
  <c r="EO73" i="2"/>
  <c r="EN73" i="2"/>
  <c r="EM73" i="2"/>
  <c r="EL73" i="2"/>
  <c r="EK73" i="2"/>
  <c r="EJ73" i="2"/>
  <c r="EI73" i="2"/>
  <c r="EH73" i="2"/>
  <c r="EG73" i="2"/>
  <c r="EF73" i="2"/>
  <c r="EE73" i="2"/>
  <c r="ED73" i="2"/>
  <c r="EC73" i="2"/>
  <c r="EB73" i="2"/>
  <c r="EA73" i="2"/>
  <c r="DZ73" i="2"/>
  <c r="DY73" i="2"/>
  <c r="DX73" i="2"/>
  <c r="DW73" i="2"/>
  <c r="DV73" i="2"/>
  <c r="DU73" i="2"/>
  <c r="DT73" i="2"/>
  <c r="DS73" i="2"/>
  <c r="DR73" i="2"/>
  <c r="DQ73" i="2"/>
  <c r="DP73" i="2"/>
  <c r="DO73" i="2"/>
  <c r="DN73" i="2"/>
  <c r="DM73" i="2"/>
  <c r="DL73" i="2"/>
  <c r="DK73" i="2"/>
  <c r="DJ73" i="2"/>
  <c r="DI73" i="2"/>
  <c r="DG73" i="2"/>
  <c r="DE73" i="2"/>
  <c r="DC73" i="2"/>
  <c r="DB73" i="2"/>
  <c r="CR73" i="2"/>
  <c r="CQ73" i="2"/>
  <c r="CP73" i="2"/>
  <c r="CO73" i="2"/>
  <c r="CN73" i="2"/>
  <c r="I73" i="2"/>
  <c r="G73" i="4" s="1"/>
  <c r="FS72" i="2"/>
  <c r="FR72" i="2"/>
  <c r="FQ72" i="2"/>
  <c r="FP72" i="2"/>
  <c r="FO72" i="2"/>
  <c r="FN72" i="2"/>
  <c r="FM72" i="2"/>
  <c r="FL72" i="2"/>
  <c r="FK72" i="2"/>
  <c r="FJ72" i="2"/>
  <c r="FI72" i="2"/>
  <c r="FH72" i="2"/>
  <c r="FG72" i="2"/>
  <c r="FF72" i="2"/>
  <c r="FE72" i="2"/>
  <c r="FD72" i="2"/>
  <c r="FC72" i="2"/>
  <c r="FB72" i="2"/>
  <c r="FA72" i="2"/>
  <c r="EZ72" i="2"/>
  <c r="EY72" i="2"/>
  <c r="EX72" i="2"/>
  <c r="EW72" i="2"/>
  <c r="EV72" i="2"/>
  <c r="EU72" i="2"/>
  <c r="ET72" i="2"/>
  <c r="ES72" i="2"/>
  <c r="ER72" i="2"/>
  <c r="EQ72" i="2"/>
  <c r="EP72" i="2"/>
  <c r="EO72" i="2"/>
  <c r="EN72" i="2"/>
  <c r="EM72" i="2"/>
  <c r="EL72" i="2"/>
  <c r="EK72" i="2"/>
  <c r="EJ72" i="2"/>
  <c r="EI72" i="2"/>
  <c r="EH72" i="2"/>
  <c r="EG72" i="2"/>
  <c r="EF72" i="2"/>
  <c r="EE72" i="2"/>
  <c r="ED72" i="2"/>
  <c r="EC72" i="2"/>
  <c r="EB72" i="2"/>
  <c r="EA72" i="2"/>
  <c r="DZ72" i="2"/>
  <c r="DY72" i="2"/>
  <c r="DX72" i="2"/>
  <c r="DW72" i="2"/>
  <c r="DV72" i="2"/>
  <c r="DU72" i="2"/>
  <c r="DT72" i="2"/>
  <c r="DS72" i="2"/>
  <c r="DR72" i="2"/>
  <c r="DQ72" i="2"/>
  <c r="DP72" i="2"/>
  <c r="DO72" i="2"/>
  <c r="DN72" i="2"/>
  <c r="DM72" i="2"/>
  <c r="DL72" i="2"/>
  <c r="DK72" i="2"/>
  <c r="DJ72" i="2"/>
  <c r="DI72" i="2"/>
  <c r="DG72" i="2"/>
  <c r="DE72" i="2"/>
  <c r="DC72" i="2"/>
  <c r="DB72" i="2"/>
  <c r="CR72" i="2"/>
  <c r="CQ72" i="2"/>
  <c r="CP72" i="2"/>
  <c r="CO72" i="2"/>
  <c r="CN72" i="2"/>
  <c r="I72" i="2"/>
  <c r="G72" i="4" s="1"/>
  <c r="FS71" i="2"/>
  <c r="FR71" i="2"/>
  <c r="FQ71" i="2"/>
  <c r="FP71" i="2"/>
  <c r="FO71" i="2"/>
  <c r="FN71" i="2"/>
  <c r="FM71" i="2"/>
  <c r="FL71" i="2"/>
  <c r="FK71" i="2"/>
  <c r="FJ71" i="2"/>
  <c r="FI71" i="2"/>
  <c r="FH71" i="2"/>
  <c r="FG71" i="2"/>
  <c r="FF71" i="2"/>
  <c r="FE71" i="2"/>
  <c r="FD71" i="2"/>
  <c r="FC71" i="2"/>
  <c r="FB71" i="2"/>
  <c r="FA71" i="2"/>
  <c r="EZ71" i="2"/>
  <c r="EY71" i="2"/>
  <c r="EX71" i="2"/>
  <c r="EW71" i="2"/>
  <c r="EV71" i="2"/>
  <c r="EU71" i="2"/>
  <c r="ET71" i="2"/>
  <c r="ES71" i="2"/>
  <c r="ER71" i="2"/>
  <c r="EQ71" i="2"/>
  <c r="EP71" i="2"/>
  <c r="EO71" i="2"/>
  <c r="EN71" i="2"/>
  <c r="EM71" i="2"/>
  <c r="EL71" i="2"/>
  <c r="EK71" i="2"/>
  <c r="EJ71" i="2"/>
  <c r="EI71" i="2"/>
  <c r="EH71" i="2"/>
  <c r="EG71" i="2"/>
  <c r="EF71" i="2"/>
  <c r="EE71" i="2"/>
  <c r="ED71" i="2"/>
  <c r="EC71" i="2"/>
  <c r="EB71" i="2"/>
  <c r="EA71" i="2"/>
  <c r="DZ71" i="2"/>
  <c r="DY71" i="2"/>
  <c r="DX71" i="2"/>
  <c r="DW71" i="2"/>
  <c r="DV71" i="2"/>
  <c r="DU71" i="2"/>
  <c r="DT71" i="2"/>
  <c r="DS71" i="2"/>
  <c r="DR71" i="2"/>
  <c r="DQ71" i="2"/>
  <c r="DP71" i="2"/>
  <c r="DO71" i="2"/>
  <c r="DN71" i="2"/>
  <c r="DM71" i="2"/>
  <c r="DL71" i="2"/>
  <c r="DK71" i="2"/>
  <c r="DJ71" i="2"/>
  <c r="DI71" i="2"/>
  <c r="DG71" i="2"/>
  <c r="DE71" i="2"/>
  <c r="DC71" i="2"/>
  <c r="DB71" i="2"/>
  <c r="CR71" i="2"/>
  <c r="CQ71" i="2"/>
  <c r="CP71" i="2"/>
  <c r="CO71" i="2"/>
  <c r="CN71" i="2"/>
  <c r="I71" i="2"/>
  <c r="G71" i="4" s="1"/>
  <c r="FS70" i="2"/>
  <c r="FR70" i="2"/>
  <c r="FQ70" i="2"/>
  <c r="FP70" i="2"/>
  <c r="FO70" i="2"/>
  <c r="FN70" i="2"/>
  <c r="FM70" i="2"/>
  <c r="FL70" i="2"/>
  <c r="FK70" i="2"/>
  <c r="FJ70" i="2"/>
  <c r="FI70" i="2"/>
  <c r="FH70" i="2"/>
  <c r="FG70" i="2"/>
  <c r="FF70" i="2"/>
  <c r="FE70" i="2"/>
  <c r="FD70" i="2"/>
  <c r="FC70" i="2"/>
  <c r="FB70" i="2"/>
  <c r="FA70" i="2"/>
  <c r="EZ70" i="2"/>
  <c r="EY70" i="2"/>
  <c r="EX70" i="2"/>
  <c r="EW70" i="2"/>
  <c r="EV70" i="2"/>
  <c r="EU70" i="2"/>
  <c r="ET70" i="2"/>
  <c r="ES70" i="2"/>
  <c r="ER70" i="2"/>
  <c r="EQ70" i="2"/>
  <c r="EP70" i="2"/>
  <c r="EO70" i="2"/>
  <c r="EN70" i="2"/>
  <c r="EM70" i="2"/>
  <c r="EL70" i="2"/>
  <c r="EK70" i="2"/>
  <c r="EJ70" i="2"/>
  <c r="EI70" i="2"/>
  <c r="EH70" i="2"/>
  <c r="EG70" i="2"/>
  <c r="EF70" i="2"/>
  <c r="EE70" i="2"/>
  <c r="ED70" i="2"/>
  <c r="EC70" i="2"/>
  <c r="EB70" i="2"/>
  <c r="EA70" i="2"/>
  <c r="DZ70" i="2"/>
  <c r="DY70" i="2"/>
  <c r="DX70" i="2"/>
  <c r="DW70" i="2"/>
  <c r="DV70" i="2"/>
  <c r="DU70" i="2"/>
  <c r="DT70" i="2"/>
  <c r="DS70" i="2"/>
  <c r="DR70" i="2"/>
  <c r="DQ70" i="2"/>
  <c r="DP70" i="2"/>
  <c r="DO70" i="2"/>
  <c r="DN70" i="2"/>
  <c r="DM70" i="2"/>
  <c r="DL70" i="2"/>
  <c r="DK70" i="2"/>
  <c r="DJ70" i="2"/>
  <c r="DI70" i="2"/>
  <c r="DG70" i="2"/>
  <c r="DE70" i="2"/>
  <c r="DC70" i="2"/>
  <c r="DB70" i="2"/>
  <c r="CR70" i="2"/>
  <c r="CQ70" i="2"/>
  <c r="CP70" i="2"/>
  <c r="CO70" i="2"/>
  <c r="CN70" i="2"/>
  <c r="I70" i="2"/>
  <c r="G70" i="4" s="1"/>
  <c r="FS69" i="2"/>
  <c r="FR69" i="2"/>
  <c r="FQ69" i="2"/>
  <c r="FP69" i="2"/>
  <c r="FO69" i="2"/>
  <c r="FN69" i="2"/>
  <c r="FM69" i="2"/>
  <c r="FL69" i="2"/>
  <c r="FK69" i="2"/>
  <c r="FJ69" i="2"/>
  <c r="FI69" i="2"/>
  <c r="FH69" i="2"/>
  <c r="FG69" i="2"/>
  <c r="FF69" i="2"/>
  <c r="FE69" i="2"/>
  <c r="FD69" i="2"/>
  <c r="FC69" i="2"/>
  <c r="FB69" i="2"/>
  <c r="FA69" i="2"/>
  <c r="EZ69" i="2"/>
  <c r="EY69" i="2"/>
  <c r="EX69" i="2"/>
  <c r="EW69" i="2"/>
  <c r="EV69" i="2"/>
  <c r="EU69" i="2"/>
  <c r="ET69" i="2"/>
  <c r="ES69" i="2"/>
  <c r="ER69" i="2"/>
  <c r="EQ69" i="2"/>
  <c r="EP69" i="2"/>
  <c r="EO69" i="2"/>
  <c r="EN69" i="2"/>
  <c r="EM69" i="2"/>
  <c r="EL69" i="2"/>
  <c r="EK69" i="2"/>
  <c r="EJ69" i="2"/>
  <c r="EI69" i="2"/>
  <c r="EH69" i="2"/>
  <c r="EG69" i="2"/>
  <c r="EF69" i="2"/>
  <c r="EE69" i="2"/>
  <c r="ED69" i="2"/>
  <c r="EC69" i="2"/>
  <c r="EB69" i="2"/>
  <c r="EA69" i="2"/>
  <c r="DZ69" i="2"/>
  <c r="DY69" i="2"/>
  <c r="DX69" i="2"/>
  <c r="DW69" i="2"/>
  <c r="DV69" i="2"/>
  <c r="DU69" i="2"/>
  <c r="DT69" i="2"/>
  <c r="DS69" i="2"/>
  <c r="DR69" i="2"/>
  <c r="DQ69" i="2"/>
  <c r="DP69" i="2"/>
  <c r="DO69" i="2"/>
  <c r="DN69" i="2"/>
  <c r="DM69" i="2"/>
  <c r="DL69" i="2"/>
  <c r="DK69" i="2"/>
  <c r="DJ69" i="2"/>
  <c r="DI69" i="2"/>
  <c r="DG69" i="2"/>
  <c r="DE69" i="2"/>
  <c r="DC69" i="2"/>
  <c r="DB69" i="2"/>
  <c r="CQ69" i="2"/>
  <c r="CP69" i="2"/>
  <c r="CO69" i="2"/>
  <c r="CN69" i="2"/>
  <c r="I69" i="2"/>
  <c r="G69" i="4" s="1"/>
  <c r="FS68" i="2"/>
  <c r="FR68" i="2"/>
  <c r="FQ68" i="2"/>
  <c r="FP68" i="2"/>
  <c r="FO68" i="2"/>
  <c r="FN68" i="2"/>
  <c r="FM68" i="2"/>
  <c r="FL68" i="2"/>
  <c r="FK68" i="2"/>
  <c r="FJ68" i="2"/>
  <c r="FI68" i="2"/>
  <c r="FH68" i="2"/>
  <c r="FG68" i="2"/>
  <c r="FF68" i="2"/>
  <c r="FE68" i="2"/>
  <c r="FD68" i="2"/>
  <c r="FC68" i="2"/>
  <c r="FB68" i="2"/>
  <c r="FA68" i="2"/>
  <c r="EZ68" i="2"/>
  <c r="EY68" i="2"/>
  <c r="EX68" i="2"/>
  <c r="EW68" i="2"/>
  <c r="EV68" i="2"/>
  <c r="EU68" i="2"/>
  <c r="ET68" i="2"/>
  <c r="ES68" i="2"/>
  <c r="ER68" i="2"/>
  <c r="EQ68" i="2"/>
  <c r="EP68" i="2"/>
  <c r="EO68" i="2"/>
  <c r="EN68" i="2"/>
  <c r="EM68" i="2"/>
  <c r="EL68" i="2"/>
  <c r="EK68" i="2"/>
  <c r="EJ68" i="2"/>
  <c r="EI68" i="2"/>
  <c r="EH68" i="2"/>
  <c r="EG68" i="2"/>
  <c r="EF68" i="2"/>
  <c r="EE68" i="2"/>
  <c r="ED68" i="2"/>
  <c r="EC68" i="2"/>
  <c r="EB68" i="2"/>
  <c r="EA68" i="2"/>
  <c r="DZ68" i="2"/>
  <c r="DY68" i="2"/>
  <c r="DX68" i="2"/>
  <c r="DW68" i="2"/>
  <c r="DV68" i="2"/>
  <c r="DU68" i="2"/>
  <c r="DT68" i="2"/>
  <c r="DS68" i="2"/>
  <c r="DR68" i="2"/>
  <c r="DQ68" i="2"/>
  <c r="DP68" i="2"/>
  <c r="DO68" i="2"/>
  <c r="DN68" i="2"/>
  <c r="DM68" i="2"/>
  <c r="DL68" i="2"/>
  <c r="DK68" i="2"/>
  <c r="DJ68" i="2"/>
  <c r="DI68" i="2"/>
  <c r="DG68" i="2"/>
  <c r="DE68" i="2"/>
  <c r="DC68" i="2"/>
  <c r="DB68" i="2"/>
  <c r="CQ68" i="2"/>
  <c r="CP68" i="2"/>
  <c r="CO68" i="2"/>
  <c r="CN68" i="2"/>
  <c r="I68" i="2"/>
  <c r="G68" i="4" s="1"/>
  <c r="FS67" i="2"/>
  <c r="FR67" i="2"/>
  <c r="FQ67" i="2"/>
  <c r="FP67" i="2"/>
  <c r="FO67" i="2"/>
  <c r="FN67" i="2"/>
  <c r="FM67" i="2"/>
  <c r="FL67" i="2"/>
  <c r="FK67" i="2"/>
  <c r="FJ67" i="2"/>
  <c r="FI67" i="2"/>
  <c r="FH67" i="2"/>
  <c r="FG67" i="2"/>
  <c r="FF67" i="2"/>
  <c r="FE67" i="2"/>
  <c r="FD67" i="2"/>
  <c r="FC67" i="2"/>
  <c r="FB67" i="2"/>
  <c r="FA67" i="2"/>
  <c r="EZ67" i="2"/>
  <c r="EY67" i="2"/>
  <c r="EX67" i="2"/>
  <c r="EW67" i="2"/>
  <c r="EV67" i="2"/>
  <c r="EU67" i="2"/>
  <c r="ET67" i="2"/>
  <c r="ES67" i="2"/>
  <c r="ER67" i="2"/>
  <c r="EQ67" i="2"/>
  <c r="EP67" i="2"/>
  <c r="EO67" i="2"/>
  <c r="EN67" i="2"/>
  <c r="EM67" i="2"/>
  <c r="EL67" i="2"/>
  <c r="EK67" i="2"/>
  <c r="EJ67" i="2"/>
  <c r="EI67" i="2"/>
  <c r="EH67" i="2"/>
  <c r="EG67" i="2"/>
  <c r="EF67" i="2"/>
  <c r="EE67" i="2"/>
  <c r="ED67" i="2"/>
  <c r="EC67" i="2"/>
  <c r="EB67" i="2"/>
  <c r="EA67" i="2"/>
  <c r="DZ67" i="2"/>
  <c r="DY67" i="2"/>
  <c r="DX67" i="2"/>
  <c r="DW67" i="2"/>
  <c r="DV67" i="2"/>
  <c r="DU67" i="2"/>
  <c r="DT67" i="2"/>
  <c r="DS67" i="2"/>
  <c r="DR67" i="2"/>
  <c r="DQ67" i="2"/>
  <c r="DP67" i="2"/>
  <c r="DO67" i="2"/>
  <c r="DN67" i="2"/>
  <c r="DM67" i="2"/>
  <c r="DL67" i="2"/>
  <c r="DK67" i="2"/>
  <c r="DJ67" i="2"/>
  <c r="DI67" i="2"/>
  <c r="DG67" i="2"/>
  <c r="DE67" i="2"/>
  <c r="DD67" i="2"/>
  <c r="DC67" i="2"/>
  <c r="DB67" i="2"/>
  <c r="CQ67" i="2"/>
  <c r="CP67" i="2"/>
  <c r="CO67" i="2"/>
  <c r="CN67" i="2"/>
  <c r="I67" i="2"/>
  <c r="G67" i="4" s="1"/>
  <c r="FS66" i="2"/>
  <c r="FR66" i="2"/>
  <c r="FQ66" i="2"/>
  <c r="FP66" i="2"/>
  <c r="FO66" i="2"/>
  <c r="FN66" i="2"/>
  <c r="FM66" i="2"/>
  <c r="FL66" i="2"/>
  <c r="FK66" i="2"/>
  <c r="FJ66" i="2"/>
  <c r="FI66" i="2"/>
  <c r="FH66" i="2"/>
  <c r="FG66" i="2"/>
  <c r="FF66" i="2"/>
  <c r="FE66" i="2"/>
  <c r="FD66" i="2"/>
  <c r="FC66" i="2"/>
  <c r="FB66" i="2"/>
  <c r="FA66" i="2"/>
  <c r="EZ66" i="2"/>
  <c r="EY66" i="2"/>
  <c r="EX66" i="2"/>
  <c r="EW66" i="2"/>
  <c r="EV66" i="2"/>
  <c r="EU66" i="2"/>
  <c r="ET66" i="2"/>
  <c r="ES66" i="2"/>
  <c r="ER66" i="2"/>
  <c r="EQ66" i="2"/>
  <c r="EP66" i="2"/>
  <c r="EO66" i="2"/>
  <c r="EN66" i="2"/>
  <c r="EM66" i="2"/>
  <c r="EL66" i="2"/>
  <c r="EK66" i="2"/>
  <c r="EJ66" i="2"/>
  <c r="EI66" i="2"/>
  <c r="EH66" i="2"/>
  <c r="EG66" i="2"/>
  <c r="EF66" i="2"/>
  <c r="EE66" i="2"/>
  <c r="ED66" i="2"/>
  <c r="EC66" i="2"/>
  <c r="EB66" i="2"/>
  <c r="EA66" i="2"/>
  <c r="DZ66" i="2"/>
  <c r="DY66" i="2"/>
  <c r="DX66" i="2"/>
  <c r="DW66" i="2"/>
  <c r="DV66" i="2"/>
  <c r="DU66" i="2"/>
  <c r="DT66" i="2"/>
  <c r="DS66" i="2"/>
  <c r="DR66" i="2"/>
  <c r="DQ66" i="2"/>
  <c r="DP66" i="2"/>
  <c r="DO66" i="2"/>
  <c r="DN66" i="2"/>
  <c r="DM66" i="2"/>
  <c r="DL66" i="2"/>
  <c r="DK66" i="2"/>
  <c r="DJ66" i="2"/>
  <c r="DI66" i="2"/>
  <c r="DG66" i="2"/>
  <c r="DE66" i="2"/>
  <c r="DD66" i="2"/>
  <c r="DC66" i="2"/>
  <c r="DB66" i="2"/>
  <c r="CR66" i="2"/>
  <c r="CQ66" i="2"/>
  <c r="CP66" i="2"/>
  <c r="CO66" i="2"/>
  <c r="CN66" i="2"/>
  <c r="I66" i="2"/>
  <c r="G66" i="4" s="1"/>
  <c r="FS65" i="2"/>
  <c r="FR65" i="2"/>
  <c r="FQ65" i="2"/>
  <c r="FP65" i="2"/>
  <c r="FO65" i="2"/>
  <c r="FN65" i="2"/>
  <c r="FM65" i="2"/>
  <c r="FL65" i="2"/>
  <c r="FK65" i="2"/>
  <c r="FJ65" i="2"/>
  <c r="FI65" i="2"/>
  <c r="FH65" i="2"/>
  <c r="FG65" i="2"/>
  <c r="FF65" i="2"/>
  <c r="FE65" i="2"/>
  <c r="FD65" i="2"/>
  <c r="FC65" i="2"/>
  <c r="FB65" i="2"/>
  <c r="FA65" i="2"/>
  <c r="EZ65" i="2"/>
  <c r="EY65" i="2"/>
  <c r="EX65" i="2"/>
  <c r="EW65" i="2"/>
  <c r="EV65" i="2"/>
  <c r="EU65" i="2"/>
  <c r="ET65" i="2"/>
  <c r="ES65" i="2"/>
  <c r="ER65" i="2"/>
  <c r="EQ65" i="2"/>
  <c r="EP65" i="2"/>
  <c r="EO65" i="2"/>
  <c r="EN65" i="2"/>
  <c r="EM65" i="2"/>
  <c r="EL65" i="2"/>
  <c r="EK65" i="2"/>
  <c r="EJ65" i="2"/>
  <c r="EI65" i="2"/>
  <c r="EH65" i="2"/>
  <c r="EG65" i="2"/>
  <c r="EF65" i="2"/>
  <c r="EE65" i="2"/>
  <c r="ED65" i="2"/>
  <c r="EC65" i="2"/>
  <c r="EB65" i="2"/>
  <c r="EA65" i="2"/>
  <c r="DZ65" i="2"/>
  <c r="DY65" i="2"/>
  <c r="DX65" i="2"/>
  <c r="DW65" i="2"/>
  <c r="DV65" i="2"/>
  <c r="DU65" i="2"/>
  <c r="DT65" i="2"/>
  <c r="DS65" i="2"/>
  <c r="DR65" i="2"/>
  <c r="DQ65" i="2"/>
  <c r="DP65" i="2"/>
  <c r="DO65" i="2"/>
  <c r="DN65" i="2"/>
  <c r="DM65" i="2"/>
  <c r="DL65" i="2"/>
  <c r="DK65" i="2"/>
  <c r="DJ65" i="2"/>
  <c r="DI65" i="2"/>
  <c r="DG65" i="2"/>
  <c r="DE65" i="2"/>
  <c r="DD65" i="2"/>
  <c r="DC65" i="2"/>
  <c r="DB65" i="2"/>
  <c r="CR65" i="2"/>
  <c r="CQ65" i="2"/>
  <c r="CP65" i="2"/>
  <c r="CO65" i="2"/>
  <c r="CN65" i="2"/>
  <c r="I65" i="2"/>
  <c r="G65" i="4" s="1"/>
  <c r="FS64" i="2"/>
  <c r="FR64" i="2"/>
  <c r="FQ64" i="2"/>
  <c r="FP64" i="2"/>
  <c r="FO64" i="2"/>
  <c r="FN64" i="2"/>
  <c r="FM64" i="2"/>
  <c r="FL64" i="2"/>
  <c r="FK64" i="2"/>
  <c r="FJ64" i="2"/>
  <c r="FI64" i="2"/>
  <c r="FH64" i="2"/>
  <c r="FG64" i="2"/>
  <c r="FF64" i="2"/>
  <c r="FE64" i="2"/>
  <c r="FD64" i="2"/>
  <c r="FC64" i="2"/>
  <c r="FB64" i="2"/>
  <c r="FA64" i="2"/>
  <c r="EZ64" i="2"/>
  <c r="EY64" i="2"/>
  <c r="EX64" i="2"/>
  <c r="EW64" i="2"/>
  <c r="EV64" i="2"/>
  <c r="EU64" i="2"/>
  <c r="ET64" i="2"/>
  <c r="ES64" i="2"/>
  <c r="ER64" i="2"/>
  <c r="EQ64" i="2"/>
  <c r="EP64" i="2"/>
  <c r="EO64" i="2"/>
  <c r="EN64" i="2"/>
  <c r="EM64" i="2"/>
  <c r="EL64" i="2"/>
  <c r="EK64" i="2"/>
  <c r="EJ64" i="2"/>
  <c r="EI64" i="2"/>
  <c r="EH64" i="2"/>
  <c r="EG64" i="2"/>
  <c r="EF64" i="2"/>
  <c r="EE64" i="2"/>
  <c r="ED64" i="2"/>
  <c r="EC64" i="2"/>
  <c r="EB64" i="2"/>
  <c r="EA64" i="2"/>
  <c r="DZ64" i="2"/>
  <c r="DY64" i="2"/>
  <c r="DX64" i="2"/>
  <c r="DW64" i="2"/>
  <c r="DV64" i="2"/>
  <c r="DU64" i="2"/>
  <c r="DT64" i="2"/>
  <c r="DS64" i="2"/>
  <c r="DR64" i="2"/>
  <c r="DQ64" i="2"/>
  <c r="DP64" i="2"/>
  <c r="DO64" i="2"/>
  <c r="DN64" i="2"/>
  <c r="DM64" i="2"/>
  <c r="DL64" i="2"/>
  <c r="DK64" i="2"/>
  <c r="DJ64" i="2"/>
  <c r="DI64" i="2"/>
  <c r="DG64" i="2"/>
  <c r="DE64" i="2"/>
  <c r="DD64" i="2"/>
  <c r="DC64" i="2"/>
  <c r="DB64" i="2"/>
  <c r="CQ64" i="2"/>
  <c r="CP64" i="2"/>
  <c r="CO64" i="2"/>
  <c r="CN64" i="2"/>
  <c r="I64" i="2"/>
  <c r="G64" i="4" s="1"/>
  <c r="FS63" i="2"/>
  <c r="FR63" i="2"/>
  <c r="FQ63" i="2"/>
  <c r="FP63" i="2"/>
  <c r="FO63" i="2"/>
  <c r="FN63" i="2"/>
  <c r="FM63" i="2"/>
  <c r="FL63" i="2"/>
  <c r="FK63" i="2"/>
  <c r="FJ63" i="2"/>
  <c r="FI63" i="2"/>
  <c r="FH63" i="2"/>
  <c r="FG63" i="2"/>
  <c r="FF63" i="2"/>
  <c r="FE63" i="2"/>
  <c r="FD63" i="2"/>
  <c r="FC63" i="2"/>
  <c r="FB63" i="2"/>
  <c r="FA63" i="2"/>
  <c r="EZ63" i="2"/>
  <c r="EY63" i="2"/>
  <c r="EX63" i="2"/>
  <c r="EW63" i="2"/>
  <c r="EV63" i="2"/>
  <c r="EU63" i="2"/>
  <c r="ET63" i="2"/>
  <c r="ES63" i="2"/>
  <c r="ER63" i="2"/>
  <c r="EQ63" i="2"/>
  <c r="EP63" i="2"/>
  <c r="EO63" i="2"/>
  <c r="EN63" i="2"/>
  <c r="EM63" i="2"/>
  <c r="EL63" i="2"/>
  <c r="EK63" i="2"/>
  <c r="EJ63" i="2"/>
  <c r="EI63" i="2"/>
  <c r="EH63" i="2"/>
  <c r="EG63" i="2"/>
  <c r="EF63" i="2"/>
  <c r="EE63" i="2"/>
  <c r="ED63" i="2"/>
  <c r="EC63" i="2"/>
  <c r="EB63" i="2"/>
  <c r="EA63" i="2"/>
  <c r="DZ63" i="2"/>
  <c r="DY63" i="2"/>
  <c r="DX63" i="2"/>
  <c r="DW63" i="2"/>
  <c r="DV63" i="2"/>
  <c r="DU63" i="2"/>
  <c r="DT63" i="2"/>
  <c r="DS63" i="2"/>
  <c r="DR63" i="2"/>
  <c r="DQ63" i="2"/>
  <c r="DP63" i="2"/>
  <c r="DO63" i="2"/>
  <c r="DN63" i="2"/>
  <c r="DM63" i="2"/>
  <c r="DL63" i="2"/>
  <c r="DK63" i="2"/>
  <c r="DJ63" i="2"/>
  <c r="DI63" i="2"/>
  <c r="DG63" i="2"/>
  <c r="DE63" i="2"/>
  <c r="DD63" i="2"/>
  <c r="DC63" i="2"/>
  <c r="DB63" i="2"/>
  <c r="CQ63" i="2"/>
  <c r="CP63" i="2"/>
  <c r="CO63" i="2"/>
  <c r="CN63" i="2"/>
  <c r="I63" i="2"/>
  <c r="G63" i="4" s="1"/>
  <c r="FS62" i="2"/>
  <c r="FR62" i="2"/>
  <c r="FQ62" i="2"/>
  <c r="FP62" i="2"/>
  <c r="FO62" i="2"/>
  <c r="FN62" i="2"/>
  <c r="FM62" i="2"/>
  <c r="FL62" i="2"/>
  <c r="FK62" i="2"/>
  <c r="FJ62" i="2"/>
  <c r="FI62" i="2"/>
  <c r="FH62" i="2"/>
  <c r="FG62" i="2"/>
  <c r="FF62" i="2"/>
  <c r="FE62" i="2"/>
  <c r="FD62" i="2"/>
  <c r="FC62" i="2"/>
  <c r="FB62" i="2"/>
  <c r="FA62" i="2"/>
  <c r="EZ62" i="2"/>
  <c r="EY62" i="2"/>
  <c r="EX62" i="2"/>
  <c r="EW62" i="2"/>
  <c r="EV62" i="2"/>
  <c r="EU62" i="2"/>
  <c r="ET62" i="2"/>
  <c r="ES62" i="2"/>
  <c r="ER62" i="2"/>
  <c r="EQ62" i="2"/>
  <c r="EP62" i="2"/>
  <c r="EO62" i="2"/>
  <c r="EN62" i="2"/>
  <c r="EM62" i="2"/>
  <c r="EL62" i="2"/>
  <c r="EK62" i="2"/>
  <c r="EJ62" i="2"/>
  <c r="EI62" i="2"/>
  <c r="EH62" i="2"/>
  <c r="EG62" i="2"/>
  <c r="EF62" i="2"/>
  <c r="EE62" i="2"/>
  <c r="ED62" i="2"/>
  <c r="EC62" i="2"/>
  <c r="EB62" i="2"/>
  <c r="EA62" i="2"/>
  <c r="DZ62" i="2"/>
  <c r="DY62" i="2"/>
  <c r="DX62" i="2"/>
  <c r="DW62" i="2"/>
  <c r="DV62" i="2"/>
  <c r="DU62" i="2"/>
  <c r="DS62" i="2"/>
  <c r="DR62" i="2"/>
  <c r="DQ62" i="2"/>
  <c r="DP62" i="2"/>
  <c r="DO62" i="2"/>
  <c r="DN62" i="2"/>
  <c r="DM62" i="2"/>
  <c r="DL62" i="2"/>
  <c r="DK62" i="2"/>
  <c r="DJ62" i="2"/>
  <c r="DI62" i="2"/>
  <c r="DH62" i="2"/>
  <c r="DG62" i="2"/>
  <c r="DE62" i="2"/>
  <c r="DD62" i="2"/>
  <c r="CR62" i="2"/>
  <c r="CQ62" i="2"/>
  <c r="CP62" i="2"/>
  <c r="CO62" i="2"/>
  <c r="CN62" i="2"/>
  <c r="FS61" i="2"/>
  <c r="FR61" i="2"/>
  <c r="FQ61" i="2"/>
  <c r="FP61" i="2"/>
  <c r="FO61" i="2"/>
  <c r="FN61" i="2"/>
  <c r="FM61" i="2"/>
  <c r="FL61" i="2"/>
  <c r="FK61" i="2"/>
  <c r="FJ61" i="2"/>
  <c r="FI61" i="2"/>
  <c r="FH61" i="2"/>
  <c r="FG61" i="2"/>
  <c r="FF61" i="2"/>
  <c r="FE61" i="2"/>
  <c r="FD61" i="2"/>
  <c r="FC61" i="2"/>
  <c r="FB61" i="2"/>
  <c r="FA61" i="2"/>
  <c r="EZ61" i="2"/>
  <c r="EY61" i="2"/>
  <c r="EX61" i="2"/>
  <c r="EW61" i="2"/>
  <c r="EV61" i="2"/>
  <c r="EU61" i="2"/>
  <c r="ET61" i="2"/>
  <c r="ES61" i="2"/>
  <c r="ER61" i="2"/>
  <c r="EQ61" i="2"/>
  <c r="EP61" i="2"/>
  <c r="EO61" i="2"/>
  <c r="EN61" i="2"/>
  <c r="EM61" i="2"/>
  <c r="EL61" i="2"/>
  <c r="EK61" i="2"/>
  <c r="EJ61" i="2"/>
  <c r="EI61" i="2"/>
  <c r="EH61" i="2"/>
  <c r="EG61" i="2"/>
  <c r="EF61" i="2"/>
  <c r="EE61" i="2"/>
  <c r="ED61" i="2"/>
  <c r="EC61" i="2"/>
  <c r="EB61" i="2"/>
  <c r="EA61" i="2"/>
  <c r="DZ61" i="2"/>
  <c r="DY61" i="2"/>
  <c r="DX61" i="2"/>
  <c r="DW61" i="2"/>
  <c r="DV61" i="2"/>
  <c r="DU61" i="2"/>
  <c r="DS61" i="2"/>
  <c r="DR61" i="2"/>
  <c r="DQ61" i="2"/>
  <c r="DP61" i="2"/>
  <c r="DO61" i="2"/>
  <c r="DN61" i="2"/>
  <c r="DM61" i="2"/>
  <c r="DL61" i="2"/>
  <c r="DK61" i="2"/>
  <c r="DJ61" i="2"/>
  <c r="DI61" i="2"/>
  <c r="DH61" i="2"/>
  <c r="DG61" i="2"/>
  <c r="DE61" i="2"/>
  <c r="DD61" i="2"/>
  <c r="CQ61" i="2"/>
  <c r="CP61" i="2"/>
  <c r="CO61" i="2"/>
  <c r="CN61" i="2"/>
  <c r="T61" i="2"/>
  <c r="K61" i="4" s="1"/>
  <c r="I61" i="2"/>
  <c r="G61" i="4" s="1"/>
  <c r="FS60" i="2"/>
  <c r="FR60" i="2"/>
  <c r="FQ60" i="2"/>
  <c r="FP60" i="2"/>
  <c r="FO60" i="2"/>
  <c r="FN60" i="2"/>
  <c r="FM60" i="2"/>
  <c r="FL60" i="2"/>
  <c r="FK60" i="2"/>
  <c r="FJ60" i="2"/>
  <c r="FI60" i="2"/>
  <c r="FH60" i="2"/>
  <c r="FG60" i="2"/>
  <c r="FF60" i="2"/>
  <c r="FE60" i="2"/>
  <c r="FD60" i="2"/>
  <c r="FC60" i="2"/>
  <c r="FB60" i="2"/>
  <c r="FA60" i="2"/>
  <c r="EZ60" i="2"/>
  <c r="EY60" i="2"/>
  <c r="EX60" i="2"/>
  <c r="EW60" i="2"/>
  <c r="EV60" i="2"/>
  <c r="EU60" i="2"/>
  <c r="ET60" i="2"/>
  <c r="ES60" i="2"/>
  <c r="ER60" i="2"/>
  <c r="EQ60" i="2"/>
  <c r="EP60" i="2"/>
  <c r="EO60" i="2"/>
  <c r="EN60" i="2"/>
  <c r="EM60" i="2"/>
  <c r="EL60" i="2"/>
  <c r="EK60" i="2"/>
  <c r="EJ60" i="2"/>
  <c r="EI60" i="2"/>
  <c r="EH60" i="2"/>
  <c r="EG60" i="2"/>
  <c r="EF60" i="2"/>
  <c r="EE60" i="2"/>
  <c r="ED60" i="2"/>
  <c r="EC60" i="2"/>
  <c r="EB60" i="2"/>
  <c r="EA60" i="2"/>
  <c r="DZ60" i="2"/>
  <c r="DY60" i="2"/>
  <c r="DX60" i="2"/>
  <c r="DW60" i="2"/>
  <c r="DV60" i="2"/>
  <c r="DU60" i="2"/>
  <c r="DS60" i="2"/>
  <c r="DR60" i="2"/>
  <c r="DQ60" i="2"/>
  <c r="DP60" i="2"/>
  <c r="DO60" i="2"/>
  <c r="DN60" i="2"/>
  <c r="DM60" i="2"/>
  <c r="DL60" i="2"/>
  <c r="DK60" i="2"/>
  <c r="DJ60" i="2"/>
  <c r="DI60" i="2"/>
  <c r="DH60" i="2"/>
  <c r="DG60" i="2"/>
  <c r="DE60" i="2"/>
  <c r="DD60" i="2"/>
  <c r="CQ60" i="2"/>
  <c r="CP60" i="2"/>
  <c r="CO60" i="2"/>
  <c r="CN60" i="2"/>
  <c r="T60" i="2"/>
  <c r="K60" i="4" s="1"/>
  <c r="N60" i="4" s="1"/>
  <c r="I60" i="2"/>
  <c r="G60" i="4" s="1"/>
  <c r="FS59" i="2"/>
  <c r="FR59" i="2"/>
  <c r="FQ59" i="2"/>
  <c r="FP59" i="2"/>
  <c r="FO59" i="2"/>
  <c r="FN59" i="2"/>
  <c r="FM59" i="2"/>
  <c r="FL59" i="2"/>
  <c r="FK59" i="2"/>
  <c r="FJ59" i="2"/>
  <c r="FI59" i="2"/>
  <c r="FH59" i="2"/>
  <c r="FG59" i="2"/>
  <c r="FF59" i="2"/>
  <c r="FE59" i="2"/>
  <c r="FD59" i="2"/>
  <c r="FC59" i="2"/>
  <c r="FB59" i="2"/>
  <c r="FA59" i="2"/>
  <c r="EZ59" i="2"/>
  <c r="EY59" i="2"/>
  <c r="EX59" i="2"/>
  <c r="EW59" i="2"/>
  <c r="EV59" i="2"/>
  <c r="EU59" i="2"/>
  <c r="ET59" i="2"/>
  <c r="ES59" i="2"/>
  <c r="ER59" i="2"/>
  <c r="EQ59" i="2"/>
  <c r="EP59" i="2"/>
  <c r="EO59" i="2"/>
  <c r="EN59" i="2"/>
  <c r="EM59" i="2"/>
  <c r="EL59" i="2"/>
  <c r="EK59" i="2"/>
  <c r="EJ59" i="2"/>
  <c r="EI59" i="2"/>
  <c r="EH59" i="2"/>
  <c r="EG59" i="2"/>
  <c r="EF59" i="2"/>
  <c r="EE59" i="2"/>
  <c r="ED59" i="2"/>
  <c r="EC59" i="2"/>
  <c r="EB59" i="2"/>
  <c r="EA59" i="2"/>
  <c r="DZ59" i="2"/>
  <c r="DY59" i="2"/>
  <c r="DX59" i="2"/>
  <c r="DW59" i="2"/>
  <c r="DV59" i="2"/>
  <c r="DU59" i="2"/>
  <c r="DS59" i="2"/>
  <c r="DR59" i="2"/>
  <c r="DQ59" i="2"/>
  <c r="DP59" i="2"/>
  <c r="DO59" i="2"/>
  <c r="DN59" i="2"/>
  <c r="DM59" i="2"/>
  <c r="DL59" i="2"/>
  <c r="DK59" i="2"/>
  <c r="DJ59" i="2"/>
  <c r="DI59" i="2"/>
  <c r="DH59" i="2"/>
  <c r="DG59" i="2"/>
  <c r="DE59" i="2"/>
  <c r="DD59" i="2"/>
  <c r="CQ59" i="2"/>
  <c r="CP59" i="2"/>
  <c r="CO59" i="2"/>
  <c r="CN59" i="2"/>
  <c r="T59" i="2"/>
  <c r="K59" i="4" s="1"/>
  <c r="N59" i="4" s="1"/>
  <c r="I59" i="2"/>
  <c r="G59" i="4" s="1"/>
  <c r="FS58" i="2"/>
  <c r="FR58" i="2"/>
  <c r="FQ58" i="2"/>
  <c r="FP58" i="2"/>
  <c r="FO58" i="2"/>
  <c r="FN58" i="2"/>
  <c r="FM58" i="2"/>
  <c r="FL58" i="2"/>
  <c r="FK58" i="2"/>
  <c r="FJ58" i="2"/>
  <c r="FI58" i="2"/>
  <c r="FH58" i="2"/>
  <c r="FG58" i="2"/>
  <c r="FF58" i="2"/>
  <c r="FE58" i="2"/>
  <c r="FD58" i="2"/>
  <c r="FC58" i="2"/>
  <c r="FB58" i="2"/>
  <c r="FA58" i="2"/>
  <c r="EZ58" i="2"/>
  <c r="EY58" i="2"/>
  <c r="EX58" i="2"/>
  <c r="EW58" i="2"/>
  <c r="EV58" i="2"/>
  <c r="EU58" i="2"/>
  <c r="ET58" i="2"/>
  <c r="ES58" i="2"/>
  <c r="ER58" i="2"/>
  <c r="EQ58" i="2"/>
  <c r="EP58" i="2"/>
  <c r="EO58" i="2"/>
  <c r="EN58" i="2"/>
  <c r="EM58" i="2"/>
  <c r="EL58" i="2"/>
  <c r="EK58" i="2"/>
  <c r="EJ58" i="2"/>
  <c r="EI58" i="2"/>
  <c r="EH58" i="2"/>
  <c r="EG58" i="2"/>
  <c r="EF58" i="2"/>
  <c r="EE58" i="2"/>
  <c r="ED58" i="2"/>
  <c r="EC58" i="2"/>
  <c r="EB58" i="2"/>
  <c r="EA58" i="2"/>
  <c r="DZ58" i="2"/>
  <c r="DY58" i="2"/>
  <c r="DX58" i="2"/>
  <c r="DW58" i="2"/>
  <c r="DV58" i="2"/>
  <c r="DU58" i="2"/>
  <c r="DS58" i="2"/>
  <c r="DR58" i="2"/>
  <c r="DQ58" i="2"/>
  <c r="DP58" i="2"/>
  <c r="DO58" i="2"/>
  <c r="DN58" i="2"/>
  <c r="DM58" i="2"/>
  <c r="DL58" i="2"/>
  <c r="DK58" i="2"/>
  <c r="DJ58" i="2"/>
  <c r="DI58" i="2"/>
  <c r="DH58" i="2"/>
  <c r="DG58" i="2"/>
  <c r="DE58" i="2"/>
  <c r="DD58" i="2"/>
  <c r="CQ58" i="2"/>
  <c r="CP58" i="2"/>
  <c r="CO58" i="2"/>
  <c r="CN58" i="2"/>
  <c r="T58" i="2"/>
  <c r="K58" i="4" s="1"/>
  <c r="I58" i="2"/>
  <c r="G58" i="4" s="1"/>
  <c r="M58" i="4" s="1"/>
  <c r="FS57" i="2"/>
  <c r="FR57" i="2"/>
  <c r="FQ57" i="2"/>
  <c r="FP57" i="2"/>
  <c r="FO57" i="2"/>
  <c r="FN57" i="2"/>
  <c r="FM57" i="2"/>
  <c r="FL57" i="2"/>
  <c r="FK57" i="2"/>
  <c r="FJ57" i="2"/>
  <c r="FI57" i="2"/>
  <c r="FH57" i="2"/>
  <c r="FG57" i="2"/>
  <c r="FF57" i="2"/>
  <c r="FE57" i="2"/>
  <c r="FD57" i="2"/>
  <c r="FC57" i="2"/>
  <c r="FB57" i="2"/>
  <c r="FA57" i="2"/>
  <c r="EZ57" i="2"/>
  <c r="EY57" i="2"/>
  <c r="EX57" i="2"/>
  <c r="EW57" i="2"/>
  <c r="EV57" i="2"/>
  <c r="EU57" i="2"/>
  <c r="ET57" i="2"/>
  <c r="ES57" i="2"/>
  <c r="ER57" i="2"/>
  <c r="EQ57" i="2"/>
  <c r="EP57" i="2"/>
  <c r="EO57" i="2"/>
  <c r="EN57" i="2"/>
  <c r="EM57" i="2"/>
  <c r="EL57" i="2"/>
  <c r="EK57" i="2"/>
  <c r="EJ57" i="2"/>
  <c r="EI57" i="2"/>
  <c r="EH57" i="2"/>
  <c r="EG57" i="2"/>
  <c r="EF57" i="2"/>
  <c r="EE57" i="2"/>
  <c r="ED57" i="2"/>
  <c r="EC57" i="2"/>
  <c r="EB57" i="2"/>
  <c r="EA57" i="2"/>
  <c r="DZ57" i="2"/>
  <c r="DY57" i="2"/>
  <c r="DX57" i="2"/>
  <c r="DW57" i="2"/>
  <c r="DV57" i="2"/>
  <c r="DU57" i="2"/>
  <c r="DS57" i="2"/>
  <c r="DR57" i="2"/>
  <c r="DQ57" i="2"/>
  <c r="DP57" i="2"/>
  <c r="DO57" i="2"/>
  <c r="DN57" i="2"/>
  <c r="DM57" i="2"/>
  <c r="DL57" i="2"/>
  <c r="DK57" i="2"/>
  <c r="DJ57" i="2"/>
  <c r="DI57" i="2"/>
  <c r="DH57" i="2"/>
  <c r="DG57" i="2"/>
  <c r="DE57" i="2"/>
  <c r="DD57" i="2"/>
  <c r="CQ57" i="2"/>
  <c r="CP57" i="2"/>
  <c r="CO57" i="2"/>
  <c r="CN57" i="2"/>
  <c r="T57" i="2"/>
  <c r="K57" i="4" s="1"/>
  <c r="N57" i="4" s="1"/>
  <c r="I57" i="2"/>
  <c r="G57" i="4" s="1"/>
  <c r="FS56" i="2"/>
  <c r="FR56" i="2"/>
  <c r="FQ56" i="2"/>
  <c r="FP56" i="2"/>
  <c r="FO56" i="2"/>
  <c r="FN56" i="2"/>
  <c r="FM56" i="2"/>
  <c r="FL56" i="2"/>
  <c r="FK56" i="2"/>
  <c r="FJ56" i="2"/>
  <c r="FI56" i="2"/>
  <c r="FH56" i="2"/>
  <c r="FG56" i="2"/>
  <c r="FF56" i="2"/>
  <c r="FE56" i="2"/>
  <c r="FD56" i="2"/>
  <c r="FC56" i="2"/>
  <c r="FB56" i="2"/>
  <c r="FA56" i="2"/>
  <c r="EZ56" i="2"/>
  <c r="EY56" i="2"/>
  <c r="EX56" i="2"/>
  <c r="EW56" i="2"/>
  <c r="EV56" i="2"/>
  <c r="EU56" i="2"/>
  <c r="ET56" i="2"/>
  <c r="ES56" i="2"/>
  <c r="ER56" i="2"/>
  <c r="EQ56" i="2"/>
  <c r="EP56" i="2"/>
  <c r="EO56" i="2"/>
  <c r="EN56" i="2"/>
  <c r="EM56" i="2"/>
  <c r="EL56" i="2"/>
  <c r="EK56" i="2"/>
  <c r="EJ56" i="2"/>
  <c r="EI56" i="2"/>
  <c r="EH56" i="2"/>
  <c r="EG56" i="2"/>
  <c r="EF56" i="2"/>
  <c r="EE56" i="2"/>
  <c r="ED56" i="2"/>
  <c r="EC56" i="2"/>
  <c r="EB56" i="2"/>
  <c r="EA56" i="2"/>
  <c r="DZ56" i="2"/>
  <c r="DY56" i="2"/>
  <c r="DX56" i="2"/>
  <c r="DW56" i="2"/>
  <c r="DV56" i="2"/>
  <c r="DU56" i="2"/>
  <c r="DS56" i="2"/>
  <c r="DR56" i="2"/>
  <c r="DQ56" i="2"/>
  <c r="DP56" i="2"/>
  <c r="DO56" i="2"/>
  <c r="DN56" i="2"/>
  <c r="DM56" i="2"/>
  <c r="DL56" i="2"/>
  <c r="DK56" i="2"/>
  <c r="DJ56" i="2"/>
  <c r="DI56" i="2"/>
  <c r="DH56" i="2"/>
  <c r="DG56" i="2"/>
  <c r="DE56" i="2"/>
  <c r="DD56" i="2"/>
  <c r="CQ56" i="2"/>
  <c r="CP56" i="2"/>
  <c r="CO56" i="2"/>
  <c r="CN56" i="2"/>
  <c r="T56" i="2"/>
  <c r="K56" i="4" s="1"/>
  <c r="N56" i="4" s="1"/>
  <c r="I56" i="2"/>
  <c r="G56" i="4" s="1"/>
  <c r="FS55" i="2"/>
  <c r="FR55" i="2"/>
  <c r="FQ55" i="2"/>
  <c r="FP55" i="2"/>
  <c r="FO55" i="2"/>
  <c r="FN55" i="2"/>
  <c r="FM55" i="2"/>
  <c r="FL55" i="2"/>
  <c r="FK55" i="2"/>
  <c r="FJ55" i="2"/>
  <c r="FI55" i="2"/>
  <c r="FH55" i="2"/>
  <c r="FG55" i="2"/>
  <c r="FF55" i="2"/>
  <c r="FE55" i="2"/>
  <c r="FD55" i="2"/>
  <c r="FC55" i="2"/>
  <c r="FB55" i="2"/>
  <c r="FA55" i="2"/>
  <c r="EZ55" i="2"/>
  <c r="EY55" i="2"/>
  <c r="EX55" i="2"/>
  <c r="EW55" i="2"/>
  <c r="EV55" i="2"/>
  <c r="EU55" i="2"/>
  <c r="ET55" i="2"/>
  <c r="ES55" i="2"/>
  <c r="ER55" i="2"/>
  <c r="EQ55" i="2"/>
  <c r="EP55" i="2"/>
  <c r="EO55" i="2"/>
  <c r="EN55" i="2"/>
  <c r="EM55" i="2"/>
  <c r="EL55" i="2"/>
  <c r="EK55" i="2"/>
  <c r="EJ55" i="2"/>
  <c r="EI55" i="2"/>
  <c r="EH55" i="2"/>
  <c r="EG55" i="2"/>
  <c r="EF55" i="2"/>
  <c r="EE55" i="2"/>
  <c r="ED55" i="2"/>
  <c r="EC55" i="2"/>
  <c r="EB55" i="2"/>
  <c r="EA55" i="2"/>
  <c r="DZ55" i="2"/>
  <c r="DY55" i="2"/>
  <c r="DX55" i="2"/>
  <c r="DW55" i="2"/>
  <c r="DV55" i="2"/>
  <c r="DU55" i="2"/>
  <c r="DS55" i="2"/>
  <c r="DR55" i="2"/>
  <c r="DQ55" i="2"/>
  <c r="DP55" i="2"/>
  <c r="DO55" i="2"/>
  <c r="DN55" i="2"/>
  <c r="DM55" i="2"/>
  <c r="DL55" i="2"/>
  <c r="DK55" i="2"/>
  <c r="DJ55" i="2"/>
  <c r="DI55" i="2"/>
  <c r="DH55" i="2"/>
  <c r="DG55" i="2"/>
  <c r="DE55" i="2"/>
  <c r="DD55" i="2"/>
  <c r="CQ55" i="2"/>
  <c r="CP55" i="2"/>
  <c r="CO55" i="2"/>
  <c r="CN55" i="2"/>
  <c r="T55" i="2"/>
  <c r="K55" i="4" s="1"/>
  <c r="I55" i="2"/>
  <c r="G55" i="4" s="1"/>
  <c r="FS54" i="2"/>
  <c r="FR54" i="2"/>
  <c r="FQ54" i="2"/>
  <c r="FP54" i="2"/>
  <c r="FO54" i="2"/>
  <c r="FN54" i="2"/>
  <c r="FM54" i="2"/>
  <c r="FL54" i="2"/>
  <c r="FK54" i="2"/>
  <c r="FJ54" i="2"/>
  <c r="FI54" i="2"/>
  <c r="FH54" i="2"/>
  <c r="FG54" i="2"/>
  <c r="FF54" i="2"/>
  <c r="FE54" i="2"/>
  <c r="FD54" i="2"/>
  <c r="FC54" i="2"/>
  <c r="FB54" i="2"/>
  <c r="FA54" i="2"/>
  <c r="EZ54" i="2"/>
  <c r="EY54" i="2"/>
  <c r="EX54" i="2"/>
  <c r="EW54" i="2"/>
  <c r="EV54" i="2"/>
  <c r="EU54" i="2"/>
  <c r="ET54" i="2"/>
  <c r="ES54" i="2"/>
  <c r="ER54" i="2"/>
  <c r="EQ54" i="2"/>
  <c r="EP54" i="2"/>
  <c r="EO54" i="2"/>
  <c r="EN54" i="2"/>
  <c r="EM54" i="2"/>
  <c r="EL54" i="2"/>
  <c r="EK54" i="2"/>
  <c r="EJ54" i="2"/>
  <c r="EI54" i="2"/>
  <c r="EH54" i="2"/>
  <c r="EG54" i="2"/>
  <c r="EF54" i="2"/>
  <c r="EE54" i="2"/>
  <c r="ED54" i="2"/>
  <c r="EC54" i="2"/>
  <c r="EB54" i="2"/>
  <c r="EA54" i="2"/>
  <c r="DZ54" i="2"/>
  <c r="DY54" i="2"/>
  <c r="DX54" i="2"/>
  <c r="DW54" i="2"/>
  <c r="DV54" i="2"/>
  <c r="DU54" i="2"/>
  <c r="DS54" i="2"/>
  <c r="DR54" i="2"/>
  <c r="DQ54" i="2"/>
  <c r="DP54" i="2"/>
  <c r="DO54" i="2"/>
  <c r="DN54" i="2"/>
  <c r="DM54" i="2"/>
  <c r="DL54" i="2"/>
  <c r="DK54" i="2"/>
  <c r="DJ54" i="2"/>
  <c r="DI54" i="2"/>
  <c r="DH54" i="2"/>
  <c r="DG54" i="2"/>
  <c r="DE54" i="2"/>
  <c r="DD54" i="2"/>
  <c r="CQ54" i="2"/>
  <c r="CP54" i="2"/>
  <c r="CO54" i="2"/>
  <c r="CN54" i="2"/>
  <c r="T54" i="2"/>
  <c r="K54" i="4" s="1"/>
  <c r="N54" i="4" s="1"/>
  <c r="I54" i="2"/>
  <c r="G54" i="4" s="1"/>
  <c r="FS53" i="2"/>
  <c r="FR53" i="2"/>
  <c r="FQ53" i="2"/>
  <c r="FP53" i="2"/>
  <c r="FO53" i="2"/>
  <c r="FN53" i="2"/>
  <c r="FM53" i="2"/>
  <c r="FL53" i="2"/>
  <c r="FK53" i="2"/>
  <c r="FJ53" i="2"/>
  <c r="FI53" i="2"/>
  <c r="FH53" i="2"/>
  <c r="FG53" i="2"/>
  <c r="FF53" i="2"/>
  <c r="FE53" i="2"/>
  <c r="FD53" i="2"/>
  <c r="FC53" i="2"/>
  <c r="FB53" i="2"/>
  <c r="FA53" i="2"/>
  <c r="EZ53" i="2"/>
  <c r="EY53" i="2"/>
  <c r="EX53" i="2"/>
  <c r="EW53" i="2"/>
  <c r="EV53" i="2"/>
  <c r="EU53" i="2"/>
  <c r="ET53" i="2"/>
  <c r="ES53" i="2"/>
  <c r="ER53" i="2"/>
  <c r="EQ53" i="2"/>
  <c r="EP53" i="2"/>
  <c r="EO53" i="2"/>
  <c r="EN53" i="2"/>
  <c r="EM53" i="2"/>
  <c r="EL53" i="2"/>
  <c r="EK53" i="2"/>
  <c r="EJ53" i="2"/>
  <c r="EI53" i="2"/>
  <c r="EH53" i="2"/>
  <c r="EG53" i="2"/>
  <c r="EF53" i="2"/>
  <c r="EE53" i="2"/>
  <c r="ED53" i="2"/>
  <c r="EC53" i="2"/>
  <c r="EB53" i="2"/>
  <c r="EA53" i="2"/>
  <c r="DZ53" i="2"/>
  <c r="DY53" i="2"/>
  <c r="DX53" i="2"/>
  <c r="DW53" i="2"/>
  <c r="DV53" i="2"/>
  <c r="DU53" i="2"/>
  <c r="DS53" i="2"/>
  <c r="DR53" i="2"/>
  <c r="DQ53" i="2"/>
  <c r="DP53" i="2"/>
  <c r="DO53" i="2"/>
  <c r="DN53" i="2"/>
  <c r="DM53" i="2"/>
  <c r="DL53" i="2"/>
  <c r="DK53" i="2"/>
  <c r="DJ53" i="2"/>
  <c r="DI53" i="2"/>
  <c r="DH53" i="2"/>
  <c r="DG53" i="2"/>
  <c r="DE53" i="2"/>
  <c r="DD53" i="2"/>
  <c r="CQ53" i="2"/>
  <c r="CP53" i="2"/>
  <c r="CO53" i="2"/>
  <c r="CN53" i="2"/>
  <c r="T53" i="2"/>
  <c r="K53" i="4" s="1"/>
  <c r="I53" i="2"/>
  <c r="G53" i="4" s="1"/>
  <c r="FS52" i="2"/>
  <c r="FR52" i="2"/>
  <c r="FQ52" i="2"/>
  <c r="FP52" i="2"/>
  <c r="FO52" i="2"/>
  <c r="FN52" i="2"/>
  <c r="FM52" i="2"/>
  <c r="FL52" i="2"/>
  <c r="FK52" i="2"/>
  <c r="FJ52" i="2"/>
  <c r="FI52" i="2"/>
  <c r="FH52" i="2"/>
  <c r="FG52" i="2"/>
  <c r="FF52" i="2"/>
  <c r="FE52" i="2"/>
  <c r="FD52" i="2"/>
  <c r="FC52" i="2"/>
  <c r="FB52" i="2"/>
  <c r="FA52" i="2"/>
  <c r="EZ52" i="2"/>
  <c r="EY52" i="2"/>
  <c r="EX52" i="2"/>
  <c r="EW52" i="2"/>
  <c r="EV52" i="2"/>
  <c r="EU52" i="2"/>
  <c r="ET52" i="2"/>
  <c r="ES52" i="2"/>
  <c r="ER52" i="2"/>
  <c r="EQ52" i="2"/>
  <c r="EP52" i="2"/>
  <c r="EO52" i="2"/>
  <c r="EN52" i="2"/>
  <c r="EM52" i="2"/>
  <c r="EL52" i="2"/>
  <c r="EK52" i="2"/>
  <c r="EJ52" i="2"/>
  <c r="EI52" i="2"/>
  <c r="EH52" i="2"/>
  <c r="EG52" i="2"/>
  <c r="EF52" i="2"/>
  <c r="EE52" i="2"/>
  <c r="ED52" i="2"/>
  <c r="EC52" i="2"/>
  <c r="EB52" i="2"/>
  <c r="EA52" i="2"/>
  <c r="DZ52" i="2"/>
  <c r="DY52" i="2"/>
  <c r="DX52" i="2"/>
  <c r="DW52" i="2"/>
  <c r="DV52" i="2"/>
  <c r="DU52" i="2"/>
  <c r="DS52" i="2"/>
  <c r="DR52" i="2"/>
  <c r="DQ52" i="2"/>
  <c r="DP52" i="2"/>
  <c r="DO52" i="2"/>
  <c r="DN52" i="2"/>
  <c r="DM52" i="2"/>
  <c r="DL52" i="2"/>
  <c r="DK52" i="2"/>
  <c r="DJ52" i="2"/>
  <c r="DI52" i="2"/>
  <c r="DH52" i="2"/>
  <c r="DG52" i="2"/>
  <c r="DE52" i="2"/>
  <c r="DD52" i="2"/>
  <c r="CQ52" i="2"/>
  <c r="CP52" i="2"/>
  <c r="CO52" i="2"/>
  <c r="CN52" i="2"/>
  <c r="T52" i="2"/>
  <c r="K52" i="4" s="1"/>
  <c r="I52" i="2"/>
  <c r="G52" i="4" s="1"/>
  <c r="FS51" i="2"/>
  <c r="FR51" i="2"/>
  <c r="FQ51" i="2"/>
  <c r="FP51" i="2"/>
  <c r="FO51" i="2"/>
  <c r="FN51" i="2"/>
  <c r="FM51" i="2"/>
  <c r="FL51" i="2"/>
  <c r="FK51" i="2"/>
  <c r="FJ51" i="2"/>
  <c r="FI51" i="2"/>
  <c r="FH51" i="2"/>
  <c r="FG51" i="2"/>
  <c r="FF51" i="2"/>
  <c r="FE51" i="2"/>
  <c r="FD51" i="2"/>
  <c r="FC51" i="2"/>
  <c r="FB51" i="2"/>
  <c r="FA51" i="2"/>
  <c r="EZ51" i="2"/>
  <c r="EY51" i="2"/>
  <c r="EX51" i="2"/>
  <c r="EW51" i="2"/>
  <c r="EV51" i="2"/>
  <c r="EU51" i="2"/>
  <c r="ET51" i="2"/>
  <c r="ES51" i="2"/>
  <c r="ER51" i="2"/>
  <c r="EQ51" i="2"/>
  <c r="EP51" i="2"/>
  <c r="EO51" i="2"/>
  <c r="EN51" i="2"/>
  <c r="EM51" i="2"/>
  <c r="EL51" i="2"/>
  <c r="EK51" i="2"/>
  <c r="EJ51" i="2"/>
  <c r="EI51" i="2"/>
  <c r="EH51" i="2"/>
  <c r="EG51" i="2"/>
  <c r="EF51" i="2"/>
  <c r="EE51" i="2"/>
  <c r="ED51" i="2"/>
  <c r="EC51" i="2"/>
  <c r="EB51" i="2"/>
  <c r="EA51" i="2"/>
  <c r="DZ51" i="2"/>
  <c r="DY51" i="2"/>
  <c r="DX51" i="2"/>
  <c r="DW51" i="2"/>
  <c r="DV51" i="2"/>
  <c r="DU51" i="2"/>
  <c r="DS51" i="2"/>
  <c r="DR51" i="2"/>
  <c r="DQ51" i="2"/>
  <c r="DP51" i="2"/>
  <c r="DO51" i="2"/>
  <c r="DN51" i="2"/>
  <c r="DM51" i="2"/>
  <c r="DL51" i="2"/>
  <c r="DK51" i="2"/>
  <c r="DJ51" i="2"/>
  <c r="DI51" i="2"/>
  <c r="DH51" i="2"/>
  <c r="DG51" i="2"/>
  <c r="DE51" i="2"/>
  <c r="DD51" i="2"/>
  <c r="CQ51" i="2"/>
  <c r="CP51" i="2"/>
  <c r="CO51" i="2"/>
  <c r="CN51" i="2"/>
  <c r="T51" i="2"/>
  <c r="K51" i="4" s="1"/>
  <c r="N51" i="4" s="1"/>
  <c r="I51" i="2"/>
  <c r="G51" i="4" s="1"/>
  <c r="FS50" i="2"/>
  <c r="FR50" i="2"/>
  <c r="FQ50" i="2"/>
  <c r="FP50" i="2"/>
  <c r="FO50" i="2"/>
  <c r="FN50" i="2"/>
  <c r="FM50" i="2"/>
  <c r="FL50" i="2"/>
  <c r="FK50" i="2"/>
  <c r="FJ50" i="2"/>
  <c r="FI50" i="2"/>
  <c r="FH50" i="2"/>
  <c r="FG50" i="2"/>
  <c r="FF50" i="2"/>
  <c r="FE50" i="2"/>
  <c r="FD50" i="2"/>
  <c r="FC50" i="2"/>
  <c r="FB50" i="2"/>
  <c r="FA50" i="2"/>
  <c r="EZ50" i="2"/>
  <c r="EY50" i="2"/>
  <c r="EX50" i="2"/>
  <c r="EW50" i="2"/>
  <c r="EV50" i="2"/>
  <c r="EU50" i="2"/>
  <c r="ET50" i="2"/>
  <c r="ES50" i="2"/>
  <c r="ER50" i="2"/>
  <c r="EQ50" i="2"/>
  <c r="EP50" i="2"/>
  <c r="EO50" i="2"/>
  <c r="EN50" i="2"/>
  <c r="EM50" i="2"/>
  <c r="EL50" i="2"/>
  <c r="EK50" i="2"/>
  <c r="EJ50" i="2"/>
  <c r="EI50" i="2"/>
  <c r="EH50" i="2"/>
  <c r="EG50" i="2"/>
  <c r="EF50" i="2"/>
  <c r="EE50" i="2"/>
  <c r="ED50" i="2"/>
  <c r="EC50" i="2"/>
  <c r="EB50" i="2"/>
  <c r="EA50" i="2"/>
  <c r="DZ50" i="2"/>
  <c r="DY50" i="2"/>
  <c r="DX50" i="2"/>
  <c r="DW50" i="2"/>
  <c r="DV50" i="2"/>
  <c r="DU50" i="2"/>
  <c r="DS50" i="2"/>
  <c r="DR50" i="2"/>
  <c r="DQ50" i="2"/>
  <c r="DP50" i="2"/>
  <c r="DO50" i="2"/>
  <c r="DN50" i="2"/>
  <c r="DM50" i="2"/>
  <c r="DL50" i="2"/>
  <c r="DK50" i="2"/>
  <c r="DJ50" i="2"/>
  <c r="DI50" i="2"/>
  <c r="DH50" i="2"/>
  <c r="DG50" i="2"/>
  <c r="DE50" i="2"/>
  <c r="DD50" i="2"/>
  <c r="CQ50" i="2"/>
  <c r="CP50" i="2"/>
  <c r="CO50" i="2"/>
  <c r="CN50" i="2"/>
  <c r="T50" i="2"/>
  <c r="K50" i="4" s="1"/>
  <c r="I50" i="2"/>
  <c r="G50" i="4" s="1"/>
  <c r="FS49" i="2"/>
  <c r="FR49" i="2"/>
  <c r="FQ49" i="2"/>
  <c r="FP49" i="2"/>
  <c r="FO49" i="2"/>
  <c r="FN49" i="2"/>
  <c r="FM49" i="2"/>
  <c r="FL49" i="2"/>
  <c r="FK49" i="2"/>
  <c r="FJ49" i="2"/>
  <c r="FI49" i="2"/>
  <c r="FH49" i="2"/>
  <c r="FG49" i="2"/>
  <c r="FF49" i="2"/>
  <c r="FE49" i="2"/>
  <c r="FD49" i="2"/>
  <c r="FC49" i="2"/>
  <c r="FB49" i="2"/>
  <c r="FA49" i="2"/>
  <c r="EZ49" i="2"/>
  <c r="EY49" i="2"/>
  <c r="EX49" i="2"/>
  <c r="EW49" i="2"/>
  <c r="EV49" i="2"/>
  <c r="EU49" i="2"/>
  <c r="ET49" i="2"/>
  <c r="ES49" i="2"/>
  <c r="ER49" i="2"/>
  <c r="EQ49" i="2"/>
  <c r="EP49" i="2"/>
  <c r="EO49" i="2"/>
  <c r="EN49" i="2"/>
  <c r="EM49" i="2"/>
  <c r="EL49" i="2"/>
  <c r="EK49" i="2"/>
  <c r="EJ49" i="2"/>
  <c r="EI49" i="2"/>
  <c r="EH49" i="2"/>
  <c r="EG49" i="2"/>
  <c r="EF49" i="2"/>
  <c r="EE49" i="2"/>
  <c r="ED49" i="2"/>
  <c r="EC49" i="2"/>
  <c r="EB49" i="2"/>
  <c r="EA49" i="2"/>
  <c r="DZ49" i="2"/>
  <c r="DY49" i="2"/>
  <c r="DX49" i="2"/>
  <c r="DW49" i="2"/>
  <c r="DV49" i="2"/>
  <c r="DU49" i="2"/>
  <c r="DS49" i="2"/>
  <c r="DR49" i="2"/>
  <c r="DQ49" i="2"/>
  <c r="DP49" i="2"/>
  <c r="DO49" i="2"/>
  <c r="DN49" i="2"/>
  <c r="DM49" i="2"/>
  <c r="DL49" i="2"/>
  <c r="DK49" i="2"/>
  <c r="DJ49" i="2"/>
  <c r="DI49" i="2"/>
  <c r="DH49" i="2"/>
  <c r="DG49" i="2"/>
  <c r="DE49" i="2"/>
  <c r="DD49" i="2"/>
  <c r="CQ49" i="2"/>
  <c r="CP49" i="2"/>
  <c r="CO49" i="2"/>
  <c r="CN49" i="2"/>
  <c r="T49" i="2"/>
  <c r="K49" i="4" s="1"/>
  <c r="I49" i="2"/>
  <c r="G49" i="4" s="1"/>
  <c r="FS48" i="2"/>
  <c r="FR48" i="2"/>
  <c r="FQ48" i="2"/>
  <c r="FP48" i="2"/>
  <c r="FO48" i="2"/>
  <c r="FN48" i="2"/>
  <c r="FM48" i="2"/>
  <c r="FL48" i="2"/>
  <c r="FK48" i="2"/>
  <c r="FJ48" i="2"/>
  <c r="FI48" i="2"/>
  <c r="FH48" i="2"/>
  <c r="FG48" i="2"/>
  <c r="FF48" i="2"/>
  <c r="FE48" i="2"/>
  <c r="FD48" i="2"/>
  <c r="FC48" i="2"/>
  <c r="FB48" i="2"/>
  <c r="FA48" i="2"/>
  <c r="EZ48" i="2"/>
  <c r="EY48" i="2"/>
  <c r="EX48" i="2"/>
  <c r="EW48" i="2"/>
  <c r="EV48" i="2"/>
  <c r="EU48" i="2"/>
  <c r="ET48" i="2"/>
  <c r="ES48" i="2"/>
  <c r="ER48" i="2"/>
  <c r="EQ48" i="2"/>
  <c r="EP48" i="2"/>
  <c r="EO48" i="2"/>
  <c r="EN48" i="2"/>
  <c r="EM48" i="2"/>
  <c r="EL48" i="2"/>
  <c r="EK48" i="2"/>
  <c r="EJ48" i="2"/>
  <c r="EI48" i="2"/>
  <c r="EH48" i="2"/>
  <c r="EG48" i="2"/>
  <c r="EF48" i="2"/>
  <c r="EE48" i="2"/>
  <c r="ED48" i="2"/>
  <c r="EC48" i="2"/>
  <c r="EB48" i="2"/>
  <c r="EA48" i="2"/>
  <c r="DZ48" i="2"/>
  <c r="DY48" i="2"/>
  <c r="DX48" i="2"/>
  <c r="DW48" i="2"/>
  <c r="DV48" i="2"/>
  <c r="DU48" i="2"/>
  <c r="DS48" i="2"/>
  <c r="DR48" i="2"/>
  <c r="DQ48" i="2"/>
  <c r="DP48" i="2"/>
  <c r="DO48" i="2"/>
  <c r="DN48" i="2"/>
  <c r="DM48" i="2"/>
  <c r="DL48" i="2"/>
  <c r="DK48" i="2"/>
  <c r="DJ48" i="2"/>
  <c r="DI48" i="2"/>
  <c r="DH48" i="2"/>
  <c r="DG48" i="2"/>
  <c r="DE48" i="2"/>
  <c r="DD48" i="2"/>
  <c r="CQ48" i="2"/>
  <c r="CP48" i="2"/>
  <c r="CO48" i="2"/>
  <c r="CN48" i="2"/>
  <c r="T48" i="2"/>
  <c r="K48" i="4" s="1"/>
  <c r="N48" i="4" s="1"/>
  <c r="I48" i="2"/>
  <c r="G48" i="4" s="1"/>
  <c r="FS47" i="2"/>
  <c r="FR47" i="2"/>
  <c r="FQ47" i="2"/>
  <c r="FP47" i="2"/>
  <c r="FO47" i="2"/>
  <c r="FN47" i="2"/>
  <c r="FM47" i="2"/>
  <c r="FL47" i="2"/>
  <c r="FK47" i="2"/>
  <c r="FJ47" i="2"/>
  <c r="FI47" i="2"/>
  <c r="FH47" i="2"/>
  <c r="FG47" i="2"/>
  <c r="FF47" i="2"/>
  <c r="FE47" i="2"/>
  <c r="FD47" i="2"/>
  <c r="FC47" i="2"/>
  <c r="FB47" i="2"/>
  <c r="FA47" i="2"/>
  <c r="EZ47" i="2"/>
  <c r="EY47" i="2"/>
  <c r="EX47" i="2"/>
  <c r="EW47" i="2"/>
  <c r="EV47" i="2"/>
  <c r="EU47" i="2"/>
  <c r="ET47" i="2"/>
  <c r="ES47" i="2"/>
  <c r="ER47" i="2"/>
  <c r="EQ47" i="2"/>
  <c r="EP47" i="2"/>
  <c r="EO47" i="2"/>
  <c r="EN47" i="2"/>
  <c r="EM47" i="2"/>
  <c r="EL47" i="2"/>
  <c r="EK47" i="2"/>
  <c r="EJ47" i="2"/>
  <c r="EI47" i="2"/>
  <c r="EH47" i="2"/>
  <c r="EG47" i="2"/>
  <c r="EF47" i="2"/>
  <c r="EE47" i="2"/>
  <c r="ED47" i="2"/>
  <c r="EC47" i="2"/>
  <c r="EB47" i="2"/>
  <c r="EA47" i="2"/>
  <c r="DZ47" i="2"/>
  <c r="DY47" i="2"/>
  <c r="DX47" i="2"/>
  <c r="DW47" i="2"/>
  <c r="DV47" i="2"/>
  <c r="DU47" i="2"/>
  <c r="DS47" i="2"/>
  <c r="DR47" i="2"/>
  <c r="DQ47" i="2"/>
  <c r="DP47" i="2"/>
  <c r="DO47" i="2"/>
  <c r="DN47" i="2"/>
  <c r="DM47" i="2"/>
  <c r="DL47" i="2"/>
  <c r="DK47" i="2"/>
  <c r="DJ47" i="2"/>
  <c r="DI47" i="2"/>
  <c r="DH47" i="2"/>
  <c r="DG47" i="2"/>
  <c r="DF47" i="2"/>
  <c r="DE47" i="2"/>
  <c r="DD47" i="2"/>
  <c r="CQ47" i="2"/>
  <c r="CP47" i="2"/>
  <c r="CO47" i="2"/>
  <c r="CN47" i="2"/>
  <c r="T47" i="2"/>
  <c r="K47" i="4" s="1"/>
  <c r="I47" i="2"/>
  <c r="G47" i="4" s="1"/>
  <c r="FS46" i="2"/>
  <c r="FR46" i="2"/>
  <c r="FQ46" i="2"/>
  <c r="FP46" i="2"/>
  <c r="FO46" i="2"/>
  <c r="FN46" i="2"/>
  <c r="FM46" i="2"/>
  <c r="FL46" i="2"/>
  <c r="FK46" i="2"/>
  <c r="FJ46" i="2"/>
  <c r="FI46" i="2"/>
  <c r="FH46" i="2"/>
  <c r="FG46" i="2"/>
  <c r="FF46" i="2"/>
  <c r="FE46" i="2"/>
  <c r="FD46" i="2"/>
  <c r="FC46" i="2"/>
  <c r="FB46" i="2"/>
  <c r="FA46" i="2"/>
  <c r="EZ46" i="2"/>
  <c r="EY46" i="2"/>
  <c r="EX46" i="2"/>
  <c r="EW46" i="2"/>
  <c r="EV46" i="2"/>
  <c r="EU46" i="2"/>
  <c r="ET46" i="2"/>
  <c r="ES46" i="2"/>
  <c r="ER46" i="2"/>
  <c r="EQ46" i="2"/>
  <c r="EP46" i="2"/>
  <c r="EO46" i="2"/>
  <c r="EN46" i="2"/>
  <c r="EM46" i="2"/>
  <c r="EL46" i="2"/>
  <c r="EK46" i="2"/>
  <c r="EJ46" i="2"/>
  <c r="EI46" i="2"/>
  <c r="EH46" i="2"/>
  <c r="EG46" i="2"/>
  <c r="EF46" i="2"/>
  <c r="EE46" i="2"/>
  <c r="ED46" i="2"/>
  <c r="EC46" i="2"/>
  <c r="EB46" i="2"/>
  <c r="EA46" i="2"/>
  <c r="DZ46" i="2"/>
  <c r="DY46" i="2"/>
  <c r="DX46" i="2"/>
  <c r="DW46" i="2"/>
  <c r="DV46" i="2"/>
  <c r="DU46" i="2"/>
  <c r="DS46" i="2"/>
  <c r="DR46" i="2"/>
  <c r="DQ46" i="2"/>
  <c r="DP46" i="2"/>
  <c r="DO46" i="2"/>
  <c r="DN46" i="2"/>
  <c r="DM46" i="2"/>
  <c r="DL46" i="2"/>
  <c r="DK46" i="2"/>
  <c r="DJ46" i="2"/>
  <c r="DI46" i="2"/>
  <c r="DH46" i="2"/>
  <c r="DG46" i="2"/>
  <c r="DE46" i="2"/>
  <c r="DD46" i="2"/>
  <c r="CQ46" i="2"/>
  <c r="CP46" i="2"/>
  <c r="CO46" i="2"/>
  <c r="CN46" i="2"/>
  <c r="T46" i="2"/>
  <c r="K46" i="4" s="1"/>
  <c r="I46" i="2"/>
  <c r="G46" i="4" s="1"/>
  <c r="FS45" i="2"/>
  <c r="FR45" i="2"/>
  <c r="FQ45" i="2"/>
  <c r="FP45" i="2"/>
  <c r="FO45" i="2"/>
  <c r="FN45" i="2"/>
  <c r="FM45" i="2"/>
  <c r="FL45" i="2"/>
  <c r="FK45" i="2"/>
  <c r="FJ45" i="2"/>
  <c r="FI45" i="2"/>
  <c r="FH45" i="2"/>
  <c r="FG45" i="2"/>
  <c r="FF45" i="2"/>
  <c r="FE45" i="2"/>
  <c r="FD45" i="2"/>
  <c r="FC45" i="2"/>
  <c r="FB45" i="2"/>
  <c r="FA45" i="2"/>
  <c r="EZ45" i="2"/>
  <c r="EY45" i="2"/>
  <c r="EX45" i="2"/>
  <c r="EW45" i="2"/>
  <c r="EV45" i="2"/>
  <c r="EU45" i="2"/>
  <c r="ET45" i="2"/>
  <c r="ES45" i="2"/>
  <c r="ER45" i="2"/>
  <c r="EQ45" i="2"/>
  <c r="EP45" i="2"/>
  <c r="EO45" i="2"/>
  <c r="EN45" i="2"/>
  <c r="EM45" i="2"/>
  <c r="EL45" i="2"/>
  <c r="EK45" i="2"/>
  <c r="EJ45" i="2"/>
  <c r="EI45" i="2"/>
  <c r="EH45" i="2"/>
  <c r="EG45" i="2"/>
  <c r="EF45" i="2"/>
  <c r="EE45" i="2"/>
  <c r="ED45" i="2"/>
  <c r="EC45" i="2"/>
  <c r="EB45" i="2"/>
  <c r="EA45" i="2"/>
  <c r="DZ45" i="2"/>
  <c r="DY45" i="2"/>
  <c r="DX45" i="2"/>
  <c r="DW45" i="2"/>
  <c r="DV45" i="2"/>
  <c r="DU45" i="2"/>
  <c r="DS45" i="2"/>
  <c r="DR45" i="2"/>
  <c r="DQ45" i="2"/>
  <c r="DP45" i="2"/>
  <c r="DO45" i="2"/>
  <c r="DN45" i="2"/>
  <c r="DM45" i="2"/>
  <c r="DL45" i="2"/>
  <c r="DK45" i="2"/>
  <c r="DJ45" i="2"/>
  <c r="DI45" i="2"/>
  <c r="DH45" i="2"/>
  <c r="DG45" i="2"/>
  <c r="DE45" i="2"/>
  <c r="DD45" i="2"/>
  <c r="CQ45" i="2"/>
  <c r="CP45" i="2"/>
  <c r="CO45" i="2"/>
  <c r="CN45" i="2"/>
  <c r="T45" i="2"/>
  <c r="K45" i="4" s="1"/>
  <c r="N45" i="4" s="1"/>
  <c r="I45" i="2"/>
  <c r="G45" i="4" s="1"/>
  <c r="FS44" i="2"/>
  <c r="FR44" i="2"/>
  <c r="FQ44" i="2"/>
  <c r="FP44" i="2"/>
  <c r="FO44" i="2"/>
  <c r="FN44" i="2"/>
  <c r="FM44" i="2"/>
  <c r="FL44" i="2"/>
  <c r="FK44" i="2"/>
  <c r="FJ44" i="2"/>
  <c r="FI44" i="2"/>
  <c r="FH44" i="2"/>
  <c r="FG44" i="2"/>
  <c r="FF44" i="2"/>
  <c r="FE44" i="2"/>
  <c r="FD44" i="2"/>
  <c r="FC44" i="2"/>
  <c r="FB44" i="2"/>
  <c r="FA44" i="2"/>
  <c r="EZ44" i="2"/>
  <c r="EY44" i="2"/>
  <c r="EX44" i="2"/>
  <c r="EW44" i="2"/>
  <c r="EV44" i="2"/>
  <c r="EU44" i="2"/>
  <c r="ET44" i="2"/>
  <c r="ES44" i="2"/>
  <c r="ER44" i="2"/>
  <c r="EQ44" i="2"/>
  <c r="EP44" i="2"/>
  <c r="EO44" i="2"/>
  <c r="EN44" i="2"/>
  <c r="EM44" i="2"/>
  <c r="EL44" i="2"/>
  <c r="EK44" i="2"/>
  <c r="EJ44" i="2"/>
  <c r="EI44" i="2"/>
  <c r="EH44" i="2"/>
  <c r="EG44" i="2"/>
  <c r="EF44" i="2"/>
  <c r="EE44" i="2"/>
  <c r="ED44" i="2"/>
  <c r="EC44" i="2"/>
  <c r="EB44" i="2"/>
  <c r="EA44" i="2"/>
  <c r="DZ44" i="2"/>
  <c r="DY44" i="2"/>
  <c r="DX44" i="2"/>
  <c r="DW44" i="2"/>
  <c r="DV44" i="2"/>
  <c r="DU44" i="2"/>
  <c r="DS44" i="2"/>
  <c r="DR44" i="2"/>
  <c r="DQ44" i="2"/>
  <c r="DP44" i="2"/>
  <c r="DO44" i="2"/>
  <c r="DN44" i="2"/>
  <c r="DM44" i="2"/>
  <c r="DL44" i="2"/>
  <c r="DK44" i="2"/>
  <c r="DJ44" i="2"/>
  <c r="DI44" i="2"/>
  <c r="DH44" i="2"/>
  <c r="DG44" i="2"/>
  <c r="DE44" i="2"/>
  <c r="DD44" i="2"/>
  <c r="CQ44" i="2"/>
  <c r="CP44" i="2"/>
  <c r="CO44" i="2"/>
  <c r="CN44" i="2"/>
  <c r="T44" i="2"/>
  <c r="K44" i="4" s="1"/>
  <c r="N44" i="4" s="1"/>
  <c r="I44" i="2"/>
  <c r="G44" i="4" s="1"/>
  <c r="FS43" i="2"/>
  <c r="FR43" i="2"/>
  <c r="FQ43" i="2"/>
  <c r="FP43" i="2"/>
  <c r="FO43" i="2"/>
  <c r="FN43" i="2"/>
  <c r="FM43" i="2"/>
  <c r="FL43" i="2"/>
  <c r="FK43" i="2"/>
  <c r="FJ43" i="2"/>
  <c r="FI43" i="2"/>
  <c r="FH43" i="2"/>
  <c r="FG43" i="2"/>
  <c r="FF43" i="2"/>
  <c r="FE43" i="2"/>
  <c r="FD43" i="2"/>
  <c r="FC43" i="2"/>
  <c r="FB43" i="2"/>
  <c r="FA43" i="2"/>
  <c r="EZ43" i="2"/>
  <c r="EY43" i="2"/>
  <c r="EX43" i="2"/>
  <c r="EW43" i="2"/>
  <c r="EV43" i="2"/>
  <c r="EU43" i="2"/>
  <c r="ET43" i="2"/>
  <c r="ES43" i="2"/>
  <c r="ER43" i="2"/>
  <c r="EQ43" i="2"/>
  <c r="EP43" i="2"/>
  <c r="EO43" i="2"/>
  <c r="EN43" i="2"/>
  <c r="EM43" i="2"/>
  <c r="EL43" i="2"/>
  <c r="EK43" i="2"/>
  <c r="EJ43" i="2"/>
  <c r="EI43" i="2"/>
  <c r="EH43" i="2"/>
  <c r="EG43" i="2"/>
  <c r="EF43" i="2"/>
  <c r="EE43" i="2"/>
  <c r="ED43" i="2"/>
  <c r="EC43" i="2"/>
  <c r="EB43" i="2"/>
  <c r="EA43" i="2"/>
  <c r="DZ43" i="2"/>
  <c r="DY43" i="2"/>
  <c r="DX43" i="2"/>
  <c r="DW43" i="2"/>
  <c r="DV43" i="2"/>
  <c r="DU43" i="2"/>
  <c r="DS43" i="2"/>
  <c r="DR43" i="2"/>
  <c r="DQ43" i="2"/>
  <c r="DP43" i="2"/>
  <c r="DO43" i="2"/>
  <c r="DN43" i="2"/>
  <c r="DM43" i="2"/>
  <c r="DL43" i="2"/>
  <c r="DK43" i="2"/>
  <c r="DJ43" i="2"/>
  <c r="DI43" i="2"/>
  <c r="DH43" i="2"/>
  <c r="DG43" i="2"/>
  <c r="DF43" i="2"/>
  <c r="DE43" i="2"/>
  <c r="DD43" i="2"/>
  <c r="CQ43" i="2"/>
  <c r="CP43" i="2"/>
  <c r="CO43" i="2"/>
  <c r="CN43" i="2"/>
  <c r="T43" i="2"/>
  <c r="K43" i="4" s="1"/>
  <c r="I43" i="2"/>
  <c r="G43" i="4" s="1"/>
  <c r="FS42" i="2"/>
  <c r="FR42" i="2"/>
  <c r="FQ42" i="2"/>
  <c r="FP42" i="2"/>
  <c r="FO42" i="2"/>
  <c r="FN42" i="2"/>
  <c r="FM42" i="2"/>
  <c r="FL42" i="2"/>
  <c r="FK42" i="2"/>
  <c r="FJ42" i="2"/>
  <c r="FI42" i="2"/>
  <c r="FH42" i="2"/>
  <c r="FG42" i="2"/>
  <c r="FF42" i="2"/>
  <c r="FE42" i="2"/>
  <c r="FD42" i="2"/>
  <c r="FC42" i="2"/>
  <c r="FB42" i="2"/>
  <c r="FA42" i="2"/>
  <c r="EZ42" i="2"/>
  <c r="EY42" i="2"/>
  <c r="EX42" i="2"/>
  <c r="EW42" i="2"/>
  <c r="EV42" i="2"/>
  <c r="EU42" i="2"/>
  <c r="ET42" i="2"/>
  <c r="ES42" i="2"/>
  <c r="ER42" i="2"/>
  <c r="EQ42" i="2"/>
  <c r="EP42" i="2"/>
  <c r="EO42" i="2"/>
  <c r="EN42" i="2"/>
  <c r="EM42" i="2"/>
  <c r="EL42" i="2"/>
  <c r="EK42" i="2"/>
  <c r="EJ42" i="2"/>
  <c r="EI42" i="2"/>
  <c r="EH42" i="2"/>
  <c r="EG42" i="2"/>
  <c r="EF42" i="2"/>
  <c r="EE42" i="2"/>
  <c r="ED42" i="2"/>
  <c r="EC42" i="2"/>
  <c r="EB42" i="2"/>
  <c r="EA42" i="2"/>
  <c r="DZ42" i="2"/>
  <c r="DY42" i="2"/>
  <c r="DX42" i="2"/>
  <c r="DW42" i="2"/>
  <c r="DV42" i="2"/>
  <c r="DU42" i="2"/>
  <c r="DS42" i="2"/>
  <c r="DR42" i="2"/>
  <c r="DQ42" i="2"/>
  <c r="DP42" i="2"/>
  <c r="DO42" i="2"/>
  <c r="DN42" i="2"/>
  <c r="DM42" i="2"/>
  <c r="DL42" i="2"/>
  <c r="DK42" i="2"/>
  <c r="DJ42" i="2"/>
  <c r="DI42" i="2"/>
  <c r="DH42" i="2"/>
  <c r="DG42" i="2"/>
  <c r="DE42" i="2"/>
  <c r="DD42" i="2"/>
  <c r="CQ42" i="2"/>
  <c r="CP42" i="2"/>
  <c r="CO42" i="2"/>
  <c r="CN42" i="2"/>
  <c r="T42" i="2"/>
  <c r="K42" i="4" s="1"/>
  <c r="N42" i="4" s="1"/>
  <c r="I42" i="2"/>
  <c r="G42" i="4" s="1"/>
  <c r="FS41" i="2"/>
  <c r="FR41" i="2"/>
  <c r="FQ41" i="2"/>
  <c r="FP41" i="2"/>
  <c r="FO41" i="2"/>
  <c r="FN41" i="2"/>
  <c r="FM41" i="2"/>
  <c r="FL41" i="2"/>
  <c r="FK41" i="2"/>
  <c r="FJ41" i="2"/>
  <c r="FI41" i="2"/>
  <c r="FH41" i="2"/>
  <c r="FG41" i="2"/>
  <c r="FF41" i="2"/>
  <c r="FE41" i="2"/>
  <c r="FD41" i="2"/>
  <c r="FC41" i="2"/>
  <c r="FB41" i="2"/>
  <c r="FA41" i="2"/>
  <c r="EZ41" i="2"/>
  <c r="EY41" i="2"/>
  <c r="EX41" i="2"/>
  <c r="EW41" i="2"/>
  <c r="EV41" i="2"/>
  <c r="EU41" i="2"/>
  <c r="ET41" i="2"/>
  <c r="ES41" i="2"/>
  <c r="ER41" i="2"/>
  <c r="EQ41" i="2"/>
  <c r="EP41" i="2"/>
  <c r="EO41" i="2"/>
  <c r="EN41" i="2"/>
  <c r="EM41" i="2"/>
  <c r="EL41" i="2"/>
  <c r="EK41" i="2"/>
  <c r="EJ41" i="2"/>
  <c r="EI41" i="2"/>
  <c r="EH41" i="2"/>
  <c r="EG41" i="2"/>
  <c r="EF41" i="2"/>
  <c r="EE41" i="2"/>
  <c r="ED41" i="2"/>
  <c r="EC41" i="2"/>
  <c r="EB41" i="2"/>
  <c r="EA41" i="2"/>
  <c r="DZ41" i="2"/>
  <c r="DY41" i="2"/>
  <c r="DX41" i="2"/>
  <c r="DW41" i="2"/>
  <c r="DV41" i="2"/>
  <c r="DU41" i="2"/>
  <c r="DS41" i="2"/>
  <c r="DR41" i="2"/>
  <c r="DQ41" i="2"/>
  <c r="DP41" i="2"/>
  <c r="DO41" i="2"/>
  <c r="DN41" i="2"/>
  <c r="DM41" i="2"/>
  <c r="DL41" i="2"/>
  <c r="DK41" i="2"/>
  <c r="DJ41" i="2"/>
  <c r="DI41" i="2"/>
  <c r="DH41" i="2"/>
  <c r="DG41" i="2"/>
  <c r="DF41" i="2"/>
  <c r="DE41" i="2"/>
  <c r="DD41" i="2"/>
  <c r="CQ41" i="2"/>
  <c r="CP41" i="2"/>
  <c r="CO41" i="2"/>
  <c r="CN41" i="2"/>
  <c r="T41" i="2"/>
  <c r="K41" i="4" s="1"/>
  <c r="N41" i="4" s="1"/>
  <c r="I41" i="2"/>
  <c r="G41" i="4" s="1"/>
  <c r="FS40" i="2"/>
  <c r="FR40" i="2"/>
  <c r="FQ40" i="2"/>
  <c r="FP40" i="2"/>
  <c r="FO40" i="2"/>
  <c r="FN40" i="2"/>
  <c r="FM40" i="2"/>
  <c r="FL40" i="2"/>
  <c r="FK40" i="2"/>
  <c r="FJ40" i="2"/>
  <c r="FI40" i="2"/>
  <c r="FH40" i="2"/>
  <c r="FG40" i="2"/>
  <c r="FF40" i="2"/>
  <c r="FE40" i="2"/>
  <c r="FD40" i="2"/>
  <c r="FC40" i="2"/>
  <c r="FB40" i="2"/>
  <c r="FA40" i="2"/>
  <c r="EZ40" i="2"/>
  <c r="EY40" i="2"/>
  <c r="EX40" i="2"/>
  <c r="EW40" i="2"/>
  <c r="EV40" i="2"/>
  <c r="EU40" i="2"/>
  <c r="ET40" i="2"/>
  <c r="ES40" i="2"/>
  <c r="ER40" i="2"/>
  <c r="EQ40" i="2"/>
  <c r="EP40" i="2"/>
  <c r="EO40" i="2"/>
  <c r="EN40" i="2"/>
  <c r="EM40" i="2"/>
  <c r="EL40" i="2"/>
  <c r="EK40" i="2"/>
  <c r="EJ40" i="2"/>
  <c r="EI40" i="2"/>
  <c r="EH40" i="2"/>
  <c r="EG40" i="2"/>
  <c r="EF40" i="2"/>
  <c r="EE40" i="2"/>
  <c r="ED40" i="2"/>
  <c r="EC40" i="2"/>
  <c r="EB40" i="2"/>
  <c r="EA40" i="2"/>
  <c r="DZ40" i="2"/>
  <c r="DY40" i="2"/>
  <c r="DX40" i="2"/>
  <c r="DW40" i="2"/>
  <c r="DV40" i="2"/>
  <c r="DU40" i="2"/>
  <c r="DS40" i="2"/>
  <c r="DR40" i="2"/>
  <c r="DQ40" i="2"/>
  <c r="DP40" i="2"/>
  <c r="DO40" i="2"/>
  <c r="DN40" i="2"/>
  <c r="DM40" i="2"/>
  <c r="DL40" i="2"/>
  <c r="DK40" i="2"/>
  <c r="DJ40" i="2"/>
  <c r="DI40" i="2"/>
  <c r="DH40" i="2"/>
  <c r="DG40" i="2"/>
  <c r="DE40" i="2"/>
  <c r="DD40" i="2"/>
  <c r="CQ40" i="2"/>
  <c r="CP40" i="2"/>
  <c r="CO40" i="2"/>
  <c r="CN40" i="2"/>
  <c r="T40" i="2"/>
  <c r="K40" i="4" s="1"/>
  <c r="I40" i="2"/>
  <c r="G40" i="4" s="1"/>
  <c r="FS39" i="2"/>
  <c r="FR39" i="2"/>
  <c r="FQ39" i="2"/>
  <c r="FP39" i="2"/>
  <c r="FO39" i="2"/>
  <c r="FN39" i="2"/>
  <c r="FM39" i="2"/>
  <c r="FL39" i="2"/>
  <c r="FK39" i="2"/>
  <c r="FJ39" i="2"/>
  <c r="FI39" i="2"/>
  <c r="FH39" i="2"/>
  <c r="FG39" i="2"/>
  <c r="FF39" i="2"/>
  <c r="FE39" i="2"/>
  <c r="FD39" i="2"/>
  <c r="FC39" i="2"/>
  <c r="FB39" i="2"/>
  <c r="FA39" i="2"/>
  <c r="EZ39" i="2"/>
  <c r="EY39" i="2"/>
  <c r="EX39" i="2"/>
  <c r="EW39" i="2"/>
  <c r="EV39" i="2"/>
  <c r="EU39" i="2"/>
  <c r="ET39" i="2"/>
  <c r="ES39" i="2"/>
  <c r="ER39" i="2"/>
  <c r="EQ39" i="2"/>
  <c r="EP39" i="2"/>
  <c r="EO39" i="2"/>
  <c r="EN39" i="2"/>
  <c r="EM39" i="2"/>
  <c r="EL39" i="2"/>
  <c r="EK39" i="2"/>
  <c r="EJ39" i="2"/>
  <c r="EI39" i="2"/>
  <c r="EH39" i="2"/>
  <c r="EG39" i="2"/>
  <c r="EF39" i="2"/>
  <c r="EE39" i="2"/>
  <c r="ED39" i="2"/>
  <c r="EC39" i="2"/>
  <c r="EB39" i="2"/>
  <c r="EA39" i="2"/>
  <c r="DZ39" i="2"/>
  <c r="DY39" i="2"/>
  <c r="DX39" i="2"/>
  <c r="DW39" i="2"/>
  <c r="DV39" i="2"/>
  <c r="DU39" i="2"/>
  <c r="DS39" i="2"/>
  <c r="DR39" i="2"/>
  <c r="DQ39" i="2"/>
  <c r="DP39" i="2"/>
  <c r="DO39" i="2"/>
  <c r="DN39" i="2"/>
  <c r="DM39" i="2"/>
  <c r="DL39" i="2"/>
  <c r="DK39" i="2"/>
  <c r="DJ39" i="2"/>
  <c r="DI39" i="2"/>
  <c r="DH39" i="2"/>
  <c r="DG39" i="2"/>
  <c r="DE39" i="2"/>
  <c r="DD39" i="2"/>
  <c r="CQ39" i="2"/>
  <c r="CP39" i="2"/>
  <c r="CO39" i="2"/>
  <c r="CN39" i="2"/>
  <c r="T39" i="2"/>
  <c r="K39" i="4" s="1"/>
  <c r="N39" i="4" s="1"/>
  <c r="I39" i="2"/>
  <c r="G39" i="4" s="1"/>
  <c r="FS38" i="2"/>
  <c r="FR38" i="2"/>
  <c r="FQ38" i="2"/>
  <c r="FP38" i="2"/>
  <c r="FO38" i="2"/>
  <c r="FN38" i="2"/>
  <c r="FM38" i="2"/>
  <c r="FL38" i="2"/>
  <c r="FK38" i="2"/>
  <c r="FJ38" i="2"/>
  <c r="FI38" i="2"/>
  <c r="FH38" i="2"/>
  <c r="FG38" i="2"/>
  <c r="FF38" i="2"/>
  <c r="FE38" i="2"/>
  <c r="FD38" i="2"/>
  <c r="FC38" i="2"/>
  <c r="FB38" i="2"/>
  <c r="FA38" i="2"/>
  <c r="EZ38" i="2"/>
  <c r="EY38" i="2"/>
  <c r="EX38" i="2"/>
  <c r="EW38" i="2"/>
  <c r="EV38" i="2"/>
  <c r="EU38" i="2"/>
  <c r="ET38" i="2"/>
  <c r="ES38" i="2"/>
  <c r="ER38" i="2"/>
  <c r="EQ38" i="2"/>
  <c r="EP38" i="2"/>
  <c r="EO38" i="2"/>
  <c r="EN38" i="2"/>
  <c r="EM38" i="2"/>
  <c r="EL38" i="2"/>
  <c r="EK38" i="2"/>
  <c r="EJ38" i="2"/>
  <c r="EI38" i="2"/>
  <c r="EH38" i="2"/>
  <c r="EG38" i="2"/>
  <c r="EF38" i="2"/>
  <c r="EE38" i="2"/>
  <c r="ED38" i="2"/>
  <c r="EC38" i="2"/>
  <c r="EB38" i="2"/>
  <c r="EA38" i="2"/>
  <c r="DZ38" i="2"/>
  <c r="DY38" i="2"/>
  <c r="DX38" i="2"/>
  <c r="DW38" i="2"/>
  <c r="DV38" i="2"/>
  <c r="DU38" i="2"/>
  <c r="DS38" i="2"/>
  <c r="DR38" i="2"/>
  <c r="DQ38" i="2"/>
  <c r="DP38" i="2"/>
  <c r="DO38" i="2"/>
  <c r="DN38" i="2"/>
  <c r="DM38" i="2"/>
  <c r="DL38" i="2"/>
  <c r="DK38" i="2"/>
  <c r="DJ38" i="2"/>
  <c r="DI38" i="2"/>
  <c r="DH38" i="2"/>
  <c r="DG38" i="2"/>
  <c r="DE38" i="2"/>
  <c r="DD38" i="2"/>
  <c r="CQ38" i="2"/>
  <c r="CP38" i="2"/>
  <c r="CO38" i="2"/>
  <c r="CN38" i="2"/>
  <c r="T38" i="2"/>
  <c r="K38" i="4" s="1"/>
  <c r="N38" i="4" s="1"/>
  <c r="I38" i="2"/>
  <c r="G38" i="4" s="1"/>
  <c r="FS37" i="2"/>
  <c r="FR37" i="2"/>
  <c r="FQ37" i="2"/>
  <c r="FP37" i="2"/>
  <c r="FO37" i="2"/>
  <c r="FN37" i="2"/>
  <c r="FM37" i="2"/>
  <c r="FL37" i="2"/>
  <c r="FK37" i="2"/>
  <c r="FJ37" i="2"/>
  <c r="FI37" i="2"/>
  <c r="FH37" i="2"/>
  <c r="FG37" i="2"/>
  <c r="FF37" i="2"/>
  <c r="FE37" i="2"/>
  <c r="FD37" i="2"/>
  <c r="FC37" i="2"/>
  <c r="FB37" i="2"/>
  <c r="FA37" i="2"/>
  <c r="EZ37" i="2"/>
  <c r="EY37" i="2"/>
  <c r="EX37" i="2"/>
  <c r="EW37" i="2"/>
  <c r="EV37" i="2"/>
  <c r="EU37" i="2"/>
  <c r="ET37" i="2"/>
  <c r="ES37" i="2"/>
  <c r="ER37" i="2"/>
  <c r="EQ37" i="2"/>
  <c r="EP37" i="2"/>
  <c r="EO37" i="2"/>
  <c r="EN37" i="2"/>
  <c r="EM37" i="2"/>
  <c r="EL37" i="2"/>
  <c r="EK37" i="2"/>
  <c r="EJ37" i="2"/>
  <c r="EI37" i="2"/>
  <c r="EH37" i="2"/>
  <c r="EG37" i="2"/>
  <c r="EF37" i="2"/>
  <c r="EE37" i="2"/>
  <c r="ED37" i="2"/>
  <c r="EC37" i="2"/>
  <c r="EB37" i="2"/>
  <c r="EA37" i="2"/>
  <c r="DZ37" i="2"/>
  <c r="DY37" i="2"/>
  <c r="DX37" i="2"/>
  <c r="DW37" i="2"/>
  <c r="DV37" i="2"/>
  <c r="DU37" i="2"/>
  <c r="DT37" i="2"/>
  <c r="DS37" i="2"/>
  <c r="DR37" i="2"/>
  <c r="DQ37" i="2"/>
  <c r="DP37" i="2"/>
  <c r="DO37" i="2"/>
  <c r="DN37" i="2"/>
  <c r="DM37" i="2"/>
  <c r="DL37" i="2"/>
  <c r="DK37" i="2"/>
  <c r="DJ37" i="2"/>
  <c r="DI37" i="2"/>
  <c r="DH37" i="2"/>
  <c r="DG37" i="2"/>
  <c r="DE37" i="2"/>
  <c r="DD37" i="2"/>
  <c r="CQ37" i="2"/>
  <c r="CP37" i="2"/>
  <c r="CO37" i="2"/>
  <c r="CN37" i="2"/>
  <c r="T37" i="2"/>
  <c r="K37" i="4" s="1"/>
  <c r="I37" i="2"/>
  <c r="G37" i="4" s="1"/>
  <c r="FS36" i="2"/>
  <c r="FR36" i="2"/>
  <c r="FQ36" i="2"/>
  <c r="FP36" i="2"/>
  <c r="FO36" i="2"/>
  <c r="FN36" i="2"/>
  <c r="FM36" i="2"/>
  <c r="FL36" i="2"/>
  <c r="FK36" i="2"/>
  <c r="FJ36" i="2"/>
  <c r="FI36" i="2"/>
  <c r="FH36" i="2"/>
  <c r="FG36" i="2"/>
  <c r="FF36" i="2"/>
  <c r="FE36" i="2"/>
  <c r="FD36" i="2"/>
  <c r="FC36" i="2"/>
  <c r="FB36" i="2"/>
  <c r="FA36" i="2"/>
  <c r="EZ36" i="2"/>
  <c r="EY36" i="2"/>
  <c r="EX36" i="2"/>
  <c r="EW36" i="2"/>
  <c r="EV36" i="2"/>
  <c r="EU36" i="2"/>
  <c r="ET36" i="2"/>
  <c r="ES36" i="2"/>
  <c r="ER36" i="2"/>
  <c r="EQ36" i="2"/>
  <c r="EP36" i="2"/>
  <c r="EO36" i="2"/>
  <c r="EN36" i="2"/>
  <c r="EM36" i="2"/>
  <c r="EL36" i="2"/>
  <c r="EK36" i="2"/>
  <c r="EJ36" i="2"/>
  <c r="EI36" i="2"/>
  <c r="EH36" i="2"/>
  <c r="EG36" i="2"/>
  <c r="EF36" i="2"/>
  <c r="EE36" i="2"/>
  <c r="ED36" i="2"/>
  <c r="EC36" i="2"/>
  <c r="EB36" i="2"/>
  <c r="EA36" i="2"/>
  <c r="DZ36" i="2"/>
  <c r="DY36" i="2"/>
  <c r="DX36" i="2"/>
  <c r="DW36" i="2"/>
  <c r="DV36" i="2"/>
  <c r="DU36" i="2"/>
  <c r="DT36" i="2"/>
  <c r="DS36" i="2"/>
  <c r="DR36" i="2"/>
  <c r="DQ36" i="2"/>
  <c r="DP36" i="2"/>
  <c r="DO36" i="2"/>
  <c r="DN36" i="2"/>
  <c r="DM36" i="2"/>
  <c r="DL36" i="2"/>
  <c r="DK36" i="2"/>
  <c r="DJ36" i="2"/>
  <c r="DI36" i="2"/>
  <c r="DH36" i="2"/>
  <c r="DG36" i="2"/>
  <c r="DE36" i="2"/>
  <c r="DD36" i="2"/>
  <c r="CQ36" i="2"/>
  <c r="CP36" i="2"/>
  <c r="CO36" i="2"/>
  <c r="CN36" i="2"/>
  <c r="T36" i="2"/>
  <c r="K36" i="4" s="1"/>
  <c r="N36" i="4" s="1"/>
  <c r="I36" i="2"/>
  <c r="G36" i="4" s="1"/>
  <c r="FS35" i="2"/>
  <c r="FR35" i="2"/>
  <c r="FQ35" i="2"/>
  <c r="FP35" i="2"/>
  <c r="FO35" i="2"/>
  <c r="FN35" i="2"/>
  <c r="FM35" i="2"/>
  <c r="FL35" i="2"/>
  <c r="FK35" i="2"/>
  <c r="FJ35" i="2"/>
  <c r="FI35" i="2"/>
  <c r="FH35" i="2"/>
  <c r="FG35" i="2"/>
  <c r="FF35" i="2"/>
  <c r="FE35" i="2"/>
  <c r="FD35" i="2"/>
  <c r="FC35" i="2"/>
  <c r="FB35" i="2"/>
  <c r="FA35" i="2"/>
  <c r="EZ35" i="2"/>
  <c r="EY35" i="2"/>
  <c r="EX35" i="2"/>
  <c r="EW35" i="2"/>
  <c r="EV35" i="2"/>
  <c r="EU35" i="2"/>
  <c r="ET35" i="2"/>
  <c r="ES35" i="2"/>
  <c r="ER35" i="2"/>
  <c r="EQ35" i="2"/>
  <c r="EP35" i="2"/>
  <c r="EO35" i="2"/>
  <c r="EN35" i="2"/>
  <c r="EM35" i="2"/>
  <c r="EL35" i="2"/>
  <c r="EK35" i="2"/>
  <c r="EJ35" i="2"/>
  <c r="EI35" i="2"/>
  <c r="EH35" i="2"/>
  <c r="EG35" i="2"/>
  <c r="EF35" i="2"/>
  <c r="EE35" i="2"/>
  <c r="ED35" i="2"/>
  <c r="EC35" i="2"/>
  <c r="EB35" i="2"/>
  <c r="EA35" i="2"/>
  <c r="DZ35" i="2"/>
  <c r="DY35" i="2"/>
  <c r="DX35" i="2"/>
  <c r="DW35" i="2"/>
  <c r="DV35" i="2"/>
  <c r="DU35" i="2"/>
  <c r="DT35" i="2"/>
  <c r="DS35" i="2"/>
  <c r="DR35" i="2"/>
  <c r="DQ35" i="2"/>
  <c r="DP35" i="2"/>
  <c r="DO35" i="2"/>
  <c r="DN35" i="2"/>
  <c r="DM35" i="2"/>
  <c r="DL35" i="2"/>
  <c r="DK35" i="2"/>
  <c r="DJ35" i="2"/>
  <c r="DI35" i="2"/>
  <c r="DH35" i="2"/>
  <c r="DG35" i="2"/>
  <c r="DE35" i="2"/>
  <c r="DD35" i="2"/>
  <c r="CQ35" i="2"/>
  <c r="CP35" i="2"/>
  <c r="CO35" i="2"/>
  <c r="CN35" i="2"/>
  <c r="T35" i="2"/>
  <c r="K35" i="4" s="1"/>
  <c r="I35" i="2"/>
  <c r="G35" i="4" s="1"/>
  <c r="FS34" i="2"/>
  <c r="FR34" i="2"/>
  <c r="FQ34" i="2"/>
  <c r="FP34" i="2"/>
  <c r="FO34" i="2"/>
  <c r="FN34" i="2"/>
  <c r="FM34" i="2"/>
  <c r="FL34" i="2"/>
  <c r="FK34" i="2"/>
  <c r="FJ34" i="2"/>
  <c r="FI34" i="2"/>
  <c r="FH34" i="2"/>
  <c r="FG34" i="2"/>
  <c r="FF34" i="2"/>
  <c r="FE34" i="2"/>
  <c r="FD34" i="2"/>
  <c r="FC34" i="2"/>
  <c r="FB34" i="2"/>
  <c r="FA34" i="2"/>
  <c r="EZ34" i="2"/>
  <c r="EY34" i="2"/>
  <c r="EX34" i="2"/>
  <c r="EW34" i="2"/>
  <c r="EV34" i="2"/>
  <c r="EU34" i="2"/>
  <c r="ET34" i="2"/>
  <c r="ES34" i="2"/>
  <c r="ER34" i="2"/>
  <c r="EQ34" i="2"/>
  <c r="EP34" i="2"/>
  <c r="EO34" i="2"/>
  <c r="EN34" i="2"/>
  <c r="EM34" i="2"/>
  <c r="EL34" i="2"/>
  <c r="EK34" i="2"/>
  <c r="EJ34" i="2"/>
  <c r="EI34" i="2"/>
  <c r="EH34" i="2"/>
  <c r="EG34" i="2"/>
  <c r="EF34" i="2"/>
  <c r="EE34" i="2"/>
  <c r="ED34" i="2"/>
  <c r="EC34" i="2"/>
  <c r="EB34" i="2"/>
  <c r="EA34" i="2"/>
  <c r="DZ34" i="2"/>
  <c r="DY34" i="2"/>
  <c r="DX34" i="2"/>
  <c r="DW34" i="2"/>
  <c r="DV34" i="2"/>
  <c r="DU34" i="2"/>
  <c r="DT34" i="2"/>
  <c r="DS34" i="2"/>
  <c r="DR34" i="2"/>
  <c r="DQ34" i="2"/>
  <c r="DP34" i="2"/>
  <c r="DO34" i="2"/>
  <c r="DN34" i="2"/>
  <c r="DM34" i="2"/>
  <c r="DL34" i="2"/>
  <c r="DK34" i="2"/>
  <c r="DJ34" i="2"/>
  <c r="DI34" i="2"/>
  <c r="DH34" i="2"/>
  <c r="DG34" i="2"/>
  <c r="DE34" i="2"/>
  <c r="DD34" i="2"/>
  <c r="CQ34" i="2"/>
  <c r="CP34" i="2"/>
  <c r="CO34" i="2"/>
  <c r="CN34" i="2"/>
  <c r="T34" i="2"/>
  <c r="K34" i="4" s="1"/>
  <c r="I34" i="2"/>
  <c r="G34" i="4" s="1"/>
  <c r="FS33" i="2"/>
  <c r="FR33" i="2"/>
  <c r="FQ33" i="2"/>
  <c r="FP33" i="2"/>
  <c r="FO33" i="2"/>
  <c r="FN33" i="2"/>
  <c r="FM33" i="2"/>
  <c r="FL33" i="2"/>
  <c r="FK33" i="2"/>
  <c r="FJ33" i="2"/>
  <c r="FI33" i="2"/>
  <c r="FH33" i="2"/>
  <c r="FG33" i="2"/>
  <c r="FF33" i="2"/>
  <c r="FE33" i="2"/>
  <c r="FD33" i="2"/>
  <c r="FC33" i="2"/>
  <c r="FB33" i="2"/>
  <c r="FA33" i="2"/>
  <c r="EZ33" i="2"/>
  <c r="EY33" i="2"/>
  <c r="EX33" i="2"/>
  <c r="EW33" i="2"/>
  <c r="EV33" i="2"/>
  <c r="EU33" i="2"/>
  <c r="ET33" i="2"/>
  <c r="ES33" i="2"/>
  <c r="ER33" i="2"/>
  <c r="EQ33" i="2"/>
  <c r="EP33" i="2"/>
  <c r="EO33" i="2"/>
  <c r="EN33" i="2"/>
  <c r="EM33" i="2"/>
  <c r="EL33" i="2"/>
  <c r="EK33" i="2"/>
  <c r="EJ33" i="2"/>
  <c r="EI33" i="2"/>
  <c r="EH33" i="2"/>
  <c r="EG33" i="2"/>
  <c r="EF33" i="2"/>
  <c r="EE33" i="2"/>
  <c r="ED33" i="2"/>
  <c r="EC33" i="2"/>
  <c r="EB33" i="2"/>
  <c r="EA33" i="2"/>
  <c r="DZ33" i="2"/>
  <c r="DY33" i="2"/>
  <c r="DX33" i="2"/>
  <c r="DW33" i="2"/>
  <c r="DV33" i="2"/>
  <c r="DU33" i="2"/>
  <c r="DT33" i="2"/>
  <c r="DS33" i="2"/>
  <c r="DR33" i="2"/>
  <c r="DQ33" i="2"/>
  <c r="DP33" i="2"/>
  <c r="DO33" i="2"/>
  <c r="DN33" i="2"/>
  <c r="DM33" i="2"/>
  <c r="DL33" i="2"/>
  <c r="DK33" i="2"/>
  <c r="DJ33" i="2"/>
  <c r="DI33" i="2"/>
  <c r="DH33" i="2"/>
  <c r="DG33" i="2"/>
  <c r="DE33" i="2"/>
  <c r="DD33" i="2"/>
  <c r="CQ33" i="2"/>
  <c r="CP33" i="2"/>
  <c r="CO33" i="2"/>
  <c r="CN33" i="2"/>
  <c r="T33" i="2"/>
  <c r="K33" i="4" s="1"/>
  <c r="N33" i="4" s="1"/>
  <c r="I33" i="2"/>
  <c r="G33" i="4" s="1"/>
  <c r="FS32" i="2"/>
  <c r="FR32" i="2"/>
  <c r="FQ32" i="2"/>
  <c r="FP32" i="2"/>
  <c r="FO32" i="2"/>
  <c r="FN32" i="2"/>
  <c r="FM32" i="2"/>
  <c r="FL32" i="2"/>
  <c r="FK32" i="2"/>
  <c r="FJ32" i="2"/>
  <c r="FI32" i="2"/>
  <c r="FH32" i="2"/>
  <c r="FG32" i="2"/>
  <c r="FF32" i="2"/>
  <c r="FE32" i="2"/>
  <c r="FD32" i="2"/>
  <c r="FC32" i="2"/>
  <c r="FB32" i="2"/>
  <c r="FA32" i="2"/>
  <c r="EZ32" i="2"/>
  <c r="EY32" i="2"/>
  <c r="EX32" i="2"/>
  <c r="EW32" i="2"/>
  <c r="EV32" i="2"/>
  <c r="EU32" i="2"/>
  <c r="ET32" i="2"/>
  <c r="ES32" i="2"/>
  <c r="ER32" i="2"/>
  <c r="EQ32" i="2"/>
  <c r="EP32" i="2"/>
  <c r="EO32" i="2"/>
  <c r="EN32" i="2"/>
  <c r="EM32" i="2"/>
  <c r="EL32" i="2"/>
  <c r="EK32" i="2"/>
  <c r="EJ32" i="2"/>
  <c r="EI32" i="2"/>
  <c r="EH32" i="2"/>
  <c r="EG32" i="2"/>
  <c r="EF32" i="2"/>
  <c r="EE32" i="2"/>
  <c r="ED32" i="2"/>
  <c r="EC32" i="2"/>
  <c r="EB32" i="2"/>
  <c r="EA32" i="2"/>
  <c r="DZ32" i="2"/>
  <c r="DY32" i="2"/>
  <c r="DX32" i="2"/>
  <c r="DW32" i="2"/>
  <c r="DU32" i="2"/>
  <c r="DT32" i="2"/>
  <c r="DS32" i="2"/>
  <c r="DR32" i="2"/>
  <c r="DQ32" i="2"/>
  <c r="DP32" i="2"/>
  <c r="DO32" i="2"/>
  <c r="DN32" i="2"/>
  <c r="DM32" i="2"/>
  <c r="DL32" i="2"/>
  <c r="DK32" i="2"/>
  <c r="DI32" i="2"/>
  <c r="DH32" i="2"/>
  <c r="DG32" i="2"/>
  <c r="DF32" i="2"/>
  <c r="DE32" i="2"/>
  <c r="DD32" i="2"/>
  <c r="DC32" i="2"/>
  <c r="CR32" i="2"/>
  <c r="CQ32" i="2"/>
  <c r="CP32" i="2"/>
  <c r="CO32" i="2"/>
  <c r="CN32" i="2"/>
  <c r="FS31" i="2"/>
  <c r="FR31" i="2"/>
  <c r="FQ31" i="2"/>
  <c r="FP31" i="2"/>
  <c r="FO31" i="2"/>
  <c r="FN31" i="2"/>
  <c r="FM31" i="2"/>
  <c r="FL31" i="2"/>
  <c r="FK31" i="2"/>
  <c r="FJ31" i="2"/>
  <c r="FI31" i="2"/>
  <c r="FH31" i="2"/>
  <c r="FG31" i="2"/>
  <c r="FF31" i="2"/>
  <c r="FE31" i="2"/>
  <c r="FD31" i="2"/>
  <c r="FC31" i="2"/>
  <c r="FB31" i="2"/>
  <c r="FA31" i="2"/>
  <c r="EZ31" i="2"/>
  <c r="EY31" i="2"/>
  <c r="EX31" i="2"/>
  <c r="EW31" i="2"/>
  <c r="EV31" i="2"/>
  <c r="EU31" i="2"/>
  <c r="ET31" i="2"/>
  <c r="ES31" i="2"/>
  <c r="ER31" i="2"/>
  <c r="EQ31" i="2"/>
  <c r="EP31" i="2"/>
  <c r="EO31" i="2"/>
  <c r="EN31" i="2"/>
  <c r="EM31" i="2"/>
  <c r="EL31" i="2"/>
  <c r="EK31" i="2"/>
  <c r="EJ31" i="2"/>
  <c r="EI31" i="2"/>
  <c r="EH31" i="2"/>
  <c r="EG31" i="2"/>
  <c r="EF31" i="2"/>
  <c r="EE31" i="2"/>
  <c r="ED31" i="2"/>
  <c r="EC31" i="2"/>
  <c r="EB31" i="2"/>
  <c r="EA31" i="2"/>
  <c r="DZ31" i="2"/>
  <c r="DY31" i="2"/>
  <c r="DX31" i="2"/>
  <c r="DW31" i="2"/>
  <c r="DU31" i="2"/>
  <c r="DT31" i="2"/>
  <c r="DS31" i="2"/>
  <c r="DR31" i="2"/>
  <c r="DQ31" i="2"/>
  <c r="DP31" i="2"/>
  <c r="DO31" i="2"/>
  <c r="DN31" i="2"/>
  <c r="DM31" i="2"/>
  <c r="DL31" i="2"/>
  <c r="DK31" i="2"/>
  <c r="DI31" i="2"/>
  <c r="DH31" i="2"/>
  <c r="DG31" i="2"/>
  <c r="DF31" i="2"/>
  <c r="DE31" i="2"/>
  <c r="DD31" i="2"/>
  <c r="DC31" i="2"/>
  <c r="CQ31" i="2"/>
  <c r="CP31" i="2"/>
  <c r="CO31" i="2"/>
  <c r="CN31" i="2"/>
  <c r="I31" i="2"/>
  <c r="FS30" i="2"/>
  <c r="FR30" i="2"/>
  <c r="FQ30" i="2"/>
  <c r="FP30" i="2"/>
  <c r="FO30" i="2"/>
  <c r="FN30" i="2"/>
  <c r="FM30" i="2"/>
  <c r="FL30" i="2"/>
  <c r="FK30" i="2"/>
  <c r="FJ30" i="2"/>
  <c r="FI30" i="2"/>
  <c r="FH30" i="2"/>
  <c r="FG30" i="2"/>
  <c r="FF30" i="2"/>
  <c r="FE30" i="2"/>
  <c r="FD30" i="2"/>
  <c r="FC30" i="2"/>
  <c r="FB30" i="2"/>
  <c r="FA30" i="2"/>
  <c r="EZ30" i="2"/>
  <c r="EY30" i="2"/>
  <c r="EX30" i="2"/>
  <c r="EW30" i="2"/>
  <c r="EV30" i="2"/>
  <c r="EU30" i="2"/>
  <c r="ET30" i="2"/>
  <c r="ES30" i="2"/>
  <c r="ER30" i="2"/>
  <c r="EQ30" i="2"/>
  <c r="EP30" i="2"/>
  <c r="EO30" i="2"/>
  <c r="EN30" i="2"/>
  <c r="EM30" i="2"/>
  <c r="EL30" i="2"/>
  <c r="EK30" i="2"/>
  <c r="EJ30" i="2"/>
  <c r="EI30" i="2"/>
  <c r="EH30" i="2"/>
  <c r="EG30" i="2"/>
  <c r="EF30" i="2"/>
  <c r="EE30" i="2"/>
  <c r="ED30" i="2"/>
  <c r="EC30" i="2"/>
  <c r="EB30" i="2"/>
  <c r="EA30" i="2"/>
  <c r="DZ30" i="2"/>
  <c r="DY30" i="2"/>
  <c r="DX30" i="2"/>
  <c r="DW30" i="2"/>
  <c r="DU30" i="2"/>
  <c r="DT30" i="2"/>
  <c r="DS30" i="2"/>
  <c r="DR30" i="2"/>
  <c r="DQ30" i="2"/>
  <c r="DP30" i="2"/>
  <c r="DO30" i="2"/>
  <c r="DN30" i="2"/>
  <c r="DM30" i="2"/>
  <c r="DL30" i="2"/>
  <c r="DK30" i="2"/>
  <c r="DI30" i="2"/>
  <c r="DH30" i="2"/>
  <c r="DG30" i="2"/>
  <c r="DF30" i="2"/>
  <c r="DE30" i="2"/>
  <c r="DD30" i="2"/>
  <c r="DC30" i="2"/>
  <c r="CQ30" i="2"/>
  <c r="CP30" i="2"/>
  <c r="CO30" i="2"/>
  <c r="CN30" i="2"/>
  <c r="I30" i="2"/>
  <c r="G30" i="4" s="1"/>
  <c r="FS29" i="2"/>
  <c r="FR29" i="2"/>
  <c r="FQ29" i="2"/>
  <c r="FP29" i="2"/>
  <c r="FO29" i="2"/>
  <c r="FN29" i="2"/>
  <c r="FM29" i="2"/>
  <c r="FL29" i="2"/>
  <c r="FK29" i="2"/>
  <c r="FJ29" i="2"/>
  <c r="FI29" i="2"/>
  <c r="FH29" i="2"/>
  <c r="FG29" i="2"/>
  <c r="FF29" i="2"/>
  <c r="FE29" i="2"/>
  <c r="FD29" i="2"/>
  <c r="FC29" i="2"/>
  <c r="FB29" i="2"/>
  <c r="FA29" i="2"/>
  <c r="EZ29" i="2"/>
  <c r="EY29" i="2"/>
  <c r="EX29" i="2"/>
  <c r="EW29" i="2"/>
  <c r="EV29" i="2"/>
  <c r="EU29" i="2"/>
  <c r="ET29" i="2"/>
  <c r="ES29" i="2"/>
  <c r="ER29" i="2"/>
  <c r="EQ29" i="2"/>
  <c r="EP29" i="2"/>
  <c r="EO29" i="2"/>
  <c r="EN29" i="2"/>
  <c r="EM29" i="2"/>
  <c r="EL29" i="2"/>
  <c r="EK29" i="2"/>
  <c r="EJ29" i="2"/>
  <c r="EI29" i="2"/>
  <c r="EH29" i="2"/>
  <c r="EG29" i="2"/>
  <c r="EF29" i="2"/>
  <c r="EE29" i="2"/>
  <c r="ED29" i="2"/>
  <c r="EC29" i="2"/>
  <c r="EB29" i="2"/>
  <c r="EA29" i="2"/>
  <c r="DZ29" i="2"/>
  <c r="DY29" i="2"/>
  <c r="DX29" i="2"/>
  <c r="DW29" i="2"/>
  <c r="DU29" i="2"/>
  <c r="DT29" i="2"/>
  <c r="DS29" i="2"/>
  <c r="DR29" i="2"/>
  <c r="DQ29" i="2"/>
  <c r="DP29" i="2"/>
  <c r="DO29" i="2"/>
  <c r="DN29" i="2"/>
  <c r="DM29" i="2"/>
  <c r="DL29" i="2"/>
  <c r="DK29" i="2"/>
  <c r="DI29" i="2"/>
  <c r="DH29" i="2"/>
  <c r="DG29" i="2"/>
  <c r="DF29" i="2"/>
  <c r="DE29" i="2"/>
  <c r="DD29" i="2"/>
  <c r="DC29" i="2"/>
  <c r="CR29" i="2"/>
  <c r="CQ29" i="2"/>
  <c r="CP29" i="2"/>
  <c r="CO29" i="2"/>
  <c r="CN29" i="2"/>
  <c r="I29" i="2"/>
  <c r="G29" i="4" s="1"/>
  <c r="FS28" i="2"/>
  <c r="FR28" i="2"/>
  <c r="FQ28" i="2"/>
  <c r="FP28" i="2"/>
  <c r="FO28" i="2"/>
  <c r="FN28" i="2"/>
  <c r="FM28" i="2"/>
  <c r="FL28" i="2"/>
  <c r="FK28" i="2"/>
  <c r="FJ28" i="2"/>
  <c r="FI28" i="2"/>
  <c r="FH28" i="2"/>
  <c r="FG28" i="2"/>
  <c r="FF28" i="2"/>
  <c r="FE28" i="2"/>
  <c r="FD28" i="2"/>
  <c r="FC28" i="2"/>
  <c r="FB28" i="2"/>
  <c r="FA28" i="2"/>
  <c r="EZ28" i="2"/>
  <c r="EY28" i="2"/>
  <c r="EX28" i="2"/>
  <c r="EW28" i="2"/>
  <c r="EV28" i="2"/>
  <c r="EU28" i="2"/>
  <c r="ET28" i="2"/>
  <c r="ES28" i="2"/>
  <c r="ER28" i="2"/>
  <c r="EQ28" i="2"/>
  <c r="EP28" i="2"/>
  <c r="EO28" i="2"/>
  <c r="EN28" i="2"/>
  <c r="EM28" i="2"/>
  <c r="EL28" i="2"/>
  <c r="EK28" i="2"/>
  <c r="EJ28" i="2"/>
  <c r="EI28" i="2"/>
  <c r="EH28" i="2"/>
  <c r="EG28" i="2"/>
  <c r="EF28" i="2"/>
  <c r="EE28" i="2"/>
  <c r="ED28" i="2"/>
  <c r="EC28" i="2"/>
  <c r="EB28" i="2"/>
  <c r="EA28" i="2"/>
  <c r="DZ28" i="2"/>
  <c r="DY28" i="2"/>
  <c r="DX28" i="2"/>
  <c r="DW28" i="2"/>
  <c r="DU28" i="2"/>
  <c r="DT28" i="2"/>
  <c r="DS28" i="2"/>
  <c r="DR28" i="2"/>
  <c r="DQ28" i="2"/>
  <c r="DP28" i="2"/>
  <c r="DO28" i="2"/>
  <c r="DN28" i="2"/>
  <c r="DM28" i="2"/>
  <c r="DL28" i="2"/>
  <c r="DK28" i="2"/>
  <c r="DI28" i="2"/>
  <c r="DH28" i="2"/>
  <c r="DG28" i="2"/>
  <c r="DF28" i="2"/>
  <c r="DE28" i="2"/>
  <c r="DD28" i="2"/>
  <c r="DC28" i="2"/>
  <c r="CR28" i="2"/>
  <c r="CQ28" i="2"/>
  <c r="CP28" i="2"/>
  <c r="CO28" i="2"/>
  <c r="CN28" i="2"/>
  <c r="I28" i="2"/>
  <c r="G28" i="4" s="1"/>
  <c r="FS27" i="2"/>
  <c r="FR27" i="2"/>
  <c r="FQ27" i="2"/>
  <c r="FP27" i="2"/>
  <c r="FO27" i="2"/>
  <c r="FN27" i="2"/>
  <c r="FM27" i="2"/>
  <c r="FL27" i="2"/>
  <c r="FK27" i="2"/>
  <c r="FJ27" i="2"/>
  <c r="FI27" i="2"/>
  <c r="FH27" i="2"/>
  <c r="FG27" i="2"/>
  <c r="FF27" i="2"/>
  <c r="FE27" i="2"/>
  <c r="FD27" i="2"/>
  <c r="FC27" i="2"/>
  <c r="FB27" i="2"/>
  <c r="FA27" i="2"/>
  <c r="EZ27" i="2"/>
  <c r="EY27" i="2"/>
  <c r="EX27" i="2"/>
  <c r="EW27" i="2"/>
  <c r="EV27" i="2"/>
  <c r="EU27" i="2"/>
  <c r="ET27" i="2"/>
  <c r="ES27" i="2"/>
  <c r="ER27" i="2"/>
  <c r="EQ27" i="2"/>
  <c r="EP27" i="2"/>
  <c r="EO27" i="2"/>
  <c r="EN27" i="2"/>
  <c r="EM27" i="2"/>
  <c r="EL27" i="2"/>
  <c r="EK27" i="2"/>
  <c r="EJ27" i="2"/>
  <c r="EI27" i="2"/>
  <c r="EH27" i="2"/>
  <c r="EG27" i="2"/>
  <c r="EF27" i="2"/>
  <c r="EE27" i="2"/>
  <c r="ED27" i="2"/>
  <c r="EC27" i="2"/>
  <c r="EB27" i="2"/>
  <c r="EA27" i="2"/>
  <c r="DZ27" i="2"/>
  <c r="DY27" i="2"/>
  <c r="DX27" i="2"/>
  <c r="DW27" i="2"/>
  <c r="DU27" i="2"/>
  <c r="DT27" i="2"/>
  <c r="DS27" i="2"/>
  <c r="DR27" i="2"/>
  <c r="DQ27" i="2"/>
  <c r="DP27" i="2"/>
  <c r="DO27" i="2"/>
  <c r="DN27" i="2"/>
  <c r="DM27" i="2"/>
  <c r="DL27" i="2"/>
  <c r="DK27" i="2"/>
  <c r="DI27" i="2"/>
  <c r="DH27" i="2"/>
  <c r="DG27" i="2"/>
  <c r="DF27" i="2"/>
  <c r="DE27" i="2"/>
  <c r="DD27" i="2"/>
  <c r="DC27" i="2"/>
  <c r="CR27" i="2"/>
  <c r="CQ27" i="2"/>
  <c r="CP27" i="2"/>
  <c r="CO27" i="2"/>
  <c r="I27" i="2"/>
  <c r="G27" i="4" s="1"/>
  <c r="FS26" i="2"/>
  <c r="FR26" i="2"/>
  <c r="FQ26" i="2"/>
  <c r="FP26" i="2"/>
  <c r="FO26" i="2"/>
  <c r="FN26" i="2"/>
  <c r="FM26" i="2"/>
  <c r="FL26" i="2"/>
  <c r="FK26" i="2"/>
  <c r="FJ26" i="2"/>
  <c r="FI26" i="2"/>
  <c r="FH26" i="2"/>
  <c r="FG26" i="2"/>
  <c r="FF26" i="2"/>
  <c r="FE26" i="2"/>
  <c r="FD26" i="2"/>
  <c r="FC26" i="2"/>
  <c r="FB26" i="2"/>
  <c r="FA26" i="2"/>
  <c r="EZ26" i="2"/>
  <c r="EY26" i="2"/>
  <c r="EX26" i="2"/>
  <c r="EW26" i="2"/>
  <c r="EV26" i="2"/>
  <c r="EU26" i="2"/>
  <c r="ET26" i="2"/>
  <c r="ES26" i="2"/>
  <c r="ER26" i="2"/>
  <c r="EQ26" i="2"/>
  <c r="EP26" i="2"/>
  <c r="EO26" i="2"/>
  <c r="EN26" i="2"/>
  <c r="EM26" i="2"/>
  <c r="EL26" i="2"/>
  <c r="EK26" i="2"/>
  <c r="EJ26" i="2"/>
  <c r="EI26" i="2"/>
  <c r="EH26" i="2"/>
  <c r="EG26" i="2"/>
  <c r="EF26" i="2"/>
  <c r="EE26" i="2"/>
  <c r="ED26" i="2"/>
  <c r="EC26" i="2"/>
  <c r="EB26" i="2"/>
  <c r="EA26" i="2"/>
  <c r="DZ26" i="2"/>
  <c r="DY26" i="2"/>
  <c r="DX26" i="2"/>
  <c r="DW26" i="2"/>
  <c r="DU26" i="2"/>
  <c r="DT26" i="2"/>
  <c r="DS26" i="2"/>
  <c r="DR26" i="2"/>
  <c r="DQ26" i="2"/>
  <c r="DP26" i="2"/>
  <c r="DO26" i="2"/>
  <c r="DN26" i="2"/>
  <c r="DM26" i="2"/>
  <c r="DL26" i="2"/>
  <c r="DK26" i="2"/>
  <c r="DI26" i="2"/>
  <c r="DH26" i="2"/>
  <c r="DG26" i="2"/>
  <c r="DF26" i="2"/>
  <c r="DE26" i="2"/>
  <c r="DD26" i="2"/>
  <c r="DC26" i="2"/>
  <c r="CR26" i="2"/>
  <c r="CQ26" i="2"/>
  <c r="CP26" i="2"/>
  <c r="CO26" i="2"/>
  <c r="CN26" i="2"/>
  <c r="I26" i="2"/>
  <c r="G26" i="4" s="1"/>
  <c r="FS25" i="2"/>
  <c r="FR25" i="2"/>
  <c r="FQ25" i="2"/>
  <c r="FP25" i="2"/>
  <c r="FO25" i="2"/>
  <c r="FN25" i="2"/>
  <c r="FM25" i="2"/>
  <c r="FL25" i="2"/>
  <c r="FK25" i="2"/>
  <c r="FJ25" i="2"/>
  <c r="FI25" i="2"/>
  <c r="FH25" i="2"/>
  <c r="FG25" i="2"/>
  <c r="FF25" i="2"/>
  <c r="FE25" i="2"/>
  <c r="FD25" i="2"/>
  <c r="FC25" i="2"/>
  <c r="FB25" i="2"/>
  <c r="FA25" i="2"/>
  <c r="EZ25" i="2"/>
  <c r="EY25" i="2"/>
  <c r="EX25" i="2"/>
  <c r="EW25" i="2"/>
  <c r="EV25" i="2"/>
  <c r="EU25" i="2"/>
  <c r="ET25" i="2"/>
  <c r="ES25" i="2"/>
  <c r="ER25" i="2"/>
  <c r="EQ25" i="2"/>
  <c r="EP25" i="2"/>
  <c r="EO25" i="2"/>
  <c r="EN25" i="2"/>
  <c r="EM25" i="2"/>
  <c r="EL25" i="2"/>
  <c r="EK25" i="2"/>
  <c r="EJ25" i="2"/>
  <c r="EI25" i="2"/>
  <c r="EH25" i="2"/>
  <c r="EG25" i="2"/>
  <c r="EF25" i="2"/>
  <c r="EE25" i="2"/>
  <c r="ED25" i="2"/>
  <c r="EC25" i="2"/>
  <c r="EB25" i="2"/>
  <c r="EA25" i="2"/>
  <c r="DZ25" i="2"/>
  <c r="DY25" i="2"/>
  <c r="DX25" i="2"/>
  <c r="DW25" i="2"/>
  <c r="DU25" i="2"/>
  <c r="DT25" i="2"/>
  <c r="DS25" i="2"/>
  <c r="DR25" i="2"/>
  <c r="DQ25" i="2"/>
  <c r="DP25" i="2"/>
  <c r="DO25" i="2"/>
  <c r="DN25" i="2"/>
  <c r="DM25" i="2"/>
  <c r="DL25" i="2"/>
  <c r="DK25" i="2"/>
  <c r="DI25" i="2"/>
  <c r="DH25" i="2"/>
  <c r="DG25" i="2"/>
  <c r="DF25" i="2"/>
  <c r="DE25" i="2"/>
  <c r="DD25" i="2"/>
  <c r="DC25" i="2"/>
  <c r="CR25" i="2"/>
  <c r="CQ25" i="2"/>
  <c r="CP25" i="2"/>
  <c r="CO25" i="2"/>
  <c r="CN25" i="2"/>
  <c r="I25" i="2"/>
  <c r="G25" i="4" s="1"/>
  <c r="FS24" i="2"/>
  <c r="FR24" i="2"/>
  <c r="FQ24" i="2"/>
  <c r="FP24" i="2"/>
  <c r="FO24" i="2"/>
  <c r="FN24" i="2"/>
  <c r="FM24" i="2"/>
  <c r="FL24" i="2"/>
  <c r="FK24" i="2"/>
  <c r="FJ24" i="2"/>
  <c r="FI24" i="2"/>
  <c r="FH24" i="2"/>
  <c r="FG24" i="2"/>
  <c r="FF24" i="2"/>
  <c r="FE24" i="2"/>
  <c r="FD24" i="2"/>
  <c r="FC24" i="2"/>
  <c r="FB24" i="2"/>
  <c r="FA24" i="2"/>
  <c r="EZ24" i="2"/>
  <c r="EY24" i="2"/>
  <c r="EX24" i="2"/>
  <c r="EW24" i="2"/>
  <c r="EV24" i="2"/>
  <c r="EU24" i="2"/>
  <c r="ET24" i="2"/>
  <c r="ES24" i="2"/>
  <c r="ER24" i="2"/>
  <c r="EQ24" i="2"/>
  <c r="EP24" i="2"/>
  <c r="EO24" i="2"/>
  <c r="EN24" i="2"/>
  <c r="EM24" i="2"/>
  <c r="EL24" i="2"/>
  <c r="EK24" i="2"/>
  <c r="EJ24" i="2"/>
  <c r="EI24" i="2"/>
  <c r="EH24" i="2"/>
  <c r="EG24" i="2"/>
  <c r="EF24" i="2"/>
  <c r="EE24" i="2"/>
  <c r="ED24" i="2"/>
  <c r="EC24" i="2"/>
  <c r="EB24" i="2"/>
  <c r="EA24" i="2"/>
  <c r="DZ24" i="2"/>
  <c r="DY24" i="2"/>
  <c r="DX24" i="2"/>
  <c r="DW24" i="2"/>
  <c r="DU24" i="2"/>
  <c r="DT24" i="2"/>
  <c r="DS24" i="2"/>
  <c r="DR24" i="2"/>
  <c r="DQ24" i="2"/>
  <c r="DP24" i="2"/>
  <c r="DO24" i="2"/>
  <c r="DN24" i="2"/>
  <c r="DM24" i="2"/>
  <c r="DL24" i="2"/>
  <c r="DK24" i="2"/>
  <c r="DI24" i="2"/>
  <c r="DH24" i="2"/>
  <c r="DG24" i="2"/>
  <c r="DF24" i="2"/>
  <c r="DE24" i="2"/>
  <c r="DD24" i="2"/>
  <c r="DC24" i="2"/>
  <c r="CQ24" i="2"/>
  <c r="CP24" i="2"/>
  <c r="CO24" i="2"/>
  <c r="CN24" i="2"/>
  <c r="I24" i="2"/>
  <c r="G24" i="4" s="1"/>
  <c r="FS23" i="2"/>
  <c r="FR23" i="2"/>
  <c r="FQ23" i="2"/>
  <c r="FP23" i="2"/>
  <c r="FO23" i="2"/>
  <c r="FN23" i="2"/>
  <c r="FM23" i="2"/>
  <c r="FL23" i="2"/>
  <c r="FK23" i="2"/>
  <c r="FJ23" i="2"/>
  <c r="FI23" i="2"/>
  <c r="FH23" i="2"/>
  <c r="FG23" i="2"/>
  <c r="FF23" i="2"/>
  <c r="FE23" i="2"/>
  <c r="FD23" i="2"/>
  <c r="FC23" i="2"/>
  <c r="FB23" i="2"/>
  <c r="FA23" i="2"/>
  <c r="EZ23" i="2"/>
  <c r="EY23" i="2"/>
  <c r="EX23" i="2"/>
  <c r="EW23" i="2"/>
  <c r="EV23" i="2"/>
  <c r="EU23" i="2"/>
  <c r="ET23" i="2"/>
  <c r="ES23" i="2"/>
  <c r="ER23" i="2"/>
  <c r="EQ23" i="2"/>
  <c r="EP23" i="2"/>
  <c r="EO23" i="2"/>
  <c r="EN23" i="2"/>
  <c r="EM23" i="2"/>
  <c r="EL23" i="2"/>
  <c r="EK23" i="2"/>
  <c r="EJ23" i="2"/>
  <c r="EI23" i="2"/>
  <c r="EH23" i="2"/>
  <c r="EG23" i="2"/>
  <c r="EF23" i="2"/>
  <c r="EE23" i="2"/>
  <c r="ED23" i="2"/>
  <c r="EC23" i="2"/>
  <c r="EB23" i="2"/>
  <c r="EA23" i="2"/>
  <c r="DZ23" i="2"/>
  <c r="DY23" i="2"/>
  <c r="DX23" i="2"/>
  <c r="DW23" i="2"/>
  <c r="DU23" i="2"/>
  <c r="DT23" i="2"/>
  <c r="DS23" i="2"/>
  <c r="DR23" i="2"/>
  <c r="DQ23" i="2"/>
  <c r="DP23" i="2"/>
  <c r="DO23" i="2"/>
  <c r="DN23" i="2"/>
  <c r="DM23" i="2"/>
  <c r="DL23" i="2"/>
  <c r="DK23" i="2"/>
  <c r="DI23" i="2"/>
  <c r="DH23" i="2"/>
  <c r="DG23" i="2"/>
  <c r="DF23" i="2"/>
  <c r="DE23" i="2"/>
  <c r="DD23" i="2"/>
  <c r="DC23" i="2"/>
  <c r="CQ23" i="2"/>
  <c r="CP23" i="2"/>
  <c r="CO23" i="2"/>
  <c r="CN23" i="2"/>
  <c r="I23" i="2"/>
  <c r="G23" i="4" s="1"/>
  <c r="FS22" i="2"/>
  <c r="FR22" i="2"/>
  <c r="FQ22" i="2"/>
  <c r="FP22" i="2"/>
  <c r="FO22" i="2"/>
  <c r="FN22" i="2"/>
  <c r="FM22" i="2"/>
  <c r="FL22" i="2"/>
  <c r="FK22" i="2"/>
  <c r="FJ22" i="2"/>
  <c r="FI22" i="2"/>
  <c r="FH22" i="2"/>
  <c r="FG22" i="2"/>
  <c r="FF22" i="2"/>
  <c r="FE22" i="2"/>
  <c r="FD22" i="2"/>
  <c r="FC22" i="2"/>
  <c r="FB22" i="2"/>
  <c r="FA22" i="2"/>
  <c r="EZ22" i="2"/>
  <c r="EY22" i="2"/>
  <c r="EX22" i="2"/>
  <c r="EW22" i="2"/>
  <c r="EV22" i="2"/>
  <c r="EU22" i="2"/>
  <c r="ET22" i="2"/>
  <c r="ES22" i="2"/>
  <c r="ER22" i="2"/>
  <c r="EQ22" i="2"/>
  <c r="EP22" i="2"/>
  <c r="EO22" i="2"/>
  <c r="EN22" i="2"/>
  <c r="EM22" i="2"/>
  <c r="EL22" i="2"/>
  <c r="EK22" i="2"/>
  <c r="EJ22" i="2"/>
  <c r="EI22" i="2"/>
  <c r="EH22" i="2"/>
  <c r="EG22" i="2"/>
  <c r="EF22" i="2"/>
  <c r="EE22" i="2"/>
  <c r="ED22" i="2"/>
  <c r="EC22" i="2"/>
  <c r="EB22" i="2"/>
  <c r="EA22" i="2"/>
  <c r="DZ22" i="2"/>
  <c r="DY22" i="2"/>
  <c r="DX22" i="2"/>
  <c r="DW22" i="2"/>
  <c r="DU22" i="2"/>
  <c r="DT22" i="2"/>
  <c r="DS22" i="2"/>
  <c r="DR22" i="2"/>
  <c r="DQ22" i="2"/>
  <c r="DP22" i="2"/>
  <c r="DO22" i="2"/>
  <c r="DN22" i="2"/>
  <c r="DM22" i="2"/>
  <c r="DL22" i="2"/>
  <c r="DK22" i="2"/>
  <c r="DI22" i="2"/>
  <c r="DH22" i="2"/>
  <c r="DG22" i="2"/>
  <c r="DF22" i="2"/>
  <c r="DE22" i="2"/>
  <c r="DD22" i="2"/>
  <c r="DC22" i="2"/>
  <c r="CQ22" i="2"/>
  <c r="CP22" i="2"/>
  <c r="CO22" i="2"/>
  <c r="CN22" i="2"/>
  <c r="I22" i="2"/>
  <c r="FS21" i="2"/>
  <c r="FR21" i="2"/>
  <c r="FQ21" i="2"/>
  <c r="FP21" i="2"/>
  <c r="FO21" i="2"/>
  <c r="FN21" i="2"/>
  <c r="FM21" i="2"/>
  <c r="FL21" i="2"/>
  <c r="FK21" i="2"/>
  <c r="FJ21" i="2"/>
  <c r="FI21" i="2"/>
  <c r="FH21" i="2"/>
  <c r="FG21" i="2"/>
  <c r="FF21" i="2"/>
  <c r="FE21" i="2"/>
  <c r="FD21" i="2"/>
  <c r="FC21" i="2"/>
  <c r="FB21" i="2"/>
  <c r="FA21" i="2"/>
  <c r="EZ21" i="2"/>
  <c r="EY21" i="2"/>
  <c r="EX21" i="2"/>
  <c r="EW21" i="2"/>
  <c r="EV21" i="2"/>
  <c r="EU21" i="2"/>
  <c r="ET21" i="2"/>
  <c r="ES21" i="2"/>
  <c r="ER21" i="2"/>
  <c r="EQ21" i="2"/>
  <c r="EP21" i="2"/>
  <c r="EO21" i="2"/>
  <c r="EN21" i="2"/>
  <c r="EM21" i="2"/>
  <c r="EL21" i="2"/>
  <c r="EK21" i="2"/>
  <c r="EJ21" i="2"/>
  <c r="EI21" i="2"/>
  <c r="EH21" i="2"/>
  <c r="EG21" i="2"/>
  <c r="EF21" i="2"/>
  <c r="EE21" i="2"/>
  <c r="ED21" i="2"/>
  <c r="EC21" i="2"/>
  <c r="EB21" i="2"/>
  <c r="EA21" i="2"/>
  <c r="DZ21" i="2"/>
  <c r="DY21" i="2"/>
  <c r="DX21" i="2"/>
  <c r="DW21" i="2"/>
  <c r="DU21" i="2"/>
  <c r="DT21" i="2"/>
  <c r="DS21" i="2"/>
  <c r="DR21" i="2"/>
  <c r="DQ21" i="2"/>
  <c r="DP21" i="2"/>
  <c r="DO21" i="2"/>
  <c r="DN21" i="2"/>
  <c r="DM21" i="2"/>
  <c r="DL21" i="2"/>
  <c r="DK21" i="2"/>
  <c r="DI21" i="2"/>
  <c r="DH21" i="2"/>
  <c r="DG21" i="2"/>
  <c r="DF21" i="2"/>
  <c r="DE21" i="2"/>
  <c r="DD21" i="2"/>
  <c r="DC21" i="2"/>
  <c r="CQ21" i="2"/>
  <c r="CP21" i="2"/>
  <c r="CO21" i="2"/>
  <c r="I21" i="2"/>
  <c r="FS20" i="2"/>
  <c r="FR20" i="2"/>
  <c r="FQ20" i="2"/>
  <c r="FP20" i="2"/>
  <c r="FO20" i="2"/>
  <c r="FN20" i="2"/>
  <c r="FM20" i="2"/>
  <c r="FL20" i="2"/>
  <c r="FK20" i="2"/>
  <c r="FJ20" i="2"/>
  <c r="FI20" i="2"/>
  <c r="FH20" i="2"/>
  <c r="FG20" i="2"/>
  <c r="FF20" i="2"/>
  <c r="FE20" i="2"/>
  <c r="FD20" i="2"/>
  <c r="FC20" i="2"/>
  <c r="FB20" i="2"/>
  <c r="FA20" i="2"/>
  <c r="EZ20" i="2"/>
  <c r="EY20" i="2"/>
  <c r="EX20" i="2"/>
  <c r="EW20" i="2"/>
  <c r="EV20" i="2"/>
  <c r="EU20" i="2"/>
  <c r="ET20" i="2"/>
  <c r="ES20" i="2"/>
  <c r="ER20" i="2"/>
  <c r="EQ20" i="2"/>
  <c r="EP20" i="2"/>
  <c r="EO20" i="2"/>
  <c r="EN20" i="2"/>
  <c r="EM20" i="2"/>
  <c r="EL20" i="2"/>
  <c r="EK20" i="2"/>
  <c r="EJ20" i="2"/>
  <c r="EI20" i="2"/>
  <c r="EH20" i="2"/>
  <c r="EG20" i="2"/>
  <c r="EF20" i="2"/>
  <c r="EE20" i="2"/>
  <c r="ED20" i="2"/>
  <c r="EC20" i="2"/>
  <c r="EB20" i="2"/>
  <c r="EA20" i="2"/>
  <c r="DZ20" i="2"/>
  <c r="DY20" i="2"/>
  <c r="DX20" i="2"/>
  <c r="DW20" i="2"/>
  <c r="DU20" i="2"/>
  <c r="DT20" i="2"/>
  <c r="DS20" i="2"/>
  <c r="DR20" i="2"/>
  <c r="DQ20" i="2"/>
  <c r="DP20" i="2"/>
  <c r="DO20" i="2"/>
  <c r="DN20" i="2"/>
  <c r="DM20" i="2"/>
  <c r="DL20" i="2"/>
  <c r="DK20" i="2"/>
  <c r="DI20" i="2"/>
  <c r="DH20" i="2"/>
  <c r="DG20" i="2"/>
  <c r="DF20" i="2"/>
  <c r="DE20" i="2"/>
  <c r="DD20" i="2"/>
  <c r="DC20" i="2"/>
  <c r="CQ20" i="2"/>
  <c r="CP20" i="2"/>
  <c r="CO20" i="2"/>
  <c r="CN20" i="2"/>
  <c r="I20" i="2"/>
  <c r="G20" i="4" s="1"/>
  <c r="FS19" i="2"/>
  <c r="FR19" i="2"/>
  <c r="FQ19" i="2"/>
  <c r="FP19" i="2"/>
  <c r="FO19" i="2"/>
  <c r="FN19" i="2"/>
  <c r="FM19" i="2"/>
  <c r="FL19" i="2"/>
  <c r="FK19" i="2"/>
  <c r="FJ19" i="2"/>
  <c r="FI19" i="2"/>
  <c r="FH19" i="2"/>
  <c r="FG19" i="2"/>
  <c r="FF19" i="2"/>
  <c r="FE19" i="2"/>
  <c r="FD19" i="2"/>
  <c r="FC19" i="2"/>
  <c r="FB19" i="2"/>
  <c r="FA19" i="2"/>
  <c r="EZ19" i="2"/>
  <c r="EY19" i="2"/>
  <c r="EX19" i="2"/>
  <c r="EW19" i="2"/>
  <c r="EV19" i="2"/>
  <c r="EU19" i="2"/>
  <c r="ET19" i="2"/>
  <c r="ES19" i="2"/>
  <c r="ER19" i="2"/>
  <c r="EQ19" i="2"/>
  <c r="EP19" i="2"/>
  <c r="EO19" i="2"/>
  <c r="EN19" i="2"/>
  <c r="EM19" i="2"/>
  <c r="EL19" i="2"/>
  <c r="EK19" i="2"/>
  <c r="EJ19" i="2"/>
  <c r="EI19" i="2"/>
  <c r="EH19" i="2"/>
  <c r="EG19" i="2"/>
  <c r="EF19" i="2"/>
  <c r="EE19" i="2"/>
  <c r="ED19" i="2"/>
  <c r="EC19" i="2"/>
  <c r="EB19" i="2"/>
  <c r="EA19" i="2"/>
  <c r="DZ19" i="2"/>
  <c r="DY19" i="2"/>
  <c r="DX19" i="2"/>
  <c r="DW19" i="2"/>
  <c r="DU19" i="2"/>
  <c r="DT19" i="2"/>
  <c r="DS19" i="2"/>
  <c r="DR19" i="2"/>
  <c r="DQ19" i="2"/>
  <c r="DP19" i="2"/>
  <c r="DO19" i="2"/>
  <c r="DN19" i="2"/>
  <c r="DM19" i="2"/>
  <c r="DL19" i="2"/>
  <c r="DK19" i="2"/>
  <c r="DI19" i="2"/>
  <c r="DH19" i="2"/>
  <c r="DG19" i="2"/>
  <c r="DF19" i="2"/>
  <c r="DE19" i="2"/>
  <c r="DD19" i="2"/>
  <c r="DC19" i="2"/>
  <c r="CR19" i="2"/>
  <c r="CQ19" i="2"/>
  <c r="CP19" i="2"/>
  <c r="CO19" i="2"/>
  <c r="CN19" i="2"/>
  <c r="I19" i="2"/>
  <c r="G19" i="4" s="1"/>
  <c r="FS18" i="2"/>
  <c r="FR18" i="2"/>
  <c r="FQ18" i="2"/>
  <c r="FP18" i="2"/>
  <c r="FO18" i="2"/>
  <c r="FN18" i="2"/>
  <c r="FM18" i="2"/>
  <c r="FL18" i="2"/>
  <c r="FK18" i="2"/>
  <c r="FJ18" i="2"/>
  <c r="FI18" i="2"/>
  <c r="FH18" i="2"/>
  <c r="FG18" i="2"/>
  <c r="FF18" i="2"/>
  <c r="FE18" i="2"/>
  <c r="FD18" i="2"/>
  <c r="FC18" i="2"/>
  <c r="FB18" i="2"/>
  <c r="FA18" i="2"/>
  <c r="EZ18" i="2"/>
  <c r="EY18" i="2"/>
  <c r="EX18" i="2"/>
  <c r="EW18" i="2"/>
  <c r="EV18" i="2"/>
  <c r="EU18" i="2"/>
  <c r="ET18" i="2"/>
  <c r="ES18" i="2"/>
  <c r="ER18" i="2"/>
  <c r="EQ18" i="2"/>
  <c r="EP18" i="2"/>
  <c r="EO18" i="2"/>
  <c r="EN18" i="2"/>
  <c r="EM18" i="2"/>
  <c r="EL18" i="2"/>
  <c r="EK18" i="2"/>
  <c r="EJ18" i="2"/>
  <c r="EI18" i="2"/>
  <c r="EH18" i="2"/>
  <c r="EG18" i="2"/>
  <c r="EF18" i="2"/>
  <c r="EE18" i="2"/>
  <c r="ED18" i="2"/>
  <c r="EC18" i="2"/>
  <c r="EB18" i="2"/>
  <c r="EA18" i="2"/>
  <c r="DZ18" i="2"/>
  <c r="DY18" i="2"/>
  <c r="DX18" i="2"/>
  <c r="DW18" i="2"/>
  <c r="DU18" i="2"/>
  <c r="DT18" i="2"/>
  <c r="DS18" i="2"/>
  <c r="DR18" i="2"/>
  <c r="DQ18" i="2"/>
  <c r="DP18" i="2"/>
  <c r="DO18" i="2"/>
  <c r="DN18" i="2"/>
  <c r="DM18" i="2"/>
  <c r="DL18" i="2"/>
  <c r="DK18" i="2"/>
  <c r="DI18" i="2"/>
  <c r="DH18" i="2"/>
  <c r="DG18" i="2"/>
  <c r="DF18" i="2"/>
  <c r="DE18" i="2"/>
  <c r="DD18" i="2"/>
  <c r="DC18" i="2"/>
  <c r="CR18" i="2"/>
  <c r="CQ18" i="2"/>
  <c r="CP18" i="2"/>
  <c r="CO18" i="2"/>
  <c r="CN18" i="2"/>
  <c r="I18" i="2"/>
  <c r="G18" i="4" s="1"/>
  <c r="FS17" i="2"/>
  <c r="FR17" i="2"/>
  <c r="FQ17" i="2"/>
  <c r="FP17" i="2"/>
  <c r="FO17" i="2"/>
  <c r="FN17" i="2"/>
  <c r="FM17" i="2"/>
  <c r="FL17" i="2"/>
  <c r="FK17" i="2"/>
  <c r="FJ17" i="2"/>
  <c r="FI17" i="2"/>
  <c r="FH17" i="2"/>
  <c r="FG17" i="2"/>
  <c r="FF17" i="2"/>
  <c r="FE17" i="2"/>
  <c r="FD17" i="2"/>
  <c r="FC17" i="2"/>
  <c r="FB17" i="2"/>
  <c r="FA17" i="2"/>
  <c r="EZ17" i="2"/>
  <c r="EY17" i="2"/>
  <c r="EX17" i="2"/>
  <c r="EW17" i="2"/>
  <c r="EV17" i="2"/>
  <c r="EU17" i="2"/>
  <c r="ET17" i="2"/>
  <c r="ES17" i="2"/>
  <c r="ER17" i="2"/>
  <c r="EQ17" i="2"/>
  <c r="EP17" i="2"/>
  <c r="EO17" i="2"/>
  <c r="EN17" i="2"/>
  <c r="EM17" i="2"/>
  <c r="EL17" i="2"/>
  <c r="EK17" i="2"/>
  <c r="EJ17" i="2"/>
  <c r="EI17" i="2"/>
  <c r="EH17" i="2"/>
  <c r="EG17" i="2"/>
  <c r="EF17" i="2"/>
  <c r="EE17" i="2"/>
  <c r="ED17" i="2"/>
  <c r="EC17" i="2"/>
  <c r="EB17" i="2"/>
  <c r="EA17" i="2"/>
  <c r="DZ17" i="2"/>
  <c r="DY17" i="2"/>
  <c r="DX17" i="2"/>
  <c r="DW17" i="2"/>
  <c r="DU17" i="2"/>
  <c r="DT17" i="2"/>
  <c r="DS17" i="2"/>
  <c r="DR17" i="2"/>
  <c r="DQ17" i="2"/>
  <c r="DP17" i="2"/>
  <c r="DO17" i="2"/>
  <c r="DN17" i="2"/>
  <c r="DM17" i="2"/>
  <c r="DL17" i="2"/>
  <c r="DK17" i="2"/>
  <c r="DI17" i="2"/>
  <c r="DH17" i="2"/>
  <c r="DG17" i="2"/>
  <c r="DF17" i="2"/>
  <c r="DE17" i="2"/>
  <c r="DD17" i="2"/>
  <c r="DC17" i="2"/>
  <c r="CR17" i="2"/>
  <c r="CQ17" i="2"/>
  <c r="CP17" i="2"/>
  <c r="CO17" i="2"/>
  <c r="CN17" i="2"/>
  <c r="I17" i="2"/>
  <c r="G17" i="4" s="1"/>
  <c r="FS16" i="2"/>
  <c r="FR16" i="2"/>
  <c r="FQ16" i="2"/>
  <c r="FP16" i="2"/>
  <c r="FO16" i="2"/>
  <c r="FN16" i="2"/>
  <c r="FM16" i="2"/>
  <c r="FL16" i="2"/>
  <c r="FK16" i="2"/>
  <c r="FJ16" i="2"/>
  <c r="FI16" i="2"/>
  <c r="FH16" i="2"/>
  <c r="FG16" i="2"/>
  <c r="FF16" i="2"/>
  <c r="FE16" i="2"/>
  <c r="FD16" i="2"/>
  <c r="FC16" i="2"/>
  <c r="FB16" i="2"/>
  <c r="FA16" i="2"/>
  <c r="EZ16" i="2"/>
  <c r="EY16" i="2"/>
  <c r="EX16" i="2"/>
  <c r="EW16" i="2"/>
  <c r="EV16" i="2"/>
  <c r="EU16" i="2"/>
  <c r="ET16" i="2"/>
  <c r="ES16" i="2"/>
  <c r="ER16" i="2"/>
  <c r="EQ16" i="2"/>
  <c r="EP16" i="2"/>
  <c r="EO16" i="2"/>
  <c r="EN16" i="2"/>
  <c r="EM16" i="2"/>
  <c r="EL16" i="2"/>
  <c r="EK16" i="2"/>
  <c r="EJ16" i="2"/>
  <c r="EI16" i="2"/>
  <c r="EH16" i="2"/>
  <c r="EG16" i="2"/>
  <c r="EF16" i="2"/>
  <c r="EE16" i="2"/>
  <c r="ED16" i="2"/>
  <c r="EC16" i="2"/>
  <c r="EB16" i="2"/>
  <c r="EA16" i="2"/>
  <c r="DZ16" i="2"/>
  <c r="DY16" i="2"/>
  <c r="DX16" i="2"/>
  <c r="DW16" i="2"/>
  <c r="DU16" i="2"/>
  <c r="DT16" i="2"/>
  <c r="DS16" i="2"/>
  <c r="DR16" i="2"/>
  <c r="DQ16" i="2"/>
  <c r="DP16" i="2"/>
  <c r="DO16" i="2"/>
  <c r="DN16" i="2"/>
  <c r="DM16" i="2"/>
  <c r="DL16" i="2"/>
  <c r="DK16" i="2"/>
  <c r="DI16" i="2"/>
  <c r="DH16" i="2"/>
  <c r="DG16" i="2"/>
  <c r="DF16" i="2"/>
  <c r="DE16" i="2"/>
  <c r="DD16" i="2"/>
  <c r="DC16" i="2"/>
  <c r="CR16" i="2"/>
  <c r="CQ16" i="2"/>
  <c r="CP16" i="2"/>
  <c r="CO16" i="2"/>
  <c r="CN16" i="2"/>
  <c r="I16" i="2"/>
  <c r="G16" i="4" s="1"/>
  <c r="FS15" i="2"/>
  <c r="FR15" i="2"/>
  <c r="FQ15" i="2"/>
  <c r="FP15" i="2"/>
  <c r="FO15" i="2"/>
  <c r="FN15" i="2"/>
  <c r="FM15" i="2"/>
  <c r="FL15" i="2"/>
  <c r="FK15" i="2"/>
  <c r="FJ15" i="2"/>
  <c r="FI15" i="2"/>
  <c r="FH15" i="2"/>
  <c r="FG15" i="2"/>
  <c r="FF15" i="2"/>
  <c r="FE15" i="2"/>
  <c r="FD15" i="2"/>
  <c r="FC15" i="2"/>
  <c r="FB15" i="2"/>
  <c r="FA15" i="2"/>
  <c r="EZ15" i="2"/>
  <c r="EY15" i="2"/>
  <c r="EX15" i="2"/>
  <c r="EW15" i="2"/>
  <c r="EV15" i="2"/>
  <c r="EU15" i="2"/>
  <c r="ET15" i="2"/>
  <c r="ES15" i="2"/>
  <c r="ER15" i="2"/>
  <c r="EQ15" i="2"/>
  <c r="EP15" i="2"/>
  <c r="EO15" i="2"/>
  <c r="EN15" i="2"/>
  <c r="EM15" i="2"/>
  <c r="EL15" i="2"/>
  <c r="EK15" i="2"/>
  <c r="EJ15" i="2"/>
  <c r="EI15" i="2"/>
  <c r="EH15" i="2"/>
  <c r="EG15" i="2"/>
  <c r="EF15" i="2"/>
  <c r="EE15" i="2"/>
  <c r="ED15" i="2"/>
  <c r="EC15" i="2"/>
  <c r="EB15" i="2"/>
  <c r="EA15" i="2"/>
  <c r="DZ15" i="2"/>
  <c r="DY15" i="2"/>
  <c r="DX15" i="2"/>
  <c r="DW15" i="2"/>
  <c r="DU15" i="2"/>
  <c r="DT15" i="2"/>
  <c r="DS15" i="2"/>
  <c r="DR15" i="2"/>
  <c r="DQ15" i="2"/>
  <c r="DP15" i="2"/>
  <c r="DO15" i="2"/>
  <c r="DN15" i="2"/>
  <c r="DM15" i="2"/>
  <c r="DL15" i="2"/>
  <c r="DK15" i="2"/>
  <c r="DI15" i="2"/>
  <c r="DH15" i="2"/>
  <c r="DG15" i="2"/>
  <c r="DF15" i="2"/>
  <c r="DE15" i="2"/>
  <c r="DD15" i="2"/>
  <c r="DC15" i="2"/>
  <c r="CR15" i="2"/>
  <c r="CQ15" i="2"/>
  <c r="CP15" i="2"/>
  <c r="CO15" i="2"/>
  <c r="I15" i="2"/>
  <c r="G15" i="4" s="1"/>
  <c r="FS14" i="2"/>
  <c r="FR14" i="2"/>
  <c r="FQ14" i="2"/>
  <c r="FP14" i="2"/>
  <c r="FO14" i="2"/>
  <c r="FN14" i="2"/>
  <c r="FM14" i="2"/>
  <c r="FL14" i="2"/>
  <c r="FK14" i="2"/>
  <c r="FJ14" i="2"/>
  <c r="FI14" i="2"/>
  <c r="FH14" i="2"/>
  <c r="FG14" i="2"/>
  <c r="FF14" i="2"/>
  <c r="FE14" i="2"/>
  <c r="FD14" i="2"/>
  <c r="FC14" i="2"/>
  <c r="FB14" i="2"/>
  <c r="FA14" i="2"/>
  <c r="EZ14" i="2"/>
  <c r="EY14" i="2"/>
  <c r="EX14" i="2"/>
  <c r="EW14" i="2"/>
  <c r="EV14" i="2"/>
  <c r="EU14" i="2"/>
  <c r="ET14" i="2"/>
  <c r="ES14" i="2"/>
  <c r="ER14" i="2"/>
  <c r="EQ14" i="2"/>
  <c r="EP14" i="2"/>
  <c r="EO14" i="2"/>
  <c r="EN14" i="2"/>
  <c r="EM14" i="2"/>
  <c r="EL14" i="2"/>
  <c r="EK14" i="2"/>
  <c r="EJ14" i="2"/>
  <c r="EI14" i="2"/>
  <c r="EH14" i="2"/>
  <c r="EG14" i="2"/>
  <c r="EF14" i="2"/>
  <c r="EE14" i="2"/>
  <c r="ED14" i="2"/>
  <c r="EC14" i="2"/>
  <c r="EB14" i="2"/>
  <c r="EA14" i="2"/>
  <c r="DZ14" i="2"/>
  <c r="DY14" i="2"/>
  <c r="DX14" i="2"/>
  <c r="DW14" i="2"/>
  <c r="DU14" i="2"/>
  <c r="DT14" i="2"/>
  <c r="DS14" i="2"/>
  <c r="DR14" i="2"/>
  <c r="DQ14" i="2"/>
  <c r="DP14" i="2"/>
  <c r="DO14" i="2"/>
  <c r="DN14" i="2"/>
  <c r="DM14" i="2"/>
  <c r="DL14" i="2"/>
  <c r="DK14" i="2"/>
  <c r="DI14" i="2"/>
  <c r="DH14" i="2"/>
  <c r="DG14" i="2"/>
  <c r="DF14" i="2"/>
  <c r="DE14" i="2"/>
  <c r="DD14" i="2"/>
  <c r="DC14" i="2"/>
  <c r="CQ14" i="2"/>
  <c r="CP14" i="2"/>
  <c r="CO14" i="2"/>
  <c r="CN14" i="2"/>
  <c r="I14" i="2"/>
  <c r="G14" i="4" s="1"/>
  <c r="FS13" i="2"/>
  <c r="FR13" i="2"/>
  <c r="FQ13" i="2"/>
  <c r="FP13" i="2"/>
  <c r="FO13" i="2"/>
  <c r="FN13" i="2"/>
  <c r="FM13" i="2"/>
  <c r="FL13" i="2"/>
  <c r="FK13" i="2"/>
  <c r="FJ13" i="2"/>
  <c r="FI13" i="2"/>
  <c r="FH13" i="2"/>
  <c r="FG13" i="2"/>
  <c r="FF13" i="2"/>
  <c r="FE13" i="2"/>
  <c r="FD13" i="2"/>
  <c r="FC13" i="2"/>
  <c r="FB13" i="2"/>
  <c r="FA13" i="2"/>
  <c r="EZ13" i="2"/>
  <c r="EY13" i="2"/>
  <c r="EX13" i="2"/>
  <c r="EW13" i="2"/>
  <c r="EV13" i="2"/>
  <c r="EU13" i="2"/>
  <c r="ET13" i="2"/>
  <c r="ES13" i="2"/>
  <c r="ER13" i="2"/>
  <c r="EQ13" i="2"/>
  <c r="EP13" i="2"/>
  <c r="EO13" i="2"/>
  <c r="EN13" i="2"/>
  <c r="EM13" i="2"/>
  <c r="EL13" i="2"/>
  <c r="EK13" i="2"/>
  <c r="EJ13" i="2"/>
  <c r="EI13" i="2"/>
  <c r="EH13" i="2"/>
  <c r="EG13" i="2"/>
  <c r="EF13" i="2"/>
  <c r="EE13" i="2"/>
  <c r="ED13" i="2"/>
  <c r="EC13" i="2"/>
  <c r="EB13" i="2"/>
  <c r="EA13" i="2"/>
  <c r="DZ13" i="2"/>
  <c r="DY13" i="2"/>
  <c r="DX13" i="2"/>
  <c r="DW13" i="2"/>
  <c r="DU13" i="2"/>
  <c r="DT13" i="2"/>
  <c r="DS13" i="2"/>
  <c r="DR13" i="2"/>
  <c r="DQ13" i="2"/>
  <c r="DP13" i="2"/>
  <c r="DO13" i="2"/>
  <c r="DN13" i="2"/>
  <c r="DM13" i="2"/>
  <c r="DL13" i="2"/>
  <c r="DK13" i="2"/>
  <c r="DI13" i="2"/>
  <c r="DH13" i="2"/>
  <c r="DG13" i="2"/>
  <c r="DF13" i="2"/>
  <c r="DE13" i="2"/>
  <c r="DD13" i="2"/>
  <c r="DC13" i="2"/>
  <c r="CQ13" i="2"/>
  <c r="CP13" i="2"/>
  <c r="CO13" i="2"/>
  <c r="CN13" i="2"/>
  <c r="I13" i="2"/>
  <c r="G13" i="4" s="1"/>
  <c r="FS12" i="2"/>
  <c r="FR12" i="2"/>
  <c r="FQ12" i="2"/>
  <c r="FP12" i="2"/>
  <c r="FO12" i="2"/>
  <c r="FN12" i="2"/>
  <c r="FM12" i="2"/>
  <c r="FL12" i="2"/>
  <c r="FK12" i="2"/>
  <c r="FJ12" i="2"/>
  <c r="FI12" i="2"/>
  <c r="FH12" i="2"/>
  <c r="FG12" i="2"/>
  <c r="FF12" i="2"/>
  <c r="FE12" i="2"/>
  <c r="FD12" i="2"/>
  <c r="FC12" i="2"/>
  <c r="FB12" i="2"/>
  <c r="FA12" i="2"/>
  <c r="EZ12" i="2"/>
  <c r="EY12" i="2"/>
  <c r="EX12" i="2"/>
  <c r="EW12" i="2"/>
  <c r="EV12" i="2"/>
  <c r="EU12" i="2"/>
  <c r="ET12" i="2"/>
  <c r="ES12" i="2"/>
  <c r="ER12" i="2"/>
  <c r="EQ12" i="2"/>
  <c r="EP12" i="2"/>
  <c r="EO12" i="2"/>
  <c r="EN12" i="2"/>
  <c r="EM12" i="2"/>
  <c r="EL12" i="2"/>
  <c r="EK12" i="2"/>
  <c r="EJ12" i="2"/>
  <c r="EI12" i="2"/>
  <c r="EH12" i="2"/>
  <c r="EG12" i="2"/>
  <c r="EF12" i="2"/>
  <c r="EE12" i="2"/>
  <c r="ED12" i="2"/>
  <c r="EC12" i="2"/>
  <c r="EB12" i="2"/>
  <c r="EA12" i="2"/>
  <c r="DZ12" i="2"/>
  <c r="DY12" i="2"/>
  <c r="DX12" i="2"/>
  <c r="DW12" i="2"/>
  <c r="DU12" i="2"/>
  <c r="DT12" i="2"/>
  <c r="DS12" i="2"/>
  <c r="DR12" i="2"/>
  <c r="DQ12" i="2"/>
  <c r="DP12" i="2"/>
  <c r="DO12" i="2"/>
  <c r="DN12" i="2"/>
  <c r="DM12" i="2"/>
  <c r="DL12" i="2"/>
  <c r="DK12" i="2"/>
  <c r="DI12" i="2"/>
  <c r="DH12" i="2"/>
  <c r="DG12" i="2"/>
  <c r="DF12" i="2"/>
  <c r="DE12" i="2"/>
  <c r="DD12" i="2"/>
  <c r="DC12" i="2"/>
  <c r="CQ12" i="2"/>
  <c r="CP12" i="2"/>
  <c r="CO12" i="2"/>
  <c r="CN12" i="2"/>
  <c r="I12" i="2"/>
  <c r="FS11" i="2"/>
  <c r="FR11" i="2"/>
  <c r="FQ11" i="2"/>
  <c r="FP11" i="2"/>
  <c r="FO11" i="2"/>
  <c r="FN11" i="2"/>
  <c r="FM11" i="2"/>
  <c r="FL11" i="2"/>
  <c r="FK11" i="2"/>
  <c r="FJ11" i="2"/>
  <c r="FI11" i="2"/>
  <c r="FH11" i="2"/>
  <c r="FG11" i="2"/>
  <c r="FF11" i="2"/>
  <c r="FE11" i="2"/>
  <c r="FD11" i="2"/>
  <c r="FC11" i="2"/>
  <c r="FB11" i="2"/>
  <c r="FA11" i="2"/>
  <c r="EZ11" i="2"/>
  <c r="EY11" i="2"/>
  <c r="EX11" i="2"/>
  <c r="EW11" i="2"/>
  <c r="EV11" i="2"/>
  <c r="EU11" i="2"/>
  <c r="ET11" i="2"/>
  <c r="ES11" i="2"/>
  <c r="ER11" i="2"/>
  <c r="EQ11" i="2"/>
  <c r="EP11" i="2"/>
  <c r="EO11" i="2"/>
  <c r="EN11" i="2"/>
  <c r="EM11" i="2"/>
  <c r="EL11" i="2"/>
  <c r="EK11" i="2"/>
  <c r="EJ11" i="2"/>
  <c r="EI11" i="2"/>
  <c r="EH11" i="2"/>
  <c r="EG11" i="2"/>
  <c r="EF11" i="2"/>
  <c r="EE11" i="2"/>
  <c r="ED11" i="2"/>
  <c r="EC11" i="2"/>
  <c r="EB11" i="2"/>
  <c r="EA11" i="2"/>
  <c r="DZ11" i="2"/>
  <c r="DY11" i="2"/>
  <c r="DX11" i="2"/>
  <c r="DW11" i="2"/>
  <c r="DU11" i="2"/>
  <c r="DT11" i="2"/>
  <c r="DS11" i="2"/>
  <c r="DR11" i="2"/>
  <c r="DQ11" i="2"/>
  <c r="DP11" i="2"/>
  <c r="DO11" i="2"/>
  <c r="DN11" i="2"/>
  <c r="DM11" i="2"/>
  <c r="DL11" i="2"/>
  <c r="DK11" i="2"/>
  <c r="DI11" i="2"/>
  <c r="DH11" i="2"/>
  <c r="DG11" i="2"/>
  <c r="DF11" i="2"/>
  <c r="DE11" i="2"/>
  <c r="DD11" i="2"/>
  <c r="DC11" i="2"/>
  <c r="CQ11" i="2"/>
  <c r="CP11" i="2"/>
  <c r="CO11" i="2"/>
  <c r="CN11" i="2"/>
  <c r="I11" i="2"/>
  <c r="G11" i="4" s="1"/>
  <c r="FS10" i="2"/>
  <c r="FR10" i="2"/>
  <c r="FQ10" i="2"/>
  <c r="FP10" i="2"/>
  <c r="FO10" i="2"/>
  <c r="FN10" i="2"/>
  <c r="FM10" i="2"/>
  <c r="FL10" i="2"/>
  <c r="FK10" i="2"/>
  <c r="FJ10" i="2"/>
  <c r="FI10" i="2"/>
  <c r="FH10" i="2"/>
  <c r="FG10" i="2"/>
  <c r="FF10" i="2"/>
  <c r="FE10" i="2"/>
  <c r="FD10" i="2"/>
  <c r="FC10" i="2"/>
  <c r="FB10" i="2"/>
  <c r="FA10" i="2"/>
  <c r="EZ10" i="2"/>
  <c r="EY10" i="2"/>
  <c r="EX10" i="2"/>
  <c r="EW10" i="2"/>
  <c r="EV10" i="2"/>
  <c r="EU10" i="2"/>
  <c r="ET10" i="2"/>
  <c r="ES10" i="2"/>
  <c r="ER10" i="2"/>
  <c r="EQ10" i="2"/>
  <c r="EP10" i="2"/>
  <c r="EO10" i="2"/>
  <c r="EN10" i="2"/>
  <c r="EM10" i="2"/>
  <c r="EL10" i="2"/>
  <c r="EK10" i="2"/>
  <c r="EJ10" i="2"/>
  <c r="EI10" i="2"/>
  <c r="EH10" i="2"/>
  <c r="EG10" i="2"/>
  <c r="EF10" i="2"/>
  <c r="EE10" i="2"/>
  <c r="ED10" i="2"/>
  <c r="EC10" i="2"/>
  <c r="EB10" i="2"/>
  <c r="EA10" i="2"/>
  <c r="DZ10" i="2"/>
  <c r="DY10" i="2"/>
  <c r="DX10" i="2"/>
  <c r="DW10" i="2"/>
  <c r="DU10" i="2"/>
  <c r="DT10" i="2"/>
  <c r="DS10" i="2"/>
  <c r="DR10" i="2"/>
  <c r="DQ10" i="2"/>
  <c r="DP10" i="2"/>
  <c r="DO10" i="2"/>
  <c r="DN10" i="2"/>
  <c r="DM10" i="2"/>
  <c r="DL10" i="2"/>
  <c r="DK10" i="2"/>
  <c r="DI10" i="2"/>
  <c r="DH10" i="2"/>
  <c r="DG10" i="2"/>
  <c r="DF10" i="2"/>
  <c r="DE10" i="2"/>
  <c r="DD10" i="2"/>
  <c r="DC10" i="2"/>
  <c r="CR10" i="2"/>
  <c r="CQ10" i="2"/>
  <c r="CP10" i="2"/>
  <c r="CO10" i="2"/>
  <c r="CN10" i="2"/>
  <c r="I10" i="2"/>
  <c r="G10" i="4" s="1"/>
  <c r="FS9" i="2"/>
  <c r="FR9" i="2"/>
  <c r="FQ9" i="2"/>
  <c r="FP9" i="2"/>
  <c r="FO9" i="2"/>
  <c r="FN9" i="2"/>
  <c r="FM9" i="2"/>
  <c r="FL9" i="2"/>
  <c r="FK9" i="2"/>
  <c r="FJ9" i="2"/>
  <c r="FI9" i="2"/>
  <c r="FH9" i="2"/>
  <c r="FG9" i="2"/>
  <c r="FF9" i="2"/>
  <c r="FE9" i="2"/>
  <c r="FD9" i="2"/>
  <c r="FC9" i="2"/>
  <c r="FB9" i="2"/>
  <c r="FA9" i="2"/>
  <c r="EZ9" i="2"/>
  <c r="EY9" i="2"/>
  <c r="EX9" i="2"/>
  <c r="EW9" i="2"/>
  <c r="EV9" i="2"/>
  <c r="EU9" i="2"/>
  <c r="ET9" i="2"/>
  <c r="ES9" i="2"/>
  <c r="ER9" i="2"/>
  <c r="EQ9" i="2"/>
  <c r="EP9" i="2"/>
  <c r="EO9" i="2"/>
  <c r="EN9" i="2"/>
  <c r="EM9" i="2"/>
  <c r="EL9" i="2"/>
  <c r="EK9" i="2"/>
  <c r="EJ9" i="2"/>
  <c r="EI9" i="2"/>
  <c r="EH9" i="2"/>
  <c r="EG9" i="2"/>
  <c r="EF9" i="2"/>
  <c r="EE9" i="2"/>
  <c r="ED9" i="2"/>
  <c r="EC9" i="2"/>
  <c r="EB9" i="2"/>
  <c r="EA9" i="2"/>
  <c r="DZ9" i="2"/>
  <c r="DY9" i="2"/>
  <c r="DX9" i="2"/>
  <c r="DW9" i="2"/>
  <c r="DU9" i="2"/>
  <c r="DT9" i="2"/>
  <c r="DS9" i="2"/>
  <c r="DR9" i="2"/>
  <c r="DQ9" i="2"/>
  <c r="DP9" i="2"/>
  <c r="DO9" i="2"/>
  <c r="DN9" i="2"/>
  <c r="DM9" i="2"/>
  <c r="DL9" i="2"/>
  <c r="DK9" i="2"/>
  <c r="DI9" i="2"/>
  <c r="DH9" i="2"/>
  <c r="DG9" i="2"/>
  <c r="DF9" i="2"/>
  <c r="DE9" i="2"/>
  <c r="DD9" i="2"/>
  <c r="DC9" i="2"/>
  <c r="CR9" i="2"/>
  <c r="CQ9" i="2"/>
  <c r="CP9" i="2"/>
  <c r="CO9" i="2"/>
  <c r="I9" i="2"/>
  <c r="G9" i="4" s="1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U8" i="2"/>
  <c r="DT8" i="2"/>
  <c r="DS8" i="2"/>
  <c r="DR8" i="2"/>
  <c r="DQ8" i="2"/>
  <c r="DP8" i="2"/>
  <c r="DO8" i="2"/>
  <c r="DN8" i="2"/>
  <c r="DM8" i="2"/>
  <c r="DL8" i="2"/>
  <c r="DK8" i="2"/>
  <c r="DI8" i="2"/>
  <c r="DH8" i="2"/>
  <c r="DG8" i="2"/>
  <c r="DF8" i="2"/>
  <c r="DE8" i="2"/>
  <c r="DD8" i="2"/>
  <c r="DC8" i="2"/>
  <c r="CR8" i="2"/>
  <c r="CQ8" i="2"/>
  <c r="CP8" i="2"/>
  <c r="CO8" i="2"/>
  <c r="CN8" i="2"/>
  <c r="I8" i="2"/>
  <c r="G8" i="4" s="1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CQ7" i="2"/>
  <c r="CP7" i="2"/>
  <c r="CO7" i="2"/>
  <c r="CN7" i="2"/>
  <c r="I7" i="2"/>
  <c r="G7" i="4" s="1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FB6" i="2"/>
  <c r="FA6" i="2"/>
  <c r="EZ6" i="2"/>
  <c r="EY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I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DT6" i="2"/>
  <c r="DS6" i="2"/>
  <c r="DR6" i="2"/>
  <c r="DQ6" i="2"/>
  <c r="DP6" i="2"/>
  <c r="DO6" i="2"/>
  <c r="DN6" i="2"/>
  <c r="DM6" i="2"/>
  <c r="DL6" i="2"/>
  <c r="DK6" i="2"/>
  <c r="DJ6" i="2"/>
  <c r="DI6" i="2"/>
  <c r="DH6" i="2"/>
  <c r="DG6" i="2"/>
  <c r="DF6" i="2"/>
  <c r="DE6" i="2"/>
  <c r="DD6" i="2"/>
  <c r="DC6" i="2"/>
  <c r="CQ6" i="2"/>
  <c r="CP6" i="2"/>
  <c r="CO6" i="2"/>
  <c r="CN6" i="2"/>
  <c r="I6" i="2"/>
  <c r="G6" i="4" s="1"/>
  <c r="FS5" i="2"/>
  <c r="FR5" i="2"/>
  <c r="FQ5" i="2"/>
  <c r="FP5" i="2"/>
  <c r="FO5" i="2"/>
  <c r="FN5" i="2"/>
  <c r="FM5" i="2"/>
  <c r="FL5" i="2"/>
  <c r="FK5" i="2"/>
  <c r="FJ5" i="2"/>
  <c r="FI5" i="2"/>
  <c r="FH5" i="2"/>
  <c r="FG5" i="2"/>
  <c r="FF5" i="2"/>
  <c r="FE5" i="2"/>
  <c r="FD5" i="2"/>
  <c r="FC5" i="2"/>
  <c r="FB5" i="2"/>
  <c r="FA5" i="2"/>
  <c r="EZ5" i="2"/>
  <c r="EY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I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S5" i="2"/>
  <c r="DR5" i="2"/>
  <c r="DQ5" i="2"/>
  <c r="DP5" i="2"/>
  <c r="DO5" i="2"/>
  <c r="DN5" i="2"/>
  <c r="DM5" i="2"/>
  <c r="DL5" i="2"/>
  <c r="DK5" i="2"/>
  <c r="DJ5" i="2"/>
  <c r="DI5" i="2"/>
  <c r="DH5" i="2"/>
  <c r="DG5" i="2"/>
  <c r="DF5" i="2"/>
  <c r="DE5" i="2"/>
  <c r="DD5" i="2"/>
  <c r="DC5" i="2"/>
  <c r="CR5" i="2"/>
  <c r="CQ5" i="2"/>
  <c r="CP5" i="2"/>
  <c r="CO5" i="2"/>
  <c r="CN5" i="2"/>
  <c r="I5" i="2"/>
  <c r="G5" i="4" s="1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CQ4" i="2"/>
  <c r="CP4" i="2"/>
  <c r="CO4" i="2"/>
  <c r="CN4" i="2"/>
  <c r="I4" i="2"/>
  <c r="G4" i="4" s="1"/>
  <c r="FS3" i="2"/>
  <c r="FR3" i="2"/>
  <c r="FQ3" i="2"/>
  <c r="FP3" i="2"/>
  <c r="FO3" i="2"/>
  <c r="FN3" i="2"/>
  <c r="FM3" i="2"/>
  <c r="FL3" i="2"/>
  <c r="FK3" i="2"/>
  <c r="FJ3" i="2"/>
  <c r="FI3" i="2"/>
  <c r="FH3" i="2"/>
  <c r="FG3" i="2"/>
  <c r="FF3" i="2"/>
  <c r="FE3" i="2"/>
  <c r="FD3" i="2"/>
  <c r="FC3" i="2"/>
  <c r="FB3" i="2"/>
  <c r="FA3" i="2"/>
  <c r="EZ3" i="2"/>
  <c r="EY3" i="2"/>
  <c r="EX3" i="2"/>
  <c r="EW3" i="2"/>
  <c r="EV3" i="2"/>
  <c r="EU3" i="2"/>
  <c r="ET3" i="2"/>
  <c r="ES3" i="2"/>
  <c r="ER3" i="2"/>
  <c r="EQ3" i="2"/>
  <c r="EP3" i="2"/>
  <c r="EO3" i="2"/>
  <c r="EN3" i="2"/>
  <c r="EM3" i="2"/>
  <c r="EL3" i="2"/>
  <c r="EK3" i="2"/>
  <c r="EJ3" i="2"/>
  <c r="EI3" i="2"/>
  <c r="EH3" i="2"/>
  <c r="EG3" i="2"/>
  <c r="EF3" i="2"/>
  <c r="EE3" i="2"/>
  <c r="ED3" i="2"/>
  <c r="EC3" i="2"/>
  <c r="EB3" i="2"/>
  <c r="EA3" i="2"/>
  <c r="DZ3" i="2"/>
  <c r="DY3" i="2"/>
  <c r="DX3" i="2"/>
  <c r="DW3" i="2"/>
  <c r="DV3" i="2"/>
  <c r="DU3" i="2"/>
  <c r="DT3" i="2"/>
  <c r="DS3" i="2"/>
  <c r="DR3" i="2"/>
  <c r="DQ3" i="2"/>
  <c r="DP3" i="2"/>
  <c r="DO3" i="2"/>
  <c r="DN3" i="2"/>
  <c r="DM3" i="2"/>
  <c r="DL3" i="2"/>
  <c r="DK3" i="2"/>
  <c r="DJ3" i="2"/>
  <c r="DI3" i="2"/>
  <c r="DH3" i="2"/>
  <c r="DG3" i="2"/>
  <c r="DF3" i="2"/>
  <c r="DE3" i="2"/>
  <c r="DD3" i="2"/>
  <c r="DC3" i="2"/>
  <c r="CQ3" i="2"/>
  <c r="CP3" i="2"/>
  <c r="CO3" i="2"/>
  <c r="I3" i="2"/>
  <c r="G3" i="4" s="1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P138" i="2" s="1"/>
  <c r="EO2" i="2"/>
  <c r="EN2" i="2"/>
  <c r="EM2" i="2"/>
  <c r="EL2" i="2"/>
  <c r="EK2" i="2"/>
  <c r="EJ2" i="2"/>
  <c r="EI2" i="2"/>
  <c r="EG2" i="2"/>
  <c r="EF2" i="2"/>
  <c r="EE2" i="2"/>
  <c r="ED2" i="2"/>
  <c r="EC2" i="2"/>
  <c r="EB2" i="2"/>
  <c r="EA2" i="2"/>
  <c r="DZ2" i="2"/>
  <c r="DY2" i="2"/>
  <c r="DX2" i="2"/>
  <c r="DW2" i="2"/>
  <c r="DV2" i="2"/>
  <c r="DU2" i="2"/>
  <c r="DT2" i="2"/>
  <c r="DS2" i="2"/>
  <c r="DR2" i="2"/>
  <c r="DQ2" i="2"/>
  <c r="DQ101" i="2" s="1"/>
  <c r="DP2" i="2"/>
  <c r="DO2" i="2"/>
  <c r="DN2" i="2"/>
  <c r="DM2" i="2"/>
  <c r="DL2" i="2"/>
  <c r="DK2" i="2"/>
  <c r="DJ2" i="2"/>
  <c r="DI2" i="2"/>
  <c r="DH2" i="2"/>
  <c r="DG2" i="2"/>
  <c r="DF2" i="2"/>
  <c r="DF58" i="2" s="1"/>
  <c r="DE2" i="2"/>
  <c r="DD2" i="2"/>
  <c r="DC2" i="2"/>
  <c r="DC52" i="2" s="1"/>
  <c r="DB2" i="2"/>
  <c r="B294" i="1"/>
  <c r="B293" i="1"/>
  <c r="M293" i="1" s="1"/>
  <c r="I292" i="1"/>
  <c r="K292" i="1" s="1"/>
  <c r="B292" i="1"/>
  <c r="B291" i="1"/>
  <c r="H291" i="1" s="1"/>
  <c r="J291" i="1" s="1"/>
  <c r="I290" i="1"/>
  <c r="K290" i="1" s="1"/>
  <c r="H290" i="1"/>
  <c r="J290" i="1" s="1"/>
  <c r="B290" i="1"/>
  <c r="M290" i="1" s="1"/>
  <c r="I289" i="1"/>
  <c r="K289" i="1" s="1"/>
  <c r="B289" i="1"/>
  <c r="B288" i="1"/>
  <c r="H288" i="1" s="1"/>
  <c r="J288" i="1" s="1"/>
  <c r="B287" i="1"/>
  <c r="M287" i="1" s="1"/>
  <c r="B286" i="1"/>
  <c r="M285" i="1"/>
  <c r="B285" i="1"/>
  <c r="H285" i="1" s="1"/>
  <c r="J285" i="1" s="1"/>
  <c r="B284" i="1"/>
  <c r="M284" i="1" s="1"/>
  <c r="B283" i="1"/>
  <c r="I283" i="1" s="1"/>
  <c r="K283" i="1" s="1"/>
  <c r="B282" i="1"/>
  <c r="H282" i="1" s="1"/>
  <c r="J282" i="1" s="1"/>
  <c r="I281" i="1"/>
  <c r="K281" i="1" s="1"/>
  <c r="H281" i="1"/>
  <c r="J281" i="1" s="1"/>
  <c r="B281" i="1"/>
  <c r="M281" i="1" s="1"/>
  <c r="B280" i="1"/>
  <c r="I280" i="1" s="1"/>
  <c r="K280" i="1" s="1"/>
  <c r="B279" i="1"/>
  <c r="H279" i="1" s="1"/>
  <c r="J279" i="1" s="1"/>
  <c r="B278" i="1"/>
  <c r="M278" i="1" s="1"/>
  <c r="B277" i="1"/>
  <c r="M276" i="1"/>
  <c r="B276" i="1"/>
  <c r="H276" i="1" s="1"/>
  <c r="J276" i="1" s="1"/>
  <c r="B275" i="1"/>
  <c r="M275" i="1" s="1"/>
  <c r="I274" i="1"/>
  <c r="K274" i="1" s="1"/>
  <c r="B274" i="1"/>
  <c r="B273" i="1"/>
  <c r="I272" i="1"/>
  <c r="K272" i="1" s="1"/>
  <c r="H272" i="1"/>
  <c r="J272" i="1" s="1"/>
  <c r="B272" i="1"/>
  <c r="M272" i="1" s="1"/>
  <c r="I271" i="1"/>
  <c r="K271" i="1" s="1"/>
  <c r="B271" i="1"/>
  <c r="B270" i="1"/>
  <c r="H270" i="1" s="1"/>
  <c r="J270" i="1" s="1"/>
  <c r="B269" i="1"/>
  <c r="B268" i="1"/>
  <c r="M267" i="1"/>
  <c r="B267" i="1"/>
  <c r="H267" i="1" s="1"/>
  <c r="J267" i="1" s="1"/>
  <c r="B266" i="1"/>
  <c r="M266" i="1" s="1"/>
  <c r="B265" i="1"/>
  <c r="I265" i="1" s="1"/>
  <c r="K265" i="1" s="1"/>
  <c r="M264" i="1"/>
  <c r="I264" i="1"/>
  <c r="K264" i="1" s="1"/>
  <c r="B264" i="1"/>
  <c r="H264" i="1" s="1"/>
  <c r="J264" i="1" s="1"/>
  <c r="I263" i="1"/>
  <c r="K263" i="1" s="1"/>
  <c r="B263" i="1"/>
  <c r="M263" i="1" s="1"/>
  <c r="B262" i="1"/>
  <c r="I262" i="1" s="1"/>
  <c r="K262" i="1" s="1"/>
  <c r="B261" i="1"/>
  <c r="H261" i="1" s="1"/>
  <c r="J261" i="1" s="1"/>
  <c r="H260" i="1"/>
  <c r="J260" i="1" s="1"/>
  <c r="B260" i="1"/>
  <c r="M260" i="1" s="1"/>
  <c r="B259" i="1"/>
  <c r="B258" i="1"/>
  <c r="H258" i="1" s="1"/>
  <c r="J258" i="1" s="1"/>
  <c r="B257" i="1"/>
  <c r="M257" i="1" s="1"/>
  <c r="B256" i="1"/>
  <c r="I256" i="1" s="1"/>
  <c r="K256" i="1" s="1"/>
  <c r="M255" i="1"/>
  <c r="I255" i="1"/>
  <c r="K255" i="1" s="1"/>
  <c r="B255" i="1"/>
  <c r="H255" i="1" s="1"/>
  <c r="J255" i="1" s="1"/>
  <c r="I254" i="1"/>
  <c r="K254" i="1" s="1"/>
  <c r="H254" i="1"/>
  <c r="J254" i="1" s="1"/>
  <c r="B254" i="1"/>
  <c r="M254" i="1" s="1"/>
  <c r="B253" i="1"/>
  <c r="I253" i="1" s="1"/>
  <c r="K253" i="1" s="1"/>
  <c r="M252" i="1"/>
  <c r="I252" i="1"/>
  <c r="K252" i="1" s="1"/>
  <c r="H252" i="1"/>
  <c r="J252" i="1" s="1"/>
  <c r="B252" i="1"/>
  <c r="B251" i="1"/>
  <c r="M251" i="1" s="1"/>
  <c r="B250" i="1"/>
  <c r="M250" i="1" s="1"/>
  <c r="M249" i="1"/>
  <c r="H249" i="1"/>
  <c r="J249" i="1" s="1"/>
  <c r="B249" i="1"/>
  <c r="I249" i="1" s="1"/>
  <c r="K249" i="1" s="1"/>
  <c r="H248" i="1"/>
  <c r="J248" i="1" s="1"/>
  <c r="B248" i="1"/>
  <c r="I248" i="1" s="1"/>
  <c r="K248" i="1" s="1"/>
  <c r="B247" i="1"/>
  <c r="H247" i="1" s="1"/>
  <c r="J247" i="1" s="1"/>
  <c r="M246" i="1"/>
  <c r="I246" i="1"/>
  <c r="K246" i="1" s="1"/>
  <c r="H246" i="1"/>
  <c r="J246" i="1" s="1"/>
  <c r="B246" i="1"/>
  <c r="B245" i="1"/>
  <c r="I245" i="1" s="1"/>
  <c r="K245" i="1" s="1"/>
  <c r="I244" i="1"/>
  <c r="K244" i="1" s="1"/>
  <c r="H244" i="1"/>
  <c r="J244" i="1" s="1"/>
  <c r="B244" i="1"/>
  <c r="M244" i="1" s="1"/>
  <c r="M243" i="1"/>
  <c r="B243" i="1"/>
  <c r="I243" i="1" s="1"/>
  <c r="K243" i="1" s="1"/>
  <c r="B242" i="1"/>
  <c r="I242" i="1" s="1"/>
  <c r="K242" i="1" s="1"/>
  <c r="B241" i="1"/>
  <c r="M240" i="1"/>
  <c r="I240" i="1"/>
  <c r="K240" i="1" s="1"/>
  <c r="B240" i="1"/>
  <c r="H240" i="1" s="1"/>
  <c r="J240" i="1" s="1"/>
  <c r="B239" i="1"/>
  <c r="M239" i="1" s="1"/>
  <c r="B238" i="1"/>
  <c r="I237" i="1"/>
  <c r="K237" i="1" s="1"/>
  <c r="H237" i="1"/>
  <c r="J237" i="1" s="1"/>
  <c r="B237" i="1"/>
  <c r="M237" i="1" s="1"/>
  <c r="M236" i="1"/>
  <c r="B236" i="1"/>
  <c r="B235" i="1"/>
  <c r="I234" i="1"/>
  <c r="K234" i="1" s="1"/>
  <c r="B234" i="1"/>
  <c r="H234" i="1" s="1"/>
  <c r="J234" i="1" s="1"/>
  <c r="B233" i="1"/>
  <c r="M233" i="1" s="1"/>
  <c r="B232" i="1"/>
  <c r="M232" i="1" s="1"/>
  <c r="M231" i="1"/>
  <c r="I231" i="1"/>
  <c r="K231" i="1" s="1"/>
  <c r="B231" i="1"/>
  <c r="H231" i="1" s="1"/>
  <c r="J231" i="1" s="1"/>
  <c r="B230" i="1"/>
  <c r="I230" i="1" s="1"/>
  <c r="K230" i="1" s="1"/>
  <c r="B229" i="1"/>
  <c r="M228" i="1"/>
  <c r="B228" i="1"/>
  <c r="H228" i="1" s="1"/>
  <c r="J228" i="1" s="1"/>
  <c r="B227" i="1"/>
  <c r="I226" i="1"/>
  <c r="K226" i="1" s="1"/>
  <c r="H226" i="1"/>
  <c r="J226" i="1" s="1"/>
  <c r="B226" i="1"/>
  <c r="M226" i="1" s="1"/>
  <c r="M225" i="1"/>
  <c r="B225" i="1"/>
  <c r="I225" i="1" s="1"/>
  <c r="K225" i="1" s="1"/>
  <c r="B224" i="1"/>
  <c r="I223" i="1"/>
  <c r="K223" i="1" s="1"/>
  <c r="B223" i="1"/>
  <c r="H223" i="1" s="1"/>
  <c r="J223" i="1" s="1"/>
  <c r="B222" i="1"/>
  <c r="M222" i="1" s="1"/>
  <c r="B221" i="1"/>
  <c r="M221" i="1" s="1"/>
  <c r="I220" i="1"/>
  <c r="K220" i="1" s="1"/>
  <c r="H220" i="1"/>
  <c r="J220" i="1" s="1"/>
  <c r="B220" i="1"/>
  <c r="M220" i="1" s="1"/>
  <c r="I219" i="1"/>
  <c r="K219" i="1" s="1"/>
  <c r="H219" i="1"/>
  <c r="J219" i="1" s="1"/>
  <c r="B219" i="1"/>
  <c r="M219" i="1" s="1"/>
  <c r="B218" i="1"/>
  <c r="I218" i="1" s="1"/>
  <c r="K218" i="1" s="1"/>
  <c r="M217" i="1"/>
  <c r="B217" i="1"/>
  <c r="H217" i="1" s="1"/>
  <c r="J217" i="1" s="1"/>
  <c r="B216" i="1"/>
  <c r="H216" i="1" s="1"/>
  <c r="J216" i="1" s="1"/>
  <c r="B215" i="1"/>
  <c r="H215" i="1" s="1"/>
  <c r="J215" i="1" s="1"/>
  <c r="B214" i="1"/>
  <c r="H214" i="1" s="1"/>
  <c r="J214" i="1" s="1"/>
  <c r="B213" i="1"/>
  <c r="H213" i="1" s="1"/>
  <c r="J213" i="1" s="1"/>
  <c r="M212" i="1"/>
  <c r="I212" i="1"/>
  <c r="K212" i="1" s="1"/>
  <c r="B212" i="1"/>
  <c r="H212" i="1" s="1"/>
  <c r="J212" i="1" s="1"/>
  <c r="M211" i="1"/>
  <c r="I211" i="1"/>
  <c r="K211" i="1" s="1"/>
  <c r="B211" i="1"/>
  <c r="H211" i="1" s="1"/>
  <c r="J211" i="1" s="1"/>
  <c r="B210" i="1"/>
  <c r="H210" i="1" s="1"/>
  <c r="J210" i="1" s="1"/>
  <c r="B209" i="1"/>
  <c r="B208" i="1"/>
  <c r="H208" i="1" s="1"/>
  <c r="J208" i="1" s="1"/>
  <c r="K207" i="1"/>
  <c r="H207" i="1"/>
  <c r="J207" i="1" s="1"/>
  <c r="B207" i="1"/>
  <c r="M206" i="1"/>
  <c r="K206" i="1"/>
  <c r="H206" i="1"/>
  <c r="J206" i="1" s="1"/>
  <c r="B206" i="1"/>
  <c r="K205" i="1"/>
  <c r="B205" i="1"/>
  <c r="M205" i="1" s="1"/>
  <c r="K204" i="1"/>
  <c r="B204" i="1"/>
  <c r="M204" i="1" s="1"/>
  <c r="B203" i="1"/>
  <c r="M203" i="1" s="1"/>
  <c r="H202" i="1"/>
  <c r="J202" i="1" s="1"/>
  <c r="B202" i="1"/>
  <c r="I202" i="1" s="1"/>
  <c r="K202" i="1" s="1"/>
  <c r="M201" i="1"/>
  <c r="B201" i="1"/>
  <c r="B200" i="1"/>
  <c r="I200" i="1" s="1"/>
  <c r="K200" i="1" s="1"/>
  <c r="B199" i="1"/>
  <c r="I199" i="1" s="1"/>
  <c r="K199" i="1" s="1"/>
  <c r="B198" i="1"/>
  <c r="I198" i="1" s="1"/>
  <c r="K198" i="1" s="1"/>
  <c r="B197" i="1"/>
  <c r="M196" i="1"/>
  <c r="B196" i="1"/>
  <c r="H196" i="1" s="1"/>
  <c r="J196" i="1" s="1"/>
  <c r="B195" i="1"/>
  <c r="H195" i="1" s="1"/>
  <c r="J195" i="1" s="1"/>
  <c r="B194" i="1"/>
  <c r="M194" i="1" s="1"/>
  <c r="H193" i="1"/>
  <c r="J193" i="1" s="1"/>
  <c r="B193" i="1"/>
  <c r="M193" i="1" s="1"/>
  <c r="B192" i="1"/>
  <c r="H192" i="1" s="1"/>
  <c r="J192" i="1" s="1"/>
  <c r="B191" i="1"/>
  <c r="B190" i="1"/>
  <c r="M190" i="1" s="1"/>
  <c r="M189" i="1"/>
  <c r="H189" i="1"/>
  <c r="J189" i="1" s="1"/>
  <c r="B189" i="1"/>
  <c r="B188" i="1"/>
  <c r="M188" i="1" s="1"/>
  <c r="H187" i="1"/>
  <c r="J187" i="1" s="1"/>
  <c r="B187" i="1"/>
  <c r="I187" i="1" s="1"/>
  <c r="K187" i="1" s="1"/>
  <c r="B186" i="1"/>
  <c r="I186" i="1" s="1"/>
  <c r="K186" i="1" s="1"/>
  <c r="B185" i="1"/>
  <c r="I185" i="1" s="1"/>
  <c r="K185" i="1" s="1"/>
  <c r="M184" i="1"/>
  <c r="H184" i="1"/>
  <c r="J184" i="1" s="1"/>
  <c r="B184" i="1"/>
  <c r="I184" i="1" s="1"/>
  <c r="K184" i="1" s="1"/>
  <c r="M183" i="1"/>
  <c r="H183" i="1"/>
  <c r="J183" i="1" s="1"/>
  <c r="B183" i="1"/>
  <c r="I183" i="1" s="1"/>
  <c r="K183" i="1" s="1"/>
  <c r="B182" i="1"/>
  <c r="B181" i="1"/>
  <c r="B180" i="1"/>
  <c r="I180" i="1" s="1"/>
  <c r="K180" i="1" s="1"/>
  <c r="B179" i="1"/>
  <c r="I179" i="1" s="1"/>
  <c r="K179" i="1" s="1"/>
  <c r="M178" i="1"/>
  <c r="H178" i="1"/>
  <c r="J178" i="1" s="1"/>
  <c r="B178" i="1"/>
  <c r="I178" i="1" s="1"/>
  <c r="K178" i="1" s="1"/>
  <c r="B177" i="1"/>
  <c r="B176" i="1"/>
  <c r="I176" i="1" s="1"/>
  <c r="K176" i="1" s="1"/>
  <c r="M175" i="1"/>
  <c r="B175" i="1"/>
  <c r="I175" i="1" s="1"/>
  <c r="K175" i="1" s="1"/>
  <c r="B174" i="1"/>
  <c r="B173" i="1"/>
  <c r="I173" i="1" s="1"/>
  <c r="K173" i="1" s="1"/>
  <c r="H172" i="1"/>
  <c r="J172" i="1" s="1"/>
  <c r="B172" i="1"/>
  <c r="I172" i="1" s="1"/>
  <c r="K172" i="1" s="1"/>
  <c r="M171" i="1"/>
  <c r="B171" i="1"/>
  <c r="I171" i="1" s="1"/>
  <c r="K171" i="1" s="1"/>
  <c r="B170" i="1"/>
  <c r="I170" i="1" s="1"/>
  <c r="K170" i="1" s="1"/>
  <c r="B169" i="1"/>
  <c r="B168" i="1"/>
  <c r="I168" i="1" s="1"/>
  <c r="K168" i="1" s="1"/>
  <c r="B167" i="1"/>
  <c r="H166" i="1"/>
  <c r="J166" i="1" s="1"/>
  <c r="B166" i="1"/>
  <c r="I166" i="1" s="1"/>
  <c r="K166" i="1" s="1"/>
  <c r="B165" i="1"/>
  <c r="B164" i="1"/>
  <c r="I164" i="1" s="1"/>
  <c r="K164" i="1" s="1"/>
  <c r="M163" i="1"/>
  <c r="B163" i="1"/>
  <c r="I163" i="1" s="1"/>
  <c r="K163" i="1" s="1"/>
  <c r="B162" i="1"/>
  <c r="I162" i="1" s="1"/>
  <c r="K162" i="1" s="1"/>
  <c r="B161" i="1"/>
  <c r="I161" i="1" s="1"/>
  <c r="K161" i="1" s="1"/>
  <c r="M160" i="1"/>
  <c r="H160" i="1"/>
  <c r="J160" i="1" s="1"/>
  <c r="B160" i="1"/>
  <c r="I160" i="1" s="1"/>
  <c r="K160" i="1" s="1"/>
  <c r="M159" i="1"/>
  <c r="B159" i="1"/>
  <c r="I159" i="1" s="1"/>
  <c r="K159" i="1" s="1"/>
  <c r="B158" i="1"/>
  <c r="I158" i="1" s="1"/>
  <c r="K158" i="1" s="1"/>
  <c r="B157" i="1"/>
  <c r="B156" i="1"/>
  <c r="I156" i="1" s="1"/>
  <c r="K156" i="1" s="1"/>
  <c r="B155" i="1"/>
  <c r="I155" i="1" s="1"/>
  <c r="K155" i="1" s="1"/>
  <c r="B154" i="1"/>
  <c r="I154" i="1" s="1"/>
  <c r="K154" i="1" s="1"/>
  <c r="B153" i="1"/>
  <c r="B152" i="1"/>
  <c r="I152" i="1" s="1"/>
  <c r="K152" i="1" s="1"/>
  <c r="M151" i="1"/>
  <c r="B151" i="1"/>
  <c r="I151" i="1" s="1"/>
  <c r="K151" i="1" s="1"/>
  <c r="B150" i="1"/>
  <c r="I150" i="1" s="1"/>
  <c r="K150" i="1" s="1"/>
  <c r="B149" i="1"/>
  <c r="I149" i="1" s="1"/>
  <c r="K149" i="1" s="1"/>
  <c r="M148" i="1"/>
  <c r="H148" i="1"/>
  <c r="J148" i="1" s="1"/>
  <c r="B148" i="1"/>
  <c r="I148" i="1" s="1"/>
  <c r="K148" i="1" s="1"/>
  <c r="M147" i="1"/>
  <c r="B147" i="1"/>
  <c r="I147" i="1" s="1"/>
  <c r="K147" i="1" s="1"/>
  <c r="B146" i="1"/>
  <c r="I146" i="1" s="1"/>
  <c r="K146" i="1" s="1"/>
  <c r="B145" i="1"/>
  <c r="B144" i="1"/>
  <c r="I144" i="1" s="1"/>
  <c r="K144" i="1" s="1"/>
  <c r="B143" i="1"/>
  <c r="B142" i="1"/>
  <c r="I142" i="1" s="1"/>
  <c r="K142" i="1" s="1"/>
  <c r="B141" i="1"/>
  <c r="I141" i="1" s="1"/>
  <c r="K141" i="1" s="1"/>
  <c r="B140" i="1"/>
  <c r="I140" i="1" s="1"/>
  <c r="K140" i="1" s="1"/>
  <c r="M139" i="1"/>
  <c r="H139" i="1"/>
  <c r="J139" i="1" s="1"/>
  <c r="B139" i="1"/>
  <c r="B138" i="1"/>
  <c r="I138" i="1" s="1"/>
  <c r="K138" i="1" s="1"/>
  <c r="B137" i="1"/>
  <c r="I137" i="1" s="1"/>
  <c r="K137" i="1" s="1"/>
  <c r="B136" i="1"/>
  <c r="H135" i="1"/>
  <c r="J135" i="1" s="1"/>
  <c r="B135" i="1"/>
  <c r="I135" i="1" s="1"/>
  <c r="K135" i="1" s="1"/>
  <c r="B134" i="1"/>
  <c r="I134" i="1" s="1"/>
  <c r="K134" i="1" s="1"/>
  <c r="B133" i="1"/>
  <c r="B132" i="1"/>
  <c r="I132" i="1" s="1"/>
  <c r="K132" i="1" s="1"/>
  <c r="B131" i="1"/>
  <c r="I131" i="1" s="1"/>
  <c r="K131" i="1" s="1"/>
  <c r="M130" i="1"/>
  <c r="H130" i="1"/>
  <c r="J130" i="1" s="1"/>
  <c r="B130" i="1"/>
  <c r="I130" i="1" s="1"/>
  <c r="K130" i="1" s="1"/>
  <c r="B129" i="1"/>
  <c r="I129" i="1" s="1"/>
  <c r="K129" i="1" s="1"/>
  <c r="B128" i="1"/>
  <c r="I128" i="1" s="1"/>
  <c r="K128" i="1" s="1"/>
  <c r="M127" i="1"/>
  <c r="H127" i="1"/>
  <c r="J127" i="1" s="1"/>
  <c r="B127" i="1"/>
  <c r="B126" i="1"/>
  <c r="I126" i="1" s="1"/>
  <c r="K126" i="1" s="1"/>
  <c r="B125" i="1"/>
  <c r="B124" i="1"/>
  <c r="I124" i="1" s="1"/>
  <c r="K124" i="1" s="1"/>
  <c r="B123" i="1"/>
  <c r="B122" i="1"/>
  <c r="M122" i="1" s="1"/>
  <c r="M121" i="1"/>
  <c r="B121" i="1"/>
  <c r="H121" i="1" s="1"/>
  <c r="J121" i="1" s="1"/>
  <c r="B120" i="1"/>
  <c r="M120" i="1" s="1"/>
  <c r="B119" i="1"/>
  <c r="M118" i="1"/>
  <c r="H118" i="1"/>
  <c r="J118" i="1" s="1"/>
  <c r="B118" i="1"/>
  <c r="H117" i="1"/>
  <c r="J117" i="1" s="1"/>
  <c r="B117" i="1"/>
  <c r="M117" i="1" s="1"/>
  <c r="B116" i="1"/>
  <c r="M116" i="1" s="1"/>
  <c r="B115" i="1"/>
  <c r="M115" i="1" s="1"/>
  <c r="B114" i="1"/>
  <c r="H114" i="1" s="1"/>
  <c r="J114" i="1" s="1"/>
  <c r="B113" i="1"/>
  <c r="M112" i="1"/>
  <c r="B112" i="1"/>
  <c r="H112" i="1" s="1"/>
  <c r="J112" i="1" s="1"/>
  <c r="B111" i="1"/>
  <c r="M111" i="1" s="1"/>
  <c r="B110" i="1"/>
  <c r="M110" i="1" s="1"/>
  <c r="M109" i="1"/>
  <c r="H109" i="1"/>
  <c r="J109" i="1" s="1"/>
  <c r="B109" i="1"/>
  <c r="B108" i="1"/>
  <c r="B107" i="1"/>
  <c r="B106" i="1"/>
  <c r="M106" i="1" s="1"/>
  <c r="H105" i="1"/>
  <c r="J105" i="1" s="1"/>
  <c r="B105" i="1"/>
  <c r="M105" i="1" s="1"/>
  <c r="B104" i="1"/>
  <c r="M104" i="1" s="1"/>
  <c r="B103" i="1"/>
  <c r="M103" i="1" s="1"/>
  <c r="B102" i="1"/>
  <c r="H102" i="1" s="1"/>
  <c r="J102" i="1" s="1"/>
  <c r="B101" i="1"/>
  <c r="M100" i="1"/>
  <c r="H100" i="1"/>
  <c r="J100" i="1" s="1"/>
  <c r="B100" i="1"/>
  <c r="B99" i="1"/>
  <c r="M99" i="1" s="1"/>
  <c r="B98" i="1"/>
  <c r="M98" i="1" s="1"/>
  <c r="B97" i="1"/>
  <c r="B96" i="1"/>
  <c r="H96" i="1" s="1"/>
  <c r="J96" i="1" s="1"/>
  <c r="B95" i="1"/>
  <c r="B94" i="1"/>
  <c r="M94" i="1" s="1"/>
  <c r="B93" i="1"/>
  <c r="M93" i="1" s="1"/>
  <c r="B92" i="1"/>
  <c r="M92" i="1" s="1"/>
  <c r="M91" i="1"/>
  <c r="H91" i="1"/>
  <c r="J91" i="1" s="1"/>
  <c r="B91" i="1"/>
  <c r="B90" i="1"/>
  <c r="M90" i="1" s="1"/>
  <c r="B89" i="1"/>
  <c r="B88" i="1"/>
  <c r="H87" i="1"/>
  <c r="J87" i="1" s="1"/>
  <c r="B87" i="1"/>
  <c r="M87" i="1" s="1"/>
  <c r="B86" i="1"/>
  <c r="M86" i="1" s="1"/>
  <c r="B85" i="1"/>
  <c r="M85" i="1" s="1"/>
  <c r="B84" i="1"/>
  <c r="H84" i="1" s="1"/>
  <c r="J84" i="1" s="1"/>
  <c r="B83" i="1"/>
  <c r="M82" i="1"/>
  <c r="H82" i="1"/>
  <c r="J82" i="1" s="1"/>
  <c r="B82" i="1"/>
  <c r="B81" i="1"/>
  <c r="M81" i="1" s="1"/>
  <c r="B80" i="1"/>
  <c r="M80" i="1" s="1"/>
  <c r="M79" i="1"/>
  <c r="H79" i="1"/>
  <c r="J79" i="1" s="1"/>
  <c r="B79" i="1"/>
  <c r="B78" i="1"/>
  <c r="B77" i="1"/>
  <c r="B76" i="1"/>
  <c r="M76" i="1" s="1"/>
  <c r="B75" i="1"/>
  <c r="B74" i="1"/>
  <c r="M74" i="1" s="1"/>
  <c r="M73" i="1"/>
  <c r="B73" i="1"/>
  <c r="H73" i="1" s="1"/>
  <c r="J73" i="1" s="1"/>
  <c r="B72" i="1"/>
  <c r="H72" i="1" s="1"/>
  <c r="J72" i="1" s="1"/>
  <c r="B71" i="1"/>
  <c r="M70" i="1"/>
  <c r="H70" i="1"/>
  <c r="J70" i="1" s="1"/>
  <c r="B70" i="1"/>
  <c r="H69" i="1"/>
  <c r="J69" i="1" s="1"/>
  <c r="B69" i="1"/>
  <c r="M69" i="1" s="1"/>
  <c r="B68" i="1"/>
  <c r="M68" i="1" s="1"/>
  <c r="B67" i="1"/>
  <c r="M67" i="1" s="1"/>
  <c r="B66" i="1"/>
  <c r="B65" i="1"/>
  <c r="M64" i="1"/>
  <c r="B64" i="1"/>
  <c r="H64" i="1" s="1"/>
  <c r="J64" i="1" s="1"/>
  <c r="B63" i="1"/>
  <c r="M63" i="1" s="1"/>
  <c r="B62" i="1"/>
  <c r="M62" i="1" s="1"/>
  <c r="B61" i="1"/>
  <c r="H61" i="1" s="1"/>
  <c r="J61" i="1" s="1"/>
  <c r="B60" i="1"/>
  <c r="H60" i="1" s="1"/>
  <c r="J60" i="1" s="1"/>
  <c r="B59" i="1"/>
  <c r="M59" i="1" s="1"/>
  <c r="B58" i="1"/>
  <c r="AN58" i="1" s="1"/>
  <c r="B57" i="1"/>
  <c r="H57" i="1" s="1"/>
  <c r="J57" i="1" s="1"/>
  <c r="B56" i="1"/>
  <c r="AN56" i="1" s="1"/>
  <c r="B55" i="1"/>
  <c r="H55" i="1" s="1"/>
  <c r="J55" i="1" s="1"/>
  <c r="B54" i="1"/>
  <c r="H54" i="1" s="1"/>
  <c r="J54" i="1" s="1"/>
  <c r="B53" i="1"/>
  <c r="M53" i="1" s="1"/>
  <c r="B52" i="1"/>
  <c r="AN52" i="1" s="1"/>
  <c r="B51" i="1"/>
  <c r="H51" i="1" s="1"/>
  <c r="J51" i="1" s="1"/>
  <c r="B50" i="1"/>
  <c r="AN50" i="1" s="1"/>
  <c r="B49" i="1"/>
  <c r="H49" i="1" s="1"/>
  <c r="J49" i="1" s="1"/>
  <c r="B48" i="1"/>
  <c r="H48" i="1" s="1"/>
  <c r="J48" i="1" s="1"/>
  <c r="B47" i="1"/>
  <c r="M47" i="1" s="1"/>
  <c r="B46" i="1"/>
  <c r="AN46" i="1" s="1"/>
  <c r="B45" i="1"/>
  <c r="H45" i="1" s="1"/>
  <c r="J45" i="1" s="1"/>
  <c r="B44" i="1"/>
  <c r="AN44" i="1" s="1"/>
  <c r="B43" i="1"/>
  <c r="H43" i="1" s="1"/>
  <c r="J43" i="1" s="1"/>
  <c r="B42" i="1"/>
  <c r="H42" i="1" s="1"/>
  <c r="J42" i="1" s="1"/>
  <c r="B41" i="1"/>
  <c r="M41" i="1" s="1"/>
  <c r="B40" i="1"/>
  <c r="AN40" i="1" s="1"/>
  <c r="B39" i="1"/>
  <c r="H39" i="1" s="1"/>
  <c r="J39" i="1" s="1"/>
  <c r="B38" i="1"/>
  <c r="AN38" i="1" s="1"/>
  <c r="B37" i="1"/>
  <c r="H37" i="1" s="1"/>
  <c r="J37" i="1" s="1"/>
  <c r="B36" i="1"/>
  <c r="H36" i="1" s="1"/>
  <c r="J36" i="1" s="1"/>
  <c r="B35" i="1"/>
  <c r="M35" i="1" s="1"/>
  <c r="B34" i="1"/>
  <c r="AN34" i="1" s="1"/>
  <c r="B33" i="1"/>
  <c r="H33" i="1" s="1"/>
  <c r="J33" i="1" s="1"/>
  <c r="B32" i="1"/>
  <c r="B31" i="1"/>
  <c r="H31" i="1" s="1"/>
  <c r="J31" i="1" s="1"/>
  <c r="M30" i="1"/>
  <c r="B30" i="1"/>
  <c r="H30" i="1" s="1"/>
  <c r="J30" i="1" s="1"/>
  <c r="B29" i="1"/>
  <c r="H29" i="1" s="1"/>
  <c r="J29" i="1" s="1"/>
  <c r="B28" i="1"/>
  <c r="H28" i="1" s="1"/>
  <c r="J28" i="1" s="1"/>
  <c r="B27" i="1"/>
  <c r="H27" i="1" s="1"/>
  <c r="J27" i="1" s="1"/>
  <c r="B26" i="1"/>
  <c r="H26" i="1" s="1"/>
  <c r="J26" i="1" s="1"/>
  <c r="B25" i="1"/>
  <c r="H25" i="1" s="1"/>
  <c r="J25" i="1" s="1"/>
  <c r="B24" i="1"/>
  <c r="H24" i="1" s="1"/>
  <c r="J24" i="1" s="1"/>
  <c r="B23" i="1"/>
  <c r="H23" i="1" s="1"/>
  <c r="J23" i="1" s="1"/>
  <c r="B22" i="1"/>
  <c r="H22" i="1" s="1"/>
  <c r="J22" i="1" s="1"/>
  <c r="B21" i="1"/>
  <c r="H21" i="1" s="1"/>
  <c r="J21" i="1" s="1"/>
  <c r="M20" i="1"/>
  <c r="B20" i="1"/>
  <c r="H20" i="1" s="1"/>
  <c r="J20" i="1" s="1"/>
  <c r="B19" i="1"/>
  <c r="H19" i="1" s="1"/>
  <c r="J19" i="1" s="1"/>
  <c r="B18" i="1"/>
  <c r="H18" i="1" s="1"/>
  <c r="J18" i="1" s="1"/>
  <c r="B17" i="1"/>
  <c r="B16" i="1"/>
  <c r="H16" i="1" s="1"/>
  <c r="J16" i="1" s="1"/>
  <c r="B15" i="1"/>
  <c r="H15" i="1" s="1"/>
  <c r="J15" i="1" s="1"/>
  <c r="M14" i="1"/>
  <c r="B14" i="1"/>
  <c r="H14" i="1" s="1"/>
  <c r="J14" i="1" s="1"/>
  <c r="B13" i="1"/>
  <c r="H13" i="1" s="1"/>
  <c r="J13" i="1" s="1"/>
  <c r="B12" i="1"/>
  <c r="H12" i="1" s="1"/>
  <c r="J12" i="1" s="1"/>
  <c r="B11" i="1"/>
  <c r="H11" i="1" s="1"/>
  <c r="J11" i="1" s="1"/>
  <c r="B10" i="1"/>
  <c r="H10" i="1" s="1"/>
  <c r="J10" i="1" s="1"/>
  <c r="B9" i="1"/>
  <c r="H9" i="1" s="1"/>
  <c r="J9" i="1" s="1"/>
  <c r="B8" i="1"/>
  <c r="H8" i="1" s="1"/>
  <c r="J8" i="1" s="1"/>
  <c r="B7" i="1"/>
  <c r="H7" i="1" s="1"/>
  <c r="J7" i="1" s="1"/>
  <c r="B6" i="1"/>
  <c r="M5" i="1"/>
  <c r="B5" i="1"/>
  <c r="H5" i="1" s="1"/>
  <c r="J5" i="1" s="1"/>
  <c r="B4" i="1"/>
  <c r="H4" i="1" s="1"/>
  <c r="J4" i="1" s="1"/>
  <c r="B3" i="1"/>
  <c r="H3" i="1" s="1"/>
  <c r="J3" i="1" s="1"/>
  <c r="AB168" i="3" l="1"/>
  <c r="AB121" i="3"/>
  <c r="AB251" i="3"/>
  <c r="AB26" i="3"/>
  <c r="AB238" i="3"/>
  <c r="AB245" i="3"/>
  <c r="AB260" i="3"/>
  <c r="AB88" i="3"/>
  <c r="AB108" i="3"/>
  <c r="AB226" i="3"/>
  <c r="G31" i="4"/>
  <c r="CR31" i="2"/>
  <c r="H229" i="1"/>
  <c r="J229" i="1" s="1"/>
  <c r="M229" i="1"/>
  <c r="G21" i="4"/>
  <c r="CR21" i="2"/>
  <c r="CR152" i="2"/>
  <c r="CR194" i="2"/>
  <c r="H32" i="1"/>
  <c r="J32" i="1" s="1"/>
  <c r="M32" i="1"/>
  <c r="I181" i="1"/>
  <c r="K181" i="1" s="1"/>
  <c r="H181" i="1"/>
  <c r="J181" i="1" s="1"/>
  <c r="H6" i="1"/>
  <c r="J6" i="1" s="1"/>
  <c r="M6" i="1"/>
  <c r="M26" i="1"/>
  <c r="I123" i="1"/>
  <c r="K123" i="1" s="1"/>
  <c r="H123" i="1"/>
  <c r="J123" i="1" s="1"/>
  <c r="H235" i="1"/>
  <c r="J235" i="1" s="1"/>
  <c r="M235" i="1"/>
  <c r="I235" i="1"/>
  <c r="K235" i="1" s="1"/>
  <c r="G83" i="4"/>
  <c r="CR83" i="2"/>
  <c r="M75" i="1"/>
  <c r="H75" i="1"/>
  <c r="J75" i="1" s="1"/>
  <c r="H88" i="1"/>
  <c r="J88" i="1" s="1"/>
  <c r="M88" i="1"/>
  <c r="I153" i="1"/>
  <c r="K153" i="1" s="1"/>
  <c r="M153" i="1"/>
  <c r="H153" i="1"/>
  <c r="J153" i="1" s="1"/>
  <c r="I165" i="1"/>
  <c r="K165" i="1" s="1"/>
  <c r="M165" i="1"/>
  <c r="H165" i="1"/>
  <c r="J165" i="1" s="1"/>
  <c r="I177" i="1"/>
  <c r="K177" i="1" s="1"/>
  <c r="H177" i="1"/>
  <c r="J177" i="1" s="1"/>
  <c r="M177" i="1"/>
  <c r="H294" i="1"/>
  <c r="J294" i="1" s="1"/>
  <c r="M294" i="1"/>
  <c r="CU147" i="2"/>
  <c r="CU187" i="2"/>
  <c r="CR141" i="2"/>
  <c r="CR190" i="2"/>
  <c r="CR148" i="2"/>
  <c r="H241" i="1"/>
  <c r="J241" i="1" s="1"/>
  <c r="I241" i="1"/>
  <c r="K241" i="1" s="1"/>
  <c r="L172" i="4"/>
  <c r="M172" i="1"/>
  <c r="L180" i="4"/>
  <c r="CR134" i="2"/>
  <c r="I136" i="1"/>
  <c r="K136" i="1" s="1"/>
  <c r="H136" i="1"/>
  <c r="J136" i="1" s="1"/>
  <c r="M136" i="1"/>
  <c r="H273" i="1"/>
  <c r="J273" i="1" s="1"/>
  <c r="M273" i="1"/>
  <c r="I273" i="1"/>
  <c r="K273" i="1" s="1"/>
  <c r="G12" i="4"/>
  <c r="CR12" i="2"/>
  <c r="H97" i="1"/>
  <c r="J97" i="1" s="1"/>
  <c r="M97" i="1"/>
  <c r="I227" i="1"/>
  <c r="K227" i="1" s="1"/>
  <c r="H227" i="1"/>
  <c r="J227" i="1" s="1"/>
  <c r="M227" i="1"/>
  <c r="M269" i="1"/>
  <c r="H269" i="1"/>
  <c r="J269" i="1" s="1"/>
  <c r="G75" i="4"/>
  <c r="CR75" i="2"/>
  <c r="G91" i="4"/>
  <c r="CR91" i="2"/>
  <c r="CU167" i="2"/>
  <c r="H17" i="1"/>
  <c r="J17" i="1" s="1"/>
  <c r="M17" i="1"/>
  <c r="I145" i="1"/>
  <c r="K145" i="1" s="1"/>
  <c r="M145" i="1"/>
  <c r="H145" i="1"/>
  <c r="J145" i="1" s="1"/>
  <c r="I157" i="1"/>
  <c r="K157" i="1" s="1"/>
  <c r="M157" i="1"/>
  <c r="H157" i="1"/>
  <c r="J157" i="1" s="1"/>
  <c r="H209" i="1"/>
  <c r="J209" i="1" s="1"/>
  <c r="I209" i="1"/>
  <c r="K209" i="1" s="1"/>
  <c r="CU153" i="2"/>
  <c r="M11" i="1"/>
  <c r="I169" i="1"/>
  <c r="K169" i="1" s="1"/>
  <c r="M169" i="1"/>
  <c r="H169" i="1"/>
  <c r="J169" i="1" s="1"/>
  <c r="I224" i="1"/>
  <c r="K224" i="1" s="1"/>
  <c r="M224" i="1"/>
  <c r="H224" i="1"/>
  <c r="J224" i="1" s="1"/>
  <c r="M238" i="1"/>
  <c r="I238" i="1"/>
  <c r="K238" i="1" s="1"/>
  <c r="H238" i="1"/>
  <c r="J238" i="1" s="1"/>
  <c r="G22" i="4"/>
  <c r="CR22" i="2"/>
  <c r="AB68" i="3"/>
  <c r="DF92" i="2"/>
  <c r="DQ95" i="2"/>
  <c r="CU125" i="2"/>
  <c r="CU133" i="2"/>
  <c r="CU169" i="2"/>
  <c r="CU177" i="2"/>
  <c r="CU185" i="2"/>
  <c r="CU201" i="2"/>
  <c r="CU209" i="2"/>
  <c r="CU213" i="2"/>
  <c r="CU217" i="2"/>
  <c r="CU222" i="2"/>
  <c r="CU229" i="2"/>
  <c r="CU240" i="2"/>
  <c r="CU296" i="2"/>
  <c r="CU326" i="2"/>
  <c r="AB192" i="3"/>
  <c r="DQ96" i="2"/>
  <c r="CU110" i="2"/>
  <c r="CU118" i="2"/>
  <c r="CU129" i="2"/>
  <c r="CU160" i="2"/>
  <c r="CU165" i="2"/>
  <c r="CU174" i="2"/>
  <c r="CU182" i="2"/>
  <c r="CU194" i="2"/>
  <c r="CU196" i="2"/>
  <c r="CU198" i="2"/>
  <c r="CU206" i="2"/>
  <c r="CU215" i="2"/>
  <c r="CU219" i="2"/>
  <c r="CU224" i="2"/>
  <c r="CU235" i="2"/>
  <c r="CU244" i="2"/>
  <c r="CU252" i="2"/>
  <c r="CU254" i="2"/>
  <c r="CU262" i="2"/>
  <c r="CU267" i="2"/>
  <c r="CU322" i="2"/>
  <c r="CU329" i="2"/>
  <c r="AB163" i="3"/>
  <c r="AB244" i="3"/>
  <c r="H67" i="1"/>
  <c r="J67" i="1" s="1"/>
  <c r="H93" i="1"/>
  <c r="J93" i="1" s="1"/>
  <c r="H106" i="1"/>
  <c r="J106" i="1" s="1"/>
  <c r="H115" i="1"/>
  <c r="J115" i="1" s="1"/>
  <c r="I133" i="1"/>
  <c r="K133" i="1" s="1"/>
  <c r="H141" i="1"/>
  <c r="J141" i="1" s="1"/>
  <c r="H190" i="1"/>
  <c r="J190" i="1" s="1"/>
  <c r="H199" i="1"/>
  <c r="J199" i="1" s="1"/>
  <c r="M218" i="1"/>
  <c r="H251" i="1"/>
  <c r="J251" i="1" s="1"/>
  <c r="H63" i="1"/>
  <c r="J63" i="1" s="1"/>
  <c r="H76" i="1"/>
  <c r="J76" i="1" s="1"/>
  <c r="H85" i="1"/>
  <c r="J85" i="1" s="1"/>
  <c r="H111" i="1"/>
  <c r="J111" i="1" s="1"/>
  <c r="H124" i="1"/>
  <c r="J124" i="1" s="1"/>
  <c r="H133" i="1"/>
  <c r="J133" i="1" s="1"/>
  <c r="I174" i="1"/>
  <c r="K174" i="1" s="1"/>
  <c r="M195" i="1"/>
  <c r="H204" i="1"/>
  <c r="J204" i="1" s="1"/>
  <c r="H222" i="1"/>
  <c r="J222" i="1" s="1"/>
  <c r="H230" i="1"/>
  <c r="J230" i="1" s="1"/>
  <c r="I233" i="1"/>
  <c r="K233" i="1" s="1"/>
  <c r="I236" i="1"/>
  <c r="K236" i="1" s="1"/>
  <c r="H242" i="1"/>
  <c r="J242" i="1" s="1"/>
  <c r="H245" i="1"/>
  <c r="J245" i="1" s="1"/>
  <c r="I251" i="1"/>
  <c r="K251" i="1" s="1"/>
  <c r="M282" i="1"/>
  <c r="H287" i="1"/>
  <c r="J287" i="1" s="1"/>
  <c r="I291" i="1"/>
  <c r="K291" i="1" s="1"/>
  <c r="CR3" i="2"/>
  <c r="DF35" i="2"/>
  <c r="DF49" i="2"/>
  <c r="DQ97" i="2"/>
  <c r="CU123" i="2"/>
  <c r="CU135" i="2"/>
  <c r="CU151" i="2"/>
  <c r="CU171" i="2"/>
  <c r="CU179" i="2"/>
  <c r="CU188" i="2"/>
  <c r="CU190" i="2"/>
  <c r="CU203" i="2"/>
  <c r="CU231" i="2"/>
  <c r="CU239" i="2"/>
  <c r="CU246" i="2"/>
  <c r="CU275" i="2"/>
  <c r="CU285" i="2"/>
  <c r="CU295" i="2"/>
  <c r="CU306" i="2"/>
  <c r="CU314" i="2"/>
  <c r="AB27" i="3"/>
  <c r="AB176" i="3"/>
  <c r="AB218" i="3"/>
  <c r="M247" i="1"/>
  <c r="M12" i="1"/>
  <c r="M23" i="1"/>
  <c r="M18" i="1"/>
  <c r="M29" i="1"/>
  <c r="H34" i="1"/>
  <c r="J34" i="1" s="1"/>
  <c r="H40" i="1"/>
  <c r="J40" i="1" s="1"/>
  <c r="H46" i="1"/>
  <c r="J46" i="1" s="1"/>
  <c r="H52" i="1"/>
  <c r="J52" i="1" s="1"/>
  <c r="H58" i="1"/>
  <c r="J58" i="1" s="1"/>
  <c r="H81" i="1"/>
  <c r="J81" i="1" s="1"/>
  <c r="H94" i="1"/>
  <c r="J94" i="1" s="1"/>
  <c r="H103" i="1"/>
  <c r="J103" i="1" s="1"/>
  <c r="M124" i="1"/>
  <c r="H129" i="1"/>
  <c r="J129" i="1" s="1"/>
  <c r="M133" i="1"/>
  <c r="H142" i="1"/>
  <c r="J142" i="1" s="1"/>
  <c r="H154" i="1"/>
  <c r="J154" i="1" s="1"/>
  <c r="I201" i="1"/>
  <c r="K201" i="1" s="1"/>
  <c r="I222" i="1"/>
  <c r="K222" i="1" s="1"/>
  <c r="M242" i="1"/>
  <c r="M245" i="1"/>
  <c r="M291" i="1"/>
  <c r="CR6" i="2"/>
  <c r="CR11" i="2"/>
  <c r="CR20" i="2"/>
  <c r="CR30" i="2"/>
  <c r="DF53" i="2"/>
  <c r="CR63" i="2"/>
  <c r="CR67" i="2"/>
  <c r="CR74" i="2"/>
  <c r="CR82" i="2"/>
  <c r="CR90" i="2"/>
  <c r="DQ98" i="2"/>
  <c r="CU108" i="2"/>
  <c r="CU116" i="2"/>
  <c r="CU132" i="2"/>
  <c r="CU137" i="2"/>
  <c r="EP141" i="2"/>
  <c r="CU162" i="2"/>
  <c r="CU176" i="2"/>
  <c r="CU184" i="2"/>
  <c r="CU200" i="2"/>
  <c r="CU208" i="2"/>
  <c r="CU221" i="2"/>
  <c r="CU228" i="2"/>
  <c r="CU237" i="2"/>
  <c r="CU250" i="2"/>
  <c r="CU255" i="2"/>
  <c r="CU257" i="2"/>
  <c r="CU303" i="2"/>
  <c r="CU313" i="2"/>
  <c r="CU321" i="2"/>
  <c r="CU337" i="2"/>
  <c r="AB24" i="3"/>
  <c r="AB97" i="3"/>
  <c r="AB175" i="3"/>
  <c r="H233" i="1"/>
  <c r="J233" i="1" s="1"/>
  <c r="H278" i="1"/>
  <c r="J278" i="1" s="1"/>
  <c r="I282" i="1"/>
  <c r="K282" i="1" s="1"/>
  <c r="M8" i="1"/>
  <c r="M24" i="1"/>
  <c r="M34" i="1"/>
  <c r="M40" i="1"/>
  <c r="M46" i="1"/>
  <c r="M52" i="1"/>
  <c r="M58" i="1"/>
  <c r="H99" i="1"/>
  <c r="J99" i="1" s="1"/>
  <c r="I125" i="1"/>
  <c r="K125" i="1" s="1"/>
  <c r="I139" i="1"/>
  <c r="K139" i="1" s="1"/>
  <c r="M142" i="1"/>
  <c r="H147" i="1"/>
  <c r="J147" i="1" s="1"/>
  <c r="H151" i="1"/>
  <c r="J151" i="1" s="1"/>
  <c r="M154" i="1"/>
  <c r="H159" i="1"/>
  <c r="J159" i="1" s="1"/>
  <c r="H163" i="1"/>
  <c r="J163" i="1" s="1"/>
  <c r="M166" i="1"/>
  <c r="H171" i="1"/>
  <c r="J171" i="1" s="1"/>
  <c r="H175" i="1"/>
  <c r="J175" i="1" s="1"/>
  <c r="H201" i="1"/>
  <c r="J201" i="1" s="1"/>
  <c r="M258" i="1"/>
  <c r="H263" i="1"/>
  <c r="J263" i="1" s="1"/>
  <c r="DF55" i="2"/>
  <c r="DQ99" i="2"/>
  <c r="CU164" i="2"/>
  <c r="CU173" i="2"/>
  <c r="CU181" i="2"/>
  <c r="CU197" i="2"/>
  <c r="CU205" i="2"/>
  <c r="CU214" i="2"/>
  <c r="CU234" i="2"/>
  <c r="CU245" i="2"/>
  <c r="CU273" i="2"/>
  <c r="CU283" i="2"/>
  <c r="CU302" i="2"/>
  <c r="CU340" i="2"/>
  <c r="CU345" i="2"/>
  <c r="CU347" i="2"/>
  <c r="CU349" i="2"/>
  <c r="CU351" i="2"/>
  <c r="CU353" i="2"/>
  <c r="CU355" i="2"/>
  <c r="CU357" i="2"/>
  <c r="CU359" i="2"/>
  <c r="AB9" i="3"/>
  <c r="AB14" i="3"/>
  <c r="AB166" i="3"/>
  <c r="I182" i="1"/>
  <c r="K182" i="1" s="1"/>
  <c r="I143" i="1"/>
  <c r="K143" i="1" s="1"/>
  <c r="I167" i="1"/>
  <c r="K167" i="1" s="1"/>
  <c r="CR4" i="2"/>
  <c r="CR13" i="2"/>
  <c r="CR23" i="2"/>
  <c r="DF37" i="2"/>
  <c r="DF59" i="2"/>
  <c r="CR64" i="2"/>
  <c r="CR68" i="2"/>
  <c r="CR76" i="2"/>
  <c r="CR84" i="2"/>
  <c r="DQ100" i="2"/>
  <c r="CU106" i="2"/>
  <c r="CU114" i="2"/>
  <c r="CU122" i="2"/>
  <c r="CU128" i="2"/>
  <c r="CU134" i="2"/>
  <c r="CU150" i="2"/>
  <c r="CU170" i="2"/>
  <c r="CU178" i="2"/>
  <c r="CU191" i="2"/>
  <c r="CU202" i="2"/>
  <c r="CU210" i="2"/>
  <c r="CU220" i="2"/>
  <c r="CU223" i="2"/>
  <c r="CU230" i="2"/>
  <c r="CU263" i="2"/>
  <c r="CU286" i="2"/>
  <c r="CU291" i="2"/>
  <c r="CU316" i="2"/>
  <c r="CU325" i="2"/>
  <c r="CU361" i="2"/>
  <c r="CU365" i="2"/>
  <c r="CU367" i="2"/>
  <c r="AB210" i="3"/>
  <c r="I127" i="1"/>
  <c r="K127" i="1" s="1"/>
  <c r="CR7" i="2"/>
  <c r="CR14" i="2"/>
  <c r="CR24" i="2"/>
  <c r="DF61" i="2"/>
  <c r="CR69" i="2"/>
  <c r="CR77" i="2"/>
  <c r="CR85" i="2"/>
  <c r="DQ93" i="2"/>
  <c r="CU131" i="2"/>
  <c r="CU156" i="2"/>
  <c r="CU175" i="2"/>
  <c r="CU183" i="2"/>
  <c r="CU195" i="2"/>
  <c r="CU199" i="2"/>
  <c r="CU207" i="2"/>
  <c r="CU216" i="2"/>
  <c r="CU225" i="2"/>
  <c r="CU227" i="2"/>
  <c r="CU236" i="2"/>
  <c r="CU241" i="2"/>
  <c r="CU261" i="2"/>
  <c r="CU271" i="2"/>
  <c r="CU301" i="2"/>
  <c r="CU305" i="2"/>
  <c r="CU328" i="2"/>
  <c r="CU333" i="2"/>
  <c r="CU338" i="2"/>
  <c r="CU375" i="2"/>
  <c r="AB15" i="3"/>
  <c r="AB39" i="3"/>
  <c r="AB129" i="3"/>
  <c r="CU243" i="2"/>
  <c r="CU258" i="2"/>
  <c r="CU260" i="2"/>
  <c r="CU270" i="2"/>
  <c r="CU272" i="2"/>
  <c r="CU282" i="2"/>
  <c r="CU294" i="2"/>
  <c r="CU298" i="2"/>
  <c r="CU317" i="2"/>
  <c r="CU318" i="2"/>
  <c r="CU324" i="2"/>
  <c r="CU336" i="2"/>
  <c r="CU371" i="2"/>
  <c r="AB8" i="3"/>
  <c r="AB18" i="3"/>
  <c r="AB32" i="3"/>
  <c r="AB130" i="3"/>
  <c r="CU327" i="2"/>
  <c r="CU339" i="2"/>
  <c r="CU346" i="2"/>
  <c r="CU348" i="2"/>
  <c r="CU350" i="2"/>
  <c r="CU352" i="2"/>
  <c r="CU354" i="2"/>
  <c r="CU356" i="2"/>
  <c r="CU358" i="2"/>
  <c r="P71" i="3"/>
  <c r="AB36" i="3"/>
  <c r="AB71" i="3"/>
  <c r="AB75" i="3"/>
  <c r="AB154" i="3"/>
  <c r="AB239" i="3"/>
  <c r="CU247" i="2"/>
  <c r="CU278" i="2"/>
  <c r="CU290" i="2"/>
  <c r="CU300" i="2"/>
  <c r="CU308" i="2"/>
  <c r="CU312" i="2"/>
  <c r="CU320" i="2"/>
  <c r="CU332" i="2"/>
  <c r="CU344" i="2"/>
  <c r="CU373" i="2"/>
  <c r="AB54" i="3"/>
  <c r="AB109" i="3"/>
  <c r="AB113" i="3"/>
  <c r="AB145" i="3"/>
  <c r="AB242" i="3"/>
  <c r="CU276" i="2"/>
  <c r="CU288" i="2"/>
  <c r="CU299" i="2"/>
  <c r="CU311" i="2"/>
  <c r="CU319" i="2"/>
  <c r="CU330" i="2"/>
  <c r="CU342" i="2"/>
  <c r="CU370" i="2"/>
  <c r="AB21" i="3"/>
  <c r="AB62" i="3"/>
  <c r="AB72" i="3"/>
  <c r="AB102" i="3"/>
  <c r="AB138" i="3"/>
  <c r="AB209" i="3"/>
  <c r="AB230" i="3"/>
  <c r="CU281" i="2"/>
  <c r="CU293" i="2"/>
  <c r="CU304" i="2"/>
  <c r="CU310" i="2"/>
  <c r="CU323" i="2"/>
  <c r="CU335" i="2"/>
  <c r="AB63" i="3"/>
  <c r="AB77" i="3"/>
  <c r="AB81" i="3"/>
  <c r="AB136" i="3"/>
  <c r="AB139" i="3"/>
  <c r="AB206" i="3"/>
  <c r="AB253" i="3"/>
  <c r="AB257" i="3"/>
  <c r="AB188" i="3"/>
  <c r="AB227" i="3"/>
  <c r="AB241" i="3"/>
  <c r="AB254" i="3"/>
  <c r="AB262" i="3"/>
  <c r="N11" i="4"/>
  <c r="N14" i="4"/>
  <c r="N66" i="4"/>
  <c r="N87" i="4"/>
  <c r="N126" i="4"/>
  <c r="M185" i="4"/>
  <c r="M191" i="4"/>
  <c r="N191" i="4"/>
  <c r="N202" i="4"/>
  <c r="N204" i="4"/>
  <c r="N17" i="4"/>
  <c r="N69" i="4"/>
  <c r="N90" i="4"/>
  <c r="M110" i="4"/>
  <c r="M170" i="4"/>
  <c r="N170" i="4"/>
  <c r="M175" i="4"/>
  <c r="BP4" i="5"/>
  <c r="CG4" i="5" s="1"/>
  <c r="X5" i="5"/>
  <c r="CC5" i="5" s="1"/>
  <c r="AT7" i="5"/>
  <c r="CE7" i="5" s="1"/>
  <c r="BP7" i="5"/>
  <c r="CG7" i="5" s="1"/>
  <c r="X8" i="5"/>
  <c r="CC8" i="5" s="1"/>
  <c r="AT9" i="5"/>
  <c r="CE9" i="5" s="1"/>
  <c r="BP13" i="5"/>
  <c r="CG13" i="5" s="1"/>
  <c r="X14" i="5"/>
  <c r="CC14" i="5" s="1"/>
  <c r="X16" i="5"/>
  <c r="CC16" i="5" s="1"/>
  <c r="AT16" i="5"/>
  <c r="CE16" i="5" s="1"/>
  <c r="BP16" i="5"/>
  <c r="CG16" i="5" s="1"/>
  <c r="X17" i="5"/>
  <c r="CC17" i="5" s="1"/>
  <c r="AT18" i="5"/>
  <c r="CE18" i="5" s="1"/>
  <c r="BP22" i="5"/>
  <c r="CG22" i="5" s="1"/>
  <c r="X23" i="5"/>
  <c r="CC23" i="5" s="1"/>
  <c r="AT25" i="5"/>
  <c r="CE25" i="5" s="1"/>
  <c r="BP25" i="5"/>
  <c r="CG25" i="5" s="1"/>
  <c r="X26" i="5"/>
  <c r="CC26" i="5" s="1"/>
  <c r="AT27" i="5"/>
  <c r="CE27" i="5" s="1"/>
  <c r="X308" i="5"/>
  <c r="CC308" i="5" s="1"/>
  <c r="CA310" i="5"/>
  <c r="CH310" i="5" s="1"/>
  <c r="AB80" i="3"/>
  <c r="AB83" i="3"/>
  <c r="AB99" i="3"/>
  <c r="AB107" i="3"/>
  <c r="AB123" i="3"/>
  <c r="AB125" i="3"/>
  <c r="AB127" i="3"/>
  <c r="AB140" i="3"/>
  <c r="N32" i="4"/>
  <c r="N72" i="4"/>
  <c r="M93" i="4"/>
  <c r="N96" i="4"/>
  <c r="M105" i="4"/>
  <c r="M136" i="4"/>
  <c r="M160" i="4"/>
  <c r="N208" i="4"/>
  <c r="M212" i="4"/>
  <c r="M223" i="4"/>
  <c r="N224" i="4"/>
  <c r="BP31" i="5"/>
  <c r="CG31" i="5" s="1"/>
  <c r="X32" i="5"/>
  <c r="CC32" i="5" s="1"/>
  <c r="AT34" i="5"/>
  <c r="CE34" i="5" s="1"/>
  <c r="BP34" i="5"/>
  <c r="CG34" i="5" s="1"/>
  <c r="X35" i="5"/>
  <c r="CC35" i="5" s="1"/>
  <c r="AT36" i="5"/>
  <c r="CE36" i="5" s="1"/>
  <c r="BP40" i="5"/>
  <c r="CG40" i="5" s="1"/>
  <c r="X41" i="5"/>
  <c r="CC41" i="5" s="1"/>
  <c r="AT43" i="5"/>
  <c r="CE43" i="5" s="1"/>
  <c r="BP43" i="5"/>
  <c r="CG43" i="5" s="1"/>
  <c r="X44" i="5"/>
  <c r="CC44" i="5" s="1"/>
  <c r="AT46" i="5"/>
  <c r="CE46" i="5" s="1"/>
  <c r="AT47" i="5"/>
  <c r="CE47" i="5" s="1"/>
  <c r="AT50" i="5"/>
  <c r="CE50" i="5" s="1"/>
  <c r="BP50" i="5"/>
  <c r="CG50" i="5" s="1"/>
  <c r="X51" i="5"/>
  <c r="CC51" i="5" s="1"/>
  <c r="X53" i="5"/>
  <c r="CC53" i="5" s="1"/>
  <c r="AT53" i="5"/>
  <c r="CE53" i="5" s="1"/>
  <c r="BP53" i="5"/>
  <c r="CG53" i="5" s="1"/>
  <c r="X54" i="5"/>
  <c r="CC54" i="5" s="1"/>
  <c r="AT274" i="5"/>
  <c r="CE274" i="5" s="1"/>
  <c r="N9" i="4"/>
  <c r="N62" i="4"/>
  <c r="N75" i="4"/>
  <c r="N80" i="4"/>
  <c r="N83" i="4"/>
  <c r="N86" i="4"/>
  <c r="N98" i="4"/>
  <c r="N102" i="4"/>
  <c r="M109" i="4"/>
  <c r="M115" i="4"/>
  <c r="N125" i="4"/>
  <c r="N138" i="4"/>
  <c r="M163" i="4"/>
  <c r="N164" i="4"/>
  <c r="M181" i="4"/>
  <c r="N186" i="4"/>
  <c r="N187" i="4"/>
  <c r="N89" i="4"/>
  <c r="M112" i="4"/>
  <c r="M118" i="4"/>
  <c r="M143" i="4"/>
  <c r="M167" i="4"/>
  <c r="M194" i="4"/>
  <c r="M205" i="4"/>
  <c r="M218" i="4"/>
  <c r="AI16" i="5"/>
  <c r="CD16" i="5" s="1"/>
  <c r="BP29" i="5"/>
  <c r="CG29" i="5" s="1"/>
  <c r="X30" i="5"/>
  <c r="CC30" i="5" s="1"/>
  <c r="BP35" i="5"/>
  <c r="CG35" i="5" s="1"/>
  <c r="X36" i="5"/>
  <c r="CC36" i="5" s="1"/>
  <c r="BP38" i="5"/>
  <c r="CG38" i="5" s="1"/>
  <c r="X39" i="5"/>
  <c r="CC39" i="5" s="1"/>
  <c r="AB263" i="3"/>
  <c r="N15" i="4"/>
  <c r="N30" i="4"/>
  <c r="N71" i="4"/>
  <c r="N78" i="4"/>
  <c r="N101" i="4"/>
  <c r="M121" i="4"/>
  <c r="N124" i="4"/>
  <c r="M137" i="4"/>
  <c r="N184" i="4"/>
  <c r="N190" i="4"/>
  <c r="M196" i="4"/>
  <c r="N197" i="4"/>
  <c r="M209" i="4"/>
  <c r="BE3" i="5"/>
  <c r="CF3" i="5" s="1"/>
  <c r="AT3" i="5"/>
  <c r="CE3" i="5" s="1"/>
  <c r="AI5" i="5"/>
  <c r="CD5" i="5" s="1"/>
  <c r="BP5" i="5"/>
  <c r="CG5" i="5" s="1"/>
  <c r="X6" i="5"/>
  <c r="CC6" i="5" s="1"/>
  <c r="AT6" i="5"/>
  <c r="CE6" i="5" s="1"/>
  <c r="CA7" i="5"/>
  <c r="CH7" i="5" s="1"/>
  <c r="BP10" i="5"/>
  <c r="CG10" i="5" s="1"/>
  <c r="X11" i="5"/>
  <c r="CC11" i="5" s="1"/>
  <c r="BE12" i="5"/>
  <c r="CF12" i="5" s="1"/>
  <c r="AT12" i="5"/>
  <c r="CE12" i="5" s="1"/>
  <c r="AI14" i="5"/>
  <c r="CD14" i="5" s="1"/>
  <c r="BP14" i="5"/>
  <c r="CG14" i="5" s="1"/>
  <c r="X15" i="5"/>
  <c r="CC15" i="5" s="1"/>
  <c r="AT15" i="5"/>
  <c r="CE15" i="5" s="1"/>
  <c r="BP19" i="5"/>
  <c r="CG19" i="5" s="1"/>
  <c r="X20" i="5"/>
  <c r="CC20" i="5" s="1"/>
  <c r="BE21" i="5"/>
  <c r="CF21" i="5" s="1"/>
  <c r="AT21" i="5"/>
  <c r="CE21" i="5" s="1"/>
  <c r="AI23" i="5"/>
  <c r="CD23" i="5" s="1"/>
  <c r="BP23" i="5"/>
  <c r="CG23" i="5" s="1"/>
  <c r="X24" i="5"/>
  <c r="CC24" i="5" s="1"/>
  <c r="AT24" i="5"/>
  <c r="CE24" i="5" s="1"/>
  <c r="AI34" i="5"/>
  <c r="CD34" i="5" s="1"/>
  <c r="N3" i="4"/>
  <c r="N18" i="4"/>
  <c r="N74" i="4"/>
  <c r="N81" i="4"/>
  <c r="N93" i="4"/>
  <c r="N128" i="4"/>
  <c r="N130" i="4"/>
  <c r="M151" i="4"/>
  <c r="N169" i="4"/>
  <c r="M182" i="4"/>
  <c r="M200" i="4"/>
  <c r="N212" i="4"/>
  <c r="N220" i="4"/>
  <c r="N222" i="4"/>
  <c r="N223" i="4"/>
  <c r="AI27" i="5"/>
  <c r="CD27" i="5" s="1"/>
  <c r="BP28" i="5"/>
  <c r="CG28" i="5" s="1"/>
  <c r="X29" i="5"/>
  <c r="CC29" i="5" s="1"/>
  <c r="AB157" i="3"/>
  <c r="AB248" i="3"/>
  <c r="M161" i="4"/>
  <c r="N199" i="4"/>
  <c r="M214" i="4"/>
  <c r="N215" i="4"/>
  <c r="X3" i="5"/>
  <c r="CC3" i="5" s="1"/>
  <c r="BP8" i="5"/>
  <c r="CG8" i="5" s="1"/>
  <c r="X9" i="5"/>
  <c r="CC9" i="5" s="1"/>
  <c r="BP11" i="5"/>
  <c r="CG11" i="5" s="1"/>
  <c r="X12" i="5"/>
  <c r="CC12" i="5" s="1"/>
  <c r="BP17" i="5"/>
  <c r="CG17" i="5" s="1"/>
  <c r="X18" i="5"/>
  <c r="CC18" i="5" s="1"/>
  <c r="BP20" i="5"/>
  <c r="CG20" i="5" s="1"/>
  <c r="X21" i="5"/>
  <c r="CC21" i="5" s="1"/>
  <c r="BP26" i="5"/>
  <c r="CG26" i="5" s="1"/>
  <c r="X27" i="5"/>
  <c r="CC27" i="5" s="1"/>
  <c r="BE28" i="5"/>
  <c r="CF28" i="5" s="1"/>
  <c r="BE31" i="5"/>
  <c r="CF31" i="5" s="1"/>
  <c r="BE37" i="5"/>
  <c r="CF37" i="5" s="1"/>
  <c r="BE40" i="5"/>
  <c r="CF40" i="5" s="1"/>
  <c r="X235" i="5"/>
  <c r="CC235" i="5" s="1"/>
  <c r="BP235" i="5"/>
  <c r="CG235" i="5" s="1"/>
  <c r="AT236" i="5"/>
  <c r="CE236" i="5" s="1"/>
  <c r="BP236" i="5"/>
  <c r="CG236" i="5" s="1"/>
  <c r="AT238" i="5"/>
  <c r="CE238" i="5" s="1"/>
  <c r="AI43" i="5"/>
  <c r="CD43" i="5" s="1"/>
  <c r="AI61" i="5"/>
  <c r="CD61" i="5" s="1"/>
  <c r="AI91" i="5"/>
  <c r="CD91" i="5" s="1"/>
  <c r="AI94" i="5"/>
  <c r="CD94" i="5" s="1"/>
  <c r="AI97" i="5"/>
  <c r="CD97" i="5" s="1"/>
  <c r="AI161" i="5"/>
  <c r="CD161" i="5" s="1"/>
  <c r="AI170" i="5"/>
  <c r="CD170" i="5" s="1"/>
  <c r="AI176" i="5"/>
  <c r="CD176" i="5" s="1"/>
  <c r="AI179" i="5"/>
  <c r="CD179" i="5" s="1"/>
  <c r="AI184" i="5"/>
  <c r="CD184" i="5" s="1"/>
  <c r="BP188" i="5"/>
  <c r="CG188" i="5" s="1"/>
  <c r="X238" i="5"/>
  <c r="CC238" i="5" s="1"/>
  <c r="X242" i="5"/>
  <c r="CC242" i="5" s="1"/>
  <c r="BP247" i="5"/>
  <c r="CG247" i="5" s="1"/>
  <c r="BE248" i="5"/>
  <c r="CF248" i="5" s="1"/>
  <c r="X251" i="5"/>
  <c r="CC251" i="5" s="1"/>
  <c r="X256" i="5"/>
  <c r="CC256" i="5" s="1"/>
  <c r="X270" i="5"/>
  <c r="CC270" i="5" s="1"/>
  <c r="AI280" i="5"/>
  <c r="CD280" i="5" s="1"/>
  <c r="AT282" i="5"/>
  <c r="CE282" i="5" s="1"/>
  <c r="AT303" i="5"/>
  <c r="CE303" i="5" s="1"/>
  <c r="BE30" i="5"/>
  <c r="CF30" i="5" s="1"/>
  <c r="AT30" i="5"/>
  <c r="CE30" i="5" s="1"/>
  <c r="AI32" i="5"/>
  <c r="CD32" i="5" s="1"/>
  <c r="BP32" i="5"/>
  <c r="CG32" i="5" s="1"/>
  <c r="X33" i="5"/>
  <c r="CC33" i="5" s="1"/>
  <c r="AT33" i="5"/>
  <c r="CE33" i="5" s="1"/>
  <c r="CA34" i="5"/>
  <c r="CH34" i="5" s="1"/>
  <c r="BP37" i="5"/>
  <c r="CG37" i="5" s="1"/>
  <c r="X38" i="5"/>
  <c r="CC38" i="5" s="1"/>
  <c r="BE39" i="5"/>
  <c r="CF39" i="5" s="1"/>
  <c r="AT39" i="5"/>
  <c r="CE39" i="5" s="1"/>
  <c r="AI41" i="5"/>
  <c r="CD41" i="5" s="1"/>
  <c r="BP41" i="5"/>
  <c r="CG41" i="5" s="1"/>
  <c r="X42" i="5"/>
  <c r="CC42" i="5" s="1"/>
  <c r="AT42" i="5"/>
  <c r="CE42" i="5" s="1"/>
  <c r="X45" i="5"/>
  <c r="CC45" i="5" s="1"/>
  <c r="BP45" i="5"/>
  <c r="CG45" i="5" s="1"/>
  <c r="X46" i="5"/>
  <c r="CC46" i="5" s="1"/>
  <c r="BE47" i="5"/>
  <c r="CF47" i="5" s="1"/>
  <c r="BP47" i="5"/>
  <c r="CG47" i="5" s="1"/>
  <c r="X48" i="5"/>
  <c r="CC48" i="5" s="1"/>
  <c r="BP48" i="5"/>
  <c r="CG48" i="5" s="1"/>
  <c r="X49" i="5"/>
  <c r="CC49" i="5" s="1"/>
  <c r="AT49" i="5"/>
  <c r="CE49" i="5" s="1"/>
  <c r="BE50" i="5"/>
  <c r="CF50" i="5" s="1"/>
  <c r="CA51" i="5"/>
  <c r="CH51" i="5" s="1"/>
  <c r="BP51" i="5"/>
  <c r="CG51" i="5" s="1"/>
  <c r="X52" i="5"/>
  <c r="CC52" i="5" s="1"/>
  <c r="AT52" i="5"/>
  <c r="CE52" i="5" s="1"/>
  <c r="BE53" i="5"/>
  <c r="CF53" i="5" s="1"/>
  <c r="CA54" i="5"/>
  <c r="CH54" i="5" s="1"/>
  <c r="BP54" i="5"/>
  <c r="CG54" i="5" s="1"/>
  <c r="AI55" i="5"/>
  <c r="CD55" i="5" s="1"/>
  <c r="X55" i="5"/>
  <c r="CC55" i="5" s="1"/>
  <c r="AT55" i="5"/>
  <c r="CE55" i="5" s="1"/>
  <c r="BE56" i="5"/>
  <c r="CF56" i="5" s="1"/>
  <c r="BP57" i="5"/>
  <c r="CG57" i="5" s="1"/>
  <c r="AI58" i="5"/>
  <c r="CD58" i="5" s="1"/>
  <c r="X58" i="5"/>
  <c r="CC58" i="5" s="1"/>
  <c r="AT58" i="5"/>
  <c r="CE58" i="5" s="1"/>
  <c r="BE59" i="5"/>
  <c r="CF59" i="5" s="1"/>
  <c r="BP60" i="5"/>
  <c r="CG60" i="5" s="1"/>
  <c r="BE61" i="5"/>
  <c r="CF61" i="5" s="1"/>
  <c r="X61" i="5"/>
  <c r="CC61" i="5" s="1"/>
  <c r="AT61" i="5"/>
  <c r="CE61" i="5" s="1"/>
  <c r="BE62" i="5"/>
  <c r="CF62" i="5" s="1"/>
  <c r="BP63" i="5"/>
  <c r="CG63" i="5" s="1"/>
  <c r="BE64" i="5"/>
  <c r="CF64" i="5" s="1"/>
  <c r="X64" i="5"/>
  <c r="CC64" i="5" s="1"/>
  <c r="AT64" i="5"/>
  <c r="CE64" i="5" s="1"/>
  <c r="BE65" i="5"/>
  <c r="CF65" i="5" s="1"/>
  <c r="CA66" i="5"/>
  <c r="CH66" i="5" s="1"/>
  <c r="BP66" i="5"/>
  <c r="CG66" i="5" s="1"/>
  <c r="X67" i="5"/>
  <c r="CC67" i="5" s="1"/>
  <c r="AT67" i="5"/>
  <c r="CE67" i="5" s="1"/>
  <c r="BE68" i="5"/>
  <c r="CF68" i="5" s="1"/>
  <c r="CA69" i="5"/>
  <c r="CH69" i="5" s="1"/>
  <c r="BP69" i="5"/>
  <c r="CG69" i="5" s="1"/>
  <c r="X70" i="5"/>
  <c r="CC70" i="5" s="1"/>
  <c r="AT70" i="5"/>
  <c r="CE70" i="5" s="1"/>
  <c r="BE71" i="5"/>
  <c r="CF71" i="5" s="1"/>
  <c r="X204" i="5"/>
  <c r="CC204" i="5" s="1"/>
  <c r="BP208" i="5"/>
  <c r="CG208" i="5" s="1"/>
  <c r="AI208" i="5"/>
  <c r="CD208" i="5" s="1"/>
  <c r="AI209" i="5"/>
  <c r="CD209" i="5" s="1"/>
  <c r="X214" i="5"/>
  <c r="CC214" i="5" s="1"/>
  <c r="X215" i="5"/>
  <c r="CC215" i="5" s="1"/>
  <c r="BP216" i="5"/>
  <c r="CG216" i="5" s="1"/>
  <c r="AI218" i="5"/>
  <c r="CD218" i="5" s="1"/>
  <c r="AI221" i="5"/>
  <c r="CD221" i="5" s="1"/>
  <c r="AI223" i="5"/>
  <c r="CD223" i="5" s="1"/>
  <c r="AI226" i="5"/>
  <c r="CD226" i="5" s="1"/>
  <c r="BP260" i="5"/>
  <c r="CG260" i="5" s="1"/>
  <c r="AI263" i="5"/>
  <c r="CD263" i="5" s="1"/>
  <c r="CA263" i="5"/>
  <c r="CH263" i="5" s="1"/>
  <c r="AI264" i="5"/>
  <c r="CD264" i="5" s="1"/>
  <c r="BE276" i="5"/>
  <c r="CF276" i="5" s="1"/>
  <c r="CA305" i="5"/>
  <c r="CH305" i="5" s="1"/>
  <c r="AI306" i="5"/>
  <c r="CD306" i="5" s="1"/>
  <c r="AI307" i="5"/>
  <c r="CD307" i="5" s="1"/>
  <c r="BE310" i="5"/>
  <c r="CF310" i="5" s="1"/>
  <c r="AI312" i="5"/>
  <c r="CD312" i="5" s="1"/>
  <c r="BE312" i="5"/>
  <c r="CF312" i="5" s="1"/>
  <c r="CA312" i="5"/>
  <c r="CH312" i="5" s="1"/>
  <c r="BP239" i="5"/>
  <c r="CG239" i="5" s="1"/>
  <c r="AT240" i="5"/>
  <c r="CE240" i="5" s="1"/>
  <c r="X254" i="5"/>
  <c r="CC254" i="5" s="1"/>
  <c r="BP254" i="5"/>
  <c r="CG254" i="5" s="1"/>
  <c r="BP257" i="5"/>
  <c r="CG257" i="5" s="1"/>
  <c r="AT277" i="5"/>
  <c r="CE277" i="5" s="1"/>
  <c r="AT300" i="5"/>
  <c r="CE300" i="5" s="1"/>
  <c r="AT28" i="5"/>
  <c r="CE28" i="5" s="1"/>
  <c r="AT31" i="5"/>
  <c r="CE31" i="5" s="1"/>
  <c r="AT37" i="5"/>
  <c r="CE37" i="5" s="1"/>
  <c r="AT40" i="5"/>
  <c r="CE40" i="5" s="1"/>
  <c r="BE94" i="5"/>
  <c r="CF94" i="5" s="1"/>
  <c r="BE97" i="5"/>
  <c r="CF97" i="5" s="1"/>
  <c r="AI101" i="5"/>
  <c r="CD101" i="5" s="1"/>
  <c r="AI104" i="5"/>
  <c r="CD104" i="5" s="1"/>
  <c r="AI107" i="5"/>
  <c r="CD107" i="5" s="1"/>
  <c r="CA109" i="5"/>
  <c r="CH109" i="5" s="1"/>
  <c r="AI110" i="5"/>
  <c r="CD110" i="5" s="1"/>
  <c r="CA112" i="5"/>
  <c r="CH112" i="5" s="1"/>
  <c r="AI113" i="5"/>
  <c r="CD113" i="5" s="1"/>
  <c r="AI116" i="5"/>
  <c r="CD116" i="5" s="1"/>
  <c r="CA118" i="5"/>
  <c r="CH118" i="5" s="1"/>
  <c r="AI119" i="5"/>
  <c r="CD119" i="5" s="1"/>
  <c r="AI122" i="5"/>
  <c r="CD122" i="5" s="1"/>
  <c r="CA124" i="5"/>
  <c r="CH124" i="5" s="1"/>
  <c r="AI125" i="5"/>
  <c r="CD125" i="5" s="1"/>
  <c r="AI128" i="5"/>
  <c r="CD128" i="5" s="1"/>
  <c r="CA130" i="5"/>
  <c r="CH130" i="5" s="1"/>
  <c r="AI131" i="5"/>
  <c r="CD131" i="5" s="1"/>
  <c r="AI134" i="5"/>
  <c r="CD134" i="5" s="1"/>
  <c r="CA136" i="5"/>
  <c r="CH136" i="5" s="1"/>
  <c r="AI137" i="5"/>
  <c r="CD137" i="5" s="1"/>
  <c r="AT138" i="5"/>
  <c r="CE138" i="5" s="1"/>
  <c r="AI198" i="5"/>
  <c r="CD198" i="5" s="1"/>
  <c r="CA198" i="5"/>
  <c r="CH198" i="5" s="1"/>
  <c r="AI199" i="5"/>
  <c r="CD199" i="5" s="1"/>
  <c r="BE199" i="5"/>
  <c r="CF199" i="5" s="1"/>
  <c r="CA200" i="5"/>
  <c r="CH200" i="5" s="1"/>
  <c r="AI204" i="5"/>
  <c r="CD204" i="5" s="1"/>
  <c r="CA204" i="5"/>
  <c r="CH204" i="5" s="1"/>
  <c r="AI205" i="5"/>
  <c r="CD205" i="5" s="1"/>
  <c r="BE205" i="5"/>
  <c r="CF205" i="5" s="1"/>
  <c r="CA206" i="5"/>
  <c r="CH206" i="5" s="1"/>
  <c r="AI211" i="5"/>
  <c r="CD211" i="5" s="1"/>
  <c r="AI212" i="5"/>
  <c r="CD212" i="5" s="1"/>
  <c r="CA222" i="5"/>
  <c r="CH222" i="5" s="1"/>
  <c r="CA231" i="5"/>
  <c r="CH231" i="5" s="1"/>
  <c r="BE262" i="5"/>
  <c r="CF262" i="5" s="1"/>
  <c r="CA262" i="5"/>
  <c r="CH262" i="5" s="1"/>
  <c r="BE263" i="5"/>
  <c r="CF263" i="5" s="1"/>
  <c r="BE83" i="5"/>
  <c r="CF83" i="5" s="1"/>
  <c r="BE86" i="5"/>
  <c r="CF86" i="5" s="1"/>
  <c r="BE98" i="5"/>
  <c r="CF98" i="5" s="1"/>
  <c r="BE174" i="5"/>
  <c r="CF174" i="5" s="1"/>
  <c r="BE177" i="5"/>
  <c r="CF177" i="5" s="1"/>
  <c r="BE183" i="5"/>
  <c r="CF183" i="5" s="1"/>
  <c r="AT190" i="5"/>
  <c r="CE190" i="5" s="1"/>
  <c r="AT196" i="5"/>
  <c r="CE196" i="5" s="1"/>
  <c r="AT235" i="5"/>
  <c r="CE235" i="5" s="1"/>
  <c r="AI238" i="5"/>
  <c r="CD238" i="5" s="1"/>
  <c r="AT239" i="5"/>
  <c r="CE239" i="5" s="1"/>
  <c r="CA240" i="5"/>
  <c r="CH240" i="5" s="1"/>
  <c r="AI247" i="5"/>
  <c r="CD247" i="5" s="1"/>
  <c r="CA252" i="5"/>
  <c r="CH252" i="5" s="1"/>
  <c r="AT253" i="5"/>
  <c r="CE253" i="5" s="1"/>
  <c r="AI256" i="5"/>
  <c r="CD256" i="5" s="1"/>
  <c r="BE256" i="5"/>
  <c r="CF256" i="5" s="1"/>
  <c r="AT257" i="5"/>
  <c r="CE257" i="5" s="1"/>
  <c r="CA277" i="5"/>
  <c r="CH277" i="5" s="1"/>
  <c r="BE283" i="5"/>
  <c r="CF283" i="5" s="1"/>
  <c r="AT56" i="5"/>
  <c r="CE56" i="5" s="1"/>
  <c r="BP56" i="5"/>
  <c r="CG56" i="5" s="1"/>
  <c r="X57" i="5"/>
  <c r="CC57" i="5" s="1"/>
  <c r="AT59" i="5"/>
  <c r="CE59" i="5" s="1"/>
  <c r="BP59" i="5"/>
  <c r="CG59" i="5" s="1"/>
  <c r="X60" i="5"/>
  <c r="CC60" i="5" s="1"/>
  <c r="AT62" i="5"/>
  <c r="CE62" i="5" s="1"/>
  <c r="BP62" i="5"/>
  <c r="CG62" i="5" s="1"/>
  <c r="X63" i="5"/>
  <c r="CC63" i="5" s="1"/>
  <c r="BP64" i="5"/>
  <c r="CG64" i="5" s="1"/>
  <c r="AT65" i="5"/>
  <c r="CE65" i="5" s="1"/>
  <c r="BP65" i="5"/>
  <c r="CG65" i="5" s="1"/>
  <c r="X66" i="5"/>
  <c r="CC66" i="5" s="1"/>
  <c r="X68" i="5"/>
  <c r="CC68" i="5" s="1"/>
  <c r="AT68" i="5"/>
  <c r="CE68" i="5" s="1"/>
  <c r="BP68" i="5"/>
  <c r="CG68" i="5" s="1"/>
  <c r="X69" i="5"/>
  <c r="CC69" i="5" s="1"/>
  <c r="X71" i="5"/>
  <c r="CC71" i="5" s="1"/>
  <c r="AT71" i="5"/>
  <c r="CE71" i="5" s="1"/>
  <c r="BP71" i="5"/>
  <c r="CG71" i="5" s="1"/>
  <c r="X72" i="5"/>
  <c r="CC72" i="5" s="1"/>
  <c r="X74" i="5"/>
  <c r="CC74" i="5" s="1"/>
  <c r="AT74" i="5"/>
  <c r="CE74" i="5" s="1"/>
  <c r="BP74" i="5"/>
  <c r="CG74" i="5" s="1"/>
  <c r="X75" i="5"/>
  <c r="CC75" i="5" s="1"/>
  <c r="X77" i="5"/>
  <c r="CC77" i="5" s="1"/>
  <c r="AT77" i="5"/>
  <c r="CE77" i="5" s="1"/>
  <c r="BP77" i="5"/>
  <c r="CG77" i="5" s="1"/>
  <c r="X78" i="5"/>
  <c r="CC78" i="5" s="1"/>
  <c r="BP79" i="5"/>
  <c r="CG79" i="5" s="1"/>
  <c r="AT80" i="5"/>
  <c r="CE80" i="5" s="1"/>
  <c r="BP80" i="5"/>
  <c r="CG80" i="5" s="1"/>
  <c r="X81" i="5"/>
  <c r="CC81" i="5" s="1"/>
  <c r="BP82" i="5"/>
  <c r="CG82" i="5" s="1"/>
  <c r="AT83" i="5"/>
  <c r="CE83" i="5" s="1"/>
  <c r="BP83" i="5"/>
  <c r="CG83" i="5" s="1"/>
  <c r="X84" i="5"/>
  <c r="CC84" i="5" s="1"/>
  <c r="BP85" i="5"/>
  <c r="CG85" i="5" s="1"/>
  <c r="AT86" i="5"/>
  <c r="CE86" i="5" s="1"/>
  <c r="BP86" i="5"/>
  <c r="CG86" i="5" s="1"/>
  <c r="X87" i="5"/>
  <c r="CC87" i="5" s="1"/>
  <c r="X89" i="5"/>
  <c r="CC89" i="5" s="1"/>
  <c r="AT89" i="5"/>
  <c r="CE89" i="5" s="1"/>
  <c r="BP89" i="5"/>
  <c r="CG89" i="5" s="1"/>
  <c r="X90" i="5"/>
  <c r="CC90" i="5" s="1"/>
  <c r="X92" i="5"/>
  <c r="CC92" i="5" s="1"/>
  <c r="AT92" i="5"/>
  <c r="CE92" i="5" s="1"/>
  <c r="BP92" i="5"/>
  <c r="CG92" i="5" s="1"/>
  <c r="X93" i="5"/>
  <c r="CC93" i="5" s="1"/>
  <c r="BP94" i="5"/>
  <c r="CG94" i="5" s="1"/>
  <c r="X95" i="5"/>
  <c r="CC95" i="5" s="1"/>
  <c r="AT95" i="5"/>
  <c r="CE95" i="5" s="1"/>
  <c r="BP95" i="5"/>
  <c r="CG95" i="5" s="1"/>
  <c r="X96" i="5"/>
  <c r="CC96" i="5" s="1"/>
  <c r="BP97" i="5"/>
  <c r="CG97" i="5" s="1"/>
  <c r="AT98" i="5"/>
  <c r="CE98" i="5" s="1"/>
  <c r="BP98" i="5"/>
  <c r="CG98" i="5" s="1"/>
  <c r="AT101" i="5"/>
  <c r="CE101" i="5" s="1"/>
  <c r="AT104" i="5"/>
  <c r="CE104" i="5" s="1"/>
  <c r="AT107" i="5"/>
  <c r="CE107" i="5" s="1"/>
  <c r="AT110" i="5"/>
  <c r="CE110" i="5" s="1"/>
  <c r="AT116" i="5"/>
  <c r="CE116" i="5" s="1"/>
  <c r="AT122" i="5"/>
  <c r="CE122" i="5" s="1"/>
  <c r="X125" i="5"/>
  <c r="CC125" i="5" s="1"/>
  <c r="AT128" i="5"/>
  <c r="CE128" i="5" s="1"/>
  <c r="AT134" i="5"/>
  <c r="CE134" i="5" s="1"/>
  <c r="X138" i="5"/>
  <c r="CC138" i="5" s="1"/>
  <c r="AT140" i="5"/>
  <c r="CE140" i="5" s="1"/>
  <c r="AT146" i="5"/>
  <c r="CE146" i="5" s="1"/>
  <c r="AT152" i="5"/>
  <c r="CE152" i="5" s="1"/>
  <c r="BE206" i="5"/>
  <c r="CF206" i="5" s="1"/>
  <c r="X208" i="5"/>
  <c r="CC208" i="5" s="1"/>
  <c r="BE230" i="5"/>
  <c r="CF230" i="5" s="1"/>
  <c r="X264" i="5"/>
  <c r="CC264" i="5" s="1"/>
  <c r="X276" i="5"/>
  <c r="CC276" i="5" s="1"/>
  <c r="CA307" i="5"/>
  <c r="CH307" i="5" s="1"/>
  <c r="AI309" i="5"/>
  <c r="CD309" i="5" s="1"/>
  <c r="BE102" i="5"/>
  <c r="CF102" i="5" s="1"/>
  <c r="BE105" i="5"/>
  <c r="CF105" i="5" s="1"/>
  <c r="BE108" i="5"/>
  <c r="CF108" i="5" s="1"/>
  <c r="BE111" i="5"/>
  <c r="CF111" i="5" s="1"/>
  <c r="BE114" i="5"/>
  <c r="CF114" i="5" s="1"/>
  <c r="BE117" i="5"/>
  <c r="CF117" i="5" s="1"/>
  <c r="BE120" i="5"/>
  <c r="CF120" i="5" s="1"/>
  <c r="BE123" i="5"/>
  <c r="CF123" i="5" s="1"/>
  <c r="BE126" i="5"/>
  <c r="CF126" i="5" s="1"/>
  <c r="BE129" i="5"/>
  <c r="CF129" i="5" s="1"/>
  <c r="BE132" i="5"/>
  <c r="CF132" i="5" s="1"/>
  <c r="BE135" i="5"/>
  <c r="CF135" i="5" s="1"/>
  <c r="X137" i="5"/>
  <c r="CC137" i="5" s="1"/>
  <c r="BE138" i="5"/>
  <c r="CF138" i="5" s="1"/>
  <c r="BE141" i="5"/>
  <c r="CF141" i="5" s="1"/>
  <c r="X143" i="5"/>
  <c r="CC143" i="5" s="1"/>
  <c r="BE144" i="5"/>
  <c r="CF144" i="5" s="1"/>
  <c r="BE147" i="5"/>
  <c r="CF147" i="5" s="1"/>
  <c r="X149" i="5"/>
  <c r="CC149" i="5" s="1"/>
  <c r="BE150" i="5"/>
  <c r="CF150" i="5" s="1"/>
  <c r="BE153" i="5"/>
  <c r="CF153" i="5" s="1"/>
  <c r="BP158" i="5"/>
  <c r="CG158" i="5" s="1"/>
  <c r="X159" i="5"/>
  <c r="CC159" i="5" s="1"/>
  <c r="BP161" i="5"/>
  <c r="CG161" i="5" s="1"/>
  <c r="X162" i="5"/>
  <c r="CC162" i="5" s="1"/>
  <c r="BP167" i="5"/>
  <c r="CG167" i="5" s="1"/>
  <c r="X168" i="5"/>
  <c r="CC168" i="5" s="1"/>
  <c r="BP170" i="5"/>
  <c r="CG170" i="5" s="1"/>
  <c r="X171" i="5"/>
  <c r="CC171" i="5" s="1"/>
  <c r="BP176" i="5"/>
  <c r="CG176" i="5" s="1"/>
  <c r="X177" i="5"/>
  <c r="CC177" i="5" s="1"/>
  <c r="BP179" i="5"/>
  <c r="CG179" i="5" s="1"/>
  <c r="X180" i="5"/>
  <c r="CC180" i="5" s="1"/>
  <c r="X184" i="5"/>
  <c r="CC184" i="5" s="1"/>
  <c r="BE190" i="5"/>
  <c r="CF190" i="5" s="1"/>
  <c r="BE196" i="5"/>
  <c r="CF196" i="5" s="1"/>
  <c r="CA72" i="5"/>
  <c r="CH72" i="5" s="1"/>
  <c r="BP72" i="5"/>
  <c r="CG72" i="5" s="1"/>
  <c r="AI73" i="5"/>
  <c r="CD73" i="5" s="1"/>
  <c r="X73" i="5"/>
  <c r="CC73" i="5" s="1"/>
  <c r="AT73" i="5"/>
  <c r="CE73" i="5" s="1"/>
  <c r="BE74" i="5"/>
  <c r="CF74" i="5" s="1"/>
  <c r="AT75" i="5"/>
  <c r="CE75" i="5" s="1"/>
  <c r="BP75" i="5"/>
  <c r="CG75" i="5" s="1"/>
  <c r="AI76" i="5"/>
  <c r="CD76" i="5" s="1"/>
  <c r="X76" i="5"/>
  <c r="CC76" i="5" s="1"/>
  <c r="AT76" i="5"/>
  <c r="CE76" i="5" s="1"/>
  <c r="BE77" i="5"/>
  <c r="CF77" i="5" s="1"/>
  <c r="AT78" i="5"/>
  <c r="CE78" i="5" s="1"/>
  <c r="BP78" i="5"/>
  <c r="CG78" i="5" s="1"/>
  <c r="X79" i="5"/>
  <c r="CC79" i="5" s="1"/>
  <c r="AT79" i="5"/>
  <c r="CE79" i="5" s="1"/>
  <c r="BE80" i="5"/>
  <c r="CF80" i="5" s="1"/>
  <c r="AT81" i="5"/>
  <c r="CE81" i="5" s="1"/>
  <c r="BP81" i="5"/>
  <c r="CG81" i="5" s="1"/>
  <c r="X82" i="5"/>
  <c r="CC82" i="5" s="1"/>
  <c r="AT82" i="5"/>
  <c r="CE82" i="5" s="1"/>
  <c r="CA84" i="5"/>
  <c r="CH84" i="5" s="1"/>
  <c r="AT84" i="5"/>
  <c r="CE84" i="5" s="1"/>
  <c r="BP84" i="5"/>
  <c r="CG84" i="5" s="1"/>
  <c r="X85" i="5"/>
  <c r="CC85" i="5" s="1"/>
  <c r="AT85" i="5"/>
  <c r="CE85" i="5" s="1"/>
  <c r="CA86" i="5"/>
  <c r="CH86" i="5" s="1"/>
  <c r="CA87" i="5"/>
  <c r="CH87" i="5" s="1"/>
  <c r="BP87" i="5"/>
  <c r="CG87" i="5" s="1"/>
  <c r="X88" i="5"/>
  <c r="CC88" i="5" s="1"/>
  <c r="AT88" i="5"/>
  <c r="CE88" i="5" s="1"/>
  <c r="CA89" i="5"/>
  <c r="CH89" i="5" s="1"/>
  <c r="CA90" i="5"/>
  <c r="CH90" i="5" s="1"/>
  <c r="BP90" i="5"/>
  <c r="CG90" i="5" s="1"/>
  <c r="BE91" i="5"/>
  <c r="CF91" i="5" s="1"/>
  <c r="X91" i="5"/>
  <c r="CC91" i="5" s="1"/>
  <c r="AT91" i="5"/>
  <c r="CE91" i="5" s="1"/>
  <c r="CA92" i="5"/>
  <c r="CH92" i="5" s="1"/>
  <c r="BP93" i="5"/>
  <c r="CG93" i="5" s="1"/>
  <c r="CA94" i="5"/>
  <c r="CH94" i="5" s="1"/>
  <c r="X94" i="5"/>
  <c r="CC94" i="5" s="1"/>
  <c r="AT94" i="5"/>
  <c r="CE94" i="5" s="1"/>
  <c r="AT96" i="5"/>
  <c r="CE96" i="5" s="1"/>
  <c r="BP96" i="5"/>
  <c r="CG96" i="5" s="1"/>
  <c r="CA97" i="5"/>
  <c r="CH97" i="5" s="1"/>
  <c r="X97" i="5"/>
  <c r="CC97" i="5" s="1"/>
  <c r="AT97" i="5"/>
  <c r="CE97" i="5" s="1"/>
  <c r="BE99" i="5"/>
  <c r="CF99" i="5" s="1"/>
  <c r="X100" i="5"/>
  <c r="CC100" i="5" s="1"/>
  <c r="CA102" i="5"/>
  <c r="CH102" i="5" s="1"/>
  <c r="BP102" i="5"/>
  <c r="CG102" i="5" s="1"/>
  <c r="CA103" i="5"/>
  <c r="CH103" i="5" s="1"/>
  <c r="X103" i="5"/>
  <c r="CC103" i="5" s="1"/>
  <c r="X106" i="5"/>
  <c r="CC106" i="5" s="1"/>
  <c r="BE107" i="5"/>
  <c r="CF107" i="5" s="1"/>
  <c r="CA108" i="5"/>
  <c r="CH108" i="5" s="1"/>
  <c r="BP108" i="5"/>
  <c r="CG108" i="5" s="1"/>
  <c r="X109" i="5"/>
  <c r="CC109" i="5" s="1"/>
  <c r="BP111" i="5"/>
  <c r="CG111" i="5" s="1"/>
  <c r="BE113" i="5"/>
  <c r="CF113" i="5" s="1"/>
  <c r="CA114" i="5"/>
  <c r="CH114" i="5" s="1"/>
  <c r="BP117" i="5"/>
  <c r="CG117" i="5" s="1"/>
  <c r="BE119" i="5"/>
  <c r="CF119" i="5" s="1"/>
  <c r="CA120" i="5"/>
  <c r="CH120" i="5" s="1"/>
  <c r="BP123" i="5"/>
  <c r="CG123" i="5" s="1"/>
  <c r="BE125" i="5"/>
  <c r="CF125" i="5" s="1"/>
  <c r="CA126" i="5"/>
  <c r="CH126" i="5" s="1"/>
  <c r="BP129" i="5"/>
  <c r="CG129" i="5" s="1"/>
  <c r="BE131" i="5"/>
  <c r="CF131" i="5" s="1"/>
  <c r="CA132" i="5"/>
  <c r="CH132" i="5" s="1"/>
  <c r="CA135" i="5"/>
  <c r="CH135" i="5" s="1"/>
  <c r="BP135" i="5"/>
  <c r="CG135" i="5" s="1"/>
  <c r="BE137" i="5"/>
  <c r="CF137" i="5" s="1"/>
  <c r="CA138" i="5"/>
  <c r="CH138" i="5" s="1"/>
  <c r="BP141" i="5"/>
  <c r="CG141" i="5" s="1"/>
  <c r="BP146" i="5"/>
  <c r="CG146" i="5" s="1"/>
  <c r="BP147" i="5"/>
  <c r="CG147" i="5" s="1"/>
  <c r="BP149" i="5"/>
  <c r="CG149" i="5" s="1"/>
  <c r="CA150" i="5"/>
  <c r="CH150" i="5" s="1"/>
  <c r="BP152" i="5"/>
  <c r="CG152" i="5" s="1"/>
  <c r="CA153" i="5"/>
  <c r="CH153" i="5" s="1"/>
  <c r="X192" i="5"/>
  <c r="CC192" i="5" s="1"/>
  <c r="AI196" i="5"/>
  <c r="CD196" i="5" s="1"/>
  <c r="BP200" i="5"/>
  <c r="CG200" i="5" s="1"/>
  <c r="AI140" i="5"/>
  <c r="CD140" i="5" s="1"/>
  <c r="CA142" i="5"/>
  <c r="CH142" i="5" s="1"/>
  <c r="AI143" i="5"/>
  <c r="CD143" i="5" s="1"/>
  <c r="BE143" i="5"/>
  <c r="CF143" i="5" s="1"/>
  <c r="AT144" i="5"/>
  <c r="CE144" i="5" s="1"/>
  <c r="AI146" i="5"/>
  <c r="CD146" i="5" s="1"/>
  <c r="BE146" i="5"/>
  <c r="CF146" i="5" s="1"/>
  <c r="CA148" i="5"/>
  <c r="CH148" i="5" s="1"/>
  <c r="AI149" i="5"/>
  <c r="CD149" i="5" s="1"/>
  <c r="BE149" i="5"/>
  <c r="CF149" i="5" s="1"/>
  <c r="AT150" i="5"/>
  <c r="CE150" i="5" s="1"/>
  <c r="AI152" i="5"/>
  <c r="CD152" i="5" s="1"/>
  <c r="BE152" i="5"/>
  <c r="CF152" i="5" s="1"/>
  <c r="AI192" i="5"/>
  <c r="CD192" i="5" s="1"/>
  <c r="AI193" i="5"/>
  <c r="CD193" i="5" s="1"/>
  <c r="BE193" i="5"/>
  <c r="CF193" i="5" s="1"/>
  <c r="CA194" i="5"/>
  <c r="CH194" i="5" s="1"/>
  <c r="X216" i="5"/>
  <c r="CC216" i="5" s="1"/>
  <c r="CA217" i="5"/>
  <c r="CH217" i="5" s="1"/>
  <c r="X217" i="5"/>
  <c r="CC217" i="5" s="1"/>
  <c r="CA218" i="5"/>
  <c r="CH218" i="5" s="1"/>
  <c r="BP219" i="5"/>
  <c r="CG219" i="5" s="1"/>
  <c r="X220" i="5"/>
  <c r="CC220" i="5" s="1"/>
  <c r="BP222" i="5"/>
  <c r="CG222" i="5" s="1"/>
  <c r="X224" i="5"/>
  <c r="CC224" i="5" s="1"/>
  <c r="AT224" i="5"/>
  <c r="CE224" i="5" s="1"/>
  <c r="BP224" i="5"/>
  <c r="CG224" i="5" s="1"/>
  <c r="BP225" i="5"/>
  <c r="CG225" i="5" s="1"/>
  <c r="AT226" i="5"/>
  <c r="CE226" i="5" s="1"/>
  <c r="CA227" i="5"/>
  <c r="CH227" i="5" s="1"/>
  <c r="BP227" i="5"/>
  <c r="CG227" i="5" s="1"/>
  <c r="AT228" i="5"/>
  <c r="CE228" i="5" s="1"/>
  <c r="AT230" i="5"/>
  <c r="CE230" i="5" s="1"/>
  <c r="AT232" i="5"/>
  <c r="CE232" i="5" s="1"/>
  <c r="BP234" i="5"/>
  <c r="CG234" i="5" s="1"/>
  <c r="AI235" i="5"/>
  <c r="CD235" i="5" s="1"/>
  <c r="X247" i="5"/>
  <c r="CC247" i="5" s="1"/>
  <c r="BP252" i="5"/>
  <c r="CG252" i="5" s="1"/>
  <c r="AT258" i="5"/>
  <c r="CE258" i="5" s="1"/>
  <c r="BP265" i="5"/>
  <c r="CG265" i="5" s="1"/>
  <c r="BP266" i="5"/>
  <c r="CG266" i="5" s="1"/>
  <c r="CA268" i="5"/>
  <c r="CH268" i="5" s="1"/>
  <c r="BP269" i="5"/>
  <c r="CG269" i="5" s="1"/>
  <c r="CA273" i="5"/>
  <c r="CH273" i="5" s="1"/>
  <c r="X273" i="5"/>
  <c r="CC273" i="5" s="1"/>
  <c r="BP275" i="5"/>
  <c r="CG275" i="5" s="1"/>
  <c r="AI278" i="5"/>
  <c r="CD278" i="5" s="1"/>
  <c r="BE284" i="5"/>
  <c r="CF284" i="5" s="1"/>
  <c r="BE285" i="5"/>
  <c r="CF285" i="5" s="1"/>
  <c r="CA287" i="5"/>
  <c r="CH287" i="5" s="1"/>
  <c r="AI288" i="5"/>
  <c r="CD288" i="5" s="1"/>
  <c r="BE293" i="5"/>
  <c r="CF293" i="5" s="1"/>
  <c r="AI294" i="5"/>
  <c r="CD294" i="5" s="1"/>
  <c r="BE294" i="5"/>
  <c r="CF294" i="5" s="1"/>
  <c r="CA295" i="5"/>
  <c r="CH295" i="5" s="1"/>
  <c r="AI300" i="5"/>
  <c r="CD300" i="5" s="1"/>
  <c r="BE300" i="5"/>
  <c r="CF300" i="5" s="1"/>
  <c r="AI303" i="5"/>
  <c r="CD303" i="5" s="1"/>
  <c r="BP310" i="5"/>
  <c r="CG310" i="5" s="1"/>
  <c r="G11" i="7"/>
  <c r="J9" i="7" s="1"/>
  <c r="AT157" i="5"/>
  <c r="CE157" i="5" s="1"/>
  <c r="BP157" i="5"/>
  <c r="CG157" i="5" s="1"/>
  <c r="X158" i="5"/>
  <c r="CC158" i="5" s="1"/>
  <c r="BP160" i="5"/>
  <c r="CG160" i="5" s="1"/>
  <c r="X161" i="5"/>
  <c r="CC161" i="5" s="1"/>
  <c r="AT162" i="5"/>
  <c r="CE162" i="5" s="1"/>
  <c r="AT166" i="5"/>
  <c r="CE166" i="5" s="1"/>
  <c r="BP166" i="5"/>
  <c r="CG166" i="5" s="1"/>
  <c r="X167" i="5"/>
  <c r="CC167" i="5" s="1"/>
  <c r="BP169" i="5"/>
  <c r="CG169" i="5" s="1"/>
  <c r="X170" i="5"/>
  <c r="CC170" i="5" s="1"/>
  <c r="AT171" i="5"/>
  <c r="CE171" i="5" s="1"/>
  <c r="BP171" i="5"/>
  <c r="CG171" i="5" s="1"/>
  <c r="BP174" i="5"/>
  <c r="CG174" i="5" s="1"/>
  <c r="AT175" i="5"/>
  <c r="CE175" i="5" s="1"/>
  <c r="BP175" i="5"/>
  <c r="CG175" i="5" s="1"/>
  <c r="X176" i="5"/>
  <c r="CC176" i="5" s="1"/>
  <c r="BP178" i="5"/>
  <c r="CG178" i="5" s="1"/>
  <c r="X179" i="5"/>
  <c r="CC179" i="5" s="1"/>
  <c r="AT180" i="5"/>
  <c r="CE180" i="5" s="1"/>
  <c r="BP180" i="5"/>
  <c r="CG180" i="5" s="1"/>
  <c r="BP183" i="5"/>
  <c r="CG183" i="5" s="1"/>
  <c r="AT184" i="5"/>
  <c r="CE184" i="5" s="1"/>
  <c r="BP184" i="5"/>
  <c r="CG184" i="5" s="1"/>
  <c r="AT187" i="5"/>
  <c r="CE187" i="5" s="1"/>
  <c r="BE188" i="5"/>
  <c r="CF188" i="5" s="1"/>
  <c r="AT193" i="5"/>
  <c r="CE193" i="5" s="1"/>
  <c r="BE194" i="5"/>
  <c r="CF194" i="5" s="1"/>
  <c r="AT202" i="5"/>
  <c r="CE202" i="5" s="1"/>
  <c r="AT208" i="5"/>
  <c r="CE208" i="5" s="1"/>
  <c r="AT209" i="5"/>
  <c r="CE209" i="5" s="1"/>
  <c r="CA213" i="5"/>
  <c r="CH213" i="5" s="1"/>
  <c r="AI214" i="5"/>
  <c r="CD214" i="5" s="1"/>
  <c r="CA214" i="5"/>
  <c r="CH214" i="5" s="1"/>
  <c r="AI215" i="5"/>
  <c r="CD215" i="5" s="1"/>
  <c r="BE215" i="5"/>
  <c r="CF215" i="5" s="1"/>
  <c r="CA216" i="5"/>
  <c r="CH216" i="5" s="1"/>
  <c r="AI217" i="5"/>
  <c r="CD217" i="5" s="1"/>
  <c r="BE218" i="5"/>
  <c r="CF218" i="5" s="1"/>
  <c r="AT223" i="5"/>
  <c r="CE223" i="5" s="1"/>
  <c r="CA225" i="5"/>
  <c r="CH225" i="5" s="1"/>
  <c r="CA228" i="5"/>
  <c r="CH228" i="5" s="1"/>
  <c r="AI229" i="5"/>
  <c r="CD229" i="5" s="1"/>
  <c r="BE241" i="5"/>
  <c r="CF241" i="5" s="1"/>
  <c r="BP241" i="5"/>
  <c r="CG241" i="5" s="1"/>
  <c r="X243" i="5"/>
  <c r="CC243" i="5" s="1"/>
  <c r="BP243" i="5"/>
  <c r="CG243" i="5" s="1"/>
  <c r="X245" i="5"/>
  <c r="CC245" i="5" s="1"/>
  <c r="BP245" i="5"/>
  <c r="CG245" i="5" s="1"/>
  <c r="BP248" i="5"/>
  <c r="CG248" i="5" s="1"/>
  <c r="AT249" i="5"/>
  <c r="CE249" i="5" s="1"/>
  <c r="X250" i="5"/>
  <c r="CC250" i="5" s="1"/>
  <c r="BP250" i="5"/>
  <c r="CG250" i="5" s="1"/>
  <c r="X252" i="5"/>
  <c r="CC252" i="5" s="1"/>
  <c r="CA258" i="5"/>
  <c r="CH258" i="5" s="1"/>
  <c r="AT262" i="5"/>
  <c r="CE262" i="5" s="1"/>
  <c r="AI266" i="5"/>
  <c r="CD266" i="5" s="1"/>
  <c r="BE268" i="5"/>
  <c r="CF268" i="5" s="1"/>
  <c r="AI276" i="5"/>
  <c r="CD276" i="5" s="1"/>
  <c r="CA276" i="5"/>
  <c r="CH276" i="5" s="1"/>
  <c r="X279" i="5"/>
  <c r="CC279" i="5" s="1"/>
  <c r="BP281" i="5"/>
  <c r="CG281" i="5" s="1"/>
  <c r="BP283" i="5"/>
  <c r="CG283" i="5" s="1"/>
  <c r="CA289" i="5"/>
  <c r="CH289" i="5" s="1"/>
  <c r="BP292" i="5"/>
  <c r="CG292" i="5" s="1"/>
  <c r="CA292" i="5"/>
  <c r="CH292" i="5" s="1"/>
  <c r="CA298" i="5"/>
  <c r="CH298" i="5" s="1"/>
  <c r="BP153" i="5"/>
  <c r="CG153" i="5" s="1"/>
  <c r="X155" i="5"/>
  <c r="CC155" i="5" s="1"/>
  <c r="BP155" i="5"/>
  <c r="CG155" i="5" s="1"/>
  <c r="BE156" i="5"/>
  <c r="CF156" i="5" s="1"/>
  <c r="X156" i="5"/>
  <c r="CC156" i="5" s="1"/>
  <c r="AT156" i="5"/>
  <c r="CE156" i="5" s="1"/>
  <c r="CA157" i="5"/>
  <c r="CH157" i="5" s="1"/>
  <c r="AI158" i="5"/>
  <c r="CD158" i="5" s="1"/>
  <c r="AT159" i="5"/>
  <c r="CE159" i="5" s="1"/>
  <c r="AT161" i="5"/>
  <c r="CE161" i="5" s="1"/>
  <c r="BP163" i="5"/>
  <c r="CG163" i="5" s="1"/>
  <c r="X164" i="5"/>
  <c r="CC164" i="5" s="1"/>
  <c r="BP164" i="5"/>
  <c r="CG164" i="5" s="1"/>
  <c r="BE165" i="5"/>
  <c r="CF165" i="5" s="1"/>
  <c r="X165" i="5"/>
  <c r="CC165" i="5" s="1"/>
  <c r="AT165" i="5"/>
  <c r="CE165" i="5" s="1"/>
  <c r="CA166" i="5"/>
  <c r="CH166" i="5" s="1"/>
  <c r="AI167" i="5"/>
  <c r="CD167" i="5" s="1"/>
  <c r="AT168" i="5"/>
  <c r="CE168" i="5" s="1"/>
  <c r="BE170" i="5"/>
  <c r="CF170" i="5" s="1"/>
  <c r="BP172" i="5"/>
  <c r="CG172" i="5" s="1"/>
  <c r="X173" i="5"/>
  <c r="CC173" i="5" s="1"/>
  <c r="AT173" i="5"/>
  <c r="CE173" i="5" s="1"/>
  <c r="BP173" i="5"/>
  <c r="CG173" i="5" s="1"/>
  <c r="X174" i="5"/>
  <c r="CC174" i="5" s="1"/>
  <c r="AT174" i="5"/>
  <c r="CE174" i="5" s="1"/>
  <c r="CA175" i="5"/>
  <c r="CH175" i="5" s="1"/>
  <c r="AT176" i="5"/>
  <c r="CE176" i="5" s="1"/>
  <c r="AT177" i="5"/>
  <c r="CE177" i="5" s="1"/>
  <c r="BE179" i="5"/>
  <c r="CF179" i="5" s="1"/>
  <c r="BP181" i="5"/>
  <c r="CG181" i="5" s="1"/>
  <c r="X182" i="5"/>
  <c r="CC182" i="5" s="1"/>
  <c r="AT182" i="5"/>
  <c r="CE182" i="5" s="1"/>
  <c r="BP182" i="5"/>
  <c r="CG182" i="5" s="1"/>
  <c r="X183" i="5"/>
  <c r="CC183" i="5" s="1"/>
  <c r="AT183" i="5"/>
  <c r="CE183" i="5" s="1"/>
  <c r="BE185" i="5"/>
  <c r="CF185" i="5" s="1"/>
  <c r="X189" i="5"/>
  <c r="CC189" i="5" s="1"/>
  <c r="BP190" i="5"/>
  <c r="CG190" i="5" s="1"/>
  <c r="AI190" i="5"/>
  <c r="CD190" i="5" s="1"/>
  <c r="BP194" i="5"/>
  <c r="CG194" i="5" s="1"/>
  <c r="BE202" i="5"/>
  <c r="CF202" i="5" s="1"/>
  <c r="AT210" i="5"/>
  <c r="CE210" i="5" s="1"/>
  <c r="AT211" i="5"/>
  <c r="CE211" i="5" s="1"/>
  <c r="AT212" i="5"/>
  <c r="CE212" i="5" s="1"/>
  <c r="X218" i="5"/>
  <c r="CC218" i="5" s="1"/>
  <c r="AT222" i="5"/>
  <c r="CE222" i="5" s="1"/>
  <c r="X223" i="5"/>
  <c r="CC223" i="5" s="1"/>
  <c r="BP223" i="5"/>
  <c r="CG223" i="5" s="1"/>
  <c r="AT225" i="5"/>
  <c r="CE225" i="5" s="1"/>
  <c r="X226" i="5"/>
  <c r="CC226" i="5" s="1"/>
  <c r="BP226" i="5"/>
  <c r="CG226" i="5" s="1"/>
  <c r="X227" i="5"/>
  <c r="CC227" i="5" s="1"/>
  <c r="AT229" i="5"/>
  <c r="CE229" i="5" s="1"/>
  <c r="AT231" i="5"/>
  <c r="CE231" i="5" s="1"/>
  <c r="AT233" i="5"/>
  <c r="CE233" i="5" s="1"/>
  <c r="BP233" i="5"/>
  <c r="CG233" i="5" s="1"/>
  <c r="AT234" i="5"/>
  <c r="CE234" i="5" s="1"/>
  <c r="AT244" i="5"/>
  <c r="CE244" i="5" s="1"/>
  <c r="AT248" i="5"/>
  <c r="CE248" i="5" s="1"/>
  <c r="CA249" i="5"/>
  <c r="CH249" i="5" s="1"/>
  <c r="AT259" i="5"/>
  <c r="CE259" i="5" s="1"/>
  <c r="BP259" i="5"/>
  <c r="CG259" i="5" s="1"/>
  <c r="AT264" i="5"/>
  <c r="CE264" i="5" s="1"/>
  <c r="AT267" i="5"/>
  <c r="CE267" i="5" s="1"/>
  <c r="BE273" i="5"/>
  <c r="CF273" i="5" s="1"/>
  <c r="CA278" i="5"/>
  <c r="CH278" i="5" s="1"/>
  <c r="CA280" i="5"/>
  <c r="CH280" i="5" s="1"/>
  <c r="AI281" i="5"/>
  <c r="CD281" i="5" s="1"/>
  <c r="BE282" i="5"/>
  <c r="CF282" i="5" s="1"/>
  <c r="AI285" i="5"/>
  <c r="CD285" i="5" s="1"/>
  <c r="AI287" i="5"/>
  <c r="CD287" i="5" s="1"/>
  <c r="AI289" i="5"/>
  <c r="CD289" i="5" s="1"/>
  <c r="AI290" i="5"/>
  <c r="CD290" i="5" s="1"/>
  <c r="CA290" i="5"/>
  <c r="CH290" i="5" s="1"/>
  <c r="AI291" i="5"/>
  <c r="CD291" i="5" s="1"/>
  <c r="BE291" i="5"/>
  <c r="CF291" i="5" s="1"/>
  <c r="BE292" i="5"/>
  <c r="CF292" i="5" s="1"/>
  <c r="AI297" i="5"/>
  <c r="CD297" i="5" s="1"/>
  <c r="AI298" i="5"/>
  <c r="CD298" i="5" s="1"/>
  <c r="AI299" i="5"/>
  <c r="CD299" i="5" s="1"/>
  <c r="AT309" i="5"/>
  <c r="CE309" i="5" s="1"/>
  <c r="G21" i="7"/>
  <c r="J11" i="7" s="1"/>
  <c r="CA154" i="5"/>
  <c r="CH154" i="5" s="1"/>
  <c r="AT160" i="5"/>
  <c r="CE160" i="5" s="1"/>
  <c r="AT163" i="5"/>
  <c r="CE163" i="5" s="1"/>
  <c r="AT169" i="5"/>
  <c r="CE169" i="5" s="1"/>
  <c r="AT172" i="5"/>
  <c r="CE172" i="5" s="1"/>
  <c r="AT178" i="5"/>
  <c r="CE178" i="5" s="1"/>
  <c r="AT181" i="5"/>
  <c r="CE181" i="5" s="1"/>
  <c r="AI186" i="5"/>
  <c r="CD186" i="5" s="1"/>
  <c r="CA186" i="5"/>
  <c r="CH186" i="5" s="1"/>
  <c r="AI187" i="5"/>
  <c r="CD187" i="5" s="1"/>
  <c r="BE187" i="5"/>
  <c r="CF187" i="5" s="1"/>
  <c r="CA188" i="5"/>
  <c r="CH188" i="5" s="1"/>
  <c r="CA192" i="5"/>
  <c r="CH192" i="5" s="1"/>
  <c r="X198" i="5"/>
  <c r="CC198" i="5" s="1"/>
  <c r="BP202" i="5"/>
  <c r="CG202" i="5" s="1"/>
  <c r="AI202" i="5"/>
  <c r="CD202" i="5" s="1"/>
  <c r="BP206" i="5"/>
  <c r="CG206" i="5" s="1"/>
  <c r="X211" i="5"/>
  <c r="CC211" i="5" s="1"/>
  <c r="X212" i="5"/>
  <c r="CC212" i="5" s="1"/>
  <c r="X213" i="5"/>
  <c r="CC213" i="5" s="1"/>
  <c r="BP217" i="5"/>
  <c r="CG217" i="5" s="1"/>
  <c r="BP218" i="5"/>
  <c r="CG218" i="5" s="1"/>
  <c r="BE221" i="5"/>
  <c r="CF221" i="5" s="1"/>
  <c r="BE227" i="5"/>
  <c r="CF227" i="5" s="1"/>
  <c r="X236" i="5"/>
  <c r="CC236" i="5" s="1"/>
  <c r="BE239" i="5"/>
  <c r="CF239" i="5" s="1"/>
  <c r="X241" i="5"/>
  <c r="CC241" i="5" s="1"/>
  <c r="AT242" i="5"/>
  <c r="CE242" i="5" s="1"/>
  <c r="BP242" i="5"/>
  <c r="CG242" i="5" s="1"/>
  <c r="AT246" i="5"/>
  <c r="CE246" i="5" s="1"/>
  <c r="AT247" i="5"/>
  <c r="CE247" i="5" s="1"/>
  <c r="AT251" i="5"/>
  <c r="CE251" i="5" s="1"/>
  <c r="BE257" i="5"/>
  <c r="CF257" i="5" s="1"/>
  <c r="BE264" i="5"/>
  <c r="CF264" i="5" s="1"/>
  <c r="BE267" i="5"/>
  <c r="CF267" i="5" s="1"/>
  <c r="AI275" i="5"/>
  <c r="CD275" i="5" s="1"/>
  <c r="AT280" i="5"/>
  <c r="CE280" i="5" s="1"/>
  <c r="BE303" i="5"/>
  <c r="CF303" i="5" s="1"/>
  <c r="N22" i="4"/>
  <c r="N20" i="4"/>
  <c r="AI268" i="5"/>
  <c r="CD268" i="5" s="1"/>
  <c r="CN9" i="2"/>
  <c r="CN15" i="2"/>
  <c r="CN27" i="2"/>
  <c r="C252" i="5"/>
  <c r="M16" i="1"/>
  <c r="H66" i="1"/>
  <c r="J66" i="1" s="1"/>
  <c r="H78" i="1"/>
  <c r="J78" i="1" s="1"/>
  <c r="H90" i="1"/>
  <c r="J90" i="1" s="1"/>
  <c r="H120" i="1"/>
  <c r="J120" i="1" s="1"/>
  <c r="M123" i="1"/>
  <c r="H138" i="1"/>
  <c r="J138" i="1" s="1"/>
  <c r="M141" i="1"/>
  <c r="H144" i="1"/>
  <c r="J144" i="1" s="1"/>
  <c r="H150" i="1"/>
  <c r="J150" i="1" s="1"/>
  <c r="H156" i="1"/>
  <c r="J156" i="1" s="1"/>
  <c r="H203" i="1"/>
  <c r="J203" i="1" s="1"/>
  <c r="I208" i="1"/>
  <c r="K208" i="1" s="1"/>
  <c r="I214" i="1"/>
  <c r="K214" i="1" s="1"/>
  <c r="M259" i="1"/>
  <c r="H259" i="1"/>
  <c r="J259" i="1" s="1"/>
  <c r="I261" i="1"/>
  <c r="K261" i="1" s="1"/>
  <c r="M268" i="1"/>
  <c r="H268" i="1"/>
  <c r="J268" i="1" s="1"/>
  <c r="I270" i="1"/>
  <c r="K270" i="1" s="1"/>
  <c r="M277" i="1"/>
  <c r="H277" i="1"/>
  <c r="J277" i="1" s="1"/>
  <c r="I279" i="1"/>
  <c r="K279" i="1" s="1"/>
  <c r="M286" i="1"/>
  <c r="H286" i="1"/>
  <c r="J286" i="1" s="1"/>
  <c r="I288" i="1"/>
  <c r="K288" i="1" s="1"/>
  <c r="DB102" i="2"/>
  <c r="DB101" i="2"/>
  <c r="DB100" i="2"/>
  <c r="DB99" i="2"/>
  <c r="DB98" i="2"/>
  <c r="DB97" i="2"/>
  <c r="DB96" i="2"/>
  <c r="DB95" i="2"/>
  <c r="DB94" i="2"/>
  <c r="DB93" i="2"/>
  <c r="DB56" i="2"/>
  <c r="DB50" i="2"/>
  <c r="DB44" i="2"/>
  <c r="DB38" i="2"/>
  <c r="DB32" i="2"/>
  <c r="DB61" i="2"/>
  <c r="DB55" i="2"/>
  <c r="DB49" i="2"/>
  <c r="DB43" i="2"/>
  <c r="DB37" i="2"/>
  <c r="DB62" i="2"/>
  <c r="DB60" i="2"/>
  <c r="DB54" i="2"/>
  <c r="DB48" i="2"/>
  <c r="DB42" i="2"/>
  <c r="DB36" i="2"/>
  <c r="DB58" i="2"/>
  <c r="DB52" i="2"/>
  <c r="DB46" i="2"/>
  <c r="DB40" i="2"/>
  <c r="DB34" i="2"/>
  <c r="DB59" i="2"/>
  <c r="DB41" i="2"/>
  <c r="DB30" i="2"/>
  <c r="DB27" i="2"/>
  <c r="DB24" i="2"/>
  <c r="DB21" i="2"/>
  <c r="DB18" i="2"/>
  <c r="DB15" i="2"/>
  <c r="DB12" i="2"/>
  <c r="DB9" i="2"/>
  <c r="DB6" i="2"/>
  <c r="CU6" i="2" s="1"/>
  <c r="DB3" i="2"/>
  <c r="CU3" i="2" s="1"/>
  <c r="DB51" i="2"/>
  <c r="DB53" i="2"/>
  <c r="DB31" i="2"/>
  <c r="DB28" i="2"/>
  <c r="DB25" i="2"/>
  <c r="DB22" i="2"/>
  <c r="DB19" i="2"/>
  <c r="DB16" i="2"/>
  <c r="DB13" i="2"/>
  <c r="DB10" i="2"/>
  <c r="DB7" i="2"/>
  <c r="CU7" i="2" s="1"/>
  <c r="DB4" i="2"/>
  <c r="CU4" i="2" s="1"/>
  <c r="DB45" i="2"/>
  <c r="DB47" i="2"/>
  <c r="DB35" i="2"/>
  <c r="DB33" i="2"/>
  <c r="DB29" i="2"/>
  <c r="DB26" i="2"/>
  <c r="DB23" i="2"/>
  <c r="DB20" i="2"/>
  <c r="DB57" i="2"/>
  <c r="DB39" i="2"/>
  <c r="DH102" i="2"/>
  <c r="DH101" i="2"/>
  <c r="DH100" i="2"/>
  <c r="DH99" i="2"/>
  <c r="DH98" i="2"/>
  <c r="DH97" i="2"/>
  <c r="DH96" i="2"/>
  <c r="DH95" i="2"/>
  <c r="DH94" i="2"/>
  <c r="DH93" i="2"/>
  <c r="DH91" i="2"/>
  <c r="DH90" i="2"/>
  <c r="DH89" i="2"/>
  <c r="DH88" i="2"/>
  <c r="DH87" i="2"/>
  <c r="DH86" i="2"/>
  <c r="DH85" i="2"/>
  <c r="DH84" i="2"/>
  <c r="DH83" i="2"/>
  <c r="DH82" i="2"/>
  <c r="DH81" i="2"/>
  <c r="DH80" i="2"/>
  <c r="DH79" i="2"/>
  <c r="DH78" i="2"/>
  <c r="DH77" i="2"/>
  <c r="DH76" i="2"/>
  <c r="DH75" i="2"/>
  <c r="DH74" i="2"/>
  <c r="DH73" i="2"/>
  <c r="DH72" i="2"/>
  <c r="DH71" i="2"/>
  <c r="DH70" i="2"/>
  <c r="DH69" i="2"/>
  <c r="DH68" i="2"/>
  <c r="DH67" i="2"/>
  <c r="DH66" i="2"/>
  <c r="DH65" i="2"/>
  <c r="DH64" i="2"/>
  <c r="DH63" i="2"/>
  <c r="DH92" i="2"/>
  <c r="DT56" i="2"/>
  <c r="DT50" i="2"/>
  <c r="DT44" i="2"/>
  <c r="DT38" i="2"/>
  <c r="DT61" i="2"/>
  <c r="DT55" i="2"/>
  <c r="DT49" i="2"/>
  <c r="DT43" i="2"/>
  <c r="DT62" i="2"/>
  <c r="DT60" i="2"/>
  <c r="DT54" i="2"/>
  <c r="DT48" i="2"/>
  <c r="DT42" i="2"/>
  <c r="DT58" i="2"/>
  <c r="DT52" i="2"/>
  <c r="DT46" i="2"/>
  <c r="DT40" i="2"/>
  <c r="DT59" i="2"/>
  <c r="DT57" i="2"/>
  <c r="DT41" i="2"/>
  <c r="DT39" i="2"/>
  <c r="DT53" i="2"/>
  <c r="DT51" i="2"/>
  <c r="DT47" i="2"/>
  <c r="DT45" i="2"/>
  <c r="M4" i="1"/>
  <c r="M10" i="1"/>
  <c r="M22" i="1"/>
  <c r="M28" i="1"/>
  <c r="H108" i="1"/>
  <c r="J108" i="1" s="1"/>
  <c r="H126" i="1"/>
  <c r="J126" i="1" s="1"/>
  <c r="M129" i="1"/>
  <c r="H132" i="1"/>
  <c r="J132" i="1" s="1"/>
  <c r="M135" i="1"/>
  <c r="H162" i="1"/>
  <c r="J162" i="1" s="1"/>
  <c r="H168" i="1"/>
  <c r="J168" i="1" s="1"/>
  <c r="H174" i="1"/>
  <c r="J174" i="1" s="1"/>
  <c r="H180" i="1"/>
  <c r="J180" i="1" s="1"/>
  <c r="H186" i="1"/>
  <c r="J186" i="1" s="1"/>
  <c r="H198" i="1"/>
  <c r="J198" i="1" s="1"/>
  <c r="A2" i="1"/>
  <c r="M3" i="1"/>
  <c r="M9" i="1"/>
  <c r="M15" i="1"/>
  <c r="M21" i="1"/>
  <c r="M27" i="1"/>
  <c r="M33" i="1"/>
  <c r="M36" i="1"/>
  <c r="M37" i="1"/>
  <c r="M38" i="1"/>
  <c r="M39" i="1"/>
  <c r="M42" i="1"/>
  <c r="M43" i="1"/>
  <c r="M44" i="1"/>
  <c r="M45" i="1"/>
  <c r="M48" i="1"/>
  <c r="M49" i="1"/>
  <c r="M50" i="1"/>
  <c r="M51" i="1"/>
  <c r="M54" i="1"/>
  <c r="M55" i="1"/>
  <c r="M56" i="1"/>
  <c r="M57" i="1"/>
  <c r="M60" i="1"/>
  <c r="M61" i="1"/>
  <c r="H65" i="1"/>
  <c r="J65" i="1" s="1"/>
  <c r="H71" i="1"/>
  <c r="J71" i="1" s="1"/>
  <c r="H77" i="1"/>
  <c r="J77" i="1" s="1"/>
  <c r="H83" i="1"/>
  <c r="J83" i="1" s="1"/>
  <c r="H89" i="1"/>
  <c r="J89" i="1" s="1"/>
  <c r="H95" i="1"/>
  <c r="J95" i="1" s="1"/>
  <c r="H101" i="1"/>
  <c r="J101" i="1" s="1"/>
  <c r="H107" i="1"/>
  <c r="J107" i="1" s="1"/>
  <c r="H113" i="1"/>
  <c r="J113" i="1" s="1"/>
  <c r="H119" i="1"/>
  <c r="J119" i="1" s="1"/>
  <c r="H125" i="1"/>
  <c r="J125" i="1" s="1"/>
  <c r="M128" i="1"/>
  <c r="H131" i="1"/>
  <c r="J131" i="1" s="1"/>
  <c r="M134" i="1"/>
  <c r="H137" i="1"/>
  <c r="J137" i="1" s="1"/>
  <c r="M140" i="1"/>
  <c r="H143" i="1"/>
  <c r="J143" i="1" s="1"/>
  <c r="M146" i="1"/>
  <c r="H149" i="1"/>
  <c r="J149" i="1" s="1"/>
  <c r="M152" i="1"/>
  <c r="H155" i="1"/>
  <c r="J155" i="1" s="1"/>
  <c r="M158" i="1"/>
  <c r="H161" i="1"/>
  <c r="J161" i="1" s="1"/>
  <c r="M164" i="1"/>
  <c r="H167" i="1"/>
  <c r="J167" i="1" s="1"/>
  <c r="M170" i="1"/>
  <c r="H173" i="1"/>
  <c r="J173" i="1" s="1"/>
  <c r="M176" i="1"/>
  <c r="H179" i="1"/>
  <c r="J179" i="1" s="1"/>
  <c r="M182" i="1"/>
  <c r="H185" i="1"/>
  <c r="J185" i="1" s="1"/>
  <c r="H191" i="1"/>
  <c r="J191" i="1" s="1"/>
  <c r="H197" i="1"/>
  <c r="J197" i="1" s="1"/>
  <c r="M200" i="1"/>
  <c r="I203" i="1"/>
  <c r="K203" i="1" s="1"/>
  <c r="M210" i="1"/>
  <c r="I213" i="1"/>
  <c r="K213" i="1" s="1"/>
  <c r="M216" i="1"/>
  <c r="H218" i="1"/>
  <c r="J218" i="1" s="1"/>
  <c r="H221" i="1"/>
  <c r="J221" i="1" s="1"/>
  <c r="M223" i="1"/>
  <c r="H225" i="1"/>
  <c r="J225" i="1" s="1"/>
  <c r="I229" i="1"/>
  <c r="K229" i="1" s="1"/>
  <c r="M230" i="1"/>
  <c r="H232" i="1"/>
  <c r="J232" i="1" s="1"/>
  <c r="H236" i="1"/>
  <c r="J236" i="1" s="1"/>
  <c r="H239" i="1"/>
  <c r="J239" i="1" s="1"/>
  <c r="M241" i="1"/>
  <c r="H243" i="1"/>
  <c r="J243" i="1" s="1"/>
  <c r="I247" i="1"/>
  <c r="K247" i="1" s="1"/>
  <c r="M248" i="1"/>
  <c r="H250" i="1"/>
  <c r="J250" i="1" s="1"/>
  <c r="H257" i="1"/>
  <c r="J257" i="1" s="1"/>
  <c r="I259" i="1"/>
  <c r="K259" i="1" s="1"/>
  <c r="M261" i="1"/>
  <c r="H266" i="1"/>
  <c r="J266" i="1" s="1"/>
  <c r="I268" i="1"/>
  <c r="K268" i="1" s="1"/>
  <c r="M270" i="1"/>
  <c r="H275" i="1"/>
  <c r="J275" i="1" s="1"/>
  <c r="I277" i="1"/>
  <c r="K277" i="1" s="1"/>
  <c r="M279" i="1"/>
  <c r="H284" i="1"/>
  <c r="J284" i="1" s="1"/>
  <c r="I286" i="1"/>
  <c r="K286" i="1" s="1"/>
  <c r="M288" i="1"/>
  <c r="H293" i="1"/>
  <c r="J293" i="1" s="1"/>
  <c r="DB8" i="2"/>
  <c r="DB11" i="2"/>
  <c r="DB14" i="2"/>
  <c r="DB17" i="2"/>
  <c r="AN33" i="1"/>
  <c r="AN35" i="1"/>
  <c r="AN36" i="1"/>
  <c r="AN37" i="1"/>
  <c r="AN39" i="1"/>
  <c r="AN41" i="1"/>
  <c r="AN42" i="1"/>
  <c r="AN43" i="1"/>
  <c r="AN45" i="1"/>
  <c r="AN47" i="1"/>
  <c r="AN48" i="1"/>
  <c r="AN49" i="1"/>
  <c r="AN51" i="1"/>
  <c r="AN53" i="1"/>
  <c r="AN54" i="1"/>
  <c r="AN55" i="1"/>
  <c r="AN57" i="1"/>
  <c r="AN59" i="1"/>
  <c r="AN60" i="1"/>
  <c r="AN61" i="1"/>
  <c r="M181" i="1"/>
  <c r="M187" i="1"/>
  <c r="M199" i="1"/>
  <c r="M209" i="1"/>
  <c r="M215" i="1"/>
  <c r="I221" i="1"/>
  <c r="K221" i="1" s="1"/>
  <c r="I232" i="1"/>
  <c r="K232" i="1" s="1"/>
  <c r="I239" i="1"/>
  <c r="K239" i="1" s="1"/>
  <c r="I250" i="1"/>
  <c r="K250" i="1" s="1"/>
  <c r="M253" i="1"/>
  <c r="H253" i="1"/>
  <c r="J253" i="1" s="1"/>
  <c r="I257" i="1"/>
  <c r="K257" i="1" s="1"/>
  <c r="M262" i="1"/>
  <c r="H262" i="1"/>
  <c r="J262" i="1" s="1"/>
  <c r="I266" i="1"/>
  <c r="K266" i="1" s="1"/>
  <c r="M271" i="1"/>
  <c r="H271" i="1"/>
  <c r="J271" i="1" s="1"/>
  <c r="I275" i="1"/>
  <c r="K275" i="1" s="1"/>
  <c r="M280" i="1"/>
  <c r="H280" i="1"/>
  <c r="J280" i="1" s="1"/>
  <c r="I284" i="1"/>
  <c r="K284" i="1" s="1"/>
  <c r="M289" i="1"/>
  <c r="H289" i="1"/>
  <c r="J289" i="1" s="1"/>
  <c r="I293" i="1"/>
  <c r="K293" i="1" s="1"/>
  <c r="DD142" i="2"/>
  <c r="DD91" i="2"/>
  <c r="DD90" i="2"/>
  <c r="DD89" i="2"/>
  <c r="DD88" i="2"/>
  <c r="DD87" i="2"/>
  <c r="DD86" i="2"/>
  <c r="DD85" i="2"/>
  <c r="DD84" i="2"/>
  <c r="DD83" i="2"/>
  <c r="DD82" i="2"/>
  <c r="DD81" i="2"/>
  <c r="DD80" i="2"/>
  <c r="DD79" i="2"/>
  <c r="DD78" i="2"/>
  <c r="DD77" i="2"/>
  <c r="DD76" i="2"/>
  <c r="DD75" i="2"/>
  <c r="DD74" i="2"/>
  <c r="DD73" i="2"/>
  <c r="DD72" i="2"/>
  <c r="DD71" i="2"/>
  <c r="DD70" i="2"/>
  <c r="DD69" i="2"/>
  <c r="DD68" i="2"/>
  <c r="DD143" i="2"/>
  <c r="CU143" i="2" s="1"/>
  <c r="DD92" i="2"/>
  <c r="CU92" i="2" s="1"/>
  <c r="DD138" i="2"/>
  <c r="DD140" i="2"/>
  <c r="DD141" i="2"/>
  <c r="CU141" i="2" s="1"/>
  <c r="DD139" i="2"/>
  <c r="DJ32" i="2"/>
  <c r="DJ31" i="2"/>
  <c r="DJ28" i="2"/>
  <c r="DJ25" i="2"/>
  <c r="DJ22" i="2"/>
  <c r="DJ19" i="2"/>
  <c r="DJ16" i="2"/>
  <c r="DJ13" i="2"/>
  <c r="DJ10" i="2"/>
  <c r="DJ29" i="2"/>
  <c r="DJ26" i="2"/>
  <c r="DJ23" i="2"/>
  <c r="DJ20" i="2"/>
  <c r="DJ17" i="2"/>
  <c r="DJ14" i="2"/>
  <c r="DJ11" i="2"/>
  <c r="DJ8" i="2"/>
  <c r="DJ30" i="2"/>
  <c r="DJ27" i="2"/>
  <c r="DJ24" i="2"/>
  <c r="DJ21" i="2"/>
  <c r="DJ18" i="2"/>
  <c r="DP102" i="2"/>
  <c r="DP101" i="2"/>
  <c r="DP100" i="2"/>
  <c r="DP99" i="2"/>
  <c r="DP98" i="2"/>
  <c r="DP97" i="2"/>
  <c r="DP96" i="2"/>
  <c r="DP95" i="2"/>
  <c r="DP94" i="2"/>
  <c r="DP93" i="2"/>
  <c r="DV32" i="2"/>
  <c r="DV31" i="2"/>
  <c r="DV28" i="2"/>
  <c r="DV25" i="2"/>
  <c r="DV22" i="2"/>
  <c r="DV19" i="2"/>
  <c r="DV16" i="2"/>
  <c r="DV13" i="2"/>
  <c r="DV10" i="2"/>
  <c r="DV29" i="2"/>
  <c r="DV26" i="2"/>
  <c r="DV23" i="2"/>
  <c r="DV20" i="2"/>
  <c r="DV17" i="2"/>
  <c r="DV14" i="2"/>
  <c r="DV11" i="2"/>
  <c r="DV8" i="2"/>
  <c r="DV30" i="2"/>
  <c r="DV27" i="2"/>
  <c r="DV24" i="2"/>
  <c r="DV21" i="2"/>
  <c r="DV18" i="2"/>
  <c r="M66" i="1"/>
  <c r="M72" i="1"/>
  <c r="M78" i="1"/>
  <c r="M84" i="1"/>
  <c r="M96" i="1"/>
  <c r="M102" i="1"/>
  <c r="M108" i="1"/>
  <c r="M114" i="1"/>
  <c r="M126" i="1"/>
  <c r="M132" i="1"/>
  <c r="M138" i="1"/>
  <c r="M144" i="1"/>
  <c r="M150" i="1"/>
  <c r="M156" i="1"/>
  <c r="M162" i="1"/>
  <c r="M168" i="1"/>
  <c r="M174" i="1"/>
  <c r="M180" i="1"/>
  <c r="M186" i="1"/>
  <c r="M192" i="1"/>
  <c r="M208" i="1"/>
  <c r="M214" i="1"/>
  <c r="DB5" i="2"/>
  <c r="CU5" i="2" s="1"/>
  <c r="M7" i="1"/>
  <c r="M13" i="1"/>
  <c r="M19" i="1"/>
  <c r="M25" i="1"/>
  <c r="M31" i="1"/>
  <c r="M198" i="1"/>
  <c r="H35" i="1"/>
  <c r="J35" i="1" s="1"/>
  <c r="H38" i="1"/>
  <c r="J38" i="1" s="1"/>
  <c r="H41" i="1"/>
  <c r="J41" i="1" s="1"/>
  <c r="H44" i="1"/>
  <c r="J44" i="1" s="1"/>
  <c r="H47" i="1"/>
  <c r="J47" i="1" s="1"/>
  <c r="H50" i="1"/>
  <c r="J50" i="1" s="1"/>
  <c r="H53" i="1"/>
  <c r="J53" i="1" s="1"/>
  <c r="H56" i="1"/>
  <c r="J56" i="1" s="1"/>
  <c r="H59" i="1"/>
  <c r="J59" i="1" s="1"/>
  <c r="H62" i="1"/>
  <c r="J62" i="1" s="1"/>
  <c r="M65" i="1"/>
  <c r="H68" i="1"/>
  <c r="J68" i="1" s="1"/>
  <c r="M71" i="1"/>
  <c r="H74" i="1"/>
  <c r="J74" i="1" s="1"/>
  <c r="M77" i="1"/>
  <c r="H80" i="1"/>
  <c r="J80" i="1" s="1"/>
  <c r="M83" i="1"/>
  <c r="H86" i="1"/>
  <c r="J86" i="1" s="1"/>
  <c r="M89" i="1"/>
  <c r="H92" i="1"/>
  <c r="J92" i="1" s="1"/>
  <c r="M95" i="1"/>
  <c r="H98" i="1"/>
  <c r="J98" i="1" s="1"/>
  <c r="M101" i="1"/>
  <c r="H104" i="1"/>
  <c r="J104" i="1" s="1"/>
  <c r="M107" i="1"/>
  <c r="H110" i="1"/>
  <c r="J110" i="1" s="1"/>
  <c r="M113" i="1"/>
  <c r="H116" i="1"/>
  <c r="J116" i="1" s="1"/>
  <c r="M119" i="1"/>
  <c r="H122" i="1"/>
  <c r="J122" i="1" s="1"/>
  <c r="M125" i="1"/>
  <c r="H128" i="1"/>
  <c r="J128" i="1" s="1"/>
  <c r="M131" i="1"/>
  <c r="H134" i="1"/>
  <c r="J134" i="1" s="1"/>
  <c r="M137" i="1"/>
  <c r="H140" i="1"/>
  <c r="J140" i="1" s="1"/>
  <c r="M143" i="1"/>
  <c r="H146" i="1"/>
  <c r="J146" i="1" s="1"/>
  <c r="M149" i="1"/>
  <c r="H152" i="1"/>
  <c r="J152" i="1" s="1"/>
  <c r="M155" i="1"/>
  <c r="H158" i="1"/>
  <c r="J158" i="1" s="1"/>
  <c r="M161" i="1"/>
  <c r="H164" i="1"/>
  <c r="J164" i="1" s="1"/>
  <c r="M167" i="1"/>
  <c r="H170" i="1"/>
  <c r="J170" i="1" s="1"/>
  <c r="M173" i="1"/>
  <c r="H176" i="1"/>
  <c r="J176" i="1" s="1"/>
  <c r="M179" i="1"/>
  <c r="H182" i="1"/>
  <c r="J182" i="1" s="1"/>
  <c r="M185" i="1"/>
  <c r="H188" i="1"/>
  <c r="J188" i="1" s="1"/>
  <c r="M191" i="1"/>
  <c r="H194" i="1"/>
  <c r="J194" i="1" s="1"/>
  <c r="M197" i="1"/>
  <c r="H200" i="1"/>
  <c r="J200" i="1" s="1"/>
  <c r="H205" i="1"/>
  <c r="J205" i="1" s="1"/>
  <c r="I210" i="1"/>
  <c r="K210" i="1" s="1"/>
  <c r="M213" i="1"/>
  <c r="I216" i="1"/>
  <c r="K216" i="1" s="1"/>
  <c r="M256" i="1"/>
  <c r="H256" i="1"/>
  <c r="J256" i="1" s="1"/>
  <c r="I258" i="1"/>
  <c r="K258" i="1" s="1"/>
  <c r="I260" i="1"/>
  <c r="K260" i="1" s="1"/>
  <c r="M265" i="1"/>
  <c r="H265" i="1"/>
  <c r="J265" i="1" s="1"/>
  <c r="I267" i="1"/>
  <c r="K267" i="1" s="1"/>
  <c r="I269" i="1"/>
  <c r="K269" i="1" s="1"/>
  <c r="M274" i="1"/>
  <c r="H274" i="1"/>
  <c r="J274" i="1" s="1"/>
  <c r="I276" i="1"/>
  <c r="K276" i="1" s="1"/>
  <c r="I278" i="1"/>
  <c r="K278" i="1" s="1"/>
  <c r="M283" i="1"/>
  <c r="H283" i="1"/>
  <c r="J283" i="1" s="1"/>
  <c r="I285" i="1"/>
  <c r="K285" i="1" s="1"/>
  <c r="I287" i="1"/>
  <c r="K287" i="1" s="1"/>
  <c r="M292" i="1"/>
  <c r="H292" i="1"/>
  <c r="J292" i="1" s="1"/>
  <c r="I294" i="1"/>
  <c r="K294" i="1" s="1"/>
  <c r="DJ9" i="2"/>
  <c r="DV9" i="2"/>
  <c r="DJ12" i="2"/>
  <c r="DV12" i="2"/>
  <c r="DJ15" i="2"/>
  <c r="DV15" i="2"/>
  <c r="CR44" i="2"/>
  <c r="CR54" i="2"/>
  <c r="CU161" i="2"/>
  <c r="CU168" i="2"/>
  <c r="AB20" i="3"/>
  <c r="AB38" i="3"/>
  <c r="P53" i="3"/>
  <c r="AB56" i="3"/>
  <c r="P59" i="3"/>
  <c r="AB60" i="3"/>
  <c r="AB74" i="3"/>
  <c r="DC44" i="2"/>
  <c r="CR150" i="2"/>
  <c r="CR144" i="2"/>
  <c r="CR143" i="2"/>
  <c r="CR192" i="2"/>
  <c r="P17" i="3"/>
  <c r="P35" i="3"/>
  <c r="P41" i="3"/>
  <c r="AB42" i="3"/>
  <c r="AB50" i="3"/>
  <c r="CR42" i="2"/>
  <c r="CR50" i="2"/>
  <c r="CR60" i="2"/>
  <c r="CU124" i="2"/>
  <c r="CU159" i="2"/>
  <c r="CU186" i="2"/>
  <c r="AB2" i="3"/>
  <c r="AB6" i="3"/>
  <c r="AB12" i="3"/>
  <c r="AB30" i="3"/>
  <c r="AB48" i="3"/>
  <c r="AB53" i="3"/>
  <c r="AB59" i="3"/>
  <c r="DC61" i="2"/>
  <c r="DC55" i="2"/>
  <c r="DC49" i="2"/>
  <c r="DC43" i="2"/>
  <c r="DC37" i="2"/>
  <c r="DC62" i="2"/>
  <c r="DC60" i="2"/>
  <c r="DC54" i="2"/>
  <c r="DC48" i="2"/>
  <c r="DC42" i="2"/>
  <c r="DC36" i="2"/>
  <c r="DC59" i="2"/>
  <c r="DC53" i="2"/>
  <c r="DC47" i="2"/>
  <c r="DC41" i="2"/>
  <c r="DC35" i="2"/>
  <c r="DC57" i="2"/>
  <c r="DC51" i="2"/>
  <c r="DC45" i="2"/>
  <c r="DC39" i="2"/>
  <c r="DC33" i="2"/>
  <c r="DC40" i="2"/>
  <c r="DC50" i="2"/>
  <c r="DC58" i="2"/>
  <c r="DC93" i="2"/>
  <c r="DC94" i="2"/>
  <c r="DC95" i="2"/>
  <c r="DC96" i="2"/>
  <c r="DC97" i="2"/>
  <c r="DC98" i="2"/>
  <c r="DC99" i="2"/>
  <c r="DC100" i="2"/>
  <c r="DC101" i="2"/>
  <c r="DC102" i="2"/>
  <c r="CU103" i="2"/>
  <c r="CU105" i="2"/>
  <c r="CU107" i="2"/>
  <c r="CU109" i="2"/>
  <c r="CU111" i="2"/>
  <c r="CU113" i="2"/>
  <c r="CU115" i="2"/>
  <c r="CU117" i="2"/>
  <c r="CU119" i="2"/>
  <c r="CU121" i="2"/>
  <c r="CU127" i="2"/>
  <c r="CU130" i="2"/>
  <c r="CU158" i="2"/>
  <c r="CU166" i="2"/>
  <c r="AB11" i="3"/>
  <c r="AB29" i="3"/>
  <c r="P44" i="3"/>
  <c r="AB45" i="3"/>
  <c r="AB47" i="3"/>
  <c r="P62" i="3"/>
  <c r="AB66" i="3"/>
  <c r="DC34" i="2"/>
  <c r="CR36" i="2"/>
  <c r="CR38" i="2"/>
  <c r="CR48" i="2"/>
  <c r="CR56" i="2"/>
  <c r="CU138" i="2"/>
  <c r="CU157" i="2"/>
  <c r="CU192" i="2"/>
  <c r="P8" i="3"/>
  <c r="AB17" i="3"/>
  <c r="AB23" i="3"/>
  <c r="P26" i="3"/>
  <c r="AB33" i="3"/>
  <c r="AB35" i="3"/>
  <c r="AB41" i="3"/>
  <c r="P50" i="3"/>
  <c r="AB51" i="3"/>
  <c r="AB65" i="3"/>
  <c r="DC38" i="2"/>
  <c r="DC46" i="2"/>
  <c r="DC56" i="2"/>
  <c r="CU126" i="2"/>
  <c r="L132" i="4"/>
  <c r="N132" i="4" s="1"/>
  <c r="CR129" i="2"/>
  <c r="L134" i="4"/>
  <c r="CR131" i="2"/>
  <c r="AB3" i="3"/>
  <c r="AB5" i="3"/>
  <c r="AB44" i="3"/>
  <c r="AB57" i="3"/>
  <c r="P68" i="3"/>
  <c r="AB69" i="3"/>
  <c r="CU362" i="2"/>
  <c r="CU374" i="2"/>
  <c r="P4" i="3"/>
  <c r="AB7" i="3"/>
  <c r="P13" i="3"/>
  <c r="AB16" i="3"/>
  <c r="P22" i="3"/>
  <c r="AB25" i="3"/>
  <c r="P31" i="3"/>
  <c r="AB34" i="3"/>
  <c r="P40" i="3"/>
  <c r="AB43" i="3"/>
  <c r="P49" i="3"/>
  <c r="AB52" i="3"/>
  <c r="P58" i="3"/>
  <c r="AB61" i="3"/>
  <c r="P67" i="3"/>
  <c r="AB84" i="3"/>
  <c r="AB86" i="3"/>
  <c r="AB91" i="3"/>
  <c r="AB128" i="3"/>
  <c r="AB131" i="3"/>
  <c r="AB141" i="3"/>
  <c r="AB146" i="3"/>
  <c r="AB148" i="3"/>
  <c r="AB150" i="3"/>
  <c r="AB155" i="3"/>
  <c r="AB162" i="3"/>
  <c r="DF36" i="2"/>
  <c r="CR37" i="2"/>
  <c r="DF42" i="2"/>
  <c r="CR43" i="2"/>
  <c r="DF48" i="2"/>
  <c r="CR49" i="2"/>
  <c r="DF54" i="2"/>
  <c r="CR55" i="2"/>
  <c r="DF60" i="2"/>
  <c r="CR61" i="2"/>
  <c r="DF62" i="2"/>
  <c r="DF63" i="2"/>
  <c r="CU63" i="2" s="1"/>
  <c r="DF64" i="2"/>
  <c r="CU64" i="2" s="1"/>
  <c r="DF65" i="2"/>
  <c r="CU65" i="2" s="1"/>
  <c r="DF66" i="2"/>
  <c r="DF67" i="2"/>
  <c r="CU67" i="2" s="1"/>
  <c r="DF68" i="2"/>
  <c r="DF69" i="2"/>
  <c r="DF70" i="2"/>
  <c r="DF71" i="2"/>
  <c r="DF72" i="2"/>
  <c r="DF73" i="2"/>
  <c r="DF74" i="2"/>
  <c r="DF75" i="2"/>
  <c r="DF76" i="2"/>
  <c r="DF77" i="2"/>
  <c r="DF78" i="2"/>
  <c r="DF79" i="2"/>
  <c r="DF80" i="2"/>
  <c r="DF81" i="2"/>
  <c r="DF82" i="2"/>
  <c r="DF83" i="2"/>
  <c r="DF84" i="2"/>
  <c r="DF85" i="2"/>
  <c r="DF86" i="2"/>
  <c r="DF87" i="2"/>
  <c r="DF88" i="2"/>
  <c r="DF89" i="2"/>
  <c r="DF90" i="2"/>
  <c r="DF91" i="2"/>
  <c r="EP142" i="2"/>
  <c r="CU142" i="2" s="1"/>
  <c r="CU360" i="2"/>
  <c r="CU372" i="2"/>
  <c r="P5" i="3"/>
  <c r="P6" i="3"/>
  <c r="P14" i="3"/>
  <c r="P15" i="3"/>
  <c r="P23" i="3"/>
  <c r="P24" i="3"/>
  <c r="P32" i="3"/>
  <c r="P33" i="3"/>
  <c r="P42" i="3"/>
  <c r="P51" i="3"/>
  <c r="P60" i="3"/>
  <c r="P70" i="3"/>
  <c r="AB73" i="3"/>
  <c r="AB76" i="3"/>
  <c r="AB78" i="3"/>
  <c r="AB79" i="3"/>
  <c r="P82" i="3"/>
  <c r="AB90" i="3"/>
  <c r="AB92" i="3"/>
  <c r="AB110" i="3"/>
  <c r="AB111" i="3"/>
  <c r="AB114" i="3"/>
  <c r="AB133" i="3"/>
  <c r="AB134" i="3"/>
  <c r="AB147" i="3"/>
  <c r="AB158" i="3"/>
  <c r="P261" i="3"/>
  <c r="P258" i="3"/>
  <c r="P255" i="3"/>
  <c r="P252" i="3"/>
  <c r="P249" i="3"/>
  <c r="P259" i="3"/>
  <c r="P232" i="3"/>
  <c r="P223" i="3"/>
  <c r="P202" i="3"/>
  <c r="P257" i="3"/>
  <c r="P253" i="3"/>
  <c r="P250" i="3"/>
  <c r="P247" i="3"/>
  <c r="P244" i="3"/>
  <c r="P241" i="3"/>
  <c r="P235" i="3"/>
  <c r="P226" i="3"/>
  <c r="P217" i="3"/>
  <c r="P212" i="3"/>
  <c r="P208" i="3"/>
  <c r="P256" i="3"/>
  <c r="P254" i="3"/>
  <c r="P238" i="3"/>
  <c r="P229" i="3"/>
  <c r="P220" i="3"/>
  <c r="P214" i="3"/>
  <c r="P260" i="3"/>
  <c r="P199" i="3"/>
  <c r="P227" i="3"/>
  <c r="P186" i="3"/>
  <c r="P179" i="3"/>
  <c r="P262" i="3"/>
  <c r="P233" i="3"/>
  <c r="P215" i="3"/>
  <c r="P180" i="3"/>
  <c r="P236" i="3"/>
  <c r="P218" i="3"/>
  <c r="P205" i="3"/>
  <c r="P201" i="3"/>
  <c r="P185" i="3"/>
  <c r="P183" i="3"/>
  <c r="P204" i="3"/>
  <c r="P176" i="3"/>
  <c r="P86" i="3"/>
  <c r="P83" i="3"/>
  <c r="P80" i="3"/>
  <c r="P174" i="3"/>
  <c r="P173" i="3"/>
  <c r="P182" i="3"/>
  <c r="P84" i="3"/>
  <c r="P81" i="3"/>
  <c r="P78" i="3"/>
  <c r="P75" i="3"/>
  <c r="P181" i="3"/>
  <c r="P177" i="3"/>
  <c r="P211" i="3"/>
  <c r="AB4" i="3"/>
  <c r="P10" i="3"/>
  <c r="AB13" i="3"/>
  <c r="P19" i="3"/>
  <c r="AB22" i="3"/>
  <c r="P28" i="3"/>
  <c r="AB31" i="3"/>
  <c r="P37" i="3"/>
  <c r="AB40" i="3"/>
  <c r="P46" i="3"/>
  <c r="AB49" i="3"/>
  <c r="P55" i="3"/>
  <c r="AB58" i="3"/>
  <c r="P64" i="3"/>
  <c r="AB67" i="3"/>
  <c r="AB132" i="3"/>
  <c r="AB159" i="3"/>
  <c r="CR33" i="2"/>
  <c r="DF38" i="2"/>
  <c r="CR39" i="2"/>
  <c r="DF44" i="2"/>
  <c r="CR45" i="2"/>
  <c r="DF50" i="2"/>
  <c r="CR51" i="2"/>
  <c r="DF56" i="2"/>
  <c r="CR57" i="2"/>
  <c r="DF93" i="2"/>
  <c r="DF94" i="2"/>
  <c r="DF95" i="2"/>
  <c r="DF96" i="2"/>
  <c r="DF97" i="2"/>
  <c r="DF98" i="2"/>
  <c r="DF99" i="2"/>
  <c r="DF100" i="2"/>
  <c r="DF101" i="2"/>
  <c r="DF102" i="2"/>
  <c r="CR139" i="2"/>
  <c r="EP140" i="2"/>
  <c r="CU140" i="2" s="1"/>
  <c r="CU368" i="2"/>
  <c r="P2" i="3"/>
  <c r="P3" i="3"/>
  <c r="P11" i="3"/>
  <c r="P12" i="3"/>
  <c r="P20" i="3"/>
  <c r="P21" i="3"/>
  <c r="P29" i="3"/>
  <c r="P30" i="3"/>
  <c r="P38" i="3"/>
  <c r="P39" i="3"/>
  <c r="P47" i="3"/>
  <c r="P48" i="3"/>
  <c r="P56" i="3"/>
  <c r="P57" i="3"/>
  <c r="P65" i="3"/>
  <c r="P66" i="3"/>
  <c r="AB70" i="3"/>
  <c r="P74" i="3"/>
  <c r="P77" i="3"/>
  <c r="AB82" i="3"/>
  <c r="P85" i="3"/>
  <c r="AB87" i="3"/>
  <c r="AB89" i="3"/>
  <c r="AB96" i="3"/>
  <c r="AB100" i="3"/>
  <c r="AB105" i="3"/>
  <c r="AB116" i="3"/>
  <c r="AB118" i="3"/>
  <c r="AB122" i="3"/>
  <c r="AB144" i="3"/>
  <c r="DF33" i="2"/>
  <c r="CR34" i="2"/>
  <c r="DF39" i="2"/>
  <c r="CR40" i="2"/>
  <c r="DF45" i="2"/>
  <c r="CR46" i="2"/>
  <c r="DF51" i="2"/>
  <c r="CR52" i="2"/>
  <c r="DF57" i="2"/>
  <c r="CR58" i="2"/>
  <c r="EP139" i="2"/>
  <c r="CU139" i="2" s="1"/>
  <c r="CU366" i="2"/>
  <c r="P7" i="3"/>
  <c r="AB10" i="3"/>
  <c r="P16" i="3"/>
  <c r="AB19" i="3"/>
  <c r="P25" i="3"/>
  <c r="AB28" i="3"/>
  <c r="P34" i="3"/>
  <c r="AB37" i="3"/>
  <c r="P43" i="3"/>
  <c r="AB46" i="3"/>
  <c r="P52" i="3"/>
  <c r="AB55" i="3"/>
  <c r="P61" i="3"/>
  <c r="AB64" i="3"/>
  <c r="P72" i="3"/>
  <c r="AB94" i="3"/>
  <c r="AB98" i="3"/>
  <c r="AB103" i="3"/>
  <c r="AB104" i="3"/>
  <c r="AB112" i="3"/>
  <c r="AB115" i="3"/>
  <c r="AB126" i="3"/>
  <c r="DF34" i="2"/>
  <c r="CR35" i="2"/>
  <c r="DF40" i="2"/>
  <c r="CR41" i="2"/>
  <c r="DF46" i="2"/>
  <c r="CR47" i="2"/>
  <c r="DF52" i="2"/>
  <c r="CR53" i="2"/>
  <c r="CR59" i="2"/>
  <c r="CR137" i="2"/>
  <c r="CU364" i="2"/>
  <c r="P9" i="3"/>
  <c r="P18" i="3"/>
  <c r="P27" i="3"/>
  <c r="P36" i="3"/>
  <c r="P45" i="3"/>
  <c r="P54" i="3"/>
  <c r="P63" i="3"/>
  <c r="P69" i="3"/>
  <c r="P73" i="3"/>
  <c r="P76" i="3"/>
  <c r="P79" i="3"/>
  <c r="AB85" i="3"/>
  <c r="AB93" i="3"/>
  <c r="AB95" i="3"/>
  <c r="AB101" i="3"/>
  <c r="AB119" i="3"/>
  <c r="AB120" i="3"/>
  <c r="AB137" i="3"/>
  <c r="AB143" i="3"/>
  <c r="AB153" i="3"/>
  <c r="AB167" i="3"/>
  <c r="AB171" i="3"/>
  <c r="AB151" i="3"/>
  <c r="AB165" i="3"/>
  <c r="AB172" i="3"/>
  <c r="P178" i="3"/>
  <c r="AB185" i="3"/>
  <c r="AB194" i="3"/>
  <c r="AB205" i="3"/>
  <c r="AB161" i="3"/>
  <c r="AB169" i="3"/>
  <c r="AB181" i="3"/>
  <c r="AB191" i="3"/>
  <c r="AB195" i="3"/>
  <c r="AB198" i="3"/>
  <c r="AB199" i="3"/>
  <c r="AB221" i="3"/>
  <c r="M106" i="4"/>
  <c r="AB173" i="3"/>
  <c r="P175" i="3"/>
  <c r="AB178" i="3"/>
  <c r="AB182" i="3"/>
  <c r="AB183" i="3"/>
  <c r="P224" i="3"/>
  <c r="AB236" i="3"/>
  <c r="AB142" i="3"/>
  <c r="AB160" i="3"/>
  <c r="AB164" i="3"/>
  <c r="AB170" i="3"/>
  <c r="AB177" i="3"/>
  <c r="AB179" i="3"/>
  <c r="AB189" i="3"/>
  <c r="AB203" i="3"/>
  <c r="N47" i="4"/>
  <c r="N50" i="4"/>
  <c r="N53" i="4"/>
  <c r="AB124" i="3"/>
  <c r="AB135" i="3"/>
  <c r="AB149" i="3"/>
  <c r="AB152" i="3"/>
  <c r="AB156" i="3"/>
  <c r="AB174" i="3"/>
  <c r="AB180" i="3"/>
  <c r="P184" i="3"/>
  <c r="AB186" i="3"/>
  <c r="P200" i="3"/>
  <c r="P213" i="3"/>
  <c r="AB229" i="3"/>
  <c r="M22" i="4"/>
  <c r="AB106" i="3"/>
  <c r="AB117" i="3"/>
  <c r="P190" i="3"/>
  <c r="P209" i="3"/>
  <c r="AB201" i="3"/>
  <c r="P210" i="3"/>
  <c r="AB214" i="3"/>
  <c r="AB223" i="3"/>
  <c r="P242" i="3"/>
  <c r="AB247" i="3"/>
  <c r="M40" i="4"/>
  <c r="M43" i="4"/>
  <c r="AB187" i="3"/>
  <c r="AB204" i="3"/>
  <c r="AB207" i="3"/>
  <c r="AB224" i="3"/>
  <c r="P230" i="3"/>
  <c r="P263" i="3"/>
  <c r="AB197" i="3"/>
  <c r="P203" i="3"/>
  <c r="AB211" i="3"/>
  <c r="AB232" i="3"/>
  <c r="P245" i="3"/>
  <c r="P251" i="3"/>
  <c r="N61" i="4"/>
  <c r="M61" i="4"/>
  <c r="AB184" i="3"/>
  <c r="AB190" i="3"/>
  <c r="AB196" i="3"/>
  <c r="AB200" i="3"/>
  <c r="AB202" i="3"/>
  <c r="AB208" i="3"/>
  <c r="AB212" i="3"/>
  <c r="AB213" i="3"/>
  <c r="AB215" i="3"/>
  <c r="P221" i="3"/>
  <c r="AB233" i="3"/>
  <c r="P239" i="3"/>
  <c r="AB250" i="3"/>
  <c r="AB256" i="3"/>
  <c r="M37" i="4"/>
  <c r="P187" i="3"/>
  <c r="AB193" i="3"/>
  <c r="P206" i="3"/>
  <c r="P207" i="3"/>
  <c r="AB217" i="3"/>
  <c r="AB220" i="3"/>
  <c r="AB235" i="3"/>
  <c r="P248" i="3"/>
  <c r="M130" i="4"/>
  <c r="N149" i="4"/>
  <c r="M4" i="4"/>
  <c r="M47" i="4"/>
  <c r="M55" i="4"/>
  <c r="M124" i="4"/>
  <c r="N160" i="4"/>
  <c r="P216" i="3"/>
  <c r="AB219" i="3"/>
  <c r="P225" i="3"/>
  <c r="AB228" i="3"/>
  <c r="P234" i="3"/>
  <c r="AB237" i="3"/>
  <c r="M3" i="4"/>
  <c r="M5" i="4"/>
  <c r="M6" i="4"/>
  <c r="N7" i="4"/>
  <c r="M7" i="4"/>
  <c r="M34" i="4"/>
  <c r="N46" i="4"/>
  <c r="M46" i="4"/>
  <c r="N68" i="4"/>
  <c r="M92" i="4"/>
  <c r="M107" i="4"/>
  <c r="M108" i="4"/>
  <c r="M129" i="4"/>
  <c r="M144" i="4"/>
  <c r="N172" i="4"/>
  <c r="AI8" i="5"/>
  <c r="CD8" i="5" s="1"/>
  <c r="AB216" i="3"/>
  <c r="P222" i="3"/>
  <c r="AB225" i="3"/>
  <c r="P231" i="3"/>
  <c r="AB234" i="3"/>
  <c r="P240" i="3"/>
  <c r="P243" i="3"/>
  <c r="P246" i="3"/>
  <c r="M21" i="4"/>
  <c r="M23" i="4"/>
  <c r="M24" i="4"/>
  <c r="N25" i="4"/>
  <c r="M25" i="4"/>
  <c r="M45" i="4"/>
  <c r="M76" i="4"/>
  <c r="AI35" i="5"/>
  <c r="CD35" i="5" s="1"/>
  <c r="AB259" i="3"/>
  <c r="M20" i="4"/>
  <c r="N35" i="4"/>
  <c r="N43" i="4"/>
  <c r="M44" i="4"/>
  <c r="M48" i="4"/>
  <c r="M75" i="4"/>
  <c r="M77" i="4"/>
  <c r="M78" i="4"/>
  <c r="N79" i="4"/>
  <c r="M79" i="4"/>
  <c r="M99" i="4"/>
  <c r="N134" i="4"/>
  <c r="P219" i="3"/>
  <c r="AB222" i="3"/>
  <c r="P228" i="3"/>
  <c r="AB231" i="3"/>
  <c r="P237" i="3"/>
  <c r="AB240" i="3"/>
  <c r="AB243" i="3"/>
  <c r="AB246" i="3"/>
  <c r="AB249" i="3"/>
  <c r="AB252" i="3"/>
  <c r="M49" i="4"/>
  <c r="M52" i="4"/>
  <c r="M74" i="4"/>
  <c r="M123" i="4"/>
  <c r="N136" i="4"/>
  <c r="M138" i="4"/>
  <c r="N146" i="4"/>
  <c r="M203" i="4"/>
  <c r="M221" i="4"/>
  <c r="M14" i="4"/>
  <c r="M15" i="4"/>
  <c r="N16" i="4"/>
  <c r="M16" i="4"/>
  <c r="M32" i="4"/>
  <c r="N34" i="4"/>
  <c r="M35" i="4"/>
  <c r="M36" i="4"/>
  <c r="N52" i="4"/>
  <c r="M53" i="4"/>
  <c r="M54" i="4"/>
  <c r="M68" i="4"/>
  <c r="M69" i="4"/>
  <c r="N70" i="4"/>
  <c r="M70" i="4"/>
  <c r="M86" i="4"/>
  <c r="M87" i="4"/>
  <c r="N88" i="4"/>
  <c r="M88" i="4"/>
  <c r="M96" i="4"/>
  <c r="M102" i="4"/>
  <c r="M117" i="4"/>
  <c r="M119" i="4"/>
  <c r="N127" i="4"/>
  <c r="M127" i="4"/>
  <c r="N133" i="4"/>
  <c r="M133" i="4"/>
  <c r="M141" i="4"/>
  <c r="N148" i="4"/>
  <c r="M148" i="4"/>
  <c r="N156" i="4"/>
  <c r="N159" i="4"/>
  <c r="N195" i="4"/>
  <c r="N213" i="4"/>
  <c r="CA25" i="5"/>
  <c r="CH25" i="5" s="1"/>
  <c r="AB255" i="3"/>
  <c r="AB258" i="3"/>
  <c r="AB261" i="3"/>
  <c r="M17" i="4"/>
  <c r="M18" i="4"/>
  <c r="N19" i="4"/>
  <c r="M19" i="4"/>
  <c r="M33" i="4"/>
  <c r="N49" i="4"/>
  <c r="M50" i="4"/>
  <c r="M51" i="4"/>
  <c r="M71" i="4"/>
  <c r="M72" i="4"/>
  <c r="N73" i="4"/>
  <c r="M73" i="4"/>
  <c r="M89" i="4"/>
  <c r="M90" i="4"/>
  <c r="N91" i="4"/>
  <c r="M91" i="4"/>
  <c r="N97" i="4"/>
  <c r="M97" i="4"/>
  <c r="M104" i="4"/>
  <c r="M120" i="4"/>
  <c r="M122" i="4"/>
  <c r="M128" i="4"/>
  <c r="M134" i="4"/>
  <c r="M135" i="4"/>
  <c r="N142" i="4"/>
  <c r="M142" i="4"/>
  <c r="M149" i="4"/>
  <c r="M150" i="4"/>
  <c r="N171" i="4"/>
  <c r="M172" i="4"/>
  <c r="M173" i="4"/>
  <c r="N181" i="4"/>
  <c r="AI26" i="5"/>
  <c r="CD26" i="5" s="1"/>
  <c r="M8" i="4"/>
  <c r="M9" i="4"/>
  <c r="N10" i="4"/>
  <c r="M10" i="4"/>
  <c r="M26" i="4"/>
  <c r="M27" i="4"/>
  <c r="N28" i="4"/>
  <c r="M28" i="4"/>
  <c r="N40" i="4"/>
  <c r="M41" i="4"/>
  <c r="M42" i="4"/>
  <c r="N58" i="4"/>
  <c r="M59" i="4"/>
  <c r="M60" i="4"/>
  <c r="M63" i="4"/>
  <c r="N64" i="4"/>
  <c r="M64" i="4"/>
  <c r="M80" i="4"/>
  <c r="M81" i="4"/>
  <c r="N82" i="4"/>
  <c r="M82" i="4"/>
  <c r="N94" i="4"/>
  <c r="M94" i="4"/>
  <c r="N100" i="4"/>
  <c r="M100" i="4"/>
  <c r="M111" i="4"/>
  <c r="M113" i="4"/>
  <c r="M125" i="4"/>
  <c r="M131" i="4"/>
  <c r="N139" i="4"/>
  <c r="M139" i="4"/>
  <c r="N145" i="4"/>
  <c r="M145" i="4"/>
  <c r="N162" i="4"/>
  <c r="N178" i="4"/>
  <c r="CA16" i="5"/>
  <c r="CH16" i="5" s="1"/>
  <c r="CA43" i="5"/>
  <c r="CH43" i="5" s="1"/>
  <c r="M11" i="4"/>
  <c r="M12" i="4"/>
  <c r="N13" i="4"/>
  <c r="M13" i="4"/>
  <c r="M29" i="4"/>
  <c r="M30" i="4"/>
  <c r="N31" i="4"/>
  <c r="M31" i="4"/>
  <c r="N37" i="4"/>
  <c r="M38" i="4"/>
  <c r="M39" i="4"/>
  <c r="N55" i="4"/>
  <c r="M56" i="4"/>
  <c r="M57" i="4"/>
  <c r="M65" i="4"/>
  <c r="M66" i="4"/>
  <c r="N67" i="4"/>
  <c r="M67" i="4"/>
  <c r="M83" i="4"/>
  <c r="M84" i="4"/>
  <c r="N85" i="4"/>
  <c r="M85" i="4"/>
  <c r="M95" i="4"/>
  <c r="M101" i="4"/>
  <c r="M114" i="4"/>
  <c r="M116" i="4"/>
  <c r="M126" i="4"/>
  <c r="M132" i="4"/>
  <c r="M140" i="4"/>
  <c r="M146" i="4"/>
  <c r="M147" i="4"/>
  <c r="N154" i="4"/>
  <c r="M157" i="4"/>
  <c r="N180" i="4"/>
  <c r="AI17" i="5"/>
  <c r="CD17" i="5" s="1"/>
  <c r="X151" i="5"/>
  <c r="CC151" i="5" s="1"/>
  <c r="AI151" i="5"/>
  <c r="CD151" i="5" s="1"/>
  <c r="AT151" i="5"/>
  <c r="CE151" i="5" s="1"/>
  <c r="BE151" i="5"/>
  <c r="CF151" i="5" s="1"/>
  <c r="BP151" i="5"/>
  <c r="CG151" i="5" s="1"/>
  <c r="CA151" i="5"/>
  <c r="CH151" i="5" s="1"/>
  <c r="M151" i="5"/>
  <c r="CB151" i="5" s="1"/>
  <c r="AI31" i="5"/>
  <c r="CD31" i="5" s="1"/>
  <c r="AI40" i="5"/>
  <c r="CD40" i="5" s="1"/>
  <c r="CA81" i="5"/>
  <c r="CH81" i="5" s="1"/>
  <c r="M158" i="4"/>
  <c r="N168" i="4"/>
  <c r="M169" i="4"/>
  <c r="N183" i="4"/>
  <c r="M184" i="4"/>
  <c r="N192" i="4"/>
  <c r="M193" i="4"/>
  <c r="N201" i="4"/>
  <c r="M202" i="4"/>
  <c r="N210" i="4"/>
  <c r="M211" i="4"/>
  <c r="N219" i="4"/>
  <c r="M220" i="4"/>
  <c r="CA4" i="5"/>
  <c r="CH4" i="5" s="1"/>
  <c r="BE9" i="5"/>
  <c r="CF9" i="5" s="1"/>
  <c r="CA13" i="5"/>
  <c r="CH13" i="5" s="1"/>
  <c r="X13" i="5"/>
  <c r="CC13" i="5" s="1"/>
  <c r="BE18" i="5"/>
  <c r="CF18" i="5" s="1"/>
  <c r="CA22" i="5"/>
  <c r="CH22" i="5" s="1"/>
  <c r="BE25" i="5"/>
  <c r="CF25" i="5" s="1"/>
  <c r="BE27" i="5"/>
  <c r="CF27" i="5" s="1"/>
  <c r="CA31" i="5"/>
  <c r="CH31" i="5" s="1"/>
  <c r="AI33" i="5"/>
  <c r="CD33" i="5" s="1"/>
  <c r="BE34" i="5"/>
  <c r="CF34" i="5" s="1"/>
  <c r="BE36" i="5"/>
  <c r="CF36" i="5" s="1"/>
  <c r="CA40" i="5"/>
  <c r="CH40" i="5" s="1"/>
  <c r="AI42" i="5"/>
  <c r="CD42" i="5" s="1"/>
  <c r="BE43" i="5"/>
  <c r="CF43" i="5" s="1"/>
  <c r="AI46" i="5"/>
  <c r="CD46" i="5" s="1"/>
  <c r="BP76" i="5"/>
  <c r="CG76" i="5" s="1"/>
  <c r="M152" i="4"/>
  <c r="M164" i="4"/>
  <c r="N174" i="4"/>
  <c r="M176" i="4"/>
  <c r="M188" i="4"/>
  <c r="M197" i="4"/>
  <c r="M206" i="4"/>
  <c r="M215" i="4"/>
  <c r="M224" i="4"/>
  <c r="AI11" i="5"/>
  <c r="CD11" i="5" s="1"/>
  <c r="AI20" i="5"/>
  <c r="CD20" i="5" s="1"/>
  <c r="AI29" i="5"/>
  <c r="CD29" i="5" s="1"/>
  <c r="AI37" i="5"/>
  <c r="CD37" i="5" s="1"/>
  <c r="AI38" i="5"/>
  <c r="CD38" i="5" s="1"/>
  <c r="CA63" i="5"/>
  <c r="CH63" i="5" s="1"/>
  <c r="N153" i="4"/>
  <c r="M154" i="4"/>
  <c r="M155" i="4"/>
  <c r="N165" i="4"/>
  <c r="M166" i="4"/>
  <c r="N177" i="4"/>
  <c r="M178" i="4"/>
  <c r="M179" i="4"/>
  <c r="N189" i="4"/>
  <c r="M190" i="4"/>
  <c r="N198" i="4"/>
  <c r="M199" i="4"/>
  <c r="N207" i="4"/>
  <c r="M208" i="4"/>
  <c r="N216" i="4"/>
  <c r="M217" i="4"/>
  <c r="N225" i="4"/>
  <c r="BE6" i="5"/>
  <c r="CF6" i="5" s="1"/>
  <c r="CA10" i="5"/>
  <c r="CH10" i="5" s="1"/>
  <c r="BE15" i="5"/>
  <c r="CF15" i="5" s="1"/>
  <c r="CA19" i="5"/>
  <c r="CH19" i="5" s="1"/>
  <c r="BE24" i="5"/>
  <c r="CF24" i="5" s="1"/>
  <c r="CA28" i="5"/>
  <c r="CH28" i="5" s="1"/>
  <c r="BE33" i="5"/>
  <c r="CF33" i="5" s="1"/>
  <c r="CA37" i="5"/>
  <c r="CH37" i="5" s="1"/>
  <c r="BE42" i="5"/>
  <c r="CF42" i="5" s="1"/>
  <c r="AI79" i="5"/>
  <c r="CD79" i="5" s="1"/>
  <c r="X86" i="5"/>
  <c r="CC86" i="5" s="1"/>
  <c r="AT93" i="5"/>
  <c r="CE93" i="5" s="1"/>
  <c r="AI3" i="5"/>
  <c r="CD3" i="5" s="1"/>
  <c r="BE4" i="5"/>
  <c r="CF4" i="5" s="1"/>
  <c r="M5" i="5"/>
  <c r="CB5" i="5" s="1"/>
  <c r="CA5" i="5"/>
  <c r="CH5" i="5" s="1"/>
  <c r="AI6" i="5"/>
  <c r="CD6" i="5" s="1"/>
  <c r="BE7" i="5"/>
  <c r="CF7" i="5" s="1"/>
  <c r="M8" i="5"/>
  <c r="CB8" i="5" s="1"/>
  <c r="CA8" i="5"/>
  <c r="CH8" i="5" s="1"/>
  <c r="AI9" i="5"/>
  <c r="CD9" i="5" s="1"/>
  <c r="BE10" i="5"/>
  <c r="CF10" i="5" s="1"/>
  <c r="M11" i="5"/>
  <c r="CB11" i="5" s="1"/>
  <c r="CA11" i="5"/>
  <c r="CH11" i="5" s="1"/>
  <c r="AI12" i="5"/>
  <c r="CD12" i="5" s="1"/>
  <c r="BE13" i="5"/>
  <c r="CF13" i="5" s="1"/>
  <c r="M14" i="5"/>
  <c r="CB14" i="5" s="1"/>
  <c r="CA14" i="5"/>
  <c r="CH14" i="5" s="1"/>
  <c r="AI15" i="5"/>
  <c r="CD15" i="5" s="1"/>
  <c r="BE16" i="5"/>
  <c r="CF16" i="5" s="1"/>
  <c r="M17" i="5"/>
  <c r="CB17" i="5" s="1"/>
  <c r="CA17" i="5"/>
  <c r="CH17" i="5" s="1"/>
  <c r="AI18" i="5"/>
  <c r="CD18" i="5" s="1"/>
  <c r="BE19" i="5"/>
  <c r="CF19" i="5" s="1"/>
  <c r="M20" i="5"/>
  <c r="CB20" i="5" s="1"/>
  <c r="CA20" i="5"/>
  <c r="CH20" i="5" s="1"/>
  <c r="AI21" i="5"/>
  <c r="CD21" i="5" s="1"/>
  <c r="BE22" i="5"/>
  <c r="CF22" i="5" s="1"/>
  <c r="M23" i="5"/>
  <c r="CB23" i="5" s="1"/>
  <c r="CA23" i="5"/>
  <c r="CH23" i="5" s="1"/>
  <c r="AI24" i="5"/>
  <c r="CD24" i="5" s="1"/>
  <c r="M26" i="5"/>
  <c r="CB26" i="5" s="1"/>
  <c r="CA26" i="5"/>
  <c r="CH26" i="5" s="1"/>
  <c r="M29" i="5"/>
  <c r="CB29" i="5" s="1"/>
  <c r="CA29" i="5"/>
  <c r="CH29" i="5" s="1"/>
  <c r="M32" i="5"/>
  <c r="CB32" i="5" s="1"/>
  <c r="CA32" i="5"/>
  <c r="CH32" i="5" s="1"/>
  <c r="M35" i="5"/>
  <c r="CB35" i="5" s="1"/>
  <c r="CA35" i="5"/>
  <c r="CH35" i="5" s="1"/>
  <c r="M38" i="5"/>
  <c r="CB38" i="5" s="1"/>
  <c r="CA38" i="5"/>
  <c r="CH38" i="5" s="1"/>
  <c r="M41" i="5"/>
  <c r="CB41" i="5" s="1"/>
  <c r="CA41" i="5"/>
  <c r="CH41" i="5" s="1"/>
  <c r="BE44" i="5"/>
  <c r="CF44" i="5" s="1"/>
  <c r="CA44" i="5"/>
  <c r="CH44" i="5" s="1"/>
  <c r="M44" i="5"/>
  <c r="CB44" i="5" s="1"/>
  <c r="BP44" i="5"/>
  <c r="CG44" i="5" s="1"/>
  <c r="BP105" i="5"/>
  <c r="CG105" i="5" s="1"/>
  <c r="M153" i="4"/>
  <c r="M156" i="4"/>
  <c r="M159" i="4"/>
  <c r="M162" i="4"/>
  <c r="M165" i="4"/>
  <c r="M168" i="4"/>
  <c r="M171" i="4"/>
  <c r="M174" i="4"/>
  <c r="M177" i="4"/>
  <c r="M180" i="4"/>
  <c r="M183" i="4"/>
  <c r="M186" i="4"/>
  <c r="M189" i="4"/>
  <c r="M192" i="4"/>
  <c r="M195" i="4"/>
  <c r="M198" i="4"/>
  <c r="M201" i="4"/>
  <c r="M204" i="4"/>
  <c r="M207" i="4"/>
  <c r="M210" i="4"/>
  <c r="M213" i="4"/>
  <c r="M216" i="4"/>
  <c r="M219" i="4"/>
  <c r="M222" i="4"/>
  <c r="M225" i="4"/>
  <c r="M3" i="5"/>
  <c r="CB3" i="5" s="1"/>
  <c r="CA3" i="5"/>
  <c r="CH3" i="5" s="1"/>
  <c r="AI4" i="5"/>
  <c r="CD4" i="5" s="1"/>
  <c r="BE5" i="5"/>
  <c r="CF5" i="5" s="1"/>
  <c r="M6" i="5"/>
  <c r="CB6" i="5" s="1"/>
  <c r="CA6" i="5"/>
  <c r="CH6" i="5" s="1"/>
  <c r="AI7" i="5"/>
  <c r="CD7" i="5" s="1"/>
  <c r="BE8" i="5"/>
  <c r="CF8" i="5" s="1"/>
  <c r="M9" i="5"/>
  <c r="CB9" i="5" s="1"/>
  <c r="CA9" i="5"/>
  <c r="CH9" i="5" s="1"/>
  <c r="AI10" i="5"/>
  <c r="CD10" i="5" s="1"/>
  <c r="BE11" i="5"/>
  <c r="CF11" i="5" s="1"/>
  <c r="M12" i="5"/>
  <c r="CB12" i="5" s="1"/>
  <c r="CA12" i="5"/>
  <c r="CH12" i="5" s="1"/>
  <c r="AI13" i="5"/>
  <c r="CD13" i="5" s="1"/>
  <c r="BE14" i="5"/>
  <c r="CF14" i="5" s="1"/>
  <c r="M15" i="5"/>
  <c r="CB15" i="5" s="1"/>
  <c r="CA15" i="5"/>
  <c r="CH15" i="5" s="1"/>
  <c r="BE17" i="5"/>
  <c r="CF17" i="5" s="1"/>
  <c r="M18" i="5"/>
  <c r="CB18" i="5" s="1"/>
  <c r="CA18" i="5"/>
  <c r="CH18" i="5" s="1"/>
  <c r="AI19" i="5"/>
  <c r="CD19" i="5" s="1"/>
  <c r="BE20" i="5"/>
  <c r="CF20" i="5" s="1"/>
  <c r="M21" i="5"/>
  <c r="CB21" i="5" s="1"/>
  <c r="CA21" i="5"/>
  <c r="CH21" i="5" s="1"/>
  <c r="AI22" i="5"/>
  <c r="CD22" i="5" s="1"/>
  <c r="BE23" i="5"/>
  <c r="CF23" i="5" s="1"/>
  <c r="M24" i="5"/>
  <c r="CB24" i="5" s="1"/>
  <c r="CA24" i="5"/>
  <c r="CH24" i="5" s="1"/>
  <c r="AI25" i="5"/>
  <c r="CD25" i="5" s="1"/>
  <c r="BE26" i="5"/>
  <c r="CF26" i="5" s="1"/>
  <c r="M27" i="5"/>
  <c r="CB27" i="5" s="1"/>
  <c r="CA27" i="5"/>
  <c r="CH27" i="5" s="1"/>
  <c r="AI28" i="5"/>
  <c r="CD28" i="5" s="1"/>
  <c r="BE29" i="5"/>
  <c r="CF29" i="5" s="1"/>
  <c r="M30" i="5"/>
  <c r="CB30" i="5" s="1"/>
  <c r="CA30" i="5"/>
  <c r="CH30" i="5" s="1"/>
  <c r="BE32" i="5"/>
  <c r="CF32" i="5" s="1"/>
  <c r="M33" i="5"/>
  <c r="CB33" i="5" s="1"/>
  <c r="CA33" i="5"/>
  <c r="CH33" i="5" s="1"/>
  <c r="BE35" i="5"/>
  <c r="CF35" i="5" s="1"/>
  <c r="M36" i="5"/>
  <c r="CB36" i="5" s="1"/>
  <c r="CA36" i="5"/>
  <c r="CH36" i="5" s="1"/>
  <c r="BE38" i="5"/>
  <c r="CF38" i="5" s="1"/>
  <c r="M39" i="5"/>
  <c r="CB39" i="5" s="1"/>
  <c r="CA39" i="5"/>
  <c r="CH39" i="5" s="1"/>
  <c r="BE41" i="5"/>
  <c r="CF41" i="5" s="1"/>
  <c r="M42" i="5"/>
  <c r="CB42" i="5" s="1"/>
  <c r="CA42" i="5"/>
  <c r="CH42" i="5" s="1"/>
  <c r="CA45" i="5"/>
  <c r="CH45" i="5" s="1"/>
  <c r="AI64" i="5"/>
  <c r="CD64" i="5" s="1"/>
  <c r="AI82" i="5"/>
  <c r="CD82" i="5" s="1"/>
  <c r="BE89" i="5"/>
  <c r="CF89" i="5" s="1"/>
  <c r="CA95" i="5"/>
  <c r="CH95" i="5" s="1"/>
  <c r="BP143" i="5"/>
  <c r="CG143" i="5" s="1"/>
  <c r="BP3" i="5"/>
  <c r="CG3" i="5" s="1"/>
  <c r="X4" i="5"/>
  <c r="CC4" i="5" s="1"/>
  <c r="AT5" i="5"/>
  <c r="CE5" i="5" s="1"/>
  <c r="BP6" i="5"/>
  <c r="CG6" i="5" s="1"/>
  <c r="X7" i="5"/>
  <c r="CC7" i="5" s="1"/>
  <c r="AT8" i="5"/>
  <c r="CE8" i="5" s="1"/>
  <c r="BP9" i="5"/>
  <c r="CG9" i="5" s="1"/>
  <c r="X10" i="5"/>
  <c r="CC10" i="5" s="1"/>
  <c r="AT11" i="5"/>
  <c r="CE11" i="5" s="1"/>
  <c r="BP12" i="5"/>
  <c r="CG12" i="5" s="1"/>
  <c r="AT14" i="5"/>
  <c r="CE14" i="5" s="1"/>
  <c r="BP15" i="5"/>
  <c r="CG15" i="5" s="1"/>
  <c r="AT17" i="5"/>
  <c r="CE17" i="5" s="1"/>
  <c r="BP18" i="5"/>
  <c r="CG18" i="5" s="1"/>
  <c r="X19" i="5"/>
  <c r="CC19" i="5" s="1"/>
  <c r="AT20" i="5"/>
  <c r="CE20" i="5" s="1"/>
  <c r="BP21" i="5"/>
  <c r="CG21" i="5" s="1"/>
  <c r="X22" i="5"/>
  <c r="CC22" i="5" s="1"/>
  <c r="AT23" i="5"/>
  <c r="CE23" i="5" s="1"/>
  <c r="BP24" i="5"/>
  <c r="CG24" i="5" s="1"/>
  <c r="X25" i="5"/>
  <c r="CC25" i="5" s="1"/>
  <c r="AT26" i="5"/>
  <c r="CE26" i="5" s="1"/>
  <c r="BP27" i="5"/>
  <c r="CG27" i="5" s="1"/>
  <c r="X28" i="5"/>
  <c r="CC28" i="5" s="1"/>
  <c r="AT29" i="5"/>
  <c r="CE29" i="5" s="1"/>
  <c r="BP30" i="5"/>
  <c r="CG30" i="5" s="1"/>
  <c r="X31" i="5"/>
  <c r="CC31" i="5" s="1"/>
  <c r="AT32" i="5"/>
  <c r="CE32" i="5" s="1"/>
  <c r="BP33" i="5"/>
  <c r="CG33" i="5" s="1"/>
  <c r="X34" i="5"/>
  <c r="CC34" i="5" s="1"/>
  <c r="AT35" i="5"/>
  <c r="CE35" i="5" s="1"/>
  <c r="BP36" i="5"/>
  <c r="CG36" i="5" s="1"/>
  <c r="X37" i="5"/>
  <c r="CC37" i="5" s="1"/>
  <c r="AT38" i="5"/>
  <c r="CE38" i="5" s="1"/>
  <c r="BP39" i="5"/>
  <c r="CG39" i="5" s="1"/>
  <c r="X40" i="5"/>
  <c r="CC40" i="5" s="1"/>
  <c r="AT41" i="5"/>
  <c r="CE41" i="5" s="1"/>
  <c r="BP42" i="5"/>
  <c r="CG42" i="5" s="1"/>
  <c r="X43" i="5"/>
  <c r="CC43" i="5" s="1"/>
  <c r="AT44" i="5"/>
  <c r="CE44" i="5" s="1"/>
  <c r="AI49" i="5"/>
  <c r="CD49" i="5" s="1"/>
  <c r="CA57" i="5"/>
  <c r="CH57" i="5" s="1"/>
  <c r="AI67" i="5"/>
  <c r="CD67" i="5" s="1"/>
  <c r="BP70" i="5"/>
  <c r="CG70" i="5" s="1"/>
  <c r="CA75" i="5"/>
  <c r="CH75" i="5" s="1"/>
  <c r="X80" i="5"/>
  <c r="CC80" i="5" s="1"/>
  <c r="BE85" i="5"/>
  <c r="CF85" i="5" s="1"/>
  <c r="AI85" i="5"/>
  <c r="CD85" i="5" s="1"/>
  <c r="AT87" i="5"/>
  <c r="CE87" i="5" s="1"/>
  <c r="BP88" i="5"/>
  <c r="CG88" i="5" s="1"/>
  <c r="BE92" i="5"/>
  <c r="CF92" i="5" s="1"/>
  <c r="CA93" i="5"/>
  <c r="CH93" i="5" s="1"/>
  <c r="CA98" i="5"/>
  <c r="CH98" i="5" s="1"/>
  <c r="X98" i="5"/>
  <c r="CC98" i="5" s="1"/>
  <c r="X115" i="5"/>
  <c r="CC115" i="5" s="1"/>
  <c r="AI115" i="5"/>
  <c r="CD115" i="5" s="1"/>
  <c r="AT115" i="5"/>
  <c r="CE115" i="5" s="1"/>
  <c r="BE115" i="5"/>
  <c r="CF115" i="5" s="1"/>
  <c r="BP115" i="5"/>
  <c r="CG115" i="5" s="1"/>
  <c r="CA115" i="5"/>
  <c r="CH115" i="5" s="1"/>
  <c r="M115" i="5"/>
  <c r="CB115" i="5" s="1"/>
  <c r="M4" i="5"/>
  <c r="CB4" i="5" s="1"/>
  <c r="M7" i="5"/>
  <c r="CB7" i="5" s="1"/>
  <c r="M10" i="5"/>
  <c r="CB10" i="5" s="1"/>
  <c r="M13" i="5"/>
  <c r="CB13" i="5" s="1"/>
  <c r="M16" i="5"/>
  <c r="CB16" i="5" s="1"/>
  <c r="M19" i="5"/>
  <c r="CB19" i="5" s="1"/>
  <c r="M22" i="5"/>
  <c r="CB22" i="5" s="1"/>
  <c r="M25" i="5"/>
  <c r="CB25" i="5" s="1"/>
  <c r="M28" i="5"/>
  <c r="CB28" i="5" s="1"/>
  <c r="M31" i="5"/>
  <c r="CB31" i="5" s="1"/>
  <c r="M34" i="5"/>
  <c r="CB34" i="5" s="1"/>
  <c r="M37" i="5"/>
  <c r="CB37" i="5" s="1"/>
  <c r="M40" i="5"/>
  <c r="CB40" i="5" s="1"/>
  <c r="M43" i="5"/>
  <c r="CB43" i="5" s="1"/>
  <c r="AI44" i="5"/>
  <c r="CD44" i="5" s="1"/>
  <c r="CA48" i="5"/>
  <c r="CH48" i="5" s="1"/>
  <c r="AI52" i="5"/>
  <c r="CD52" i="5" s="1"/>
  <c r="CA60" i="5"/>
  <c r="CH60" i="5" s="1"/>
  <c r="X65" i="5"/>
  <c r="CC65" i="5" s="1"/>
  <c r="AI70" i="5"/>
  <c r="CD70" i="5" s="1"/>
  <c r="AT72" i="5"/>
  <c r="CE72" i="5" s="1"/>
  <c r="BP73" i="5"/>
  <c r="CG73" i="5" s="1"/>
  <c r="CA78" i="5"/>
  <c r="CH78" i="5" s="1"/>
  <c r="CA83" i="5"/>
  <c r="CH83" i="5" s="1"/>
  <c r="X83" i="5"/>
  <c r="CC83" i="5" s="1"/>
  <c r="BE88" i="5"/>
  <c r="CF88" i="5" s="1"/>
  <c r="AI88" i="5"/>
  <c r="CD88" i="5" s="1"/>
  <c r="AT90" i="5"/>
  <c r="CE90" i="5" s="1"/>
  <c r="BP91" i="5"/>
  <c r="CG91" i="5" s="1"/>
  <c r="BE95" i="5"/>
  <c r="CF95" i="5" s="1"/>
  <c r="CA96" i="5"/>
  <c r="CH96" i="5" s="1"/>
  <c r="X133" i="5"/>
  <c r="CC133" i="5" s="1"/>
  <c r="AI133" i="5"/>
  <c r="CD133" i="5" s="1"/>
  <c r="AT133" i="5"/>
  <c r="CE133" i="5" s="1"/>
  <c r="BE133" i="5"/>
  <c r="CF133" i="5" s="1"/>
  <c r="BP133" i="5"/>
  <c r="CG133" i="5" s="1"/>
  <c r="CA133" i="5"/>
  <c r="CH133" i="5" s="1"/>
  <c r="M133" i="5"/>
  <c r="CB133" i="5" s="1"/>
  <c r="BE45" i="5"/>
  <c r="CF45" i="5" s="1"/>
  <c r="M46" i="5"/>
  <c r="CB46" i="5" s="1"/>
  <c r="CA46" i="5"/>
  <c r="CH46" i="5" s="1"/>
  <c r="AI47" i="5"/>
  <c r="CD47" i="5" s="1"/>
  <c r="BE48" i="5"/>
  <c r="CF48" i="5" s="1"/>
  <c r="M49" i="5"/>
  <c r="CB49" i="5" s="1"/>
  <c r="CA49" i="5"/>
  <c r="CH49" i="5" s="1"/>
  <c r="AI50" i="5"/>
  <c r="CD50" i="5" s="1"/>
  <c r="BE51" i="5"/>
  <c r="CF51" i="5" s="1"/>
  <c r="M52" i="5"/>
  <c r="CB52" i="5" s="1"/>
  <c r="CA52" i="5"/>
  <c r="CH52" i="5" s="1"/>
  <c r="AI53" i="5"/>
  <c r="CD53" i="5" s="1"/>
  <c r="BE54" i="5"/>
  <c r="CF54" i="5" s="1"/>
  <c r="M55" i="5"/>
  <c r="CB55" i="5" s="1"/>
  <c r="CA55" i="5"/>
  <c r="CH55" i="5" s="1"/>
  <c r="AI56" i="5"/>
  <c r="CD56" i="5" s="1"/>
  <c r="BE57" i="5"/>
  <c r="CF57" i="5" s="1"/>
  <c r="M58" i="5"/>
  <c r="CB58" i="5" s="1"/>
  <c r="CA58" i="5"/>
  <c r="CH58" i="5" s="1"/>
  <c r="AI59" i="5"/>
  <c r="CD59" i="5" s="1"/>
  <c r="BE60" i="5"/>
  <c r="CF60" i="5" s="1"/>
  <c r="M61" i="5"/>
  <c r="CB61" i="5" s="1"/>
  <c r="CA61" i="5"/>
  <c r="CH61" i="5" s="1"/>
  <c r="AI62" i="5"/>
  <c r="CD62" i="5" s="1"/>
  <c r="BE63" i="5"/>
  <c r="CF63" i="5" s="1"/>
  <c r="M64" i="5"/>
  <c r="CB64" i="5" s="1"/>
  <c r="CA64" i="5"/>
  <c r="CH64" i="5" s="1"/>
  <c r="AI65" i="5"/>
  <c r="CD65" i="5" s="1"/>
  <c r="BE66" i="5"/>
  <c r="CF66" i="5" s="1"/>
  <c r="M67" i="5"/>
  <c r="CB67" i="5" s="1"/>
  <c r="CA67" i="5"/>
  <c r="CH67" i="5" s="1"/>
  <c r="AI68" i="5"/>
  <c r="CD68" i="5" s="1"/>
  <c r="BE69" i="5"/>
  <c r="CF69" i="5" s="1"/>
  <c r="M70" i="5"/>
  <c r="CB70" i="5" s="1"/>
  <c r="CA70" i="5"/>
  <c r="CH70" i="5" s="1"/>
  <c r="AI71" i="5"/>
  <c r="CD71" i="5" s="1"/>
  <c r="BE72" i="5"/>
  <c r="CF72" i="5" s="1"/>
  <c r="M73" i="5"/>
  <c r="CB73" i="5" s="1"/>
  <c r="CA73" i="5"/>
  <c r="CH73" i="5" s="1"/>
  <c r="AI74" i="5"/>
  <c r="CD74" i="5" s="1"/>
  <c r="BE75" i="5"/>
  <c r="CF75" i="5" s="1"/>
  <c r="M76" i="5"/>
  <c r="CB76" i="5" s="1"/>
  <c r="CA76" i="5"/>
  <c r="CH76" i="5" s="1"/>
  <c r="AI77" i="5"/>
  <c r="CD77" i="5" s="1"/>
  <c r="BE78" i="5"/>
  <c r="CF78" i="5" s="1"/>
  <c r="M79" i="5"/>
  <c r="CB79" i="5" s="1"/>
  <c r="CA79" i="5"/>
  <c r="CH79" i="5" s="1"/>
  <c r="AI80" i="5"/>
  <c r="CD80" i="5" s="1"/>
  <c r="BE81" i="5"/>
  <c r="CF81" i="5" s="1"/>
  <c r="M82" i="5"/>
  <c r="CB82" i="5" s="1"/>
  <c r="CA82" i="5"/>
  <c r="CH82" i="5" s="1"/>
  <c r="AI83" i="5"/>
  <c r="CD83" i="5" s="1"/>
  <c r="BE84" i="5"/>
  <c r="CF84" i="5" s="1"/>
  <c r="M85" i="5"/>
  <c r="CB85" i="5" s="1"/>
  <c r="CA85" i="5"/>
  <c r="CH85" i="5" s="1"/>
  <c r="AI86" i="5"/>
  <c r="CD86" i="5" s="1"/>
  <c r="BE87" i="5"/>
  <c r="CF87" i="5" s="1"/>
  <c r="M88" i="5"/>
  <c r="CB88" i="5" s="1"/>
  <c r="CA88" i="5"/>
  <c r="CH88" i="5" s="1"/>
  <c r="AI89" i="5"/>
  <c r="CD89" i="5" s="1"/>
  <c r="BE90" i="5"/>
  <c r="CF90" i="5" s="1"/>
  <c r="M91" i="5"/>
  <c r="CB91" i="5" s="1"/>
  <c r="CA91" i="5"/>
  <c r="CH91" i="5" s="1"/>
  <c r="AI92" i="5"/>
  <c r="CD92" i="5" s="1"/>
  <c r="BE93" i="5"/>
  <c r="CF93" i="5" s="1"/>
  <c r="M94" i="5"/>
  <c r="CB94" i="5" s="1"/>
  <c r="AI95" i="5"/>
  <c r="CD95" i="5" s="1"/>
  <c r="BE96" i="5"/>
  <c r="CF96" i="5" s="1"/>
  <c r="M97" i="5"/>
  <c r="CB97" i="5" s="1"/>
  <c r="AI98" i="5"/>
  <c r="CD98" i="5" s="1"/>
  <c r="BP99" i="5"/>
  <c r="CG99" i="5" s="1"/>
  <c r="AI106" i="5"/>
  <c r="CD106" i="5" s="1"/>
  <c r="AT106" i="5"/>
  <c r="CE106" i="5" s="1"/>
  <c r="BE106" i="5"/>
  <c r="CF106" i="5" s="1"/>
  <c r="BP106" i="5"/>
  <c r="CG106" i="5" s="1"/>
  <c r="M106" i="5"/>
  <c r="CB106" i="5" s="1"/>
  <c r="BE110" i="5"/>
  <c r="CF110" i="5" s="1"/>
  <c r="BP114" i="5"/>
  <c r="CG114" i="5" s="1"/>
  <c r="X118" i="5"/>
  <c r="CC118" i="5" s="1"/>
  <c r="AI118" i="5"/>
  <c r="CD118" i="5" s="1"/>
  <c r="AT118" i="5"/>
  <c r="CE118" i="5" s="1"/>
  <c r="BE118" i="5"/>
  <c r="CF118" i="5" s="1"/>
  <c r="BP118" i="5"/>
  <c r="CG118" i="5" s="1"/>
  <c r="M118" i="5"/>
  <c r="CB118" i="5" s="1"/>
  <c r="CA123" i="5"/>
  <c r="CH123" i="5" s="1"/>
  <c r="AT125" i="5"/>
  <c r="CE125" i="5" s="1"/>
  <c r="BE128" i="5"/>
  <c r="CF128" i="5" s="1"/>
  <c r="BP132" i="5"/>
  <c r="CG132" i="5" s="1"/>
  <c r="X136" i="5"/>
  <c r="CC136" i="5" s="1"/>
  <c r="AI136" i="5"/>
  <c r="CD136" i="5" s="1"/>
  <c r="AT136" i="5"/>
  <c r="CE136" i="5" s="1"/>
  <c r="BE136" i="5"/>
  <c r="CF136" i="5" s="1"/>
  <c r="BP136" i="5"/>
  <c r="CG136" i="5" s="1"/>
  <c r="M136" i="5"/>
  <c r="CB136" i="5" s="1"/>
  <c r="X140" i="5"/>
  <c r="CC140" i="5" s="1"/>
  <c r="CA141" i="5"/>
  <c r="CH141" i="5" s="1"/>
  <c r="AT143" i="5"/>
  <c r="CE143" i="5" s="1"/>
  <c r="AT147" i="5"/>
  <c r="CE147" i="5" s="1"/>
  <c r="BP150" i="5"/>
  <c r="CG150" i="5" s="1"/>
  <c r="X154" i="5"/>
  <c r="CC154" i="5" s="1"/>
  <c r="AI154" i="5"/>
  <c r="CD154" i="5" s="1"/>
  <c r="AT154" i="5"/>
  <c r="CE154" i="5" s="1"/>
  <c r="BE154" i="5"/>
  <c r="CF154" i="5" s="1"/>
  <c r="BP154" i="5"/>
  <c r="CG154" i="5" s="1"/>
  <c r="M154" i="5"/>
  <c r="CB154" i="5" s="1"/>
  <c r="AT45" i="5"/>
  <c r="CE45" i="5" s="1"/>
  <c r="BP46" i="5"/>
  <c r="CG46" i="5" s="1"/>
  <c r="X47" i="5"/>
  <c r="CC47" i="5" s="1"/>
  <c r="AT48" i="5"/>
  <c r="CE48" i="5" s="1"/>
  <c r="BP49" i="5"/>
  <c r="CG49" i="5" s="1"/>
  <c r="X50" i="5"/>
  <c r="CC50" i="5" s="1"/>
  <c r="AT51" i="5"/>
  <c r="CE51" i="5" s="1"/>
  <c r="BP52" i="5"/>
  <c r="CG52" i="5" s="1"/>
  <c r="AT54" i="5"/>
  <c r="CE54" i="5" s="1"/>
  <c r="BP55" i="5"/>
  <c r="CG55" i="5" s="1"/>
  <c r="X56" i="5"/>
  <c r="CC56" i="5" s="1"/>
  <c r="AT57" i="5"/>
  <c r="CE57" i="5" s="1"/>
  <c r="BP58" i="5"/>
  <c r="CG58" i="5" s="1"/>
  <c r="X59" i="5"/>
  <c r="CC59" i="5" s="1"/>
  <c r="AT60" i="5"/>
  <c r="CE60" i="5" s="1"/>
  <c r="BP61" i="5"/>
  <c r="CG61" i="5" s="1"/>
  <c r="X62" i="5"/>
  <c r="CC62" i="5" s="1"/>
  <c r="AT63" i="5"/>
  <c r="CE63" i="5" s="1"/>
  <c r="AT66" i="5"/>
  <c r="CE66" i="5" s="1"/>
  <c r="BP67" i="5"/>
  <c r="CG67" i="5" s="1"/>
  <c r="AT69" i="5"/>
  <c r="CE69" i="5" s="1"/>
  <c r="BE101" i="5"/>
  <c r="CF101" i="5" s="1"/>
  <c r="CA105" i="5"/>
  <c r="CH105" i="5" s="1"/>
  <c r="X121" i="5"/>
  <c r="CC121" i="5" s="1"/>
  <c r="AI121" i="5"/>
  <c r="CD121" i="5" s="1"/>
  <c r="AT121" i="5"/>
  <c r="CE121" i="5" s="1"/>
  <c r="BE121" i="5"/>
  <c r="CF121" i="5" s="1"/>
  <c r="BP121" i="5"/>
  <c r="CG121" i="5" s="1"/>
  <c r="M121" i="5"/>
  <c r="CB121" i="5" s="1"/>
  <c r="X139" i="5"/>
  <c r="CC139" i="5" s="1"/>
  <c r="AI139" i="5"/>
  <c r="CD139" i="5" s="1"/>
  <c r="AT139" i="5"/>
  <c r="CE139" i="5" s="1"/>
  <c r="BE139" i="5"/>
  <c r="CF139" i="5" s="1"/>
  <c r="BP139" i="5"/>
  <c r="CG139" i="5" s="1"/>
  <c r="M139" i="5"/>
  <c r="CB139" i="5" s="1"/>
  <c r="CA144" i="5"/>
  <c r="CH144" i="5" s="1"/>
  <c r="AI45" i="5"/>
  <c r="CD45" i="5" s="1"/>
  <c r="BE46" i="5"/>
  <c r="CF46" i="5" s="1"/>
  <c r="M47" i="5"/>
  <c r="CB47" i="5" s="1"/>
  <c r="CA47" i="5"/>
  <c r="CH47" i="5" s="1"/>
  <c r="AI48" i="5"/>
  <c r="CD48" i="5" s="1"/>
  <c r="BE49" i="5"/>
  <c r="CF49" i="5" s="1"/>
  <c r="M50" i="5"/>
  <c r="CB50" i="5" s="1"/>
  <c r="CA50" i="5"/>
  <c r="CH50" i="5" s="1"/>
  <c r="AI51" i="5"/>
  <c r="CD51" i="5" s="1"/>
  <c r="BE52" i="5"/>
  <c r="CF52" i="5" s="1"/>
  <c r="M53" i="5"/>
  <c r="CB53" i="5" s="1"/>
  <c r="CA53" i="5"/>
  <c r="CH53" i="5" s="1"/>
  <c r="AI54" i="5"/>
  <c r="CD54" i="5" s="1"/>
  <c r="BE55" i="5"/>
  <c r="CF55" i="5" s="1"/>
  <c r="M56" i="5"/>
  <c r="CB56" i="5" s="1"/>
  <c r="CA56" i="5"/>
  <c r="CH56" i="5" s="1"/>
  <c r="AI57" i="5"/>
  <c r="CD57" i="5" s="1"/>
  <c r="BE58" i="5"/>
  <c r="CF58" i="5" s="1"/>
  <c r="M59" i="5"/>
  <c r="CB59" i="5" s="1"/>
  <c r="CA59" i="5"/>
  <c r="CH59" i="5" s="1"/>
  <c r="AI60" i="5"/>
  <c r="CD60" i="5" s="1"/>
  <c r="M62" i="5"/>
  <c r="CB62" i="5" s="1"/>
  <c r="CA62" i="5"/>
  <c r="CH62" i="5" s="1"/>
  <c r="AI63" i="5"/>
  <c r="CD63" i="5" s="1"/>
  <c r="M65" i="5"/>
  <c r="CB65" i="5" s="1"/>
  <c r="CA65" i="5"/>
  <c r="CH65" i="5" s="1"/>
  <c r="AI66" i="5"/>
  <c r="CD66" i="5" s="1"/>
  <c r="BE67" i="5"/>
  <c r="CF67" i="5" s="1"/>
  <c r="M68" i="5"/>
  <c r="CB68" i="5" s="1"/>
  <c r="CA68" i="5"/>
  <c r="CH68" i="5" s="1"/>
  <c r="AI69" i="5"/>
  <c r="CD69" i="5" s="1"/>
  <c r="BE70" i="5"/>
  <c r="CF70" i="5" s="1"/>
  <c r="M71" i="5"/>
  <c r="CB71" i="5" s="1"/>
  <c r="CA71" i="5"/>
  <c r="CH71" i="5" s="1"/>
  <c r="AI72" i="5"/>
  <c r="CD72" i="5" s="1"/>
  <c r="BE73" i="5"/>
  <c r="CF73" i="5" s="1"/>
  <c r="M74" i="5"/>
  <c r="CB74" i="5" s="1"/>
  <c r="CA74" i="5"/>
  <c r="CH74" i="5" s="1"/>
  <c r="AI75" i="5"/>
  <c r="CD75" i="5" s="1"/>
  <c r="BE76" i="5"/>
  <c r="CF76" i="5" s="1"/>
  <c r="M77" i="5"/>
  <c r="CB77" i="5" s="1"/>
  <c r="CA77" i="5"/>
  <c r="CH77" i="5" s="1"/>
  <c r="AI78" i="5"/>
  <c r="CD78" i="5" s="1"/>
  <c r="BE79" i="5"/>
  <c r="CF79" i="5" s="1"/>
  <c r="M80" i="5"/>
  <c r="CB80" i="5" s="1"/>
  <c r="CA80" i="5"/>
  <c r="CH80" i="5" s="1"/>
  <c r="AI81" i="5"/>
  <c r="CD81" i="5" s="1"/>
  <c r="BE82" i="5"/>
  <c r="CF82" i="5" s="1"/>
  <c r="M83" i="5"/>
  <c r="CB83" i="5" s="1"/>
  <c r="AI84" i="5"/>
  <c r="CD84" i="5" s="1"/>
  <c r="M86" i="5"/>
  <c r="CB86" i="5" s="1"/>
  <c r="AI87" i="5"/>
  <c r="CD87" i="5" s="1"/>
  <c r="M89" i="5"/>
  <c r="CB89" i="5" s="1"/>
  <c r="AI90" i="5"/>
  <c r="CD90" i="5" s="1"/>
  <c r="M92" i="5"/>
  <c r="CB92" i="5" s="1"/>
  <c r="AI93" i="5"/>
  <c r="CD93" i="5" s="1"/>
  <c r="M95" i="5"/>
  <c r="CB95" i="5" s="1"/>
  <c r="AI96" i="5"/>
  <c r="CD96" i="5" s="1"/>
  <c r="M98" i="5"/>
  <c r="CB98" i="5" s="1"/>
  <c r="AI100" i="5"/>
  <c r="CD100" i="5" s="1"/>
  <c r="AT100" i="5"/>
  <c r="CE100" i="5" s="1"/>
  <c r="BE100" i="5"/>
  <c r="CF100" i="5" s="1"/>
  <c r="BP100" i="5"/>
  <c r="CG100" i="5" s="1"/>
  <c r="M100" i="5"/>
  <c r="CB100" i="5" s="1"/>
  <c r="AI109" i="5"/>
  <c r="CD109" i="5" s="1"/>
  <c r="AT109" i="5"/>
  <c r="CE109" i="5" s="1"/>
  <c r="BE109" i="5"/>
  <c r="CF109" i="5" s="1"/>
  <c r="BP109" i="5"/>
  <c r="CG109" i="5" s="1"/>
  <c r="M109" i="5"/>
  <c r="CB109" i="5" s="1"/>
  <c r="CA111" i="5"/>
  <c r="CH111" i="5" s="1"/>
  <c r="AT113" i="5"/>
  <c r="CE113" i="5" s="1"/>
  <c r="BE116" i="5"/>
  <c r="CF116" i="5" s="1"/>
  <c r="BP120" i="5"/>
  <c r="CG120" i="5" s="1"/>
  <c r="CA121" i="5"/>
  <c r="CH121" i="5" s="1"/>
  <c r="X124" i="5"/>
  <c r="CC124" i="5" s="1"/>
  <c r="AI124" i="5"/>
  <c r="CD124" i="5" s="1"/>
  <c r="AT124" i="5"/>
  <c r="CE124" i="5" s="1"/>
  <c r="BE124" i="5"/>
  <c r="CF124" i="5" s="1"/>
  <c r="BP124" i="5"/>
  <c r="CG124" i="5" s="1"/>
  <c r="M124" i="5"/>
  <c r="CB124" i="5" s="1"/>
  <c r="CA129" i="5"/>
  <c r="CH129" i="5" s="1"/>
  <c r="AT131" i="5"/>
  <c r="CE131" i="5" s="1"/>
  <c r="BE134" i="5"/>
  <c r="CF134" i="5" s="1"/>
  <c r="AT135" i="5"/>
  <c r="CE135" i="5" s="1"/>
  <c r="BP138" i="5"/>
  <c r="CG138" i="5" s="1"/>
  <c r="CA139" i="5"/>
  <c r="CH139" i="5" s="1"/>
  <c r="X142" i="5"/>
  <c r="CC142" i="5" s="1"/>
  <c r="AI142" i="5"/>
  <c r="CD142" i="5" s="1"/>
  <c r="AT142" i="5"/>
  <c r="CE142" i="5" s="1"/>
  <c r="BE142" i="5"/>
  <c r="CF142" i="5" s="1"/>
  <c r="BP142" i="5"/>
  <c r="CG142" i="5" s="1"/>
  <c r="M142" i="5"/>
  <c r="CB142" i="5" s="1"/>
  <c r="X146" i="5"/>
  <c r="CC146" i="5" s="1"/>
  <c r="CA147" i="5"/>
  <c r="CH147" i="5" s="1"/>
  <c r="AT149" i="5"/>
  <c r="CE149" i="5" s="1"/>
  <c r="AT153" i="5"/>
  <c r="CE153" i="5" s="1"/>
  <c r="CA99" i="5"/>
  <c r="CH99" i="5" s="1"/>
  <c r="M99" i="5"/>
  <c r="CB99" i="5" s="1"/>
  <c r="X99" i="5"/>
  <c r="CC99" i="5" s="1"/>
  <c r="AI99" i="5"/>
  <c r="CD99" i="5" s="1"/>
  <c r="AT99" i="5"/>
  <c r="CE99" i="5" s="1"/>
  <c r="BE104" i="5"/>
  <c r="CF104" i="5" s="1"/>
  <c r="X127" i="5"/>
  <c r="CC127" i="5" s="1"/>
  <c r="AI127" i="5"/>
  <c r="CD127" i="5" s="1"/>
  <c r="AT127" i="5"/>
  <c r="CE127" i="5" s="1"/>
  <c r="BE127" i="5"/>
  <c r="CF127" i="5" s="1"/>
  <c r="BP127" i="5"/>
  <c r="CG127" i="5" s="1"/>
  <c r="M127" i="5"/>
  <c r="CB127" i="5" s="1"/>
  <c r="X145" i="5"/>
  <c r="CC145" i="5" s="1"/>
  <c r="AI145" i="5"/>
  <c r="CD145" i="5" s="1"/>
  <c r="AT145" i="5"/>
  <c r="CE145" i="5" s="1"/>
  <c r="BE145" i="5"/>
  <c r="CF145" i="5" s="1"/>
  <c r="BP145" i="5"/>
  <c r="CG145" i="5" s="1"/>
  <c r="M145" i="5"/>
  <c r="CB145" i="5" s="1"/>
  <c r="M45" i="5"/>
  <c r="CB45" i="5" s="1"/>
  <c r="M48" i="5"/>
  <c r="CB48" i="5" s="1"/>
  <c r="M51" i="5"/>
  <c r="CB51" i="5" s="1"/>
  <c r="M54" i="5"/>
  <c r="CB54" i="5" s="1"/>
  <c r="M57" i="5"/>
  <c r="CB57" i="5" s="1"/>
  <c r="M60" i="5"/>
  <c r="CB60" i="5" s="1"/>
  <c r="M63" i="5"/>
  <c r="CB63" i="5" s="1"/>
  <c r="M66" i="5"/>
  <c r="CB66" i="5" s="1"/>
  <c r="M69" i="5"/>
  <c r="CB69" i="5" s="1"/>
  <c r="M72" i="5"/>
  <c r="CB72" i="5" s="1"/>
  <c r="M75" i="5"/>
  <c r="CB75" i="5" s="1"/>
  <c r="M78" i="5"/>
  <c r="CB78" i="5" s="1"/>
  <c r="M81" i="5"/>
  <c r="CB81" i="5" s="1"/>
  <c r="M84" i="5"/>
  <c r="CB84" i="5" s="1"/>
  <c r="M87" i="5"/>
  <c r="CB87" i="5" s="1"/>
  <c r="M90" i="5"/>
  <c r="CB90" i="5" s="1"/>
  <c r="M93" i="5"/>
  <c r="CB93" i="5" s="1"/>
  <c r="M96" i="5"/>
  <c r="CB96" i="5" s="1"/>
  <c r="AI103" i="5"/>
  <c r="CD103" i="5" s="1"/>
  <c r="AT103" i="5"/>
  <c r="CE103" i="5" s="1"/>
  <c r="BE103" i="5"/>
  <c r="CF103" i="5" s="1"/>
  <c r="BP103" i="5"/>
  <c r="CG103" i="5" s="1"/>
  <c r="M103" i="5"/>
  <c r="CB103" i="5" s="1"/>
  <c r="X112" i="5"/>
  <c r="CC112" i="5" s="1"/>
  <c r="AI112" i="5"/>
  <c r="CD112" i="5" s="1"/>
  <c r="AT112" i="5"/>
  <c r="CE112" i="5" s="1"/>
  <c r="BE112" i="5"/>
  <c r="CF112" i="5" s="1"/>
  <c r="BP112" i="5"/>
  <c r="CG112" i="5" s="1"/>
  <c r="M112" i="5"/>
  <c r="CB112" i="5" s="1"/>
  <c r="CA117" i="5"/>
  <c r="CH117" i="5" s="1"/>
  <c r="X117" i="5"/>
  <c r="CC117" i="5" s="1"/>
  <c r="AT119" i="5"/>
  <c r="CE119" i="5" s="1"/>
  <c r="BE122" i="5"/>
  <c r="CF122" i="5" s="1"/>
  <c r="BP126" i="5"/>
  <c r="CG126" i="5" s="1"/>
  <c r="CA127" i="5"/>
  <c r="CH127" i="5" s="1"/>
  <c r="X130" i="5"/>
  <c r="CC130" i="5" s="1"/>
  <c r="AI130" i="5"/>
  <c r="CD130" i="5" s="1"/>
  <c r="AT130" i="5"/>
  <c r="CE130" i="5" s="1"/>
  <c r="BE130" i="5"/>
  <c r="CF130" i="5" s="1"/>
  <c r="BP130" i="5"/>
  <c r="CG130" i="5" s="1"/>
  <c r="M130" i="5"/>
  <c r="CB130" i="5" s="1"/>
  <c r="X134" i="5"/>
  <c r="CC134" i="5" s="1"/>
  <c r="AT137" i="5"/>
  <c r="CE137" i="5" s="1"/>
  <c r="BE140" i="5"/>
  <c r="CF140" i="5" s="1"/>
  <c r="AT141" i="5"/>
  <c r="CE141" i="5" s="1"/>
  <c r="BP144" i="5"/>
  <c r="CG144" i="5" s="1"/>
  <c r="CA145" i="5"/>
  <c r="CH145" i="5" s="1"/>
  <c r="X148" i="5"/>
  <c r="CC148" i="5" s="1"/>
  <c r="AI148" i="5"/>
  <c r="CD148" i="5" s="1"/>
  <c r="AT148" i="5"/>
  <c r="CE148" i="5" s="1"/>
  <c r="BE148" i="5"/>
  <c r="CF148" i="5" s="1"/>
  <c r="BP148" i="5"/>
  <c r="CG148" i="5" s="1"/>
  <c r="M148" i="5"/>
  <c r="CB148" i="5" s="1"/>
  <c r="X152" i="5"/>
  <c r="CC152" i="5" s="1"/>
  <c r="X191" i="5"/>
  <c r="CC191" i="5" s="1"/>
  <c r="AI191" i="5"/>
  <c r="CD191" i="5" s="1"/>
  <c r="AT191" i="5"/>
  <c r="CE191" i="5" s="1"/>
  <c r="CA191" i="5"/>
  <c r="CH191" i="5" s="1"/>
  <c r="BE191" i="5"/>
  <c r="CF191" i="5" s="1"/>
  <c r="BP191" i="5"/>
  <c r="CG191" i="5" s="1"/>
  <c r="M191" i="5"/>
  <c r="CB191" i="5" s="1"/>
  <c r="X101" i="5"/>
  <c r="CC101" i="5" s="1"/>
  <c r="AT102" i="5"/>
  <c r="CE102" i="5" s="1"/>
  <c r="X104" i="5"/>
  <c r="CC104" i="5" s="1"/>
  <c r="AT105" i="5"/>
  <c r="CE105" i="5" s="1"/>
  <c r="X107" i="5"/>
  <c r="CC107" i="5" s="1"/>
  <c r="AT108" i="5"/>
  <c r="CE108" i="5" s="1"/>
  <c r="X110" i="5"/>
  <c r="CC110" i="5" s="1"/>
  <c r="AT111" i="5"/>
  <c r="CE111" i="5" s="1"/>
  <c r="X113" i="5"/>
  <c r="CC113" i="5" s="1"/>
  <c r="AT114" i="5"/>
  <c r="CE114" i="5" s="1"/>
  <c r="X116" i="5"/>
  <c r="CC116" i="5" s="1"/>
  <c r="AT117" i="5"/>
  <c r="CE117" i="5" s="1"/>
  <c r="X119" i="5"/>
  <c r="CC119" i="5" s="1"/>
  <c r="AT120" i="5"/>
  <c r="CE120" i="5" s="1"/>
  <c r="X122" i="5"/>
  <c r="CC122" i="5" s="1"/>
  <c r="AT123" i="5"/>
  <c r="CE123" i="5" s="1"/>
  <c r="AT126" i="5"/>
  <c r="CE126" i="5" s="1"/>
  <c r="X128" i="5"/>
  <c r="CC128" i="5" s="1"/>
  <c r="AT129" i="5"/>
  <c r="CE129" i="5" s="1"/>
  <c r="X131" i="5"/>
  <c r="CC131" i="5" s="1"/>
  <c r="AT132" i="5"/>
  <c r="CE132" i="5" s="1"/>
  <c r="CA160" i="5"/>
  <c r="CH160" i="5" s="1"/>
  <c r="CA169" i="5"/>
  <c r="CH169" i="5" s="1"/>
  <c r="CA174" i="5"/>
  <c r="CH174" i="5" s="1"/>
  <c r="CA178" i="5"/>
  <c r="CH178" i="5" s="1"/>
  <c r="CA183" i="5"/>
  <c r="CH183" i="5" s="1"/>
  <c r="X197" i="5"/>
  <c r="CC197" i="5" s="1"/>
  <c r="AI197" i="5"/>
  <c r="CD197" i="5" s="1"/>
  <c r="AT197" i="5"/>
  <c r="CE197" i="5" s="1"/>
  <c r="BP197" i="5"/>
  <c r="CG197" i="5" s="1"/>
  <c r="CA197" i="5"/>
  <c r="CH197" i="5" s="1"/>
  <c r="BE197" i="5"/>
  <c r="CF197" i="5" s="1"/>
  <c r="M197" i="5"/>
  <c r="CB197" i="5" s="1"/>
  <c r="M101" i="5"/>
  <c r="CB101" i="5" s="1"/>
  <c r="CA101" i="5"/>
  <c r="CH101" i="5" s="1"/>
  <c r="AI102" i="5"/>
  <c r="CD102" i="5" s="1"/>
  <c r="M104" i="5"/>
  <c r="CB104" i="5" s="1"/>
  <c r="CA104" i="5"/>
  <c r="CH104" i="5" s="1"/>
  <c r="AI105" i="5"/>
  <c r="CD105" i="5" s="1"/>
  <c r="M107" i="5"/>
  <c r="CB107" i="5" s="1"/>
  <c r="CA107" i="5"/>
  <c r="CH107" i="5" s="1"/>
  <c r="AI108" i="5"/>
  <c r="CD108" i="5" s="1"/>
  <c r="M110" i="5"/>
  <c r="CB110" i="5" s="1"/>
  <c r="CA110" i="5"/>
  <c r="CH110" i="5" s="1"/>
  <c r="AI111" i="5"/>
  <c r="CD111" i="5" s="1"/>
  <c r="M113" i="5"/>
  <c r="CB113" i="5" s="1"/>
  <c r="CA113" i="5"/>
  <c r="CH113" i="5" s="1"/>
  <c r="AI114" i="5"/>
  <c r="CD114" i="5" s="1"/>
  <c r="M116" i="5"/>
  <c r="CB116" i="5" s="1"/>
  <c r="CA116" i="5"/>
  <c r="CH116" i="5" s="1"/>
  <c r="AI117" i="5"/>
  <c r="CD117" i="5" s="1"/>
  <c r="M119" i="5"/>
  <c r="CB119" i="5" s="1"/>
  <c r="CA119" i="5"/>
  <c r="CH119" i="5" s="1"/>
  <c r="AI120" i="5"/>
  <c r="CD120" i="5" s="1"/>
  <c r="M122" i="5"/>
  <c r="CB122" i="5" s="1"/>
  <c r="CA122" i="5"/>
  <c r="CH122" i="5" s="1"/>
  <c r="AI123" i="5"/>
  <c r="CD123" i="5" s="1"/>
  <c r="M125" i="5"/>
  <c r="CB125" i="5" s="1"/>
  <c r="CA125" i="5"/>
  <c r="CH125" i="5" s="1"/>
  <c r="AI126" i="5"/>
  <c r="CD126" i="5" s="1"/>
  <c r="M128" i="5"/>
  <c r="CB128" i="5" s="1"/>
  <c r="CA128" i="5"/>
  <c r="CH128" i="5" s="1"/>
  <c r="AI129" i="5"/>
  <c r="CD129" i="5" s="1"/>
  <c r="M131" i="5"/>
  <c r="CB131" i="5" s="1"/>
  <c r="CA131" i="5"/>
  <c r="CH131" i="5" s="1"/>
  <c r="AI132" i="5"/>
  <c r="CD132" i="5" s="1"/>
  <c r="M134" i="5"/>
  <c r="CB134" i="5" s="1"/>
  <c r="CA134" i="5"/>
  <c r="CH134" i="5" s="1"/>
  <c r="AI135" i="5"/>
  <c r="CD135" i="5" s="1"/>
  <c r="M137" i="5"/>
  <c r="CB137" i="5" s="1"/>
  <c r="CA137" i="5"/>
  <c r="CH137" i="5" s="1"/>
  <c r="AI138" i="5"/>
  <c r="CD138" i="5" s="1"/>
  <c r="M140" i="5"/>
  <c r="CB140" i="5" s="1"/>
  <c r="CA140" i="5"/>
  <c r="CH140" i="5" s="1"/>
  <c r="AI141" i="5"/>
  <c r="CD141" i="5" s="1"/>
  <c r="M143" i="5"/>
  <c r="CB143" i="5" s="1"/>
  <c r="CA143" i="5"/>
  <c r="CH143" i="5" s="1"/>
  <c r="AI144" i="5"/>
  <c r="CD144" i="5" s="1"/>
  <c r="M146" i="5"/>
  <c r="CB146" i="5" s="1"/>
  <c r="CA146" i="5"/>
  <c r="CH146" i="5" s="1"/>
  <c r="AI147" i="5"/>
  <c r="CD147" i="5" s="1"/>
  <c r="M149" i="5"/>
  <c r="CB149" i="5" s="1"/>
  <c r="CA149" i="5"/>
  <c r="CH149" i="5" s="1"/>
  <c r="AI150" i="5"/>
  <c r="CD150" i="5" s="1"/>
  <c r="M152" i="5"/>
  <c r="CB152" i="5" s="1"/>
  <c r="CA152" i="5"/>
  <c r="CH152" i="5" s="1"/>
  <c r="AI153" i="5"/>
  <c r="CD153" i="5" s="1"/>
  <c r="AI155" i="5"/>
  <c r="CD155" i="5" s="1"/>
  <c r="AT155" i="5"/>
  <c r="CE155" i="5" s="1"/>
  <c r="BE155" i="5"/>
  <c r="CF155" i="5" s="1"/>
  <c r="CA155" i="5"/>
  <c r="CH155" i="5" s="1"/>
  <c r="M155" i="5"/>
  <c r="CB155" i="5" s="1"/>
  <c r="AI164" i="5"/>
  <c r="CD164" i="5" s="1"/>
  <c r="BE171" i="5"/>
  <c r="CF171" i="5" s="1"/>
  <c r="BE173" i="5"/>
  <c r="CF173" i="5" s="1"/>
  <c r="AI173" i="5"/>
  <c r="CD173" i="5" s="1"/>
  <c r="BE180" i="5"/>
  <c r="CF180" i="5" s="1"/>
  <c r="CA182" i="5"/>
  <c r="CH182" i="5" s="1"/>
  <c r="AI182" i="5"/>
  <c r="CD182" i="5" s="1"/>
  <c r="BE184" i="5"/>
  <c r="CF184" i="5" s="1"/>
  <c r="BP101" i="5"/>
  <c r="CG101" i="5" s="1"/>
  <c r="X102" i="5"/>
  <c r="CC102" i="5" s="1"/>
  <c r="BP104" i="5"/>
  <c r="CG104" i="5" s="1"/>
  <c r="X105" i="5"/>
  <c r="CC105" i="5" s="1"/>
  <c r="BP107" i="5"/>
  <c r="CG107" i="5" s="1"/>
  <c r="X108" i="5"/>
  <c r="CC108" i="5" s="1"/>
  <c r="BP110" i="5"/>
  <c r="CG110" i="5" s="1"/>
  <c r="X111" i="5"/>
  <c r="CC111" i="5" s="1"/>
  <c r="BP113" i="5"/>
  <c r="CG113" i="5" s="1"/>
  <c r="X114" i="5"/>
  <c r="CC114" i="5" s="1"/>
  <c r="BP116" i="5"/>
  <c r="CG116" i="5" s="1"/>
  <c r="BP119" i="5"/>
  <c r="CG119" i="5" s="1"/>
  <c r="X120" i="5"/>
  <c r="CC120" i="5" s="1"/>
  <c r="BP122" i="5"/>
  <c r="CG122" i="5" s="1"/>
  <c r="X123" i="5"/>
  <c r="CC123" i="5" s="1"/>
  <c r="BP125" i="5"/>
  <c r="CG125" i="5" s="1"/>
  <c r="X126" i="5"/>
  <c r="CC126" i="5" s="1"/>
  <c r="BP128" i="5"/>
  <c r="CG128" i="5" s="1"/>
  <c r="X129" i="5"/>
  <c r="CC129" i="5" s="1"/>
  <c r="BP131" i="5"/>
  <c r="CG131" i="5" s="1"/>
  <c r="X132" i="5"/>
  <c r="CC132" i="5" s="1"/>
  <c r="BP134" i="5"/>
  <c r="CG134" i="5" s="1"/>
  <c r="X135" i="5"/>
  <c r="CC135" i="5" s="1"/>
  <c r="BP137" i="5"/>
  <c r="CG137" i="5" s="1"/>
  <c r="BP140" i="5"/>
  <c r="CG140" i="5" s="1"/>
  <c r="X141" i="5"/>
  <c r="CC141" i="5" s="1"/>
  <c r="X144" i="5"/>
  <c r="CC144" i="5" s="1"/>
  <c r="X147" i="5"/>
  <c r="CC147" i="5" s="1"/>
  <c r="X150" i="5"/>
  <c r="CC150" i="5" s="1"/>
  <c r="X153" i="5"/>
  <c r="CC153" i="5" s="1"/>
  <c r="BE159" i="5"/>
  <c r="CF159" i="5" s="1"/>
  <c r="CA163" i="5"/>
  <c r="CH163" i="5" s="1"/>
  <c r="BE168" i="5"/>
  <c r="CF168" i="5" s="1"/>
  <c r="AT170" i="5"/>
  <c r="CE170" i="5" s="1"/>
  <c r="CA172" i="5"/>
  <c r="CH172" i="5" s="1"/>
  <c r="CA177" i="5"/>
  <c r="CH177" i="5" s="1"/>
  <c r="BP177" i="5"/>
  <c r="CG177" i="5" s="1"/>
  <c r="AT179" i="5"/>
  <c r="CE179" i="5" s="1"/>
  <c r="CA181" i="5"/>
  <c r="CH181" i="5" s="1"/>
  <c r="BE182" i="5"/>
  <c r="CF182" i="5" s="1"/>
  <c r="M102" i="5"/>
  <c r="CB102" i="5" s="1"/>
  <c r="M105" i="5"/>
  <c r="CB105" i="5" s="1"/>
  <c r="M108" i="5"/>
  <c r="CB108" i="5" s="1"/>
  <c r="M111" i="5"/>
  <c r="CB111" i="5" s="1"/>
  <c r="M114" i="5"/>
  <c r="CB114" i="5" s="1"/>
  <c r="M117" i="5"/>
  <c r="CB117" i="5" s="1"/>
  <c r="M120" i="5"/>
  <c r="CB120" i="5" s="1"/>
  <c r="M123" i="5"/>
  <c r="CB123" i="5" s="1"/>
  <c r="M126" i="5"/>
  <c r="CB126" i="5" s="1"/>
  <c r="M129" i="5"/>
  <c r="CB129" i="5" s="1"/>
  <c r="M132" i="5"/>
  <c r="CB132" i="5" s="1"/>
  <c r="M135" i="5"/>
  <c r="CB135" i="5" s="1"/>
  <c r="M138" i="5"/>
  <c r="CB138" i="5" s="1"/>
  <c r="M141" i="5"/>
  <c r="CB141" i="5" s="1"/>
  <c r="M144" i="5"/>
  <c r="CB144" i="5" s="1"/>
  <c r="M147" i="5"/>
  <c r="CB147" i="5" s="1"/>
  <c r="M150" i="5"/>
  <c r="CB150" i="5" s="1"/>
  <c r="M153" i="5"/>
  <c r="CB153" i="5" s="1"/>
  <c r="BE176" i="5"/>
  <c r="CF176" i="5" s="1"/>
  <c r="AT195" i="5"/>
  <c r="CE195" i="5" s="1"/>
  <c r="BE195" i="5"/>
  <c r="CF195" i="5" s="1"/>
  <c r="BP195" i="5"/>
  <c r="CG195" i="5" s="1"/>
  <c r="X195" i="5"/>
  <c r="CC195" i="5" s="1"/>
  <c r="AI195" i="5"/>
  <c r="CD195" i="5" s="1"/>
  <c r="CA195" i="5"/>
  <c r="CH195" i="5" s="1"/>
  <c r="M195" i="5"/>
  <c r="CB195" i="5" s="1"/>
  <c r="BE162" i="5"/>
  <c r="CF162" i="5" s="1"/>
  <c r="CA171" i="5"/>
  <c r="CH171" i="5" s="1"/>
  <c r="CA180" i="5"/>
  <c r="CH180" i="5" s="1"/>
  <c r="AI156" i="5"/>
  <c r="CD156" i="5" s="1"/>
  <c r="BE157" i="5"/>
  <c r="CF157" i="5" s="1"/>
  <c r="M158" i="5"/>
  <c r="CB158" i="5" s="1"/>
  <c r="CA158" i="5"/>
  <c r="CH158" i="5" s="1"/>
  <c r="AI159" i="5"/>
  <c r="CD159" i="5" s="1"/>
  <c r="BE160" i="5"/>
  <c r="CF160" i="5" s="1"/>
  <c r="M161" i="5"/>
  <c r="CB161" i="5" s="1"/>
  <c r="CA161" i="5"/>
  <c r="CH161" i="5" s="1"/>
  <c r="AI162" i="5"/>
  <c r="CD162" i="5" s="1"/>
  <c r="BE163" i="5"/>
  <c r="CF163" i="5" s="1"/>
  <c r="M164" i="5"/>
  <c r="CB164" i="5" s="1"/>
  <c r="CA164" i="5"/>
  <c r="CH164" i="5" s="1"/>
  <c r="AI165" i="5"/>
  <c r="CD165" i="5" s="1"/>
  <c r="BE166" i="5"/>
  <c r="CF166" i="5" s="1"/>
  <c r="M167" i="5"/>
  <c r="CB167" i="5" s="1"/>
  <c r="CA167" i="5"/>
  <c r="CH167" i="5" s="1"/>
  <c r="AI168" i="5"/>
  <c r="CD168" i="5" s="1"/>
  <c r="BE169" i="5"/>
  <c r="CF169" i="5" s="1"/>
  <c r="M170" i="5"/>
  <c r="CB170" i="5" s="1"/>
  <c r="CA170" i="5"/>
  <c r="CH170" i="5" s="1"/>
  <c r="AI171" i="5"/>
  <c r="CD171" i="5" s="1"/>
  <c r="BE172" i="5"/>
  <c r="CF172" i="5" s="1"/>
  <c r="M173" i="5"/>
  <c r="CB173" i="5" s="1"/>
  <c r="CA173" i="5"/>
  <c r="CH173" i="5" s="1"/>
  <c r="AI174" i="5"/>
  <c r="CD174" i="5" s="1"/>
  <c r="BE175" i="5"/>
  <c r="CF175" i="5" s="1"/>
  <c r="M176" i="5"/>
  <c r="CB176" i="5" s="1"/>
  <c r="CA176" i="5"/>
  <c r="CH176" i="5" s="1"/>
  <c r="AI177" i="5"/>
  <c r="CD177" i="5" s="1"/>
  <c r="BE178" i="5"/>
  <c r="CF178" i="5" s="1"/>
  <c r="M179" i="5"/>
  <c r="CB179" i="5" s="1"/>
  <c r="CA179" i="5"/>
  <c r="CH179" i="5" s="1"/>
  <c r="AI180" i="5"/>
  <c r="CD180" i="5" s="1"/>
  <c r="BE181" i="5"/>
  <c r="CF181" i="5" s="1"/>
  <c r="M182" i="5"/>
  <c r="CB182" i="5" s="1"/>
  <c r="AI183" i="5"/>
  <c r="CD183" i="5" s="1"/>
  <c r="AT189" i="5"/>
  <c r="CE189" i="5" s="1"/>
  <c r="BE189" i="5"/>
  <c r="CF189" i="5" s="1"/>
  <c r="BP189" i="5"/>
  <c r="CG189" i="5" s="1"/>
  <c r="AI189" i="5"/>
  <c r="CD189" i="5" s="1"/>
  <c r="CA189" i="5"/>
  <c r="CH189" i="5" s="1"/>
  <c r="M189" i="5"/>
  <c r="CB189" i="5" s="1"/>
  <c r="M156" i="5"/>
  <c r="CB156" i="5" s="1"/>
  <c r="CA156" i="5"/>
  <c r="CH156" i="5" s="1"/>
  <c r="AI157" i="5"/>
  <c r="CD157" i="5" s="1"/>
  <c r="BE158" i="5"/>
  <c r="CF158" i="5" s="1"/>
  <c r="M159" i="5"/>
  <c r="CB159" i="5" s="1"/>
  <c r="CA159" i="5"/>
  <c r="CH159" i="5" s="1"/>
  <c r="AI160" i="5"/>
  <c r="CD160" i="5" s="1"/>
  <c r="BE161" i="5"/>
  <c r="CF161" i="5" s="1"/>
  <c r="M162" i="5"/>
  <c r="CB162" i="5" s="1"/>
  <c r="CA162" i="5"/>
  <c r="CH162" i="5" s="1"/>
  <c r="AI163" i="5"/>
  <c r="CD163" i="5" s="1"/>
  <c r="BE164" i="5"/>
  <c r="CF164" i="5" s="1"/>
  <c r="M165" i="5"/>
  <c r="CB165" i="5" s="1"/>
  <c r="CA165" i="5"/>
  <c r="CH165" i="5" s="1"/>
  <c r="AI166" i="5"/>
  <c r="CD166" i="5" s="1"/>
  <c r="BE167" i="5"/>
  <c r="CF167" i="5" s="1"/>
  <c r="M168" i="5"/>
  <c r="CB168" i="5" s="1"/>
  <c r="CA168" i="5"/>
  <c r="CH168" i="5" s="1"/>
  <c r="AI169" i="5"/>
  <c r="CD169" i="5" s="1"/>
  <c r="M171" i="5"/>
  <c r="CB171" i="5" s="1"/>
  <c r="AI172" i="5"/>
  <c r="CD172" i="5" s="1"/>
  <c r="M174" i="5"/>
  <c r="CB174" i="5" s="1"/>
  <c r="AI175" i="5"/>
  <c r="CD175" i="5" s="1"/>
  <c r="M177" i="5"/>
  <c r="CB177" i="5" s="1"/>
  <c r="AI178" i="5"/>
  <c r="CD178" i="5" s="1"/>
  <c r="M180" i="5"/>
  <c r="CB180" i="5" s="1"/>
  <c r="AI181" i="5"/>
  <c r="CD181" i="5" s="1"/>
  <c r="M183" i="5"/>
  <c r="CB183" i="5" s="1"/>
  <c r="BP185" i="5"/>
  <c r="CG185" i="5" s="1"/>
  <c r="AT214" i="5"/>
  <c r="CE214" i="5" s="1"/>
  <c r="CA243" i="5"/>
  <c r="CH243" i="5" s="1"/>
  <c r="AT256" i="5"/>
  <c r="CE256" i="5" s="1"/>
  <c r="BP156" i="5"/>
  <c r="CG156" i="5" s="1"/>
  <c r="X157" i="5"/>
  <c r="CC157" i="5" s="1"/>
  <c r="AT158" i="5"/>
  <c r="CE158" i="5" s="1"/>
  <c r="BP159" i="5"/>
  <c r="CG159" i="5" s="1"/>
  <c r="X160" i="5"/>
  <c r="CC160" i="5" s="1"/>
  <c r="BP162" i="5"/>
  <c r="CG162" i="5" s="1"/>
  <c r="X163" i="5"/>
  <c r="CC163" i="5" s="1"/>
  <c r="AT164" i="5"/>
  <c r="CE164" i="5" s="1"/>
  <c r="BP165" i="5"/>
  <c r="CG165" i="5" s="1"/>
  <c r="X166" i="5"/>
  <c r="CC166" i="5" s="1"/>
  <c r="AT167" i="5"/>
  <c r="CE167" i="5" s="1"/>
  <c r="BP168" i="5"/>
  <c r="CG168" i="5" s="1"/>
  <c r="X169" i="5"/>
  <c r="CC169" i="5" s="1"/>
  <c r="X172" i="5"/>
  <c r="CC172" i="5" s="1"/>
  <c r="X175" i="5"/>
  <c r="CC175" i="5" s="1"/>
  <c r="X178" i="5"/>
  <c r="CC178" i="5" s="1"/>
  <c r="X181" i="5"/>
  <c r="CC181" i="5" s="1"/>
  <c r="BP196" i="5"/>
  <c r="CG196" i="5" s="1"/>
  <c r="AT201" i="5"/>
  <c r="CE201" i="5" s="1"/>
  <c r="BE201" i="5"/>
  <c r="CF201" i="5" s="1"/>
  <c r="BP201" i="5"/>
  <c r="CG201" i="5" s="1"/>
  <c r="X201" i="5"/>
  <c r="CC201" i="5" s="1"/>
  <c r="AI201" i="5"/>
  <c r="CD201" i="5" s="1"/>
  <c r="CA201" i="5"/>
  <c r="CH201" i="5" s="1"/>
  <c r="M201" i="5"/>
  <c r="CB201" i="5" s="1"/>
  <c r="BP221" i="5"/>
  <c r="CG221" i="5" s="1"/>
  <c r="M157" i="5"/>
  <c r="CB157" i="5" s="1"/>
  <c r="M160" i="5"/>
  <c r="CB160" i="5" s="1"/>
  <c r="M163" i="5"/>
  <c r="CB163" i="5" s="1"/>
  <c r="M166" i="5"/>
  <c r="CB166" i="5" s="1"/>
  <c r="M169" i="5"/>
  <c r="CB169" i="5" s="1"/>
  <c r="M172" i="5"/>
  <c r="CB172" i="5" s="1"/>
  <c r="M175" i="5"/>
  <c r="CB175" i="5" s="1"/>
  <c r="M178" i="5"/>
  <c r="CB178" i="5" s="1"/>
  <c r="M181" i="5"/>
  <c r="CB181" i="5" s="1"/>
  <c r="X185" i="5"/>
  <c r="CC185" i="5" s="1"/>
  <c r="AI185" i="5"/>
  <c r="CD185" i="5" s="1"/>
  <c r="AT185" i="5"/>
  <c r="CE185" i="5" s="1"/>
  <c r="CA185" i="5"/>
  <c r="CH185" i="5" s="1"/>
  <c r="M185" i="5"/>
  <c r="CB185" i="5" s="1"/>
  <c r="X186" i="5"/>
  <c r="CC186" i="5" s="1"/>
  <c r="AT205" i="5"/>
  <c r="CE205" i="5" s="1"/>
  <c r="AT207" i="5"/>
  <c r="CE207" i="5" s="1"/>
  <c r="BE207" i="5"/>
  <c r="CF207" i="5" s="1"/>
  <c r="BP207" i="5"/>
  <c r="CG207" i="5" s="1"/>
  <c r="X207" i="5"/>
  <c r="CC207" i="5" s="1"/>
  <c r="AI207" i="5"/>
  <c r="CD207" i="5" s="1"/>
  <c r="CA207" i="5"/>
  <c r="CH207" i="5" s="1"/>
  <c r="M207" i="5"/>
  <c r="CB207" i="5" s="1"/>
  <c r="X203" i="5"/>
  <c r="CC203" i="5" s="1"/>
  <c r="AI203" i="5"/>
  <c r="CD203" i="5" s="1"/>
  <c r="AT203" i="5"/>
  <c r="CE203" i="5" s="1"/>
  <c r="M203" i="5"/>
  <c r="CB203" i="5" s="1"/>
  <c r="BE212" i="5"/>
  <c r="CF212" i="5" s="1"/>
  <c r="BE220" i="5"/>
  <c r="CF220" i="5" s="1"/>
  <c r="AI220" i="5"/>
  <c r="CD220" i="5" s="1"/>
  <c r="AT220" i="5"/>
  <c r="CE220" i="5" s="1"/>
  <c r="M220" i="5"/>
  <c r="CB220" i="5" s="1"/>
  <c r="AI237" i="5"/>
  <c r="CD237" i="5" s="1"/>
  <c r="BE237" i="5"/>
  <c r="CF237" i="5" s="1"/>
  <c r="BP237" i="5"/>
  <c r="CG237" i="5" s="1"/>
  <c r="X237" i="5"/>
  <c r="CC237" i="5" s="1"/>
  <c r="CA237" i="5"/>
  <c r="CH237" i="5" s="1"/>
  <c r="M237" i="5"/>
  <c r="CB237" i="5" s="1"/>
  <c r="AI255" i="5"/>
  <c r="CD255" i="5" s="1"/>
  <c r="BE255" i="5"/>
  <c r="CF255" i="5" s="1"/>
  <c r="BP255" i="5"/>
  <c r="CG255" i="5" s="1"/>
  <c r="X255" i="5"/>
  <c r="CC255" i="5" s="1"/>
  <c r="CA255" i="5"/>
  <c r="CH255" i="5" s="1"/>
  <c r="M255" i="5"/>
  <c r="CB255" i="5" s="1"/>
  <c r="X272" i="5"/>
  <c r="CC272" i="5" s="1"/>
  <c r="AT272" i="5"/>
  <c r="CE272" i="5" s="1"/>
  <c r="CA272" i="5"/>
  <c r="CH272" i="5" s="1"/>
  <c r="AI272" i="5"/>
  <c r="CD272" i="5" s="1"/>
  <c r="BE272" i="5"/>
  <c r="CF272" i="5" s="1"/>
  <c r="BP272" i="5"/>
  <c r="CG272" i="5" s="1"/>
  <c r="M272" i="5"/>
  <c r="CB272" i="5" s="1"/>
  <c r="X209" i="5"/>
  <c r="CC209" i="5" s="1"/>
  <c r="BP209" i="5"/>
  <c r="CG209" i="5" s="1"/>
  <c r="X210" i="5"/>
  <c r="CC210" i="5" s="1"/>
  <c r="AT215" i="5"/>
  <c r="CE215" i="5" s="1"/>
  <c r="X221" i="5"/>
  <c r="CC221" i="5" s="1"/>
  <c r="BE233" i="5"/>
  <c r="CF233" i="5" s="1"/>
  <c r="AT237" i="5"/>
  <c r="CE237" i="5" s="1"/>
  <c r="AT255" i="5"/>
  <c r="CE255" i="5" s="1"/>
  <c r="AI267" i="5"/>
  <c r="CD267" i="5" s="1"/>
  <c r="X304" i="5"/>
  <c r="CC304" i="5" s="1"/>
  <c r="AT304" i="5"/>
  <c r="CE304" i="5" s="1"/>
  <c r="BP304" i="5"/>
  <c r="CG304" i="5" s="1"/>
  <c r="AI304" i="5"/>
  <c r="CD304" i="5" s="1"/>
  <c r="CA304" i="5"/>
  <c r="CH304" i="5" s="1"/>
  <c r="BE304" i="5"/>
  <c r="CF304" i="5" s="1"/>
  <c r="M304" i="5"/>
  <c r="CB304" i="5" s="1"/>
  <c r="AT186" i="5"/>
  <c r="CE186" i="5" s="1"/>
  <c r="BE186" i="5"/>
  <c r="CF186" i="5" s="1"/>
  <c r="BP186" i="5"/>
  <c r="CG186" i="5" s="1"/>
  <c r="M186" i="5"/>
  <c r="CB186" i="5" s="1"/>
  <c r="AT192" i="5"/>
  <c r="CE192" i="5" s="1"/>
  <c r="BE192" i="5"/>
  <c r="CF192" i="5" s="1"/>
  <c r="BP192" i="5"/>
  <c r="CG192" i="5" s="1"/>
  <c r="M192" i="5"/>
  <c r="CB192" i="5" s="1"/>
  <c r="AT198" i="5"/>
  <c r="CE198" i="5" s="1"/>
  <c r="BE198" i="5"/>
  <c r="CF198" i="5" s="1"/>
  <c r="BP198" i="5"/>
  <c r="CG198" i="5" s="1"/>
  <c r="M198" i="5"/>
  <c r="CB198" i="5" s="1"/>
  <c r="AT204" i="5"/>
  <c r="CE204" i="5" s="1"/>
  <c r="BE204" i="5"/>
  <c r="CF204" i="5" s="1"/>
  <c r="BP204" i="5"/>
  <c r="CG204" i="5" s="1"/>
  <c r="M204" i="5"/>
  <c r="CB204" i="5" s="1"/>
  <c r="AI216" i="5"/>
  <c r="CD216" i="5" s="1"/>
  <c r="AT216" i="5"/>
  <c r="CE216" i="5" s="1"/>
  <c r="BE216" i="5"/>
  <c r="CF216" i="5" s="1"/>
  <c r="M216" i="5"/>
  <c r="CB216" i="5" s="1"/>
  <c r="AT218" i="5"/>
  <c r="CE218" i="5" s="1"/>
  <c r="CA219" i="5"/>
  <c r="CH219" i="5" s="1"/>
  <c r="AT227" i="5"/>
  <c r="CE227" i="5" s="1"/>
  <c r="X229" i="5"/>
  <c r="CC229" i="5" s="1"/>
  <c r="BE250" i="5"/>
  <c r="CF250" i="5" s="1"/>
  <c r="AI250" i="5"/>
  <c r="CD250" i="5" s="1"/>
  <c r="AI269" i="5"/>
  <c r="CD269" i="5" s="1"/>
  <c r="X286" i="5"/>
  <c r="CC286" i="5" s="1"/>
  <c r="AT286" i="5"/>
  <c r="CE286" i="5" s="1"/>
  <c r="BP286" i="5"/>
  <c r="CG286" i="5" s="1"/>
  <c r="AI286" i="5"/>
  <c r="CD286" i="5" s="1"/>
  <c r="BE286" i="5"/>
  <c r="CF286" i="5" s="1"/>
  <c r="CA286" i="5"/>
  <c r="CH286" i="5" s="1"/>
  <c r="M286" i="5"/>
  <c r="CB286" i="5" s="1"/>
  <c r="AT311" i="5"/>
  <c r="CE311" i="5" s="1"/>
  <c r="BP311" i="5"/>
  <c r="CG311" i="5" s="1"/>
  <c r="X311" i="5"/>
  <c r="CC311" i="5" s="1"/>
  <c r="CA311" i="5"/>
  <c r="CH311" i="5" s="1"/>
  <c r="AI311" i="5"/>
  <c r="CD311" i="5" s="1"/>
  <c r="BE311" i="5"/>
  <c r="CF311" i="5" s="1"/>
  <c r="M311" i="5"/>
  <c r="CB311" i="5" s="1"/>
  <c r="CA184" i="5"/>
  <c r="CH184" i="5" s="1"/>
  <c r="M184" i="5"/>
  <c r="CB184" i="5" s="1"/>
  <c r="BP187" i="5"/>
  <c r="CG187" i="5" s="1"/>
  <c r="X188" i="5"/>
  <c r="CC188" i="5" s="1"/>
  <c r="AI188" i="5"/>
  <c r="CD188" i="5" s="1"/>
  <c r="AT188" i="5"/>
  <c r="CE188" i="5" s="1"/>
  <c r="M188" i="5"/>
  <c r="CB188" i="5" s="1"/>
  <c r="BP193" i="5"/>
  <c r="CG193" i="5" s="1"/>
  <c r="X194" i="5"/>
  <c r="CC194" i="5" s="1"/>
  <c r="AI194" i="5"/>
  <c r="CD194" i="5" s="1"/>
  <c r="AT194" i="5"/>
  <c r="CE194" i="5" s="1"/>
  <c r="M194" i="5"/>
  <c r="CB194" i="5" s="1"/>
  <c r="BP199" i="5"/>
  <c r="CG199" i="5" s="1"/>
  <c r="X200" i="5"/>
  <c r="CC200" i="5" s="1"/>
  <c r="AI200" i="5"/>
  <c r="CD200" i="5" s="1"/>
  <c r="AT200" i="5"/>
  <c r="CE200" i="5" s="1"/>
  <c r="M200" i="5"/>
  <c r="CB200" i="5" s="1"/>
  <c r="CA203" i="5"/>
  <c r="CH203" i="5" s="1"/>
  <c r="BP205" i="5"/>
  <c r="CG205" i="5" s="1"/>
  <c r="X206" i="5"/>
  <c r="CC206" i="5" s="1"/>
  <c r="AI206" i="5"/>
  <c r="CD206" i="5" s="1"/>
  <c r="AT206" i="5"/>
  <c r="CE206" i="5" s="1"/>
  <c r="M206" i="5"/>
  <c r="CB206" i="5" s="1"/>
  <c r="CA211" i="5"/>
  <c r="CH211" i="5" s="1"/>
  <c r="BP215" i="5"/>
  <c r="CG215" i="5" s="1"/>
  <c r="BE217" i="5"/>
  <c r="CF217" i="5" s="1"/>
  <c r="AT217" i="5"/>
  <c r="CE217" i="5" s="1"/>
  <c r="M217" i="5"/>
  <c r="CB217" i="5" s="1"/>
  <c r="X219" i="5"/>
  <c r="CC219" i="5" s="1"/>
  <c r="CA220" i="5"/>
  <c r="CH220" i="5" s="1"/>
  <c r="AT221" i="5"/>
  <c r="CE221" i="5" s="1"/>
  <c r="BE223" i="5"/>
  <c r="CF223" i="5" s="1"/>
  <c r="BE224" i="5"/>
  <c r="CF224" i="5" s="1"/>
  <c r="BE226" i="5"/>
  <c r="CF226" i="5" s="1"/>
  <c r="BP229" i="5"/>
  <c r="CG229" i="5" s="1"/>
  <c r="BP230" i="5"/>
  <c r="CG230" i="5" s="1"/>
  <c r="X232" i="5"/>
  <c r="CC232" i="5" s="1"/>
  <c r="BE235" i="5"/>
  <c r="CF235" i="5" s="1"/>
  <c r="AI246" i="5"/>
  <c r="CD246" i="5" s="1"/>
  <c r="BE246" i="5"/>
  <c r="CF246" i="5" s="1"/>
  <c r="BP246" i="5"/>
  <c r="CG246" i="5" s="1"/>
  <c r="X246" i="5"/>
  <c r="CC246" i="5" s="1"/>
  <c r="CA246" i="5"/>
  <c r="CH246" i="5" s="1"/>
  <c r="M246" i="5"/>
  <c r="CB246" i="5" s="1"/>
  <c r="BP251" i="5"/>
  <c r="CG251" i="5" s="1"/>
  <c r="AI308" i="5"/>
  <c r="CD308" i="5" s="1"/>
  <c r="BP203" i="5"/>
  <c r="CG203" i="5" s="1"/>
  <c r="CA210" i="5"/>
  <c r="CH210" i="5" s="1"/>
  <c r="BP212" i="5"/>
  <c r="CG212" i="5" s="1"/>
  <c r="AI219" i="5"/>
  <c r="CD219" i="5" s="1"/>
  <c r="AT219" i="5"/>
  <c r="CE219" i="5" s="1"/>
  <c r="M219" i="5"/>
  <c r="CB219" i="5" s="1"/>
  <c r="BE219" i="5"/>
  <c r="CF219" i="5" s="1"/>
  <c r="BP220" i="5"/>
  <c r="CG220" i="5" s="1"/>
  <c r="BP238" i="5"/>
  <c r="CG238" i="5" s="1"/>
  <c r="BP256" i="5"/>
  <c r="CG256" i="5" s="1"/>
  <c r="X301" i="5"/>
  <c r="CC301" i="5" s="1"/>
  <c r="AT301" i="5"/>
  <c r="CE301" i="5" s="1"/>
  <c r="AI301" i="5"/>
  <c r="CD301" i="5" s="1"/>
  <c r="BP301" i="5"/>
  <c r="CG301" i="5" s="1"/>
  <c r="CA301" i="5"/>
  <c r="CH301" i="5" s="1"/>
  <c r="BE301" i="5"/>
  <c r="CF301" i="5" s="1"/>
  <c r="M301" i="5"/>
  <c r="CB301" i="5" s="1"/>
  <c r="X187" i="5"/>
  <c r="CC187" i="5" s="1"/>
  <c r="X190" i="5"/>
  <c r="CC190" i="5" s="1"/>
  <c r="X193" i="5"/>
  <c r="CC193" i="5" s="1"/>
  <c r="X196" i="5"/>
  <c r="CC196" i="5" s="1"/>
  <c r="X199" i="5"/>
  <c r="CC199" i="5" s="1"/>
  <c r="X202" i="5"/>
  <c r="CC202" i="5" s="1"/>
  <c r="X205" i="5"/>
  <c r="CC205" i="5" s="1"/>
  <c r="AI213" i="5"/>
  <c r="CD213" i="5" s="1"/>
  <c r="M213" i="5"/>
  <c r="CB213" i="5" s="1"/>
  <c r="BP213" i="5"/>
  <c r="CG213" i="5" s="1"/>
  <c r="BE214" i="5"/>
  <c r="CF214" i="5" s="1"/>
  <c r="M214" i="5"/>
  <c r="CB214" i="5" s="1"/>
  <c r="BP214" i="5"/>
  <c r="CG214" i="5" s="1"/>
  <c r="CA215" i="5"/>
  <c r="CH215" i="5" s="1"/>
  <c r="X222" i="5"/>
  <c r="CC222" i="5" s="1"/>
  <c r="X225" i="5"/>
  <c r="CC225" i="5" s="1"/>
  <c r="CA234" i="5"/>
  <c r="CH234" i="5" s="1"/>
  <c r="BE242" i="5"/>
  <c r="CF242" i="5" s="1"/>
  <c r="AI244" i="5"/>
  <c r="CD244" i="5" s="1"/>
  <c r="BP244" i="5"/>
  <c r="CG244" i="5" s="1"/>
  <c r="BE251" i="5"/>
  <c r="CF251" i="5" s="1"/>
  <c r="AI253" i="5"/>
  <c r="CD253" i="5" s="1"/>
  <c r="BP253" i="5"/>
  <c r="CG253" i="5" s="1"/>
  <c r="AT260" i="5"/>
  <c r="CE260" i="5" s="1"/>
  <c r="CA260" i="5"/>
  <c r="CH260" i="5" s="1"/>
  <c r="X260" i="5"/>
  <c r="CC260" i="5" s="1"/>
  <c r="AI260" i="5"/>
  <c r="CD260" i="5" s="1"/>
  <c r="M260" i="5"/>
  <c r="CB260" i="5" s="1"/>
  <c r="BP271" i="5"/>
  <c r="CG271" i="5" s="1"/>
  <c r="X271" i="5"/>
  <c r="CC271" i="5" s="1"/>
  <c r="BE271" i="5"/>
  <c r="CF271" i="5" s="1"/>
  <c r="CA271" i="5"/>
  <c r="CH271" i="5" s="1"/>
  <c r="AI271" i="5"/>
  <c r="CD271" i="5" s="1"/>
  <c r="AT271" i="5"/>
  <c r="CE271" i="5" s="1"/>
  <c r="M271" i="5"/>
  <c r="CB271" i="5" s="1"/>
  <c r="CA283" i="5"/>
  <c r="CH283" i="5" s="1"/>
  <c r="AT284" i="5"/>
  <c r="CE284" i="5" s="1"/>
  <c r="BP284" i="5"/>
  <c r="CG284" i="5" s="1"/>
  <c r="X284" i="5"/>
  <c r="CC284" i="5" s="1"/>
  <c r="CA284" i="5"/>
  <c r="CH284" i="5" s="1"/>
  <c r="AI284" i="5"/>
  <c r="CD284" i="5" s="1"/>
  <c r="M284" i="5"/>
  <c r="CB284" i="5" s="1"/>
  <c r="AT291" i="5"/>
  <c r="CE291" i="5" s="1"/>
  <c r="M187" i="5"/>
  <c r="CB187" i="5" s="1"/>
  <c r="CA187" i="5"/>
  <c r="CH187" i="5" s="1"/>
  <c r="M190" i="5"/>
  <c r="CB190" i="5" s="1"/>
  <c r="CA190" i="5"/>
  <c r="CH190" i="5" s="1"/>
  <c r="M193" i="5"/>
  <c r="CB193" i="5" s="1"/>
  <c r="CA193" i="5"/>
  <c r="CH193" i="5" s="1"/>
  <c r="M196" i="5"/>
  <c r="CB196" i="5" s="1"/>
  <c r="CA196" i="5"/>
  <c r="CH196" i="5" s="1"/>
  <c r="M199" i="5"/>
  <c r="CB199" i="5" s="1"/>
  <c r="CA199" i="5"/>
  <c r="CH199" i="5" s="1"/>
  <c r="M202" i="5"/>
  <c r="CB202" i="5" s="1"/>
  <c r="CA202" i="5"/>
  <c r="CH202" i="5" s="1"/>
  <c r="M205" i="5"/>
  <c r="CB205" i="5" s="1"/>
  <c r="CA205" i="5"/>
  <c r="CH205" i="5" s="1"/>
  <c r="M208" i="5"/>
  <c r="CB208" i="5" s="1"/>
  <c r="CA208" i="5"/>
  <c r="CH208" i="5" s="1"/>
  <c r="AI210" i="5"/>
  <c r="CD210" i="5" s="1"/>
  <c r="M210" i="5"/>
  <c r="CB210" i="5" s="1"/>
  <c r="BP210" i="5"/>
  <c r="CG210" i="5" s="1"/>
  <c r="BE211" i="5"/>
  <c r="CF211" i="5" s="1"/>
  <c r="M211" i="5"/>
  <c r="CB211" i="5" s="1"/>
  <c r="BP211" i="5"/>
  <c r="CG211" i="5" s="1"/>
  <c r="CA212" i="5"/>
  <c r="CH212" i="5" s="1"/>
  <c r="BE213" i="5"/>
  <c r="CF213" i="5" s="1"/>
  <c r="AI222" i="5"/>
  <c r="CD222" i="5" s="1"/>
  <c r="BE222" i="5"/>
  <c r="CF222" i="5" s="1"/>
  <c r="M222" i="5"/>
  <c r="CB222" i="5" s="1"/>
  <c r="AI225" i="5"/>
  <c r="CD225" i="5" s="1"/>
  <c r="BE225" i="5"/>
  <c r="CF225" i="5" s="1"/>
  <c r="M225" i="5"/>
  <c r="CB225" i="5" s="1"/>
  <c r="AI228" i="5"/>
  <c r="CD228" i="5" s="1"/>
  <c r="BE228" i="5"/>
  <c r="CF228" i="5" s="1"/>
  <c r="BP228" i="5"/>
  <c r="CG228" i="5" s="1"/>
  <c r="X228" i="5"/>
  <c r="CC228" i="5" s="1"/>
  <c r="M228" i="5"/>
  <c r="CB228" i="5" s="1"/>
  <c r="X234" i="5"/>
  <c r="CC234" i="5" s="1"/>
  <c r="BE236" i="5"/>
  <c r="CF236" i="5" s="1"/>
  <c r="CA239" i="5"/>
  <c r="CH239" i="5" s="1"/>
  <c r="X239" i="5"/>
  <c r="CC239" i="5" s="1"/>
  <c r="BP240" i="5"/>
  <c r="CG240" i="5" s="1"/>
  <c r="AI243" i="5"/>
  <c r="CD243" i="5" s="1"/>
  <c r="BE243" i="5"/>
  <c r="CF243" i="5" s="1"/>
  <c r="AT243" i="5"/>
  <c r="CE243" i="5" s="1"/>
  <c r="M243" i="5"/>
  <c r="CB243" i="5" s="1"/>
  <c r="BE244" i="5"/>
  <c r="CF244" i="5" s="1"/>
  <c r="X244" i="5"/>
  <c r="CC244" i="5" s="1"/>
  <c r="BE245" i="5"/>
  <c r="CF245" i="5" s="1"/>
  <c r="CA248" i="5"/>
  <c r="CH248" i="5" s="1"/>
  <c r="X248" i="5"/>
  <c r="CC248" i="5" s="1"/>
  <c r="BP249" i="5"/>
  <c r="CG249" i="5" s="1"/>
  <c r="AI252" i="5"/>
  <c r="CD252" i="5" s="1"/>
  <c r="BE252" i="5"/>
  <c r="CF252" i="5" s="1"/>
  <c r="AT252" i="5"/>
  <c r="CE252" i="5" s="1"/>
  <c r="M252" i="5"/>
  <c r="CB252" i="5" s="1"/>
  <c r="CA253" i="5"/>
  <c r="CH253" i="5" s="1"/>
  <c r="X253" i="5"/>
  <c r="CC253" i="5" s="1"/>
  <c r="BE254" i="5"/>
  <c r="CF254" i="5" s="1"/>
  <c r="CA257" i="5"/>
  <c r="CH257" i="5" s="1"/>
  <c r="X257" i="5"/>
  <c r="CC257" i="5" s="1"/>
  <c r="X258" i="5"/>
  <c r="CC258" i="5" s="1"/>
  <c r="X263" i="5"/>
  <c r="CC263" i="5" s="1"/>
  <c r="CA264" i="5"/>
  <c r="CH264" i="5" s="1"/>
  <c r="X265" i="5"/>
  <c r="CC265" i="5" s="1"/>
  <c r="BE265" i="5"/>
  <c r="CF265" i="5" s="1"/>
  <c r="CA265" i="5"/>
  <c r="CH265" i="5" s="1"/>
  <c r="AI265" i="5"/>
  <c r="CD265" i="5" s="1"/>
  <c r="AT265" i="5"/>
  <c r="CE265" i="5" s="1"/>
  <c r="M265" i="5"/>
  <c r="CB265" i="5" s="1"/>
  <c r="AT270" i="5"/>
  <c r="CE270" i="5" s="1"/>
  <c r="BP270" i="5"/>
  <c r="CG270" i="5" s="1"/>
  <c r="CA270" i="5"/>
  <c r="CH270" i="5" s="1"/>
  <c r="AI270" i="5"/>
  <c r="CD270" i="5" s="1"/>
  <c r="M270" i="5"/>
  <c r="CB270" i="5" s="1"/>
  <c r="BE270" i="5"/>
  <c r="CF270" i="5" s="1"/>
  <c r="AT302" i="5"/>
  <c r="CE302" i="5" s="1"/>
  <c r="BP302" i="5"/>
  <c r="CG302" i="5" s="1"/>
  <c r="X302" i="5"/>
  <c r="CC302" i="5" s="1"/>
  <c r="CA302" i="5"/>
  <c r="CH302" i="5" s="1"/>
  <c r="AI302" i="5"/>
  <c r="CD302" i="5" s="1"/>
  <c r="BE302" i="5"/>
  <c r="CF302" i="5" s="1"/>
  <c r="M302" i="5"/>
  <c r="CB302" i="5" s="1"/>
  <c r="CA209" i="5"/>
  <c r="CH209" i="5" s="1"/>
  <c r="BE210" i="5"/>
  <c r="CF210" i="5" s="1"/>
  <c r="AT213" i="5"/>
  <c r="CE213" i="5" s="1"/>
  <c r="BE229" i="5"/>
  <c r="CF229" i="5" s="1"/>
  <c r="CA230" i="5"/>
  <c r="CH230" i="5" s="1"/>
  <c r="X230" i="5"/>
  <c r="CC230" i="5" s="1"/>
  <c r="AI231" i="5"/>
  <c r="CD231" i="5" s="1"/>
  <c r="BE231" i="5"/>
  <c r="CF231" i="5" s="1"/>
  <c r="BP231" i="5"/>
  <c r="CG231" i="5" s="1"/>
  <c r="X231" i="5"/>
  <c r="CC231" i="5" s="1"/>
  <c r="M231" i="5"/>
  <c r="CB231" i="5" s="1"/>
  <c r="BE232" i="5"/>
  <c r="CF232" i="5" s="1"/>
  <c r="AI232" i="5"/>
  <c r="CD232" i="5" s="1"/>
  <c r="AI234" i="5"/>
  <c r="CD234" i="5" s="1"/>
  <c r="BE234" i="5"/>
  <c r="CF234" i="5" s="1"/>
  <c r="M234" i="5"/>
  <c r="CB234" i="5" s="1"/>
  <c r="AT241" i="5"/>
  <c r="CE241" i="5" s="1"/>
  <c r="AT245" i="5"/>
  <c r="CE245" i="5" s="1"/>
  <c r="AT250" i="5"/>
  <c r="CE250" i="5" s="1"/>
  <c r="AT254" i="5"/>
  <c r="CE254" i="5" s="1"/>
  <c r="AT296" i="5"/>
  <c r="CE296" i="5" s="1"/>
  <c r="BP296" i="5"/>
  <c r="CG296" i="5" s="1"/>
  <c r="BE296" i="5"/>
  <c r="CF296" i="5" s="1"/>
  <c r="X296" i="5"/>
  <c r="CC296" i="5" s="1"/>
  <c r="AI296" i="5"/>
  <c r="CD296" i="5" s="1"/>
  <c r="CA296" i="5"/>
  <c r="CH296" i="5" s="1"/>
  <c r="M296" i="5"/>
  <c r="CB296" i="5" s="1"/>
  <c r="AT305" i="5"/>
  <c r="CE305" i="5" s="1"/>
  <c r="BP305" i="5"/>
  <c r="CG305" i="5" s="1"/>
  <c r="BE305" i="5"/>
  <c r="CF305" i="5" s="1"/>
  <c r="X305" i="5"/>
  <c r="CC305" i="5" s="1"/>
  <c r="AI305" i="5"/>
  <c r="CD305" i="5" s="1"/>
  <c r="M305" i="5"/>
  <c r="CB305" i="5" s="1"/>
  <c r="CA236" i="5"/>
  <c r="CH236" i="5" s="1"/>
  <c r="X240" i="5"/>
  <c r="CC240" i="5" s="1"/>
  <c r="CA245" i="5"/>
  <c r="CH245" i="5" s="1"/>
  <c r="X249" i="5"/>
  <c r="CC249" i="5" s="1"/>
  <c r="BE253" i="5"/>
  <c r="CF253" i="5" s="1"/>
  <c r="CA254" i="5"/>
  <c r="CH254" i="5" s="1"/>
  <c r="BP261" i="5"/>
  <c r="CG261" i="5" s="1"/>
  <c r="CA261" i="5"/>
  <c r="CH261" i="5" s="1"/>
  <c r="X261" i="5"/>
  <c r="CC261" i="5" s="1"/>
  <c r="AT261" i="5"/>
  <c r="CE261" i="5" s="1"/>
  <c r="M261" i="5"/>
  <c r="CB261" i="5" s="1"/>
  <c r="BE261" i="5"/>
  <c r="CF261" i="5" s="1"/>
  <c r="BP274" i="5"/>
  <c r="CG274" i="5" s="1"/>
  <c r="X274" i="5"/>
  <c r="CC274" i="5" s="1"/>
  <c r="AI274" i="5"/>
  <c r="CD274" i="5" s="1"/>
  <c r="BE274" i="5"/>
  <c r="CF274" i="5" s="1"/>
  <c r="M274" i="5"/>
  <c r="CB274" i="5" s="1"/>
  <c r="CA275" i="5"/>
  <c r="CH275" i="5" s="1"/>
  <c r="BP277" i="5"/>
  <c r="CG277" i="5" s="1"/>
  <c r="X277" i="5"/>
  <c r="CC277" i="5" s="1"/>
  <c r="AI277" i="5"/>
  <c r="CD277" i="5" s="1"/>
  <c r="M277" i="5"/>
  <c r="CB277" i="5" s="1"/>
  <c r="BE277" i="5"/>
  <c r="CF277" i="5" s="1"/>
  <c r="AI282" i="5"/>
  <c r="CD282" i="5" s="1"/>
  <c r="CA300" i="5"/>
  <c r="CH300" i="5" s="1"/>
  <c r="X307" i="5"/>
  <c r="CC307" i="5" s="1"/>
  <c r="AT307" i="5"/>
  <c r="CE307" i="5" s="1"/>
  <c r="BP307" i="5"/>
  <c r="CG307" i="5" s="1"/>
  <c r="M307" i="5"/>
  <c r="CB307" i="5" s="1"/>
  <c r="BE307" i="5"/>
  <c r="CF307" i="5" s="1"/>
  <c r="AT308" i="5"/>
  <c r="CE308" i="5" s="1"/>
  <c r="BP308" i="5"/>
  <c r="CG308" i="5" s="1"/>
  <c r="BE308" i="5"/>
  <c r="CF308" i="5" s="1"/>
  <c r="CA308" i="5"/>
  <c r="CH308" i="5" s="1"/>
  <c r="M308" i="5"/>
  <c r="CB308" i="5" s="1"/>
  <c r="BE238" i="5"/>
  <c r="CF238" i="5" s="1"/>
  <c r="AI240" i="5"/>
  <c r="CD240" i="5" s="1"/>
  <c r="BE240" i="5"/>
  <c r="CF240" i="5" s="1"/>
  <c r="M240" i="5"/>
  <c r="CB240" i="5" s="1"/>
  <c r="BE247" i="5"/>
  <c r="CF247" i="5" s="1"/>
  <c r="AI249" i="5"/>
  <c r="CD249" i="5" s="1"/>
  <c r="BE249" i="5"/>
  <c r="CF249" i="5" s="1"/>
  <c r="M249" i="5"/>
  <c r="CB249" i="5" s="1"/>
  <c r="CA256" i="5"/>
  <c r="CH256" i="5" s="1"/>
  <c r="BP258" i="5"/>
  <c r="CG258" i="5" s="1"/>
  <c r="AI258" i="5"/>
  <c r="CD258" i="5" s="1"/>
  <c r="BE258" i="5"/>
  <c r="CF258" i="5" s="1"/>
  <c r="M258" i="5"/>
  <c r="CB258" i="5" s="1"/>
  <c r="AT266" i="5"/>
  <c r="CE266" i="5" s="1"/>
  <c r="BE266" i="5"/>
  <c r="CF266" i="5" s="1"/>
  <c r="CA266" i="5"/>
  <c r="CH266" i="5" s="1"/>
  <c r="X266" i="5"/>
  <c r="CC266" i="5" s="1"/>
  <c r="M266" i="5"/>
  <c r="CB266" i="5" s="1"/>
  <c r="AT279" i="5"/>
  <c r="CE279" i="5" s="1"/>
  <c r="BP279" i="5"/>
  <c r="CG279" i="5" s="1"/>
  <c r="CA279" i="5"/>
  <c r="CH279" i="5" s="1"/>
  <c r="AI279" i="5"/>
  <c r="CD279" i="5" s="1"/>
  <c r="M279" i="5"/>
  <c r="CB279" i="5" s="1"/>
  <c r="BE279" i="5"/>
  <c r="CF279" i="5" s="1"/>
  <c r="BP280" i="5"/>
  <c r="CG280" i="5" s="1"/>
  <c r="X280" i="5"/>
  <c r="CC280" i="5" s="1"/>
  <c r="BE280" i="5"/>
  <c r="CF280" i="5" s="1"/>
  <c r="M280" i="5"/>
  <c r="CB280" i="5" s="1"/>
  <c r="X281" i="5"/>
  <c r="CC281" i="5" s="1"/>
  <c r="AT281" i="5"/>
  <c r="CE281" i="5" s="1"/>
  <c r="CA281" i="5"/>
  <c r="CH281" i="5" s="1"/>
  <c r="M281" i="5"/>
  <c r="CB281" i="5" s="1"/>
  <c r="BE281" i="5"/>
  <c r="CF281" i="5" s="1"/>
  <c r="AT287" i="5"/>
  <c r="CE287" i="5" s="1"/>
  <c r="BP287" i="5"/>
  <c r="CG287" i="5" s="1"/>
  <c r="BE287" i="5"/>
  <c r="CF287" i="5" s="1"/>
  <c r="X287" i="5"/>
  <c r="CC287" i="5" s="1"/>
  <c r="M287" i="5"/>
  <c r="CB287" i="5" s="1"/>
  <c r="BP306" i="5"/>
  <c r="CG306" i="5" s="1"/>
  <c r="X306" i="5"/>
  <c r="CC306" i="5" s="1"/>
  <c r="CA306" i="5"/>
  <c r="CH306" i="5" s="1"/>
  <c r="AT306" i="5"/>
  <c r="CE306" i="5" s="1"/>
  <c r="M306" i="5"/>
  <c r="CB306" i="5" s="1"/>
  <c r="BE306" i="5"/>
  <c r="CF306" i="5" s="1"/>
  <c r="BE309" i="5"/>
  <c r="CF309" i="5" s="1"/>
  <c r="X313" i="5"/>
  <c r="CC313" i="5" s="1"/>
  <c r="AT313" i="5"/>
  <c r="CE313" i="5" s="1"/>
  <c r="BP313" i="5"/>
  <c r="CG313" i="5" s="1"/>
  <c r="AI313" i="5"/>
  <c r="CD313" i="5" s="1"/>
  <c r="BE313" i="5"/>
  <c r="CF313" i="5" s="1"/>
  <c r="M313" i="5"/>
  <c r="CB313" i="5" s="1"/>
  <c r="M209" i="5"/>
  <c r="CB209" i="5" s="1"/>
  <c r="M212" i="5"/>
  <c r="CB212" i="5" s="1"/>
  <c r="M215" i="5"/>
  <c r="CB215" i="5" s="1"/>
  <c r="M218" i="5"/>
  <c r="CB218" i="5" s="1"/>
  <c r="CA221" i="5"/>
  <c r="CH221" i="5" s="1"/>
  <c r="M221" i="5"/>
  <c r="CB221" i="5" s="1"/>
  <c r="CA224" i="5"/>
  <c r="CH224" i="5" s="1"/>
  <c r="CA233" i="5"/>
  <c r="CH233" i="5" s="1"/>
  <c r="CA242" i="5"/>
  <c r="CH242" i="5" s="1"/>
  <c r="CA251" i="5"/>
  <c r="CH251" i="5" s="1"/>
  <c r="X259" i="5"/>
  <c r="CC259" i="5" s="1"/>
  <c r="CA259" i="5"/>
  <c r="CH259" i="5" s="1"/>
  <c r="AI259" i="5"/>
  <c r="CD259" i="5" s="1"/>
  <c r="M259" i="5"/>
  <c r="CB259" i="5" s="1"/>
  <c r="BE259" i="5"/>
  <c r="CF259" i="5" s="1"/>
  <c r="BP267" i="5"/>
  <c r="CG267" i="5" s="1"/>
  <c r="CA267" i="5"/>
  <c r="CH267" i="5" s="1"/>
  <c r="X267" i="5"/>
  <c r="CC267" i="5" s="1"/>
  <c r="M267" i="5"/>
  <c r="CB267" i="5" s="1"/>
  <c r="AT268" i="5"/>
  <c r="CE268" i="5" s="1"/>
  <c r="CA274" i="5"/>
  <c r="CH274" i="5" s="1"/>
  <c r="AT290" i="5"/>
  <c r="CE290" i="5" s="1"/>
  <c r="BP290" i="5"/>
  <c r="CG290" i="5" s="1"/>
  <c r="BE290" i="5"/>
  <c r="CF290" i="5" s="1"/>
  <c r="X290" i="5"/>
  <c r="CC290" i="5" s="1"/>
  <c r="M290" i="5"/>
  <c r="CB290" i="5" s="1"/>
  <c r="AT293" i="5"/>
  <c r="CE293" i="5" s="1"/>
  <c r="BP293" i="5"/>
  <c r="CG293" i="5" s="1"/>
  <c r="X293" i="5"/>
  <c r="CC293" i="5" s="1"/>
  <c r="CA293" i="5"/>
  <c r="CH293" i="5" s="1"/>
  <c r="AI293" i="5"/>
  <c r="CD293" i="5" s="1"/>
  <c r="M293" i="5"/>
  <c r="CB293" i="5" s="1"/>
  <c r="X295" i="5"/>
  <c r="CC295" i="5" s="1"/>
  <c r="AT295" i="5"/>
  <c r="CE295" i="5" s="1"/>
  <c r="BP295" i="5"/>
  <c r="CG295" i="5" s="1"/>
  <c r="AI295" i="5"/>
  <c r="CD295" i="5" s="1"/>
  <c r="BE295" i="5"/>
  <c r="CF295" i="5" s="1"/>
  <c r="M295" i="5"/>
  <c r="CB295" i="5" s="1"/>
  <c r="AT299" i="5"/>
  <c r="CE299" i="5" s="1"/>
  <c r="BP299" i="5"/>
  <c r="CG299" i="5" s="1"/>
  <c r="BE299" i="5"/>
  <c r="CF299" i="5" s="1"/>
  <c r="X299" i="5"/>
  <c r="CC299" i="5" s="1"/>
  <c r="CA299" i="5"/>
  <c r="CH299" i="5" s="1"/>
  <c r="M299" i="5"/>
  <c r="CB299" i="5" s="1"/>
  <c r="CA313" i="5"/>
  <c r="CH313" i="5" s="1"/>
  <c r="H41" i="7"/>
  <c r="M223" i="5"/>
  <c r="CB223" i="5" s="1"/>
  <c r="CA223" i="5"/>
  <c r="CH223" i="5" s="1"/>
  <c r="AI224" i="5"/>
  <c r="CD224" i="5" s="1"/>
  <c r="M226" i="5"/>
  <c r="CB226" i="5" s="1"/>
  <c r="CA226" i="5"/>
  <c r="CH226" i="5" s="1"/>
  <c r="AI227" i="5"/>
  <c r="CD227" i="5" s="1"/>
  <c r="M229" i="5"/>
  <c r="CB229" i="5" s="1"/>
  <c r="CA229" i="5"/>
  <c r="CH229" i="5" s="1"/>
  <c r="AI230" i="5"/>
  <c r="CD230" i="5" s="1"/>
  <c r="M232" i="5"/>
  <c r="CB232" i="5" s="1"/>
  <c r="CA232" i="5"/>
  <c r="CH232" i="5" s="1"/>
  <c r="AI233" i="5"/>
  <c r="CD233" i="5" s="1"/>
  <c r="M235" i="5"/>
  <c r="CB235" i="5" s="1"/>
  <c r="CA235" i="5"/>
  <c r="CH235" i="5" s="1"/>
  <c r="AI236" i="5"/>
  <c r="CD236" i="5" s="1"/>
  <c r="M238" i="5"/>
  <c r="CB238" i="5" s="1"/>
  <c r="CA238" i="5"/>
  <c r="CH238" i="5" s="1"/>
  <c r="AI239" i="5"/>
  <c r="CD239" i="5" s="1"/>
  <c r="M241" i="5"/>
  <c r="CB241" i="5" s="1"/>
  <c r="CA241" i="5"/>
  <c r="CH241" i="5" s="1"/>
  <c r="AI242" i="5"/>
  <c r="CD242" i="5" s="1"/>
  <c r="M244" i="5"/>
  <c r="CB244" i="5" s="1"/>
  <c r="CA244" i="5"/>
  <c r="CH244" i="5" s="1"/>
  <c r="AI245" i="5"/>
  <c r="CD245" i="5" s="1"/>
  <c r="M247" i="5"/>
  <c r="CB247" i="5" s="1"/>
  <c r="CA247" i="5"/>
  <c r="CH247" i="5" s="1"/>
  <c r="AI248" i="5"/>
  <c r="CD248" i="5" s="1"/>
  <c r="M250" i="5"/>
  <c r="CB250" i="5" s="1"/>
  <c r="CA250" i="5"/>
  <c r="CH250" i="5" s="1"/>
  <c r="AI251" i="5"/>
  <c r="CD251" i="5" s="1"/>
  <c r="M253" i="5"/>
  <c r="CB253" i="5" s="1"/>
  <c r="AI254" i="5"/>
  <c r="CD254" i="5" s="1"/>
  <c r="M256" i="5"/>
  <c r="CB256" i="5" s="1"/>
  <c r="AI257" i="5"/>
  <c r="CD257" i="5" s="1"/>
  <c r="X268" i="5"/>
  <c r="CC268" i="5" s="1"/>
  <c r="M268" i="5"/>
  <c r="CB268" i="5" s="1"/>
  <c r="BP268" i="5"/>
  <c r="CG268" i="5" s="1"/>
  <c r="X269" i="5"/>
  <c r="CC269" i="5" s="1"/>
  <c r="AT269" i="5"/>
  <c r="CE269" i="5" s="1"/>
  <c r="M269" i="5"/>
  <c r="CB269" i="5" s="1"/>
  <c r="BE269" i="5"/>
  <c r="CF269" i="5" s="1"/>
  <c r="AI273" i="5"/>
  <c r="CD273" i="5" s="1"/>
  <c r="AT276" i="5"/>
  <c r="CE276" i="5" s="1"/>
  <c r="BP276" i="5"/>
  <c r="CG276" i="5" s="1"/>
  <c r="M276" i="5"/>
  <c r="CB276" i="5" s="1"/>
  <c r="X278" i="5"/>
  <c r="CC278" i="5" s="1"/>
  <c r="AT278" i="5"/>
  <c r="CE278" i="5" s="1"/>
  <c r="M278" i="5"/>
  <c r="CB278" i="5" s="1"/>
  <c r="BE278" i="5"/>
  <c r="CF278" i="5" s="1"/>
  <c r="CA282" i="5"/>
  <c r="CH282" i="5" s="1"/>
  <c r="X283" i="5"/>
  <c r="CC283" i="5" s="1"/>
  <c r="AT283" i="5"/>
  <c r="CE283" i="5" s="1"/>
  <c r="AI283" i="5"/>
  <c r="CD283" i="5" s="1"/>
  <c r="M283" i="5"/>
  <c r="CB283" i="5" s="1"/>
  <c r="AT285" i="5"/>
  <c r="CE285" i="5" s="1"/>
  <c r="BP288" i="5"/>
  <c r="CG288" i="5" s="1"/>
  <c r="X288" i="5"/>
  <c r="CC288" i="5" s="1"/>
  <c r="CA288" i="5"/>
  <c r="CH288" i="5" s="1"/>
  <c r="AT288" i="5"/>
  <c r="CE288" i="5" s="1"/>
  <c r="M288" i="5"/>
  <c r="CB288" i="5" s="1"/>
  <c r="BE288" i="5"/>
  <c r="CF288" i="5" s="1"/>
  <c r="X289" i="5"/>
  <c r="CC289" i="5" s="1"/>
  <c r="AT289" i="5"/>
  <c r="CE289" i="5" s="1"/>
  <c r="BP289" i="5"/>
  <c r="CG289" i="5" s="1"/>
  <c r="M289" i="5"/>
  <c r="CB289" i="5" s="1"/>
  <c r="BE289" i="5"/>
  <c r="CF289" i="5" s="1"/>
  <c r="CA309" i="5"/>
  <c r="CH309" i="5" s="1"/>
  <c r="X310" i="5"/>
  <c r="CC310" i="5" s="1"/>
  <c r="AT310" i="5"/>
  <c r="CE310" i="5" s="1"/>
  <c r="AI310" i="5"/>
  <c r="CD310" i="5" s="1"/>
  <c r="M310" i="5"/>
  <c r="CB310" i="5" s="1"/>
  <c r="AT312" i="5"/>
  <c r="CE312" i="5" s="1"/>
  <c r="F26" i="7"/>
  <c r="F27" i="7" s="1"/>
  <c r="G6" i="7"/>
  <c r="J8" i="7" s="1"/>
  <c r="M224" i="5"/>
  <c r="CB224" i="5" s="1"/>
  <c r="M227" i="5"/>
  <c r="CB227" i="5" s="1"/>
  <c r="M230" i="5"/>
  <c r="CB230" i="5" s="1"/>
  <c r="M233" i="5"/>
  <c r="CB233" i="5" s="1"/>
  <c r="M236" i="5"/>
  <c r="CB236" i="5" s="1"/>
  <c r="M239" i="5"/>
  <c r="CB239" i="5" s="1"/>
  <c r="M242" i="5"/>
  <c r="CB242" i="5" s="1"/>
  <c r="M245" i="5"/>
  <c r="CB245" i="5" s="1"/>
  <c r="M248" i="5"/>
  <c r="CB248" i="5" s="1"/>
  <c r="M251" i="5"/>
  <c r="CB251" i="5" s="1"/>
  <c r="M254" i="5"/>
  <c r="CB254" i="5" s="1"/>
  <c r="M257" i="5"/>
  <c r="CB257" i="5" s="1"/>
  <c r="X262" i="5"/>
  <c r="CC262" i="5" s="1"/>
  <c r="M262" i="5"/>
  <c r="CB262" i="5" s="1"/>
  <c r="BP262" i="5"/>
  <c r="CG262" i="5" s="1"/>
  <c r="AT263" i="5"/>
  <c r="CE263" i="5" s="1"/>
  <c r="M263" i="5"/>
  <c r="CB263" i="5" s="1"/>
  <c r="BP263" i="5"/>
  <c r="CG263" i="5" s="1"/>
  <c r="BP264" i="5"/>
  <c r="CG264" i="5" s="1"/>
  <c r="M264" i="5"/>
  <c r="CB264" i="5" s="1"/>
  <c r="AT273" i="5"/>
  <c r="CE273" i="5" s="1"/>
  <c r="BP273" i="5"/>
  <c r="CG273" i="5" s="1"/>
  <c r="M273" i="5"/>
  <c r="CB273" i="5" s="1"/>
  <c r="X275" i="5"/>
  <c r="CC275" i="5" s="1"/>
  <c r="AT275" i="5"/>
  <c r="CE275" i="5" s="1"/>
  <c r="M275" i="5"/>
  <c r="CB275" i="5" s="1"/>
  <c r="BE275" i="5"/>
  <c r="CF275" i="5" s="1"/>
  <c r="CA291" i="5"/>
  <c r="CH291" i="5" s="1"/>
  <c r="X292" i="5"/>
  <c r="CC292" i="5" s="1"/>
  <c r="AT292" i="5"/>
  <c r="CE292" i="5" s="1"/>
  <c r="AI292" i="5"/>
  <c r="CD292" i="5" s="1"/>
  <c r="M292" i="5"/>
  <c r="CB292" i="5" s="1"/>
  <c r="AT294" i="5"/>
  <c r="CE294" i="5" s="1"/>
  <c r="BP297" i="5"/>
  <c r="CG297" i="5" s="1"/>
  <c r="X297" i="5"/>
  <c r="CC297" i="5" s="1"/>
  <c r="CA297" i="5"/>
  <c r="CH297" i="5" s="1"/>
  <c r="AT297" i="5"/>
  <c r="CE297" i="5" s="1"/>
  <c r="M297" i="5"/>
  <c r="CB297" i="5" s="1"/>
  <c r="BE297" i="5"/>
  <c r="CF297" i="5" s="1"/>
  <c r="X298" i="5"/>
  <c r="CC298" i="5" s="1"/>
  <c r="AT298" i="5"/>
  <c r="CE298" i="5" s="1"/>
  <c r="BP298" i="5"/>
  <c r="CG298" i="5" s="1"/>
  <c r="M298" i="5"/>
  <c r="CB298" i="5" s="1"/>
  <c r="BE298" i="5"/>
  <c r="CF298" i="5" s="1"/>
  <c r="O41" i="7"/>
  <c r="BP285" i="5"/>
  <c r="CG285" i="5" s="1"/>
  <c r="X285" i="5"/>
  <c r="CC285" i="5" s="1"/>
  <c r="M285" i="5"/>
  <c r="CB285" i="5" s="1"/>
  <c r="BP294" i="5"/>
  <c r="CG294" i="5" s="1"/>
  <c r="X294" i="5"/>
  <c r="CC294" i="5" s="1"/>
  <c r="M294" i="5"/>
  <c r="CB294" i="5" s="1"/>
  <c r="BP303" i="5"/>
  <c r="CG303" i="5" s="1"/>
  <c r="X303" i="5"/>
  <c r="CC303" i="5" s="1"/>
  <c r="M303" i="5"/>
  <c r="CB303" i="5" s="1"/>
  <c r="BP312" i="5"/>
  <c r="CG312" i="5" s="1"/>
  <c r="X312" i="5"/>
  <c r="CC312" i="5" s="1"/>
  <c r="M312" i="5"/>
  <c r="CB312" i="5" s="1"/>
  <c r="N41" i="7"/>
  <c r="BP282" i="5"/>
  <c r="CG282" i="5" s="1"/>
  <c r="X282" i="5"/>
  <c r="CC282" i="5" s="1"/>
  <c r="M282" i="5"/>
  <c r="CB282" i="5" s="1"/>
  <c r="BP291" i="5"/>
  <c r="CG291" i="5" s="1"/>
  <c r="X291" i="5"/>
  <c r="CC291" i="5" s="1"/>
  <c r="M291" i="5"/>
  <c r="CB291" i="5" s="1"/>
  <c r="BP300" i="5"/>
  <c r="CG300" i="5" s="1"/>
  <c r="X300" i="5"/>
  <c r="CC300" i="5" s="1"/>
  <c r="M300" i="5"/>
  <c r="CB300" i="5" s="1"/>
  <c r="BP309" i="5"/>
  <c r="CG309" i="5" s="1"/>
  <c r="X309" i="5"/>
  <c r="CC309" i="5" s="1"/>
  <c r="M309" i="5"/>
  <c r="CB309" i="5" s="1"/>
  <c r="H37" i="7"/>
  <c r="H39" i="7"/>
  <c r="H42" i="7"/>
  <c r="H38" i="7"/>
  <c r="C50" i="7"/>
  <c r="C48" i="7"/>
  <c r="C46" i="7"/>
  <c r="G57" i="7"/>
  <c r="H34" i="7"/>
  <c r="H40" i="7"/>
  <c r="N11" i="7"/>
  <c r="N13" i="7" s="1"/>
  <c r="CV67" i="2" l="1"/>
  <c r="I67" i="1" s="1"/>
  <c r="K67" i="1" s="1"/>
  <c r="CV65" i="2"/>
  <c r="I65" i="1" s="1"/>
  <c r="K65" i="1" s="1"/>
  <c r="CV64" i="2"/>
  <c r="I64" i="1" s="1"/>
  <c r="K64" i="1" s="1"/>
  <c r="CV63" i="2"/>
  <c r="I63" i="1" s="1"/>
  <c r="K63" i="1" s="1"/>
  <c r="CU66" i="2"/>
  <c r="CV66" i="2" s="1"/>
  <c r="I66" i="1" s="1"/>
  <c r="K66" i="1" s="1"/>
  <c r="CU73" i="2"/>
  <c r="CV73" i="2" s="1"/>
  <c r="I73" i="1" s="1"/>
  <c r="K73" i="1" s="1"/>
  <c r="CU79" i="2"/>
  <c r="CV79" i="2" s="1"/>
  <c r="I79" i="1" s="1"/>
  <c r="K79" i="1" s="1"/>
  <c r="CU85" i="2"/>
  <c r="CV85" i="2" s="1"/>
  <c r="I85" i="1" s="1"/>
  <c r="K85" i="1" s="1"/>
  <c r="CU91" i="2"/>
  <c r="CV91" i="2" s="1"/>
  <c r="I91" i="1" s="1"/>
  <c r="K91" i="1" s="1"/>
  <c r="CU39" i="2"/>
  <c r="CV39" i="2" s="1"/>
  <c r="I39" i="1" s="1"/>
  <c r="K39" i="1" s="1"/>
  <c r="CU33" i="2"/>
  <c r="CV33" i="2" s="1"/>
  <c r="I33" i="1" s="1"/>
  <c r="K33" i="1" s="1"/>
  <c r="CU10" i="2"/>
  <c r="CV10" i="2" s="1"/>
  <c r="I10" i="1" s="1"/>
  <c r="K10" i="1" s="1"/>
  <c r="CU28" i="2"/>
  <c r="CV28" i="2" s="1"/>
  <c r="I28" i="1" s="1"/>
  <c r="K28" i="1" s="1"/>
  <c r="CU9" i="2"/>
  <c r="CV9" i="2" s="1"/>
  <c r="I9" i="1" s="1"/>
  <c r="K9" i="1" s="1"/>
  <c r="CU27" i="2"/>
  <c r="CV27" i="2" s="1"/>
  <c r="I27" i="1" s="1"/>
  <c r="K27" i="1" s="1"/>
  <c r="CU46" i="2"/>
  <c r="CV46" i="2" s="1"/>
  <c r="I46" i="1" s="1"/>
  <c r="K46" i="1" s="1"/>
  <c r="CU54" i="2"/>
  <c r="CV54" i="2" s="1"/>
  <c r="I54" i="1" s="1"/>
  <c r="K54" i="1" s="1"/>
  <c r="CU55" i="2"/>
  <c r="CV55" i="2" s="1"/>
  <c r="I55" i="1" s="1"/>
  <c r="K55" i="1" s="1"/>
  <c r="CU56" i="2"/>
  <c r="CV56" i="2" s="1"/>
  <c r="I56" i="1" s="1"/>
  <c r="K56" i="1" s="1"/>
  <c r="CU98" i="2"/>
  <c r="CU68" i="2"/>
  <c r="CV68" i="2" s="1"/>
  <c r="I68" i="1" s="1"/>
  <c r="K68" i="1" s="1"/>
  <c r="CU74" i="2"/>
  <c r="CV74" i="2" s="1"/>
  <c r="I74" i="1" s="1"/>
  <c r="K74" i="1" s="1"/>
  <c r="CU80" i="2"/>
  <c r="CV80" i="2" s="1"/>
  <c r="I80" i="1" s="1"/>
  <c r="K80" i="1" s="1"/>
  <c r="CU86" i="2"/>
  <c r="CV86" i="2" s="1"/>
  <c r="I86" i="1" s="1"/>
  <c r="K86" i="1" s="1"/>
  <c r="CU57" i="2"/>
  <c r="CV57" i="2" s="1"/>
  <c r="I57" i="1" s="1"/>
  <c r="K57" i="1" s="1"/>
  <c r="CU35" i="2"/>
  <c r="CV35" i="2" s="1"/>
  <c r="I35" i="1" s="1"/>
  <c r="K35" i="1" s="1"/>
  <c r="CU13" i="2"/>
  <c r="CV13" i="2" s="1"/>
  <c r="I13" i="1" s="1"/>
  <c r="K13" i="1" s="1"/>
  <c r="CU31" i="2"/>
  <c r="CV31" i="2" s="1"/>
  <c r="I31" i="1" s="1"/>
  <c r="K31" i="1" s="1"/>
  <c r="CU12" i="2"/>
  <c r="CV12" i="2" s="1"/>
  <c r="I12" i="1" s="1"/>
  <c r="K12" i="1" s="1"/>
  <c r="CU30" i="2"/>
  <c r="CV30" i="2" s="1"/>
  <c r="I30" i="1" s="1"/>
  <c r="K30" i="1" s="1"/>
  <c r="CU52" i="2"/>
  <c r="CV52" i="2" s="1"/>
  <c r="I52" i="1" s="1"/>
  <c r="K52" i="1" s="1"/>
  <c r="CU60" i="2"/>
  <c r="CV60" i="2" s="1"/>
  <c r="I60" i="1" s="1"/>
  <c r="K60" i="1" s="1"/>
  <c r="CU61" i="2"/>
  <c r="CV61" i="2" s="1"/>
  <c r="I61" i="1" s="1"/>
  <c r="K61" i="1" s="1"/>
  <c r="CU93" i="2"/>
  <c r="CU99" i="2"/>
  <c r="CV5" i="2"/>
  <c r="I5" i="1" s="1"/>
  <c r="K5" i="1" s="1"/>
  <c r="CU69" i="2"/>
  <c r="CV69" i="2" s="1"/>
  <c r="I69" i="1" s="1"/>
  <c r="K69" i="1" s="1"/>
  <c r="CU75" i="2"/>
  <c r="CV75" i="2" s="1"/>
  <c r="I75" i="1" s="1"/>
  <c r="K75" i="1" s="1"/>
  <c r="CU81" i="2"/>
  <c r="CV81" i="2" s="1"/>
  <c r="I81" i="1" s="1"/>
  <c r="K81" i="1" s="1"/>
  <c r="CU87" i="2"/>
  <c r="CV87" i="2" s="1"/>
  <c r="I87" i="1" s="1"/>
  <c r="K87" i="1" s="1"/>
  <c r="CU17" i="2"/>
  <c r="CV17" i="2" s="1"/>
  <c r="I17" i="1" s="1"/>
  <c r="K17" i="1" s="1"/>
  <c r="CU20" i="2"/>
  <c r="CV20" i="2" s="1"/>
  <c r="I20" i="1" s="1"/>
  <c r="K20" i="1" s="1"/>
  <c r="CU47" i="2"/>
  <c r="CV47" i="2" s="1"/>
  <c r="I47" i="1" s="1"/>
  <c r="K47" i="1" s="1"/>
  <c r="CU16" i="2"/>
  <c r="CV16" i="2" s="1"/>
  <c r="I16" i="1" s="1"/>
  <c r="K16" i="1" s="1"/>
  <c r="CU53" i="2"/>
  <c r="CV53" i="2" s="1"/>
  <c r="I53" i="1" s="1"/>
  <c r="K53" i="1" s="1"/>
  <c r="CU15" i="2"/>
  <c r="CV15" i="2" s="1"/>
  <c r="I15" i="1" s="1"/>
  <c r="K15" i="1" s="1"/>
  <c r="CU41" i="2"/>
  <c r="CV41" i="2" s="1"/>
  <c r="I41" i="1" s="1"/>
  <c r="K41" i="1" s="1"/>
  <c r="CU58" i="2"/>
  <c r="CV58" i="2" s="1"/>
  <c r="I58" i="1" s="1"/>
  <c r="K58" i="1" s="1"/>
  <c r="CU62" i="2"/>
  <c r="CV62" i="2" s="1"/>
  <c r="I62" i="1" s="1"/>
  <c r="K62" i="1" s="1"/>
  <c r="CU32" i="2"/>
  <c r="CV32" i="2" s="1"/>
  <c r="I32" i="1" s="1"/>
  <c r="K32" i="1" s="1"/>
  <c r="CU94" i="2"/>
  <c r="CU100" i="2"/>
  <c r="CU70" i="2"/>
  <c r="CV70" i="2" s="1"/>
  <c r="I70" i="1" s="1"/>
  <c r="K70" i="1" s="1"/>
  <c r="CU76" i="2"/>
  <c r="CV76" i="2" s="1"/>
  <c r="I76" i="1" s="1"/>
  <c r="K76" i="1" s="1"/>
  <c r="CU82" i="2"/>
  <c r="CV82" i="2" s="1"/>
  <c r="I82" i="1" s="1"/>
  <c r="K82" i="1" s="1"/>
  <c r="CU88" i="2"/>
  <c r="CV88" i="2" s="1"/>
  <c r="I88" i="1" s="1"/>
  <c r="K88" i="1" s="1"/>
  <c r="CU14" i="2"/>
  <c r="CV14" i="2" s="1"/>
  <c r="I14" i="1" s="1"/>
  <c r="K14" i="1" s="1"/>
  <c r="CU23" i="2"/>
  <c r="CV23" i="2" s="1"/>
  <c r="I23" i="1" s="1"/>
  <c r="K23" i="1" s="1"/>
  <c r="CU45" i="2"/>
  <c r="CV45" i="2" s="1"/>
  <c r="I45" i="1" s="1"/>
  <c r="K45" i="1" s="1"/>
  <c r="CU19" i="2"/>
  <c r="CV19" i="2" s="1"/>
  <c r="I19" i="1" s="1"/>
  <c r="K19" i="1" s="1"/>
  <c r="CU51" i="2"/>
  <c r="CV51" i="2" s="1"/>
  <c r="I51" i="1" s="1"/>
  <c r="K51" i="1" s="1"/>
  <c r="CU18" i="2"/>
  <c r="CV18" i="2" s="1"/>
  <c r="I18" i="1" s="1"/>
  <c r="K18" i="1" s="1"/>
  <c r="CU59" i="2"/>
  <c r="CV59" i="2" s="1"/>
  <c r="I59" i="1" s="1"/>
  <c r="K59" i="1" s="1"/>
  <c r="CU36" i="2"/>
  <c r="CV36" i="2" s="1"/>
  <c r="I36" i="1" s="1"/>
  <c r="K36" i="1" s="1"/>
  <c r="CU37" i="2"/>
  <c r="CV37" i="2" s="1"/>
  <c r="I37" i="1" s="1"/>
  <c r="K37" i="1" s="1"/>
  <c r="CU38" i="2"/>
  <c r="CV38" i="2" s="1"/>
  <c r="I38" i="1" s="1"/>
  <c r="K38" i="1" s="1"/>
  <c r="CU95" i="2"/>
  <c r="CU101" i="2"/>
  <c r="CU71" i="2"/>
  <c r="CV71" i="2" s="1"/>
  <c r="I71" i="1" s="1"/>
  <c r="K71" i="1" s="1"/>
  <c r="CU77" i="2"/>
  <c r="CV77" i="2" s="1"/>
  <c r="I77" i="1" s="1"/>
  <c r="K77" i="1" s="1"/>
  <c r="CU83" i="2"/>
  <c r="CV83" i="2" s="1"/>
  <c r="I83" i="1" s="1"/>
  <c r="K83" i="1" s="1"/>
  <c r="CU89" i="2"/>
  <c r="CV89" i="2" s="1"/>
  <c r="I89" i="1" s="1"/>
  <c r="K89" i="1" s="1"/>
  <c r="CU11" i="2"/>
  <c r="CV11" i="2" s="1"/>
  <c r="I11" i="1" s="1"/>
  <c r="K11" i="1" s="1"/>
  <c r="CU26" i="2"/>
  <c r="CV26" i="2" s="1"/>
  <c r="I26" i="1" s="1"/>
  <c r="K26" i="1" s="1"/>
  <c r="CV4" i="2"/>
  <c r="I4" i="1" s="1"/>
  <c r="K4" i="1" s="1"/>
  <c r="CU22" i="2"/>
  <c r="CV22" i="2" s="1"/>
  <c r="I22" i="1" s="1"/>
  <c r="K22" i="1" s="1"/>
  <c r="CV3" i="2"/>
  <c r="I3" i="1" s="1"/>
  <c r="K3" i="1" s="1"/>
  <c r="CU21" i="2"/>
  <c r="CV21" i="2" s="1"/>
  <c r="I21" i="1" s="1"/>
  <c r="K21" i="1" s="1"/>
  <c r="CU34" i="2"/>
  <c r="CV34" i="2" s="1"/>
  <c r="I34" i="1" s="1"/>
  <c r="K34" i="1" s="1"/>
  <c r="CU42" i="2"/>
  <c r="CV42" i="2" s="1"/>
  <c r="I42" i="1" s="1"/>
  <c r="K42" i="1" s="1"/>
  <c r="CU43" i="2"/>
  <c r="CV43" i="2" s="1"/>
  <c r="I43" i="1" s="1"/>
  <c r="K43" i="1" s="1"/>
  <c r="CU44" i="2"/>
  <c r="CV44" i="2" s="1"/>
  <c r="I44" i="1" s="1"/>
  <c r="K44" i="1" s="1"/>
  <c r="CU96" i="2"/>
  <c r="CU102" i="2"/>
  <c r="CV92" i="2"/>
  <c r="I92" i="1" s="1"/>
  <c r="K92" i="1" s="1"/>
  <c r="CU72" i="2"/>
  <c r="CV72" i="2" s="1"/>
  <c r="I72" i="1" s="1"/>
  <c r="K72" i="1" s="1"/>
  <c r="CU78" i="2"/>
  <c r="CV78" i="2" s="1"/>
  <c r="I78" i="1" s="1"/>
  <c r="K78" i="1" s="1"/>
  <c r="CU84" i="2"/>
  <c r="CV84" i="2" s="1"/>
  <c r="I84" i="1" s="1"/>
  <c r="K84" i="1" s="1"/>
  <c r="CU90" i="2"/>
  <c r="CV90" i="2" s="1"/>
  <c r="I90" i="1" s="1"/>
  <c r="K90" i="1" s="1"/>
  <c r="CU8" i="2"/>
  <c r="CV8" i="2" s="1"/>
  <c r="I8" i="1" s="1"/>
  <c r="K8" i="1" s="1"/>
  <c r="CU29" i="2"/>
  <c r="CV29" i="2" s="1"/>
  <c r="I29" i="1" s="1"/>
  <c r="K29" i="1" s="1"/>
  <c r="CV7" i="2"/>
  <c r="I7" i="1" s="1"/>
  <c r="K7" i="1" s="1"/>
  <c r="CU25" i="2"/>
  <c r="CV25" i="2" s="1"/>
  <c r="I25" i="1" s="1"/>
  <c r="K25" i="1" s="1"/>
  <c r="CV6" i="2"/>
  <c r="I6" i="1" s="1"/>
  <c r="K6" i="1" s="1"/>
  <c r="CU24" i="2"/>
  <c r="CV24" i="2" s="1"/>
  <c r="I24" i="1" s="1"/>
  <c r="K24" i="1" s="1"/>
  <c r="CU40" i="2"/>
  <c r="CV40" i="2" s="1"/>
  <c r="I40" i="1" s="1"/>
  <c r="K40" i="1" s="1"/>
  <c r="CU48" i="2"/>
  <c r="CV48" i="2" s="1"/>
  <c r="I48" i="1" s="1"/>
  <c r="K48" i="1" s="1"/>
  <c r="CU49" i="2"/>
  <c r="CV49" i="2" s="1"/>
  <c r="I49" i="1" s="1"/>
  <c r="K49" i="1" s="1"/>
  <c r="CU50" i="2"/>
  <c r="CV50" i="2" s="1"/>
  <c r="I50" i="1" s="1"/>
  <c r="K50" i="1" s="1"/>
  <c r="CU97" i="2"/>
  <c r="CV99" i="2" l="1"/>
  <c r="I99" i="1" s="1"/>
  <c r="K99" i="1" s="1"/>
  <c r="T119" i="2"/>
  <c r="T109" i="2"/>
  <c r="T194" i="2"/>
  <c r="CV194" i="2" s="1"/>
  <c r="I194" i="1" s="1"/>
  <c r="K194" i="1" s="1"/>
  <c r="CV100" i="2"/>
  <c r="I100" i="1" s="1"/>
  <c r="K100" i="1" s="1"/>
  <c r="T120" i="2"/>
  <c r="T110" i="2"/>
  <c r="T195" i="2"/>
  <c r="CV195" i="2" s="1"/>
  <c r="I195" i="1" s="1"/>
  <c r="K195" i="1" s="1"/>
  <c r="CV93" i="2"/>
  <c r="I93" i="1" s="1"/>
  <c r="K93" i="1" s="1"/>
  <c r="T113" i="2"/>
  <c r="T103" i="2"/>
  <c r="T188" i="2"/>
  <c r="CV188" i="2" s="1"/>
  <c r="I188" i="1" s="1"/>
  <c r="K188" i="1" s="1"/>
  <c r="CV94" i="2"/>
  <c r="I94" i="1" s="1"/>
  <c r="K94" i="1" s="1"/>
  <c r="T114" i="2"/>
  <c r="T104" i="2"/>
  <c r="T189" i="2"/>
  <c r="CV189" i="2" s="1"/>
  <c r="I189" i="1" s="1"/>
  <c r="K189" i="1" s="1"/>
  <c r="T192" i="2"/>
  <c r="CV192" i="2" s="1"/>
  <c r="I192" i="1" s="1"/>
  <c r="K192" i="1" s="1"/>
  <c r="CV97" i="2"/>
  <c r="I97" i="1" s="1"/>
  <c r="K97" i="1" s="1"/>
  <c r="T117" i="2"/>
  <c r="T107" i="2"/>
  <c r="CV101" i="2"/>
  <c r="I101" i="1" s="1"/>
  <c r="K101" i="1" s="1"/>
  <c r="T121" i="2"/>
  <c r="T111" i="2"/>
  <c r="T196" i="2"/>
  <c r="CV196" i="2" s="1"/>
  <c r="I196" i="1" s="1"/>
  <c r="K196" i="1" s="1"/>
  <c r="T193" i="2"/>
  <c r="CV193" i="2" s="1"/>
  <c r="I193" i="1" s="1"/>
  <c r="K193" i="1" s="1"/>
  <c r="CV98" i="2"/>
  <c r="I98" i="1" s="1"/>
  <c r="K98" i="1" s="1"/>
  <c r="T118" i="2"/>
  <c r="T108" i="2"/>
  <c r="CV96" i="2"/>
  <c r="I96" i="1" s="1"/>
  <c r="K96" i="1" s="1"/>
  <c r="T191" i="2"/>
  <c r="CV191" i="2" s="1"/>
  <c r="I191" i="1" s="1"/>
  <c r="K191" i="1" s="1"/>
  <c r="T116" i="2"/>
  <c r="T106" i="2"/>
  <c r="CV95" i="2"/>
  <c r="I95" i="1" s="1"/>
  <c r="K95" i="1" s="1"/>
  <c r="T115" i="2"/>
  <c r="T105" i="2"/>
  <c r="T190" i="2"/>
  <c r="CV190" i="2" s="1"/>
  <c r="I190" i="1" s="1"/>
  <c r="K190" i="1" s="1"/>
  <c r="CV102" i="2"/>
  <c r="I102" i="1" s="1"/>
  <c r="K102" i="1" s="1"/>
  <c r="T197" i="2"/>
  <c r="CV197" i="2" s="1"/>
  <c r="I197" i="1" s="1"/>
  <c r="K197" i="1" s="1"/>
  <c r="T122" i="2"/>
  <c r="T112" i="2"/>
  <c r="K120" i="4" l="1"/>
  <c r="N120" i="4" s="1"/>
  <c r="CV120" i="2"/>
  <c r="I120" i="1" s="1"/>
  <c r="K120" i="1" s="1"/>
  <c r="K105" i="4"/>
  <c r="N105" i="4" s="1"/>
  <c r="CV105" i="2"/>
  <c r="I105" i="1" s="1"/>
  <c r="K105" i="1" s="1"/>
  <c r="K111" i="4"/>
  <c r="N111" i="4" s="1"/>
  <c r="CV111" i="2"/>
  <c r="I111" i="1" s="1"/>
  <c r="K111" i="1" s="1"/>
  <c r="K103" i="4"/>
  <c r="N103" i="4" s="1"/>
  <c r="CV103" i="2"/>
  <c r="I103" i="1" s="1"/>
  <c r="K103" i="1" s="1"/>
  <c r="K115" i="4"/>
  <c r="N115" i="4" s="1"/>
  <c r="CV115" i="2"/>
  <c r="I115" i="1" s="1"/>
  <c r="K115" i="1" s="1"/>
  <c r="K122" i="4"/>
  <c r="N122" i="4" s="1"/>
  <c r="CV122" i="2"/>
  <c r="I122" i="1" s="1"/>
  <c r="K122" i="1" s="1"/>
  <c r="K118" i="4"/>
  <c r="N118" i="4" s="1"/>
  <c r="CV118" i="2"/>
  <c r="I118" i="1" s="1"/>
  <c r="K118" i="1" s="1"/>
  <c r="K104" i="4"/>
  <c r="N104" i="4" s="1"/>
  <c r="CV104" i="2"/>
  <c r="I104" i="1" s="1"/>
  <c r="K104" i="1" s="1"/>
  <c r="K109" i="4"/>
  <c r="N109" i="4" s="1"/>
  <c r="CV109" i="2"/>
  <c r="I109" i="1" s="1"/>
  <c r="K109" i="1" s="1"/>
  <c r="K112" i="4"/>
  <c r="N112" i="4" s="1"/>
  <c r="CV112" i="2"/>
  <c r="I112" i="1" s="1"/>
  <c r="K112" i="1" s="1"/>
  <c r="K108" i="4"/>
  <c r="N108" i="4" s="1"/>
  <c r="CV108" i="2"/>
  <c r="I108" i="1" s="1"/>
  <c r="K108" i="1" s="1"/>
  <c r="K121" i="4"/>
  <c r="N121" i="4" s="1"/>
  <c r="CV121" i="2"/>
  <c r="I121" i="1" s="1"/>
  <c r="K121" i="1" s="1"/>
  <c r="K106" i="4"/>
  <c r="N106" i="4" s="1"/>
  <c r="CV106" i="2"/>
  <c r="I106" i="1" s="1"/>
  <c r="K106" i="1" s="1"/>
  <c r="K107" i="4"/>
  <c r="N107" i="4" s="1"/>
  <c r="CV107" i="2"/>
  <c r="I107" i="1" s="1"/>
  <c r="K107" i="1" s="1"/>
  <c r="K114" i="4"/>
  <c r="N114" i="4" s="1"/>
  <c r="CV114" i="2"/>
  <c r="I114" i="1" s="1"/>
  <c r="K114" i="1" s="1"/>
  <c r="K119" i="4"/>
  <c r="N119" i="4" s="1"/>
  <c r="CV119" i="2"/>
  <c r="I119" i="1" s="1"/>
  <c r="K119" i="1" s="1"/>
  <c r="K113" i="4"/>
  <c r="N113" i="4" s="1"/>
  <c r="CV113" i="2"/>
  <c r="I113" i="1" s="1"/>
  <c r="K113" i="1" s="1"/>
  <c r="K116" i="4"/>
  <c r="N116" i="4" s="1"/>
  <c r="CV116" i="2"/>
  <c r="I116" i="1" s="1"/>
  <c r="K116" i="1" s="1"/>
  <c r="K117" i="4"/>
  <c r="N117" i="4" s="1"/>
  <c r="CV117" i="2"/>
  <c r="I117" i="1" s="1"/>
  <c r="K117" i="1" s="1"/>
  <c r="K110" i="4"/>
  <c r="N110" i="4" s="1"/>
  <c r="CV110" i="2"/>
  <c r="I110" i="1" s="1"/>
  <c r="K11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W1" authorId="0" shapeId="0" xr:uid="{00000000-0006-0000-0000-000001000000}">
      <text>
        <r>
          <rPr>
            <sz val="9"/>
            <color indexed="81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<sst xmlns="http://schemas.openxmlformats.org/spreadsheetml/2006/main" count="6430" uniqueCount="1033">
  <si>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</si>
  <si>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</si>
  <si>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</si>
  <si>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</si>
  <si>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</si>
  <si>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</si>
  <si>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</si>
  <si>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</si>
  <si>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</si>
  <si>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</si>
  <si>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</si>
  <si>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</si>
  <si>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</si>
  <si>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</si>
  <si>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</si>
  <si>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</si>
  <si>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</si>
  <si>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</si>
  <si>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</si>
  <si>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</si>
  <si>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</si>
  <si>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</si>
  <si>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</si>
  <si>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</si>
  <si>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</si>
  <si>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</si>
  <si>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</si>
  <si>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</si>
  <si>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</si>
  <si>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</si>
  <si>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</si>
  <si>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</si>
  <si>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</si>
  <si>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</si>
  <si>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</si>
  <si>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</si>
  <si>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</si>
  <si>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</si>
  <si>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</si>
  <si>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</si>
  <si>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</si>
  <si>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</si>
  <si>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</si>
  <si>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</si>
  <si>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</si>
  <si>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</si>
  <si>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</si>
  <si>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</si>
  <si>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</si>
  <si>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</si>
  <si>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</si>
  <si>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</si>
  <si>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</si>
  <si>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</si>
  <si>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</si>
  <si>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</si>
  <si>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</si>
  <si>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</si>
  <si>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</si>
  <si>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</si>
  <si>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</si>
  <si>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</si>
  <si>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</si>
  <si>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</si>
  <si>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</si>
  <si>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</si>
  <si>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</si>
  <si>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</si>
  <si>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</si>
  <si>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</si>
  <si>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</si>
  <si>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</si>
  <si>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</si>
  <si>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</si>
  <si>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</si>
  <si>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</si>
  <si>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</si>
  <si>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</si>
  <si>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</si>
  <si>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</si>
  <si>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</si>
  <si>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</si>
  <si>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</si>
  <si>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</si>
  <si>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</si>
  <si>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</si>
  <si>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</si>
  <si>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</si>
  <si>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</si>
  <si>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</si>
  <si>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</si>
  <si>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</si>
  <si>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</si>
  <si>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</si>
  <si>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</si>
  <si>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</si>
  <si>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</si>
  <si>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</si>
  <si>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</si>
  <si>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</si>
  <si>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</si>
  <si>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</si>
  <si>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</si>
  <si>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</si>
  <si>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</si>
  <si>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</si>
  <si>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</si>
  <si>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</si>
  <si>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</si>
  <si>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</si>
  <si>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</si>
  <si>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</si>
  <si>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</si>
  <si>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</si>
  <si>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</si>
  <si>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</si>
  <si>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</si>
  <si>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</si>
  <si>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</si>
  <si>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</si>
  <si>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</si>
  <si>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</si>
  <si>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</si>
  <si>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</si>
  <si>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</si>
  <si>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</si>
  <si>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</si>
  <si>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</si>
  <si>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</si>
  <si>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</si>
  <si>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</si>
  <si>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</si>
  <si>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</si>
  <si>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</si>
  <si>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</si>
  <si>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</si>
  <si>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</si>
  <si>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</si>
  <si>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</si>
  <si>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</si>
  <si>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</si>
  <si>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</si>
  <si>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</si>
  <si>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</si>
  <si>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</si>
  <si>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</si>
  <si>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</si>
  <si>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</si>
  <si>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</si>
  <si>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</si>
  <si>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</si>
  <si>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</si>
  <si>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</si>
  <si>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</si>
  <si>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</si>
  <si>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</si>
  <si>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</si>
  <si>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</si>
  <si>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</si>
  <si>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</si>
  <si>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</si>
  <si>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</si>
  <si>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</si>
  <si>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</si>
  <si>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</si>
  <si>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</si>
  <si>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</si>
  <si>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</si>
  <si>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</si>
  <si>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</si>
  <si>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</si>
  <si>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</si>
  <si>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</si>
  <si>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</si>
  <si>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</si>
  <si>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</si>
  <si>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</si>
  <si>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</si>
  <si>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</si>
  <si>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</si>
  <si>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</si>
  <si>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</si>
  <si>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</si>
  <si>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</si>
  <si>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</si>
  <si>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</si>
  <si>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</si>
  <si>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</si>
  <si>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</si>
  <si>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</si>
  <si>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</si>
  <si>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</si>
  <si>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</si>
  <si>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</si>
  <si>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</si>
  <si>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</si>
  <si>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</si>
  <si>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</si>
  <si>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</si>
  <si>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</si>
  <si>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</si>
  <si>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</si>
  <si>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</si>
  <si>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</si>
  <si>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</si>
  <si>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</si>
  <si>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</si>
  <si>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</si>
  <si>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</si>
  <si>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</si>
  <si>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</si>
  <si>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</si>
  <si>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</si>
  <si>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</si>
  <si>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</si>
  <si>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</si>
  <si>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</si>
  <si>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</si>
  <si>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</si>
  <si>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</si>
  <si>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</si>
  <si>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</si>
  <si>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</si>
  <si>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</si>
  <si>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</si>
  <si>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</si>
  <si>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</si>
  <si>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</si>
  <si>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</si>
  <si>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</si>
  <si>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</si>
  <si>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</si>
  <si>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</si>
  <si>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</si>
  <si>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</si>
  <si>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</si>
  <si>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</si>
  <si>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</si>
  <si>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</si>
  <si>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</si>
  <si>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</si>
  <si>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</si>
  <si>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</si>
  <si>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</si>
  <si>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</si>
  <si>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</si>
  <si>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</si>
  <si>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</si>
  <si>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</si>
  <si>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</si>
  <si>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</si>
  <si>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</si>
  <si>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</si>
  <si>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</si>
  <si>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</si>
  <si>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</si>
  <si>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</si>
  <si>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</si>
  <si>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</si>
  <si>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</si>
  <si>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</si>
  <si>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</si>
  <si>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</si>
  <si>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</si>
  <si>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</si>
  <si>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</si>
  <si>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</si>
  <si>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</si>
  <si>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</si>
  <si>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</si>
  <si>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</si>
  <si>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</si>
  <si>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</si>
  <si>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</si>
  <si>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</si>
  <si>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</si>
  <si>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</si>
  <si>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</si>
  <si>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</si>
  <si>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</si>
  <si>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</si>
  <si>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</si>
  <si>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</si>
  <si>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</si>
  <si>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</si>
  <si>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</si>
  <si>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</si>
  <si>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</si>
  <si>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</si>
  <si>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</si>
  <si>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</si>
  <si>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</si>
  <si>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</si>
  <si>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</si>
  <si>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</si>
  <si>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</si>
  <si>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</si>
  <si>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</si>
  <si>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</si>
  <si>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</si>
  <si>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</si>
  <si>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</si>
  <si>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</si>
  <si>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</si>
  <si>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</si>
  <si>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</si>
  <si>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</si>
  <si>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</si>
  <si>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</si>
  <si>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</si>
  <si>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</si>
  <si>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</si>
  <si>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</si>
  <si>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</si>
  <si>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</si>
  <si>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</si>
  <si>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</si>
  <si>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</si>
  <si>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</si>
  <si>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</si>
  <si>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</si>
  <si>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</si>
  <si>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</si>
  <si>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</si>
  <si>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</si>
  <si>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</si>
  <si>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</si>
  <si>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</si>
  <si>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</si>
  <si>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</si>
  <si>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</si>
  <si>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</si>
  <si>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</si>
  <si>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</si>
  <si>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</si>
  <si>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</si>
  <si>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</si>
  <si>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</si>
  <si>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</si>
  <si>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</si>
  <si>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</si>
  <si>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</si>
  <si>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</si>
  <si>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</si>
  <si>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</si>
  <si>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</si>
  <si>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</si>
  <si>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</si>
  <si>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</si>
  <si>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</si>
  <si>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</si>
  <si>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</si>
  <si>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</si>
  <si>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</si>
  <si>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</si>
  <si>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</si>
  <si>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</si>
  <si>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</si>
  <si>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</si>
  <si>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</si>
  <si>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</si>
  <si>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</si>
  <si>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</si>
  <si>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</si>
  <si>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</si>
  <si>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</si>
  <si>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</si>
  <si>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</si>
  <si>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</si>
  <si>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</si>
  <si>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</si>
  <si>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</si>
  <si>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</si>
  <si>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</si>
  <si>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</si>
  <si>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</si>
  <si>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</si>
  <si>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</si>
  <si>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</si>
  <si>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</si>
  <si>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</si>
  <si>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</si>
  <si>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</si>
  <si>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</si>
  <si>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</si>
  <si>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</si>
  <si>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</si>
  <si>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</si>
  <si>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</si>
  <si>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</si>
  <si>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</si>
  <si>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</si>
  <si>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</si>
  <si>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</si>
  <si>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</si>
  <si>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</si>
  <si>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</si>
  <si>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</si>
  <si>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</si>
  <si>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</si>
  <si>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</si>
  <si>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</si>
  <si>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</si>
  <si>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</si>
  <si>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</si>
  <si>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</si>
  <si>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</si>
  <si>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</si>
  <si>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</si>
  <si>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</si>
  <si>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</si>
  <si>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</si>
  <si>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</si>
  <si>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</si>
  <si>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</si>
  <si>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</si>
  <si>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</si>
  <si>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</si>
  <si>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</si>
  <si>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</si>
  <si>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</si>
  <si>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</si>
  <si>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</si>
  <si>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</si>
  <si>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</si>
  <si>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</si>
  <si>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</si>
  <si>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</si>
  <si>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</si>
  <si>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</si>
  <si>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</si>
  <si>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</si>
  <si>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</si>
  <si>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</si>
  <si>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</si>
  <si>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</si>
  <si>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</si>
  <si>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</si>
  <si>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</si>
  <si>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</si>
  <si>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</si>
  <si>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</si>
  <si>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</si>
  <si>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</si>
  <si>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</si>
  <si>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</si>
  <si>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</si>
  <si>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</si>
  <si>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</si>
  <si>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</si>
  <si>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</si>
  <si>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</si>
  <si>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</si>
  <si>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</si>
  <si>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</si>
  <si>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</si>
  <si>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</si>
  <si>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</si>
  <si>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</si>
  <si>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</si>
  <si>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</si>
  <si>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</si>
  <si>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</si>
  <si>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</si>
  <si>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</si>
  <si>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</si>
  <si>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</si>
  <si>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</si>
  <si>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</si>
  <si>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</si>
  <si>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</si>
  <si>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</si>
  <si>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</si>
  <si>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</si>
  <si>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</si>
  <si>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</si>
  <si>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</si>
  <si>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</si>
  <si>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</si>
  <si>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</si>
  <si>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</si>
  <si>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</si>
  <si>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</si>
  <si>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</si>
  <si>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</si>
  <si>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</si>
  <si>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</si>
  <si>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</si>
  <si>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</si>
  <si>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</si>
  <si>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</si>
  <si>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</si>
  <si>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</si>
  <si>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</si>
  <si>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</si>
  <si>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</si>
  <si>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</si>
  <si>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</si>
  <si>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</si>
  <si>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</si>
  <si>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</si>
  <si>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</si>
  <si>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</si>
  <si>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</si>
  <si>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</si>
  <si>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</si>
  <si>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</si>
  <si>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</si>
  <si>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</si>
  <si>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</si>
  <si>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</si>
  <si>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</si>
  <si>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</si>
  <si>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</si>
  <si>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</si>
  <si>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</si>
  <si>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</si>
  <si>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</si>
  <si>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</si>
  <si>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</si>
  <si>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</si>
  <si>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</si>
  <si>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</si>
  <si>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</si>
  <si>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</si>
  <si>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</si>
  <si>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</si>
  <si>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</si>
  <si>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</si>
  <si>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</si>
  <si>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</si>
  <si>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</si>
  <si>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</si>
  <si>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</si>
  <si>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</si>
  <si>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</si>
  <si>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</si>
  <si>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</si>
  <si>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</si>
  <si>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</si>
  <si>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</si>
  <si>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</si>
  <si>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</si>
  <si>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</si>
  <si>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</si>
  <si>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</si>
  <si>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</si>
  <si>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</si>
  <si>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</si>
  <si>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</si>
  <si>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</si>
  <si>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</si>
  <si>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</si>
  <si>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</si>
  <si>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</si>
  <si>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</si>
  <si>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</si>
  <si>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</si>
  <si>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</si>
  <si>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</si>
  <si>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</si>
  <si>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</si>
  <si>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</si>
  <si>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</si>
  <si>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</si>
  <si>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</si>
  <si>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</si>
  <si>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</si>
  <si>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</si>
  <si>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</si>
  <si>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</si>
  <si>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</si>
  <si>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</si>
  <si>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</si>
  <si>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</si>
  <si>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</si>
  <si>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</si>
  <si>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</si>
  <si>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</si>
  <si>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</si>
  <si>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</si>
  <si>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</si>
  <si>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</si>
  <si>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</si>
  <si>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</si>
  <si>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</si>
  <si>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</si>
  <si>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</si>
  <si>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</si>
  <si>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</si>
  <si>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</si>
  <si>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</si>
  <si>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</si>
  <si>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</si>
  <si>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</si>
  <si>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</si>
  <si>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</si>
  <si>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</si>
  <si>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</si>
  <si>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</si>
  <si>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</si>
  <si>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</si>
  <si>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</si>
  <si>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</si>
  <si>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</si>
  <si>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</si>
  <si>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</si>
  <si>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</si>
  <si>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</si>
  <si>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</si>
  <si>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</si>
  <si>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</si>
  <si>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</si>
  <si>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</si>
  <si>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</si>
  <si>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</si>
  <si>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</si>
  <si>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</si>
  <si>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</si>
  <si>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</si>
  <si>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</si>
  <si>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</si>
  <si>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</si>
  <si>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</si>
  <si>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</si>
  <si>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</si>
  <si>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</si>
  <si>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</si>
  <si>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</si>
  <si>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</si>
  <si>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</si>
  <si>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</si>
  <si>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</si>
  <si>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</si>
  <si>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</si>
  <si>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</si>
  <si>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</si>
  <si>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</si>
  <si>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</si>
  <si>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</si>
  <si>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</si>
  <si>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</si>
  <si>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</si>
  <si>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</si>
  <si>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</si>
  <si>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</si>
  <si>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</si>
  <si>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</si>
  <si>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</si>
  <si>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</si>
  <si>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</si>
  <si>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</si>
  <si>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</si>
  <si>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</si>
  <si>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</si>
  <si>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</si>
  <si>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</si>
  <si>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</si>
  <si>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</si>
  <si>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</si>
  <si>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</si>
  <si>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</si>
  <si>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</si>
  <si>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</si>
  <si>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</si>
  <si>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</si>
  <si>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</si>
  <si>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</si>
  <si>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</si>
  <si>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</si>
  <si>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</si>
  <si>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</si>
  <si>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</si>
  <si>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</si>
  <si>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</si>
  <si>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</si>
  <si>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</si>
  <si>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</si>
  <si>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</si>
  <si>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</si>
  <si>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</si>
  <si>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</si>
  <si>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</si>
  <si>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</si>
  <si>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</si>
  <si>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</si>
  <si>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</si>
  <si>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</si>
  <si>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</si>
  <si>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</si>
  <si>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</si>
  <si>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</si>
  <si>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</si>
  <si>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</si>
  <si>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</si>
  <si>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</si>
  <si>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</si>
  <si>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</si>
  <si>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</si>
  <si>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</si>
  <si>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</si>
  <si>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</si>
  <si>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</si>
  <si>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</si>
  <si>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</si>
  <si>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</si>
  <si>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</si>
  <si>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</si>
  <si>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</si>
  <si>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</si>
  <si>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</si>
  <si>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</si>
  <si>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</si>
  <si>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</si>
  <si>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</si>
  <si>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</si>
  <si>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</si>
  <si>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</si>
  <si>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</si>
  <si>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</si>
  <si>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</si>
  <si>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</si>
  <si>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</si>
  <si>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</si>
  <si>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</si>
  <si>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</si>
  <si>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</si>
  <si>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</si>
  <si>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</si>
  <si>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</si>
  <si>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</si>
  <si>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</si>
  <si>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</si>
  <si>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</si>
  <si>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</si>
  <si>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</si>
  <si>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t>较高概率获得D级技能，高概率获得|Cff00ff7fC级技能|r，极低概率获得|Cff2693ffB级技能|r。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</si>
  <si>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</si>
  <si>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</si>
  <si>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</si>
  <si>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t>低概率获得C级技能，高概率获得|Cff00ff7fB级技能|r，低概率获得|Cff2693ffA级技能|r。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</si>
  <si>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</si>
  <si>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</si>
  <si>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</si>
  <si>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</si>
  <si>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</si>
  <si>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</si>
  <si>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</si>
  <si>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</si>
  <si>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</si>
  <si>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</si>
  <si>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</si>
  <si>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</si>
  <si>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</si>
  <si>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</si>
  <si>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</si>
  <si>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</si>
  <si>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</si>
  <si>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</si>
  <si>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</si>
  <si>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</si>
  <si>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</si>
  <si>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</si>
  <si>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</si>
  <si>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</si>
  <si>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</si>
  <si>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</si>
  <si>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</si>
  <si>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</si>
  <si>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</si>
  <si>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</si>
  <si>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</si>
  <si>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</si>
  <si>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</si>
  <si>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</si>
  <si>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</si>
  <si>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</si>
  <si>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</si>
  <si>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</si>
  <si>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</si>
  <si>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</si>
  <si>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</si>
  <si>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</si>
  <si>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</si>
  <si>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</si>
  <si>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</si>
  <si>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</si>
  <si>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</si>
  <si>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</si>
  <si>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</si>
  <si>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</si>
  <si>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</si>
  <si>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</si>
  <si>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</si>
  <si>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</si>
  <si>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</si>
  <si>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</si>
  <si>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</si>
  <si>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</si>
  <si>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</si>
  <si>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</si>
  <si>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</si>
  <si>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</si>
  <si>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</si>
  <si>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</si>
  <si>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</si>
  <si>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</si>
  <si>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</si>
  <si>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</si>
  <si>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</si>
  <si>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|nMVP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皓月公会</t>
    </r>
    <r>
      <rPr>
        <sz val="11"/>
        <rFont val="Consolas"/>
        <family val="3"/>
      </rPr>
      <t>|nGu</t>
    </r>
    <r>
      <rPr>
        <sz val="11"/>
        <rFont val="宋体"/>
        <family val="3"/>
        <charset val="134"/>
      </rPr>
      <t>公会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锦衣卫公会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</si>
  <si>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</si>
  <si>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</si>
  <si>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加入以下公会可领取：|n|cFF33FF00星耀俱乐部|n星悦俱乐部|n北斗俱乐部|nVVIP俱乐部|nMVP公会|n|n|cffffffff开局即可获得：|n|cFFFFCC33每秒生命+200.|n每秒业力+10.|n被动触发概率+2%.|n技能冷却-10%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</si>
  <si>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</si>
  <si>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</si>
  <si>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</si>
  <si>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</si>
  <si>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</si>
  <si>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</si>
  <si>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</si>
  <si>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</si>
  <si>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</si>
  <si>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</si>
  <si>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</si>
  <si>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</si>
  <si>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</si>
  <si>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</si>
  <si>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</si>
  <si>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</si>
  <si>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</si>
  <si>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</si>
  <si>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</si>
  <si>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</si>
  <si>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</si>
  <si>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</si>
  <si>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</si>
  <si>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</si>
  <si>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</si>
  <si>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</si>
  <si>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</si>
  <si>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</si>
  <si>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</si>
  <si>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</si>
  <si>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</si>
  <si>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</si>
  <si>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</si>
  <si>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</si>
  <si>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</si>
  <si>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</si>
  <si>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</si>
  <si>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</si>
  <si>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</si>
  <si>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</si>
  <si>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</si>
  <si>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</si>
  <si>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</si>
  <si>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</si>
  <si>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</si>
  <si>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</si>
  <si>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</si>
  <si>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</si>
  <si>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</si>
  <si>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</si>
  <si>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</si>
  <si>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</si>
  <si>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</si>
  <si>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</si>
  <si>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</si>
  <si>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</si>
  <si>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</si>
  <si>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</si>
  <si>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</si>
  <si>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</si>
  <si>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</si>
  <si>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</si>
  <si>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</si>
  <si>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</si>
  <si>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</si>
  <si>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</si>
  <si>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</si>
  <si>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</si>
  <si>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</si>
  <si>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</si>
  <si>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</si>
  <si>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</si>
  <si>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</si>
  <si>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</si>
  <si>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</si>
  <si>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</si>
  <si>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</si>
  <si>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</si>
  <si>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</si>
  <si>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</si>
  <si>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</si>
  <si>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</si>
  <si>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</si>
  <si>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</si>
  <si>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</si>
  <si>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</si>
  <si>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</si>
  <si>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</si>
  <si>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</si>
  <si>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</si>
  <si>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</si>
  <si>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</si>
  <si>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</si>
  <si>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</si>
  <si>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</si>
  <si>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</si>
  <si>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</si>
  <si>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</si>
  <si>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</si>
  <si>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</si>
  <si>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</si>
  <si>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</si>
  <si>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</si>
  <si>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</si>
  <si>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</si>
  <si>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</si>
  <si>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</si>
  <si>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</si>
  <si>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</si>
  <si>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</si>
  <si>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</si>
  <si>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</si>
  <si>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</si>
  <si>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</si>
  <si>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</si>
  <si>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</si>
  <si>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</si>
  <si>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</si>
  <si>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</si>
  <si>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</si>
  <si>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</si>
  <si>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</si>
  <si>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</si>
  <si>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</si>
  <si>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</si>
  <si>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</si>
  <si>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</si>
  <si>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</si>
  <si>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</si>
  <si>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</si>
  <si>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</si>
  <si>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</si>
  <si>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</si>
  <si>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</si>
  <si>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</si>
  <si>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</si>
  <si>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</si>
  <si>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</si>
  <si>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</si>
  <si>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</si>
  <si>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</si>
  <si>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</si>
  <si>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</si>
  <si>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</si>
  <si>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</si>
  <si>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</si>
  <si>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</si>
  <si>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</si>
  <si>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</si>
  <si>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</si>
  <si>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</si>
  <si>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</si>
  <si>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</si>
  <si>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</si>
  <si>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</si>
  <si>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</si>
  <si>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</si>
  <si>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</si>
  <si>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</si>
  <si>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</si>
  <si>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</si>
  <si>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</si>
  <si>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</si>
  <si>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</si>
  <si>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</si>
  <si>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</si>
  <si>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</si>
  <si>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</si>
  <si>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</si>
  <si>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</si>
  <si>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</si>
  <si>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</si>
  <si>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</si>
  <si>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</si>
  <si>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</si>
  <si>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</si>
  <si>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</si>
  <si>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</si>
  <si>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</si>
  <si>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</si>
  <si>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</si>
  <si>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</si>
  <si>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</si>
  <si>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</si>
  <si>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</si>
  <si>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</si>
  <si>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</si>
  <si>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</si>
  <si>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</si>
  <si>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</si>
  <si>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</si>
  <si>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</si>
  <si>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</si>
  <si>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</si>
  <si>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</si>
  <si>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</si>
  <si>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</si>
  <si>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</si>
  <si>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</si>
  <si>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</si>
  <si>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</si>
  <si>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</si>
  <si>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</si>
  <si>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</si>
  <si>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</si>
  <si>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</si>
  <si>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</si>
  <si>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</si>
  <si>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</si>
  <si>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</si>
  <si>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</si>
  <si>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</si>
  <si>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</si>
  <si>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</si>
  <si>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</si>
  <si>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ReplaceableTextures\\CommandButtons\\BTNZ21.blp</t>
    <phoneticPr fontId="37" type="noConversion"/>
  </si>
  <si>
    <t>ReplaceableTextures\\CommandButtons\\BTNZ24.blp</t>
    <phoneticPr fontId="37" type="noConversion"/>
  </si>
  <si>
    <t>ReplaceableTextures\\CommandButtons\\BTNZ23.blp</t>
    <phoneticPr fontId="37" type="noConversion"/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</si>
  <si>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  <phoneticPr fontId="3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</si>
</sst>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  <scheme val="minor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  <scheme val="minor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1"/>
      <color rgb="FF9C0006"/>
      <name val="等线"/>
      <family val="3"/>
      <charset val="134"/>
      <scheme val="minor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name val="宋体"/>
      <family val="3"/>
      <charset val="134"/>
    </font>
    <font>
      <sz val="11"/>
      <name val="等线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9"/>
      <color rgb="FF2B2B2B"/>
      <name val="黑体"/>
      <family val="3"/>
      <charset val="134"/>
    </font>
    <font>
      <sz val="11"/>
      <color theme="1"/>
      <name val="SimSun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sz val="9"/>
      <name val="等线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01733451338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35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35" fillId="0" borderId="0"/>
  </cellStyleXfs>
  <cellXfs count="188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0" borderId="0" xfId="0" applyFont="1" applyAlignment="1">
      <alignment vertical="center"/>
    </xf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16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17" fillId="0" borderId="0" xfId="0" applyFont="1"/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8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9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8" fillId="11" borderId="3" xfId="4" applyFont="1" applyFill="1" applyBorder="1">
      <alignment vertical="center"/>
    </xf>
    <xf numFmtId="0" fontId="20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21" fillId="0" borderId="0" xfId="0" applyFont="1" applyAlignment="1">
      <alignment horizontal="left" vertical="center"/>
    </xf>
    <xf numFmtId="0" fontId="19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/>
    <xf numFmtId="0" fontId="17" fillId="0" borderId="0" xfId="0" applyFont="1" applyAlignment="1">
      <alignment vertical="center"/>
    </xf>
    <xf numFmtId="0" fontId="7" fillId="0" borderId="0" xfId="0" applyFont="1" applyAlignment="1"/>
    <xf numFmtId="0" fontId="18" fillId="0" borderId="0" xfId="0" applyFont="1" applyAlignment="1">
      <alignment horizontal="left"/>
    </xf>
    <xf numFmtId="0" fontId="17" fillId="0" borderId="0" xfId="0" applyFont="1" applyAlignment="1">
      <alignment horizontal="center" vertical="center"/>
    </xf>
    <xf numFmtId="0" fontId="23" fillId="0" borderId="0" xfId="0" applyFont="1"/>
    <xf numFmtId="0" fontId="19" fillId="0" borderId="0" xfId="0" applyFont="1"/>
    <xf numFmtId="0" fontId="24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25" fillId="3" borderId="1" xfId="6" applyFont="1" applyFill="1" applyBorder="1"/>
    <xf numFmtId="0" fontId="26" fillId="3" borderId="1" xfId="6" applyFont="1" applyFill="1" applyBorder="1"/>
    <xf numFmtId="0" fontId="7" fillId="0" borderId="1" xfId="6" applyFont="1" applyBorder="1"/>
    <xf numFmtId="0" fontId="27" fillId="0" borderId="0" xfId="0" applyFont="1" applyAlignment="1"/>
    <xf numFmtId="0" fontId="14" fillId="2" borderId="9" xfId="0" applyFont="1" applyFill="1" applyBorder="1" applyAlignment="1">
      <alignment horizontal="left" vertical="center"/>
    </xf>
    <xf numFmtId="0" fontId="14" fillId="13" borderId="9" xfId="0" applyFont="1" applyFill="1" applyBorder="1" applyAlignment="1">
      <alignment horizontal="left" vertical="center"/>
    </xf>
    <xf numFmtId="0" fontId="18" fillId="0" borderId="0" xfId="0" applyFont="1" applyAlignment="1"/>
    <xf numFmtId="0" fontId="17" fillId="11" borderId="3" xfId="4" applyFont="1" applyFill="1" applyBorder="1">
      <alignment vertical="center"/>
    </xf>
    <xf numFmtId="0" fontId="14" fillId="0" borderId="0" xfId="0" applyNumberFormat="1" applyFont="1" applyAlignment="1">
      <alignment horizontal="left" vertical="center"/>
    </xf>
    <xf numFmtId="0" fontId="28" fillId="0" borderId="0" xfId="0" applyFont="1"/>
    <xf numFmtId="0" fontId="17" fillId="14" borderId="0" xfId="0" applyFont="1" applyFill="1"/>
    <xf numFmtId="0" fontId="14" fillId="2" borderId="9" xfId="0" applyFont="1" applyFill="1" applyBorder="1" applyAlignment="1">
      <alignment vertical="center"/>
    </xf>
    <xf numFmtId="0" fontId="14" fillId="13" borderId="9" xfId="0" applyFont="1" applyFill="1" applyBorder="1" applyAlignment="1">
      <alignment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22" fillId="2" borderId="9" xfId="0" applyFont="1" applyFill="1" applyBorder="1" applyAlignment="1"/>
    <xf numFmtId="0" fontId="22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5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30" fillId="0" borderId="0" xfId="0" applyFont="1"/>
    <xf numFmtId="0" fontId="31" fillId="15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32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5" borderId="0" xfId="0" applyFont="1" applyFill="1" applyAlignment="1">
      <alignment horizontal="left" vertical="center"/>
    </xf>
    <xf numFmtId="0" fontId="0" fillId="15" borderId="0" xfId="0" applyFont="1" applyFill="1" applyAlignment="1">
      <alignment horizontal="left"/>
    </xf>
    <xf numFmtId="0" fontId="0" fillId="15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</cellXfs>
  <cellStyles count="7">
    <cellStyle name="差" xfId="1" builtinId="27"/>
    <cellStyle name="差 2" xfId="5" xr:uid="{00000000-0005-0000-0000-000001000000}"/>
    <cellStyle name="常规" xfId="0" builtinId="0"/>
    <cellStyle name="常规 2" xfId="6" xr:uid="{00000000-0005-0000-0000-000003000000}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F565BAA-80C9-447B-8ECA-B98A45365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点击导出lua脚本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4925675" y="4819650"/>
          <a:ext cx="3810000" cy="1285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1925300" y="4829175"/>
          <a:ext cx="2923540" cy="13042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753"/>
  <sheetViews>
    <sheetView workbookViewId="0">
      <pane xSplit="8" ySplit="2" topLeftCell="I51" activePane="bottomRight" state="frozen"/>
      <selection pane="topRight"/>
      <selection pane="bottomLeft"/>
      <selection pane="bottomRight" activeCell="I70" sqref="I70"/>
    </sheetView>
  </sheetViews>
  <sheetFormatPr defaultColWidth="9" defaultRowHeight="13.8"/>
  <cols>
    <col min="1" max="1" width="22.33203125" style="10" customWidth="1"/>
    <col min="2" max="2" width="9" style="10"/>
    <col min="3" max="3" width="7.6640625" style="10" customWidth="1"/>
    <col min="4" max="4" width="7.33203125" style="10" customWidth="1"/>
    <col min="5" max="5" width="11.6640625" style="10" customWidth="1"/>
    <col min="6" max="6" width="11" style="10" customWidth="1"/>
    <col min="7" max="7" width="8.88671875" style="10" customWidth="1"/>
    <col min="8" max="8" width="26.21875" style="10" customWidth="1"/>
    <col min="9" max="9" width="28.109375" style="153" customWidth="1"/>
    <col min="10" max="10" width="18.6640625" customWidth="1"/>
    <col min="11" max="11" width="41" customWidth="1"/>
    <col min="12" max="12" width="9" style="10" customWidth="1"/>
    <col min="13" max="13" width="47.33203125" style="157" customWidth="1"/>
    <col min="14" max="14" width="14.21875" style="10" customWidth="1"/>
    <col min="15" max="15" width="53.44140625" style="10" customWidth="1"/>
    <col min="16" max="16" width="13" style="10" customWidth="1"/>
    <col min="17" max="17" width="13.21875" style="10" customWidth="1"/>
    <col min="18" max="22" width="9" style="10"/>
    <col min="23" max="23" width="23.21875" style="10" customWidth="1"/>
    <col min="24" max="24" width="9.21875" style="10" customWidth="1"/>
    <col min="25" max="26" width="12.33203125" style="10" customWidth="1"/>
    <col min="27" max="27" width="10" style="10" customWidth="1"/>
    <col min="28" max="28" width="10.33203125" style="153" customWidth="1"/>
    <col min="29" max="29" width="9" style="10"/>
    <col min="30" max="30" width="10.77734375" style="10" customWidth="1"/>
    <col min="31" max="31" width="11" style="10" customWidth="1"/>
    <col min="32" max="32" width="9" style="10"/>
    <col min="33" max="34" width="14.33203125" style="10" customWidth="1"/>
    <col min="35" max="35" width="12.33203125" style="10" customWidth="1"/>
    <col min="36" max="39" width="9" style="10"/>
    <col min="40" max="40" width="9" style="153"/>
    <col min="41" max="16384" width="9" style="10"/>
  </cols>
  <sheetData>
    <row r="1" spans="1:42" s="153" customFormat="1">
      <c r="A1" s="157"/>
      <c r="B1" s="153" t="s">
        <v>0</v>
      </c>
      <c r="C1" s="153" t="s">
        <v>1</v>
      </c>
      <c r="D1" s="153" t="s">
        <v>2</v>
      </c>
      <c r="E1" s="181" t="s">
        <v>3</v>
      </c>
      <c r="F1" s="153" t="s">
        <v>4</v>
      </c>
      <c r="G1" s="153" t="s">
        <v>5</v>
      </c>
      <c r="H1" s="153" t="s">
        <v>6</v>
      </c>
      <c r="I1" s="153" t="s">
        <v>7</v>
      </c>
      <c r="J1" s="154" t="s">
        <v>8</v>
      </c>
      <c r="K1" s="154" t="s">
        <v>9</v>
      </c>
      <c r="L1" s="153" t="s">
        <v>10</v>
      </c>
      <c r="M1" s="153" t="s">
        <v>11</v>
      </c>
      <c r="N1" s="153" t="s">
        <v>12</v>
      </c>
      <c r="O1" s="153" t="s">
        <v>13</v>
      </c>
      <c r="P1" s="153" t="s">
        <v>14</v>
      </c>
      <c r="Q1" s="153" t="s">
        <v>15</v>
      </c>
      <c r="R1" s="153" t="s">
        <v>16</v>
      </c>
      <c r="S1" s="153" t="s">
        <v>17</v>
      </c>
      <c r="T1" s="153" t="s">
        <v>18</v>
      </c>
      <c r="U1" s="153" t="s">
        <v>19</v>
      </c>
      <c r="V1" s="153" t="s">
        <v>20</v>
      </c>
      <c r="W1" s="153" t="s">
        <v>21</v>
      </c>
      <c r="X1" s="153" t="s">
        <v>22</v>
      </c>
      <c r="Y1" s="153" t="s">
        <v>23</v>
      </c>
      <c r="Z1" s="153" t="s">
        <v>24</v>
      </c>
      <c r="AA1" s="153" t="s">
        <v>25</v>
      </c>
      <c r="AB1" s="153" t="s">
        <v>26</v>
      </c>
      <c r="AC1" s="153" t="s">
        <v>27</v>
      </c>
      <c r="AD1" s="153" t="s">
        <v>28</v>
      </c>
      <c r="AE1" s="153" t="s">
        <v>29</v>
      </c>
      <c r="AF1" s="153" t="s">
        <v>30</v>
      </c>
      <c r="AG1" s="153" t="s">
        <v>31</v>
      </c>
      <c r="AH1" s="153" t="s">
        <v>32</v>
      </c>
      <c r="AI1" s="153" t="s">
        <v>33</v>
      </c>
      <c r="AJ1" s="154" t="s">
        <v>34</v>
      </c>
      <c r="AK1" s="153" t="s">
        <v>35</v>
      </c>
      <c r="AL1" s="153" t="s">
        <v>36</v>
      </c>
      <c r="AM1" s="153" t="s">
        <v>37</v>
      </c>
      <c r="AN1" s="153" t="s">
        <v>38</v>
      </c>
      <c r="AO1" s="153" t="s">
        <v>39</v>
      </c>
      <c r="AP1" s="154" t="s">
        <v>40</v>
      </c>
    </row>
    <row r="2" spans="1:42" s="154" customFormat="1" ht="12.75" customHeight="1">
      <c r="A2" s="158">
        <f>COUNTA(B:B)+1</f>
        <v>294</v>
      </c>
      <c r="C2" s="154" t="s">
        <v>41</v>
      </c>
      <c r="D2" s="154" t="s">
        <v>42</v>
      </c>
      <c r="E2" s="154" t="s">
        <v>43</v>
      </c>
      <c r="F2" s="154" t="s">
        <v>44</v>
      </c>
      <c r="G2" s="154" t="s">
        <v>45</v>
      </c>
      <c r="H2" s="154" t="s">
        <v>46</v>
      </c>
      <c r="I2" s="154" t="s">
        <v>47</v>
      </c>
      <c r="J2" s="154" t="s">
        <v>48</v>
      </c>
      <c r="K2" s="154" t="s">
        <v>49</v>
      </c>
      <c r="L2" s="154" t="s">
        <v>50</v>
      </c>
      <c r="M2" s="154" t="s">
        <v>51</v>
      </c>
      <c r="N2" s="154" t="s">
        <v>52</v>
      </c>
      <c r="O2" s="154" t="s">
        <v>53</v>
      </c>
      <c r="P2" s="154" t="s">
        <v>54</v>
      </c>
      <c r="Q2" s="154" t="s">
        <v>55</v>
      </c>
      <c r="R2" s="154" t="s">
        <v>56</v>
      </c>
      <c r="S2" s="154" t="s">
        <v>57</v>
      </c>
      <c r="T2" s="154" t="s">
        <v>58</v>
      </c>
      <c r="U2" s="154" t="s">
        <v>59</v>
      </c>
      <c r="V2" s="154" t="s">
        <v>60</v>
      </c>
      <c r="W2" s="154" t="s">
        <v>61</v>
      </c>
      <c r="X2" s="154" t="s">
        <v>62</v>
      </c>
      <c r="Y2" s="154" t="s">
        <v>63</v>
      </c>
      <c r="Z2" s="154" t="s">
        <v>64</v>
      </c>
      <c r="AA2" s="154" t="s">
        <v>65</v>
      </c>
      <c r="AB2" s="154" t="s">
        <v>66</v>
      </c>
      <c r="AC2" s="154" t="s">
        <v>67</v>
      </c>
      <c r="AD2" s="154" t="s">
        <v>68</v>
      </c>
      <c r="AE2" s="154" t="s">
        <v>69</v>
      </c>
      <c r="AF2" s="154" t="s">
        <v>70</v>
      </c>
      <c r="AG2" s="154" t="s">
        <v>71</v>
      </c>
      <c r="AH2" s="154" t="s">
        <v>72</v>
      </c>
      <c r="AI2" s="154" t="s">
        <v>73</v>
      </c>
      <c r="AJ2" s="154" t="s">
        <v>74</v>
      </c>
      <c r="AK2" s="154" t="s">
        <v>75</v>
      </c>
      <c r="AL2" s="154" t="s">
        <v>76</v>
      </c>
      <c r="AM2" s="154" t="s">
        <v>77</v>
      </c>
      <c r="AN2" s="154" t="s">
        <v>78</v>
      </c>
      <c r="AO2" s="154" t="s">
        <v>79</v>
      </c>
      <c r="AP2" s="154" t="s">
        <v>80</v>
      </c>
    </row>
    <row r="3" spans="1:42">
      <c r="A3" s="157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9" t="str">
        <f t="shared" ref="J3" si="0">H3</f>
        <v>[武器]古纹剑lv1</v>
      </c>
      <c r="K3" s="159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60" t="str">
        <f>VLOOKUP(LEFT(RIGHT(B3,5),4),物品!B:CU,20,FALSE)</f>
        <v>ReplaceableTextures\\CommandButtons\\BTNZ01.blp</v>
      </c>
      <c r="N3" s="181" t="s">
        <v>83</v>
      </c>
      <c r="O3" s="182" t="s">
        <v>84</v>
      </c>
      <c r="P3" s="28">
        <v>0</v>
      </c>
      <c r="Q3" s="28">
        <v>0</v>
      </c>
      <c r="R3" s="181" t="s">
        <v>83</v>
      </c>
      <c r="S3" s="181" t="s">
        <v>83</v>
      </c>
      <c r="T3" s="181" t="s">
        <v>83</v>
      </c>
      <c r="U3" s="181" t="s">
        <v>83</v>
      </c>
      <c r="V3" s="28">
        <v>1</v>
      </c>
      <c r="W3" s="28" t="s">
        <v>85</v>
      </c>
      <c r="X3" s="28">
        <v>0</v>
      </c>
      <c r="Y3" s="181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81" t="s">
        <v>83</v>
      </c>
      <c r="AF3" s="181" t="s">
        <v>83</v>
      </c>
      <c r="AG3" s="181" t="s">
        <v>83</v>
      </c>
      <c r="AH3" s="181" t="s">
        <v>83</v>
      </c>
      <c r="AI3" s="28"/>
      <c r="AJ3" s="28"/>
      <c r="AK3" s="28">
        <v>0</v>
      </c>
      <c r="AL3" s="28">
        <v>0</v>
      </c>
      <c r="AM3" s="181" t="s">
        <v>83</v>
      </c>
      <c r="AN3" s="28"/>
      <c r="AO3" s="28"/>
      <c r="AP3" s="28">
        <v>1</v>
      </c>
    </row>
    <row r="4" spans="1:42">
      <c r="A4" s="157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9" t="str">
        <f t="shared" ref="J4:J7" si="2">H4</f>
        <v>[武器]古纹剑lv2</v>
      </c>
      <c r="K4" s="159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60" t="str">
        <f>VLOOKUP(LEFT(RIGHT(B4,5),4),物品!B:CU,20,FALSE)</f>
        <v>ReplaceableTextures\\CommandButtons\\BTNZ01.blp</v>
      </c>
      <c r="N4" s="181" t="s">
        <v>83</v>
      </c>
      <c r="O4" s="182" t="s">
        <v>84</v>
      </c>
      <c r="P4" s="28">
        <v>0</v>
      </c>
      <c r="Q4" s="28">
        <v>0</v>
      </c>
      <c r="R4" s="181" t="s">
        <v>83</v>
      </c>
      <c r="S4" s="181" t="s">
        <v>83</v>
      </c>
      <c r="T4" s="181" t="s">
        <v>83</v>
      </c>
      <c r="U4" s="181" t="s">
        <v>83</v>
      </c>
      <c r="V4" s="28">
        <v>1</v>
      </c>
      <c r="W4" s="28" t="s">
        <v>85</v>
      </c>
      <c r="X4" s="28">
        <v>0</v>
      </c>
      <c r="Y4" s="181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81" t="s">
        <v>83</v>
      </c>
      <c r="AF4" s="181" t="s">
        <v>83</v>
      </c>
      <c r="AG4" s="181" t="s">
        <v>83</v>
      </c>
      <c r="AH4" s="181" t="s">
        <v>83</v>
      </c>
      <c r="AI4" s="28"/>
      <c r="AJ4" s="28"/>
      <c r="AK4" s="28">
        <v>0</v>
      </c>
      <c r="AL4" s="28">
        <v>0</v>
      </c>
      <c r="AM4" s="181" t="s">
        <v>83</v>
      </c>
      <c r="AN4" s="28"/>
      <c r="AO4" s="28"/>
      <c r="AP4" s="28">
        <v>1</v>
      </c>
    </row>
    <row r="5" spans="1:42">
      <c r="A5" s="157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9" t="str">
        <f t="shared" si="2"/>
        <v>[武器]古纹剑lv3</v>
      </c>
      <c r="K5" s="159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60" t="str">
        <f>VLOOKUP(LEFT(RIGHT(B5,5),4),物品!B:CU,20,FALSE)</f>
        <v>ReplaceableTextures\\CommandButtons\\BTNZ01.blp</v>
      </c>
      <c r="N5" s="181" t="s">
        <v>83</v>
      </c>
      <c r="O5" s="182" t="s">
        <v>84</v>
      </c>
      <c r="P5" s="28">
        <v>0</v>
      </c>
      <c r="Q5" s="28">
        <v>0</v>
      </c>
      <c r="R5" s="181" t="s">
        <v>83</v>
      </c>
      <c r="S5" s="181" t="s">
        <v>83</v>
      </c>
      <c r="T5" s="181" t="s">
        <v>83</v>
      </c>
      <c r="U5" s="181" t="s">
        <v>83</v>
      </c>
      <c r="V5" s="28">
        <v>1</v>
      </c>
      <c r="W5" s="28" t="s">
        <v>85</v>
      </c>
      <c r="X5" s="28">
        <v>0</v>
      </c>
      <c r="Y5" s="181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81" t="s">
        <v>83</v>
      </c>
      <c r="AF5" s="181" t="s">
        <v>83</v>
      </c>
      <c r="AG5" s="181" t="s">
        <v>83</v>
      </c>
      <c r="AH5" s="181" t="s">
        <v>83</v>
      </c>
      <c r="AI5" s="28"/>
      <c r="AJ5" s="28"/>
      <c r="AK5" s="28">
        <v>0</v>
      </c>
      <c r="AL5" s="28">
        <v>0</v>
      </c>
      <c r="AM5" s="181" t="s">
        <v>83</v>
      </c>
      <c r="AN5" s="28"/>
      <c r="AO5" s="28"/>
      <c r="AP5" s="28">
        <v>1</v>
      </c>
    </row>
    <row r="6" spans="1:42">
      <c r="A6" s="157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9" t="str">
        <f t="shared" si="2"/>
        <v>[武器]古纹剑lv4</v>
      </c>
      <c r="K6" s="159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60" t="str">
        <f>VLOOKUP(LEFT(RIGHT(B6,5),4),物品!B:CU,20,FALSE)</f>
        <v>ReplaceableTextures\\CommandButtons\\BTNZ01.blp</v>
      </c>
      <c r="N6" s="181" t="s">
        <v>83</v>
      </c>
      <c r="O6" s="182" t="s">
        <v>84</v>
      </c>
      <c r="P6" s="28">
        <v>0</v>
      </c>
      <c r="Q6" s="28">
        <v>0</v>
      </c>
      <c r="R6" s="181" t="s">
        <v>83</v>
      </c>
      <c r="S6" s="181" t="s">
        <v>83</v>
      </c>
      <c r="T6" s="181" t="s">
        <v>83</v>
      </c>
      <c r="U6" s="181" t="s">
        <v>83</v>
      </c>
      <c r="V6" s="28">
        <v>1</v>
      </c>
      <c r="W6" s="28" t="s">
        <v>85</v>
      </c>
      <c r="X6" s="28">
        <v>0</v>
      </c>
      <c r="Y6" s="181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81" t="s">
        <v>83</v>
      </c>
      <c r="AF6" s="181" t="s">
        <v>83</v>
      </c>
      <c r="AG6" s="181" t="s">
        <v>83</v>
      </c>
      <c r="AH6" s="181" t="s">
        <v>83</v>
      </c>
      <c r="AI6" s="28"/>
      <c r="AJ6" s="28"/>
      <c r="AK6" s="28">
        <v>0</v>
      </c>
      <c r="AL6" s="28">
        <v>0</v>
      </c>
      <c r="AM6" s="181" t="s">
        <v>83</v>
      </c>
      <c r="AN6" s="28"/>
      <c r="AO6" s="28"/>
      <c r="AP6" s="28">
        <v>1</v>
      </c>
    </row>
    <row r="7" spans="1:42">
      <c r="A7" s="157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9" t="str">
        <f t="shared" si="2"/>
        <v>[武器]古纹剑lv5</v>
      </c>
      <c r="K7" s="159" t="str">
        <f t="shared" si="3"/>
        <v>|Cffbbbbbb属性：|r|n攻击+5000|n|n攻击|Cffffc92610%|r概率附加|Cffffc926业力*400%|r攻击伤害|n|n|Cff00ff7f点击消耗2500金币进行晋阶挑战</v>
      </c>
      <c r="L7" s="28"/>
      <c r="M7" s="160" t="str">
        <f>VLOOKUP(LEFT(RIGHT(B7,5),4),物品!B:CU,20,FALSE)</f>
        <v>ReplaceableTextures\\CommandButtons\\BTNZ01.blp</v>
      </c>
      <c r="N7" s="181" t="s">
        <v>83</v>
      </c>
      <c r="O7" s="182" t="s">
        <v>84</v>
      </c>
      <c r="P7" s="28">
        <v>0</v>
      </c>
      <c r="Q7" s="28">
        <v>0</v>
      </c>
      <c r="R7" s="181" t="s">
        <v>83</v>
      </c>
      <c r="S7" s="181" t="s">
        <v>83</v>
      </c>
      <c r="T7" s="181" t="s">
        <v>83</v>
      </c>
      <c r="U7" s="181" t="s">
        <v>83</v>
      </c>
      <c r="V7" s="28">
        <v>1</v>
      </c>
      <c r="W7" s="28" t="s">
        <v>85</v>
      </c>
      <c r="X7" s="28">
        <v>0</v>
      </c>
      <c r="Y7" s="181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81" t="s">
        <v>83</v>
      </c>
      <c r="AF7" s="181" t="s">
        <v>83</v>
      </c>
      <c r="AG7" s="181" t="s">
        <v>83</v>
      </c>
      <c r="AH7" s="181" t="s">
        <v>83</v>
      </c>
      <c r="AI7" s="28"/>
      <c r="AJ7" s="28"/>
      <c r="AK7" s="28">
        <v>0</v>
      </c>
      <c r="AL7" s="28">
        <v>0</v>
      </c>
      <c r="AM7" s="181" t="s">
        <v>83</v>
      </c>
      <c r="AN7" s="28"/>
      <c r="AO7" s="28"/>
      <c r="AP7" s="28">
        <v>1</v>
      </c>
    </row>
    <row r="8" spans="1:42">
      <c r="A8" s="157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9" t="str">
        <f t="shared" ref="J8:J23" si="4">H8</f>
        <v>|Cff00FF7F[武器]鱼肠剑lv1|r</v>
      </c>
      <c r="K8" s="159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60" t="str">
        <f>VLOOKUP(LEFT(RIGHT(B8,5),4),物品!B:CU,20,FALSE)</f>
        <v>ReplaceableTextures\\CommandButtons\\BTNZ02.blp</v>
      </c>
      <c r="N8" s="181" t="s">
        <v>83</v>
      </c>
      <c r="O8" s="182" t="s">
        <v>84</v>
      </c>
      <c r="P8" s="28">
        <v>0</v>
      </c>
      <c r="Q8" s="28">
        <v>0</v>
      </c>
      <c r="R8" s="181" t="s">
        <v>83</v>
      </c>
      <c r="S8" s="181" t="s">
        <v>83</v>
      </c>
      <c r="T8" s="181" t="s">
        <v>83</v>
      </c>
      <c r="U8" s="181" t="s">
        <v>83</v>
      </c>
      <c r="V8" s="28">
        <v>1</v>
      </c>
      <c r="W8" s="28" t="s">
        <v>85</v>
      </c>
      <c r="X8" s="28">
        <v>0</v>
      </c>
      <c r="Y8" s="181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81" t="s">
        <v>83</v>
      </c>
      <c r="AF8" s="181" t="s">
        <v>83</v>
      </c>
      <c r="AG8" s="181" t="s">
        <v>83</v>
      </c>
      <c r="AH8" s="181" t="s">
        <v>83</v>
      </c>
      <c r="AI8" s="28"/>
      <c r="AJ8" s="28"/>
      <c r="AK8" s="28">
        <v>0</v>
      </c>
      <c r="AL8" s="28">
        <v>0</v>
      </c>
      <c r="AM8" s="181" t="s">
        <v>83</v>
      </c>
      <c r="AN8" s="28"/>
      <c r="AO8" s="28"/>
      <c r="AP8" s="28">
        <v>1</v>
      </c>
    </row>
    <row r="9" spans="1:42">
      <c r="A9" s="157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9" t="str">
        <f t="shared" si="4"/>
        <v>|Cff00FF7F[武器]鱼肠剑lv2|r</v>
      </c>
      <c r="K9" s="159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60" t="str">
        <f>VLOOKUP(LEFT(RIGHT(B9,5),4),物品!B:CU,20,FALSE)</f>
        <v>ReplaceableTextures\\CommandButtons\\BTNZ02.blp</v>
      </c>
      <c r="N9" s="181" t="s">
        <v>83</v>
      </c>
      <c r="O9" s="182" t="s">
        <v>84</v>
      </c>
      <c r="P9" s="28">
        <v>0</v>
      </c>
      <c r="Q9" s="28">
        <v>0</v>
      </c>
      <c r="R9" s="181" t="s">
        <v>83</v>
      </c>
      <c r="S9" s="181" t="s">
        <v>83</v>
      </c>
      <c r="T9" s="181" t="s">
        <v>83</v>
      </c>
      <c r="U9" s="181" t="s">
        <v>83</v>
      </c>
      <c r="V9" s="28">
        <v>1</v>
      </c>
      <c r="W9" s="28" t="s">
        <v>85</v>
      </c>
      <c r="X9" s="28">
        <v>0</v>
      </c>
      <c r="Y9" s="181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81" t="s">
        <v>83</v>
      </c>
      <c r="AF9" s="181" t="s">
        <v>83</v>
      </c>
      <c r="AG9" s="181" t="s">
        <v>83</v>
      </c>
      <c r="AH9" s="181" t="s">
        <v>83</v>
      </c>
      <c r="AI9" s="28"/>
      <c r="AJ9" s="28"/>
      <c r="AK9" s="28">
        <v>0</v>
      </c>
      <c r="AL9" s="28">
        <v>0</v>
      </c>
      <c r="AM9" s="181" t="s">
        <v>83</v>
      </c>
      <c r="AN9" s="28"/>
      <c r="AO9" s="28"/>
      <c r="AP9" s="28">
        <v>1</v>
      </c>
    </row>
    <row r="10" spans="1:42">
      <c r="A10" s="157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9" t="str">
        <f t="shared" si="4"/>
        <v>|Cff00FF7F[武器]鱼肠剑lv3|r</v>
      </c>
      <c r="K10" s="159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60" t="str">
        <f>VLOOKUP(LEFT(RIGHT(B10,5),4),物品!B:CU,20,FALSE)</f>
        <v>ReplaceableTextures\\CommandButtons\\BTNZ02.blp</v>
      </c>
      <c r="N10" s="181" t="s">
        <v>83</v>
      </c>
      <c r="O10" s="182" t="s">
        <v>84</v>
      </c>
      <c r="P10" s="28">
        <v>0</v>
      </c>
      <c r="Q10" s="28">
        <v>0</v>
      </c>
      <c r="R10" s="181" t="s">
        <v>83</v>
      </c>
      <c r="S10" s="181" t="s">
        <v>83</v>
      </c>
      <c r="T10" s="181" t="s">
        <v>83</v>
      </c>
      <c r="U10" s="181" t="s">
        <v>83</v>
      </c>
      <c r="V10" s="28">
        <v>1</v>
      </c>
      <c r="W10" s="28" t="s">
        <v>85</v>
      </c>
      <c r="X10" s="28">
        <v>0</v>
      </c>
      <c r="Y10" s="181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81" t="s">
        <v>83</v>
      </c>
      <c r="AF10" s="181" t="s">
        <v>83</v>
      </c>
      <c r="AG10" s="181" t="s">
        <v>83</v>
      </c>
      <c r="AH10" s="181" t="s">
        <v>83</v>
      </c>
      <c r="AI10" s="28"/>
      <c r="AJ10" s="28"/>
      <c r="AK10" s="28">
        <v>0</v>
      </c>
      <c r="AL10" s="28">
        <v>0</v>
      </c>
      <c r="AM10" s="181" t="s">
        <v>83</v>
      </c>
      <c r="AN10" s="28"/>
      <c r="AO10" s="28"/>
      <c r="AP10" s="28">
        <v>1</v>
      </c>
    </row>
    <row r="11" spans="1:42">
      <c r="A11" s="157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9" t="str">
        <f t="shared" si="4"/>
        <v>|Cff00FF7F[武器]鱼肠剑lv4|r</v>
      </c>
      <c r="K11" s="159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60" t="str">
        <f>VLOOKUP(LEFT(RIGHT(B11,5),4),物品!B:CU,20,FALSE)</f>
        <v>ReplaceableTextures\\CommandButtons\\BTNZ02.blp</v>
      </c>
      <c r="N11" s="181" t="s">
        <v>83</v>
      </c>
      <c r="O11" s="182" t="s">
        <v>84</v>
      </c>
      <c r="P11" s="28">
        <v>0</v>
      </c>
      <c r="Q11" s="28">
        <v>0</v>
      </c>
      <c r="R11" s="181" t="s">
        <v>83</v>
      </c>
      <c r="S11" s="181" t="s">
        <v>83</v>
      </c>
      <c r="T11" s="181" t="s">
        <v>83</v>
      </c>
      <c r="U11" s="181" t="s">
        <v>83</v>
      </c>
      <c r="V11" s="28">
        <v>1</v>
      </c>
      <c r="W11" s="28" t="s">
        <v>85</v>
      </c>
      <c r="X11" s="28">
        <v>0</v>
      </c>
      <c r="Y11" s="181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81" t="s">
        <v>83</v>
      </c>
      <c r="AF11" s="181" t="s">
        <v>83</v>
      </c>
      <c r="AG11" s="181" t="s">
        <v>83</v>
      </c>
      <c r="AH11" s="181" t="s">
        <v>83</v>
      </c>
      <c r="AI11" s="28"/>
      <c r="AJ11" s="28"/>
      <c r="AK11" s="28">
        <v>0</v>
      </c>
      <c r="AL11" s="28">
        <v>0</v>
      </c>
      <c r="AM11" s="181" t="s">
        <v>83</v>
      </c>
      <c r="AN11" s="28"/>
      <c r="AO11" s="28"/>
      <c r="AP11" s="28">
        <v>1</v>
      </c>
    </row>
    <row r="12" spans="1:42">
      <c r="A12" s="157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9" t="str">
        <f t="shared" si="4"/>
        <v>|Cff00FF7F[武器]鱼肠剑lv5|r</v>
      </c>
      <c r="K12" s="159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60" t="str">
        <f>VLOOKUP(LEFT(RIGHT(B12,5),4),物品!B:CU,20,FALSE)</f>
        <v>ReplaceableTextures\\CommandButtons\\BTNZ02.blp</v>
      </c>
      <c r="N12" s="181" t="s">
        <v>83</v>
      </c>
      <c r="O12" s="182" t="s">
        <v>84</v>
      </c>
      <c r="P12" s="28">
        <v>0</v>
      </c>
      <c r="Q12" s="28">
        <v>0</v>
      </c>
      <c r="R12" s="181" t="s">
        <v>83</v>
      </c>
      <c r="S12" s="181" t="s">
        <v>83</v>
      </c>
      <c r="T12" s="181" t="s">
        <v>83</v>
      </c>
      <c r="U12" s="181" t="s">
        <v>83</v>
      </c>
      <c r="V12" s="28">
        <v>1</v>
      </c>
      <c r="W12" s="28" t="s">
        <v>85</v>
      </c>
      <c r="X12" s="28">
        <v>0</v>
      </c>
      <c r="Y12" s="181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81" t="s">
        <v>83</v>
      </c>
      <c r="AF12" s="181" t="s">
        <v>83</v>
      </c>
      <c r="AG12" s="181" t="s">
        <v>83</v>
      </c>
      <c r="AH12" s="181" t="s">
        <v>83</v>
      </c>
      <c r="AI12" s="28"/>
      <c r="AJ12" s="28"/>
      <c r="AK12" s="28">
        <v>0</v>
      </c>
      <c r="AL12" s="28">
        <v>0</v>
      </c>
      <c r="AM12" s="181" t="s">
        <v>83</v>
      </c>
      <c r="AN12" s="28"/>
      <c r="AO12" s="28"/>
      <c r="AP12" s="28">
        <v>1</v>
      </c>
    </row>
    <row r="13" spans="1:42">
      <c r="A13" s="157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9" t="str">
        <f t="shared" si="4"/>
        <v>|Cff00BFFF[武器]太阿剑lv1|r</v>
      </c>
      <c r="K13" s="159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60" t="str">
        <f>VLOOKUP(LEFT(RIGHT(B13,5),4),物品!B:CU,20,FALSE)</f>
        <v>ReplaceableTextures\\CommandButtons\\BTNZ03.blp</v>
      </c>
      <c r="N13" s="181" t="s">
        <v>83</v>
      </c>
      <c r="O13" s="182" t="s">
        <v>84</v>
      </c>
      <c r="P13" s="28">
        <v>0</v>
      </c>
      <c r="Q13" s="28">
        <v>0</v>
      </c>
      <c r="R13" s="181" t="s">
        <v>83</v>
      </c>
      <c r="S13" s="181" t="s">
        <v>83</v>
      </c>
      <c r="T13" s="181" t="s">
        <v>83</v>
      </c>
      <c r="U13" s="181" t="s">
        <v>83</v>
      </c>
      <c r="V13" s="28">
        <v>1</v>
      </c>
      <c r="W13" s="28" t="s">
        <v>85</v>
      </c>
      <c r="X13" s="28">
        <v>0</v>
      </c>
      <c r="Y13" s="181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81" t="s">
        <v>83</v>
      </c>
      <c r="AF13" s="181" t="s">
        <v>83</v>
      </c>
      <c r="AG13" s="181" t="s">
        <v>83</v>
      </c>
      <c r="AH13" s="181" t="s">
        <v>83</v>
      </c>
      <c r="AI13" s="28"/>
      <c r="AJ13" s="28"/>
      <c r="AK13" s="28">
        <v>0</v>
      </c>
      <c r="AL13" s="28">
        <v>0</v>
      </c>
      <c r="AM13" s="181" t="s">
        <v>83</v>
      </c>
      <c r="AN13" s="28"/>
      <c r="AO13" s="28"/>
      <c r="AP13" s="28">
        <v>1</v>
      </c>
    </row>
    <row r="14" spans="1:42">
      <c r="A14" s="157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9" t="str">
        <f t="shared" si="4"/>
        <v>|Cff00BFFF[武器]太阿剑lv2|r</v>
      </c>
      <c r="K14" s="159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60" t="str">
        <f>VLOOKUP(LEFT(RIGHT(B14,5),4),物品!B:CU,20,FALSE)</f>
        <v>ReplaceableTextures\\CommandButtons\\BTNZ03.blp</v>
      </c>
      <c r="N14" s="181" t="s">
        <v>83</v>
      </c>
      <c r="O14" s="182" t="s">
        <v>84</v>
      </c>
      <c r="P14" s="28">
        <v>0</v>
      </c>
      <c r="Q14" s="28">
        <v>0</v>
      </c>
      <c r="R14" s="181" t="s">
        <v>83</v>
      </c>
      <c r="S14" s="181" t="s">
        <v>83</v>
      </c>
      <c r="T14" s="181" t="s">
        <v>83</v>
      </c>
      <c r="U14" s="181" t="s">
        <v>83</v>
      </c>
      <c r="V14" s="28">
        <v>1</v>
      </c>
      <c r="W14" s="28" t="s">
        <v>85</v>
      </c>
      <c r="X14" s="28">
        <v>0</v>
      </c>
      <c r="Y14" s="181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81" t="s">
        <v>83</v>
      </c>
      <c r="AF14" s="181" t="s">
        <v>83</v>
      </c>
      <c r="AG14" s="181" t="s">
        <v>83</v>
      </c>
      <c r="AH14" s="181" t="s">
        <v>83</v>
      </c>
      <c r="AI14" s="28"/>
      <c r="AJ14" s="28"/>
      <c r="AK14" s="28">
        <v>0</v>
      </c>
      <c r="AL14" s="28">
        <v>0</v>
      </c>
      <c r="AM14" s="181" t="s">
        <v>83</v>
      </c>
      <c r="AN14" s="28"/>
      <c r="AO14" s="28"/>
      <c r="AP14" s="28">
        <v>1</v>
      </c>
    </row>
    <row r="15" spans="1:42">
      <c r="A15" s="157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9" t="str">
        <f t="shared" si="4"/>
        <v>|Cff00BFFF[武器]太阿剑lv3|r</v>
      </c>
      <c r="K15" s="159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60" t="str">
        <f>VLOOKUP(LEFT(RIGHT(B15,5),4),物品!B:CU,20,FALSE)</f>
        <v>ReplaceableTextures\\CommandButtons\\BTNZ03.blp</v>
      </c>
      <c r="N15" s="181" t="s">
        <v>83</v>
      </c>
      <c r="O15" s="182" t="s">
        <v>84</v>
      </c>
      <c r="P15" s="28">
        <v>0</v>
      </c>
      <c r="Q15" s="28">
        <v>0</v>
      </c>
      <c r="R15" s="181" t="s">
        <v>83</v>
      </c>
      <c r="S15" s="181" t="s">
        <v>83</v>
      </c>
      <c r="T15" s="181" t="s">
        <v>83</v>
      </c>
      <c r="U15" s="181" t="s">
        <v>83</v>
      </c>
      <c r="V15" s="28">
        <v>1</v>
      </c>
      <c r="W15" s="28" t="s">
        <v>85</v>
      </c>
      <c r="X15" s="28">
        <v>0</v>
      </c>
      <c r="Y15" s="181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81" t="s">
        <v>83</v>
      </c>
      <c r="AF15" s="181" t="s">
        <v>83</v>
      </c>
      <c r="AG15" s="181" t="s">
        <v>83</v>
      </c>
      <c r="AH15" s="181" t="s">
        <v>83</v>
      </c>
      <c r="AI15" s="28"/>
      <c r="AJ15" s="28"/>
      <c r="AK15" s="28">
        <v>0</v>
      </c>
      <c r="AL15" s="28">
        <v>0</v>
      </c>
      <c r="AM15" s="181" t="s">
        <v>83</v>
      </c>
      <c r="AN15" s="28"/>
      <c r="AO15" s="28"/>
      <c r="AP15" s="28">
        <v>1</v>
      </c>
    </row>
    <row r="16" spans="1:42">
      <c r="A16" s="157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9" t="str">
        <f t="shared" si="4"/>
        <v>|Cff00BFFF[武器]太阿剑lv4|r</v>
      </c>
      <c r="K16" s="159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60" t="str">
        <f>VLOOKUP(LEFT(RIGHT(B16,5),4),物品!B:CU,20,FALSE)</f>
        <v>ReplaceableTextures\\CommandButtons\\BTNZ03.blp</v>
      </c>
      <c r="N16" s="181" t="s">
        <v>83</v>
      </c>
      <c r="O16" s="182" t="s">
        <v>84</v>
      </c>
      <c r="P16" s="28">
        <v>0</v>
      </c>
      <c r="Q16" s="28">
        <v>0</v>
      </c>
      <c r="R16" s="181" t="s">
        <v>83</v>
      </c>
      <c r="S16" s="181" t="s">
        <v>83</v>
      </c>
      <c r="T16" s="181" t="s">
        <v>83</v>
      </c>
      <c r="U16" s="181" t="s">
        <v>83</v>
      </c>
      <c r="V16" s="28">
        <v>1</v>
      </c>
      <c r="W16" s="28" t="s">
        <v>85</v>
      </c>
      <c r="X16" s="28">
        <v>0</v>
      </c>
      <c r="Y16" s="181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81" t="s">
        <v>83</v>
      </c>
      <c r="AF16" s="181" t="s">
        <v>83</v>
      </c>
      <c r="AG16" s="181" t="s">
        <v>83</v>
      </c>
      <c r="AH16" s="181" t="s">
        <v>83</v>
      </c>
      <c r="AI16" s="28"/>
      <c r="AJ16" s="28"/>
      <c r="AK16" s="28">
        <v>0</v>
      </c>
      <c r="AL16" s="28">
        <v>0</v>
      </c>
      <c r="AM16" s="181" t="s">
        <v>83</v>
      </c>
      <c r="AN16" s="28"/>
      <c r="AO16" s="28"/>
      <c r="AP16" s="28">
        <v>1</v>
      </c>
    </row>
    <row r="17" spans="1:42">
      <c r="A17" s="157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9" t="str">
        <f t="shared" si="4"/>
        <v>|Cff00BFFF[武器]太阿剑lv5|r</v>
      </c>
      <c r="K17" s="159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60" t="str">
        <f>VLOOKUP(LEFT(RIGHT(B17,5),4),物品!B:CU,20,FALSE)</f>
        <v>ReplaceableTextures\\CommandButtons\\BTNZ03.blp</v>
      </c>
      <c r="N17" s="181" t="s">
        <v>83</v>
      </c>
      <c r="O17" s="182" t="s">
        <v>84</v>
      </c>
      <c r="P17" s="28">
        <v>0</v>
      </c>
      <c r="Q17" s="28">
        <v>0</v>
      </c>
      <c r="R17" s="181" t="s">
        <v>83</v>
      </c>
      <c r="S17" s="181" t="s">
        <v>83</v>
      </c>
      <c r="T17" s="181" t="s">
        <v>83</v>
      </c>
      <c r="U17" s="181" t="s">
        <v>83</v>
      </c>
      <c r="V17" s="28">
        <v>1</v>
      </c>
      <c r="W17" s="28" t="s">
        <v>85</v>
      </c>
      <c r="X17" s="28">
        <v>0</v>
      </c>
      <c r="Y17" s="181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81" t="s">
        <v>83</v>
      </c>
      <c r="AF17" s="181" t="s">
        <v>83</v>
      </c>
      <c r="AG17" s="181" t="s">
        <v>83</v>
      </c>
      <c r="AH17" s="181" t="s">
        <v>83</v>
      </c>
      <c r="AI17" s="28"/>
      <c r="AJ17" s="28"/>
      <c r="AK17" s="28">
        <v>0</v>
      </c>
      <c r="AL17" s="28">
        <v>0</v>
      </c>
      <c r="AM17" s="181" t="s">
        <v>83</v>
      </c>
      <c r="AN17" s="28"/>
      <c r="AO17" s="28"/>
      <c r="AP17" s="28">
        <v>1</v>
      </c>
    </row>
    <row r="18" spans="1:42">
      <c r="A18" s="157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9" t="str">
        <f t="shared" ref="J18:J22" si="6">H18</f>
        <v>|CffBF00FF[武器]湛卢剑lv1|r</v>
      </c>
      <c r="K18" s="159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60" t="str">
        <f>VLOOKUP(LEFT(RIGHT(B18,5),4),物品!B:CU,20,FALSE)</f>
        <v>ReplaceableTextures\\CommandButtons\\BTNZ21.blp</v>
      </c>
      <c r="N18" s="181" t="s">
        <v>83</v>
      </c>
      <c r="O18" s="182" t="s">
        <v>84</v>
      </c>
      <c r="P18" s="28">
        <v>0</v>
      </c>
      <c r="Q18" s="28">
        <v>0</v>
      </c>
      <c r="R18" s="181" t="s">
        <v>83</v>
      </c>
      <c r="S18" s="181" t="s">
        <v>83</v>
      </c>
      <c r="T18" s="181" t="s">
        <v>83</v>
      </c>
      <c r="U18" s="181" t="s">
        <v>83</v>
      </c>
      <c r="V18" s="28">
        <v>1</v>
      </c>
      <c r="W18" s="28" t="s">
        <v>85</v>
      </c>
      <c r="X18" s="28">
        <v>0</v>
      </c>
      <c r="Y18" s="181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81" t="s">
        <v>83</v>
      </c>
      <c r="AF18" s="181" t="s">
        <v>83</v>
      </c>
      <c r="AG18" s="181" t="s">
        <v>83</v>
      </c>
      <c r="AH18" s="181" t="s">
        <v>83</v>
      </c>
      <c r="AI18" s="28"/>
      <c r="AJ18" s="28"/>
      <c r="AK18" s="28">
        <v>0</v>
      </c>
      <c r="AL18" s="28">
        <v>0</v>
      </c>
      <c r="AM18" s="181" t="s">
        <v>83</v>
      </c>
      <c r="AN18" s="28"/>
      <c r="AO18" s="28"/>
      <c r="AP18" s="28">
        <v>1</v>
      </c>
    </row>
    <row r="19" spans="1:42">
      <c r="A19" s="157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9" t="str">
        <f t="shared" si="6"/>
        <v>|CffBF00FF[武器]湛卢剑lv2|r</v>
      </c>
      <c r="K19" s="159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60" t="str">
        <f>VLOOKUP(LEFT(RIGHT(B19,5),4),物品!B:CU,20,FALSE)</f>
        <v>ReplaceableTextures\\CommandButtons\\BTNZ21.blp</v>
      </c>
      <c r="N19" s="181" t="s">
        <v>83</v>
      </c>
      <c r="O19" s="182" t="s">
        <v>84</v>
      </c>
      <c r="P19" s="28">
        <v>0</v>
      </c>
      <c r="Q19" s="28">
        <v>0</v>
      </c>
      <c r="R19" s="181" t="s">
        <v>83</v>
      </c>
      <c r="S19" s="181" t="s">
        <v>83</v>
      </c>
      <c r="T19" s="181" t="s">
        <v>83</v>
      </c>
      <c r="U19" s="181" t="s">
        <v>83</v>
      </c>
      <c r="V19" s="28">
        <v>1</v>
      </c>
      <c r="W19" s="28" t="s">
        <v>85</v>
      </c>
      <c r="X19" s="28">
        <v>0</v>
      </c>
      <c r="Y19" s="181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81" t="s">
        <v>83</v>
      </c>
      <c r="AF19" s="181" t="s">
        <v>83</v>
      </c>
      <c r="AG19" s="181" t="s">
        <v>83</v>
      </c>
      <c r="AH19" s="181" t="s">
        <v>83</v>
      </c>
      <c r="AI19" s="28"/>
      <c r="AJ19" s="28"/>
      <c r="AK19" s="28">
        <v>0</v>
      </c>
      <c r="AL19" s="28">
        <v>0</v>
      </c>
      <c r="AM19" s="181" t="s">
        <v>83</v>
      </c>
      <c r="AN19" s="28"/>
      <c r="AO19" s="28"/>
      <c r="AP19" s="28">
        <v>1</v>
      </c>
    </row>
    <row r="20" spans="1:42">
      <c r="A20" s="157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9" t="str">
        <f t="shared" si="6"/>
        <v>|CffBF00FF[武器]湛卢剑lv3|r</v>
      </c>
      <c r="K20" s="159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60" t="str">
        <f>VLOOKUP(LEFT(RIGHT(B20,5),4),物品!B:CU,20,FALSE)</f>
        <v>ReplaceableTextures\\CommandButtons\\BTNZ21.blp</v>
      </c>
      <c r="N20" s="181" t="s">
        <v>83</v>
      </c>
      <c r="O20" s="182" t="s">
        <v>84</v>
      </c>
      <c r="P20" s="28">
        <v>0</v>
      </c>
      <c r="Q20" s="28">
        <v>0</v>
      </c>
      <c r="R20" s="181" t="s">
        <v>83</v>
      </c>
      <c r="S20" s="181" t="s">
        <v>83</v>
      </c>
      <c r="T20" s="181" t="s">
        <v>83</v>
      </c>
      <c r="U20" s="181" t="s">
        <v>83</v>
      </c>
      <c r="V20" s="28">
        <v>1</v>
      </c>
      <c r="W20" s="28" t="s">
        <v>85</v>
      </c>
      <c r="X20" s="28">
        <v>0</v>
      </c>
      <c r="Y20" s="181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81" t="s">
        <v>83</v>
      </c>
      <c r="AF20" s="181" t="s">
        <v>83</v>
      </c>
      <c r="AG20" s="181" t="s">
        <v>83</v>
      </c>
      <c r="AH20" s="181" t="s">
        <v>83</v>
      </c>
      <c r="AI20" s="28"/>
      <c r="AJ20" s="28"/>
      <c r="AK20" s="28">
        <v>0</v>
      </c>
      <c r="AL20" s="28">
        <v>0</v>
      </c>
      <c r="AM20" s="181" t="s">
        <v>83</v>
      </c>
      <c r="AN20" s="28"/>
      <c r="AO20" s="28"/>
      <c r="AP20" s="28">
        <v>1</v>
      </c>
    </row>
    <row r="21" spans="1:42">
      <c r="A21" s="157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9" t="str">
        <f t="shared" si="6"/>
        <v>|CffBF00FF[武器]湛卢剑lv4|r</v>
      </c>
      <c r="K21" s="159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60" t="str">
        <f>VLOOKUP(LEFT(RIGHT(B21,5),4),物品!B:CU,20,FALSE)</f>
        <v>ReplaceableTextures\\CommandButtons\\BTNZ21.blp</v>
      </c>
      <c r="N21" s="181" t="s">
        <v>83</v>
      </c>
      <c r="O21" s="182" t="s">
        <v>84</v>
      </c>
      <c r="P21" s="28">
        <v>0</v>
      </c>
      <c r="Q21" s="28">
        <v>0</v>
      </c>
      <c r="R21" s="181" t="s">
        <v>83</v>
      </c>
      <c r="S21" s="181" t="s">
        <v>83</v>
      </c>
      <c r="T21" s="181" t="s">
        <v>83</v>
      </c>
      <c r="U21" s="181" t="s">
        <v>83</v>
      </c>
      <c r="V21" s="28">
        <v>1</v>
      </c>
      <c r="W21" s="28" t="s">
        <v>85</v>
      </c>
      <c r="X21" s="28">
        <v>0</v>
      </c>
      <c r="Y21" s="181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81" t="s">
        <v>83</v>
      </c>
      <c r="AF21" s="181" t="s">
        <v>83</v>
      </c>
      <c r="AG21" s="181" t="s">
        <v>83</v>
      </c>
      <c r="AH21" s="181" t="s">
        <v>83</v>
      </c>
      <c r="AI21" s="28"/>
      <c r="AJ21" s="28"/>
      <c r="AK21" s="28">
        <v>0</v>
      </c>
      <c r="AL21" s="28">
        <v>0</v>
      </c>
      <c r="AM21" s="181" t="s">
        <v>83</v>
      </c>
      <c r="AN21" s="28"/>
      <c r="AO21" s="28"/>
      <c r="AP21" s="28">
        <v>1</v>
      </c>
    </row>
    <row r="22" spans="1:42">
      <c r="A22" s="157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9" t="str">
        <f t="shared" si="6"/>
        <v>|CffBF00FF[武器]湛卢剑lv5|r</v>
      </c>
      <c r="K22" s="159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60" t="str">
        <f>VLOOKUP(LEFT(RIGHT(B22,5),4),物品!B:CU,20,FALSE)</f>
        <v>ReplaceableTextures\\CommandButtons\\BTNZ21.blp</v>
      </c>
      <c r="N22" s="181" t="s">
        <v>83</v>
      </c>
      <c r="O22" s="182" t="s">
        <v>84</v>
      </c>
      <c r="P22" s="28">
        <v>0</v>
      </c>
      <c r="Q22" s="28">
        <v>0</v>
      </c>
      <c r="R22" s="181" t="s">
        <v>83</v>
      </c>
      <c r="S22" s="181" t="s">
        <v>83</v>
      </c>
      <c r="T22" s="181" t="s">
        <v>83</v>
      </c>
      <c r="U22" s="181" t="s">
        <v>83</v>
      </c>
      <c r="V22" s="28">
        <v>1</v>
      </c>
      <c r="W22" s="28" t="s">
        <v>85</v>
      </c>
      <c r="X22" s="28">
        <v>0</v>
      </c>
      <c r="Y22" s="181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81" t="s">
        <v>83</v>
      </c>
      <c r="AF22" s="181" t="s">
        <v>83</v>
      </c>
      <c r="AG22" s="181" t="s">
        <v>83</v>
      </c>
      <c r="AH22" s="181" t="s">
        <v>83</v>
      </c>
      <c r="AI22" s="28"/>
      <c r="AJ22" s="28"/>
      <c r="AK22" s="28">
        <v>0</v>
      </c>
      <c r="AL22" s="28">
        <v>0</v>
      </c>
      <c r="AM22" s="181" t="s">
        <v>83</v>
      </c>
      <c r="AN22" s="28"/>
      <c r="AO22" s="28"/>
      <c r="AP22" s="28">
        <v>1</v>
      </c>
    </row>
    <row r="23" spans="1:42">
      <c r="A23" s="157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9" t="str">
        <f t="shared" si="4"/>
        <v>|CffFFC926[武器]轩辕剑lv1|r</v>
      </c>
      <c r="K23" s="159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60" t="str">
        <f>VLOOKUP(LEFT(RIGHT(B23,5),4),物品!B:CU,20,FALSE)</f>
        <v>ReplaceableTextures\\CommandButtons\\BTNZ04.blp</v>
      </c>
      <c r="N23" s="181" t="s">
        <v>83</v>
      </c>
      <c r="O23" s="182" t="s">
        <v>84</v>
      </c>
      <c r="P23" s="28">
        <v>0</v>
      </c>
      <c r="Q23" s="28">
        <v>0</v>
      </c>
      <c r="R23" s="181" t="s">
        <v>83</v>
      </c>
      <c r="S23" s="181" t="s">
        <v>83</v>
      </c>
      <c r="T23" s="181" t="s">
        <v>83</v>
      </c>
      <c r="U23" s="181" t="s">
        <v>83</v>
      </c>
      <c r="V23" s="28">
        <v>1</v>
      </c>
      <c r="W23" s="28" t="s">
        <v>85</v>
      </c>
      <c r="X23" s="28">
        <v>0</v>
      </c>
      <c r="Y23" s="181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81" t="s">
        <v>83</v>
      </c>
      <c r="AF23" s="181" t="s">
        <v>83</v>
      </c>
      <c r="AG23" s="181" t="s">
        <v>83</v>
      </c>
      <c r="AH23" s="181" t="s">
        <v>83</v>
      </c>
      <c r="AI23" s="28"/>
      <c r="AJ23" s="28"/>
      <c r="AK23" s="28">
        <v>0</v>
      </c>
      <c r="AL23" s="28">
        <v>0</v>
      </c>
      <c r="AM23" s="181" t="s">
        <v>83</v>
      </c>
      <c r="AN23" s="28"/>
      <c r="AO23" s="28"/>
      <c r="AP23" s="28">
        <v>1</v>
      </c>
    </row>
    <row r="24" spans="1:42">
      <c r="A24" s="157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9" t="str">
        <f t="shared" ref="J24:J40" si="8">H24</f>
        <v>|CffFFC926[武器]轩辕剑lv2|r</v>
      </c>
      <c r="K24" s="159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60" t="str">
        <f>VLOOKUP(LEFT(RIGHT(B24,5),4),物品!B:CU,20,FALSE)</f>
        <v>ReplaceableTextures\\CommandButtons\\BTNZ04.blp</v>
      </c>
      <c r="N24" s="181" t="s">
        <v>83</v>
      </c>
      <c r="O24" s="182" t="s">
        <v>84</v>
      </c>
      <c r="P24" s="28">
        <v>0</v>
      </c>
      <c r="Q24" s="28">
        <v>0</v>
      </c>
      <c r="R24" s="181" t="s">
        <v>83</v>
      </c>
      <c r="S24" s="181" t="s">
        <v>83</v>
      </c>
      <c r="T24" s="181" t="s">
        <v>83</v>
      </c>
      <c r="U24" s="181" t="s">
        <v>83</v>
      </c>
      <c r="V24" s="28">
        <v>1</v>
      </c>
      <c r="W24" s="28" t="s">
        <v>85</v>
      </c>
      <c r="X24" s="28">
        <v>0</v>
      </c>
      <c r="Y24" s="181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81" t="s">
        <v>83</v>
      </c>
      <c r="AF24" s="181" t="s">
        <v>83</v>
      </c>
      <c r="AG24" s="181" t="s">
        <v>83</v>
      </c>
      <c r="AH24" s="181" t="s">
        <v>83</v>
      </c>
      <c r="AI24" s="28"/>
      <c r="AJ24" s="28"/>
      <c r="AK24" s="28">
        <v>0</v>
      </c>
      <c r="AL24" s="28">
        <v>0</v>
      </c>
      <c r="AM24" s="181" t="s">
        <v>83</v>
      </c>
      <c r="AN24" s="28"/>
      <c r="AO24" s="28"/>
      <c r="AP24" s="28">
        <v>1</v>
      </c>
    </row>
    <row r="25" spans="1:42">
      <c r="A25" s="157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9" t="str">
        <f t="shared" si="8"/>
        <v>|CffFFC926[武器]轩辕剑lv3|r</v>
      </c>
      <c r="K25" s="159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60" t="str">
        <f>VLOOKUP(LEFT(RIGHT(B25,5),4),物品!B:CU,20,FALSE)</f>
        <v>ReplaceableTextures\\CommandButtons\\BTNZ04.blp</v>
      </c>
      <c r="N25" s="181" t="s">
        <v>83</v>
      </c>
      <c r="O25" s="182" t="s">
        <v>84</v>
      </c>
      <c r="P25" s="28">
        <v>0</v>
      </c>
      <c r="Q25" s="28">
        <v>0</v>
      </c>
      <c r="R25" s="181" t="s">
        <v>83</v>
      </c>
      <c r="S25" s="181" t="s">
        <v>83</v>
      </c>
      <c r="T25" s="181" t="s">
        <v>83</v>
      </c>
      <c r="U25" s="181" t="s">
        <v>83</v>
      </c>
      <c r="V25" s="28">
        <v>1</v>
      </c>
      <c r="W25" s="28" t="s">
        <v>85</v>
      </c>
      <c r="X25" s="28">
        <v>0</v>
      </c>
      <c r="Y25" s="181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81" t="s">
        <v>83</v>
      </c>
      <c r="AF25" s="181" t="s">
        <v>83</v>
      </c>
      <c r="AG25" s="181" t="s">
        <v>83</v>
      </c>
      <c r="AH25" s="181" t="s">
        <v>83</v>
      </c>
      <c r="AI25" s="28"/>
      <c r="AJ25" s="28"/>
      <c r="AK25" s="28">
        <v>0</v>
      </c>
      <c r="AL25" s="28">
        <v>0</v>
      </c>
      <c r="AM25" s="181" t="s">
        <v>83</v>
      </c>
      <c r="AN25" s="28"/>
      <c r="AO25" s="28"/>
      <c r="AP25" s="28">
        <v>1</v>
      </c>
    </row>
    <row r="26" spans="1:42">
      <c r="A26" s="157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9" t="str">
        <f t="shared" si="8"/>
        <v>|CffFFC926[武器]轩辕剑lv4|r</v>
      </c>
      <c r="K26" s="159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60" t="str">
        <f>VLOOKUP(LEFT(RIGHT(B26,5),4),物品!B:CU,20,FALSE)</f>
        <v>ReplaceableTextures\\CommandButtons\\BTNZ04.blp</v>
      </c>
      <c r="N26" s="181" t="s">
        <v>83</v>
      </c>
      <c r="O26" s="182" t="s">
        <v>84</v>
      </c>
      <c r="P26" s="28">
        <v>0</v>
      </c>
      <c r="Q26" s="28">
        <v>0</v>
      </c>
      <c r="R26" s="181" t="s">
        <v>83</v>
      </c>
      <c r="S26" s="181" t="s">
        <v>83</v>
      </c>
      <c r="T26" s="181" t="s">
        <v>83</v>
      </c>
      <c r="U26" s="181" t="s">
        <v>83</v>
      </c>
      <c r="V26" s="28">
        <v>1</v>
      </c>
      <c r="W26" s="28" t="s">
        <v>85</v>
      </c>
      <c r="X26" s="28">
        <v>0</v>
      </c>
      <c r="Y26" s="181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81" t="s">
        <v>83</v>
      </c>
      <c r="AF26" s="181" t="s">
        <v>83</v>
      </c>
      <c r="AG26" s="181" t="s">
        <v>83</v>
      </c>
      <c r="AH26" s="181" t="s">
        <v>83</v>
      </c>
      <c r="AI26" s="28"/>
      <c r="AJ26" s="28"/>
      <c r="AK26" s="28">
        <v>0</v>
      </c>
      <c r="AL26" s="28">
        <v>0</v>
      </c>
      <c r="AM26" s="181" t="s">
        <v>83</v>
      </c>
      <c r="AN26" s="28"/>
      <c r="AO26" s="28"/>
      <c r="AP26" s="28">
        <v>1</v>
      </c>
    </row>
    <row r="27" spans="1:42">
      <c r="A27" s="157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9" t="str">
        <f t="shared" si="8"/>
        <v>|CffFFC926[武器]轩辕剑lv5|r</v>
      </c>
      <c r="K27" s="159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60" t="str">
        <f>VLOOKUP(LEFT(RIGHT(B27,5),4),物品!B:CU,20,FALSE)</f>
        <v>ReplaceableTextures\\CommandButtons\\BTNZ04.blp</v>
      </c>
      <c r="N27" s="181" t="s">
        <v>83</v>
      </c>
      <c r="O27" s="182" t="s">
        <v>84</v>
      </c>
      <c r="P27" s="28">
        <v>0</v>
      </c>
      <c r="Q27" s="28">
        <v>0</v>
      </c>
      <c r="R27" s="181" t="s">
        <v>83</v>
      </c>
      <c r="S27" s="181" t="s">
        <v>83</v>
      </c>
      <c r="T27" s="181" t="s">
        <v>83</v>
      </c>
      <c r="U27" s="181" t="s">
        <v>83</v>
      </c>
      <c r="V27" s="28">
        <v>1</v>
      </c>
      <c r="W27" s="28" t="s">
        <v>85</v>
      </c>
      <c r="X27" s="28">
        <v>0</v>
      </c>
      <c r="Y27" s="181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81" t="s">
        <v>83</v>
      </c>
      <c r="AF27" s="181" t="s">
        <v>83</v>
      </c>
      <c r="AG27" s="181" t="s">
        <v>83</v>
      </c>
      <c r="AH27" s="181" t="s">
        <v>83</v>
      </c>
      <c r="AI27" s="28"/>
      <c r="AJ27" s="28"/>
      <c r="AK27" s="28">
        <v>0</v>
      </c>
      <c r="AL27" s="28">
        <v>0</v>
      </c>
      <c r="AM27" s="181" t="s">
        <v>83</v>
      </c>
      <c r="AN27" s="28"/>
      <c r="AO27" s="28"/>
      <c r="AP27" s="28">
        <v>1</v>
      </c>
    </row>
    <row r="28" spans="1:42">
      <c r="A28" s="157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9" t="str">
        <f t="shared" si="8"/>
        <v>|CffFF0000[武器]太极八卦剑lv1|r</v>
      </c>
      <c r="K28" s="159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60" t="str">
        <f>VLOOKUP(LEFT(RIGHT(B28,5),4),物品!B:CU,20,FALSE)</f>
        <v>ReplaceableTextures\\CommandButtons\\BTNZ05.blp</v>
      </c>
      <c r="N28" s="181" t="s">
        <v>83</v>
      </c>
      <c r="O28" s="182" t="s">
        <v>84</v>
      </c>
      <c r="P28" s="28">
        <v>0</v>
      </c>
      <c r="Q28" s="28">
        <v>0</v>
      </c>
      <c r="R28" s="181" t="s">
        <v>83</v>
      </c>
      <c r="S28" s="181" t="s">
        <v>83</v>
      </c>
      <c r="T28" s="181" t="s">
        <v>83</v>
      </c>
      <c r="U28" s="181" t="s">
        <v>83</v>
      </c>
      <c r="V28" s="28">
        <v>1</v>
      </c>
      <c r="W28" s="28" t="s">
        <v>85</v>
      </c>
      <c r="X28" s="28">
        <v>0</v>
      </c>
      <c r="Y28" s="181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81" t="s">
        <v>83</v>
      </c>
      <c r="AF28" s="181" t="s">
        <v>83</v>
      </c>
      <c r="AG28" s="181" t="s">
        <v>83</v>
      </c>
      <c r="AH28" s="181" t="s">
        <v>83</v>
      </c>
      <c r="AI28" s="28"/>
      <c r="AJ28" s="28"/>
      <c r="AK28" s="28">
        <v>0</v>
      </c>
      <c r="AL28" s="28">
        <v>0</v>
      </c>
      <c r="AM28" s="181" t="s">
        <v>83</v>
      </c>
      <c r="AN28" s="28"/>
      <c r="AO28" s="28"/>
      <c r="AP28" s="28">
        <v>1</v>
      </c>
    </row>
    <row r="29" spans="1:42">
      <c r="A29" s="157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9" t="str">
        <f t="shared" si="8"/>
        <v>|CffFF0000[武器]太极八卦剑lv2|r</v>
      </c>
      <c r="K29" s="159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60" t="str">
        <f>VLOOKUP(LEFT(RIGHT(B29,5),4),物品!B:CU,20,FALSE)</f>
        <v>ReplaceableTextures\\CommandButtons\\BTNZ05.blp</v>
      </c>
      <c r="N29" s="181" t="s">
        <v>83</v>
      </c>
      <c r="O29" s="182" t="s">
        <v>84</v>
      </c>
      <c r="P29" s="28">
        <v>0</v>
      </c>
      <c r="Q29" s="28">
        <v>0</v>
      </c>
      <c r="R29" s="181" t="s">
        <v>83</v>
      </c>
      <c r="S29" s="181" t="s">
        <v>83</v>
      </c>
      <c r="T29" s="181" t="s">
        <v>83</v>
      </c>
      <c r="U29" s="181" t="s">
        <v>83</v>
      </c>
      <c r="V29" s="28">
        <v>1</v>
      </c>
      <c r="W29" s="28" t="s">
        <v>85</v>
      </c>
      <c r="X29" s="28">
        <v>0</v>
      </c>
      <c r="Y29" s="181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81" t="s">
        <v>83</v>
      </c>
      <c r="AF29" s="181" t="s">
        <v>83</v>
      </c>
      <c r="AG29" s="181" t="s">
        <v>83</v>
      </c>
      <c r="AH29" s="181" t="s">
        <v>83</v>
      </c>
      <c r="AI29" s="28"/>
      <c r="AJ29" s="28"/>
      <c r="AK29" s="28">
        <v>0</v>
      </c>
      <c r="AL29" s="28">
        <v>0</v>
      </c>
      <c r="AM29" s="181" t="s">
        <v>83</v>
      </c>
      <c r="AN29" s="28"/>
      <c r="AO29" s="28"/>
      <c r="AP29" s="28">
        <v>1</v>
      </c>
    </row>
    <row r="30" spans="1:42">
      <c r="A30" s="157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9" t="str">
        <f t="shared" si="8"/>
        <v>|CffFF0000[武器]太极八卦剑lv3|r</v>
      </c>
      <c r="K30" s="159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60" t="str">
        <f>VLOOKUP(LEFT(RIGHT(B30,5),4),物品!B:CU,20,FALSE)</f>
        <v>ReplaceableTextures\\CommandButtons\\BTNZ05.blp</v>
      </c>
      <c r="N30" s="181" t="s">
        <v>83</v>
      </c>
      <c r="O30" s="182" t="s">
        <v>84</v>
      </c>
      <c r="P30" s="28">
        <v>0</v>
      </c>
      <c r="Q30" s="28">
        <v>0</v>
      </c>
      <c r="R30" s="181" t="s">
        <v>83</v>
      </c>
      <c r="S30" s="181" t="s">
        <v>83</v>
      </c>
      <c r="T30" s="181" t="s">
        <v>83</v>
      </c>
      <c r="U30" s="181" t="s">
        <v>83</v>
      </c>
      <c r="V30" s="28">
        <v>1</v>
      </c>
      <c r="W30" s="28" t="s">
        <v>85</v>
      </c>
      <c r="X30" s="28">
        <v>0</v>
      </c>
      <c r="Y30" s="181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81" t="s">
        <v>83</v>
      </c>
      <c r="AF30" s="181" t="s">
        <v>83</v>
      </c>
      <c r="AG30" s="181" t="s">
        <v>83</v>
      </c>
      <c r="AH30" s="181" t="s">
        <v>83</v>
      </c>
      <c r="AI30" s="28"/>
      <c r="AJ30" s="28"/>
      <c r="AK30" s="28">
        <v>0</v>
      </c>
      <c r="AL30" s="28">
        <v>0</v>
      </c>
      <c r="AM30" s="181" t="s">
        <v>83</v>
      </c>
      <c r="AN30" s="28"/>
      <c r="AO30" s="28"/>
      <c r="AP30" s="28">
        <v>1</v>
      </c>
    </row>
    <row r="31" spans="1:42">
      <c r="A31" s="157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9" t="str">
        <f t="shared" si="8"/>
        <v>|CffFF0000[武器]太极八卦剑lv4|r</v>
      </c>
      <c r="K31" s="159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60" t="str">
        <f>VLOOKUP(LEFT(RIGHT(B31,5),4),物品!B:CU,20,FALSE)</f>
        <v>ReplaceableTextures\\CommandButtons\\BTNZ05.blp</v>
      </c>
      <c r="N31" s="181" t="s">
        <v>83</v>
      </c>
      <c r="O31" s="182" t="s">
        <v>84</v>
      </c>
      <c r="P31" s="28">
        <v>0</v>
      </c>
      <c r="Q31" s="28">
        <v>0</v>
      </c>
      <c r="R31" s="181" t="s">
        <v>83</v>
      </c>
      <c r="S31" s="181" t="s">
        <v>83</v>
      </c>
      <c r="T31" s="181" t="s">
        <v>83</v>
      </c>
      <c r="U31" s="181" t="s">
        <v>83</v>
      </c>
      <c r="V31" s="28">
        <v>1</v>
      </c>
      <c r="W31" s="28" t="s">
        <v>85</v>
      </c>
      <c r="X31" s="28">
        <v>0</v>
      </c>
      <c r="Y31" s="181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81" t="s">
        <v>83</v>
      </c>
      <c r="AF31" s="181" t="s">
        <v>83</v>
      </c>
      <c r="AG31" s="181" t="s">
        <v>83</v>
      </c>
      <c r="AH31" s="181" t="s">
        <v>83</v>
      </c>
      <c r="AI31" s="28"/>
      <c r="AJ31" s="28"/>
      <c r="AK31" s="28">
        <v>0</v>
      </c>
      <c r="AL31" s="28">
        <v>0</v>
      </c>
      <c r="AM31" s="181" t="s">
        <v>83</v>
      </c>
      <c r="AN31" s="28"/>
      <c r="AO31" s="28"/>
      <c r="AP31" s="28">
        <v>1</v>
      </c>
    </row>
    <row r="32" spans="1:42">
      <c r="A32" s="157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9" t="str">
        <f t="shared" si="8"/>
        <v>|CffFF0000[武器]太极八卦剑lv5|r</v>
      </c>
      <c r="K32" s="159" t="str">
        <f t="shared" si="9"/>
        <v>|Cffbbbbbb属性：|r|n攻击+600000|n攻速+60%|n吸血+12%|n|n攻击|Cffffc92610%|r概率附加|Cffffc926业力*400%|r攻击伤害|n</v>
      </c>
      <c r="L32" s="28"/>
      <c r="M32" s="160" t="str">
        <f>VLOOKUP(LEFT(RIGHT(B32,5),4),物品!B:CU,20,FALSE)</f>
        <v>ReplaceableTextures\\CommandButtons\\BTNZ05.blp</v>
      </c>
      <c r="N32" s="181" t="s">
        <v>83</v>
      </c>
      <c r="O32" s="182" t="s">
        <v>84</v>
      </c>
      <c r="P32" s="28">
        <v>0</v>
      </c>
      <c r="Q32" s="28">
        <v>0</v>
      </c>
      <c r="R32" s="181" t="s">
        <v>83</v>
      </c>
      <c r="S32" s="181" t="s">
        <v>83</v>
      </c>
      <c r="T32" s="181" t="s">
        <v>83</v>
      </c>
      <c r="U32" s="181" t="s">
        <v>83</v>
      </c>
      <c r="V32" s="28">
        <v>1</v>
      </c>
      <c r="W32" s="28" t="s">
        <v>85</v>
      </c>
      <c r="X32" s="28">
        <v>0</v>
      </c>
      <c r="Y32" s="181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81" t="s">
        <v>83</v>
      </c>
      <c r="AF32" s="181" t="s">
        <v>83</v>
      </c>
      <c r="AG32" s="181" t="s">
        <v>83</v>
      </c>
      <c r="AH32" s="181" t="s">
        <v>83</v>
      </c>
      <c r="AI32" s="28"/>
      <c r="AJ32" s="28"/>
      <c r="AK32" s="28">
        <v>0</v>
      </c>
      <c r="AL32" s="28">
        <v>0</v>
      </c>
      <c r="AM32" s="181" t="s">
        <v>83</v>
      </c>
      <c r="AN32" s="28"/>
      <c r="AO32" s="28"/>
      <c r="AP32" s="28"/>
    </row>
    <row r="33" spans="1:42">
      <c r="A33" s="157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9" t="str">
        <f t="shared" si="8"/>
        <v>[饰品]青珑挂珠lv1</v>
      </c>
      <c r="K33" s="159" t="str">
        <f t="shared" si="9"/>
        <v>|Cffbbbbbb属性：|r|n攻击+250|n业力+1000|n生命值+5000|n|n|Cff00ff7f击杀200只怪有50%概率升级|r</v>
      </c>
      <c r="L33" s="28"/>
      <c r="M33" s="160" t="str">
        <f>VLOOKUP(LEFT(RIGHT(B33,5),4),物品!B:CU,20,FALSE)</f>
        <v>ReplaceableTextures\\CommandButtons\\BTNZ06.blp</v>
      </c>
      <c r="N33" s="181" t="s">
        <v>83</v>
      </c>
      <c r="O33" s="182" t="s">
        <v>84</v>
      </c>
      <c r="P33" s="28">
        <v>0</v>
      </c>
      <c r="Q33" s="28">
        <v>0</v>
      </c>
      <c r="R33" s="181" t="s">
        <v>83</v>
      </c>
      <c r="S33" s="181" t="s">
        <v>83</v>
      </c>
      <c r="T33" s="181" t="s">
        <v>83</v>
      </c>
      <c r="U33" s="181" t="s">
        <v>83</v>
      </c>
      <c r="V33" s="28">
        <v>2</v>
      </c>
      <c r="W33" s="28" t="s">
        <v>85</v>
      </c>
      <c r="X33" s="28">
        <v>0</v>
      </c>
      <c r="Y33" s="181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81" t="s">
        <v>83</v>
      </c>
      <c r="AF33" s="181" t="s">
        <v>83</v>
      </c>
      <c r="AG33" s="181" t="s">
        <v>83</v>
      </c>
      <c r="AH33" s="181" t="s">
        <v>83</v>
      </c>
      <c r="AI33" s="28"/>
      <c r="AJ33" s="28"/>
      <c r="AK33" s="28">
        <v>0</v>
      </c>
      <c r="AL33" s="28">
        <v>0</v>
      </c>
      <c r="AM33" s="181" t="s">
        <v>83</v>
      </c>
      <c r="AN33" s="28">
        <f>VLOOKUP(B33,物品!B33:D61,3,FALSE)</f>
        <v>200</v>
      </c>
      <c r="AO33" s="28"/>
      <c r="AP33" s="28"/>
    </row>
    <row r="34" spans="1:42">
      <c r="A34" s="157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9" t="str">
        <f t="shared" si="8"/>
        <v>[饰品]青珑挂珠lv2</v>
      </c>
      <c r="K34" s="159" t="str">
        <f t="shared" si="9"/>
        <v>|Cffbbbbbb属性：|r|n攻击+500|n业力+2000|n生命值+10000|n|n|Cff00ff7f击杀200只怪有50%概率升级|r</v>
      </c>
      <c r="L34" s="28"/>
      <c r="M34" s="160" t="str">
        <f>VLOOKUP(LEFT(RIGHT(B34,5),4),物品!B:CU,20,FALSE)</f>
        <v>ReplaceableTextures\\CommandButtons\\BTNZ06.blp</v>
      </c>
      <c r="N34" s="181" t="s">
        <v>83</v>
      </c>
      <c r="O34" s="182" t="s">
        <v>84</v>
      </c>
      <c r="P34" s="28">
        <v>0</v>
      </c>
      <c r="Q34" s="28">
        <v>0</v>
      </c>
      <c r="R34" s="181" t="s">
        <v>83</v>
      </c>
      <c r="S34" s="181" t="s">
        <v>83</v>
      </c>
      <c r="T34" s="181" t="s">
        <v>83</v>
      </c>
      <c r="U34" s="181" t="s">
        <v>83</v>
      </c>
      <c r="V34" s="28">
        <v>2</v>
      </c>
      <c r="W34" s="28" t="s">
        <v>85</v>
      </c>
      <c r="X34" s="28">
        <v>0</v>
      </c>
      <c r="Y34" s="181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81" t="s">
        <v>83</v>
      </c>
      <c r="AF34" s="181" t="s">
        <v>83</v>
      </c>
      <c r="AG34" s="181" t="s">
        <v>83</v>
      </c>
      <c r="AH34" s="181" t="s">
        <v>83</v>
      </c>
      <c r="AI34" s="28"/>
      <c r="AJ34" s="28"/>
      <c r="AK34" s="28">
        <v>0</v>
      </c>
      <c r="AL34" s="28">
        <v>0</v>
      </c>
      <c r="AM34" s="181" t="s">
        <v>83</v>
      </c>
      <c r="AN34" s="28">
        <f>VLOOKUP(B34,物品!B34:D62,3,FALSE)</f>
        <v>200</v>
      </c>
      <c r="AO34" s="28"/>
      <c r="AP34" s="28"/>
    </row>
    <row r="35" spans="1:42">
      <c r="A35" s="157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9" t="str">
        <f t="shared" si="8"/>
        <v>[饰品]青珑挂珠lv3</v>
      </c>
      <c r="K35" s="159" t="str">
        <f t="shared" si="9"/>
        <v>|Cffbbbbbb属性：|r|n攻击+750|n业力+3000|n生命值+15000|n|n|Cff00ff7f击杀200只怪有50%概率升级|r</v>
      </c>
      <c r="L35" s="28"/>
      <c r="M35" s="160" t="str">
        <f>VLOOKUP(LEFT(RIGHT(B35,5),4),物品!B:CU,20,FALSE)</f>
        <v>ReplaceableTextures\\CommandButtons\\BTNZ06.blp</v>
      </c>
      <c r="N35" s="181" t="s">
        <v>83</v>
      </c>
      <c r="O35" s="182" t="s">
        <v>84</v>
      </c>
      <c r="P35" s="28">
        <v>0</v>
      </c>
      <c r="Q35" s="28">
        <v>0</v>
      </c>
      <c r="R35" s="181" t="s">
        <v>83</v>
      </c>
      <c r="S35" s="181" t="s">
        <v>83</v>
      </c>
      <c r="T35" s="181" t="s">
        <v>83</v>
      </c>
      <c r="U35" s="181" t="s">
        <v>83</v>
      </c>
      <c r="V35" s="28">
        <v>2</v>
      </c>
      <c r="W35" s="28" t="s">
        <v>85</v>
      </c>
      <c r="X35" s="28">
        <v>0</v>
      </c>
      <c r="Y35" s="181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81" t="s">
        <v>83</v>
      </c>
      <c r="AF35" s="181" t="s">
        <v>83</v>
      </c>
      <c r="AG35" s="181" t="s">
        <v>83</v>
      </c>
      <c r="AH35" s="181" t="s">
        <v>83</v>
      </c>
      <c r="AI35" s="28"/>
      <c r="AJ35" s="28"/>
      <c r="AK35" s="28">
        <v>0</v>
      </c>
      <c r="AL35" s="28">
        <v>0</v>
      </c>
      <c r="AM35" s="181" t="s">
        <v>83</v>
      </c>
      <c r="AN35" s="28">
        <f>VLOOKUP(B35,物品!B35:D63,3,FALSE)</f>
        <v>200</v>
      </c>
      <c r="AO35" s="28"/>
      <c r="AP35" s="28"/>
    </row>
    <row r="36" spans="1:42">
      <c r="A36" s="157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9" t="str">
        <f t="shared" si="8"/>
        <v>[饰品]青珑挂珠lv4</v>
      </c>
      <c r="K36" s="159" t="str">
        <f t="shared" si="9"/>
        <v>|Cffbbbbbb属性：|r|n攻击+1000|n业力+4000|n生命值+20000|n|n|Cff00ff7f击杀200只怪有50%概率升级|r</v>
      </c>
      <c r="L36" s="28"/>
      <c r="M36" s="160" t="str">
        <f>VLOOKUP(LEFT(RIGHT(B36,5),4),物品!B:CU,20,FALSE)</f>
        <v>ReplaceableTextures\\CommandButtons\\BTNZ06.blp</v>
      </c>
      <c r="N36" s="181" t="s">
        <v>83</v>
      </c>
      <c r="O36" s="182" t="s">
        <v>84</v>
      </c>
      <c r="P36" s="28">
        <v>0</v>
      </c>
      <c r="Q36" s="28">
        <v>0</v>
      </c>
      <c r="R36" s="181" t="s">
        <v>83</v>
      </c>
      <c r="S36" s="181" t="s">
        <v>83</v>
      </c>
      <c r="T36" s="181" t="s">
        <v>83</v>
      </c>
      <c r="U36" s="181" t="s">
        <v>83</v>
      </c>
      <c r="V36" s="28">
        <v>2</v>
      </c>
      <c r="W36" s="28" t="s">
        <v>85</v>
      </c>
      <c r="X36" s="28">
        <v>0</v>
      </c>
      <c r="Y36" s="181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81" t="s">
        <v>83</v>
      </c>
      <c r="AF36" s="181" t="s">
        <v>83</v>
      </c>
      <c r="AG36" s="181" t="s">
        <v>83</v>
      </c>
      <c r="AH36" s="181" t="s">
        <v>83</v>
      </c>
      <c r="AI36" s="28"/>
      <c r="AJ36" s="28"/>
      <c r="AK36" s="28">
        <v>0</v>
      </c>
      <c r="AL36" s="28">
        <v>0</v>
      </c>
      <c r="AM36" s="181" t="s">
        <v>83</v>
      </c>
      <c r="AN36" s="28">
        <f>VLOOKUP(B36,物品!B36:D64,3,FALSE)</f>
        <v>200</v>
      </c>
      <c r="AO36" s="28"/>
      <c r="AP36" s="28"/>
    </row>
    <row r="37" spans="1:42">
      <c r="A37" s="157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|Cffbbbbbb属性：|r|n攻击+1250|n业力+5000|n生命值+25000|n|n|Cff00ff7f击杀400只怪有50%概率升级|r</v>
      </c>
      <c r="J37" s="159" t="str">
        <f t="shared" si="8"/>
        <v>[饰品]青珑挂珠lv5</v>
      </c>
      <c r="K37" s="159" t="str">
        <f t="shared" si="9"/>
        <v>|Cffbbbbbb属性：|r|n攻击+1250|n业力+5000|n生命值+25000|n|n|Cff00ff7f击杀400只怪有50%概率升级|r</v>
      </c>
      <c r="L37" s="28"/>
      <c r="M37" s="160" t="str">
        <f>VLOOKUP(LEFT(RIGHT(B37,5),4),物品!B:CU,20,FALSE)</f>
        <v>ReplaceableTextures\\CommandButtons\\BTNZ06.blp</v>
      </c>
      <c r="N37" s="181" t="s">
        <v>83</v>
      </c>
      <c r="O37" s="182" t="s">
        <v>84</v>
      </c>
      <c r="P37" s="28">
        <v>0</v>
      </c>
      <c r="Q37" s="28">
        <v>0</v>
      </c>
      <c r="R37" s="181" t="s">
        <v>83</v>
      </c>
      <c r="S37" s="181" t="s">
        <v>83</v>
      </c>
      <c r="T37" s="181" t="s">
        <v>83</v>
      </c>
      <c r="U37" s="181" t="s">
        <v>83</v>
      </c>
      <c r="V37" s="28">
        <v>2</v>
      </c>
      <c r="W37" s="28" t="s">
        <v>85</v>
      </c>
      <c r="X37" s="28">
        <v>0</v>
      </c>
      <c r="Y37" s="181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81" t="s">
        <v>83</v>
      </c>
      <c r="AF37" s="181" t="s">
        <v>83</v>
      </c>
      <c r="AG37" s="181" t="s">
        <v>83</v>
      </c>
      <c r="AH37" s="181" t="s">
        <v>83</v>
      </c>
      <c r="AI37" s="28"/>
      <c r="AJ37" s="28"/>
      <c r="AK37" s="28">
        <v>0</v>
      </c>
      <c r="AL37" s="28">
        <v>0</v>
      </c>
      <c r="AM37" s="181" t="s">
        <v>83</v>
      </c>
      <c r="AN37" s="28">
        <f>VLOOKUP(B37,物品!B37:D65,3,FALSE)</f>
        <v>400</v>
      </c>
      <c r="AO37" s="28"/>
      <c r="AP37" s="28"/>
    </row>
    <row r="38" spans="1:42">
      <c r="A38" s="157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|Cffbbbbbb属性：|r|n攻击+2000|n业力+8000|n生命值+40000|n暴击+4%|n|n|Cff00ff7f击杀300只怪有50%概率升级|r</v>
      </c>
      <c r="J38" s="159" t="str">
        <f t="shared" si="8"/>
        <v>|Cff00FF7F[饰品]紫晶坠子lv1|r</v>
      </c>
      <c r="K38" s="159" t="str">
        <f t="shared" si="9"/>
        <v>|Cffbbbbbb属性：|r|n攻击+2000|n业力+8000|n生命值+40000|n暴击+4%|n|n|Cff00ff7f击杀300只怪有50%概率升级|r</v>
      </c>
      <c r="L38" s="28"/>
      <c r="M38" s="160" t="str">
        <f>VLOOKUP(LEFT(RIGHT(B38,5),4),物品!B:CU,20,FALSE)</f>
        <v>ReplaceableTextures\\CommandButtons\\BTNZ07.blp</v>
      </c>
      <c r="N38" s="181" t="s">
        <v>83</v>
      </c>
      <c r="O38" s="182" t="s">
        <v>84</v>
      </c>
      <c r="P38" s="28">
        <v>0</v>
      </c>
      <c r="Q38" s="28">
        <v>0</v>
      </c>
      <c r="R38" s="181" t="s">
        <v>83</v>
      </c>
      <c r="S38" s="181" t="s">
        <v>83</v>
      </c>
      <c r="T38" s="181" t="s">
        <v>83</v>
      </c>
      <c r="U38" s="181" t="s">
        <v>83</v>
      </c>
      <c r="V38" s="28">
        <v>2</v>
      </c>
      <c r="W38" s="28" t="s">
        <v>85</v>
      </c>
      <c r="X38" s="28">
        <v>0</v>
      </c>
      <c r="Y38" s="181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81" t="s">
        <v>83</v>
      </c>
      <c r="AF38" s="181" t="s">
        <v>83</v>
      </c>
      <c r="AG38" s="181" t="s">
        <v>83</v>
      </c>
      <c r="AH38" s="181" t="s">
        <v>83</v>
      </c>
      <c r="AI38" s="28"/>
      <c r="AJ38" s="28"/>
      <c r="AK38" s="28">
        <v>0</v>
      </c>
      <c r="AL38" s="28">
        <v>0</v>
      </c>
      <c r="AM38" s="181" t="s">
        <v>83</v>
      </c>
      <c r="AN38" s="28">
        <f>VLOOKUP(B38,物品!B38:D66,3,FALSE)</f>
        <v>300</v>
      </c>
      <c r="AO38" s="28"/>
      <c r="AP38" s="28"/>
    </row>
    <row r="39" spans="1:42">
      <c r="A39" s="157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|Cffbbbbbb属性：|r|n攻击+2500|n业力+10000|n生命值+50000|n暴击+4%|n|n|Cff00ff7f击杀300只怪有50%概率升级|r</v>
      </c>
      <c r="J39" s="159" t="str">
        <f t="shared" si="8"/>
        <v>|Cff00FF7F[饰品]紫晶坠子lv2|r</v>
      </c>
      <c r="K39" s="159" t="str">
        <f t="shared" si="9"/>
        <v>|Cffbbbbbb属性：|r|n攻击+2500|n业力+10000|n生命值+50000|n暴击+4%|n|n|Cff00ff7f击杀300只怪有50%概率升级|r</v>
      </c>
      <c r="L39" s="28"/>
      <c r="M39" s="160" t="str">
        <f>VLOOKUP(LEFT(RIGHT(B39,5),4),物品!B:CU,20,FALSE)</f>
        <v>ReplaceableTextures\\CommandButtons\\BTNZ07.blp</v>
      </c>
      <c r="N39" s="181" t="s">
        <v>83</v>
      </c>
      <c r="O39" s="182" t="s">
        <v>84</v>
      </c>
      <c r="P39" s="28">
        <v>0</v>
      </c>
      <c r="Q39" s="28">
        <v>0</v>
      </c>
      <c r="R39" s="181" t="s">
        <v>83</v>
      </c>
      <c r="S39" s="181" t="s">
        <v>83</v>
      </c>
      <c r="T39" s="181" t="s">
        <v>83</v>
      </c>
      <c r="U39" s="181" t="s">
        <v>83</v>
      </c>
      <c r="V39" s="28">
        <v>2</v>
      </c>
      <c r="W39" s="28" t="s">
        <v>85</v>
      </c>
      <c r="X39" s="28">
        <v>0</v>
      </c>
      <c r="Y39" s="181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81" t="s">
        <v>83</v>
      </c>
      <c r="AF39" s="181" t="s">
        <v>83</v>
      </c>
      <c r="AG39" s="181" t="s">
        <v>83</v>
      </c>
      <c r="AH39" s="181" t="s">
        <v>83</v>
      </c>
      <c r="AI39" s="28"/>
      <c r="AJ39" s="28"/>
      <c r="AK39" s="28">
        <v>0</v>
      </c>
      <c r="AL39" s="28">
        <v>0</v>
      </c>
      <c r="AM39" s="181" t="s">
        <v>83</v>
      </c>
      <c r="AN39" s="28">
        <f>VLOOKUP(B39,物品!B39:D67,3,FALSE)</f>
        <v>300</v>
      </c>
      <c r="AO39" s="28"/>
      <c r="AP39" s="28"/>
    </row>
    <row r="40" spans="1:42">
      <c r="A40" s="157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|Cffbbbbbb属性：|r|n攻击+3000|n业力+12000|n生命值+60000|n暴击+4%|n|n|Cff00ff7f击杀300只怪有50%概率升级|r</v>
      </c>
      <c r="J40" s="159" t="str">
        <f t="shared" si="8"/>
        <v>|Cff00FF7F[饰品]紫晶坠子lv3|r</v>
      </c>
      <c r="K40" s="159" t="str">
        <f t="shared" si="9"/>
        <v>|Cffbbbbbb属性：|r|n攻击+3000|n业力+12000|n生命值+60000|n暴击+4%|n|n|Cff00ff7f击杀300只怪有50%概率升级|r</v>
      </c>
      <c r="L40" s="28"/>
      <c r="M40" s="160" t="str">
        <f>VLOOKUP(LEFT(RIGHT(B40,5),4),物品!B:CU,20,FALSE)</f>
        <v>ReplaceableTextures\\CommandButtons\\BTNZ07.blp</v>
      </c>
      <c r="N40" s="181" t="s">
        <v>83</v>
      </c>
      <c r="O40" s="182" t="s">
        <v>84</v>
      </c>
      <c r="P40" s="28">
        <v>0</v>
      </c>
      <c r="Q40" s="28">
        <v>0</v>
      </c>
      <c r="R40" s="181" t="s">
        <v>83</v>
      </c>
      <c r="S40" s="181" t="s">
        <v>83</v>
      </c>
      <c r="T40" s="181" t="s">
        <v>83</v>
      </c>
      <c r="U40" s="181" t="s">
        <v>83</v>
      </c>
      <c r="V40" s="28">
        <v>2</v>
      </c>
      <c r="W40" s="28" t="s">
        <v>85</v>
      </c>
      <c r="X40" s="28">
        <v>0</v>
      </c>
      <c r="Y40" s="181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81" t="s">
        <v>83</v>
      </c>
      <c r="AF40" s="181" t="s">
        <v>83</v>
      </c>
      <c r="AG40" s="181" t="s">
        <v>83</v>
      </c>
      <c r="AH40" s="181" t="s">
        <v>83</v>
      </c>
      <c r="AI40" s="28"/>
      <c r="AJ40" s="28"/>
      <c r="AK40" s="28">
        <v>0</v>
      </c>
      <c r="AL40" s="28">
        <v>0</v>
      </c>
      <c r="AM40" s="181" t="s">
        <v>83</v>
      </c>
      <c r="AN40" s="28">
        <f>VLOOKUP(B40,物品!B40:D68,3,FALSE)</f>
        <v>300</v>
      </c>
      <c r="AO40" s="28"/>
      <c r="AP40" s="28"/>
    </row>
    <row r="41" spans="1:42">
      <c r="A41" s="157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|Cffbbbbbb属性：|r|n攻击+3500|n业力+14000|n生命值+70000|n暴击+4%|n|n|Cff00ff7f击杀300只怪有50%概率升级|r</v>
      </c>
      <c r="J41" s="159" t="str">
        <f t="shared" ref="J41:J63" si="10">H41</f>
        <v>|Cff00FF7F[饰品]紫晶坠子lv4|r</v>
      </c>
      <c r="K41" s="159" t="str">
        <f t="shared" ref="K41:K63" si="11">I41</f>
        <v>|Cffbbbbbb属性：|r|n攻击+3500|n业力+14000|n生命值+70000|n暴击+4%|n|n|Cff00ff7f击杀300只怪有50%概率升级|r</v>
      </c>
      <c r="L41" s="28"/>
      <c r="M41" s="160" t="str">
        <f>VLOOKUP(LEFT(RIGHT(B41,5),4),物品!B:CU,20,FALSE)</f>
        <v>ReplaceableTextures\\CommandButtons\\BTNZ07.blp</v>
      </c>
      <c r="N41" s="181" t="s">
        <v>83</v>
      </c>
      <c r="O41" s="182" t="s">
        <v>84</v>
      </c>
      <c r="P41" s="28">
        <v>0</v>
      </c>
      <c r="Q41" s="28">
        <v>0</v>
      </c>
      <c r="R41" s="181" t="s">
        <v>83</v>
      </c>
      <c r="S41" s="181" t="s">
        <v>83</v>
      </c>
      <c r="T41" s="181" t="s">
        <v>83</v>
      </c>
      <c r="U41" s="181" t="s">
        <v>83</v>
      </c>
      <c r="V41" s="28">
        <v>2</v>
      </c>
      <c r="W41" s="28" t="s">
        <v>85</v>
      </c>
      <c r="X41" s="28">
        <v>0</v>
      </c>
      <c r="Y41" s="181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81" t="s">
        <v>83</v>
      </c>
      <c r="AF41" s="181" t="s">
        <v>83</v>
      </c>
      <c r="AG41" s="181" t="s">
        <v>83</v>
      </c>
      <c r="AH41" s="181" t="s">
        <v>83</v>
      </c>
      <c r="AI41" s="28"/>
      <c r="AJ41" s="28"/>
      <c r="AK41" s="28">
        <v>0</v>
      </c>
      <c r="AL41" s="28">
        <v>0</v>
      </c>
      <c r="AM41" s="181" t="s">
        <v>83</v>
      </c>
      <c r="AN41" s="28">
        <f>VLOOKUP(B41,物品!B41:D69,3,FALSE)</f>
        <v>300</v>
      </c>
      <c r="AO41" s="28"/>
      <c r="AP41" s="28"/>
    </row>
    <row r="42" spans="1:42">
      <c r="A42" s="157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|Cffbbbbbb属性：|r|n攻击+4000|n业力+16000|n生命值+80000|n暴击+4%|n|n|Cff00ff7f击杀600只怪有50%概率升级|r</v>
      </c>
      <c r="J42" s="159" t="str">
        <f t="shared" si="10"/>
        <v>|Cff00FF7F[饰品]紫晶坠子lv5|r</v>
      </c>
      <c r="K42" s="159" t="str">
        <f t="shared" si="11"/>
        <v>|Cffbbbbbb属性：|r|n攻击+4000|n业力+16000|n生命值+80000|n暴击+4%|n|n|Cff00ff7f击杀600只怪有50%概率升级|r</v>
      </c>
      <c r="L42" s="28"/>
      <c r="M42" s="160" t="str">
        <f>VLOOKUP(LEFT(RIGHT(B42,5),4),物品!B:CU,20,FALSE)</f>
        <v>ReplaceableTextures\\CommandButtons\\BTNZ07.blp</v>
      </c>
      <c r="N42" s="181" t="s">
        <v>83</v>
      </c>
      <c r="O42" s="182" t="s">
        <v>84</v>
      </c>
      <c r="P42" s="28">
        <v>0</v>
      </c>
      <c r="Q42" s="28">
        <v>0</v>
      </c>
      <c r="R42" s="181" t="s">
        <v>83</v>
      </c>
      <c r="S42" s="181" t="s">
        <v>83</v>
      </c>
      <c r="T42" s="181" t="s">
        <v>83</v>
      </c>
      <c r="U42" s="181" t="s">
        <v>83</v>
      </c>
      <c r="V42" s="28">
        <v>2</v>
      </c>
      <c r="W42" s="28" t="s">
        <v>85</v>
      </c>
      <c r="X42" s="28">
        <v>0</v>
      </c>
      <c r="Y42" s="181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81" t="s">
        <v>83</v>
      </c>
      <c r="AF42" s="181" t="s">
        <v>83</v>
      </c>
      <c r="AG42" s="181" t="s">
        <v>83</v>
      </c>
      <c r="AH42" s="181" t="s">
        <v>83</v>
      </c>
      <c r="AI42" s="28"/>
      <c r="AJ42" s="28"/>
      <c r="AK42" s="28">
        <v>0</v>
      </c>
      <c r="AL42" s="28">
        <v>0</v>
      </c>
      <c r="AM42" s="181" t="s">
        <v>83</v>
      </c>
      <c r="AN42" s="28">
        <f>VLOOKUP(B42,物品!B42:D70,3,FALSE)</f>
        <v>600</v>
      </c>
      <c r="AO42" s="28"/>
      <c r="AP42" s="28"/>
    </row>
    <row r="43" spans="1:42">
      <c r="A43" s="157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|Cffbbbbbb属性：|r|n攻击+6000|n业力+24000|n生命值+120000|n暴击+6%|n|n|Cff00ff7f击杀400只怪有50%概率升级|r</v>
      </c>
      <c r="J43" s="159" t="str">
        <f t="shared" si="10"/>
        <v>|Cff00BFFF[饰品]三才项圈lv1|r</v>
      </c>
      <c r="K43" s="159" t="str">
        <f t="shared" si="11"/>
        <v>|Cffbbbbbb属性：|r|n攻击+6000|n业力+24000|n生命值+120000|n暴击+6%|n|n|Cff00ff7f击杀400只怪有50%概率升级|r</v>
      </c>
      <c r="L43" s="28"/>
      <c r="M43" s="160" t="str">
        <f>VLOOKUP(LEFT(RIGHT(B43,5),4),物品!B:CU,20,FALSE)</f>
        <v>ReplaceableTextures\\CommandButtons\\BTNZ08.blp</v>
      </c>
      <c r="N43" s="181" t="s">
        <v>83</v>
      </c>
      <c r="O43" s="182" t="s">
        <v>84</v>
      </c>
      <c r="P43" s="28">
        <v>0</v>
      </c>
      <c r="Q43" s="28">
        <v>0</v>
      </c>
      <c r="R43" s="181" t="s">
        <v>83</v>
      </c>
      <c r="S43" s="181" t="s">
        <v>83</v>
      </c>
      <c r="T43" s="181" t="s">
        <v>83</v>
      </c>
      <c r="U43" s="181" t="s">
        <v>83</v>
      </c>
      <c r="V43" s="28">
        <v>2</v>
      </c>
      <c r="W43" s="28" t="s">
        <v>85</v>
      </c>
      <c r="X43" s="28">
        <v>0</v>
      </c>
      <c r="Y43" s="181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81" t="s">
        <v>83</v>
      </c>
      <c r="AF43" s="181" t="s">
        <v>83</v>
      </c>
      <c r="AG43" s="181" t="s">
        <v>83</v>
      </c>
      <c r="AH43" s="181" t="s">
        <v>83</v>
      </c>
      <c r="AI43" s="28"/>
      <c r="AJ43" s="28"/>
      <c r="AK43" s="28">
        <v>0</v>
      </c>
      <c r="AL43" s="28">
        <v>0</v>
      </c>
      <c r="AM43" s="181" t="s">
        <v>83</v>
      </c>
      <c r="AN43" s="28">
        <f>VLOOKUP(B43,物品!B43:D71,3,FALSE)</f>
        <v>400</v>
      </c>
      <c r="AO43" s="28"/>
      <c r="AP43" s="28"/>
    </row>
    <row r="44" spans="1:42">
      <c r="A44" s="157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|Cffbbbbbb属性：|r|n攻击+7000|n业力+28000|n生命值+140000|n暴击+6%|n|n|Cff00ff7f击杀400只怪有50%概率升级|r</v>
      </c>
      <c r="J44" s="159" t="str">
        <f t="shared" si="10"/>
        <v>|Cff00BFFF[饰品]三才项圈lv2|r</v>
      </c>
      <c r="K44" s="159" t="str">
        <f t="shared" si="11"/>
        <v>|Cffbbbbbb属性：|r|n攻击+7000|n业力+28000|n生命值+140000|n暴击+6%|n|n|Cff00ff7f击杀400只怪有50%概率升级|r</v>
      </c>
      <c r="L44" s="28"/>
      <c r="M44" s="160" t="str">
        <f>VLOOKUP(LEFT(RIGHT(B44,5),4),物品!B:CU,20,FALSE)</f>
        <v>ReplaceableTextures\\CommandButtons\\BTNZ08.blp</v>
      </c>
      <c r="N44" s="181" t="s">
        <v>83</v>
      </c>
      <c r="O44" s="182" t="s">
        <v>84</v>
      </c>
      <c r="P44" s="28">
        <v>0</v>
      </c>
      <c r="Q44" s="28">
        <v>0</v>
      </c>
      <c r="R44" s="181" t="s">
        <v>83</v>
      </c>
      <c r="S44" s="181" t="s">
        <v>83</v>
      </c>
      <c r="T44" s="181" t="s">
        <v>83</v>
      </c>
      <c r="U44" s="181" t="s">
        <v>83</v>
      </c>
      <c r="V44" s="28">
        <v>2</v>
      </c>
      <c r="W44" s="28" t="s">
        <v>85</v>
      </c>
      <c r="X44" s="28">
        <v>0</v>
      </c>
      <c r="Y44" s="181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81" t="s">
        <v>83</v>
      </c>
      <c r="AF44" s="181" t="s">
        <v>83</v>
      </c>
      <c r="AG44" s="181" t="s">
        <v>83</v>
      </c>
      <c r="AH44" s="181" t="s">
        <v>83</v>
      </c>
      <c r="AI44" s="28"/>
      <c r="AJ44" s="28"/>
      <c r="AK44" s="28">
        <v>0</v>
      </c>
      <c r="AL44" s="28">
        <v>0</v>
      </c>
      <c r="AM44" s="181" t="s">
        <v>83</v>
      </c>
      <c r="AN44" s="28">
        <f>VLOOKUP(B44,物品!B44:D72,3,FALSE)</f>
        <v>400</v>
      </c>
      <c r="AO44" s="28"/>
      <c r="AP44" s="28"/>
    </row>
    <row r="45" spans="1:42">
      <c r="A45" s="157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|Cffbbbbbb属性：|r|n攻击+8000|n业力+32000|n生命值+160000|n暴击+6%|n|n|Cff00ff7f击杀400只怪有50%概率升级|r</v>
      </c>
      <c r="J45" s="159" t="str">
        <f t="shared" si="10"/>
        <v>|Cff00BFFF[饰品]三才项圈lv3|r</v>
      </c>
      <c r="K45" s="159" t="str">
        <f t="shared" si="11"/>
        <v>|Cffbbbbbb属性：|r|n攻击+8000|n业力+32000|n生命值+160000|n暴击+6%|n|n|Cff00ff7f击杀400只怪有50%概率升级|r</v>
      </c>
      <c r="L45" s="28"/>
      <c r="M45" s="160" t="str">
        <f>VLOOKUP(LEFT(RIGHT(B45,5),4),物品!B:CU,20,FALSE)</f>
        <v>ReplaceableTextures\\CommandButtons\\BTNZ08.blp</v>
      </c>
      <c r="N45" s="181" t="s">
        <v>83</v>
      </c>
      <c r="O45" s="182" t="s">
        <v>84</v>
      </c>
      <c r="P45" s="28">
        <v>0</v>
      </c>
      <c r="Q45" s="28">
        <v>0</v>
      </c>
      <c r="R45" s="181" t="s">
        <v>83</v>
      </c>
      <c r="S45" s="181" t="s">
        <v>83</v>
      </c>
      <c r="T45" s="181" t="s">
        <v>83</v>
      </c>
      <c r="U45" s="181" t="s">
        <v>83</v>
      </c>
      <c r="V45" s="28">
        <v>2</v>
      </c>
      <c r="W45" s="28" t="s">
        <v>85</v>
      </c>
      <c r="X45" s="28">
        <v>0</v>
      </c>
      <c r="Y45" s="181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81" t="s">
        <v>83</v>
      </c>
      <c r="AF45" s="181" t="s">
        <v>83</v>
      </c>
      <c r="AG45" s="181" t="s">
        <v>83</v>
      </c>
      <c r="AH45" s="181" t="s">
        <v>83</v>
      </c>
      <c r="AI45" s="28"/>
      <c r="AJ45" s="28"/>
      <c r="AK45" s="28">
        <v>0</v>
      </c>
      <c r="AL45" s="28">
        <v>0</v>
      </c>
      <c r="AM45" s="181" t="s">
        <v>83</v>
      </c>
      <c r="AN45" s="28">
        <f>VLOOKUP(B45,物品!B45:D73,3,FALSE)</f>
        <v>400</v>
      </c>
      <c r="AO45" s="28"/>
      <c r="AP45" s="28"/>
    </row>
    <row r="46" spans="1:42">
      <c r="A46" s="157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|Cffbbbbbb属性：|r|n攻击+10000|n业力+40000|n生命值+200000|n暴击+6%|n|n|Cff00ff7f击杀400只怪有50%概率升级|r</v>
      </c>
      <c r="J46" s="159" t="str">
        <f t="shared" si="10"/>
        <v>|Cff00BFFF[饰品]三才项圈lv4|r</v>
      </c>
      <c r="K46" s="159" t="str">
        <f t="shared" si="11"/>
        <v>|Cffbbbbbb属性：|r|n攻击+10000|n业力+40000|n生命值+200000|n暴击+6%|n|n|Cff00ff7f击杀400只怪有50%概率升级|r</v>
      </c>
      <c r="L46" s="28"/>
      <c r="M46" s="160" t="str">
        <f>VLOOKUP(LEFT(RIGHT(B46,5),4),物品!B:CU,20,FALSE)</f>
        <v>ReplaceableTextures\\CommandButtons\\BTNZ08.blp</v>
      </c>
      <c r="N46" s="181" t="s">
        <v>83</v>
      </c>
      <c r="O46" s="182" t="s">
        <v>84</v>
      </c>
      <c r="P46" s="28">
        <v>0</v>
      </c>
      <c r="Q46" s="28">
        <v>0</v>
      </c>
      <c r="R46" s="181" t="s">
        <v>83</v>
      </c>
      <c r="S46" s="181" t="s">
        <v>83</v>
      </c>
      <c r="T46" s="181" t="s">
        <v>83</v>
      </c>
      <c r="U46" s="181" t="s">
        <v>83</v>
      </c>
      <c r="V46" s="28">
        <v>2</v>
      </c>
      <c r="W46" s="28" t="s">
        <v>85</v>
      </c>
      <c r="X46" s="28">
        <v>0</v>
      </c>
      <c r="Y46" s="181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81" t="s">
        <v>83</v>
      </c>
      <c r="AF46" s="181" t="s">
        <v>83</v>
      </c>
      <c r="AG46" s="181" t="s">
        <v>83</v>
      </c>
      <c r="AH46" s="181" t="s">
        <v>83</v>
      </c>
      <c r="AI46" s="28"/>
      <c r="AJ46" s="28"/>
      <c r="AK46" s="28">
        <v>0</v>
      </c>
      <c r="AL46" s="28">
        <v>0</v>
      </c>
      <c r="AM46" s="181" t="s">
        <v>83</v>
      </c>
      <c r="AN46" s="28">
        <f>VLOOKUP(B46,物品!B46:D74,3,FALSE)</f>
        <v>400</v>
      </c>
      <c r="AO46" s="28"/>
      <c r="AP46" s="28"/>
    </row>
    <row r="47" spans="1:42">
      <c r="A47" s="157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|Cffbbbbbb属性：|r|n攻击+12000|n业力+48000|n生命值+240000|n暴击+6%|n|n|Cff00ff7f击杀800只怪有50%概率升级|r</v>
      </c>
      <c r="J47" s="159" t="str">
        <f t="shared" si="10"/>
        <v>|Cff00BFFF[饰品]三才项圈lv5|r</v>
      </c>
      <c r="K47" s="159" t="str">
        <f t="shared" si="11"/>
        <v>|Cffbbbbbb属性：|r|n攻击+12000|n业力+48000|n生命值+240000|n暴击+6%|n|n|Cff00ff7f击杀800只怪有50%概率升级|r</v>
      </c>
      <c r="L47" s="28"/>
      <c r="M47" s="160" t="str">
        <f>VLOOKUP(LEFT(RIGHT(B47,5),4),物品!B:CU,20,FALSE)</f>
        <v>ReplaceableTextures\\CommandButtons\\BTNZ08.blp</v>
      </c>
      <c r="N47" s="181" t="s">
        <v>83</v>
      </c>
      <c r="O47" s="182" t="s">
        <v>84</v>
      </c>
      <c r="P47" s="28">
        <v>0</v>
      </c>
      <c r="Q47" s="28">
        <v>0</v>
      </c>
      <c r="R47" s="181" t="s">
        <v>83</v>
      </c>
      <c r="S47" s="181" t="s">
        <v>83</v>
      </c>
      <c r="T47" s="181" t="s">
        <v>83</v>
      </c>
      <c r="U47" s="181" t="s">
        <v>83</v>
      </c>
      <c r="V47" s="28">
        <v>2</v>
      </c>
      <c r="W47" s="28" t="s">
        <v>85</v>
      </c>
      <c r="X47" s="28">
        <v>0</v>
      </c>
      <c r="Y47" s="181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81" t="s">
        <v>83</v>
      </c>
      <c r="AF47" s="181" t="s">
        <v>83</v>
      </c>
      <c r="AG47" s="181" t="s">
        <v>83</v>
      </c>
      <c r="AH47" s="181" t="s">
        <v>83</v>
      </c>
      <c r="AI47" s="28"/>
      <c r="AJ47" s="28"/>
      <c r="AK47" s="28">
        <v>0</v>
      </c>
      <c r="AL47" s="28">
        <v>0</v>
      </c>
      <c r="AM47" s="181" t="s">
        <v>83</v>
      </c>
      <c r="AN47" s="28">
        <f>VLOOKUP(B47,物品!B47:D75,3,FALSE)</f>
        <v>800</v>
      </c>
      <c r="AO47" s="28"/>
      <c r="AP47" s="28"/>
    </row>
    <row r="48" spans="1:42">
      <c r="A48" s="157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|Cffbbbbbb属性：|r|n攻击+18000|n业力+72000|n生命值+360000|n暴击+8%|n|n|Cff00ff7f击杀600只怪有50%概率升级|r</v>
      </c>
      <c r="J48" s="159" t="str">
        <f t="shared" ref="J48:J52" si="12">H48</f>
        <v>|CffBF00FF[饰品]化龙护符lv1|r</v>
      </c>
      <c r="K48" s="159" t="str">
        <f t="shared" ref="K48:K52" si="13">I48</f>
        <v>|Cffbbbbbb属性：|r|n攻击+18000|n业力+72000|n生命值+360000|n暴击+8%|n|n|Cff00ff7f击杀600只怪有50%概率升级|r</v>
      </c>
      <c r="L48" s="28"/>
      <c r="M48" s="160" t="str">
        <f>VLOOKUP(LEFT(RIGHT(B48,5),4),物品!B:CU,20,FALSE)</f>
        <v>ReplaceableTextures\\CommandButtons\\BTNZ24.blp</v>
      </c>
      <c r="N48" s="181" t="s">
        <v>83</v>
      </c>
      <c r="O48" s="182" t="s">
        <v>84</v>
      </c>
      <c r="P48" s="28">
        <v>0</v>
      </c>
      <c r="Q48" s="28">
        <v>0</v>
      </c>
      <c r="R48" s="181" t="s">
        <v>83</v>
      </c>
      <c r="S48" s="181" t="s">
        <v>83</v>
      </c>
      <c r="T48" s="181" t="s">
        <v>83</v>
      </c>
      <c r="U48" s="181" t="s">
        <v>83</v>
      </c>
      <c r="V48" s="28">
        <v>2</v>
      </c>
      <c r="W48" s="28" t="s">
        <v>85</v>
      </c>
      <c r="X48" s="28">
        <v>0</v>
      </c>
      <c r="Y48" s="181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81" t="s">
        <v>83</v>
      </c>
      <c r="AF48" s="181" t="s">
        <v>83</v>
      </c>
      <c r="AG48" s="181" t="s">
        <v>83</v>
      </c>
      <c r="AH48" s="181" t="s">
        <v>83</v>
      </c>
      <c r="AI48" s="28"/>
      <c r="AJ48" s="28"/>
      <c r="AK48" s="28">
        <v>0</v>
      </c>
      <c r="AL48" s="28">
        <v>0</v>
      </c>
      <c r="AM48" s="181" t="s">
        <v>83</v>
      </c>
      <c r="AN48" s="28">
        <f>VLOOKUP(B48,物品!B48:D76,3,FALSE)</f>
        <v>600</v>
      </c>
      <c r="AO48" s="28"/>
      <c r="AP48" s="28"/>
    </row>
    <row r="49" spans="1:42">
      <c r="A49" s="157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|Cffbbbbbb属性：|r|n攻击+21000|n业力+84000|n生命值+420000|n暴击+8%|n|n|Cff00ff7f击杀600只怪有50%概率升级|r</v>
      </c>
      <c r="J49" s="159" t="str">
        <f t="shared" si="12"/>
        <v>|CffBF00FF[饰品]化龙护符lv2|r</v>
      </c>
      <c r="K49" s="159" t="str">
        <f t="shared" si="13"/>
        <v>|Cffbbbbbb属性：|r|n攻击+21000|n业力+84000|n生命值+420000|n暴击+8%|n|n|Cff00ff7f击杀600只怪有50%概率升级|r</v>
      </c>
      <c r="L49" s="28"/>
      <c r="M49" s="160" t="str">
        <f>VLOOKUP(LEFT(RIGHT(B49,5),4),物品!B:CU,20,FALSE)</f>
        <v>ReplaceableTextures\\CommandButtons\\BTNZ24.blp</v>
      </c>
      <c r="N49" s="181" t="s">
        <v>83</v>
      </c>
      <c r="O49" s="182" t="s">
        <v>84</v>
      </c>
      <c r="P49" s="28">
        <v>0</v>
      </c>
      <c r="Q49" s="28">
        <v>0</v>
      </c>
      <c r="R49" s="181" t="s">
        <v>83</v>
      </c>
      <c r="S49" s="181" t="s">
        <v>83</v>
      </c>
      <c r="T49" s="181" t="s">
        <v>83</v>
      </c>
      <c r="U49" s="181" t="s">
        <v>83</v>
      </c>
      <c r="V49" s="28">
        <v>2</v>
      </c>
      <c r="W49" s="28" t="s">
        <v>85</v>
      </c>
      <c r="X49" s="28">
        <v>0</v>
      </c>
      <c r="Y49" s="181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81" t="s">
        <v>83</v>
      </c>
      <c r="AF49" s="181" t="s">
        <v>83</v>
      </c>
      <c r="AG49" s="181" t="s">
        <v>83</v>
      </c>
      <c r="AH49" s="181" t="s">
        <v>83</v>
      </c>
      <c r="AI49" s="28"/>
      <c r="AJ49" s="28"/>
      <c r="AK49" s="28">
        <v>0</v>
      </c>
      <c r="AL49" s="28">
        <v>0</v>
      </c>
      <c r="AM49" s="181" t="s">
        <v>83</v>
      </c>
      <c r="AN49" s="28">
        <f>VLOOKUP(B49,物品!B49:D77,3,FALSE)</f>
        <v>600</v>
      </c>
      <c r="AO49" s="28"/>
      <c r="AP49" s="28"/>
    </row>
    <row r="50" spans="1:42">
      <c r="A50" s="157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|Cffbbbbbb属性：|r|n攻击+24000|n业力+96000|n生命值+480000|n暴击+8%|n|n|Cff00ff7f击杀600只怪有50%概率升级|r</v>
      </c>
      <c r="J50" s="159" t="str">
        <f t="shared" si="12"/>
        <v>|CffBF00FF[饰品]化龙护符lv3|r</v>
      </c>
      <c r="K50" s="159" t="str">
        <f t="shared" si="13"/>
        <v>|Cffbbbbbb属性：|r|n攻击+24000|n业力+96000|n生命值+480000|n暴击+8%|n|n|Cff00ff7f击杀600只怪有50%概率升级|r</v>
      </c>
      <c r="L50" s="28"/>
      <c r="M50" s="160" t="str">
        <f>VLOOKUP(LEFT(RIGHT(B50,5),4),物品!B:CU,20,FALSE)</f>
        <v>ReplaceableTextures\\CommandButtons\\BTNZ24.blp</v>
      </c>
      <c r="N50" s="181" t="s">
        <v>83</v>
      </c>
      <c r="O50" s="182" t="s">
        <v>84</v>
      </c>
      <c r="P50" s="28">
        <v>0</v>
      </c>
      <c r="Q50" s="28">
        <v>0</v>
      </c>
      <c r="R50" s="181" t="s">
        <v>83</v>
      </c>
      <c r="S50" s="181" t="s">
        <v>83</v>
      </c>
      <c r="T50" s="181" t="s">
        <v>83</v>
      </c>
      <c r="U50" s="181" t="s">
        <v>83</v>
      </c>
      <c r="V50" s="28">
        <v>2</v>
      </c>
      <c r="W50" s="28" t="s">
        <v>85</v>
      </c>
      <c r="X50" s="28">
        <v>0</v>
      </c>
      <c r="Y50" s="181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81" t="s">
        <v>83</v>
      </c>
      <c r="AF50" s="181" t="s">
        <v>83</v>
      </c>
      <c r="AG50" s="181" t="s">
        <v>83</v>
      </c>
      <c r="AH50" s="181" t="s">
        <v>83</v>
      </c>
      <c r="AI50" s="28"/>
      <c r="AJ50" s="28"/>
      <c r="AK50" s="28">
        <v>0</v>
      </c>
      <c r="AL50" s="28">
        <v>0</v>
      </c>
      <c r="AM50" s="181" t="s">
        <v>83</v>
      </c>
      <c r="AN50" s="28">
        <f>VLOOKUP(B50,物品!B50:D78,3,FALSE)</f>
        <v>600</v>
      </c>
      <c r="AO50" s="28"/>
      <c r="AP50" s="28"/>
    </row>
    <row r="51" spans="1:42">
      <c r="A51" s="157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|Cffbbbbbb属性：|r|n攻击+27000|n业力+108000|n生命值+540000|n暴击+8%|n|n|Cff00ff7f击杀600只怪有50%概率升级|r</v>
      </c>
      <c r="J51" s="159" t="str">
        <f t="shared" si="12"/>
        <v>|CffBF00FF[饰品]化龙护符lv4|r</v>
      </c>
      <c r="K51" s="159" t="str">
        <f t="shared" si="13"/>
        <v>|Cffbbbbbb属性：|r|n攻击+27000|n业力+108000|n生命值+540000|n暴击+8%|n|n|Cff00ff7f击杀600只怪有50%概率升级|r</v>
      </c>
      <c r="L51" s="28"/>
      <c r="M51" s="160" t="str">
        <f>VLOOKUP(LEFT(RIGHT(B51,5),4),物品!B:CU,20,FALSE)</f>
        <v>ReplaceableTextures\\CommandButtons\\BTNZ24.blp</v>
      </c>
      <c r="N51" s="181" t="s">
        <v>83</v>
      </c>
      <c r="O51" s="182" t="s">
        <v>84</v>
      </c>
      <c r="P51" s="28">
        <v>0</v>
      </c>
      <c r="Q51" s="28">
        <v>0</v>
      </c>
      <c r="R51" s="181" t="s">
        <v>83</v>
      </c>
      <c r="S51" s="181" t="s">
        <v>83</v>
      </c>
      <c r="T51" s="181" t="s">
        <v>83</v>
      </c>
      <c r="U51" s="181" t="s">
        <v>83</v>
      </c>
      <c r="V51" s="28">
        <v>2</v>
      </c>
      <c r="W51" s="28" t="s">
        <v>85</v>
      </c>
      <c r="X51" s="28">
        <v>0</v>
      </c>
      <c r="Y51" s="181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81" t="s">
        <v>83</v>
      </c>
      <c r="AF51" s="181" t="s">
        <v>83</v>
      </c>
      <c r="AG51" s="181" t="s">
        <v>83</v>
      </c>
      <c r="AH51" s="181" t="s">
        <v>83</v>
      </c>
      <c r="AI51" s="28"/>
      <c r="AJ51" s="28"/>
      <c r="AK51" s="28">
        <v>0</v>
      </c>
      <c r="AL51" s="28">
        <v>0</v>
      </c>
      <c r="AM51" s="181" t="s">
        <v>83</v>
      </c>
      <c r="AN51" s="28">
        <f>VLOOKUP(B51,物品!B51:D79,3,FALSE)</f>
        <v>600</v>
      </c>
      <c r="AO51" s="28"/>
      <c r="AP51" s="28"/>
    </row>
    <row r="52" spans="1:42">
      <c r="A52" s="157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|Cffbbbbbb属性：|r|n攻击+30000|n业力+120000|n生命值+600000|n暴击+8%|n|n|Cff00ff7f击杀1200只怪有50%概率升级|r</v>
      </c>
      <c r="J52" s="159" t="str">
        <f t="shared" si="12"/>
        <v>|CffBF00FF[饰品]化龙护符lv5|r</v>
      </c>
      <c r="K52" s="159" t="str">
        <f t="shared" si="13"/>
        <v>|Cffbbbbbb属性：|r|n攻击+30000|n业力+120000|n生命值+600000|n暴击+8%|n|n|Cff00ff7f击杀1200只怪有50%概率升级|r</v>
      </c>
      <c r="L52" s="28"/>
      <c r="M52" s="160" t="str">
        <f>VLOOKUP(LEFT(RIGHT(B52,5),4),物品!B:CU,20,FALSE)</f>
        <v>ReplaceableTextures\\CommandButtons\\BTNZ24.blp</v>
      </c>
      <c r="N52" s="181" t="s">
        <v>83</v>
      </c>
      <c r="O52" s="182" t="s">
        <v>84</v>
      </c>
      <c r="P52" s="28">
        <v>0</v>
      </c>
      <c r="Q52" s="28">
        <v>0</v>
      </c>
      <c r="R52" s="181" t="s">
        <v>83</v>
      </c>
      <c r="S52" s="181" t="s">
        <v>83</v>
      </c>
      <c r="T52" s="181" t="s">
        <v>83</v>
      </c>
      <c r="U52" s="181" t="s">
        <v>83</v>
      </c>
      <c r="V52" s="28">
        <v>2</v>
      </c>
      <c r="W52" s="28" t="s">
        <v>85</v>
      </c>
      <c r="X52" s="28">
        <v>0</v>
      </c>
      <c r="Y52" s="181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81" t="s">
        <v>83</v>
      </c>
      <c r="AF52" s="181" t="s">
        <v>83</v>
      </c>
      <c r="AG52" s="181" t="s">
        <v>83</v>
      </c>
      <c r="AH52" s="181" t="s">
        <v>83</v>
      </c>
      <c r="AI52" s="28"/>
      <c r="AJ52" s="28"/>
      <c r="AK52" s="28">
        <v>0</v>
      </c>
      <c r="AL52" s="28">
        <v>0</v>
      </c>
      <c r="AM52" s="181" t="s">
        <v>83</v>
      </c>
      <c r="AN52" s="28">
        <f>VLOOKUP(B52,物品!B52:D80,3,FALSE)</f>
        <v>1200</v>
      </c>
      <c r="AO52" s="28"/>
      <c r="AP52" s="28"/>
    </row>
    <row r="53" spans="1:42">
      <c r="A53" s="157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9" t="str">
        <f t="shared" si="10"/>
        <v>|CffFFC926[饰品]秘魔灵珠lv1|r</v>
      </c>
      <c r="K53" s="159" t="str">
        <f t="shared" si="11"/>
        <v>|Cffbbbbbb属性：|r|n攻击+40000|n业力+160000|n生命值+800000|n暴击+10%|n|n|Cff00ff7f击杀800只怪有50%概率升级|r</v>
      </c>
      <c r="L53" s="28"/>
      <c r="M53" s="160" t="str">
        <f>VLOOKUP(LEFT(RIGHT(B53,5),4),物品!B:CU,20,FALSE)</f>
        <v>ReplaceableTextures\\CommandButtons\\BTNZ09.blp</v>
      </c>
      <c r="N53" s="181" t="s">
        <v>83</v>
      </c>
      <c r="O53" s="182" t="s">
        <v>84</v>
      </c>
      <c r="P53" s="28">
        <v>0</v>
      </c>
      <c r="Q53" s="28">
        <v>0</v>
      </c>
      <c r="R53" s="181" t="s">
        <v>83</v>
      </c>
      <c r="S53" s="181" t="s">
        <v>83</v>
      </c>
      <c r="T53" s="181" t="s">
        <v>83</v>
      </c>
      <c r="U53" s="181" t="s">
        <v>83</v>
      </c>
      <c r="V53" s="28">
        <v>2</v>
      </c>
      <c r="W53" s="28" t="s">
        <v>85</v>
      </c>
      <c r="X53" s="28">
        <v>0</v>
      </c>
      <c r="Y53" s="181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81" t="s">
        <v>83</v>
      </c>
      <c r="AF53" s="181" t="s">
        <v>83</v>
      </c>
      <c r="AG53" s="181" t="s">
        <v>83</v>
      </c>
      <c r="AH53" s="181" t="s">
        <v>83</v>
      </c>
      <c r="AI53" s="28"/>
      <c r="AJ53" s="28"/>
      <c r="AK53" s="28">
        <v>0</v>
      </c>
      <c r="AL53" s="28">
        <v>0</v>
      </c>
      <c r="AM53" s="181" t="s">
        <v>83</v>
      </c>
      <c r="AN53" s="28">
        <f>VLOOKUP(B53,物品!B53:D76,3,FALSE)</f>
        <v>800</v>
      </c>
      <c r="AO53" s="28"/>
      <c r="AP53" s="28"/>
    </row>
    <row r="54" spans="1:42">
      <c r="A54" s="157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9" t="str">
        <f t="shared" si="10"/>
        <v>|CffFFC926[饰品]秘魔灵珠lv2|r</v>
      </c>
      <c r="K54" s="159" t="str">
        <f t="shared" si="11"/>
        <v>|Cffbbbbbb属性：|r|n攻击+45000|n业力+180000|n生命值+900000|n暴击+10%|n|n|Cff00ff7f击杀800只怪有50%概率升级|r</v>
      </c>
      <c r="L54" s="28"/>
      <c r="M54" s="160" t="str">
        <f>VLOOKUP(LEFT(RIGHT(B54,5),4),物品!B:CU,20,FALSE)</f>
        <v>ReplaceableTextures\\CommandButtons\\BTNZ09.blp</v>
      </c>
      <c r="N54" s="181" t="s">
        <v>83</v>
      </c>
      <c r="O54" s="182" t="s">
        <v>84</v>
      </c>
      <c r="P54" s="28">
        <v>0</v>
      </c>
      <c r="Q54" s="28">
        <v>0</v>
      </c>
      <c r="R54" s="181" t="s">
        <v>83</v>
      </c>
      <c r="S54" s="181" t="s">
        <v>83</v>
      </c>
      <c r="T54" s="181" t="s">
        <v>83</v>
      </c>
      <c r="U54" s="181" t="s">
        <v>83</v>
      </c>
      <c r="V54" s="28">
        <v>2</v>
      </c>
      <c r="W54" s="28" t="s">
        <v>85</v>
      </c>
      <c r="X54" s="28">
        <v>0</v>
      </c>
      <c r="Y54" s="181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81" t="s">
        <v>83</v>
      </c>
      <c r="AF54" s="181" t="s">
        <v>83</v>
      </c>
      <c r="AG54" s="181" t="s">
        <v>83</v>
      </c>
      <c r="AH54" s="181" t="s">
        <v>83</v>
      </c>
      <c r="AI54" s="28"/>
      <c r="AJ54" s="28"/>
      <c r="AK54" s="28">
        <v>0</v>
      </c>
      <c r="AL54" s="28">
        <v>0</v>
      </c>
      <c r="AM54" s="181" t="s">
        <v>83</v>
      </c>
      <c r="AN54" s="28">
        <f>VLOOKUP(B54,物品!B54:D77,3,FALSE)</f>
        <v>800</v>
      </c>
      <c r="AO54" s="28"/>
      <c r="AP54" s="28"/>
    </row>
    <row r="55" spans="1:42">
      <c r="A55" s="157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9" t="str">
        <f t="shared" si="10"/>
        <v>|CffFFC926[饰品]秘魔灵珠lv3|r</v>
      </c>
      <c r="K55" s="159" t="str">
        <f t="shared" si="11"/>
        <v>|Cffbbbbbb属性：|r|n攻击+50000|n业力+200000|n生命值+1000000|n暴击+10%|n|n|Cff00ff7f击杀800只怪有50%概率升级|r</v>
      </c>
      <c r="L55" s="28"/>
      <c r="M55" s="160" t="str">
        <f>VLOOKUP(LEFT(RIGHT(B55,5),4),物品!B:CU,20,FALSE)</f>
        <v>ReplaceableTextures\\CommandButtons\\BTNZ09.blp</v>
      </c>
      <c r="N55" s="181" t="s">
        <v>83</v>
      </c>
      <c r="O55" s="182" t="s">
        <v>84</v>
      </c>
      <c r="P55" s="28">
        <v>0</v>
      </c>
      <c r="Q55" s="28">
        <v>0</v>
      </c>
      <c r="R55" s="181" t="s">
        <v>83</v>
      </c>
      <c r="S55" s="181" t="s">
        <v>83</v>
      </c>
      <c r="T55" s="181" t="s">
        <v>83</v>
      </c>
      <c r="U55" s="181" t="s">
        <v>83</v>
      </c>
      <c r="V55" s="28">
        <v>2</v>
      </c>
      <c r="W55" s="28" t="s">
        <v>85</v>
      </c>
      <c r="X55" s="28">
        <v>0</v>
      </c>
      <c r="Y55" s="181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81" t="s">
        <v>83</v>
      </c>
      <c r="AF55" s="181" t="s">
        <v>83</v>
      </c>
      <c r="AG55" s="181" t="s">
        <v>83</v>
      </c>
      <c r="AH55" s="181" t="s">
        <v>83</v>
      </c>
      <c r="AI55" s="28"/>
      <c r="AJ55" s="28"/>
      <c r="AK55" s="28">
        <v>0</v>
      </c>
      <c r="AL55" s="28">
        <v>0</v>
      </c>
      <c r="AM55" s="181" t="s">
        <v>83</v>
      </c>
      <c r="AN55" s="28">
        <f>VLOOKUP(B55,物品!B55:D83,3,FALSE)</f>
        <v>800</v>
      </c>
      <c r="AO55" s="28"/>
      <c r="AP55" s="28"/>
    </row>
    <row r="56" spans="1:42">
      <c r="A56" s="157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9" t="str">
        <f t="shared" si="10"/>
        <v>|CffFFC926[饰品]秘魔灵珠lv4|r</v>
      </c>
      <c r="K56" s="159" t="str">
        <f t="shared" si="11"/>
        <v>|Cffbbbbbb属性：|r|n攻击+55000|n业力+220000|n生命值+1100000|n暴击+10%|n|n|Cff00ff7f击杀800只怪有50%概率升级|r</v>
      </c>
      <c r="L56" s="28"/>
      <c r="M56" s="160" t="str">
        <f>VLOOKUP(LEFT(RIGHT(B56,5),4),物品!B:CU,20,FALSE)</f>
        <v>ReplaceableTextures\\CommandButtons\\BTNZ09.blp</v>
      </c>
      <c r="N56" s="181" t="s">
        <v>83</v>
      </c>
      <c r="O56" s="182" t="s">
        <v>84</v>
      </c>
      <c r="P56" s="28">
        <v>0</v>
      </c>
      <c r="Q56" s="28">
        <v>0</v>
      </c>
      <c r="R56" s="181" t="s">
        <v>83</v>
      </c>
      <c r="S56" s="181" t="s">
        <v>83</v>
      </c>
      <c r="T56" s="181" t="s">
        <v>83</v>
      </c>
      <c r="U56" s="181" t="s">
        <v>83</v>
      </c>
      <c r="V56" s="28">
        <v>2</v>
      </c>
      <c r="W56" s="28" t="s">
        <v>85</v>
      </c>
      <c r="X56" s="28">
        <v>0</v>
      </c>
      <c r="Y56" s="181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81" t="s">
        <v>83</v>
      </c>
      <c r="AF56" s="181" t="s">
        <v>83</v>
      </c>
      <c r="AG56" s="181" t="s">
        <v>83</v>
      </c>
      <c r="AH56" s="181" t="s">
        <v>83</v>
      </c>
      <c r="AI56" s="28"/>
      <c r="AJ56" s="28"/>
      <c r="AK56" s="28">
        <v>0</v>
      </c>
      <c r="AL56" s="28">
        <v>0</v>
      </c>
      <c r="AM56" s="181" t="s">
        <v>83</v>
      </c>
      <c r="AN56" s="28">
        <f>VLOOKUP(B56,物品!B56:D84,3,FALSE)</f>
        <v>800</v>
      </c>
      <c r="AO56" s="28"/>
      <c r="AP56" s="28"/>
    </row>
    <row r="57" spans="1:42">
      <c r="A57" s="157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|Cffbbbbbb属性：|r|n攻击+60000|n业力+240000|n生命值+1200000|n暴击+10%|n|n|Cff00ff7f击杀1600只怪有50%概率升级|r</v>
      </c>
      <c r="J57" s="159" t="str">
        <f t="shared" si="10"/>
        <v>|CffFFC926[饰品]秘魔灵珠lv5|r</v>
      </c>
      <c r="K57" s="159" t="str">
        <f t="shared" si="11"/>
        <v>|Cffbbbbbb属性：|r|n攻击+60000|n业力+240000|n生命值+1200000|n暴击+10%|n|n|Cff00ff7f击杀1600只怪有50%概率升级|r</v>
      </c>
      <c r="L57" s="28"/>
      <c r="M57" s="160" t="str">
        <f>VLOOKUP(LEFT(RIGHT(B57,5),4),物品!B:CU,20,FALSE)</f>
        <v>ReplaceableTextures\\CommandButtons\\BTNZ09.blp</v>
      </c>
      <c r="N57" s="181" t="s">
        <v>83</v>
      </c>
      <c r="O57" s="182" t="s">
        <v>84</v>
      </c>
      <c r="P57" s="28">
        <v>0</v>
      </c>
      <c r="Q57" s="28">
        <v>0</v>
      </c>
      <c r="R57" s="181" t="s">
        <v>83</v>
      </c>
      <c r="S57" s="181" t="s">
        <v>83</v>
      </c>
      <c r="T57" s="181" t="s">
        <v>83</v>
      </c>
      <c r="U57" s="181" t="s">
        <v>83</v>
      </c>
      <c r="V57" s="28">
        <v>2</v>
      </c>
      <c r="W57" s="28" t="s">
        <v>85</v>
      </c>
      <c r="X57" s="28">
        <v>0</v>
      </c>
      <c r="Y57" s="181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81" t="s">
        <v>83</v>
      </c>
      <c r="AF57" s="181" t="s">
        <v>83</v>
      </c>
      <c r="AG57" s="181" t="s">
        <v>83</v>
      </c>
      <c r="AH57" s="181" t="s">
        <v>83</v>
      </c>
      <c r="AI57" s="28"/>
      <c r="AJ57" s="28"/>
      <c r="AK57" s="28">
        <v>0</v>
      </c>
      <c r="AL57" s="28">
        <v>0</v>
      </c>
      <c r="AM57" s="181" t="s">
        <v>83</v>
      </c>
      <c r="AN57" s="28">
        <f>VLOOKUP(B57,物品!B57:D85,3,FALSE)</f>
        <v>1600</v>
      </c>
      <c r="AO57" s="28"/>
      <c r="AP57" s="28"/>
    </row>
    <row r="58" spans="1:42">
      <c r="A58" s="157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|Cffbbbbbb属性：|r|n攻击+90000|n业力+360000|n生命值+1800000|n暴击+12%|n|n|Cff00ff7f击杀1000只怪有50%概率升级|r</v>
      </c>
      <c r="J58" s="159" t="str">
        <f t="shared" si="10"/>
        <v>|CffFF0000[饰品]流光绝影lv1|r</v>
      </c>
      <c r="K58" s="159" t="str">
        <f t="shared" si="11"/>
        <v>|Cffbbbbbb属性：|r|n攻击+90000|n业力+360000|n生命值+1800000|n暴击+12%|n|n|Cff00ff7f击杀1000只怪有50%概率升级|r</v>
      </c>
      <c r="L58" s="28"/>
      <c r="M58" s="160" t="str">
        <f>VLOOKUP(LEFT(RIGHT(B58,5),4),物品!B:CU,20,FALSE)</f>
        <v>ReplaceableTextures\\CommandButtons\\BTNZ10.blp</v>
      </c>
      <c r="N58" s="181" t="s">
        <v>83</v>
      </c>
      <c r="O58" s="182" t="s">
        <v>84</v>
      </c>
      <c r="P58" s="28">
        <v>0</v>
      </c>
      <c r="Q58" s="28">
        <v>0</v>
      </c>
      <c r="R58" s="181" t="s">
        <v>83</v>
      </c>
      <c r="S58" s="181" t="s">
        <v>83</v>
      </c>
      <c r="T58" s="181" t="s">
        <v>83</v>
      </c>
      <c r="U58" s="181" t="s">
        <v>83</v>
      </c>
      <c r="V58" s="28">
        <v>2</v>
      </c>
      <c r="W58" s="28" t="s">
        <v>85</v>
      </c>
      <c r="X58" s="28">
        <v>0</v>
      </c>
      <c r="Y58" s="181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81" t="s">
        <v>83</v>
      </c>
      <c r="AF58" s="181" t="s">
        <v>83</v>
      </c>
      <c r="AG58" s="181" t="s">
        <v>83</v>
      </c>
      <c r="AH58" s="181" t="s">
        <v>83</v>
      </c>
      <c r="AI58" s="28"/>
      <c r="AJ58" s="28"/>
      <c r="AK58" s="28">
        <v>0</v>
      </c>
      <c r="AL58" s="28">
        <v>0</v>
      </c>
      <c r="AM58" s="181" t="s">
        <v>83</v>
      </c>
      <c r="AN58" s="28">
        <f>VLOOKUP(B58,物品!B58:D86,3,FALSE)</f>
        <v>1000</v>
      </c>
      <c r="AO58" s="28"/>
      <c r="AP58" s="28"/>
    </row>
    <row r="59" spans="1:42">
      <c r="A59" s="157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|Cffbbbbbb属性：|r|n攻击+105000|n业力+420000|n生命值+2100000|n暴击+12%|n|n|Cff00ff7f击杀1000只怪有50%概率升级|r</v>
      </c>
      <c r="J59" s="159" t="str">
        <f t="shared" si="10"/>
        <v>|CffFF0000[饰品]流光绝影lv2|r</v>
      </c>
      <c r="K59" s="159" t="str">
        <f t="shared" si="11"/>
        <v>|Cffbbbbbb属性：|r|n攻击+105000|n业力+420000|n生命值+2100000|n暴击+12%|n|n|Cff00ff7f击杀1000只怪有50%概率升级|r</v>
      </c>
      <c r="L59" s="28"/>
      <c r="M59" s="160" t="str">
        <f>VLOOKUP(LEFT(RIGHT(B59,5),4),物品!B:CU,20,FALSE)</f>
        <v>ReplaceableTextures\\CommandButtons\\BTNZ10.blp</v>
      </c>
      <c r="N59" s="181" t="s">
        <v>83</v>
      </c>
      <c r="O59" s="182" t="s">
        <v>84</v>
      </c>
      <c r="P59" s="28">
        <v>0</v>
      </c>
      <c r="Q59" s="28">
        <v>0</v>
      </c>
      <c r="R59" s="181" t="s">
        <v>83</v>
      </c>
      <c r="S59" s="181" t="s">
        <v>83</v>
      </c>
      <c r="T59" s="181" t="s">
        <v>83</v>
      </c>
      <c r="U59" s="181" t="s">
        <v>83</v>
      </c>
      <c r="V59" s="28">
        <v>2</v>
      </c>
      <c r="W59" s="28" t="s">
        <v>85</v>
      </c>
      <c r="X59" s="28">
        <v>0</v>
      </c>
      <c r="Y59" s="181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81" t="s">
        <v>83</v>
      </c>
      <c r="AF59" s="181" t="s">
        <v>83</v>
      </c>
      <c r="AG59" s="181" t="s">
        <v>83</v>
      </c>
      <c r="AH59" s="181" t="s">
        <v>83</v>
      </c>
      <c r="AI59" s="28"/>
      <c r="AJ59" s="28"/>
      <c r="AK59" s="28">
        <v>0</v>
      </c>
      <c r="AL59" s="28">
        <v>0</v>
      </c>
      <c r="AM59" s="181" t="s">
        <v>83</v>
      </c>
      <c r="AN59" s="28">
        <f>VLOOKUP(B59,物品!B59:D87,3,FALSE)</f>
        <v>1000</v>
      </c>
      <c r="AO59" s="28"/>
      <c r="AP59" s="28"/>
    </row>
    <row r="60" spans="1:42">
      <c r="A60" s="157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|Cffbbbbbb属性：|r|n攻击+120000|n业力+480000|n生命值+2400000|n暴击+12%|n|n|Cff00ff7f击杀1000只怪有50%概率升级|r</v>
      </c>
      <c r="J60" s="159" t="str">
        <f t="shared" si="10"/>
        <v>|CffFF0000[饰品]流光绝影lv3|r</v>
      </c>
      <c r="K60" s="159" t="str">
        <f t="shared" si="11"/>
        <v>|Cffbbbbbb属性：|r|n攻击+120000|n业力+480000|n生命值+2400000|n暴击+12%|n|n|Cff00ff7f击杀1000只怪有50%概率升级|r</v>
      </c>
      <c r="L60" s="28"/>
      <c r="M60" s="160" t="str">
        <f>VLOOKUP(LEFT(RIGHT(B60,5),4),物品!B:CU,20,FALSE)</f>
        <v>ReplaceableTextures\\CommandButtons\\BTNZ10.blp</v>
      </c>
      <c r="N60" s="181" t="s">
        <v>83</v>
      </c>
      <c r="O60" s="182" t="s">
        <v>84</v>
      </c>
      <c r="P60" s="28">
        <v>0</v>
      </c>
      <c r="Q60" s="28">
        <v>0</v>
      </c>
      <c r="R60" s="181" t="s">
        <v>83</v>
      </c>
      <c r="S60" s="181" t="s">
        <v>83</v>
      </c>
      <c r="T60" s="181" t="s">
        <v>83</v>
      </c>
      <c r="U60" s="181" t="s">
        <v>83</v>
      </c>
      <c r="V60" s="28">
        <v>2</v>
      </c>
      <c r="W60" s="28" t="s">
        <v>85</v>
      </c>
      <c r="X60" s="28">
        <v>0</v>
      </c>
      <c r="Y60" s="181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81" t="s">
        <v>83</v>
      </c>
      <c r="AF60" s="181" t="s">
        <v>83</v>
      </c>
      <c r="AG60" s="181" t="s">
        <v>83</v>
      </c>
      <c r="AH60" s="181" t="s">
        <v>83</v>
      </c>
      <c r="AI60" s="28"/>
      <c r="AJ60" s="28"/>
      <c r="AK60" s="28">
        <v>0</v>
      </c>
      <c r="AL60" s="28">
        <v>0</v>
      </c>
      <c r="AM60" s="181" t="s">
        <v>83</v>
      </c>
      <c r="AN60" s="28">
        <f>VLOOKUP(B60,物品!B60:D88,3,FALSE)</f>
        <v>1000</v>
      </c>
      <c r="AO60" s="28"/>
      <c r="AP60" s="28"/>
    </row>
    <row r="61" spans="1:42">
      <c r="A61" s="157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|Cffbbbbbb属性：|r|n攻击+135000|n业力+540000|n生命值+2700000|n暴击+12%|n|n|Cff00ff7f击杀1000只怪有50%概率升级|r</v>
      </c>
      <c r="J61" s="159" t="str">
        <f t="shared" si="10"/>
        <v>|CffFF0000[饰品]流光绝影lv4|r</v>
      </c>
      <c r="K61" s="159" t="str">
        <f t="shared" si="11"/>
        <v>|Cffbbbbbb属性：|r|n攻击+135000|n业力+540000|n生命值+2700000|n暴击+12%|n|n|Cff00ff7f击杀1000只怪有50%概率升级|r</v>
      </c>
      <c r="L61" s="28"/>
      <c r="M61" s="160" t="str">
        <f>VLOOKUP(LEFT(RIGHT(B61,5),4),物品!B:CU,20,FALSE)</f>
        <v>ReplaceableTextures\\CommandButtons\\BTNZ10.blp</v>
      </c>
      <c r="N61" s="181" t="s">
        <v>83</v>
      </c>
      <c r="O61" s="182" t="s">
        <v>84</v>
      </c>
      <c r="P61" s="28">
        <v>0</v>
      </c>
      <c r="Q61" s="28">
        <v>0</v>
      </c>
      <c r="R61" s="181" t="s">
        <v>83</v>
      </c>
      <c r="S61" s="181" t="s">
        <v>83</v>
      </c>
      <c r="T61" s="181" t="s">
        <v>83</v>
      </c>
      <c r="U61" s="181" t="s">
        <v>83</v>
      </c>
      <c r="V61" s="28">
        <v>2</v>
      </c>
      <c r="W61" s="28" t="s">
        <v>85</v>
      </c>
      <c r="X61" s="28">
        <v>0</v>
      </c>
      <c r="Y61" s="181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81" t="s">
        <v>83</v>
      </c>
      <c r="AF61" s="181" t="s">
        <v>83</v>
      </c>
      <c r="AG61" s="181" t="s">
        <v>83</v>
      </c>
      <c r="AH61" s="181" t="s">
        <v>83</v>
      </c>
      <c r="AI61" s="28"/>
      <c r="AJ61" s="28"/>
      <c r="AK61" s="28">
        <v>0</v>
      </c>
      <c r="AL61" s="28">
        <v>0</v>
      </c>
      <c r="AM61" s="181" t="s">
        <v>83</v>
      </c>
      <c r="AN61" s="28">
        <f>VLOOKUP(B61,物品!B61:D89,3,FALSE)</f>
        <v>1000</v>
      </c>
      <c r="AO61" s="28"/>
      <c r="AP61" s="28"/>
    </row>
    <row r="62" spans="1:42">
      <c r="A62" s="157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9" t="str">
        <f t="shared" si="10"/>
        <v>|CffFF0000[饰品]流光绝影lv5|r</v>
      </c>
      <c r="K62" s="159" t="str">
        <f t="shared" si="11"/>
        <v>|Cffbbbbbb属性：|r|n攻击+150000|n业力+600000|n生命值+3000000|n暴击+12%|n</v>
      </c>
      <c r="L62" s="28"/>
      <c r="M62" s="160" t="str">
        <f>VLOOKUP(LEFT(RIGHT(B62,5),4),物品!B:CU,20,FALSE)</f>
        <v>ReplaceableTextures\\CommandButtons\\BTNZ10.blp</v>
      </c>
      <c r="N62" s="181" t="s">
        <v>83</v>
      </c>
      <c r="O62" s="182" t="s">
        <v>84</v>
      </c>
      <c r="P62" s="28">
        <v>0</v>
      </c>
      <c r="Q62" s="28">
        <v>0</v>
      </c>
      <c r="R62" s="181" t="s">
        <v>83</v>
      </c>
      <c r="S62" s="181" t="s">
        <v>83</v>
      </c>
      <c r="T62" s="181" t="s">
        <v>83</v>
      </c>
      <c r="U62" s="181" t="s">
        <v>83</v>
      </c>
      <c r="V62" s="28">
        <v>2</v>
      </c>
      <c r="W62" s="28" t="s">
        <v>85</v>
      </c>
      <c r="X62" s="28">
        <v>0</v>
      </c>
      <c r="Y62" s="181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81" t="s">
        <v>83</v>
      </c>
      <c r="AF62" s="181" t="s">
        <v>83</v>
      </c>
      <c r="AG62" s="181" t="s">
        <v>83</v>
      </c>
      <c r="AH62" s="181" t="s">
        <v>83</v>
      </c>
      <c r="AI62" s="28"/>
      <c r="AJ62" s="28"/>
      <c r="AK62" s="28">
        <v>0</v>
      </c>
      <c r="AL62" s="28">
        <v>0</v>
      </c>
      <c r="AM62" s="181" t="s">
        <v>83</v>
      </c>
      <c r="AN62" s="28"/>
      <c r="AO62" s="28"/>
      <c r="AP62" s="28"/>
    </row>
    <row r="63" spans="1:42">
      <c r="A63" s="157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9" t="str">
        <f t="shared" si="10"/>
        <v>[防具]贤者道袍lv1</v>
      </c>
      <c r="K63" s="159" t="str">
        <f t="shared" si="11"/>
        <v>|Cffbbbbbb属性：|r|n生命值+20000|n生命回复+500|n|n|Cff00ff7f点击消耗800金币进行强化|n成功率100%</v>
      </c>
      <c r="L63" s="28"/>
      <c r="M63" s="160" t="str">
        <f>VLOOKUP(LEFT(RIGHT(B63,5),4),物品!B:CU,20,FALSE)</f>
        <v>ReplaceableTextures\\CommandButtons\\BTNZ11.blp</v>
      </c>
      <c r="N63" s="181" t="s">
        <v>83</v>
      </c>
      <c r="O63" s="182" t="s">
        <v>84</v>
      </c>
      <c r="P63" s="28">
        <v>0</v>
      </c>
      <c r="Q63" s="28">
        <v>0</v>
      </c>
      <c r="R63" s="181" t="s">
        <v>83</v>
      </c>
      <c r="S63" s="181" t="s">
        <v>83</v>
      </c>
      <c r="T63" s="181" t="s">
        <v>83</v>
      </c>
      <c r="U63" s="181" t="s">
        <v>83</v>
      </c>
      <c r="V63" s="28">
        <v>3</v>
      </c>
      <c r="W63" s="28" t="s">
        <v>85</v>
      </c>
      <c r="X63" s="28">
        <v>0</v>
      </c>
      <c r="Y63" s="181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81" t="s">
        <v>83</v>
      </c>
      <c r="AF63" s="181" t="s">
        <v>83</v>
      </c>
      <c r="AG63" s="181" t="s">
        <v>83</v>
      </c>
      <c r="AH63" s="181" t="s">
        <v>83</v>
      </c>
      <c r="AI63" s="28"/>
      <c r="AJ63" s="28"/>
      <c r="AK63" s="28">
        <v>0</v>
      </c>
      <c r="AL63" s="28">
        <v>0</v>
      </c>
      <c r="AM63" s="181" t="s">
        <v>83</v>
      </c>
      <c r="AN63" s="28"/>
      <c r="AO63" s="28"/>
      <c r="AP63" s="28">
        <v>1</v>
      </c>
    </row>
    <row r="64" spans="1:42">
      <c r="A64" s="157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9" t="str">
        <f t="shared" ref="J64:J68" si="14">H64</f>
        <v>[防具]贤者道袍lv2</v>
      </c>
      <c r="K64" s="159" t="str">
        <f t="shared" ref="K64:K68" si="15">I64</f>
        <v>|Cffbbbbbb属性：|r|n生命值+40000|n生命回复+1000|n|n|Cff00ff7f点击消耗800金币进行强化|n成功率100%</v>
      </c>
      <c r="L64" s="28"/>
      <c r="M64" s="160" t="str">
        <f>VLOOKUP(LEFT(RIGHT(B64,5),4),物品!B:CU,20,FALSE)</f>
        <v>ReplaceableTextures\\CommandButtons\\BTNZ11.blp</v>
      </c>
      <c r="N64" s="181" t="s">
        <v>83</v>
      </c>
      <c r="O64" s="182" t="s">
        <v>84</v>
      </c>
      <c r="P64" s="28">
        <v>0</v>
      </c>
      <c r="Q64" s="28">
        <v>0</v>
      </c>
      <c r="R64" s="181" t="s">
        <v>83</v>
      </c>
      <c r="S64" s="181" t="s">
        <v>83</v>
      </c>
      <c r="T64" s="181" t="s">
        <v>83</v>
      </c>
      <c r="U64" s="181" t="s">
        <v>83</v>
      </c>
      <c r="V64" s="28">
        <v>3</v>
      </c>
      <c r="W64" s="28" t="s">
        <v>85</v>
      </c>
      <c r="X64" s="28">
        <v>0</v>
      </c>
      <c r="Y64" s="181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81" t="s">
        <v>83</v>
      </c>
      <c r="AF64" s="181" t="s">
        <v>83</v>
      </c>
      <c r="AG64" s="181" t="s">
        <v>83</v>
      </c>
      <c r="AH64" s="181" t="s">
        <v>83</v>
      </c>
      <c r="AI64" s="28"/>
      <c r="AJ64" s="28"/>
      <c r="AK64" s="28">
        <v>0</v>
      </c>
      <c r="AL64" s="28">
        <v>0</v>
      </c>
      <c r="AM64" s="181" t="s">
        <v>83</v>
      </c>
      <c r="AN64" s="28"/>
      <c r="AO64" s="28"/>
      <c r="AP64" s="28">
        <v>1</v>
      </c>
    </row>
    <row r="65" spans="1:42">
      <c r="A65" s="157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9" t="str">
        <f t="shared" si="14"/>
        <v>[防具]贤者道袍lv3</v>
      </c>
      <c r="K65" s="159" t="str">
        <f t="shared" si="15"/>
        <v>|Cffbbbbbb属性：|r|n生命值+60000|n生命回复+1500|n|n|Cff00ff7f点击消耗800金币进行强化|n成功率100%</v>
      </c>
      <c r="L65" s="28"/>
      <c r="M65" s="160" t="str">
        <f>VLOOKUP(LEFT(RIGHT(B65,5),4),物品!B:CU,20,FALSE)</f>
        <v>ReplaceableTextures\\CommandButtons\\BTNZ11.blp</v>
      </c>
      <c r="N65" s="181" t="s">
        <v>83</v>
      </c>
      <c r="O65" s="182" t="s">
        <v>84</v>
      </c>
      <c r="P65" s="28">
        <v>0</v>
      </c>
      <c r="Q65" s="28">
        <v>0</v>
      </c>
      <c r="R65" s="181" t="s">
        <v>83</v>
      </c>
      <c r="S65" s="181" t="s">
        <v>83</v>
      </c>
      <c r="T65" s="181" t="s">
        <v>83</v>
      </c>
      <c r="U65" s="181" t="s">
        <v>83</v>
      </c>
      <c r="V65" s="28">
        <v>3</v>
      </c>
      <c r="W65" s="28" t="s">
        <v>85</v>
      </c>
      <c r="X65" s="28">
        <v>0</v>
      </c>
      <c r="Y65" s="181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81" t="s">
        <v>83</v>
      </c>
      <c r="AF65" s="181" t="s">
        <v>83</v>
      </c>
      <c r="AG65" s="181" t="s">
        <v>83</v>
      </c>
      <c r="AH65" s="181" t="s">
        <v>83</v>
      </c>
      <c r="AI65" s="28"/>
      <c r="AJ65" s="28"/>
      <c r="AK65" s="28">
        <v>0</v>
      </c>
      <c r="AL65" s="28">
        <v>0</v>
      </c>
      <c r="AM65" s="181" t="s">
        <v>83</v>
      </c>
      <c r="AN65" s="28"/>
      <c r="AO65" s="28"/>
      <c r="AP65" s="28">
        <v>1</v>
      </c>
    </row>
    <row r="66" spans="1:42">
      <c r="A66" s="157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9" t="str">
        <f t="shared" si="14"/>
        <v>[防具]贤者道袍lv4</v>
      </c>
      <c r="K66" s="159" t="str">
        <f t="shared" si="15"/>
        <v>|Cffbbbbbb属性：|r|n生命值+80000|n生命回复+2000|n|n|Cff00ff7f点击消耗800金币进行强化|n成功率100%</v>
      </c>
      <c r="L66" s="28"/>
      <c r="M66" s="160" t="str">
        <f>VLOOKUP(LEFT(RIGHT(B66,5),4),物品!B:CU,20,FALSE)</f>
        <v>ReplaceableTextures\\CommandButtons\\BTNZ11.blp</v>
      </c>
      <c r="N66" s="181" t="s">
        <v>83</v>
      </c>
      <c r="O66" s="182" t="s">
        <v>84</v>
      </c>
      <c r="P66" s="28">
        <v>0</v>
      </c>
      <c r="Q66" s="28">
        <v>0</v>
      </c>
      <c r="R66" s="181" t="s">
        <v>83</v>
      </c>
      <c r="S66" s="181" t="s">
        <v>83</v>
      </c>
      <c r="T66" s="181" t="s">
        <v>83</v>
      </c>
      <c r="U66" s="181" t="s">
        <v>83</v>
      </c>
      <c r="V66" s="28">
        <v>3</v>
      </c>
      <c r="W66" s="28" t="s">
        <v>85</v>
      </c>
      <c r="X66" s="28">
        <v>0</v>
      </c>
      <c r="Y66" s="181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81" t="s">
        <v>83</v>
      </c>
      <c r="AF66" s="181" t="s">
        <v>83</v>
      </c>
      <c r="AG66" s="181" t="s">
        <v>83</v>
      </c>
      <c r="AH66" s="181" t="s">
        <v>83</v>
      </c>
      <c r="AI66" s="28"/>
      <c r="AJ66" s="28"/>
      <c r="AK66" s="28">
        <v>0</v>
      </c>
      <c r="AL66" s="28">
        <v>0</v>
      </c>
      <c r="AM66" s="181" t="s">
        <v>83</v>
      </c>
      <c r="AN66" s="28"/>
      <c r="AO66" s="28"/>
      <c r="AP66" s="28">
        <v>1</v>
      </c>
    </row>
    <row r="67" spans="1:42">
      <c r="A67" s="157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9" t="str">
        <f t="shared" si="14"/>
        <v>[防具]贤者道袍lv5</v>
      </c>
      <c r="K67" s="159" t="str">
        <f t="shared" si="15"/>
        <v>|Cffbbbbbb属性：|r|n生命值+100000|n生命回复+2500|n|n|Cff00ff7f点击消耗2500金币进行晋阶挑战</v>
      </c>
      <c r="L67" s="28"/>
      <c r="M67" s="160" t="str">
        <f>VLOOKUP(LEFT(RIGHT(B67,5),4),物品!B:CU,20,FALSE)</f>
        <v>ReplaceableTextures\\CommandButtons\\BTNZ11.blp</v>
      </c>
      <c r="N67" s="181" t="s">
        <v>83</v>
      </c>
      <c r="O67" s="182" t="s">
        <v>84</v>
      </c>
      <c r="P67" s="28">
        <v>0</v>
      </c>
      <c r="Q67" s="28">
        <v>0</v>
      </c>
      <c r="R67" s="181" t="s">
        <v>83</v>
      </c>
      <c r="S67" s="181" t="s">
        <v>83</v>
      </c>
      <c r="T67" s="181" t="s">
        <v>83</v>
      </c>
      <c r="U67" s="181" t="s">
        <v>83</v>
      </c>
      <c r="V67" s="28">
        <v>3</v>
      </c>
      <c r="W67" s="28" t="s">
        <v>85</v>
      </c>
      <c r="X67" s="28">
        <v>0</v>
      </c>
      <c r="Y67" s="181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81" t="s">
        <v>83</v>
      </c>
      <c r="AF67" s="181" t="s">
        <v>83</v>
      </c>
      <c r="AG67" s="181" t="s">
        <v>83</v>
      </c>
      <c r="AH67" s="181" t="s">
        <v>83</v>
      </c>
      <c r="AI67" s="28"/>
      <c r="AJ67" s="28"/>
      <c r="AK67" s="28">
        <v>0</v>
      </c>
      <c r="AL67" s="28">
        <v>0</v>
      </c>
      <c r="AM67" s="181" t="s">
        <v>83</v>
      </c>
      <c r="AN67" s="28"/>
      <c r="AO67" s="28"/>
      <c r="AP67" s="28">
        <v>1</v>
      </c>
    </row>
    <row r="68" spans="1:42">
      <c r="A68" s="157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9" t="str">
        <f t="shared" si="14"/>
        <v>|Cff00FF7F[防具]珊瑚玉衣lv1|r</v>
      </c>
      <c r="K68" s="159" t="str">
        <f t="shared" si="15"/>
        <v>|Cffbbbbbb属性：|r|n护甲+50|n生命值+160000|n生命回复+4000|n|n|Cff00ff7f点击消耗2500金币进行强化|n成功率85%</v>
      </c>
      <c r="L68" s="28"/>
      <c r="M68" s="160" t="str">
        <f>VLOOKUP(LEFT(RIGHT(B68,5),4),物品!B:CU,20,FALSE)</f>
        <v>ReplaceableTextures\\CommandButtons\\BTNZ12.blp</v>
      </c>
      <c r="N68" s="181" t="s">
        <v>83</v>
      </c>
      <c r="O68" s="182" t="s">
        <v>84</v>
      </c>
      <c r="P68" s="28">
        <v>0</v>
      </c>
      <c r="Q68" s="28">
        <v>0</v>
      </c>
      <c r="R68" s="181" t="s">
        <v>83</v>
      </c>
      <c r="S68" s="181" t="s">
        <v>83</v>
      </c>
      <c r="T68" s="181" t="s">
        <v>83</v>
      </c>
      <c r="U68" s="181" t="s">
        <v>83</v>
      </c>
      <c r="V68" s="28">
        <v>3</v>
      </c>
      <c r="W68" s="28" t="s">
        <v>85</v>
      </c>
      <c r="X68" s="28">
        <v>0</v>
      </c>
      <c r="Y68" s="181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81" t="s">
        <v>83</v>
      </c>
      <c r="AF68" s="181" t="s">
        <v>83</v>
      </c>
      <c r="AG68" s="181" t="s">
        <v>83</v>
      </c>
      <c r="AH68" s="181" t="s">
        <v>83</v>
      </c>
      <c r="AI68" s="28"/>
      <c r="AJ68" s="28"/>
      <c r="AK68" s="28">
        <v>0</v>
      </c>
      <c r="AL68" s="28">
        <v>0</v>
      </c>
      <c r="AM68" s="181" t="s">
        <v>83</v>
      </c>
      <c r="AN68" s="28"/>
      <c r="AO68" s="28"/>
      <c r="AP68" s="28">
        <v>1</v>
      </c>
    </row>
    <row r="69" spans="1:42">
      <c r="A69" s="157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9" t="str">
        <f t="shared" ref="J69:J72" si="16">H69</f>
        <v>|Cff00FF7F[防具]珊瑚玉衣lv2|r</v>
      </c>
      <c r="K69" s="159" t="str">
        <f t="shared" ref="K69:K72" si="17">I69</f>
        <v>|Cffbbbbbb属性：|r|n护甲+50|n生命值+200000|n生命回复+5000|n|n|Cff00ff7f点击消耗2500金币进行强化|n成功率85%</v>
      </c>
      <c r="L69" s="28"/>
      <c r="M69" s="160" t="str">
        <f>VLOOKUP(LEFT(RIGHT(B69,5),4),物品!B:CU,20,FALSE)</f>
        <v>ReplaceableTextures\\CommandButtons\\BTNZ12.blp</v>
      </c>
      <c r="N69" s="181" t="s">
        <v>83</v>
      </c>
      <c r="O69" s="182" t="s">
        <v>84</v>
      </c>
      <c r="P69" s="28">
        <v>0</v>
      </c>
      <c r="Q69" s="28">
        <v>0</v>
      </c>
      <c r="R69" s="181" t="s">
        <v>83</v>
      </c>
      <c r="S69" s="181" t="s">
        <v>83</v>
      </c>
      <c r="T69" s="181" t="s">
        <v>83</v>
      </c>
      <c r="U69" s="181" t="s">
        <v>83</v>
      </c>
      <c r="V69" s="28">
        <v>3</v>
      </c>
      <c r="W69" s="28" t="s">
        <v>85</v>
      </c>
      <c r="X69" s="28">
        <v>0</v>
      </c>
      <c r="Y69" s="181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81" t="s">
        <v>83</v>
      </c>
      <c r="AF69" s="181" t="s">
        <v>83</v>
      </c>
      <c r="AG69" s="181" t="s">
        <v>83</v>
      </c>
      <c r="AH69" s="181" t="s">
        <v>83</v>
      </c>
      <c r="AI69" s="28"/>
      <c r="AJ69" s="28"/>
      <c r="AK69" s="28">
        <v>0</v>
      </c>
      <c r="AL69" s="28">
        <v>0</v>
      </c>
      <c r="AM69" s="181" t="s">
        <v>83</v>
      </c>
      <c r="AN69" s="28"/>
      <c r="AO69" s="28"/>
      <c r="AP69" s="28">
        <v>1</v>
      </c>
    </row>
    <row r="70" spans="1:42">
      <c r="A70" s="157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9" t="str">
        <f t="shared" si="16"/>
        <v>|Cff00FF7F[防具]珊瑚玉衣lv3|r</v>
      </c>
      <c r="K70" s="159" t="str">
        <f t="shared" si="17"/>
        <v>|Cffbbbbbb属性：|r|n护甲+50|n生命值+240000|n生命回复+6000|n|n|Cff00ff7f点击消耗2500金币进行强化|n成功率85%</v>
      </c>
      <c r="L70" s="28"/>
      <c r="M70" s="160" t="str">
        <f>VLOOKUP(LEFT(RIGHT(B70,5),4),物品!B:CU,20,FALSE)</f>
        <v>ReplaceableTextures\\CommandButtons\\BTNZ12.blp</v>
      </c>
      <c r="N70" s="181" t="s">
        <v>83</v>
      </c>
      <c r="O70" s="182" t="s">
        <v>84</v>
      </c>
      <c r="P70" s="28">
        <v>0</v>
      </c>
      <c r="Q70" s="28">
        <v>0</v>
      </c>
      <c r="R70" s="181" t="s">
        <v>83</v>
      </c>
      <c r="S70" s="181" t="s">
        <v>83</v>
      </c>
      <c r="T70" s="181" t="s">
        <v>83</v>
      </c>
      <c r="U70" s="181" t="s">
        <v>83</v>
      </c>
      <c r="V70" s="28">
        <v>3</v>
      </c>
      <c r="W70" s="28" t="s">
        <v>85</v>
      </c>
      <c r="X70" s="28">
        <v>0</v>
      </c>
      <c r="Y70" s="181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81" t="s">
        <v>83</v>
      </c>
      <c r="AF70" s="181" t="s">
        <v>83</v>
      </c>
      <c r="AG70" s="181" t="s">
        <v>83</v>
      </c>
      <c r="AH70" s="181" t="s">
        <v>83</v>
      </c>
      <c r="AI70" s="28"/>
      <c r="AJ70" s="28"/>
      <c r="AK70" s="28">
        <v>0</v>
      </c>
      <c r="AL70" s="28">
        <v>0</v>
      </c>
      <c r="AM70" s="181" t="s">
        <v>83</v>
      </c>
      <c r="AN70" s="28"/>
      <c r="AO70" s="28"/>
      <c r="AP70" s="28">
        <v>1</v>
      </c>
    </row>
    <row r="71" spans="1:42">
      <c r="A71" s="157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9" t="str">
        <f t="shared" si="16"/>
        <v>|Cff00FF7F[防具]珊瑚玉衣lv4|r</v>
      </c>
      <c r="K71" s="159" t="str">
        <f t="shared" si="17"/>
        <v>|Cffbbbbbb属性：|r|n护甲+50|n生命值+280000|n生命回复+7000|n|n|Cff00ff7f点击消耗2500金币进行强化|n成功率85%</v>
      </c>
      <c r="L71" s="28"/>
      <c r="M71" s="160" t="str">
        <f>VLOOKUP(LEFT(RIGHT(B71,5),4),物品!B:CU,20,FALSE)</f>
        <v>ReplaceableTextures\\CommandButtons\\BTNZ12.blp</v>
      </c>
      <c r="N71" s="181" t="s">
        <v>83</v>
      </c>
      <c r="O71" s="182" t="s">
        <v>84</v>
      </c>
      <c r="P71" s="28">
        <v>0</v>
      </c>
      <c r="Q71" s="28">
        <v>0</v>
      </c>
      <c r="R71" s="181" t="s">
        <v>83</v>
      </c>
      <c r="S71" s="181" t="s">
        <v>83</v>
      </c>
      <c r="T71" s="181" t="s">
        <v>83</v>
      </c>
      <c r="U71" s="181" t="s">
        <v>83</v>
      </c>
      <c r="V71" s="28">
        <v>3</v>
      </c>
      <c r="W71" s="28" t="s">
        <v>85</v>
      </c>
      <c r="X71" s="28">
        <v>0</v>
      </c>
      <c r="Y71" s="181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81" t="s">
        <v>83</v>
      </c>
      <c r="AF71" s="181" t="s">
        <v>83</v>
      </c>
      <c r="AG71" s="181" t="s">
        <v>83</v>
      </c>
      <c r="AH71" s="181" t="s">
        <v>83</v>
      </c>
      <c r="AI71" s="28"/>
      <c r="AJ71" s="28"/>
      <c r="AK71" s="28">
        <v>0</v>
      </c>
      <c r="AL71" s="28">
        <v>0</v>
      </c>
      <c r="AM71" s="181" t="s">
        <v>83</v>
      </c>
      <c r="AN71" s="28"/>
      <c r="AO71" s="28"/>
      <c r="AP71" s="28">
        <v>1</v>
      </c>
    </row>
    <row r="72" spans="1:42">
      <c r="A72" s="157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9" t="str">
        <f t="shared" si="16"/>
        <v>|Cff00FF7F[防具]珊瑚玉衣lv5|r</v>
      </c>
      <c r="K72" s="159" t="str">
        <f t="shared" si="17"/>
        <v>|Cffbbbbbb属性：|r|n护甲+50|n生命值+320000|n生命回复+8000|n|n|Cff00ff7f点击消耗8000金币进行晋阶挑战</v>
      </c>
      <c r="L72" s="28"/>
      <c r="M72" s="160" t="str">
        <f>VLOOKUP(LEFT(RIGHT(B72,5),4),物品!B:CU,20,FALSE)</f>
        <v>ReplaceableTextures\\CommandButtons\\BTNZ12.blp</v>
      </c>
      <c r="N72" s="181" t="s">
        <v>83</v>
      </c>
      <c r="O72" s="182" t="s">
        <v>84</v>
      </c>
      <c r="P72" s="28">
        <v>0</v>
      </c>
      <c r="Q72" s="28">
        <v>0</v>
      </c>
      <c r="R72" s="181" t="s">
        <v>83</v>
      </c>
      <c r="S72" s="181" t="s">
        <v>83</v>
      </c>
      <c r="T72" s="181" t="s">
        <v>83</v>
      </c>
      <c r="U72" s="181" t="s">
        <v>83</v>
      </c>
      <c r="V72" s="28">
        <v>3</v>
      </c>
      <c r="W72" s="28" t="s">
        <v>85</v>
      </c>
      <c r="X72" s="28">
        <v>0</v>
      </c>
      <c r="Y72" s="181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81" t="s">
        <v>83</v>
      </c>
      <c r="AF72" s="181" t="s">
        <v>83</v>
      </c>
      <c r="AG72" s="181" t="s">
        <v>83</v>
      </c>
      <c r="AH72" s="181" t="s">
        <v>83</v>
      </c>
      <c r="AI72" s="28"/>
      <c r="AJ72" s="28"/>
      <c r="AK72" s="28">
        <v>0</v>
      </c>
      <c r="AL72" s="28">
        <v>0</v>
      </c>
      <c r="AM72" s="181" t="s">
        <v>83</v>
      </c>
      <c r="AN72" s="28"/>
      <c r="AO72" s="28"/>
      <c r="AP72" s="28">
        <v>1</v>
      </c>
    </row>
    <row r="73" spans="1:42">
      <c r="A73" s="157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9" t="str">
        <f t="shared" ref="J73:J92" si="18">H73</f>
        <v>|Cff00BFFF[防具]圣谕披风lv1|r</v>
      </c>
      <c r="K73" s="159" t="str">
        <f t="shared" ref="K73:K92" si="19">I73</f>
        <v>|Cffbbbbbb属性：|r|n护甲+100|n生命值+480000|n生命回复+12000|n|n|Cff00ff7f点击消耗6000金币进行强化|n成功率80%</v>
      </c>
      <c r="L73" s="28"/>
      <c r="M73" s="160" t="str">
        <f>VLOOKUP(LEFT(RIGHT(B73,5),4),物品!B:CU,20,FALSE)</f>
        <v>ReplaceableTextures\\CommandButtons\\BTNZ13.blp</v>
      </c>
      <c r="N73" s="181" t="s">
        <v>83</v>
      </c>
      <c r="O73" s="182" t="s">
        <v>84</v>
      </c>
      <c r="P73" s="28">
        <v>0</v>
      </c>
      <c r="Q73" s="28">
        <v>0</v>
      </c>
      <c r="R73" s="181" t="s">
        <v>83</v>
      </c>
      <c r="S73" s="181" t="s">
        <v>83</v>
      </c>
      <c r="T73" s="181" t="s">
        <v>83</v>
      </c>
      <c r="U73" s="181" t="s">
        <v>83</v>
      </c>
      <c r="V73" s="28">
        <v>3</v>
      </c>
      <c r="W73" s="28" t="s">
        <v>85</v>
      </c>
      <c r="X73" s="28">
        <v>0</v>
      </c>
      <c r="Y73" s="181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81" t="s">
        <v>83</v>
      </c>
      <c r="AF73" s="181" t="s">
        <v>83</v>
      </c>
      <c r="AG73" s="181" t="s">
        <v>83</v>
      </c>
      <c r="AH73" s="181" t="s">
        <v>83</v>
      </c>
      <c r="AI73" s="28"/>
      <c r="AJ73" s="28"/>
      <c r="AK73" s="28">
        <v>0</v>
      </c>
      <c r="AL73" s="28">
        <v>0</v>
      </c>
      <c r="AM73" s="181" t="s">
        <v>83</v>
      </c>
      <c r="AN73" s="28"/>
      <c r="AO73" s="28"/>
      <c r="AP73" s="28">
        <v>1</v>
      </c>
    </row>
    <row r="74" spans="1:42">
      <c r="A74" s="157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9" t="str">
        <f t="shared" si="18"/>
        <v>|Cff00BFFF[防具]圣谕披风lv2|r</v>
      </c>
      <c r="K74" s="159" t="str">
        <f t="shared" si="19"/>
        <v>|Cffbbbbbb属性：|r|n护甲+100|n生命值+560000|n生命回复+14000|n|n|Cff00ff7f点击消耗6000金币进行强化|n成功率80%</v>
      </c>
      <c r="L74" s="28"/>
      <c r="M74" s="160" t="str">
        <f>VLOOKUP(LEFT(RIGHT(B74,5),4),物品!B:CU,20,FALSE)</f>
        <v>ReplaceableTextures\\CommandButtons\\BTNZ13.blp</v>
      </c>
      <c r="N74" s="181" t="s">
        <v>83</v>
      </c>
      <c r="O74" s="182" t="s">
        <v>84</v>
      </c>
      <c r="P74" s="28">
        <v>0</v>
      </c>
      <c r="Q74" s="28">
        <v>0</v>
      </c>
      <c r="R74" s="181" t="s">
        <v>83</v>
      </c>
      <c r="S74" s="181" t="s">
        <v>83</v>
      </c>
      <c r="T74" s="181" t="s">
        <v>83</v>
      </c>
      <c r="U74" s="181" t="s">
        <v>83</v>
      </c>
      <c r="V74" s="28">
        <v>3</v>
      </c>
      <c r="W74" s="28" t="s">
        <v>85</v>
      </c>
      <c r="X74" s="28">
        <v>0</v>
      </c>
      <c r="Y74" s="181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81" t="s">
        <v>83</v>
      </c>
      <c r="AF74" s="181" t="s">
        <v>83</v>
      </c>
      <c r="AG74" s="181" t="s">
        <v>83</v>
      </c>
      <c r="AH74" s="181" t="s">
        <v>83</v>
      </c>
      <c r="AI74" s="28"/>
      <c r="AJ74" s="28"/>
      <c r="AK74" s="28">
        <v>0</v>
      </c>
      <c r="AL74" s="28">
        <v>0</v>
      </c>
      <c r="AM74" s="181" t="s">
        <v>83</v>
      </c>
      <c r="AN74" s="28"/>
      <c r="AO74" s="28"/>
      <c r="AP74" s="28">
        <v>1</v>
      </c>
    </row>
    <row r="75" spans="1:42">
      <c r="A75" s="157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9" t="str">
        <f t="shared" si="18"/>
        <v>|Cff00BFFF[防具]圣谕披风lv3|r</v>
      </c>
      <c r="K75" s="159" t="str">
        <f t="shared" si="19"/>
        <v>|Cffbbbbbb属性：|r|n护甲+100|n生命值+640000|n生命回复+16000|n|n|Cff00ff7f点击消耗6000金币进行强化|n成功率80%</v>
      </c>
      <c r="L75" s="28"/>
      <c r="M75" s="160" t="str">
        <f>VLOOKUP(LEFT(RIGHT(B75,5),4),物品!B:CU,20,FALSE)</f>
        <v>ReplaceableTextures\\CommandButtons\\BTNZ13.blp</v>
      </c>
      <c r="N75" s="181" t="s">
        <v>83</v>
      </c>
      <c r="O75" s="182" t="s">
        <v>84</v>
      </c>
      <c r="P75" s="28">
        <v>0</v>
      </c>
      <c r="Q75" s="28">
        <v>0</v>
      </c>
      <c r="R75" s="181" t="s">
        <v>83</v>
      </c>
      <c r="S75" s="181" t="s">
        <v>83</v>
      </c>
      <c r="T75" s="181" t="s">
        <v>83</v>
      </c>
      <c r="U75" s="181" t="s">
        <v>83</v>
      </c>
      <c r="V75" s="28">
        <v>3</v>
      </c>
      <c r="W75" s="28" t="s">
        <v>85</v>
      </c>
      <c r="X75" s="28">
        <v>0</v>
      </c>
      <c r="Y75" s="181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81" t="s">
        <v>83</v>
      </c>
      <c r="AF75" s="181" t="s">
        <v>83</v>
      </c>
      <c r="AG75" s="181" t="s">
        <v>83</v>
      </c>
      <c r="AH75" s="181" t="s">
        <v>83</v>
      </c>
      <c r="AI75" s="28"/>
      <c r="AJ75" s="28"/>
      <c r="AK75" s="28">
        <v>0</v>
      </c>
      <c r="AL75" s="28">
        <v>0</v>
      </c>
      <c r="AM75" s="181" t="s">
        <v>83</v>
      </c>
      <c r="AN75" s="28"/>
      <c r="AO75" s="28"/>
      <c r="AP75" s="28">
        <v>1</v>
      </c>
    </row>
    <row r="76" spans="1:42">
      <c r="A76" s="157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9" t="str">
        <f t="shared" si="18"/>
        <v>|Cff00BFFF[防具]圣谕披风lv4|r</v>
      </c>
      <c r="K76" s="159" t="str">
        <f t="shared" si="19"/>
        <v>|Cffbbbbbb属性：|r|n护甲+100|n生命值+800000|n生命回复+20000|n|n|Cff00ff7f点击消耗6000金币进行强化|n成功率80%</v>
      </c>
      <c r="L76" s="28"/>
      <c r="M76" s="160" t="str">
        <f>VLOOKUP(LEFT(RIGHT(B76,5),4),物品!B:CU,20,FALSE)</f>
        <v>ReplaceableTextures\\CommandButtons\\BTNZ13.blp</v>
      </c>
      <c r="N76" s="181" t="s">
        <v>83</v>
      </c>
      <c r="O76" s="182" t="s">
        <v>84</v>
      </c>
      <c r="P76" s="28">
        <v>0</v>
      </c>
      <c r="Q76" s="28">
        <v>0</v>
      </c>
      <c r="R76" s="181" t="s">
        <v>83</v>
      </c>
      <c r="S76" s="181" t="s">
        <v>83</v>
      </c>
      <c r="T76" s="181" t="s">
        <v>83</v>
      </c>
      <c r="U76" s="181" t="s">
        <v>83</v>
      </c>
      <c r="V76" s="28">
        <v>3</v>
      </c>
      <c r="W76" s="28" t="s">
        <v>85</v>
      </c>
      <c r="X76" s="28">
        <v>0</v>
      </c>
      <c r="Y76" s="181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81" t="s">
        <v>83</v>
      </c>
      <c r="AF76" s="181" t="s">
        <v>83</v>
      </c>
      <c r="AG76" s="181" t="s">
        <v>83</v>
      </c>
      <c r="AH76" s="181" t="s">
        <v>83</v>
      </c>
      <c r="AI76" s="28"/>
      <c r="AJ76" s="28"/>
      <c r="AK76" s="28">
        <v>0</v>
      </c>
      <c r="AL76" s="28">
        <v>0</v>
      </c>
      <c r="AM76" s="181" t="s">
        <v>83</v>
      </c>
      <c r="AN76" s="28"/>
      <c r="AO76" s="28"/>
      <c r="AP76" s="28">
        <v>1</v>
      </c>
    </row>
    <row r="77" spans="1:42">
      <c r="A77" s="157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9" t="str">
        <f t="shared" si="18"/>
        <v>|Cff00BFFF[防具]圣谕披风lv5|r</v>
      </c>
      <c r="K77" s="159" t="str">
        <f t="shared" si="19"/>
        <v>|Cffbbbbbb属性：|r|n护甲+100|n生命值+960000|n生命回复+24000|n|n|Cff00ff7f点击消耗20000金币进行晋阶挑战</v>
      </c>
      <c r="L77" s="28"/>
      <c r="M77" s="160" t="str">
        <f>VLOOKUP(LEFT(RIGHT(B77,5),4),物品!B:CU,20,FALSE)</f>
        <v>ReplaceableTextures\\CommandButtons\\BTNZ13.blp</v>
      </c>
      <c r="N77" s="181" t="s">
        <v>83</v>
      </c>
      <c r="O77" s="182" t="s">
        <v>84</v>
      </c>
      <c r="P77" s="28">
        <v>0</v>
      </c>
      <c r="Q77" s="28">
        <v>0</v>
      </c>
      <c r="R77" s="181" t="s">
        <v>83</v>
      </c>
      <c r="S77" s="181" t="s">
        <v>83</v>
      </c>
      <c r="T77" s="181" t="s">
        <v>83</v>
      </c>
      <c r="U77" s="181" t="s">
        <v>83</v>
      </c>
      <c r="V77" s="28">
        <v>3</v>
      </c>
      <c r="W77" s="28" t="s">
        <v>85</v>
      </c>
      <c r="X77" s="28">
        <v>0</v>
      </c>
      <c r="Y77" s="181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81" t="s">
        <v>83</v>
      </c>
      <c r="AF77" s="181" t="s">
        <v>83</v>
      </c>
      <c r="AG77" s="181" t="s">
        <v>83</v>
      </c>
      <c r="AH77" s="181" t="s">
        <v>83</v>
      </c>
      <c r="AI77" s="28"/>
      <c r="AJ77" s="28"/>
      <c r="AK77" s="28">
        <v>0</v>
      </c>
      <c r="AL77" s="28">
        <v>0</v>
      </c>
      <c r="AM77" s="181" t="s">
        <v>83</v>
      </c>
      <c r="AN77" s="28"/>
      <c r="AO77" s="28"/>
      <c r="AP77" s="28">
        <v>1</v>
      </c>
    </row>
    <row r="78" spans="1:42">
      <c r="A78" s="157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9" t="str">
        <f t="shared" ref="J78:J82" si="20">H78</f>
        <v>|CffBF00FF[防具]幻灵护甲lv1|r</v>
      </c>
      <c r="K78" s="159" t="str">
        <f t="shared" ref="K78:K82" si="21">I78</f>
        <v>|Cffbbbbbb属性：|r|n护甲+150|n生命值+1440000|n生命回复+36000|n|n|Cff00ff7f点击消耗10000金币进行强化|n成功率70%</v>
      </c>
      <c r="L78" s="28"/>
      <c r="M78" s="160" t="str">
        <f>VLOOKUP(LEFT(RIGHT(B78,5),4),物品!B:CU,20,FALSE)</f>
        <v>ReplaceableTextures\\CommandButtons\\BTNZ23.blp</v>
      </c>
      <c r="N78" s="181" t="s">
        <v>83</v>
      </c>
      <c r="O78" s="182" t="s">
        <v>84</v>
      </c>
      <c r="P78" s="28">
        <v>0</v>
      </c>
      <c r="Q78" s="28">
        <v>0</v>
      </c>
      <c r="R78" s="181" t="s">
        <v>83</v>
      </c>
      <c r="S78" s="181" t="s">
        <v>83</v>
      </c>
      <c r="T78" s="181" t="s">
        <v>83</v>
      </c>
      <c r="U78" s="181" t="s">
        <v>83</v>
      </c>
      <c r="V78" s="28">
        <v>3</v>
      </c>
      <c r="W78" s="28" t="s">
        <v>85</v>
      </c>
      <c r="X78" s="28">
        <v>0</v>
      </c>
      <c r="Y78" s="181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81" t="s">
        <v>83</v>
      </c>
      <c r="AF78" s="181" t="s">
        <v>83</v>
      </c>
      <c r="AG78" s="181" t="s">
        <v>83</v>
      </c>
      <c r="AH78" s="181" t="s">
        <v>83</v>
      </c>
      <c r="AI78" s="28"/>
      <c r="AJ78" s="28"/>
      <c r="AK78" s="28">
        <v>0</v>
      </c>
      <c r="AL78" s="28">
        <v>0</v>
      </c>
      <c r="AM78" s="181" t="s">
        <v>83</v>
      </c>
      <c r="AN78" s="28"/>
      <c r="AO78" s="28"/>
      <c r="AP78" s="28">
        <v>1</v>
      </c>
    </row>
    <row r="79" spans="1:42">
      <c r="A79" s="157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9" t="str">
        <f t="shared" si="20"/>
        <v>|CffBF00FF[防具]幻灵护甲lv2|r</v>
      </c>
      <c r="K79" s="159" t="str">
        <f t="shared" si="21"/>
        <v>|Cffbbbbbb属性：|r|n护甲+150|n生命值+1680000|n生命回复+42000|n|n|Cff00ff7f点击消耗10000金币进行强化|n成功率70%</v>
      </c>
      <c r="L79" s="28"/>
      <c r="M79" s="160" t="str">
        <f>VLOOKUP(LEFT(RIGHT(B79,5),4),物品!B:CU,20,FALSE)</f>
        <v>ReplaceableTextures\\CommandButtons\\BTNZ23.blp</v>
      </c>
      <c r="N79" s="181" t="s">
        <v>83</v>
      </c>
      <c r="O79" s="182" t="s">
        <v>84</v>
      </c>
      <c r="P79" s="28">
        <v>0</v>
      </c>
      <c r="Q79" s="28">
        <v>0</v>
      </c>
      <c r="R79" s="181" t="s">
        <v>83</v>
      </c>
      <c r="S79" s="181" t="s">
        <v>83</v>
      </c>
      <c r="T79" s="181" t="s">
        <v>83</v>
      </c>
      <c r="U79" s="181" t="s">
        <v>83</v>
      </c>
      <c r="V79" s="28">
        <v>3</v>
      </c>
      <c r="W79" s="28" t="s">
        <v>85</v>
      </c>
      <c r="X79" s="28">
        <v>0</v>
      </c>
      <c r="Y79" s="181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81" t="s">
        <v>83</v>
      </c>
      <c r="AF79" s="181" t="s">
        <v>83</v>
      </c>
      <c r="AG79" s="181" t="s">
        <v>83</v>
      </c>
      <c r="AH79" s="181" t="s">
        <v>83</v>
      </c>
      <c r="AI79" s="28"/>
      <c r="AJ79" s="28"/>
      <c r="AK79" s="28">
        <v>0</v>
      </c>
      <c r="AL79" s="28">
        <v>0</v>
      </c>
      <c r="AM79" s="181" t="s">
        <v>83</v>
      </c>
      <c r="AN79" s="28"/>
      <c r="AO79" s="28"/>
      <c r="AP79" s="28">
        <v>1</v>
      </c>
    </row>
    <row r="80" spans="1:42">
      <c r="A80" s="157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9" t="str">
        <f t="shared" si="20"/>
        <v>|CffBF00FF[防具]幻灵护甲lv3|r</v>
      </c>
      <c r="K80" s="159" t="str">
        <f t="shared" si="21"/>
        <v>|Cffbbbbbb属性：|r|n护甲+150|n生命值+1920000|n生命回复+48000|n|n|Cff00ff7f点击消耗10000金币进行强化|n成功率70%</v>
      </c>
      <c r="L80" s="28"/>
      <c r="M80" s="160" t="str">
        <f>VLOOKUP(LEFT(RIGHT(B80,5),4),物品!B:CU,20,FALSE)</f>
        <v>ReplaceableTextures\\CommandButtons\\BTNZ23.blp</v>
      </c>
      <c r="N80" s="181" t="s">
        <v>83</v>
      </c>
      <c r="O80" s="182" t="s">
        <v>84</v>
      </c>
      <c r="P80" s="28">
        <v>0</v>
      </c>
      <c r="Q80" s="28">
        <v>0</v>
      </c>
      <c r="R80" s="181" t="s">
        <v>83</v>
      </c>
      <c r="S80" s="181" t="s">
        <v>83</v>
      </c>
      <c r="T80" s="181" t="s">
        <v>83</v>
      </c>
      <c r="U80" s="181" t="s">
        <v>83</v>
      </c>
      <c r="V80" s="28">
        <v>3</v>
      </c>
      <c r="W80" s="28" t="s">
        <v>85</v>
      </c>
      <c r="X80" s="28">
        <v>0</v>
      </c>
      <c r="Y80" s="181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81" t="s">
        <v>83</v>
      </c>
      <c r="AF80" s="181" t="s">
        <v>83</v>
      </c>
      <c r="AG80" s="181" t="s">
        <v>83</v>
      </c>
      <c r="AH80" s="181" t="s">
        <v>83</v>
      </c>
      <c r="AI80" s="28"/>
      <c r="AJ80" s="28"/>
      <c r="AK80" s="28">
        <v>0</v>
      </c>
      <c r="AL80" s="28">
        <v>0</v>
      </c>
      <c r="AM80" s="181" t="s">
        <v>83</v>
      </c>
      <c r="AN80" s="28"/>
      <c r="AO80" s="28"/>
      <c r="AP80" s="28">
        <v>1</v>
      </c>
    </row>
    <row r="81" spans="1:42">
      <c r="A81" s="157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9" t="str">
        <f t="shared" si="20"/>
        <v>|CffBF00FF[防具]幻灵护甲lv4|r</v>
      </c>
      <c r="K81" s="159" t="str">
        <f t="shared" si="21"/>
        <v>|Cffbbbbbb属性：|r|n护甲+150|n生命值+2160000|n生命回复+54000|n|n|Cff00ff7f点击消耗10000金币进行强化|n成功率70%</v>
      </c>
      <c r="L81" s="28"/>
      <c r="M81" s="160" t="str">
        <f>VLOOKUP(LEFT(RIGHT(B81,5),4),物品!B:CU,20,FALSE)</f>
        <v>ReplaceableTextures\\CommandButtons\\BTNZ23.blp</v>
      </c>
      <c r="N81" s="181" t="s">
        <v>83</v>
      </c>
      <c r="O81" s="182" t="s">
        <v>84</v>
      </c>
      <c r="P81" s="28">
        <v>0</v>
      </c>
      <c r="Q81" s="28">
        <v>0</v>
      </c>
      <c r="R81" s="181" t="s">
        <v>83</v>
      </c>
      <c r="S81" s="181" t="s">
        <v>83</v>
      </c>
      <c r="T81" s="181" t="s">
        <v>83</v>
      </c>
      <c r="U81" s="181" t="s">
        <v>83</v>
      </c>
      <c r="V81" s="28">
        <v>3</v>
      </c>
      <c r="W81" s="28" t="s">
        <v>85</v>
      </c>
      <c r="X81" s="28">
        <v>0</v>
      </c>
      <c r="Y81" s="181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81" t="s">
        <v>83</v>
      </c>
      <c r="AF81" s="181" t="s">
        <v>83</v>
      </c>
      <c r="AG81" s="181" t="s">
        <v>83</v>
      </c>
      <c r="AH81" s="181" t="s">
        <v>83</v>
      </c>
      <c r="AI81" s="28"/>
      <c r="AJ81" s="28"/>
      <c r="AK81" s="28">
        <v>0</v>
      </c>
      <c r="AL81" s="28">
        <v>0</v>
      </c>
      <c r="AM81" s="181" t="s">
        <v>83</v>
      </c>
      <c r="AN81" s="28"/>
      <c r="AO81" s="28"/>
      <c r="AP81" s="28">
        <v>1</v>
      </c>
    </row>
    <row r="82" spans="1:42">
      <c r="A82" s="157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9" t="str">
        <f t="shared" si="20"/>
        <v>|CffBF00FF[防具]幻灵护甲lv5|r</v>
      </c>
      <c r="K82" s="159" t="str">
        <f t="shared" si="21"/>
        <v>|Cffbbbbbb属性：|r|n护甲+150|n生命值+2400000|n生命回复+60000|n|n|Cff00ff7f点击消耗30000金币进行晋阶挑战</v>
      </c>
      <c r="L82" s="28"/>
      <c r="M82" s="160" t="str">
        <f>VLOOKUP(LEFT(RIGHT(B82,5),4),物品!B:CU,20,FALSE)</f>
        <v>ReplaceableTextures\\CommandButtons\\BTNZ23.blp</v>
      </c>
      <c r="N82" s="181" t="s">
        <v>83</v>
      </c>
      <c r="O82" s="182" t="s">
        <v>84</v>
      </c>
      <c r="P82" s="28">
        <v>0</v>
      </c>
      <c r="Q82" s="28">
        <v>0</v>
      </c>
      <c r="R82" s="181" t="s">
        <v>83</v>
      </c>
      <c r="S82" s="181" t="s">
        <v>83</v>
      </c>
      <c r="T82" s="181" t="s">
        <v>83</v>
      </c>
      <c r="U82" s="181" t="s">
        <v>83</v>
      </c>
      <c r="V82" s="28">
        <v>3</v>
      </c>
      <c r="W82" s="28" t="s">
        <v>85</v>
      </c>
      <c r="X82" s="28">
        <v>0</v>
      </c>
      <c r="Y82" s="181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81" t="s">
        <v>83</v>
      </c>
      <c r="AF82" s="181" t="s">
        <v>83</v>
      </c>
      <c r="AG82" s="181" t="s">
        <v>83</v>
      </c>
      <c r="AH82" s="181" t="s">
        <v>83</v>
      </c>
      <c r="AI82" s="28"/>
      <c r="AJ82" s="28"/>
      <c r="AK82" s="28">
        <v>0</v>
      </c>
      <c r="AL82" s="28">
        <v>0</v>
      </c>
      <c r="AM82" s="181" t="s">
        <v>83</v>
      </c>
      <c r="AN82" s="28"/>
      <c r="AO82" s="28"/>
      <c r="AP82" s="28">
        <v>1</v>
      </c>
    </row>
    <row r="83" spans="1:42">
      <c r="A83" s="157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9" t="str">
        <f t="shared" si="18"/>
        <v>|CffFFC926[防具]乾坤护心甲lv1|r</v>
      </c>
      <c r="K83" s="159" t="str">
        <f t="shared" si="19"/>
        <v>|Cffbbbbbb属性：|r|n护甲+200|n生命值+3200000|n生命回复+80000|n|n|Cff00ff7f点击消耗20000金币进行强化|n成功率60%</v>
      </c>
      <c r="L83" s="28"/>
      <c r="M83" s="160" t="str">
        <f>VLOOKUP(LEFT(RIGHT(B83,5),4),物品!B:CU,20,FALSE)</f>
        <v>ReplaceableTextures\\CommandButtons\\BTNZ14.blp</v>
      </c>
      <c r="N83" s="181" t="s">
        <v>83</v>
      </c>
      <c r="O83" s="182" t="s">
        <v>84</v>
      </c>
      <c r="P83" s="28">
        <v>0</v>
      </c>
      <c r="Q83" s="28">
        <v>0</v>
      </c>
      <c r="R83" s="181" t="s">
        <v>83</v>
      </c>
      <c r="S83" s="181" t="s">
        <v>83</v>
      </c>
      <c r="T83" s="181" t="s">
        <v>83</v>
      </c>
      <c r="U83" s="181" t="s">
        <v>83</v>
      </c>
      <c r="V83" s="28">
        <v>3</v>
      </c>
      <c r="W83" s="28" t="s">
        <v>85</v>
      </c>
      <c r="X83" s="28">
        <v>0</v>
      </c>
      <c r="Y83" s="181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81" t="s">
        <v>83</v>
      </c>
      <c r="AF83" s="181" t="s">
        <v>83</v>
      </c>
      <c r="AG83" s="181" t="s">
        <v>83</v>
      </c>
      <c r="AH83" s="181" t="s">
        <v>83</v>
      </c>
      <c r="AI83" s="28"/>
      <c r="AJ83" s="28"/>
      <c r="AK83" s="28">
        <v>0</v>
      </c>
      <c r="AL83" s="28">
        <v>0</v>
      </c>
      <c r="AM83" s="181" t="s">
        <v>83</v>
      </c>
      <c r="AN83" s="28"/>
      <c r="AO83" s="28"/>
      <c r="AP83" s="28">
        <v>1</v>
      </c>
    </row>
    <row r="84" spans="1:42">
      <c r="A84" s="157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9" t="str">
        <f t="shared" si="18"/>
        <v>|CffFFC926[防具]乾坤护心甲lv2|r</v>
      </c>
      <c r="K84" s="159" t="str">
        <f t="shared" si="19"/>
        <v>|Cffbbbbbb属性：|r|n护甲+200|n生命值+3600000|n生命回复+90000|n|n|Cff00ff7f点击消耗20000金币进行强化|n成功率60%</v>
      </c>
      <c r="L84" s="28"/>
      <c r="M84" s="160" t="str">
        <f>VLOOKUP(LEFT(RIGHT(B84,5),4),物品!B:CU,20,FALSE)</f>
        <v>ReplaceableTextures\\CommandButtons\\BTNZ14.blp</v>
      </c>
      <c r="N84" s="181" t="s">
        <v>83</v>
      </c>
      <c r="O84" s="182" t="s">
        <v>84</v>
      </c>
      <c r="P84" s="28">
        <v>0</v>
      </c>
      <c r="Q84" s="28">
        <v>0</v>
      </c>
      <c r="R84" s="181" t="s">
        <v>83</v>
      </c>
      <c r="S84" s="181" t="s">
        <v>83</v>
      </c>
      <c r="T84" s="181" t="s">
        <v>83</v>
      </c>
      <c r="U84" s="181" t="s">
        <v>83</v>
      </c>
      <c r="V84" s="28">
        <v>3</v>
      </c>
      <c r="W84" s="28" t="s">
        <v>85</v>
      </c>
      <c r="X84" s="28">
        <v>0</v>
      </c>
      <c r="Y84" s="181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81" t="s">
        <v>83</v>
      </c>
      <c r="AF84" s="181" t="s">
        <v>83</v>
      </c>
      <c r="AG84" s="181" t="s">
        <v>83</v>
      </c>
      <c r="AH84" s="181" t="s">
        <v>83</v>
      </c>
      <c r="AI84" s="28"/>
      <c r="AJ84" s="28"/>
      <c r="AK84" s="28">
        <v>0</v>
      </c>
      <c r="AL84" s="28">
        <v>0</v>
      </c>
      <c r="AM84" s="181" t="s">
        <v>83</v>
      </c>
      <c r="AN84" s="28"/>
      <c r="AO84" s="28"/>
      <c r="AP84" s="28">
        <v>1</v>
      </c>
    </row>
    <row r="85" spans="1:42">
      <c r="A85" s="157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9" t="str">
        <f t="shared" si="18"/>
        <v>|CffFFC926[防具]乾坤护心甲lv3|r</v>
      </c>
      <c r="K85" s="159" t="str">
        <f t="shared" si="19"/>
        <v>|Cffbbbbbb属性：|r|n护甲+200|n生命值+4000000|n生命回复+100000|n|n|Cff00ff7f点击消耗20000金币进行强化|n成功率60%</v>
      </c>
      <c r="L85" s="28"/>
      <c r="M85" s="160" t="str">
        <f>VLOOKUP(LEFT(RIGHT(B85,5),4),物品!B:CU,20,FALSE)</f>
        <v>ReplaceableTextures\\CommandButtons\\BTNZ14.blp</v>
      </c>
      <c r="N85" s="181" t="s">
        <v>83</v>
      </c>
      <c r="O85" s="182" t="s">
        <v>84</v>
      </c>
      <c r="P85" s="28">
        <v>0</v>
      </c>
      <c r="Q85" s="28">
        <v>0</v>
      </c>
      <c r="R85" s="181" t="s">
        <v>83</v>
      </c>
      <c r="S85" s="181" t="s">
        <v>83</v>
      </c>
      <c r="T85" s="181" t="s">
        <v>83</v>
      </c>
      <c r="U85" s="181" t="s">
        <v>83</v>
      </c>
      <c r="V85" s="28">
        <v>3</v>
      </c>
      <c r="W85" s="28" t="s">
        <v>85</v>
      </c>
      <c r="X85" s="28">
        <v>0</v>
      </c>
      <c r="Y85" s="181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81" t="s">
        <v>83</v>
      </c>
      <c r="AF85" s="181" t="s">
        <v>83</v>
      </c>
      <c r="AG85" s="181" t="s">
        <v>83</v>
      </c>
      <c r="AH85" s="181" t="s">
        <v>83</v>
      </c>
      <c r="AI85" s="28"/>
      <c r="AJ85" s="28"/>
      <c r="AK85" s="28">
        <v>0</v>
      </c>
      <c r="AL85" s="28">
        <v>0</v>
      </c>
      <c r="AM85" s="181" t="s">
        <v>83</v>
      </c>
      <c r="AN85" s="28"/>
      <c r="AO85" s="28"/>
      <c r="AP85" s="28">
        <v>1</v>
      </c>
    </row>
    <row r="86" spans="1:42">
      <c r="A86" s="157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9" t="str">
        <f t="shared" si="18"/>
        <v>|CffFFC926[防具]乾坤护心甲lv4|r</v>
      </c>
      <c r="K86" s="159" t="str">
        <f t="shared" si="19"/>
        <v>|Cffbbbbbb属性：|r|n护甲+200|n生命值+4400000|n生命回复+110000|n|n|Cff00ff7f点击消耗20000金币进行强化|n成功率60%</v>
      </c>
      <c r="L86" s="28"/>
      <c r="M86" s="160" t="str">
        <f>VLOOKUP(LEFT(RIGHT(B86,5),4),物品!B:CU,20,FALSE)</f>
        <v>ReplaceableTextures\\CommandButtons\\BTNZ14.blp</v>
      </c>
      <c r="N86" s="181" t="s">
        <v>83</v>
      </c>
      <c r="O86" s="182" t="s">
        <v>84</v>
      </c>
      <c r="P86" s="28">
        <v>0</v>
      </c>
      <c r="Q86" s="28">
        <v>0</v>
      </c>
      <c r="R86" s="181" t="s">
        <v>83</v>
      </c>
      <c r="S86" s="181" t="s">
        <v>83</v>
      </c>
      <c r="T86" s="181" t="s">
        <v>83</v>
      </c>
      <c r="U86" s="181" t="s">
        <v>83</v>
      </c>
      <c r="V86" s="28">
        <v>3</v>
      </c>
      <c r="W86" s="28" t="s">
        <v>85</v>
      </c>
      <c r="X86" s="28">
        <v>0</v>
      </c>
      <c r="Y86" s="181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81" t="s">
        <v>83</v>
      </c>
      <c r="AF86" s="181" t="s">
        <v>83</v>
      </c>
      <c r="AG86" s="181" t="s">
        <v>83</v>
      </c>
      <c r="AH86" s="181" t="s">
        <v>83</v>
      </c>
      <c r="AI86" s="28"/>
      <c r="AJ86" s="28"/>
      <c r="AK86" s="28">
        <v>0</v>
      </c>
      <c r="AL86" s="28">
        <v>0</v>
      </c>
      <c r="AM86" s="181" t="s">
        <v>83</v>
      </c>
      <c r="AN86" s="28"/>
      <c r="AO86" s="28"/>
      <c r="AP86" s="28">
        <v>1</v>
      </c>
    </row>
    <row r="87" spans="1:42">
      <c r="A87" s="157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9" t="str">
        <f t="shared" si="18"/>
        <v>|CffFFC926[防具]乾坤护心甲lv5|r</v>
      </c>
      <c r="K87" s="159" t="str">
        <f t="shared" si="19"/>
        <v>|Cffbbbbbb属性：|r|n护甲+200|n生命值+4800000|n生命回复+120000|n|n|Cff00ff7f点击消耗50000金币进行晋阶挑战</v>
      </c>
      <c r="L87" s="28"/>
      <c r="M87" s="160" t="str">
        <f>VLOOKUP(LEFT(RIGHT(B87,5),4),物品!B:CU,20,FALSE)</f>
        <v>ReplaceableTextures\\CommandButtons\\BTNZ14.blp</v>
      </c>
      <c r="N87" s="181" t="s">
        <v>83</v>
      </c>
      <c r="O87" s="182" t="s">
        <v>84</v>
      </c>
      <c r="P87" s="28">
        <v>0</v>
      </c>
      <c r="Q87" s="28">
        <v>0</v>
      </c>
      <c r="R87" s="181" t="s">
        <v>83</v>
      </c>
      <c r="S87" s="181" t="s">
        <v>83</v>
      </c>
      <c r="T87" s="181" t="s">
        <v>83</v>
      </c>
      <c r="U87" s="181" t="s">
        <v>83</v>
      </c>
      <c r="V87" s="28">
        <v>3</v>
      </c>
      <c r="W87" s="28" t="s">
        <v>85</v>
      </c>
      <c r="X87" s="28">
        <v>0</v>
      </c>
      <c r="Y87" s="181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81" t="s">
        <v>83</v>
      </c>
      <c r="AF87" s="181" t="s">
        <v>83</v>
      </c>
      <c r="AG87" s="181" t="s">
        <v>83</v>
      </c>
      <c r="AH87" s="181" t="s">
        <v>83</v>
      </c>
      <c r="AI87" s="28"/>
      <c r="AJ87" s="28"/>
      <c r="AK87" s="28">
        <v>0</v>
      </c>
      <c r="AL87" s="28">
        <v>0</v>
      </c>
      <c r="AM87" s="181" t="s">
        <v>83</v>
      </c>
      <c r="AN87" s="28"/>
      <c r="AO87" s="28"/>
      <c r="AP87" s="28">
        <v>1</v>
      </c>
    </row>
    <row r="88" spans="1:42">
      <c r="A88" s="157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9" t="str">
        <f t="shared" si="18"/>
        <v>|CffFF0000[防具]九龙黄金甲lv1|r</v>
      </c>
      <c r="K88" s="159" t="str">
        <f t="shared" si="19"/>
        <v>|Cffbbbbbb属性：|r|n护甲+300|n生命值+7200000|n生命回复+180000|n|n|Cff00ff7f点击消耗30000金币进行强化|n成功率50%</v>
      </c>
      <c r="L88" s="28"/>
      <c r="M88" s="160" t="str">
        <f>VLOOKUP(LEFT(RIGHT(B88,5),4),物品!B:CU,20,FALSE)</f>
        <v>ReplaceableTextures\\CommandButtons\\BTNZ15.blp</v>
      </c>
      <c r="N88" s="181" t="s">
        <v>83</v>
      </c>
      <c r="O88" s="182" t="s">
        <v>84</v>
      </c>
      <c r="P88" s="28">
        <v>0</v>
      </c>
      <c r="Q88" s="28">
        <v>0</v>
      </c>
      <c r="R88" s="181" t="s">
        <v>83</v>
      </c>
      <c r="S88" s="181" t="s">
        <v>83</v>
      </c>
      <c r="T88" s="181" t="s">
        <v>83</v>
      </c>
      <c r="U88" s="181" t="s">
        <v>83</v>
      </c>
      <c r="V88" s="28">
        <v>3</v>
      </c>
      <c r="W88" s="28" t="s">
        <v>85</v>
      </c>
      <c r="X88" s="28">
        <v>0</v>
      </c>
      <c r="Y88" s="181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81" t="s">
        <v>83</v>
      </c>
      <c r="AF88" s="181" t="s">
        <v>83</v>
      </c>
      <c r="AG88" s="181" t="s">
        <v>83</v>
      </c>
      <c r="AH88" s="181" t="s">
        <v>83</v>
      </c>
      <c r="AI88" s="28"/>
      <c r="AJ88" s="28"/>
      <c r="AK88" s="28">
        <v>0</v>
      </c>
      <c r="AL88" s="28">
        <v>0</v>
      </c>
      <c r="AM88" s="181" t="s">
        <v>83</v>
      </c>
      <c r="AN88" s="28"/>
      <c r="AO88" s="28"/>
      <c r="AP88" s="28">
        <v>1</v>
      </c>
    </row>
    <row r="89" spans="1:42">
      <c r="A89" s="157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9" t="str">
        <f t="shared" si="18"/>
        <v>|CffFF0000[防具]九龙黄金甲lv2|r</v>
      </c>
      <c r="K89" s="159" t="str">
        <f t="shared" si="19"/>
        <v>|Cffbbbbbb属性：|r|n护甲+300|n生命值+8400000|n生命回复+210000|n|n|Cff00ff7f点击消耗30000金币进行强化|n成功率50%</v>
      </c>
      <c r="L89" s="28"/>
      <c r="M89" s="160" t="str">
        <f>VLOOKUP(LEFT(RIGHT(B89,5),4),物品!B:CU,20,FALSE)</f>
        <v>ReplaceableTextures\\CommandButtons\\BTNZ15.blp</v>
      </c>
      <c r="N89" s="181" t="s">
        <v>83</v>
      </c>
      <c r="O89" s="182" t="s">
        <v>84</v>
      </c>
      <c r="P89" s="28">
        <v>0</v>
      </c>
      <c r="Q89" s="28">
        <v>0</v>
      </c>
      <c r="R89" s="181" t="s">
        <v>83</v>
      </c>
      <c r="S89" s="181" t="s">
        <v>83</v>
      </c>
      <c r="T89" s="181" t="s">
        <v>83</v>
      </c>
      <c r="U89" s="181" t="s">
        <v>83</v>
      </c>
      <c r="V89" s="28">
        <v>3</v>
      </c>
      <c r="W89" s="28" t="s">
        <v>85</v>
      </c>
      <c r="X89" s="28">
        <v>0</v>
      </c>
      <c r="Y89" s="181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81" t="s">
        <v>83</v>
      </c>
      <c r="AF89" s="181" t="s">
        <v>83</v>
      </c>
      <c r="AG89" s="181" t="s">
        <v>83</v>
      </c>
      <c r="AH89" s="181" t="s">
        <v>83</v>
      </c>
      <c r="AI89" s="28"/>
      <c r="AJ89" s="28"/>
      <c r="AK89" s="28">
        <v>0</v>
      </c>
      <c r="AL89" s="28">
        <v>0</v>
      </c>
      <c r="AM89" s="181" t="s">
        <v>83</v>
      </c>
      <c r="AN89" s="28"/>
      <c r="AO89" s="28"/>
      <c r="AP89" s="28">
        <v>1</v>
      </c>
    </row>
    <row r="90" spans="1:42">
      <c r="A90" s="157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9" t="str">
        <f t="shared" si="18"/>
        <v>|CffFF0000[防具]九龙黄金甲lv3|r</v>
      </c>
      <c r="K90" s="159" t="str">
        <f t="shared" si="19"/>
        <v>|Cffbbbbbb属性：|r|n护甲+300|n生命值+9600000|n生命回复+240000|n|n|Cff00ff7f点击消耗30000金币进行强化|n成功率50%</v>
      </c>
      <c r="L90" s="28"/>
      <c r="M90" s="160" t="str">
        <f>VLOOKUP(LEFT(RIGHT(B90,5),4),物品!B:CU,20,FALSE)</f>
        <v>ReplaceableTextures\\CommandButtons\\BTNZ15.blp</v>
      </c>
      <c r="N90" s="181" t="s">
        <v>83</v>
      </c>
      <c r="O90" s="182" t="s">
        <v>84</v>
      </c>
      <c r="P90" s="28">
        <v>0</v>
      </c>
      <c r="Q90" s="28">
        <v>0</v>
      </c>
      <c r="R90" s="181" t="s">
        <v>83</v>
      </c>
      <c r="S90" s="181" t="s">
        <v>83</v>
      </c>
      <c r="T90" s="181" t="s">
        <v>83</v>
      </c>
      <c r="U90" s="181" t="s">
        <v>83</v>
      </c>
      <c r="V90" s="28">
        <v>3</v>
      </c>
      <c r="W90" s="28" t="s">
        <v>85</v>
      </c>
      <c r="X90" s="28">
        <v>0</v>
      </c>
      <c r="Y90" s="181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81" t="s">
        <v>83</v>
      </c>
      <c r="AF90" s="181" t="s">
        <v>83</v>
      </c>
      <c r="AG90" s="181" t="s">
        <v>83</v>
      </c>
      <c r="AH90" s="181" t="s">
        <v>83</v>
      </c>
      <c r="AI90" s="28"/>
      <c r="AJ90" s="28"/>
      <c r="AK90" s="28">
        <v>0</v>
      </c>
      <c r="AL90" s="28">
        <v>0</v>
      </c>
      <c r="AM90" s="181" t="s">
        <v>83</v>
      </c>
      <c r="AN90" s="28"/>
      <c r="AO90" s="28"/>
      <c r="AP90" s="28">
        <v>1</v>
      </c>
    </row>
    <row r="91" spans="1:42">
      <c r="A91" s="157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9" t="str">
        <f t="shared" si="18"/>
        <v>|CffFF0000[防具]九龙黄金甲lv4|r</v>
      </c>
      <c r="K91" s="159" t="str">
        <f t="shared" si="19"/>
        <v>|Cffbbbbbb属性：|r|n护甲+300|n生命值+10800000|n生命回复+270000|n|n|Cff00ff7f点击消耗30000金币进行强化|n成功率50%</v>
      </c>
      <c r="L91" s="28"/>
      <c r="M91" s="160" t="str">
        <f>VLOOKUP(LEFT(RIGHT(B91,5),4),物品!B:CU,20,FALSE)</f>
        <v>ReplaceableTextures\\CommandButtons\\BTNZ15.blp</v>
      </c>
      <c r="N91" s="181" t="s">
        <v>83</v>
      </c>
      <c r="O91" s="182" t="s">
        <v>84</v>
      </c>
      <c r="P91" s="28">
        <v>0</v>
      </c>
      <c r="Q91" s="28">
        <v>0</v>
      </c>
      <c r="R91" s="181" t="s">
        <v>83</v>
      </c>
      <c r="S91" s="181" t="s">
        <v>83</v>
      </c>
      <c r="T91" s="181" t="s">
        <v>83</v>
      </c>
      <c r="U91" s="181" t="s">
        <v>83</v>
      </c>
      <c r="V91" s="28">
        <v>3</v>
      </c>
      <c r="W91" s="28" t="s">
        <v>85</v>
      </c>
      <c r="X91" s="28">
        <v>0</v>
      </c>
      <c r="Y91" s="181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81" t="s">
        <v>83</v>
      </c>
      <c r="AF91" s="181" t="s">
        <v>83</v>
      </c>
      <c r="AG91" s="181" t="s">
        <v>83</v>
      </c>
      <c r="AH91" s="181" t="s">
        <v>83</v>
      </c>
      <c r="AI91" s="28"/>
      <c r="AJ91" s="28"/>
      <c r="AK91" s="28">
        <v>0</v>
      </c>
      <c r="AL91" s="28">
        <v>0</v>
      </c>
      <c r="AM91" s="181" t="s">
        <v>83</v>
      </c>
      <c r="AN91" s="28"/>
      <c r="AO91" s="28"/>
      <c r="AP91" s="28">
        <v>1</v>
      </c>
    </row>
    <row r="92" spans="1:42">
      <c r="A92" s="157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9" t="str">
        <f t="shared" si="18"/>
        <v>|CffFF0000[防具]九龙黄金甲lv5|r</v>
      </c>
      <c r="K92" s="159" t="str">
        <f t="shared" si="19"/>
        <v>|Cffbbbbbb属性：|r|n护甲+300|n生命值+12000000|n生命回复+300000|n</v>
      </c>
      <c r="L92" s="28"/>
      <c r="M92" s="160" t="str">
        <f>VLOOKUP(LEFT(RIGHT(B92,5),4),物品!B:CU,20,FALSE)</f>
        <v>ReplaceableTextures\\CommandButtons\\BTNZ15.blp</v>
      </c>
      <c r="N92" s="181" t="s">
        <v>83</v>
      </c>
      <c r="O92" s="182" t="s">
        <v>84</v>
      </c>
      <c r="P92" s="28">
        <v>0</v>
      </c>
      <c r="Q92" s="28">
        <v>0</v>
      </c>
      <c r="R92" s="181" t="s">
        <v>83</v>
      </c>
      <c r="S92" s="181" t="s">
        <v>83</v>
      </c>
      <c r="T92" s="181" t="s">
        <v>83</v>
      </c>
      <c r="U92" s="181" t="s">
        <v>83</v>
      </c>
      <c r="V92" s="28">
        <v>3</v>
      </c>
      <c r="W92" s="28" t="s">
        <v>85</v>
      </c>
      <c r="X92" s="28">
        <v>0</v>
      </c>
      <c r="Y92" s="181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81" t="s">
        <v>83</v>
      </c>
      <c r="AF92" s="181" t="s">
        <v>83</v>
      </c>
      <c r="AG92" s="181" t="s">
        <v>83</v>
      </c>
      <c r="AH92" s="181" t="s">
        <v>83</v>
      </c>
      <c r="AI92" s="28"/>
      <c r="AJ92" s="28"/>
      <c r="AK92" s="28">
        <v>0</v>
      </c>
      <c r="AL92" s="28">
        <v>0</v>
      </c>
      <c r="AM92" s="181" t="s">
        <v>83</v>
      </c>
      <c r="AN92" s="28"/>
      <c r="AO92" s="28"/>
      <c r="AP92" s="28"/>
    </row>
    <row r="93" spans="1:42">
      <c r="A93" s="157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9" t="str">
        <f t="shared" ref="J93" si="22">H93</f>
        <v>低级道果【1】</v>
      </c>
      <c r="K93" s="159" t="str">
        <f t="shared" ref="K93" si="23">I93</f>
        <v>|Cffbbbbbb属性：|r|n攻击+5000|n业力+4000|n生命值+100000|n生命回复+2000|n攻击伤害+9%|n技能伤害+8%|n</v>
      </c>
      <c r="L93" s="28"/>
      <c r="M93" s="160" t="str">
        <f>VLOOKUP(LEFT(RIGHT(B93,5),4),物品!B:CU,20,FALSE)</f>
        <v>ReplaceableTextures\\CommandButtons\\BTNOrbOfFrost.blp</v>
      </c>
      <c r="N93" s="181" t="s">
        <v>83</v>
      </c>
      <c r="O93" s="160" t="s">
        <v>87</v>
      </c>
      <c r="P93" s="28">
        <v>0</v>
      </c>
      <c r="Q93" s="28">
        <v>0</v>
      </c>
      <c r="R93" s="181" t="s">
        <v>83</v>
      </c>
      <c r="S93" s="181" t="s">
        <v>83</v>
      </c>
      <c r="T93" s="181" t="s">
        <v>83</v>
      </c>
      <c r="U93" s="181" t="s">
        <v>83</v>
      </c>
      <c r="V93" s="28"/>
      <c r="W93" s="28" t="s">
        <v>88</v>
      </c>
      <c r="X93" s="28">
        <v>0</v>
      </c>
      <c r="Y93" s="181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81" t="s">
        <v>83</v>
      </c>
      <c r="AF93" s="181" t="s">
        <v>83</v>
      </c>
      <c r="AG93" s="181" t="s">
        <v>83</v>
      </c>
      <c r="AH93" s="181" t="s">
        <v>83</v>
      </c>
      <c r="AI93" s="28">
        <v>1</v>
      </c>
      <c r="AJ93" s="28"/>
      <c r="AK93" s="28">
        <v>1</v>
      </c>
      <c r="AL93" s="28">
        <v>1</v>
      </c>
      <c r="AM93" s="181" t="s">
        <v>83</v>
      </c>
      <c r="AN93" s="28">
        <v>1</v>
      </c>
      <c r="AO93" s="28">
        <v>1</v>
      </c>
      <c r="AP93" s="28">
        <v>1</v>
      </c>
    </row>
    <row r="94" spans="1:42">
      <c r="A94" s="157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9" t="str">
        <f t="shared" ref="J94:J97" si="24">H94</f>
        <v>中级道果【2】</v>
      </c>
      <c r="K94" s="159" t="str">
        <f t="shared" ref="K94:K97" si="25">I94</f>
        <v>|Cffbbbbbb属性：|r|n攻击+7500|n业力+6000|n生命值+150000|n生命回复+3000|n攻击伤害+9%|n技能伤害+8%|n</v>
      </c>
      <c r="L94" s="28"/>
      <c r="M94" s="160" t="str">
        <f>VLOOKUP(LEFT(RIGHT(B94,5),4),物品!B:CU,20,FALSE)</f>
        <v>ReplaceableTextures\\CommandButtons\\BTNOrbOfVenom.blp</v>
      </c>
      <c r="N94" s="181" t="s">
        <v>83</v>
      </c>
      <c r="O94" s="160" t="s">
        <v>87</v>
      </c>
      <c r="P94" s="28">
        <v>0</v>
      </c>
      <c r="Q94" s="28">
        <v>0</v>
      </c>
      <c r="R94" s="181" t="s">
        <v>83</v>
      </c>
      <c r="S94" s="181" t="s">
        <v>83</v>
      </c>
      <c r="T94" s="181" t="s">
        <v>83</v>
      </c>
      <c r="U94" s="181" t="s">
        <v>83</v>
      </c>
      <c r="V94" s="28"/>
      <c r="W94" s="28" t="s">
        <v>88</v>
      </c>
      <c r="X94" s="28">
        <v>0</v>
      </c>
      <c r="Y94" s="181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81" t="s">
        <v>83</v>
      </c>
      <c r="AF94" s="181" t="s">
        <v>83</v>
      </c>
      <c r="AG94" s="181" t="s">
        <v>83</v>
      </c>
      <c r="AH94" s="181" t="s">
        <v>83</v>
      </c>
      <c r="AI94" s="28">
        <v>1</v>
      </c>
      <c r="AJ94" s="28"/>
      <c r="AK94" s="28">
        <v>1</v>
      </c>
      <c r="AL94" s="28">
        <v>1</v>
      </c>
      <c r="AM94" s="181" t="s">
        <v>83</v>
      </c>
      <c r="AN94" s="28">
        <v>1</v>
      </c>
      <c r="AO94" s="28">
        <v>1</v>
      </c>
      <c r="AP94" s="28">
        <v>1</v>
      </c>
    </row>
    <row r="95" spans="1:42">
      <c r="A95" s="157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9" t="str">
        <f t="shared" si="24"/>
        <v>|Cff00FF7F高级道果【3】|r</v>
      </c>
      <c r="K95" s="159" t="str">
        <f t="shared" si="25"/>
        <v>|Cffbbbbbb属性：|r|n攻击+12500|n业力+10000|n生命值+250000|n生命回复+5000|n攻击伤害+9%|n技能伤害+8%|n</v>
      </c>
      <c r="L95" s="28"/>
      <c r="M95" s="160" t="str">
        <f>VLOOKUP(LEFT(RIGHT(B95,5),4),物品!B:CU,20,FALSE)</f>
        <v>ReplaceableTextures\\CommandButtons\\BTNOrbOfCorruption.blp</v>
      </c>
      <c r="N95" s="181" t="s">
        <v>83</v>
      </c>
      <c r="O95" s="160" t="s">
        <v>89</v>
      </c>
      <c r="P95" s="28">
        <v>0</v>
      </c>
      <c r="Q95" s="28">
        <v>0</v>
      </c>
      <c r="R95" s="181" t="s">
        <v>83</v>
      </c>
      <c r="S95" s="181" t="s">
        <v>83</v>
      </c>
      <c r="T95" s="181" t="s">
        <v>83</v>
      </c>
      <c r="U95" s="181" t="s">
        <v>83</v>
      </c>
      <c r="V95" s="28"/>
      <c r="W95" s="28" t="s">
        <v>88</v>
      </c>
      <c r="X95" s="28">
        <v>0</v>
      </c>
      <c r="Y95" s="181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81" t="s">
        <v>83</v>
      </c>
      <c r="AF95" s="181" t="s">
        <v>83</v>
      </c>
      <c r="AG95" s="181" t="s">
        <v>83</v>
      </c>
      <c r="AH95" s="181" t="s">
        <v>83</v>
      </c>
      <c r="AI95" s="28">
        <v>1</v>
      </c>
      <c r="AJ95" s="28"/>
      <c r="AK95" s="28">
        <v>1</v>
      </c>
      <c r="AL95" s="28">
        <v>1</v>
      </c>
      <c r="AM95" s="181" t="s">
        <v>83</v>
      </c>
      <c r="AN95" s="28">
        <v>1</v>
      </c>
      <c r="AO95" s="28">
        <v>1</v>
      </c>
      <c r="AP95" s="28">
        <v>1</v>
      </c>
    </row>
    <row r="96" spans="1:42">
      <c r="A96" s="157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9" t="str">
        <f t="shared" si="24"/>
        <v>|Cff00FF7F黄级道果【4】|r</v>
      </c>
      <c r="K96" s="159" t="str">
        <f t="shared" si="25"/>
        <v>|Cffbbbbbb属性：|r|n攻击+21250|n业力+17000|n生命值+425000|n生命回复+8500|n攻击伤害+18%|n技能伤害+15%|n</v>
      </c>
      <c r="L96" s="28"/>
      <c r="M96" s="160" t="str">
        <f>VLOOKUP(LEFT(RIGHT(B96,5),4),物品!B:CU,20,FALSE)</f>
        <v>ReplaceableTextures\\CommandButtons\\BTNOrbOfFire.blp</v>
      </c>
      <c r="N96" s="181" t="s">
        <v>83</v>
      </c>
      <c r="O96" s="160" t="s">
        <v>89</v>
      </c>
      <c r="P96" s="28">
        <v>0</v>
      </c>
      <c r="Q96" s="28">
        <v>0</v>
      </c>
      <c r="R96" s="181" t="s">
        <v>83</v>
      </c>
      <c r="S96" s="181" t="s">
        <v>83</v>
      </c>
      <c r="T96" s="181" t="s">
        <v>83</v>
      </c>
      <c r="U96" s="181" t="s">
        <v>83</v>
      </c>
      <c r="V96" s="28"/>
      <c r="W96" s="28" t="s">
        <v>88</v>
      </c>
      <c r="X96" s="28">
        <v>0</v>
      </c>
      <c r="Y96" s="181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81" t="s">
        <v>83</v>
      </c>
      <c r="AF96" s="181" t="s">
        <v>83</v>
      </c>
      <c r="AG96" s="181" t="s">
        <v>83</v>
      </c>
      <c r="AH96" s="181" t="s">
        <v>83</v>
      </c>
      <c r="AI96" s="28">
        <v>1</v>
      </c>
      <c r="AJ96" s="28"/>
      <c r="AK96" s="28">
        <v>1</v>
      </c>
      <c r="AL96" s="28">
        <v>1</v>
      </c>
      <c r="AM96" s="181" t="s">
        <v>83</v>
      </c>
      <c r="AN96" s="28">
        <v>1</v>
      </c>
      <c r="AO96" s="28">
        <v>1</v>
      </c>
      <c r="AP96" s="28">
        <v>1</v>
      </c>
    </row>
    <row r="97" spans="1:42">
      <c r="A97" s="157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9" t="str">
        <f t="shared" si="24"/>
        <v>|Cff00BFFF玄级道果【5】|r</v>
      </c>
      <c r="K97" s="159" t="str">
        <f t="shared" si="25"/>
        <v>|Cffbbbbbb属性：|r|n攻击+33750|n业力+27000|n生命值+675000|n生命回复+13500|n攻击伤害+18%|n技能伤害+15%|n</v>
      </c>
      <c r="L97" s="28"/>
      <c r="M97" s="160" t="str">
        <f>VLOOKUP(LEFT(RIGHT(B97,5),4),物品!B:CU,20,FALSE)</f>
        <v>ReplaceableTextures\\CommandButtons\\BTNUsedSoulGem.blp</v>
      </c>
      <c r="N97" s="181" t="s">
        <v>83</v>
      </c>
      <c r="O97" s="160" t="s">
        <v>90</v>
      </c>
      <c r="P97" s="28">
        <v>0</v>
      </c>
      <c r="Q97" s="28">
        <v>0</v>
      </c>
      <c r="R97" s="181" t="s">
        <v>83</v>
      </c>
      <c r="S97" s="181" t="s">
        <v>83</v>
      </c>
      <c r="T97" s="181" t="s">
        <v>83</v>
      </c>
      <c r="U97" s="181" t="s">
        <v>83</v>
      </c>
      <c r="V97" s="28"/>
      <c r="W97" s="28" t="s">
        <v>88</v>
      </c>
      <c r="X97" s="28">
        <v>0</v>
      </c>
      <c r="Y97" s="181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81" t="s">
        <v>83</v>
      </c>
      <c r="AF97" s="181" t="s">
        <v>83</v>
      </c>
      <c r="AG97" s="181" t="s">
        <v>83</v>
      </c>
      <c r="AH97" s="181" t="s">
        <v>83</v>
      </c>
      <c r="AI97" s="28">
        <v>1</v>
      </c>
      <c r="AJ97" s="28"/>
      <c r="AK97" s="28">
        <v>1</v>
      </c>
      <c r="AL97" s="28">
        <v>1</v>
      </c>
      <c r="AM97" s="181" t="s">
        <v>83</v>
      </c>
      <c r="AN97" s="28">
        <v>1</v>
      </c>
      <c r="AO97" s="28">
        <v>1</v>
      </c>
      <c r="AP97" s="28">
        <v>1</v>
      </c>
    </row>
    <row r="98" spans="1:42">
      <c r="A98" s="157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9" t="str">
        <f t="shared" ref="J98:J127" si="26">H98</f>
        <v>|Cff00BFFF地级道果【6】|r</v>
      </c>
      <c r="K98" s="159" t="str">
        <f t="shared" ref="K98:K127" si="27">I98</f>
        <v>|Cffbbbbbb属性：|r|n攻击+50000|n业力+40000|n生命值+1000000|n生命回复+20000|n攻击伤害+18%|n技能伤害+15%|n</v>
      </c>
      <c r="L98" s="28"/>
      <c r="M98" s="160" t="str">
        <f>VLOOKUP(LEFT(RIGHT(B98,5),4),物品!B:CU,20,FALSE)</f>
        <v>ReplaceableTextures\\CommandButtons\\BTNOrbofSlowness.blp</v>
      </c>
      <c r="N98" s="181" t="s">
        <v>83</v>
      </c>
      <c r="O98" s="160" t="s">
        <v>90</v>
      </c>
      <c r="P98" s="28">
        <v>0</v>
      </c>
      <c r="Q98" s="28">
        <v>0</v>
      </c>
      <c r="R98" s="181" t="s">
        <v>83</v>
      </c>
      <c r="S98" s="181" t="s">
        <v>83</v>
      </c>
      <c r="T98" s="181" t="s">
        <v>83</v>
      </c>
      <c r="U98" s="181" t="s">
        <v>83</v>
      </c>
      <c r="V98" s="28"/>
      <c r="W98" s="28" t="s">
        <v>88</v>
      </c>
      <c r="X98" s="28">
        <v>0</v>
      </c>
      <c r="Y98" s="181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81" t="s">
        <v>83</v>
      </c>
      <c r="AF98" s="181" t="s">
        <v>83</v>
      </c>
      <c r="AG98" s="181" t="s">
        <v>83</v>
      </c>
      <c r="AH98" s="181" t="s">
        <v>83</v>
      </c>
      <c r="AI98" s="28">
        <v>1</v>
      </c>
      <c r="AJ98" s="28"/>
      <c r="AK98" s="28">
        <v>1</v>
      </c>
      <c r="AL98" s="28">
        <v>1</v>
      </c>
      <c r="AM98" s="181" t="s">
        <v>83</v>
      </c>
      <c r="AN98" s="28">
        <v>1</v>
      </c>
      <c r="AO98" s="28">
        <v>1</v>
      </c>
      <c r="AP98" s="28">
        <v>1</v>
      </c>
    </row>
    <row r="99" spans="1:42">
      <c r="A99" s="157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9" t="str">
        <f t="shared" si="26"/>
        <v>|CffFFC926天级道果【7】|r</v>
      </c>
      <c r="K99" s="159" t="str">
        <f t="shared" si="27"/>
        <v>|Cffbbbbbb属性：|r|n攻击+72500|n业力+58000|n生命值+1450000|n生命回复+29000|n攻击伤害+24%|n技能伤害+20%|n</v>
      </c>
      <c r="L99" s="28"/>
      <c r="M99" s="160" t="str">
        <f>VLOOKUP(LEFT(RIGHT(B99,5),4),物品!B:CU,20,FALSE)</f>
        <v>ReplaceableTextures\\CommandButtons\\BTNOrbOfLightning.blp</v>
      </c>
      <c r="N99" s="181" t="s">
        <v>83</v>
      </c>
      <c r="O99" s="160" t="s">
        <v>91</v>
      </c>
      <c r="P99" s="28">
        <v>0</v>
      </c>
      <c r="Q99" s="28">
        <v>0</v>
      </c>
      <c r="R99" s="181" t="s">
        <v>83</v>
      </c>
      <c r="S99" s="181" t="s">
        <v>83</v>
      </c>
      <c r="T99" s="181" t="s">
        <v>83</v>
      </c>
      <c r="U99" s="181" t="s">
        <v>83</v>
      </c>
      <c r="V99" s="28"/>
      <c r="W99" s="28" t="s">
        <v>88</v>
      </c>
      <c r="X99" s="28">
        <v>0</v>
      </c>
      <c r="Y99" s="181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81" t="s">
        <v>83</v>
      </c>
      <c r="AF99" s="181" t="s">
        <v>83</v>
      </c>
      <c r="AG99" s="181" t="s">
        <v>83</v>
      </c>
      <c r="AH99" s="181" t="s">
        <v>83</v>
      </c>
      <c r="AI99" s="28">
        <v>1</v>
      </c>
      <c r="AJ99" s="28"/>
      <c r="AK99" s="28">
        <v>1</v>
      </c>
      <c r="AL99" s="28">
        <v>1</v>
      </c>
      <c r="AM99" s="181" t="s">
        <v>83</v>
      </c>
      <c r="AN99" s="28">
        <v>1</v>
      </c>
      <c r="AO99" s="28">
        <v>1</v>
      </c>
      <c r="AP99" s="28">
        <v>1</v>
      </c>
    </row>
    <row r="100" spans="1:42">
      <c r="A100" s="157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9" t="str">
        <f t="shared" si="26"/>
        <v>|CffFFC926仙品道果【8】|r</v>
      </c>
      <c r="K100" s="159" t="str">
        <f t="shared" si="27"/>
        <v>|Cffbbbbbb属性：|r|n攻击+102500|n业力+82000|n生命值+2050000|n生命回复+41000|n攻击伤害+24%|n技能伤害+20%|n</v>
      </c>
      <c r="L100" s="28"/>
      <c r="M100" s="160" t="str">
        <f>VLOOKUP(LEFT(RIGHT(B100,5),4),物品!B:CU,20,FALSE)</f>
        <v>ReplaceableTextures\\CommandButtons\\BTNHeartOfAszune.blp</v>
      </c>
      <c r="N100" s="181" t="s">
        <v>83</v>
      </c>
      <c r="O100" s="160" t="s">
        <v>91</v>
      </c>
      <c r="P100" s="28">
        <v>0</v>
      </c>
      <c r="Q100" s="28">
        <v>0</v>
      </c>
      <c r="R100" s="181" t="s">
        <v>83</v>
      </c>
      <c r="S100" s="181" t="s">
        <v>83</v>
      </c>
      <c r="T100" s="181" t="s">
        <v>83</v>
      </c>
      <c r="U100" s="181" t="s">
        <v>83</v>
      </c>
      <c r="V100" s="28"/>
      <c r="W100" s="28" t="s">
        <v>88</v>
      </c>
      <c r="X100" s="28">
        <v>0</v>
      </c>
      <c r="Y100" s="181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81" t="s">
        <v>83</v>
      </c>
      <c r="AF100" s="181" t="s">
        <v>83</v>
      </c>
      <c r="AG100" s="181" t="s">
        <v>83</v>
      </c>
      <c r="AH100" s="181" t="s">
        <v>83</v>
      </c>
      <c r="AI100" s="28">
        <v>1</v>
      </c>
      <c r="AJ100" s="28"/>
      <c r="AK100" s="28">
        <v>1</v>
      </c>
      <c r="AL100" s="28">
        <v>1</v>
      </c>
      <c r="AM100" s="181" t="s">
        <v>83</v>
      </c>
      <c r="AN100" s="28">
        <v>1</v>
      </c>
      <c r="AO100" s="28">
        <v>1</v>
      </c>
      <c r="AP100" s="28">
        <v>1</v>
      </c>
    </row>
    <row r="101" spans="1:42">
      <c r="A101" s="157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9" t="str">
        <f t="shared" si="26"/>
        <v>|CffFF0000至圣道果【9】|r</v>
      </c>
      <c r="K101" s="159" t="str">
        <f t="shared" si="27"/>
        <v>|Cffbbbbbb属性：|r|n攻击+141250|n业力+113000|n生命值+2825000|n生命回复+56500|n攻击伤害+24%|n技能伤害+20%|n</v>
      </c>
      <c r="L101" s="28"/>
      <c r="M101" s="160" t="str">
        <f>VLOOKUP(LEFT(RIGHT(B101,5),4),物品!B:CU,20,FALSE)</f>
        <v>ReplaceableTextures\\CommandButtons\\BTNPhilosophersStone.blp</v>
      </c>
      <c r="N101" s="181" t="s">
        <v>83</v>
      </c>
      <c r="O101" s="160" t="s">
        <v>92</v>
      </c>
      <c r="P101" s="28">
        <v>0</v>
      </c>
      <c r="Q101" s="28">
        <v>0</v>
      </c>
      <c r="R101" s="181" t="s">
        <v>83</v>
      </c>
      <c r="S101" s="181" t="s">
        <v>83</v>
      </c>
      <c r="T101" s="181" t="s">
        <v>83</v>
      </c>
      <c r="U101" s="181" t="s">
        <v>83</v>
      </c>
      <c r="V101" s="28"/>
      <c r="W101" s="28" t="s">
        <v>88</v>
      </c>
      <c r="X101" s="28">
        <v>0</v>
      </c>
      <c r="Y101" s="181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81" t="s">
        <v>83</v>
      </c>
      <c r="AF101" s="181" t="s">
        <v>83</v>
      </c>
      <c r="AG101" s="181" t="s">
        <v>83</v>
      </c>
      <c r="AH101" s="181" t="s">
        <v>83</v>
      </c>
      <c r="AI101" s="28">
        <v>1</v>
      </c>
      <c r="AJ101" s="28"/>
      <c r="AK101" s="28">
        <v>1</v>
      </c>
      <c r="AL101" s="28">
        <v>1</v>
      </c>
      <c r="AM101" s="181" t="s">
        <v>83</v>
      </c>
      <c r="AN101" s="28">
        <v>1</v>
      </c>
      <c r="AO101" s="28">
        <v>1</v>
      </c>
      <c r="AP101" s="28">
        <v>1</v>
      </c>
    </row>
    <row r="102" spans="1:42">
      <c r="A102" s="157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9" t="str">
        <f t="shared" si="26"/>
        <v>|CffFF0000混沌道果【10】|r</v>
      </c>
      <c r="K102" s="159" t="str">
        <f t="shared" si="27"/>
        <v>|Cffbbbbbb属性：|r|n攻击+191250|n业力+153000|n生命值+3825000|n生命回复+76500|n攻击伤害+36%|n技能伤害+30%|n</v>
      </c>
      <c r="L102" s="28"/>
      <c r="M102" s="160" t="str">
        <f>VLOOKUP(LEFT(RIGHT(B102,5),4),物品!B:CU,20,FALSE)</f>
        <v>ReplaceableTextures\\CommandButtons\\BTNOrbOfDarkness.blp</v>
      </c>
      <c r="N102" s="181" t="s">
        <v>83</v>
      </c>
      <c r="O102" s="160" t="s">
        <v>92</v>
      </c>
      <c r="P102" s="28">
        <v>0</v>
      </c>
      <c r="Q102" s="28">
        <v>0</v>
      </c>
      <c r="R102" s="181" t="s">
        <v>83</v>
      </c>
      <c r="S102" s="181" t="s">
        <v>83</v>
      </c>
      <c r="T102" s="181" t="s">
        <v>83</v>
      </c>
      <c r="U102" s="181" t="s">
        <v>83</v>
      </c>
      <c r="V102" s="28"/>
      <c r="W102" s="28" t="s">
        <v>88</v>
      </c>
      <c r="X102" s="28">
        <v>0</v>
      </c>
      <c r="Y102" s="181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81" t="s">
        <v>83</v>
      </c>
      <c r="AF102" s="181" t="s">
        <v>83</v>
      </c>
      <c r="AG102" s="181" t="s">
        <v>83</v>
      </c>
      <c r="AH102" s="181" t="s">
        <v>83</v>
      </c>
      <c r="AI102" s="28">
        <v>1</v>
      </c>
      <c r="AJ102" s="28"/>
      <c r="AK102" s="28">
        <v>1</v>
      </c>
      <c r="AL102" s="28">
        <v>1</v>
      </c>
      <c r="AM102" s="181" t="s">
        <v>83</v>
      </c>
      <c r="AN102" s="28">
        <v>1</v>
      </c>
      <c r="AO102" s="28">
        <v>1</v>
      </c>
      <c r="AP102" s="28">
        <v>1</v>
      </c>
    </row>
    <row r="103" spans="1:42">
      <c r="A103" s="157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9" t="str">
        <f t="shared" ref="J103:J112" si="28">H103</f>
        <v>完美的低级道果【1】</v>
      </c>
      <c r="K103" s="159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60" t="str">
        <f>VLOOKUP(LEFT(RIGHT(B103,5),4),物品!B:CU,20,FALSE)</f>
        <v>ReplaceableTextures\\CommandButtons\\BTNDG11.blp</v>
      </c>
      <c r="N103" s="181" t="s">
        <v>83</v>
      </c>
      <c r="O103" s="160" t="s">
        <v>87</v>
      </c>
      <c r="P103" s="28">
        <v>0</v>
      </c>
      <c r="Q103" s="28">
        <v>0</v>
      </c>
      <c r="R103" s="181" t="s">
        <v>83</v>
      </c>
      <c r="S103" s="181" t="s">
        <v>83</v>
      </c>
      <c r="T103" s="181" t="s">
        <v>83</v>
      </c>
      <c r="U103" s="181" t="s">
        <v>83</v>
      </c>
      <c r="V103" s="28"/>
      <c r="W103" s="28" t="s">
        <v>93</v>
      </c>
      <c r="X103" s="28">
        <v>0</v>
      </c>
      <c r="Y103" s="181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81" t="s">
        <v>83</v>
      </c>
      <c r="AF103" s="181" t="s">
        <v>83</v>
      </c>
      <c r="AG103" s="181" t="s">
        <v>83</v>
      </c>
      <c r="AH103" s="181" t="s">
        <v>83</v>
      </c>
      <c r="AI103" s="28"/>
      <c r="AJ103" s="28"/>
      <c r="AK103" s="28">
        <v>1</v>
      </c>
      <c r="AL103" s="28">
        <v>1</v>
      </c>
      <c r="AM103" s="181" t="s">
        <v>83</v>
      </c>
      <c r="AN103" s="28">
        <v>1</v>
      </c>
      <c r="AO103" s="28">
        <v>1</v>
      </c>
      <c r="AP103" s="28">
        <v>1</v>
      </c>
    </row>
    <row r="104" spans="1:42">
      <c r="A104" s="157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9" t="str">
        <f t="shared" si="28"/>
        <v>完美的中级道果【2】</v>
      </c>
      <c r="K104" s="159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60" t="str">
        <f>VLOOKUP(LEFT(RIGHT(B104,5),4),物品!B:CU,20,FALSE)</f>
        <v>ReplaceableTextures\\CommandButtons\\BTNDG12.blp</v>
      </c>
      <c r="N104" s="181" t="s">
        <v>83</v>
      </c>
      <c r="O104" s="160" t="s">
        <v>87</v>
      </c>
      <c r="P104" s="28">
        <v>0</v>
      </c>
      <c r="Q104" s="28">
        <v>0</v>
      </c>
      <c r="R104" s="181" t="s">
        <v>83</v>
      </c>
      <c r="S104" s="181" t="s">
        <v>83</v>
      </c>
      <c r="T104" s="181" t="s">
        <v>83</v>
      </c>
      <c r="U104" s="181" t="s">
        <v>83</v>
      </c>
      <c r="V104" s="28"/>
      <c r="W104" s="28" t="s">
        <v>93</v>
      </c>
      <c r="X104" s="28">
        <v>0</v>
      </c>
      <c r="Y104" s="181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81" t="s">
        <v>83</v>
      </c>
      <c r="AF104" s="181" t="s">
        <v>83</v>
      </c>
      <c r="AG104" s="181" t="s">
        <v>83</v>
      </c>
      <c r="AH104" s="181" t="s">
        <v>83</v>
      </c>
      <c r="AI104" s="28"/>
      <c r="AJ104" s="28"/>
      <c r="AK104" s="28">
        <v>1</v>
      </c>
      <c r="AL104" s="28">
        <v>1</v>
      </c>
      <c r="AM104" s="181" t="s">
        <v>83</v>
      </c>
      <c r="AN104" s="28">
        <v>1</v>
      </c>
      <c r="AO104" s="28">
        <v>1</v>
      </c>
      <c r="AP104" s="28">
        <v>1</v>
      </c>
    </row>
    <row r="105" spans="1:42">
      <c r="A105" s="157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9" t="str">
        <f t="shared" si="28"/>
        <v>|Cff00FF7F完美的高级道果【3】|r</v>
      </c>
      <c r="K105" s="159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60" t="str">
        <f>VLOOKUP(LEFT(RIGHT(B105,5),4),物品!B:CU,20,FALSE)</f>
        <v>ReplaceableTextures\\CommandButtons\\BTNDG13.blp</v>
      </c>
      <c r="N105" s="181" t="s">
        <v>83</v>
      </c>
      <c r="O105" s="160" t="s">
        <v>89</v>
      </c>
      <c r="P105" s="28">
        <v>0</v>
      </c>
      <c r="Q105" s="28">
        <v>0</v>
      </c>
      <c r="R105" s="181" t="s">
        <v>83</v>
      </c>
      <c r="S105" s="181" t="s">
        <v>83</v>
      </c>
      <c r="T105" s="181" t="s">
        <v>83</v>
      </c>
      <c r="U105" s="181" t="s">
        <v>83</v>
      </c>
      <c r="V105" s="28"/>
      <c r="W105" s="28" t="s">
        <v>93</v>
      </c>
      <c r="X105" s="28">
        <v>0</v>
      </c>
      <c r="Y105" s="181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81" t="s">
        <v>83</v>
      </c>
      <c r="AF105" s="181" t="s">
        <v>83</v>
      </c>
      <c r="AG105" s="181" t="s">
        <v>83</v>
      </c>
      <c r="AH105" s="181" t="s">
        <v>83</v>
      </c>
      <c r="AI105" s="28"/>
      <c r="AJ105" s="28"/>
      <c r="AK105" s="28">
        <v>1</v>
      </c>
      <c r="AL105" s="28">
        <v>1</v>
      </c>
      <c r="AM105" s="181" t="s">
        <v>83</v>
      </c>
      <c r="AN105" s="28">
        <v>1</v>
      </c>
      <c r="AO105" s="28">
        <v>1</v>
      </c>
      <c r="AP105" s="28">
        <v>1</v>
      </c>
    </row>
    <row r="106" spans="1:42">
      <c r="A106" s="157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9" t="str">
        <f t="shared" si="28"/>
        <v>|Cff00FF7F完美的黄级道果【4】|r</v>
      </c>
      <c r="K106" s="159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60" t="str">
        <f>VLOOKUP(LEFT(RIGHT(B106,5),4),物品!B:CU,20,FALSE)</f>
        <v>ReplaceableTextures\\CommandButtons\\BTNDG14.blp</v>
      </c>
      <c r="N106" s="181" t="s">
        <v>83</v>
      </c>
      <c r="O106" s="160" t="s">
        <v>89</v>
      </c>
      <c r="P106" s="28">
        <v>0</v>
      </c>
      <c r="Q106" s="28">
        <v>0</v>
      </c>
      <c r="R106" s="181" t="s">
        <v>83</v>
      </c>
      <c r="S106" s="181" t="s">
        <v>83</v>
      </c>
      <c r="T106" s="181" t="s">
        <v>83</v>
      </c>
      <c r="U106" s="181" t="s">
        <v>83</v>
      </c>
      <c r="V106" s="28"/>
      <c r="W106" s="28" t="s">
        <v>93</v>
      </c>
      <c r="X106" s="28">
        <v>0</v>
      </c>
      <c r="Y106" s="181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81" t="s">
        <v>83</v>
      </c>
      <c r="AF106" s="181" t="s">
        <v>83</v>
      </c>
      <c r="AG106" s="181" t="s">
        <v>83</v>
      </c>
      <c r="AH106" s="181" t="s">
        <v>83</v>
      </c>
      <c r="AI106" s="28"/>
      <c r="AJ106" s="28"/>
      <c r="AK106" s="28">
        <v>1</v>
      </c>
      <c r="AL106" s="28">
        <v>1</v>
      </c>
      <c r="AM106" s="181" t="s">
        <v>83</v>
      </c>
      <c r="AN106" s="28">
        <v>1</v>
      </c>
      <c r="AO106" s="28">
        <v>1</v>
      </c>
      <c r="AP106" s="28">
        <v>1</v>
      </c>
    </row>
    <row r="107" spans="1:42">
      <c r="A107" s="157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9" t="str">
        <f t="shared" si="28"/>
        <v>|Cff00BFFF完美的玄级道果【5】|r</v>
      </c>
      <c r="K107" s="159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60" t="str">
        <f>VLOOKUP(LEFT(RIGHT(B107,5),4),物品!B:CU,20,FALSE)</f>
        <v>ReplaceableTextures\\CommandButtons\\BTNDG15.blp</v>
      </c>
      <c r="N107" s="181" t="s">
        <v>83</v>
      </c>
      <c r="O107" s="160" t="s">
        <v>90</v>
      </c>
      <c r="P107" s="28">
        <v>0</v>
      </c>
      <c r="Q107" s="28">
        <v>0</v>
      </c>
      <c r="R107" s="181" t="s">
        <v>83</v>
      </c>
      <c r="S107" s="181" t="s">
        <v>83</v>
      </c>
      <c r="T107" s="181" t="s">
        <v>83</v>
      </c>
      <c r="U107" s="181" t="s">
        <v>83</v>
      </c>
      <c r="V107" s="28"/>
      <c r="W107" s="28" t="s">
        <v>93</v>
      </c>
      <c r="X107" s="28">
        <v>0</v>
      </c>
      <c r="Y107" s="181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81" t="s">
        <v>83</v>
      </c>
      <c r="AF107" s="181" t="s">
        <v>83</v>
      </c>
      <c r="AG107" s="181" t="s">
        <v>83</v>
      </c>
      <c r="AH107" s="181" t="s">
        <v>83</v>
      </c>
      <c r="AI107" s="28"/>
      <c r="AJ107" s="28"/>
      <c r="AK107" s="28">
        <v>1</v>
      </c>
      <c r="AL107" s="28">
        <v>1</v>
      </c>
      <c r="AM107" s="181" t="s">
        <v>83</v>
      </c>
      <c r="AN107" s="28">
        <v>1</v>
      </c>
      <c r="AO107" s="28">
        <v>1</v>
      </c>
      <c r="AP107" s="28">
        <v>1</v>
      </c>
    </row>
    <row r="108" spans="1:42">
      <c r="A108" s="157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9" t="str">
        <f t="shared" si="28"/>
        <v>|Cff00BFFF完美的地级道果【6】|r</v>
      </c>
      <c r="K108" s="159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60" t="str">
        <f>VLOOKUP(LEFT(RIGHT(B108,5),4),物品!B:CU,20,FALSE)</f>
        <v>ReplaceableTextures\\CommandButtons\\BTNDG16.blp</v>
      </c>
      <c r="N108" s="181" t="s">
        <v>83</v>
      </c>
      <c r="O108" s="160" t="s">
        <v>90</v>
      </c>
      <c r="P108" s="28">
        <v>0</v>
      </c>
      <c r="Q108" s="28">
        <v>0</v>
      </c>
      <c r="R108" s="181" t="s">
        <v>83</v>
      </c>
      <c r="S108" s="181" t="s">
        <v>83</v>
      </c>
      <c r="T108" s="181" t="s">
        <v>83</v>
      </c>
      <c r="U108" s="181" t="s">
        <v>83</v>
      </c>
      <c r="V108" s="28"/>
      <c r="W108" s="28" t="s">
        <v>93</v>
      </c>
      <c r="X108" s="28">
        <v>0</v>
      </c>
      <c r="Y108" s="181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81" t="s">
        <v>83</v>
      </c>
      <c r="AF108" s="181" t="s">
        <v>83</v>
      </c>
      <c r="AG108" s="181" t="s">
        <v>83</v>
      </c>
      <c r="AH108" s="181" t="s">
        <v>83</v>
      </c>
      <c r="AI108" s="28"/>
      <c r="AJ108" s="28"/>
      <c r="AK108" s="28">
        <v>1</v>
      </c>
      <c r="AL108" s="28">
        <v>1</v>
      </c>
      <c r="AM108" s="181" t="s">
        <v>83</v>
      </c>
      <c r="AN108" s="28">
        <v>1</v>
      </c>
      <c r="AO108" s="28">
        <v>1</v>
      </c>
      <c r="AP108" s="28">
        <v>1</v>
      </c>
    </row>
    <row r="109" spans="1:42">
      <c r="A109" s="157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9" t="str">
        <f t="shared" si="28"/>
        <v>|CffFFC926完美的天级道果【7】|r</v>
      </c>
      <c r="K109" s="159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60" t="str">
        <f>VLOOKUP(LEFT(RIGHT(B109,5),4),物品!B:CU,20,FALSE)</f>
        <v>ReplaceableTextures\\CommandButtons\\BTNDG17.blp</v>
      </c>
      <c r="N109" s="181" t="s">
        <v>83</v>
      </c>
      <c r="O109" s="160" t="s">
        <v>91</v>
      </c>
      <c r="P109" s="28">
        <v>0</v>
      </c>
      <c r="Q109" s="28">
        <v>0</v>
      </c>
      <c r="R109" s="181" t="s">
        <v>83</v>
      </c>
      <c r="S109" s="181" t="s">
        <v>83</v>
      </c>
      <c r="T109" s="181" t="s">
        <v>83</v>
      </c>
      <c r="U109" s="181" t="s">
        <v>83</v>
      </c>
      <c r="V109" s="28"/>
      <c r="W109" s="28" t="s">
        <v>93</v>
      </c>
      <c r="X109" s="28">
        <v>0</v>
      </c>
      <c r="Y109" s="181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81" t="s">
        <v>83</v>
      </c>
      <c r="AF109" s="181" t="s">
        <v>83</v>
      </c>
      <c r="AG109" s="181" t="s">
        <v>83</v>
      </c>
      <c r="AH109" s="181" t="s">
        <v>83</v>
      </c>
      <c r="AI109" s="28"/>
      <c r="AJ109" s="28"/>
      <c r="AK109" s="28">
        <v>1</v>
      </c>
      <c r="AL109" s="28">
        <v>1</v>
      </c>
      <c r="AM109" s="181" t="s">
        <v>83</v>
      </c>
      <c r="AN109" s="28">
        <v>1</v>
      </c>
      <c r="AO109" s="28">
        <v>1</v>
      </c>
      <c r="AP109" s="28">
        <v>1</v>
      </c>
    </row>
    <row r="110" spans="1:42">
      <c r="A110" s="157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9" t="str">
        <f t="shared" si="28"/>
        <v>|CffFFC926完美的仙品道果【8】|r</v>
      </c>
      <c r="K110" s="159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60" t="str">
        <f>VLOOKUP(LEFT(RIGHT(B110,5),4),物品!B:CU,20,FALSE)</f>
        <v>ReplaceableTextures\\CommandButtons\\BTNDG18.blp</v>
      </c>
      <c r="N110" s="181" t="s">
        <v>83</v>
      </c>
      <c r="O110" s="160" t="s">
        <v>91</v>
      </c>
      <c r="P110" s="28">
        <v>0</v>
      </c>
      <c r="Q110" s="28">
        <v>0</v>
      </c>
      <c r="R110" s="181" t="s">
        <v>83</v>
      </c>
      <c r="S110" s="181" t="s">
        <v>83</v>
      </c>
      <c r="T110" s="181" t="s">
        <v>83</v>
      </c>
      <c r="U110" s="181" t="s">
        <v>83</v>
      </c>
      <c r="V110" s="28"/>
      <c r="W110" s="28" t="s">
        <v>93</v>
      </c>
      <c r="X110" s="28">
        <v>0</v>
      </c>
      <c r="Y110" s="181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81" t="s">
        <v>83</v>
      </c>
      <c r="AF110" s="181" t="s">
        <v>83</v>
      </c>
      <c r="AG110" s="181" t="s">
        <v>83</v>
      </c>
      <c r="AH110" s="181" t="s">
        <v>83</v>
      </c>
      <c r="AI110" s="28"/>
      <c r="AJ110" s="28"/>
      <c r="AK110" s="28">
        <v>1</v>
      </c>
      <c r="AL110" s="28">
        <v>1</v>
      </c>
      <c r="AM110" s="181" t="s">
        <v>83</v>
      </c>
      <c r="AN110" s="28">
        <v>1</v>
      </c>
      <c r="AO110" s="28">
        <v>1</v>
      </c>
      <c r="AP110" s="28">
        <v>1</v>
      </c>
    </row>
    <row r="111" spans="1:42">
      <c r="A111" s="157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9" t="str">
        <f t="shared" si="28"/>
        <v>|CffFF0000完美的至圣道果【9】|r</v>
      </c>
      <c r="K111" s="159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60" t="str">
        <f>VLOOKUP(LEFT(RIGHT(B111,5),4),物品!B:CU,20,FALSE)</f>
        <v>ReplaceableTextures\\CommandButtons\\BTNDG19.blp</v>
      </c>
      <c r="N111" s="181" t="s">
        <v>83</v>
      </c>
      <c r="O111" s="160" t="s">
        <v>92</v>
      </c>
      <c r="P111" s="28">
        <v>0</v>
      </c>
      <c r="Q111" s="28">
        <v>0</v>
      </c>
      <c r="R111" s="181" t="s">
        <v>83</v>
      </c>
      <c r="S111" s="181" t="s">
        <v>83</v>
      </c>
      <c r="T111" s="181" t="s">
        <v>83</v>
      </c>
      <c r="U111" s="181" t="s">
        <v>83</v>
      </c>
      <c r="V111" s="28"/>
      <c r="W111" s="28" t="s">
        <v>93</v>
      </c>
      <c r="X111" s="28">
        <v>0</v>
      </c>
      <c r="Y111" s="181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81" t="s">
        <v>83</v>
      </c>
      <c r="AF111" s="181" t="s">
        <v>83</v>
      </c>
      <c r="AG111" s="181" t="s">
        <v>83</v>
      </c>
      <c r="AH111" s="181" t="s">
        <v>83</v>
      </c>
      <c r="AI111" s="28"/>
      <c r="AJ111" s="28"/>
      <c r="AK111" s="28">
        <v>1</v>
      </c>
      <c r="AL111" s="28">
        <v>1</v>
      </c>
      <c r="AM111" s="181" t="s">
        <v>83</v>
      </c>
      <c r="AN111" s="28">
        <v>1</v>
      </c>
      <c r="AO111" s="28">
        <v>1</v>
      </c>
      <c r="AP111" s="28">
        <v>1</v>
      </c>
    </row>
    <row r="112" spans="1:42">
      <c r="A112" s="157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9" t="str">
        <f t="shared" si="28"/>
        <v>|CffFF0000完美的混沌道果【10】|r</v>
      </c>
      <c r="K112" s="159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60" t="str">
        <f>VLOOKUP(LEFT(RIGHT(B112,5),4),物品!B:CU,20,FALSE)</f>
        <v>ReplaceableTextures\\CommandButtons\\BTNDG20.blp</v>
      </c>
      <c r="N112" s="181" t="s">
        <v>83</v>
      </c>
      <c r="O112" s="160" t="s">
        <v>92</v>
      </c>
      <c r="P112" s="28">
        <v>0</v>
      </c>
      <c r="Q112" s="28">
        <v>0</v>
      </c>
      <c r="R112" s="181" t="s">
        <v>83</v>
      </c>
      <c r="S112" s="181" t="s">
        <v>83</v>
      </c>
      <c r="T112" s="181" t="s">
        <v>83</v>
      </c>
      <c r="U112" s="181" t="s">
        <v>83</v>
      </c>
      <c r="V112" s="28"/>
      <c r="W112" s="28" t="s">
        <v>93</v>
      </c>
      <c r="X112" s="28">
        <v>0</v>
      </c>
      <c r="Y112" s="181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81" t="s">
        <v>83</v>
      </c>
      <c r="AF112" s="181" t="s">
        <v>83</v>
      </c>
      <c r="AG112" s="181" t="s">
        <v>83</v>
      </c>
      <c r="AH112" s="181" t="s">
        <v>83</v>
      </c>
      <c r="AI112" s="28"/>
      <c r="AJ112" s="28"/>
      <c r="AK112" s="28">
        <v>1</v>
      </c>
      <c r="AL112" s="28">
        <v>1</v>
      </c>
      <c r="AM112" s="181" t="s">
        <v>83</v>
      </c>
      <c r="AN112" s="28">
        <v>1</v>
      </c>
      <c r="AO112" s="28">
        <v>1</v>
      </c>
      <c r="AP112" s="28">
        <v>1</v>
      </c>
    </row>
    <row r="113" spans="1:42">
      <c r="A113" s="157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残缺的低级道果【1】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9" t="str">
        <f t="shared" si="26"/>
        <v>残缺的低级道果【1】</v>
      </c>
      <c r="K113" s="159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60" t="str">
        <f>VLOOKUP(LEFT(RIGHT(B113,5),4),物品!B:CU,20,FALSE)</f>
        <v>ReplaceableTextures\\CommandButtons\\BTNDG01.blp</v>
      </c>
      <c r="N113" s="181" t="s">
        <v>83</v>
      </c>
      <c r="O113" s="160" t="s">
        <v>87</v>
      </c>
      <c r="P113" s="28">
        <v>0</v>
      </c>
      <c r="Q113" s="28">
        <v>0</v>
      </c>
      <c r="R113" s="181" t="s">
        <v>83</v>
      </c>
      <c r="S113" s="181" t="s">
        <v>83</v>
      </c>
      <c r="T113" s="181" t="s">
        <v>83</v>
      </c>
      <c r="U113" s="181" t="s">
        <v>83</v>
      </c>
      <c r="V113" s="28"/>
      <c r="W113" s="28" t="s">
        <v>93</v>
      </c>
      <c r="X113" s="28">
        <v>0</v>
      </c>
      <c r="Y113" s="181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81" t="s">
        <v>83</v>
      </c>
      <c r="AF113" s="181" t="s">
        <v>83</v>
      </c>
      <c r="AG113" s="181" t="s">
        <v>83</v>
      </c>
      <c r="AH113" s="181" t="s">
        <v>83</v>
      </c>
      <c r="AI113" s="28"/>
      <c r="AJ113" s="28"/>
      <c r="AK113" s="28">
        <v>1</v>
      </c>
      <c r="AL113" s="28">
        <v>1</v>
      </c>
      <c r="AM113" s="181" t="s">
        <v>83</v>
      </c>
      <c r="AN113" s="28">
        <v>1</v>
      </c>
      <c r="AO113" s="28">
        <v>1</v>
      </c>
      <c r="AP113" s="28">
        <v>1</v>
      </c>
    </row>
    <row r="114" spans="1:42">
      <c r="A114" s="157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残缺的中级道果【2】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9" t="str">
        <f t="shared" si="26"/>
        <v>残缺的中级道果【2】</v>
      </c>
      <c r="K114" s="159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60" t="str">
        <f>VLOOKUP(LEFT(RIGHT(B114,5),4),物品!B:CU,20,FALSE)</f>
        <v>ReplaceableTextures\\CommandButtons\\BTNDG02.blp</v>
      </c>
      <c r="N114" s="181" t="s">
        <v>83</v>
      </c>
      <c r="O114" s="160" t="s">
        <v>87</v>
      </c>
      <c r="P114" s="28">
        <v>0</v>
      </c>
      <c r="Q114" s="28">
        <v>0</v>
      </c>
      <c r="R114" s="181" t="s">
        <v>83</v>
      </c>
      <c r="S114" s="181" t="s">
        <v>83</v>
      </c>
      <c r="T114" s="181" t="s">
        <v>83</v>
      </c>
      <c r="U114" s="181" t="s">
        <v>83</v>
      </c>
      <c r="V114" s="28"/>
      <c r="W114" s="28" t="s">
        <v>93</v>
      </c>
      <c r="X114" s="28">
        <v>0</v>
      </c>
      <c r="Y114" s="181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81" t="s">
        <v>83</v>
      </c>
      <c r="AF114" s="181" t="s">
        <v>83</v>
      </c>
      <c r="AG114" s="181" t="s">
        <v>83</v>
      </c>
      <c r="AH114" s="181" t="s">
        <v>83</v>
      </c>
      <c r="AI114" s="28"/>
      <c r="AJ114" s="28"/>
      <c r="AK114" s="28">
        <v>1</v>
      </c>
      <c r="AL114" s="28">
        <v>1</v>
      </c>
      <c r="AM114" s="181" t="s">
        <v>83</v>
      </c>
      <c r="AN114" s="28">
        <v>1</v>
      </c>
      <c r="AO114" s="28">
        <v>1</v>
      </c>
      <c r="AP114" s="28">
        <v>1</v>
      </c>
    </row>
    <row r="115" spans="1:42">
      <c r="A115" s="157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|Cff00FF7F残缺的高级道果【3】|r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9" t="str">
        <f t="shared" ref="J115:J118" si="30">H115</f>
        <v>|Cff00FF7F残缺的高级道果【3】|r</v>
      </c>
      <c r="K115" s="159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60" t="str">
        <f>VLOOKUP(LEFT(RIGHT(B115,5),4),物品!B:CU,20,FALSE)</f>
        <v>ReplaceableTextures\\CommandButtons\\BTNDG03.blp</v>
      </c>
      <c r="N115" s="181" t="s">
        <v>83</v>
      </c>
      <c r="O115" s="160" t="s">
        <v>89</v>
      </c>
      <c r="P115" s="28">
        <v>0</v>
      </c>
      <c r="Q115" s="28">
        <v>0</v>
      </c>
      <c r="R115" s="181" t="s">
        <v>83</v>
      </c>
      <c r="S115" s="181" t="s">
        <v>83</v>
      </c>
      <c r="T115" s="181" t="s">
        <v>83</v>
      </c>
      <c r="U115" s="181" t="s">
        <v>83</v>
      </c>
      <c r="V115" s="28"/>
      <c r="W115" s="28" t="s">
        <v>93</v>
      </c>
      <c r="X115" s="28">
        <v>0</v>
      </c>
      <c r="Y115" s="181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81" t="s">
        <v>83</v>
      </c>
      <c r="AF115" s="181" t="s">
        <v>83</v>
      </c>
      <c r="AG115" s="181" t="s">
        <v>83</v>
      </c>
      <c r="AH115" s="181" t="s">
        <v>83</v>
      </c>
      <c r="AI115" s="28"/>
      <c r="AJ115" s="28"/>
      <c r="AK115" s="28">
        <v>1</v>
      </c>
      <c r="AL115" s="28">
        <v>1</v>
      </c>
      <c r="AM115" s="181" t="s">
        <v>83</v>
      </c>
      <c r="AN115" s="28">
        <v>1</v>
      </c>
      <c r="AO115" s="28">
        <v>1</v>
      </c>
      <c r="AP115" s="28">
        <v>1</v>
      </c>
    </row>
    <row r="116" spans="1:42">
      <c r="A116" s="157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|Cff00FF7F残缺的黄级道果【4】|r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9" t="str">
        <f t="shared" si="30"/>
        <v>|Cff00FF7F残缺的黄级道果【4】|r</v>
      </c>
      <c r="K116" s="159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60" t="str">
        <f>VLOOKUP(LEFT(RIGHT(B116,5),4),物品!B:CU,20,FALSE)</f>
        <v>ReplaceableTextures\\CommandButtons\\BTNDG04.blp</v>
      </c>
      <c r="N116" s="181" t="s">
        <v>83</v>
      </c>
      <c r="O116" s="160" t="s">
        <v>89</v>
      </c>
      <c r="P116" s="28">
        <v>0</v>
      </c>
      <c r="Q116" s="28">
        <v>0</v>
      </c>
      <c r="R116" s="181" t="s">
        <v>83</v>
      </c>
      <c r="S116" s="181" t="s">
        <v>83</v>
      </c>
      <c r="T116" s="181" t="s">
        <v>83</v>
      </c>
      <c r="U116" s="181" t="s">
        <v>83</v>
      </c>
      <c r="V116" s="28"/>
      <c r="W116" s="28" t="s">
        <v>93</v>
      </c>
      <c r="X116" s="28">
        <v>0</v>
      </c>
      <c r="Y116" s="181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81" t="s">
        <v>83</v>
      </c>
      <c r="AF116" s="181" t="s">
        <v>83</v>
      </c>
      <c r="AG116" s="181" t="s">
        <v>83</v>
      </c>
      <c r="AH116" s="181" t="s">
        <v>83</v>
      </c>
      <c r="AI116" s="28"/>
      <c r="AJ116" s="28"/>
      <c r="AK116" s="28">
        <v>1</v>
      </c>
      <c r="AL116" s="28">
        <v>1</v>
      </c>
      <c r="AM116" s="181" t="s">
        <v>83</v>
      </c>
      <c r="AN116" s="28">
        <v>1</v>
      </c>
      <c r="AO116" s="28">
        <v>1</v>
      </c>
      <c r="AP116" s="28">
        <v>1</v>
      </c>
    </row>
    <row r="117" spans="1:42">
      <c r="A117" s="157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|Cff00BFFF残缺的玄级道果【5】|r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9" t="str">
        <f t="shared" si="30"/>
        <v>|Cff00BFFF残缺的玄级道果【5】|r</v>
      </c>
      <c r="K117" s="159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60" t="str">
        <f>VLOOKUP(LEFT(RIGHT(B117,5),4),物品!B:CU,20,FALSE)</f>
        <v>ReplaceableTextures\\CommandButtons\\BTNDG05.blp</v>
      </c>
      <c r="N117" s="181" t="s">
        <v>83</v>
      </c>
      <c r="O117" s="160" t="s">
        <v>90</v>
      </c>
      <c r="P117" s="28">
        <v>0</v>
      </c>
      <c r="Q117" s="28">
        <v>0</v>
      </c>
      <c r="R117" s="181" t="s">
        <v>83</v>
      </c>
      <c r="S117" s="181" t="s">
        <v>83</v>
      </c>
      <c r="T117" s="181" t="s">
        <v>83</v>
      </c>
      <c r="U117" s="181" t="s">
        <v>83</v>
      </c>
      <c r="V117" s="28"/>
      <c r="W117" s="28" t="s">
        <v>93</v>
      </c>
      <c r="X117" s="28">
        <v>0</v>
      </c>
      <c r="Y117" s="181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81" t="s">
        <v>83</v>
      </c>
      <c r="AF117" s="181" t="s">
        <v>83</v>
      </c>
      <c r="AG117" s="181" t="s">
        <v>83</v>
      </c>
      <c r="AH117" s="181" t="s">
        <v>83</v>
      </c>
      <c r="AI117" s="28"/>
      <c r="AJ117" s="28"/>
      <c r="AK117" s="28">
        <v>1</v>
      </c>
      <c r="AL117" s="28">
        <v>1</v>
      </c>
      <c r="AM117" s="181" t="s">
        <v>83</v>
      </c>
      <c r="AN117" s="28">
        <v>1</v>
      </c>
      <c r="AO117" s="28">
        <v>1</v>
      </c>
      <c r="AP117" s="28">
        <v>1</v>
      </c>
    </row>
    <row r="118" spans="1:42">
      <c r="A118" s="157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|Cff00BFFF残缺的地级道果【6】|r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9" t="str">
        <f t="shared" si="30"/>
        <v>|Cff00BFFF残缺的地级道果【6】|r</v>
      </c>
      <c r="K118" s="159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60" t="str">
        <f>VLOOKUP(LEFT(RIGHT(B118,5),4),物品!B:CU,20,FALSE)</f>
        <v>ReplaceableTextures\\CommandButtons\\BTNDG06.blp</v>
      </c>
      <c r="N118" s="181" t="s">
        <v>83</v>
      </c>
      <c r="O118" s="160" t="s">
        <v>90</v>
      </c>
      <c r="P118" s="28">
        <v>0</v>
      </c>
      <c r="Q118" s="28">
        <v>0</v>
      </c>
      <c r="R118" s="181" t="s">
        <v>83</v>
      </c>
      <c r="S118" s="181" t="s">
        <v>83</v>
      </c>
      <c r="T118" s="181" t="s">
        <v>83</v>
      </c>
      <c r="U118" s="181" t="s">
        <v>83</v>
      </c>
      <c r="V118" s="28"/>
      <c r="W118" s="28" t="s">
        <v>93</v>
      </c>
      <c r="X118" s="28">
        <v>0</v>
      </c>
      <c r="Y118" s="181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81" t="s">
        <v>83</v>
      </c>
      <c r="AF118" s="181" t="s">
        <v>83</v>
      </c>
      <c r="AG118" s="181" t="s">
        <v>83</v>
      </c>
      <c r="AH118" s="181" t="s">
        <v>83</v>
      </c>
      <c r="AI118" s="28"/>
      <c r="AJ118" s="28"/>
      <c r="AK118" s="28">
        <v>1</v>
      </c>
      <c r="AL118" s="28">
        <v>1</v>
      </c>
      <c r="AM118" s="181" t="s">
        <v>83</v>
      </c>
      <c r="AN118" s="28">
        <v>1</v>
      </c>
      <c r="AO118" s="28">
        <v>1</v>
      </c>
      <c r="AP118" s="28">
        <v>1</v>
      </c>
    </row>
    <row r="119" spans="1:42">
      <c r="A119" s="157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|CffFFC926残缺的天级道果【7】|r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9" t="str">
        <f t="shared" si="26"/>
        <v>|CffFFC926残缺的天级道果【7】|r</v>
      </c>
      <c r="K119" s="159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60" t="str">
        <f>VLOOKUP(LEFT(RIGHT(B119,5),4),物品!B:CU,20,FALSE)</f>
        <v>ReplaceableTextures\\CommandButtons\\BTNDG07.blp</v>
      </c>
      <c r="N119" s="181" t="s">
        <v>83</v>
      </c>
      <c r="O119" s="160" t="s">
        <v>91</v>
      </c>
      <c r="P119" s="28">
        <v>0</v>
      </c>
      <c r="Q119" s="28">
        <v>0</v>
      </c>
      <c r="R119" s="181" t="s">
        <v>83</v>
      </c>
      <c r="S119" s="181" t="s">
        <v>83</v>
      </c>
      <c r="T119" s="181" t="s">
        <v>83</v>
      </c>
      <c r="U119" s="181" t="s">
        <v>83</v>
      </c>
      <c r="V119" s="28"/>
      <c r="W119" s="28" t="s">
        <v>93</v>
      </c>
      <c r="X119" s="28">
        <v>0</v>
      </c>
      <c r="Y119" s="181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81" t="s">
        <v>83</v>
      </c>
      <c r="AF119" s="181" t="s">
        <v>83</v>
      </c>
      <c r="AG119" s="181" t="s">
        <v>83</v>
      </c>
      <c r="AH119" s="181" t="s">
        <v>83</v>
      </c>
      <c r="AI119" s="28"/>
      <c r="AJ119" s="28"/>
      <c r="AK119" s="28">
        <v>1</v>
      </c>
      <c r="AL119" s="28">
        <v>1</v>
      </c>
      <c r="AM119" s="181" t="s">
        <v>83</v>
      </c>
      <c r="AN119" s="28">
        <v>1</v>
      </c>
      <c r="AO119" s="28">
        <v>1</v>
      </c>
      <c r="AP119" s="28">
        <v>1</v>
      </c>
    </row>
    <row r="120" spans="1:42">
      <c r="A120" s="157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|CffFFC926残缺的仙品道果【8】|r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9" t="str">
        <f t="shared" si="26"/>
        <v>|CffFFC926残缺的仙品道果【8】|r</v>
      </c>
      <c r="K120" s="159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60" t="str">
        <f>VLOOKUP(LEFT(RIGHT(B120,5),4),物品!B:CU,20,FALSE)</f>
        <v>ReplaceableTextures\\CommandButtons\\BTNDG08.blp</v>
      </c>
      <c r="N120" s="181" t="s">
        <v>83</v>
      </c>
      <c r="O120" s="160" t="s">
        <v>91</v>
      </c>
      <c r="P120" s="28">
        <v>0</v>
      </c>
      <c r="Q120" s="28">
        <v>0</v>
      </c>
      <c r="R120" s="181" t="s">
        <v>83</v>
      </c>
      <c r="S120" s="181" t="s">
        <v>83</v>
      </c>
      <c r="T120" s="181" t="s">
        <v>83</v>
      </c>
      <c r="U120" s="181" t="s">
        <v>83</v>
      </c>
      <c r="V120" s="28"/>
      <c r="W120" s="28" t="s">
        <v>93</v>
      </c>
      <c r="X120" s="28">
        <v>0</v>
      </c>
      <c r="Y120" s="181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81" t="s">
        <v>83</v>
      </c>
      <c r="AF120" s="181" t="s">
        <v>83</v>
      </c>
      <c r="AG120" s="181" t="s">
        <v>83</v>
      </c>
      <c r="AH120" s="181" t="s">
        <v>83</v>
      </c>
      <c r="AI120" s="28"/>
      <c r="AJ120" s="28"/>
      <c r="AK120" s="28">
        <v>1</v>
      </c>
      <c r="AL120" s="28">
        <v>1</v>
      </c>
      <c r="AM120" s="181" t="s">
        <v>83</v>
      </c>
      <c r="AN120" s="28">
        <v>1</v>
      </c>
      <c r="AO120" s="28">
        <v>1</v>
      </c>
      <c r="AP120" s="28">
        <v>1</v>
      </c>
    </row>
    <row r="121" spans="1:42">
      <c r="A121" s="157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|CffFF0000残缺的至圣道果【9】|r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9" t="str">
        <f t="shared" si="26"/>
        <v>|CffFF0000残缺的至圣道果【9】|r</v>
      </c>
      <c r="K121" s="159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60" t="str">
        <f>VLOOKUP(LEFT(RIGHT(B121,5),4),物品!B:CU,20,FALSE)</f>
        <v>ReplaceableTextures\\CommandButtons\\BTNDG09.blp</v>
      </c>
      <c r="N121" s="181" t="s">
        <v>83</v>
      </c>
      <c r="O121" s="160" t="s">
        <v>92</v>
      </c>
      <c r="P121" s="28">
        <v>0</v>
      </c>
      <c r="Q121" s="28">
        <v>0</v>
      </c>
      <c r="R121" s="181" t="s">
        <v>83</v>
      </c>
      <c r="S121" s="181" t="s">
        <v>83</v>
      </c>
      <c r="T121" s="181" t="s">
        <v>83</v>
      </c>
      <c r="U121" s="181" t="s">
        <v>83</v>
      </c>
      <c r="V121" s="28"/>
      <c r="W121" s="28" t="s">
        <v>93</v>
      </c>
      <c r="X121" s="28">
        <v>0</v>
      </c>
      <c r="Y121" s="181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81" t="s">
        <v>83</v>
      </c>
      <c r="AF121" s="181" t="s">
        <v>83</v>
      </c>
      <c r="AG121" s="181" t="s">
        <v>83</v>
      </c>
      <c r="AH121" s="181" t="s">
        <v>83</v>
      </c>
      <c r="AI121" s="28"/>
      <c r="AJ121" s="28"/>
      <c r="AK121" s="28">
        <v>1</v>
      </c>
      <c r="AL121" s="28">
        <v>1</v>
      </c>
      <c r="AM121" s="181" t="s">
        <v>83</v>
      </c>
      <c r="AN121" s="28">
        <v>1</v>
      </c>
      <c r="AO121" s="28">
        <v>1</v>
      </c>
      <c r="AP121" s="28">
        <v>1</v>
      </c>
    </row>
    <row r="122" spans="1:42">
      <c r="A122" s="157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|CffFF0000残缺的混沌道果【10】|r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9" t="str">
        <f t="shared" si="26"/>
        <v>|CffFF0000残缺的混沌道果【10】|r</v>
      </c>
      <c r="K122" s="159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60" t="str">
        <f>VLOOKUP(LEFT(RIGHT(B122,5),4),物品!B:CU,20,FALSE)</f>
        <v>ReplaceableTextures\\CommandButtons\\BTNDG10.blp</v>
      </c>
      <c r="N122" s="181" t="s">
        <v>83</v>
      </c>
      <c r="O122" s="160" t="s">
        <v>92</v>
      </c>
      <c r="P122" s="28">
        <v>0</v>
      </c>
      <c r="Q122" s="28">
        <v>0</v>
      </c>
      <c r="R122" s="181" t="s">
        <v>83</v>
      </c>
      <c r="S122" s="181" t="s">
        <v>83</v>
      </c>
      <c r="T122" s="181" t="s">
        <v>83</v>
      </c>
      <c r="U122" s="181" t="s">
        <v>83</v>
      </c>
      <c r="V122" s="28"/>
      <c r="W122" s="28" t="s">
        <v>93</v>
      </c>
      <c r="X122" s="28">
        <v>0</v>
      </c>
      <c r="Y122" s="181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81" t="s">
        <v>83</v>
      </c>
      <c r="AF122" s="181" t="s">
        <v>83</v>
      </c>
      <c r="AG122" s="181" t="s">
        <v>83</v>
      </c>
      <c r="AH122" s="181" t="s">
        <v>83</v>
      </c>
      <c r="AI122" s="28"/>
      <c r="AJ122" s="28"/>
      <c r="AK122" s="28">
        <v>1</v>
      </c>
      <c r="AL122" s="28">
        <v>1</v>
      </c>
      <c r="AM122" s="181" t="s">
        <v>83</v>
      </c>
      <c r="AN122" s="28">
        <v>1</v>
      </c>
      <c r="AO122" s="28">
        <v>1</v>
      </c>
      <c r="AP122" s="28">
        <v>1</v>
      </c>
    </row>
    <row r="123" spans="1:42">
      <c r="A123" s="157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Q技能随机卷</v>
      </c>
      <c r="I123" s="28" t="str">
        <f>VLOOKUP(B123,物品!B:CV,99,FALSE)</f>
        <v>随机获得|Cffffd24d1|r个|Cffffd24dQ技能|r</v>
      </c>
      <c r="J123" s="159" t="str">
        <f t="shared" si="26"/>
        <v>Q技能随机卷</v>
      </c>
      <c r="K123" s="159" t="str">
        <f t="shared" si="27"/>
        <v>随机获得|Cffffd24d1|r个|Cffffd24dQ技能|r</v>
      </c>
      <c r="L123" s="28"/>
      <c r="M123" s="160" t="str">
        <f>VLOOKUP(LEFT(RIGHT(B123,5),4),物品!B:CU,20,FALSE)</f>
        <v>ReplaceableTextures\\CommandButtons\\BTN001.blp</v>
      </c>
      <c r="N123" s="181" t="s">
        <v>83</v>
      </c>
      <c r="O123" s="160" t="s">
        <v>94</v>
      </c>
      <c r="P123" s="28">
        <v>0</v>
      </c>
      <c r="Q123" s="28">
        <v>0</v>
      </c>
      <c r="R123" s="181" t="s">
        <v>83</v>
      </c>
      <c r="S123" s="181" t="s">
        <v>83</v>
      </c>
      <c r="T123" s="181" t="s">
        <v>83</v>
      </c>
      <c r="U123" s="181" t="s">
        <v>83</v>
      </c>
      <c r="V123" s="28"/>
      <c r="W123" s="28" t="s">
        <v>93</v>
      </c>
      <c r="X123" s="28">
        <v>0</v>
      </c>
      <c r="Y123" s="181" t="s">
        <v>83</v>
      </c>
      <c r="Z123" s="28">
        <v>0</v>
      </c>
      <c r="AA123" s="28">
        <v>0</v>
      </c>
      <c r="AB123" s="28">
        <v>0</v>
      </c>
      <c r="AC123" s="28">
        <v>1</v>
      </c>
      <c r="AD123" s="28">
        <v>1</v>
      </c>
      <c r="AE123" s="181" t="s">
        <v>83</v>
      </c>
      <c r="AF123" s="181" t="s">
        <v>83</v>
      </c>
      <c r="AG123" s="181" t="s">
        <v>83</v>
      </c>
      <c r="AH123" s="181" t="s">
        <v>83</v>
      </c>
      <c r="AI123" s="28"/>
      <c r="AJ123" s="28"/>
      <c r="AK123" s="28">
        <v>1</v>
      </c>
      <c r="AL123" s="28">
        <v>1</v>
      </c>
      <c r="AM123" s="181" t="s">
        <v>83</v>
      </c>
      <c r="AN123" s="28">
        <v>1</v>
      </c>
      <c r="AO123" s="28">
        <v>1</v>
      </c>
      <c r="AP123" s="28">
        <v>1</v>
      </c>
    </row>
    <row r="124" spans="1:42">
      <c r="A124" s="157"/>
      <c r="B124" s="28" t="str">
        <f>物品!B124</f>
        <v>I021</v>
      </c>
      <c r="C124" s="28" t="s">
        <v>41</v>
      </c>
      <c r="D124" s="28" t="s">
        <v>81</v>
      </c>
      <c r="E124" s="28"/>
      <c r="F124" s="28"/>
      <c r="G124" s="28"/>
      <c r="H124" s="28" t="str">
        <f>VLOOKUP(LEFT(RIGHT(B124,5),4),物品!B:CU,2,FALSE)</f>
        <v>|Cff00BFFF技能进阶石【完美】|r</v>
      </c>
      <c r="I124" s="28" t="str">
        <f>VLOOKUP(B124,物品!B:CV,99,FALSE)</f>
        <v>|CffFFC926100%概率|r提升指定技能的|Cffffc926品质|r。|n|n|Cffffc926价格：|n|r玄铁x20|n|n|Cff00ff7f只能对A级|r|Cffffc926及以|r|Cff00ff7f下的技能使用。|r</v>
      </c>
      <c r="J124" s="159" t="str">
        <f t="shared" si="26"/>
        <v>|Cff00BFFF技能进阶石【完美】|r</v>
      </c>
      <c r="K124" s="159" t="str">
        <f t="shared" si="27"/>
        <v>|CffFFC926100%概率|r提升指定技能的|Cffffc926品质|r。|n|n|Cffffc926价格：|n|r玄铁x20|n|n|Cff00ff7f只能对A级|r|Cffffc926及以|r|Cff00ff7f下的技能使用。|r</v>
      </c>
      <c r="L124" s="28"/>
      <c r="M124" s="160" t="str">
        <f>VLOOKUP(LEFT(RIGHT(B124,5),4),物品!B:CU,20,FALSE)</f>
        <v>ReplaceableTextures\\CommandButtons\\BTNIN05.blp</v>
      </c>
      <c r="N124" s="181" t="s">
        <v>83</v>
      </c>
      <c r="O124" s="162" t="s">
        <v>95</v>
      </c>
      <c r="P124" s="28"/>
      <c r="Q124" s="28"/>
      <c r="R124" s="181" t="s">
        <v>83</v>
      </c>
      <c r="S124" s="181" t="s">
        <v>83</v>
      </c>
      <c r="T124" s="181" t="s">
        <v>83</v>
      </c>
      <c r="U124" s="181" t="s">
        <v>83</v>
      </c>
      <c r="V124" s="28"/>
      <c r="W124" s="28" t="s">
        <v>88</v>
      </c>
      <c r="X124" s="28">
        <v>0</v>
      </c>
      <c r="Y124" s="181" t="s">
        <v>83</v>
      </c>
      <c r="Z124" s="28">
        <v>0</v>
      </c>
      <c r="AA124" s="28">
        <v>0</v>
      </c>
      <c r="AB124" s="159">
        <v>0</v>
      </c>
      <c r="AC124" s="28">
        <v>1</v>
      </c>
      <c r="AD124" s="28">
        <v>1</v>
      </c>
      <c r="AE124" s="181" t="s">
        <v>83</v>
      </c>
      <c r="AF124" s="181" t="s">
        <v>83</v>
      </c>
      <c r="AG124" s="181" t="s">
        <v>83</v>
      </c>
      <c r="AH124" s="181" t="s">
        <v>83</v>
      </c>
      <c r="AI124" s="28">
        <v>1</v>
      </c>
      <c r="AJ124" s="28"/>
      <c r="AK124" s="28">
        <v>1</v>
      </c>
      <c r="AL124" s="28">
        <v>1</v>
      </c>
      <c r="AM124" s="181" t="s">
        <v>83</v>
      </c>
      <c r="AN124" s="28">
        <v>1</v>
      </c>
      <c r="AO124" s="28">
        <v>1</v>
      </c>
      <c r="AP124" s="28">
        <v>1</v>
      </c>
    </row>
    <row r="125" spans="1:42">
      <c r="A125" s="157"/>
      <c r="B125" s="28" t="str">
        <f>物品!B125</f>
        <v>I022</v>
      </c>
      <c r="C125" s="28" t="s">
        <v>41</v>
      </c>
      <c r="D125" s="28" t="s">
        <v>81</v>
      </c>
      <c r="E125" s="28"/>
      <c r="F125" s="28"/>
      <c r="G125" s="28"/>
      <c r="H125" s="28" t="str">
        <f>VLOOKUP(LEFT(RIGHT(B125,5),4),物品!B:CU,2,FALSE)</f>
        <v>|CffFFD24D品质潜能石【完美】|r</v>
      </c>
      <c r="I125" s="28" t="str">
        <f>VLOOKUP(B125,物品!B:CV,99,FALSE)</f>
        <v>购买需求：灵力x20|n|n使用后为指定技能增加1点品质潜力</v>
      </c>
      <c r="J125" s="159" t="str">
        <f t="shared" si="26"/>
        <v>|CffFFD24D品质潜能石【完美】|r</v>
      </c>
      <c r="K125" s="159" t="str">
        <f t="shared" si="27"/>
        <v>购买需求：灵力x20|n|n使用后为指定技能增加1点品质潜力</v>
      </c>
      <c r="L125" s="28"/>
      <c r="M125" s="160" t="str">
        <f>VLOOKUP(LEFT(RIGHT(B125,5),4),物品!B:CU,20,FALSE)</f>
        <v>ReplaceableTextures\\CommandButtons\\BTNIN04.blp</v>
      </c>
      <c r="N125" s="181" t="s">
        <v>83</v>
      </c>
      <c r="O125" s="160" t="s">
        <v>91</v>
      </c>
      <c r="P125" s="28"/>
      <c r="Q125" s="28"/>
      <c r="R125" s="181" t="s">
        <v>83</v>
      </c>
      <c r="S125" s="181" t="s">
        <v>83</v>
      </c>
      <c r="T125" s="181" t="s">
        <v>83</v>
      </c>
      <c r="U125" s="181" t="s">
        <v>83</v>
      </c>
      <c r="V125" s="28"/>
      <c r="W125" s="28" t="s">
        <v>88</v>
      </c>
      <c r="X125" s="28">
        <v>0</v>
      </c>
      <c r="Y125" s="181" t="s">
        <v>83</v>
      </c>
      <c r="Z125" s="28">
        <v>0</v>
      </c>
      <c r="AA125" s="28">
        <v>0</v>
      </c>
      <c r="AB125" s="159">
        <v>0</v>
      </c>
      <c r="AC125" s="28">
        <v>1</v>
      </c>
      <c r="AD125" s="28">
        <v>1</v>
      </c>
      <c r="AE125" s="181" t="s">
        <v>83</v>
      </c>
      <c r="AF125" s="181" t="s">
        <v>83</v>
      </c>
      <c r="AG125" s="181" t="s">
        <v>83</v>
      </c>
      <c r="AH125" s="181" t="s">
        <v>83</v>
      </c>
      <c r="AI125" s="28">
        <v>1</v>
      </c>
      <c r="AJ125" s="28"/>
      <c r="AK125" s="28">
        <v>1</v>
      </c>
      <c r="AL125" s="28">
        <v>1</v>
      </c>
      <c r="AM125" s="181" t="s">
        <v>83</v>
      </c>
      <c r="AN125" s="28">
        <v>1</v>
      </c>
      <c r="AO125" s="28">
        <v>1</v>
      </c>
      <c r="AP125" s="28">
        <v>1</v>
      </c>
    </row>
    <row r="126" spans="1:42">
      <c r="A126" s="157"/>
      <c r="B126" s="28" t="str">
        <f>物品!B126</f>
        <v>I023</v>
      </c>
      <c r="C126" s="28" t="s">
        <v>41</v>
      </c>
      <c r="D126" s="28" t="s">
        <v>81</v>
      </c>
      <c r="E126" s="28"/>
      <c r="F126" s="28"/>
      <c r="G126" s="28"/>
      <c r="H126" s="28" t="str">
        <f>VLOOKUP(LEFT(RIGHT(B126,5),4),物品!B:CU,2,FALSE)</f>
        <v>|Cff00FF7F技能进阶石【残缺】|r</v>
      </c>
      <c r="I126" s="28" t="str">
        <f>VLOOKUP(B126,物品!B:CV,99,FALSE)</f>
        <v>|CffFFC92650%概率|r提升指定技能的|Cffffc926品质|r。|n|n|Cffffc926价格：|n|r玄铁x10|n|n|Cff00ff7f只能对A级|r|Cffffc926及以|r|Cff00ff7f下的技能使用。|r</v>
      </c>
      <c r="J126" s="159" t="str">
        <f t="shared" si="26"/>
        <v>|Cff00FF7F技能进阶石【残缺】|r</v>
      </c>
      <c r="K126" s="159" t="str">
        <f t="shared" si="27"/>
        <v>|CffFFC92650%概率|r提升指定技能的|Cffffc926品质|r。|n|n|Cffffc926价格：|n|r玄铁x10|n|n|Cff00ff7f只能对A级|r|Cffffc926及以|r|Cff00ff7f下的技能使用。|r</v>
      </c>
      <c r="L126" s="28"/>
      <c r="M126" s="160" t="str">
        <f>VLOOKUP(LEFT(RIGHT(B126,5),4),物品!B:CU,20,FALSE)</f>
        <v>ReplaceableTextures\\CommandButtons\\BTNIN06.blp</v>
      </c>
      <c r="N126" s="181" t="s">
        <v>83</v>
      </c>
      <c r="O126" s="162" t="s">
        <v>96</v>
      </c>
      <c r="P126" s="28"/>
      <c r="Q126" s="28"/>
      <c r="R126" s="181" t="s">
        <v>83</v>
      </c>
      <c r="S126" s="181" t="s">
        <v>83</v>
      </c>
      <c r="T126" s="181" t="s">
        <v>83</v>
      </c>
      <c r="U126" s="181" t="s">
        <v>83</v>
      </c>
      <c r="V126" s="28"/>
      <c r="W126" s="28" t="s">
        <v>88</v>
      </c>
      <c r="X126" s="28">
        <v>0</v>
      </c>
      <c r="Y126" s="181" t="s">
        <v>83</v>
      </c>
      <c r="Z126" s="28">
        <v>0</v>
      </c>
      <c r="AA126" s="28">
        <v>0</v>
      </c>
      <c r="AB126" s="159">
        <v>0</v>
      </c>
      <c r="AC126" s="28">
        <v>1</v>
      </c>
      <c r="AD126" s="28">
        <v>1</v>
      </c>
      <c r="AE126" s="181" t="s">
        <v>83</v>
      </c>
      <c r="AF126" s="181" t="s">
        <v>83</v>
      </c>
      <c r="AG126" s="181" t="s">
        <v>83</v>
      </c>
      <c r="AH126" s="181" t="s">
        <v>83</v>
      </c>
      <c r="AI126" s="28">
        <v>1</v>
      </c>
      <c r="AJ126" s="28"/>
      <c r="AK126" s="28">
        <v>1</v>
      </c>
      <c r="AL126" s="28">
        <v>1</v>
      </c>
      <c r="AM126" s="181" t="s">
        <v>83</v>
      </c>
      <c r="AN126" s="28">
        <v>1</v>
      </c>
      <c r="AO126" s="28">
        <v>1</v>
      </c>
      <c r="AP126" s="28">
        <v>1</v>
      </c>
    </row>
    <row r="127" spans="1:42">
      <c r="A127" s="157"/>
      <c r="B127" s="28" t="str">
        <f>物品!B127</f>
        <v>I024</v>
      </c>
      <c r="C127" s="28" t="s">
        <v>41</v>
      </c>
      <c r="D127" s="28" t="s">
        <v>81</v>
      </c>
      <c r="E127" s="28"/>
      <c r="F127" s="28"/>
      <c r="G127" s="28"/>
      <c r="H127" s="28" t="str">
        <f>VLOOKUP(LEFT(RIGHT(B127,5),4),物品!B:CU,2,FALSE)</f>
        <v>|CffFFD24D品质潜能石【】|r</v>
      </c>
      <c r="I127" s="28">
        <f>VLOOKUP(B127,物品!B:CV,99,FALSE)</f>
        <v>0</v>
      </c>
      <c r="J127" s="159" t="str">
        <f t="shared" si="26"/>
        <v>|CffFFD24D品质潜能石【】|r</v>
      </c>
      <c r="K127" s="159">
        <f t="shared" si="27"/>
        <v>0</v>
      </c>
      <c r="L127" s="28"/>
      <c r="M127" s="160" t="str">
        <f>VLOOKUP(LEFT(RIGHT(B127,5),4),物品!B:CU,20,FALSE)</f>
        <v>ReplaceableTextures\\CommandButtons\\BTNIN04.blp</v>
      </c>
      <c r="N127" s="181" t="s">
        <v>83</v>
      </c>
      <c r="O127" s="160" t="s">
        <v>91</v>
      </c>
      <c r="P127" s="28"/>
      <c r="Q127" s="28"/>
      <c r="R127" s="181" t="s">
        <v>83</v>
      </c>
      <c r="S127" s="181" t="s">
        <v>83</v>
      </c>
      <c r="T127" s="181" t="s">
        <v>83</v>
      </c>
      <c r="U127" s="181" t="s">
        <v>83</v>
      </c>
      <c r="V127" s="28"/>
      <c r="W127" s="28" t="s">
        <v>88</v>
      </c>
      <c r="X127" s="28">
        <v>0</v>
      </c>
      <c r="Y127" s="181" t="s">
        <v>83</v>
      </c>
      <c r="Z127" s="28">
        <v>0</v>
      </c>
      <c r="AA127" s="28">
        <v>0</v>
      </c>
      <c r="AB127" s="159">
        <v>0</v>
      </c>
      <c r="AC127" s="28">
        <v>1</v>
      </c>
      <c r="AD127" s="28">
        <v>1</v>
      </c>
      <c r="AE127" s="181" t="s">
        <v>83</v>
      </c>
      <c r="AF127" s="181" t="s">
        <v>83</v>
      </c>
      <c r="AG127" s="181" t="s">
        <v>83</v>
      </c>
      <c r="AH127" s="181" t="s">
        <v>83</v>
      </c>
      <c r="AI127" s="28">
        <v>1</v>
      </c>
      <c r="AJ127" s="28"/>
      <c r="AK127" s="28">
        <v>1</v>
      </c>
      <c r="AL127" s="28">
        <v>1</v>
      </c>
      <c r="AM127" s="181" t="s">
        <v>83</v>
      </c>
      <c r="AN127" s="28">
        <v>1</v>
      </c>
      <c r="AO127" s="28">
        <v>1</v>
      </c>
      <c r="AP127" s="28">
        <v>1</v>
      </c>
    </row>
    <row r="128" spans="1:42">
      <c r="A128" s="157"/>
      <c r="B128" s="28" t="str">
        <f>物品!B128</f>
        <v>CS21</v>
      </c>
      <c r="C128" s="28" t="s">
        <v>41</v>
      </c>
      <c r="D128" s="28" t="s">
        <v>81</v>
      </c>
      <c r="E128" s="161" t="s">
        <v>97</v>
      </c>
      <c r="F128" s="28"/>
      <c r="G128" s="28"/>
      <c r="H128" s="28" t="str">
        <f>VLOOKUP(LEFT(RIGHT(B128,5),4),物品!B:CU,2,FALSE)</f>
        <v>|Cff00BFFF技能进阶石【完美】|r</v>
      </c>
      <c r="I128" s="28" t="str">
        <f>VLOOKUP(B128,物品!B:CV,99,FALSE)</f>
        <v>|CffFFC926100%概率|r提升指定技能的|Cffffc926品质|r。|n|n|Cff00ff7f只能对|r|Cffffc926A级|r|Cff00ff7f及以下的技能使用。|r</v>
      </c>
      <c r="J128" s="159" t="str">
        <f t="shared" ref="J128:J129" si="32">H128</f>
        <v>|Cff00BFFF技能进阶石【完美】|r</v>
      </c>
      <c r="K128" s="159" t="str">
        <f t="shared" ref="K128:K129" si="33">I128</f>
        <v>|CffFFC926100%概率|r提升指定技能的|Cffffc926品质|r。|n|n|Cff00ff7f只能对|r|Cffffc926A级|r|Cff00ff7f及以下的技能使用。|r</v>
      </c>
      <c r="L128" s="28"/>
      <c r="M128" s="160" t="str">
        <f>VLOOKUP(LEFT(RIGHT(B128,5),4),物品!B:CU,20,FALSE)</f>
        <v>ReplaceableTextures\\CommandButtons\\BTNIN05.blp</v>
      </c>
      <c r="N128" s="181" t="s">
        <v>83</v>
      </c>
      <c r="O128" s="162" t="s">
        <v>95</v>
      </c>
      <c r="P128" s="28">
        <v>1</v>
      </c>
      <c r="Q128" s="28">
        <v>2</v>
      </c>
      <c r="R128" s="181" t="s">
        <v>83</v>
      </c>
      <c r="S128" s="181" t="s">
        <v>83</v>
      </c>
      <c r="T128" s="181" t="s">
        <v>83</v>
      </c>
      <c r="U128" s="181" t="s">
        <v>83</v>
      </c>
      <c r="V128" s="28"/>
      <c r="W128" s="28" t="s">
        <v>93</v>
      </c>
      <c r="X128" s="28">
        <v>0</v>
      </c>
      <c r="Y128" s="181" t="s">
        <v>83</v>
      </c>
      <c r="Z128" s="28">
        <v>0</v>
      </c>
      <c r="AA128" s="28">
        <v>0</v>
      </c>
      <c r="AB128" s="159">
        <v>35</v>
      </c>
      <c r="AC128" s="28">
        <v>1</v>
      </c>
      <c r="AD128" s="28">
        <v>1</v>
      </c>
      <c r="AE128" s="181" t="s">
        <v>83</v>
      </c>
      <c r="AF128" s="181" t="s">
        <v>83</v>
      </c>
      <c r="AG128" s="181" t="s">
        <v>83</v>
      </c>
      <c r="AH128" s="181" t="s">
        <v>83</v>
      </c>
      <c r="AI128" s="28"/>
      <c r="AJ128" s="28"/>
      <c r="AK128" s="28">
        <v>1</v>
      </c>
      <c r="AL128" s="28">
        <v>1</v>
      </c>
      <c r="AM128" s="181" t="s">
        <v>83</v>
      </c>
      <c r="AN128" s="28">
        <v>1</v>
      </c>
      <c r="AO128" s="28">
        <v>1</v>
      </c>
      <c r="AP128" s="28">
        <v>1</v>
      </c>
    </row>
    <row r="129" spans="1:42">
      <c r="A129" s="157"/>
      <c r="B129" s="28" t="str">
        <f>物品!B129</f>
        <v>CS22</v>
      </c>
      <c r="C129" s="28" t="s">
        <v>41</v>
      </c>
      <c r="D129" s="28" t="s">
        <v>81</v>
      </c>
      <c r="E129" s="161" t="s">
        <v>97</v>
      </c>
      <c r="F129" s="28"/>
      <c r="G129" s="28"/>
      <c r="H129" s="28" t="str">
        <f>VLOOKUP(LEFT(RIGHT(B129,5),4),物品!B:CU,2,FALSE)</f>
        <v>|CffFF0000技能进化石|r</v>
      </c>
      <c r="I129" s="28" t="str">
        <f>VLOOKUP(B129,物品!B:CV,99,FALSE)</f>
        <v>使指定的|Cffffc926A级|r技能进化为|Cffff0000S级|r。</v>
      </c>
      <c r="J129" s="159" t="str">
        <f t="shared" si="32"/>
        <v>|CffFF0000技能进化石|r</v>
      </c>
      <c r="K129" s="159" t="str">
        <f t="shared" si="33"/>
        <v>使指定的|Cffffc926A级|r技能进化为|Cffff0000S级|r。</v>
      </c>
      <c r="L129" s="28"/>
      <c r="M129" s="160" t="str">
        <f>VLOOKUP(LEFT(RIGHT(B129,5),4),物品!B:CU,20,FALSE)</f>
        <v>ReplaceableTextures\\CommandButtons\\BTNIN04.blp</v>
      </c>
      <c r="N129" s="181" t="s">
        <v>83</v>
      </c>
      <c r="O129" s="160" t="s">
        <v>91</v>
      </c>
      <c r="P129" s="28"/>
      <c r="Q129" s="28"/>
      <c r="R129" s="181" t="s">
        <v>83</v>
      </c>
      <c r="S129" s="181" t="s">
        <v>83</v>
      </c>
      <c r="T129" s="181" t="s">
        <v>83</v>
      </c>
      <c r="U129" s="181" t="s">
        <v>83</v>
      </c>
      <c r="V129" s="28"/>
      <c r="W129" s="28" t="s">
        <v>93</v>
      </c>
      <c r="X129" s="28">
        <v>0</v>
      </c>
      <c r="Y129" s="181" t="s">
        <v>83</v>
      </c>
      <c r="Z129" s="28">
        <v>0</v>
      </c>
      <c r="AA129" s="28">
        <v>0</v>
      </c>
      <c r="AB129" s="159">
        <v>0</v>
      </c>
      <c r="AC129" s="28">
        <v>1</v>
      </c>
      <c r="AD129" s="28">
        <v>1</v>
      </c>
      <c r="AE129" s="181" t="s">
        <v>83</v>
      </c>
      <c r="AF129" s="181" t="s">
        <v>83</v>
      </c>
      <c r="AG129" s="181" t="s">
        <v>83</v>
      </c>
      <c r="AH129" s="181" t="s">
        <v>83</v>
      </c>
      <c r="AI129" s="28"/>
      <c r="AJ129" s="28"/>
      <c r="AK129" s="28">
        <v>1</v>
      </c>
      <c r="AL129" s="28">
        <v>1</v>
      </c>
      <c r="AM129" s="181" t="s">
        <v>83</v>
      </c>
      <c r="AN129" s="28">
        <v>1</v>
      </c>
      <c r="AO129" s="28">
        <v>1</v>
      </c>
      <c r="AP129" s="28">
        <v>1</v>
      </c>
    </row>
    <row r="130" spans="1:42">
      <c r="A130" s="157"/>
      <c r="B130" s="28" t="str">
        <f>物品!B130</f>
        <v>CS23</v>
      </c>
      <c r="C130" s="28" t="s">
        <v>41</v>
      </c>
      <c r="D130" s="28" t="s">
        <v>81</v>
      </c>
      <c r="E130" s="161" t="s">
        <v>97</v>
      </c>
      <c r="F130" s="28"/>
      <c r="G130" s="28"/>
      <c r="H130" s="28" t="str">
        <f>VLOOKUP(LEFT(RIGHT(B130,5),4),物品!B:CU,2,FALSE)</f>
        <v>|Cff00FF7F技能进阶石【残缺】|r</v>
      </c>
      <c r="I130" s="28" t="str">
        <f>VLOOKUP(B130,物品!B:CV,99,FALSE)</f>
        <v>|CffFFC92650%概率|r提升指定技能的|Cffffc926品质|r。|n|n|Cff00ff7f只能对|r|Cffffc926A级|r|Cff00ff7f及以下的技能使用。|r</v>
      </c>
      <c r="J130" s="159" t="str">
        <f t="shared" ref="J130" si="34">H130</f>
        <v>|Cff00FF7F技能进阶石【残缺】|r</v>
      </c>
      <c r="K130" s="159" t="str">
        <f t="shared" ref="K130" si="35">I130</f>
        <v>|CffFFC92650%概率|r提升指定技能的|Cffffc926品质|r。|n|n|Cff00ff7f只能对|r|Cffffc926A级|r|Cff00ff7f及以下的技能使用。|r</v>
      </c>
      <c r="L130" s="28"/>
      <c r="M130" s="160" t="str">
        <f>VLOOKUP(LEFT(RIGHT(B130,5),4),物品!B:CU,20,FALSE)</f>
        <v>ReplaceableTextures\\CommandButtons\\BTNIN06.blp</v>
      </c>
      <c r="N130" s="181" t="s">
        <v>83</v>
      </c>
      <c r="O130" s="162" t="s">
        <v>96</v>
      </c>
      <c r="P130" s="28">
        <v>0</v>
      </c>
      <c r="Q130" s="28">
        <v>2</v>
      </c>
      <c r="R130" s="181" t="s">
        <v>83</v>
      </c>
      <c r="S130" s="181" t="s">
        <v>83</v>
      </c>
      <c r="T130" s="181" t="s">
        <v>83</v>
      </c>
      <c r="U130" s="181" t="s">
        <v>83</v>
      </c>
      <c r="V130" s="28"/>
      <c r="W130" s="28" t="s">
        <v>93</v>
      </c>
      <c r="X130" s="28">
        <v>0</v>
      </c>
      <c r="Y130" s="181" t="s">
        <v>83</v>
      </c>
      <c r="Z130" s="28">
        <v>0</v>
      </c>
      <c r="AA130" s="28">
        <v>0</v>
      </c>
      <c r="AB130" s="159">
        <v>10</v>
      </c>
      <c r="AC130" s="28">
        <v>1</v>
      </c>
      <c r="AD130" s="28">
        <v>1</v>
      </c>
      <c r="AE130" s="181" t="s">
        <v>83</v>
      </c>
      <c r="AF130" s="181" t="s">
        <v>83</v>
      </c>
      <c r="AG130" s="181" t="s">
        <v>83</v>
      </c>
      <c r="AH130" s="181" t="s">
        <v>83</v>
      </c>
      <c r="AI130" s="28"/>
      <c r="AJ130" s="28"/>
      <c r="AK130" s="28">
        <v>1</v>
      </c>
      <c r="AL130" s="28">
        <v>1</v>
      </c>
      <c r="AM130" s="181" t="s">
        <v>83</v>
      </c>
      <c r="AN130" s="28">
        <v>1</v>
      </c>
      <c r="AO130" s="28">
        <v>1</v>
      </c>
      <c r="AP130" s="28">
        <v>1</v>
      </c>
    </row>
    <row r="131" spans="1:42">
      <c r="A131" s="157"/>
      <c r="B131" s="28" t="str">
        <f>物品!B131</f>
        <v>CS24</v>
      </c>
      <c r="C131" s="28" t="s">
        <v>41</v>
      </c>
      <c r="D131" s="28" t="s">
        <v>81</v>
      </c>
      <c r="E131" s="161" t="s">
        <v>97</v>
      </c>
      <c r="F131" s="28"/>
      <c r="G131" s="28"/>
      <c r="H131" s="28" t="str">
        <f>VLOOKUP(LEFT(RIGHT(B131,5),4),物品!B:CU,2,FALSE)</f>
        <v>|CffFFD24D品质潜能石【】|r</v>
      </c>
      <c r="I131" s="28">
        <f>VLOOKUP(B131,物品!B:CV,99,FALSE)</f>
        <v>0</v>
      </c>
      <c r="J131" s="159" t="str">
        <f t="shared" ref="J131" si="36">H131</f>
        <v>|CffFFD24D品质潜能石【】|r</v>
      </c>
      <c r="K131" s="159">
        <f t="shared" ref="K131" si="37">I131</f>
        <v>0</v>
      </c>
      <c r="L131" s="28"/>
      <c r="M131" s="160" t="str">
        <f>VLOOKUP(LEFT(RIGHT(B131,5),4),物品!B:CU,20,FALSE)</f>
        <v>ReplaceableTextures\\CommandButtons\\BTNIN04.blp</v>
      </c>
      <c r="N131" s="181" t="s">
        <v>83</v>
      </c>
      <c r="O131" s="160" t="s">
        <v>91</v>
      </c>
      <c r="P131" s="28"/>
      <c r="Q131" s="28"/>
      <c r="R131" s="181" t="s">
        <v>83</v>
      </c>
      <c r="S131" s="181" t="s">
        <v>83</v>
      </c>
      <c r="T131" s="181" t="s">
        <v>83</v>
      </c>
      <c r="U131" s="181" t="s">
        <v>83</v>
      </c>
      <c r="V131" s="28"/>
      <c r="W131" s="28" t="s">
        <v>93</v>
      </c>
      <c r="X131" s="28">
        <v>0</v>
      </c>
      <c r="Y131" s="181" t="s">
        <v>83</v>
      </c>
      <c r="Z131" s="28">
        <v>0</v>
      </c>
      <c r="AA131" s="28">
        <v>0</v>
      </c>
      <c r="AB131" s="28">
        <v>0</v>
      </c>
      <c r="AC131" s="28">
        <v>1</v>
      </c>
      <c r="AD131" s="28">
        <v>1</v>
      </c>
      <c r="AE131" s="181" t="s">
        <v>83</v>
      </c>
      <c r="AF131" s="181" t="s">
        <v>83</v>
      </c>
      <c r="AG131" s="181" t="s">
        <v>83</v>
      </c>
      <c r="AH131" s="181" t="s">
        <v>83</v>
      </c>
      <c r="AI131" s="28"/>
      <c r="AJ131" s="28"/>
      <c r="AK131" s="28">
        <v>1</v>
      </c>
      <c r="AL131" s="28">
        <v>1</v>
      </c>
      <c r="AM131" s="181" t="s">
        <v>83</v>
      </c>
      <c r="AN131" s="28">
        <v>1</v>
      </c>
      <c r="AO131" s="28">
        <v>1</v>
      </c>
      <c r="AP131" s="28">
        <v>1</v>
      </c>
    </row>
    <row r="132" spans="1:42" ht="15" customHeight="1">
      <c r="A132" s="157"/>
      <c r="B132" s="28" t="str">
        <f>物品!B132</f>
        <v>CF01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随机法宝</v>
      </c>
      <c r="I132" s="28" t="str">
        <f>VLOOKUP(B132,物品!B:CV,99,FALSE)</f>
        <v>获得一个随机品质的|Cffffc926法宝|r。</v>
      </c>
      <c r="J132" s="159" t="str">
        <f t="shared" ref="J132" si="38">H132</f>
        <v>随机法宝</v>
      </c>
      <c r="K132" s="159" t="str">
        <f t="shared" ref="K132" si="39">I132</f>
        <v>获得一个随机品质的|Cffffc926法宝|r。</v>
      </c>
      <c r="L132" s="28"/>
      <c r="M132" s="160" t="str">
        <f>VLOOKUP(LEFT(RIGHT(B132,5),4),物品!B:CU,20,FALSE)</f>
        <v>ReplaceableTextures\\CommandButtons\\BTNCF01.blp</v>
      </c>
      <c r="N132" s="181" t="s">
        <v>83</v>
      </c>
      <c r="O132" s="160" t="s">
        <v>98</v>
      </c>
      <c r="P132" s="28">
        <v>0</v>
      </c>
      <c r="Q132" s="28">
        <v>0</v>
      </c>
      <c r="R132" s="181" t="s">
        <v>83</v>
      </c>
      <c r="S132" s="181" t="s">
        <v>83</v>
      </c>
      <c r="T132" s="181" t="s">
        <v>83</v>
      </c>
      <c r="U132" s="181" t="s">
        <v>83</v>
      </c>
      <c r="V132" s="28"/>
      <c r="W132" s="28" t="s">
        <v>88</v>
      </c>
      <c r="X132" s="28">
        <v>0</v>
      </c>
      <c r="Y132" s="181" t="s">
        <v>83</v>
      </c>
      <c r="Z132" s="28">
        <v>0</v>
      </c>
      <c r="AA132" s="28">
        <v>0</v>
      </c>
      <c r="AB132" s="28">
        <v>0</v>
      </c>
      <c r="AC132" s="28">
        <v>1</v>
      </c>
      <c r="AD132" s="28">
        <v>1</v>
      </c>
      <c r="AE132" s="181" t="s">
        <v>83</v>
      </c>
      <c r="AF132" s="181" t="s">
        <v>83</v>
      </c>
      <c r="AG132" s="181" t="s">
        <v>83</v>
      </c>
      <c r="AH132" s="181" t="s">
        <v>83</v>
      </c>
      <c r="AI132" s="28">
        <v>1</v>
      </c>
      <c r="AJ132" s="28"/>
      <c r="AK132" s="28">
        <v>1</v>
      </c>
      <c r="AL132" s="28">
        <v>1</v>
      </c>
      <c r="AM132" s="181" t="s">
        <v>83</v>
      </c>
      <c r="AN132" s="28">
        <v>1</v>
      </c>
      <c r="AO132" s="28">
        <v>1</v>
      </c>
      <c r="AP132" s="28">
        <v>1</v>
      </c>
    </row>
    <row r="133" spans="1:42">
      <c r="A133" s="157"/>
      <c r="B133" s="28" t="str">
        <f>物品!B133</f>
        <v>I001</v>
      </c>
      <c r="C133" s="28" t="s">
        <v>41</v>
      </c>
      <c r="D133" s="28" t="s">
        <v>81</v>
      </c>
      <c r="E133" s="28" t="s">
        <v>82</v>
      </c>
      <c r="F133" s="28"/>
      <c r="G133" s="28"/>
      <c r="H133" s="28" t="str">
        <f>VLOOKUP(LEFT(RIGHT(B133,5),4),物品!B:CU,2,FALSE)</f>
        <v>蛋黄月饼</v>
      </c>
      <c r="I133" s="28" t="str">
        <f>VLOOKUP(B133,物品!B:CV,99,FALSE)</f>
        <v>回复|Cffffd24d80%|r生命，|Cff00ff7f解除|r异常状态</v>
      </c>
      <c r="J133" s="159" t="str">
        <f t="shared" ref="J133:J136" si="40">H133</f>
        <v>蛋黄月饼</v>
      </c>
      <c r="K133" s="159" t="str">
        <f t="shared" ref="K133:K136" si="41">I133</f>
        <v>回复|Cffffd24d80%|r生命，|Cff00ff7f解除|r异常状态</v>
      </c>
      <c r="L133" s="28"/>
      <c r="M133" s="160" t="str">
        <f>VLOOKUP(LEFT(RIGHT(B133,5),4),物品!B:CU,20,FALSE)</f>
        <v>ReplaceableTextures\\CommandButtons\\BTNI001.blp</v>
      </c>
      <c r="N133" s="181" t="s">
        <v>83</v>
      </c>
      <c r="O133" s="160" t="s">
        <v>94</v>
      </c>
      <c r="P133" s="28">
        <v>0</v>
      </c>
      <c r="Q133" s="28">
        <v>0</v>
      </c>
      <c r="R133" s="181" t="s">
        <v>83</v>
      </c>
      <c r="S133" s="181" t="s">
        <v>83</v>
      </c>
      <c r="T133" s="181" t="s">
        <v>83</v>
      </c>
      <c r="U133" s="181" t="s">
        <v>83</v>
      </c>
      <c r="V133" s="28"/>
      <c r="W133" s="28" t="s">
        <v>93</v>
      </c>
      <c r="X133" s="28">
        <v>0</v>
      </c>
      <c r="Y133" s="181" t="s">
        <v>83</v>
      </c>
      <c r="Z133" s="28">
        <v>0</v>
      </c>
      <c r="AA133" s="28">
        <v>0</v>
      </c>
      <c r="AB133" s="28">
        <v>0</v>
      </c>
      <c r="AC133" s="28">
        <v>1</v>
      </c>
      <c r="AD133" s="28">
        <v>1</v>
      </c>
      <c r="AE133" s="181" t="s">
        <v>83</v>
      </c>
      <c r="AF133" s="181" t="s">
        <v>83</v>
      </c>
      <c r="AG133" s="181" t="s">
        <v>83</v>
      </c>
      <c r="AH133" s="181" t="s">
        <v>83</v>
      </c>
      <c r="AI133" s="28"/>
      <c r="AJ133" s="28"/>
      <c r="AK133" s="28">
        <v>1</v>
      </c>
      <c r="AL133" s="28">
        <v>1</v>
      </c>
      <c r="AM133" s="181" t="s">
        <v>83</v>
      </c>
      <c r="AN133" s="28">
        <v>1</v>
      </c>
      <c r="AO133" s="28">
        <v>1</v>
      </c>
      <c r="AP133" s="28">
        <v>1</v>
      </c>
    </row>
    <row r="134" spans="1:42">
      <c r="A134" s="157"/>
      <c r="B134" s="28" t="str">
        <f>物品!B134</f>
        <v>I002</v>
      </c>
      <c r="C134" s="28" t="s">
        <v>41</v>
      </c>
      <c r="D134" s="28" t="s">
        <v>81</v>
      </c>
      <c r="E134" s="28" t="s">
        <v>82</v>
      </c>
      <c r="F134" s="28"/>
      <c r="G134" s="28"/>
      <c r="H134" s="28" t="str">
        <f>VLOOKUP(LEFT(RIGHT(B134,5),4),物品!B:CU,2,FALSE)</f>
        <v>豆沙月饼</v>
      </c>
      <c r="I134" s="28" t="str">
        <f>VLOOKUP(B134,物品!B:CV,99,FALSE)</f>
        <v>暴击|Cffff0000+10%|n|n|r|Cff00ff7f效果持续15秒。|r</v>
      </c>
      <c r="J134" s="159" t="str">
        <f t="shared" si="40"/>
        <v>豆沙月饼</v>
      </c>
      <c r="K134" s="159" t="str">
        <f t="shared" si="41"/>
        <v>暴击|Cffff0000+10%|n|n|r|Cff00ff7f效果持续15秒。|r</v>
      </c>
      <c r="L134" s="28"/>
      <c r="M134" s="160" t="str">
        <f>VLOOKUP(LEFT(RIGHT(B134,5),4),物品!B:CU,20,FALSE)</f>
        <v>ReplaceableTextures\\CommandButtons\\BTNI002.blp</v>
      </c>
      <c r="N134" s="181" t="s">
        <v>83</v>
      </c>
      <c r="O134" s="160" t="s">
        <v>94</v>
      </c>
      <c r="P134" s="28">
        <v>0</v>
      </c>
      <c r="Q134" s="28">
        <v>0</v>
      </c>
      <c r="R134" s="181" t="s">
        <v>83</v>
      </c>
      <c r="S134" s="181" t="s">
        <v>83</v>
      </c>
      <c r="T134" s="181" t="s">
        <v>83</v>
      </c>
      <c r="U134" s="181" t="s">
        <v>83</v>
      </c>
      <c r="V134" s="28"/>
      <c r="W134" s="28" t="s">
        <v>93</v>
      </c>
      <c r="X134" s="28">
        <v>0</v>
      </c>
      <c r="Y134" s="181" t="s">
        <v>83</v>
      </c>
      <c r="Z134" s="28">
        <v>0</v>
      </c>
      <c r="AA134" s="28">
        <v>0</v>
      </c>
      <c r="AB134" s="28">
        <v>0</v>
      </c>
      <c r="AC134" s="28">
        <v>1</v>
      </c>
      <c r="AD134" s="28">
        <v>1</v>
      </c>
      <c r="AE134" s="181" t="s">
        <v>83</v>
      </c>
      <c r="AF134" s="181" t="s">
        <v>83</v>
      </c>
      <c r="AG134" s="181" t="s">
        <v>83</v>
      </c>
      <c r="AH134" s="181" t="s">
        <v>83</v>
      </c>
      <c r="AI134" s="28"/>
      <c r="AJ134" s="28"/>
      <c r="AK134" s="28">
        <v>1</v>
      </c>
      <c r="AL134" s="28">
        <v>1</v>
      </c>
      <c r="AM134" s="181" t="s">
        <v>83</v>
      </c>
      <c r="AN134" s="28">
        <v>1</v>
      </c>
      <c r="AO134" s="28">
        <v>1</v>
      </c>
      <c r="AP134" s="28">
        <v>1</v>
      </c>
    </row>
    <row r="135" spans="1:42">
      <c r="A135" s="157"/>
      <c r="B135" s="28" t="str">
        <f>物品!B135</f>
        <v>I003</v>
      </c>
      <c r="C135" s="28" t="s">
        <v>41</v>
      </c>
      <c r="D135" s="28" t="s">
        <v>81</v>
      </c>
      <c r="E135" s="28" t="s">
        <v>82</v>
      </c>
      <c r="F135" s="28"/>
      <c r="G135" s="28"/>
      <c r="H135" s="28" t="str">
        <f>VLOOKUP(LEFT(RIGHT(B135,5),4),物品!B:CU,2,FALSE)</f>
        <v>冰皮月饼</v>
      </c>
      <c r="I135" s="28" t="str">
        <f>VLOOKUP(B135,物品!B:CV,99,FALSE)</f>
        <v>攻击速度|Cffffd24d+40%|r。|n|n|Cff00ff7f持续15秒。|r</v>
      </c>
      <c r="J135" s="159" t="str">
        <f t="shared" si="40"/>
        <v>冰皮月饼</v>
      </c>
      <c r="K135" s="159" t="str">
        <f t="shared" si="41"/>
        <v>攻击速度|Cffffd24d+40%|r。|n|n|Cff00ff7f持续15秒。|r</v>
      </c>
      <c r="L135" s="28"/>
      <c r="M135" s="160" t="str">
        <f>VLOOKUP(LEFT(RIGHT(B135,5),4),物品!B:CU,20,FALSE)</f>
        <v>ReplaceableTextures\\CommandButtons\\BTNI003.blp</v>
      </c>
      <c r="N135" s="181" t="s">
        <v>83</v>
      </c>
      <c r="O135" s="160" t="s">
        <v>94</v>
      </c>
      <c r="P135" s="28">
        <v>0</v>
      </c>
      <c r="Q135" s="28">
        <v>0</v>
      </c>
      <c r="R135" s="181" t="s">
        <v>83</v>
      </c>
      <c r="S135" s="181" t="s">
        <v>83</v>
      </c>
      <c r="T135" s="181" t="s">
        <v>83</v>
      </c>
      <c r="U135" s="181" t="s">
        <v>83</v>
      </c>
      <c r="V135" s="28"/>
      <c r="W135" s="28" t="s">
        <v>93</v>
      </c>
      <c r="X135" s="28">
        <v>0</v>
      </c>
      <c r="Y135" s="181" t="s">
        <v>83</v>
      </c>
      <c r="Z135" s="28">
        <v>0</v>
      </c>
      <c r="AA135" s="28">
        <v>0</v>
      </c>
      <c r="AB135" s="28">
        <v>0</v>
      </c>
      <c r="AC135" s="28">
        <v>1</v>
      </c>
      <c r="AD135" s="28">
        <v>1</v>
      </c>
      <c r="AE135" s="181" t="s">
        <v>83</v>
      </c>
      <c r="AF135" s="181" t="s">
        <v>83</v>
      </c>
      <c r="AG135" s="181" t="s">
        <v>83</v>
      </c>
      <c r="AH135" s="181" t="s">
        <v>83</v>
      </c>
      <c r="AI135" s="28"/>
      <c r="AJ135" s="28"/>
      <c r="AK135" s="28">
        <v>1</v>
      </c>
      <c r="AL135" s="28">
        <v>1</v>
      </c>
      <c r="AM135" s="181" t="s">
        <v>83</v>
      </c>
      <c r="AN135" s="28">
        <v>1</v>
      </c>
      <c r="AO135" s="28">
        <v>1</v>
      </c>
      <c r="AP135" s="28">
        <v>1</v>
      </c>
    </row>
    <row r="136" spans="1:42">
      <c r="A136" s="157"/>
      <c r="B136" s="28" t="str">
        <f>物品!B136</f>
        <v>I004</v>
      </c>
      <c r="C136" s="28" t="s">
        <v>41</v>
      </c>
      <c r="D136" s="28" t="s">
        <v>81</v>
      </c>
      <c r="E136" s="28" t="s">
        <v>82</v>
      </c>
      <c r="F136" s="28"/>
      <c r="G136" s="28"/>
      <c r="H136" s="28" t="str">
        <f>VLOOKUP(LEFT(RIGHT(B136,5),4),物品!B:CU,2,FALSE)</f>
        <v>果蔬月饼</v>
      </c>
      <c r="I136" s="28" t="str">
        <f>VLOOKUP(B136,物品!B:CV,99,FALSE)</f>
        <v>技能伤害提高|Cffffd24d20%|r|Cfff0f0f0。|n|n|r|Cff00ff7f持续15秒。|r</v>
      </c>
      <c r="J136" s="159" t="str">
        <f t="shared" si="40"/>
        <v>果蔬月饼</v>
      </c>
      <c r="K136" s="159" t="str">
        <f t="shared" si="41"/>
        <v>技能伤害提高|Cffffd24d20%|r|Cfff0f0f0。|n|n|r|Cff00ff7f持续15秒。|r</v>
      </c>
      <c r="L136" s="28"/>
      <c r="M136" s="160" t="str">
        <f>VLOOKUP(LEFT(RIGHT(B136,5),4),物品!B:CU,20,FALSE)</f>
        <v>ReplaceableTextures\\CommandButtons\\BTNI004.blp</v>
      </c>
      <c r="N136" s="181" t="s">
        <v>83</v>
      </c>
      <c r="O136" s="160" t="s">
        <v>94</v>
      </c>
      <c r="P136" s="28">
        <v>0</v>
      </c>
      <c r="Q136" s="28">
        <v>0</v>
      </c>
      <c r="R136" s="181" t="s">
        <v>83</v>
      </c>
      <c r="S136" s="181" t="s">
        <v>83</v>
      </c>
      <c r="T136" s="181" t="s">
        <v>83</v>
      </c>
      <c r="U136" s="181" t="s">
        <v>83</v>
      </c>
      <c r="V136" s="28"/>
      <c r="W136" s="28" t="s">
        <v>93</v>
      </c>
      <c r="X136" s="28">
        <v>0</v>
      </c>
      <c r="Y136" s="181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81" t="s">
        <v>83</v>
      </c>
      <c r="AF136" s="181" t="s">
        <v>83</v>
      </c>
      <c r="AG136" s="181" t="s">
        <v>83</v>
      </c>
      <c r="AH136" s="181" t="s">
        <v>83</v>
      </c>
      <c r="AI136" s="28"/>
      <c r="AJ136" s="28"/>
      <c r="AK136" s="28">
        <v>1</v>
      </c>
      <c r="AL136" s="28">
        <v>1</v>
      </c>
      <c r="AM136" s="181" t="s">
        <v>83</v>
      </c>
      <c r="AN136" s="28">
        <v>1</v>
      </c>
      <c r="AO136" s="28">
        <v>1</v>
      </c>
      <c r="AP136" s="28">
        <v>1</v>
      </c>
    </row>
    <row r="137" spans="1:42">
      <c r="A137" s="157"/>
      <c r="B137" s="28" t="str">
        <f>物品!B137</f>
        <v>I005</v>
      </c>
      <c r="C137" s="28" t="s">
        <v>41</v>
      </c>
      <c r="D137" s="28" t="s">
        <v>81</v>
      </c>
      <c r="E137" s="28" t="s">
        <v>82</v>
      </c>
      <c r="F137" s="28"/>
      <c r="G137" s="28"/>
      <c r="H137" s="28" t="str">
        <f>VLOOKUP(LEFT(RIGHT(B137,5),4),物品!B:CU,2,FALSE)</f>
        <v>鲜肉月饼</v>
      </c>
      <c r="I137" s="28" t="str">
        <f>VLOOKUP(B137,物品!B:CV,99,FALSE)</f>
        <v>攻击伤害提高|Cffffd24d20%|r。|n|n|Cff00ff7f持续15秒。|r</v>
      </c>
      <c r="J137" s="159" t="str">
        <f t="shared" ref="J137:J139" si="42">H137</f>
        <v>鲜肉月饼</v>
      </c>
      <c r="K137" s="159" t="str">
        <f t="shared" ref="K137:K139" si="43">I137</f>
        <v>攻击伤害提高|Cffffd24d20%|r。|n|n|Cff00ff7f持续15秒。|r</v>
      </c>
      <c r="L137" s="28"/>
      <c r="M137" s="160" t="str">
        <f>VLOOKUP(LEFT(RIGHT(B137,5),4),物品!B:CU,20,FALSE)</f>
        <v>ReplaceableTextures\\CommandButtons\\BTNI005.blp</v>
      </c>
      <c r="N137" s="181" t="s">
        <v>83</v>
      </c>
      <c r="O137" s="160" t="s">
        <v>94</v>
      </c>
      <c r="P137" s="28">
        <v>0</v>
      </c>
      <c r="Q137" s="28">
        <v>0</v>
      </c>
      <c r="R137" s="181" t="s">
        <v>83</v>
      </c>
      <c r="S137" s="181" t="s">
        <v>83</v>
      </c>
      <c r="T137" s="181" t="s">
        <v>83</v>
      </c>
      <c r="U137" s="181" t="s">
        <v>83</v>
      </c>
      <c r="V137" s="28"/>
      <c r="W137" s="28" t="s">
        <v>93</v>
      </c>
      <c r="X137" s="28">
        <v>0</v>
      </c>
      <c r="Y137" s="181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81" t="s">
        <v>83</v>
      </c>
      <c r="AF137" s="181" t="s">
        <v>83</v>
      </c>
      <c r="AG137" s="181" t="s">
        <v>83</v>
      </c>
      <c r="AH137" s="181" t="s">
        <v>83</v>
      </c>
      <c r="AI137" s="28"/>
      <c r="AJ137" s="28"/>
      <c r="AK137" s="28">
        <v>1</v>
      </c>
      <c r="AL137" s="28">
        <v>1</v>
      </c>
      <c r="AM137" s="181" t="s">
        <v>83</v>
      </c>
      <c r="AN137" s="28">
        <v>1</v>
      </c>
      <c r="AO137" s="28">
        <v>1</v>
      </c>
      <c r="AP137" s="28">
        <v>1</v>
      </c>
    </row>
    <row r="138" spans="1:42">
      <c r="A138" s="157"/>
      <c r="B138" s="28" t="str">
        <f>物品!B138</f>
        <v>I010</v>
      </c>
      <c r="C138" s="28" t="s">
        <v>41</v>
      </c>
      <c r="D138" s="28" t="s">
        <v>81</v>
      </c>
      <c r="E138" s="28"/>
      <c r="F138" s="28"/>
      <c r="G138" s="28"/>
      <c r="H138" s="28" t="str">
        <f>VLOOKUP(LEFT(RIGHT(B138,5),4),物品!B:CU,2,FALSE)</f>
        <v>招魂幡Lv0</v>
      </c>
      <c r="I138" s="28" t="str">
        <f>VLOOKUP(B138,物品!B:CV,99,FALSE)</f>
        <v>击杀|Cff00ff7f300个|r敌人后奖励：|n金币|Cffffc926+3000~6000|r|n|n|Cff00ff7f同时只能携带一个招魂幡|r</v>
      </c>
      <c r="J138" s="159" t="str">
        <f t="shared" ref="J138" si="44">H138</f>
        <v>招魂幡Lv0</v>
      </c>
      <c r="K138" s="159" t="str">
        <f t="shared" ref="K138" si="45">I138</f>
        <v>击杀|Cff00ff7f300个|r敌人后奖励：|n金币|Cffffc926+3000~6000|r|n|n|Cff00ff7f同时只能携带一个招魂幡|r</v>
      </c>
      <c r="L138" s="28"/>
      <c r="M138" s="160" t="str">
        <f>VLOOKUP(LEFT(RIGHT(B138,5),4),物品!B:CU,20,FALSE)</f>
        <v>ReplaceableTextures\\CommandButtons\\BTNZHP1.blp</v>
      </c>
      <c r="N138" s="28">
        <v>0.5</v>
      </c>
      <c r="O138" s="160" t="s">
        <v>99</v>
      </c>
      <c r="P138" s="28">
        <v>0</v>
      </c>
      <c r="Q138" s="28">
        <v>0</v>
      </c>
      <c r="R138" s="181" t="s">
        <v>83</v>
      </c>
      <c r="S138" s="181" t="s">
        <v>83</v>
      </c>
      <c r="T138" s="181" t="s">
        <v>83</v>
      </c>
      <c r="U138" s="181" t="s">
        <v>83</v>
      </c>
      <c r="V138" s="28">
        <v>4</v>
      </c>
      <c r="W138" s="28" t="s">
        <v>85</v>
      </c>
      <c r="X138" s="28">
        <v>0</v>
      </c>
      <c r="Y138" s="181" t="s">
        <v>83</v>
      </c>
      <c r="Z138" s="28">
        <v>0</v>
      </c>
      <c r="AA138" s="28">
        <v>0</v>
      </c>
      <c r="AB138" s="159">
        <v>1</v>
      </c>
      <c r="AC138" s="28">
        <v>1</v>
      </c>
      <c r="AD138" s="28">
        <v>1</v>
      </c>
      <c r="AE138" s="181" t="s">
        <v>83</v>
      </c>
      <c r="AF138" s="181" t="s">
        <v>83</v>
      </c>
      <c r="AG138" s="181" t="s">
        <v>83</v>
      </c>
      <c r="AH138" s="181" t="s">
        <v>83</v>
      </c>
      <c r="AI138" s="28"/>
      <c r="AJ138" s="28"/>
      <c r="AK138" s="28">
        <v>1</v>
      </c>
      <c r="AL138" s="28">
        <v>1</v>
      </c>
      <c r="AM138" s="181" t="s">
        <v>83</v>
      </c>
      <c r="AN138" s="28">
        <v>300</v>
      </c>
      <c r="AO138" s="28"/>
      <c r="AP138" s="28"/>
    </row>
    <row r="139" spans="1:42">
      <c r="A139" s="157"/>
      <c r="B139" s="28" t="str">
        <f>物品!B139</f>
        <v>I011</v>
      </c>
      <c r="C139" s="28" t="s">
        <v>41</v>
      </c>
      <c r="D139" s="28" t="s">
        <v>81</v>
      </c>
      <c r="E139" s="28"/>
      <c r="F139" s="28"/>
      <c r="G139" s="28"/>
      <c r="H139" s="28" t="str">
        <f>VLOOKUP(LEFT(RIGHT(B139,5),4),物品!B:CU,2,FALSE)</f>
        <v>招魂幡Lv1</v>
      </c>
      <c r="I139" s="28" t="str">
        <f>VLOOKUP(B139,物品!B:CV,99,FALSE)</f>
        <v>击杀|Cff00ff7f1000|r个敌人后奖励：|n金币|Cffffc926+7000~12000|r|n经验|Cffffc926+1000|r|n|n|Cff00ff7f同时只能携带一个招魂幡|r</v>
      </c>
      <c r="J139" s="159" t="str">
        <f t="shared" si="42"/>
        <v>招魂幡Lv1</v>
      </c>
      <c r="K139" s="159" t="str">
        <f t="shared" si="43"/>
        <v>击杀|Cff00ff7f1000|r个敌人后奖励：|n金币|Cffffc926+7000~12000|r|n经验|Cffffc926+1000|r|n|n|Cff00ff7f同时只能携带一个招魂幡|r</v>
      </c>
      <c r="L139" s="28"/>
      <c r="M139" s="160" t="str">
        <f>VLOOKUP(LEFT(RIGHT(B139,5),4),物品!B:CU,20,FALSE)</f>
        <v>ReplaceableTextures\\CommandButtons\\BTNZHP1.blp</v>
      </c>
      <c r="N139" s="28">
        <v>0.5</v>
      </c>
      <c r="O139" s="160" t="s">
        <v>99</v>
      </c>
      <c r="P139" s="28">
        <v>0</v>
      </c>
      <c r="Q139" s="28">
        <v>0</v>
      </c>
      <c r="R139" s="181" t="s">
        <v>83</v>
      </c>
      <c r="S139" s="181" t="s">
        <v>83</v>
      </c>
      <c r="T139" s="181" t="s">
        <v>83</v>
      </c>
      <c r="U139" s="181" t="s">
        <v>83</v>
      </c>
      <c r="V139" s="28">
        <v>4</v>
      </c>
      <c r="W139" s="28" t="s">
        <v>85</v>
      </c>
      <c r="X139" s="28">
        <v>0</v>
      </c>
      <c r="Y139" s="181" t="s">
        <v>83</v>
      </c>
      <c r="Z139" s="28">
        <v>0</v>
      </c>
      <c r="AA139" s="28">
        <v>0</v>
      </c>
      <c r="AB139" s="159">
        <v>2</v>
      </c>
      <c r="AC139" s="28">
        <v>1</v>
      </c>
      <c r="AD139" s="28">
        <v>1</v>
      </c>
      <c r="AE139" s="181" t="s">
        <v>83</v>
      </c>
      <c r="AF139" s="181" t="s">
        <v>83</v>
      </c>
      <c r="AG139" s="181" t="s">
        <v>83</v>
      </c>
      <c r="AH139" s="181" t="s">
        <v>83</v>
      </c>
      <c r="AI139" s="28"/>
      <c r="AJ139" s="28"/>
      <c r="AK139" s="28">
        <v>1</v>
      </c>
      <c r="AL139" s="28">
        <v>1</v>
      </c>
      <c r="AM139" s="181" t="s">
        <v>83</v>
      </c>
      <c r="AN139" s="28">
        <v>1000</v>
      </c>
      <c r="AO139" s="28"/>
      <c r="AP139" s="28"/>
    </row>
    <row r="140" spans="1:42">
      <c r="A140" s="157"/>
      <c r="B140" s="28" t="str">
        <f>物品!B140</f>
        <v>I012</v>
      </c>
      <c r="C140" s="28" t="s">
        <v>41</v>
      </c>
      <c r="D140" s="28" t="s">
        <v>81</v>
      </c>
      <c r="E140" s="28"/>
      <c r="F140" s="28"/>
      <c r="G140" s="28"/>
      <c r="H140" s="28" t="str">
        <f>VLOOKUP(LEFT(RIGHT(B140,5),4),物品!B:CU,2,FALSE)</f>
        <v>|Cff00FF7F招魂幡Lv2|r</v>
      </c>
      <c r="I140" s="28" t="str">
        <f>VLOOKUP(B140,物品!B:CV,99,FALSE)</f>
        <v>金币加成|Cffffc926+5%|r|n|n击杀|Cff00ff7f1000个|r敌人后奖励：|n金币|Cffffc926+8000~13000|r|n经验|Cffffc926+2000|r|n|n|Cff00ff7f同时只能携带一个招魂幡|r</v>
      </c>
      <c r="J140" s="159" t="str">
        <f t="shared" ref="J140:J141" si="46">H140</f>
        <v>|Cff00FF7F招魂幡Lv2|r</v>
      </c>
      <c r="K140" s="159" t="str">
        <f t="shared" ref="K140:K141" si="47">I140</f>
        <v>金币加成|Cffffc926+5%|r|n|n击杀|Cff00ff7f1000个|r敌人后奖励：|n金币|Cffffc926+8000~13000|r|n经验|Cffffc926+2000|r|n|n|Cff00ff7f同时只能携带一个招魂幡|r</v>
      </c>
      <c r="L140" s="28"/>
      <c r="M140" s="160" t="str">
        <f>VLOOKUP(LEFT(RIGHT(B140,5),4),物品!B:CU,20,FALSE)</f>
        <v>ReplaceableTextures\\CommandButtons\\BTNZHP2.blp</v>
      </c>
      <c r="N140" s="28">
        <v>0.5</v>
      </c>
      <c r="O140" s="160" t="s">
        <v>99</v>
      </c>
      <c r="P140" s="28">
        <v>1</v>
      </c>
      <c r="Q140" s="28">
        <v>0</v>
      </c>
      <c r="R140" s="181" t="s">
        <v>83</v>
      </c>
      <c r="S140" s="181" t="s">
        <v>83</v>
      </c>
      <c r="T140" s="181" t="s">
        <v>83</v>
      </c>
      <c r="U140" s="181" t="s">
        <v>83</v>
      </c>
      <c r="V140" s="28">
        <v>4</v>
      </c>
      <c r="W140" s="28" t="s">
        <v>85</v>
      </c>
      <c r="X140" s="28">
        <v>0</v>
      </c>
      <c r="Y140" s="181" t="s">
        <v>83</v>
      </c>
      <c r="Z140" s="28">
        <v>0</v>
      </c>
      <c r="AA140" s="28">
        <v>0</v>
      </c>
      <c r="AB140" s="159">
        <v>5</v>
      </c>
      <c r="AC140" s="28">
        <v>1</v>
      </c>
      <c r="AD140" s="28">
        <v>1</v>
      </c>
      <c r="AE140" s="181" t="s">
        <v>83</v>
      </c>
      <c r="AF140" s="181" t="s">
        <v>83</v>
      </c>
      <c r="AG140" s="181" t="s">
        <v>83</v>
      </c>
      <c r="AH140" s="181" t="s">
        <v>83</v>
      </c>
      <c r="AI140" s="28"/>
      <c r="AJ140" s="28"/>
      <c r="AK140" s="28">
        <v>1</v>
      </c>
      <c r="AL140" s="28">
        <v>1</v>
      </c>
      <c r="AM140" s="181" t="s">
        <v>83</v>
      </c>
      <c r="AN140" s="28">
        <v>1000</v>
      </c>
      <c r="AO140" s="28"/>
      <c r="AP140" s="28"/>
    </row>
    <row r="141" spans="1:42">
      <c r="A141" s="157"/>
      <c r="B141" s="28" t="str">
        <f>物品!B141</f>
        <v>I013</v>
      </c>
      <c r="C141" s="28" t="s">
        <v>41</v>
      </c>
      <c r="D141" s="28" t="s">
        <v>81</v>
      </c>
      <c r="E141" s="28"/>
      <c r="F141" s="28"/>
      <c r="G141" s="28"/>
      <c r="H141" s="28" t="str">
        <f>VLOOKUP(LEFT(RIGHT(B141,5),4),物品!B:CU,2,FALSE)</f>
        <v>|Cff00BFFF招魂幡Lv3|r</v>
      </c>
      <c r="I141" s="28" t="str">
        <f>VLOOKUP(B141,物品!B:CV,99,FALSE)</f>
        <v>金币加成|Cffffc926+10%|r|n|n击杀|Cff00ff7f1000个|r敌人后奖励：|n金币|Cffffc926+9000~14000|r|n经验|Cffffc926+4000|r|n|n|Cff00ff7f同时只能携带一个招魂幡|r</v>
      </c>
      <c r="J141" s="159" t="str">
        <f t="shared" si="46"/>
        <v>|Cff00BFFF招魂幡Lv3|r</v>
      </c>
      <c r="K141" s="159" t="str">
        <f t="shared" si="47"/>
        <v>金币加成|Cffffc926+10%|r|n|n击杀|Cff00ff7f1000个|r敌人后奖励：|n金币|Cffffc926+9000~14000|r|n经验|Cffffc926+4000|r|n|n|Cff00ff7f同时只能携带一个招魂幡|r</v>
      </c>
      <c r="L141" s="28"/>
      <c r="M141" s="160" t="str">
        <f>VLOOKUP(LEFT(RIGHT(B141,5),4),物品!B:CU,20,FALSE)</f>
        <v>ReplaceableTextures\\CommandButtons\\BTNZHP3.blp</v>
      </c>
      <c r="N141" s="28">
        <v>0.5</v>
      </c>
      <c r="O141" s="160" t="s">
        <v>99</v>
      </c>
      <c r="P141" s="28">
        <v>2</v>
      </c>
      <c r="Q141" s="28">
        <v>0</v>
      </c>
      <c r="R141" s="181" t="s">
        <v>83</v>
      </c>
      <c r="S141" s="181" t="s">
        <v>83</v>
      </c>
      <c r="T141" s="181" t="s">
        <v>83</v>
      </c>
      <c r="U141" s="181" t="s">
        <v>83</v>
      </c>
      <c r="V141" s="28">
        <v>4</v>
      </c>
      <c r="W141" s="28" t="s">
        <v>85</v>
      </c>
      <c r="X141" s="28">
        <v>0</v>
      </c>
      <c r="Y141" s="181" t="s">
        <v>83</v>
      </c>
      <c r="Z141" s="28">
        <v>0</v>
      </c>
      <c r="AA141" s="28">
        <v>0</v>
      </c>
      <c r="AB141" s="159">
        <v>10</v>
      </c>
      <c r="AC141" s="28">
        <v>1</v>
      </c>
      <c r="AD141" s="28">
        <v>1</v>
      </c>
      <c r="AE141" s="181" t="s">
        <v>83</v>
      </c>
      <c r="AF141" s="181" t="s">
        <v>83</v>
      </c>
      <c r="AG141" s="181" t="s">
        <v>83</v>
      </c>
      <c r="AH141" s="181" t="s">
        <v>83</v>
      </c>
      <c r="AI141" s="28"/>
      <c r="AJ141" s="28"/>
      <c r="AK141" s="28">
        <v>1</v>
      </c>
      <c r="AL141" s="28">
        <v>1</v>
      </c>
      <c r="AM141" s="181" t="s">
        <v>83</v>
      </c>
      <c r="AN141" s="28">
        <v>1000</v>
      </c>
      <c r="AO141" s="28"/>
      <c r="AP141" s="28"/>
    </row>
    <row r="142" spans="1:42">
      <c r="A142" s="157"/>
      <c r="B142" s="28" t="str">
        <f>物品!B142</f>
        <v>I014</v>
      </c>
      <c r="C142" s="28" t="s">
        <v>41</v>
      </c>
      <c r="D142" s="28" t="s">
        <v>81</v>
      </c>
      <c r="E142" s="28"/>
      <c r="F142" s="28"/>
      <c r="G142" s="28"/>
      <c r="H142" s="28" t="str">
        <f>VLOOKUP(LEFT(RIGHT(B142,5),4),物品!B:CU,2,FALSE)</f>
        <v>|CffFFD24D招魂幡Lv4|r</v>
      </c>
      <c r="I142" s="28" t="str">
        <f>VLOOKUP(B142,物品!B:CV,99,FALSE)</f>
        <v>金币加成|Cffffc926+20%|r|n|n击杀|Cff00ff7f1000个|r敌人后奖励：|n金币|Cffffc926+10000~15000|r|n经验|Cffffc926+7000|r|n|n|Cff00ff7f同时只能携带一个招魂幡|r</v>
      </c>
      <c r="J142" s="159" t="str">
        <f t="shared" ref="J142:J144" si="48">H142</f>
        <v>|CffFFD24D招魂幡Lv4|r</v>
      </c>
      <c r="K142" s="159" t="str">
        <f t="shared" ref="K142:K144" si="49">I142</f>
        <v>金币加成|Cffffc926+20%|r|n|n击杀|Cff00ff7f1000个|r敌人后奖励：|n金币|Cffffc926+10000~15000|r|n经验|Cffffc926+7000|r|n|n|Cff00ff7f同时只能携带一个招魂幡|r</v>
      </c>
      <c r="L142" s="28"/>
      <c r="M142" s="160" t="str">
        <f>VLOOKUP(LEFT(RIGHT(B142,5),4),物品!B:CU,20,FALSE)</f>
        <v>ReplaceableTextures\\CommandButtons\\BTNZHP4.blp</v>
      </c>
      <c r="N142" s="28">
        <v>0.5</v>
      </c>
      <c r="O142" s="160" t="s">
        <v>99</v>
      </c>
      <c r="P142" s="28">
        <v>3</v>
      </c>
      <c r="Q142" s="28">
        <v>0</v>
      </c>
      <c r="R142" s="181" t="s">
        <v>83</v>
      </c>
      <c r="S142" s="181" t="s">
        <v>83</v>
      </c>
      <c r="T142" s="181" t="s">
        <v>83</v>
      </c>
      <c r="U142" s="181" t="s">
        <v>83</v>
      </c>
      <c r="V142" s="28">
        <v>4</v>
      </c>
      <c r="W142" s="28" t="s">
        <v>85</v>
      </c>
      <c r="X142" s="28">
        <v>0</v>
      </c>
      <c r="Y142" s="181" t="s">
        <v>83</v>
      </c>
      <c r="Z142" s="28">
        <v>0</v>
      </c>
      <c r="AA142" s="28">
        <v>0</v>
      </c>
      <c r="AB142" s="159">
        <v>20</v>
      </c>
      <c r="AC142" s="28">
        <v>1</v>
      </c>
      <c r="AD142" s="28">
        <v>1</v>
      </c>
      <c r="AE142" s="181" t="s">
        <v>83</v>
      </c>
      <c r="AF142" s="181" t="s">
        <v>83</v>
      </c>
      <c r="AG142" s="181" t="s">
        <v>83</v>
      </c>
      <c r="AH142" s="181" t="s">
        <v>83</v>
      </c>
      <c r="AI142" s="28"/>
      <c r="AJ142" s="28"/>
      <c r="AK142" s="28">
        <v>1</v>
      </c>
      <c r="AL142" s="28">
        <v>1</v>
      </c>
      <c r="AM142" s="181" t="s">
        <v>83</v>
      </c>
      <c r="AN142" s="28">
        <v>1000</v>
      </c>
      <c r="AO142" s="28"/>
      <c r="AP142" s="28"/>
    </row>
    <row r="143" spans="1:42">
      <c r="A143" s="157"/>
      <c r="B143" s="28" t="str">
        <f>物品!B143</f>
        <v>I015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|CffFF0000招魂幡Lv5|r</v>
      </c>
      <c r="I143" s="28" t="str">
        <f>VLOOKUP(B143,物品!B:CV,99,FALSE)</f>
        <v>金币加成|Cffffc926+30%|r|n|n击杀|Cff00ff7f1000个|r敌人后奖励：|n金币|Cffffc926+12000~17000|r|n经验|Cffffc926+10000|r|n|n|Cff00ff7f同时只能携带一个招魂幡|r</v>
      </c>
      <c r="J143" s="159" t="str">
        <f t="shared" ref="J143" si="50">H143</f>
        <v>|CffFF0000招魂幡Lv5|r</v>
      </c>
      <c r="K143" s="159" t="str">
        <f t="shared" ref="K143" si="51">I143</f>
        <v>金币加成|Cffffc926+30%|r|n|n击杀|Cff00ff7f1000个|r敌人后奖励：|n金币|Cffffc926+12000~17000|r|n经验|Cffffc926+10000|r|n|n|Cff00ff7f同时只能携带一个招魂幡|r</v>
      </c>
      <c r="L143" s="28"/>
      <c r="M143" s="160" t="str">
        <f>VLOOKUP(LEFT(RIGHT(B143,5),4),物品!B:CU,20,FALSE)</f>
        <v>ReplaceableTextures\\CommandButtons\\BTNZHP5.blp</v>
      </c>
      <c r="N143" s="28">
        <v>0.5</v>
      </c>
      <c r="O143" s="160" t="s">
        <v>99</v>
      </c>
      <c r="P143" s="28">
        <v>0</v>
      </c>
      <c r="Q143" s="28">
        <v>0</v>
      </c>
      <c r="R143" s="181" t="s">
        <v>83</v>
      </c>
      <c r="S143" s="181" t="s">
        <v>83</v>
      </c>
      <c r="T143" s="181" t="s">
        <v>83</v>
      </c>
      <c r="U143" s="181" t="s">
        <v>83</v>
      </c>
      <c r="V143" s="28">
        <v>4</v>
      </c>
      <c r="W143" s="28" t="s">
        <v>85</v>
      </c>
      <c r="X143" s="28">
        <v>0</v>
      </c>
      <c r="Y143" s="181" t="s">
        <v>83</v>
      </c>
      <c r="Z143" s="28">
        <v>0</v>
      </c>
      <c r="AA143" s="28">
        <v>0</v>
      </c>
      <c r="AB143" s="159">
        <v>50</v>
      </c>
      <c r="AC143" s="28">
        <v>1</v>
      </c>
      <c r="AD143" s="28">
        <v>1</v>
      </c>
      <c r="AE143" s="181" t="s">
        <v>83</v>
      </c>
      <c r="AF143" s="181" t="s">
        <v>83</v>
      </c>
      <c r="AG143" s="181" t="s">
        <v>83</v>
      </c>
      <c r="AH143" s="181" t="s">
        <v>83</v>
      </c>
      <c r="AI143" s="28"/>
      <c r="AJ143" s="28"/>
      <c r="AK143" s="28">
        <v>1</v>
      </c>
      <c r="AL143" s="28">
        <v>1</v>
      </c>
      <c r="AM143" s="181" t="s">
        <v>83</v>
      </c>
      <c r="AN143" s="28">
        <v>1000</v>
      </c>
      <c r="AO143" s="28"/>
      <c r="AP143" s="28"/>
    </row>
    <row r="144" spans="1:42">
      <c r="A144" s="157"/>
      <c r="B144" s="28" t="str">
        <f>物品!B144</f>
        <v>IN00</v>
      </c>
      <c r="C144" s="28" t="s">
        <v>41</v>
      </c>
      <c r="D144" s="28" t="s">
        <v>81</v>
      </c>
      <c r="E144" s="28" t="s">
        <v>82</v>
      </c>
      <c r="F144" s="28"/>
      <c r="G144" s="28"/>
      <c r="H144" s="28" t="str">
        <f>VLOOKUP(LEFT(RIGHT(B144,5),4),物品!B:CU,2,FALSE)</f>
        <v>|CffFFD24D锦囊|r</v>
      </c>
      <c r="I144" s="28" t="str">
        <f>VLOOKUP(B144,物品!B:CV,99,FALSE)</f>
        <v>开启后获得一个|Cffffc926随机锦囊|r。</v>
      </c>
      <c r="J144" s="159" t="str">
        <f t="shared" si="48"/>
        <v>|CffFFD24D锦囊|r</v>
      </c>
      <c r="K144" s="159" t="str">
        <f t="shared" si="49"/>
        <v>开启后获得一个|Cffffc926随机锦囊|r。</v>
      </c>
      <c r="L144" s="28"/>
      <c r="M144" s="160" t="str">
        <f>VLOOKUP(LEFT(RIGHT(B144,5),4),物品!B:CU,20,FALSE)</f>
        <v>ReplaceableTextures\\CommandButtons\\BTNIN00.blp</v>
      </c>
      <c r="N144" s="28">
        <v>0.8</v>
      </c>
      <c r="O144" s="160" t="s">
        <v>100</v>
      </c>
      <c r="P144" s="28">
        <v>0</v>
      </c>
      <c r="Q144" s="28">
        <v>0</v>
      </c>
      <c r="R144" s="181" t="s">
        <v>83</v>
      </c>
      <c r="S144" s="181" t="s">
        <v>83</v>
      </c>
      <c r="T144" s="181" t="s">
        <v>83</v>
      </c>
      <c r="U144" s="181" t="s">
        <v>83</v>
      </c>
      <c r="V144" s="28"/>
      <c r="W144" s="28" t="s">
        <v>93</v>
      </c>
      <c r="X144" s="28">
        <v>0</v>
      </c>
      <c r="Y144" s="181" t="s">
        <v>83</v>
      </c>
      <c r="Z144" s="28">
        <v>0</v>
      </c>
      <c r="AA144" s="28">
        <v>0</v>
      </c>
      <c r="AB144" s="28">
        <v>10</v>
      </c>
      <c r="AC144" s="28">
        <v>1</v>
      </c>
      <c r="AD144" s="28">
        <v>1</v>
      </c>
      <c r="AE144" s="181" t="s">
        <v>83</v>
      </c>
      <c r="AF144" s="181" t="s">
        <v>83</v>
      </c>
      <c r="AG144" s="181" t="s">
        <v>83</v>
      </c>
      <c r="AH144" s="181" t="s">
        <v>83</v>
      </c>
      <c r="AI144" s="28"/>
      <c r="AJ144" s="28"/>
      <c r="AK144" s="28">
        <v>1</v>
      </c>
      <c r="AL144" s="28">
        <v>1</v>
      </c>
      <c r="AM144" s="181" t="s">
        <v>83</v>
      </c>
      <c r="AN144" s="28">
        <v>1</v>
      </c>
      <c r="AO144" s="28">
        <v>1</v>
      </c>
      <c r="AP144" s="28">
        <v>1</v>
      </c>
    </row>
    <row r="145" spans="1:42">
      <c r="A145" s="157"/>
      <c r="B145" s="28" t="str">
        <f>物品!B145</f>
        <v>IN07</v>
      </c>
      <c r="C145" s="28" t="s">
        <v>41</v>
      </c>
      <c r="D145" s="28" t="s">
        <v>81</v>
      </c>
      <c r="E145" s="28" t="s">
        <v>82</v>
      </c>
      <c r="F145" s="28"/>
      <c r="G145" s="28"/>
      <c r="H145" s="28" t="str">
        <f>VLOOKUP(LEFT(RIGHT(B145,5),4),物品!B:CU,2,FALSE)</f>
        <v>|Cff00BFFF来份快餐|r</v>
      </c>
      <c r="I145" s="28" t="str">
        <f>VLOOKUP(B145,物品!B:CV,99,FALSE)</f>
        <v>每秒回复|Cffffc92610%|r生命值，持续|Cffffc92610|r秒</v>
      </c>
      <c r="J145" s="159" t="str">
        <f t="shared" ref="J145:J147" si="52">H145</f>
        <v>|Cff00BFFF来份快餐|r</v>
      </c>
      <c r="K145" s="159" t="str">
        <f t="shared" ref="K145:K147" si="53">I145</f>
        <v>每秒回复|Cffffc92610%|r生命值，持续|Cffffc92610|r秒</v>
      </c>
      <c r="L145" s="28"/>
      <c r="M145" s="160" t="str">
        <f>VLOOKUP(LEFT(RIGHT(B145,5),4),物品!B:CU,20,FALSE)</f>
        <v>ReplaceableTextures\\CommandButtons\\BTNIN07.blp</v>
      </c>
      <c r="N145" s="28">
        <v>0.8</v>
      </c>
      <c r="O145" s="160" t="s">
        <v>100</v>
      </c>
      <c r="P145" s="28">
        <v>0</v>
      </c>
      <c r="Q145" s="28">
        <v>0</v>
      </c>
      <c r="R145" s="181" t="s">
        <v>83</v>
      </c>
      <c r="S145" s="181" t="s">
        <v>83</v>
      </c>
      <c r="T145" s="181" t="s">
        <v>83</v>
      </c>
      <c r="U145" s="181" t="s">
        <v>83</v>
      </c>
      <c r="V145" s="28"/>
      <c r="W145" s="28" t="s">
        <v>93</v>
      </c>
      <c r="X145" s="28">
        <v>0</v>
      </c>
      <c r="Y145" s="181" t="s">
        <v>83</v>
      </c>
      <c r="Z145" s="28">
        <v>0</v>
      </c>
      <c r="AA145" s="28">
        <v>0</v>
      </c>
      <c r="AB145" s="28">
        <v>10</v>
      </c>
      <c r="AC145" s="28">
        <v>1</v>
      </c>
      <c r="AD145" s="28">
        <v>1</v>
      </c>
      <c r="AE145" s="181" t="s">
        <v>83</v>
      </c>
      <c r="AF145" s="181" t="s">
        <v>83</v>
      </c>
      <c r="AG145" s="181" t="s">
        <v>83</v>
      </c>
      <c r="AH145" s="181" t="s">
        <v>83</v>
      </c>
      <c r="AI145" s="28"/>
      <c r="AJ145" s="28"/>
      <c r="AK145" s="28">
        <v>1</v>
      </c>
      <c r="AL145" s="28">
        <v>1</v>
      </c>
      <c r="AM145" s="181" t="s">
        <v>83</v>
      </c>
      <c r="AN145" s="28">
        <v>1</v>
      </c>
      <c r="AO145" s="28">
        <v>1</v>
      </c>
      <c r="AP145" s="28">
        <v>1</v>
      </c>
    </row>
    <row r="146" spans="1:42">
      <c r="A146" s="157"/>
      <c r="B146" s="28" t="str">
        <f>物品!B146</f>
        <v>IN08</v>
      </c>
      <c r="C146" s="28" t="s">
        <v>41</v>
      </c>
      <c r="D146" s="28" t="s">
        <v>81</v>
      </c>
      <c r="E146" s="28" t="s">
        <v>82</v>
      </c>
      <c r="F146" s="28"/>
      <c r="G146" s="28"/>
      <c r="H146" s="28" t="str">
        <f>VLOOKUP(LEFT(RIGHT(B146,5),4),物品!B:CU,2,FALSE)</f>
        <v>|CffFF0000抬你一手|r</v>
      </c>
      <c r="I146" s="28" t="str">
        <f>VLOOKUP(B146,物品!B:CV,99,FALSE)</f>
        <v>|CffFFC926击杀|r当前存在的|Cffffc926进攻怪|r和|Cffffc926Boss|r。|n|n|Cff00ff7f无法在大决战时使用|r</v>
      </c>
      <c r="J146" s="159" t="str">
        <f t="shared" si="52"/>
        <v>|CffFF0000抬你一手|r</v>
      </c>
      <c r="K146" s="159" t="str">
        <f t="shared" si="53"/>
        <v>|CffFFC926击杀|r当前存在的|Cffffc926进攻怪|r和|Cffffc926Boss|r。|n|n|Cff00ff7f无法在大决战时使用|r</v>
      </c>
      <c r="L146" s="28"/>
      <c r="M146" s="160" t="str">
        <f>VLOOKUP(LEFT(RIGHT(B146,5),4),物品!B:CU,20,FALSE)</f>
        <v>ReplaceableTextures\\CommandButtons\\BTNIN08.blp</v>
      </c>
      <c r="N146" s="28">
        <v>0.8</v>
      </c>
      <c r="O146" s="160" t="s">
        <v>100</v>
      </c>
      <c r="P146" s="28">
        <v>0</v>
      </c>
      <c r="Q146" s="28">
        <v>0</v>
      </c>
      <c r="R146" s="181" t="s">
        <v>83</v>
      </c>
      <c r="S146" s="181" t="s">
        <v>83</v>
      </c>
      <c r="T146" s="181" t="s">
        <v>83</v>
      </c>
      <c r="U146" s="181" t="s">
        <v>83</v>
      </c>
      <c r="V146" s="28"/>
      <c r="W146" s="28" t="s">
        <v>93</v>
      </c>
      <c r="X146" s="28">
        <v>0</v>
      </c>
      <c r="Y146" s="181" t="s">
        <v>83</v>
      </c>
      <c r="Z146" s="28">
        <v>0</v>
      </c>
      <c r="AA146" s="28">
        <v>0</v>
      </c>
      <c r="AB146" s="28">
        <v>10</v>
      </c>
      <c r="AC146" s="28">
        <v>1</v>
      </c>
      <c r="AD146" s="28">
        <v>1</v>
      </c>
      <c r="AE146" s="181" t="s">
        <v>83</v>
      </c>
      <c r="AF146" s="181" t="s">
        <v>83</v>
      </c>
      <c r="AG146" s="181" t="s">
        <v>83</v>
      </c>
      <c r="AH146" s="181" t="s">
        <v>83</v>
      </c>
      <c r="AI146" s="28"/>
      <c r="AJ146" s="28"/>
      <c r="AK146" s="28">
        <v>1</v>
      </c>
      <c r="AL146" s="28">
        <v>1</v>
      </c>
      <c r="AM146" s="181" t="s">
        <v>83</v>
      </c>
      <c r="AN146" s="28">
        <v>1</v>
      </c>
      <c r="AO146" s="28">
        <v>1</v>
      </c>
      <c r="AP146" s="28">
        <v>1</v>
      </c>
    </row>
    <row r="147" spans="1:42">
      <c r="A147" s="157"/>
      <c r="B147" s="28" t="str">
        <f>物品!B147</f>
        <v>IN09</v>
      </c>
      <c r="C147" s="28" t="s">
        <v>41</v>
      </c>
      <c r="D147" s="28" t="s">
        <v>81</v>
      </c>
      <c r="E147" s="28" t="s">
        <v>101</v>
      </c>
      <c r="F147" s="28"/>
      <c r="G147" s="28"/>
      <c r="H147" s="28" t="str">
        <f>VLOOKUP(LEFT(RIGHT(B147,5),4),物品!B:CU,2,FALSE)</f>
        <v>|CffFFC926死者苏生|r</v>
      </c>
      <c r="I147" s="28" t="str">
        <f>VLOOKUP(B147,物品!B:CV,99,FALSE)</f>
        <v>死亡时复活。</v>
      </c>
      <c r="J147" s="159" t="str">
        <f t="shared" si="52"/>
        <v>|CffFFC926死者苏生|r</v>
      </c>
      <c r="K147" s="159" t="str">
        <f t="shared" si="53"/>
        <v>死亡时复活。</v>
      </c>
      <c r="L147" s="28"/>
      <c r="M147" s="160" t="str">
        <f>VLOOKUP(LEFT(RIGHT(B147,5),4),物品!B:CU,20,FALSE)</f>
        <v>ReplaceableTextures\\CommandButtons\\BTNIN09.blp</v>
      </c>
      <c r="N147" s="28">
        <v>0.8</v>
      </c>
      <c r="O147" s="160" t="s">
        <v>100</v>
      </c>
      <c r="P147" s="28">
        <v>0</v>
      </c>
      <c r="Q147" s="28">
        <v>0</v>
      </c>
      <c r="R147" s="181" t="s">
        <v>83</v>
      </c>
      <c r="S147" s="181" t="s">
        <v>83</v>
      </c>
      <c r="T147" s="181" t="s">
        <v>83</v>
      </c>
      <c r="U147" s="181" t="s">
        <v>83</v>
      </c>
      <c r="V147" s="28"/>
      <c r="W147" s="28" t="s">
        <v>93</v>
      </c>
      <c r="X147" s="28">
        <v>0</v>
      </c>
      <c r="Y147" s="181" t="s">
        <v>83</v>
      </c>
      <c r="Z147" s="28">
        <v>0</v>
      </c>
      <c r="AA147" s="28">
        <v>0</v>
      </c>
      <c r="AB147" s="28">
        <v>10</v>
      </c>
      <c r="AC147" s="28">
        <v>1</v>
      </c>
      <c r="AD147" s="28">
        <v>1</v>
      </c>
      <c r="AE147" s="181" t="s">
        <v>83</v>
      </c>
      <c r="AF147" s="181" t="s">
        <v>83</v>
      </c>
      <c r="AG147" s="181" t="s">
        <v>83</v>
      </c>
      <c r="AH147" s="181" t="s">
        <v>83</v>
      </c>
      <c r="AI147" s="28"/>
      <c r="AJ147" s="28"/>
      <c r="AK147" s="28">
        <v>1</v>
      </c>
      <c r="AL147" s="28">
        <v>1</v>
      </c>
      <c r="AM147" s="181" t="s">
        <v>83</v>
      </c>
      <c r="AN147" s="28">
        <v>1</v>
      </c>
      <c r="AO147" s="28">
        <v>1</v>
      </c>
      <c r="AP147" s="28">
        <v>1</v>
      </c>
    </row>
    <row r="148" spans="1:42" ht="14.4">
      <c r="A148" s="157"/>
      <c r="B148" s="28" t="str">
        <f>物品!B148</f>
        <v>IN10</v>
      </c>
      <c r="C148" s="28" t="s">
        <v>41</v>
      </c>
      <c r="D148" s="28" t="s">
        <v>81</v>
      </c>
      <c r="E148" s="28" t="s">
        <v>102</v>
      </c>
      <c r="F148" s="28"/>
      <c r="G148" s="28"/>
      <c r="H148" s="28" t="str">
        <f>VLOOKUP(LEFT(RIGHT(B148,5),4),物品!B:CU,2,FALSE)</f>
        <v>|Cff00BFFF福娃这么可爱..|r</v>
      </c>
      <c r="I148" s="28" t="str">
        <f>VLOOKUP(B148,物品!B:CV,99,FALSE)</f>
        <v>点金一个|Cffffc926练功房福娃|r，获得|Cffffc926300|r倍金币奖励</v>
      </c>
      <c r="J148" s="159" t="str">
        <f t="shared" ref="J148" si="54">H148</f>
        <v>|Cff00BFFF福娃这么可爱..|r</v>
      </c>
      <c r="K148" s="159" t="str">
        <f t="shared" ref="K148" si="55">I148</f>
        <v>点金一个|Cffffc926练功房福娃|r，获得|Cffffc926300|r倍金币奖励</v>
      </c>
      <c r="L148" s="28"/>
      <c r="M148" s="160" t="str">
        <f>VLOOKUP(LEFT(RIGHT(B148,5),4),物品!B:CU,20,FALSE)</f>
        <v>ReplaceableTextures\\CommandButtons\\BTNIN10.blp</v>
      </c>
      <c r="N148" s="181" t="s">
        <v>83</v>
      </c>
      <c r="O148" s="160" t="s">
        <v>94</v>
      </c>
      <c r="P148" s="28">
        <v>0</v>
      </c>
      <c r="Q148" s="28">
        <v>0</v>
      </c>
      <c r="R148" s="181" t="s">
        <v>83</v>
      </c>
      <c r="S148" s="181" t="s">
        <v>83</v>
      </c>
      <c r="T148" s="181" t="s">
        <v>83</v>
      </c>
      <c r="U148" s="181" t="s">
        <v>83</v>
      </c>
      <c r="V148" s="28"/>
      <c r="W148" s="163" t="s">
        <v>103</v>
      </c>
      <c r="X148" s="28">
        <v>0</v>
      </c>
      <c r="Y148" s="181" t="s">
        <v>83</v>
      </c>
      <c r="Z148" s="28">
        <v>0</v>
      </c>
      <c r="AA148" s="28">
        <v>0</v>
      </c>
      <c r="AB148" s="28">
        <v>0</v>
      </c>
      <c r="AC148" s="28">
        <v>1</v>
      </c>
      <c r="AD148" s="28">
        <v>1</v>
      </c>
      <c r="AE148" s="28" t="s">
        <v>102</v>
      </c>
      <c r="AF148" s="28">
        <v>1</v>
      </c>
      <c r="AG148" s="181" t="s">
        <v>83</v>
      </c>
      <c r="AH148" s="181" t="s">
        <v>83</v>
      </c>
      <c r="AI148" s="28"/>
      <c r="AJ148" s="28"/>
      <c r="AK148" s="28">
        <v>1</v>
      </c>
      <c r="AL148" s="28">
        <v>1</v>
      </c>
      <c r="AM148" s="181" t="s">
        <v>83</v>
      </c>
      <c r="AN148" s="28">
        <v>0</v>
      </c>
      <c r="AO148" s="28">
        <v>0</v>
      </c>
      <c r="AP148" s="28">
        <v>1</v>
      </c>
    </row>
    <row r="149" spans="1:42">
      <c r="A149" s="157"/>
      <c r="B149" s="28" t="str">
        <f>物品!B149</f>
        <v>IN11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|CffFFC926奥里给Lo他|r</v>
      </c>
      <c r="I149" s="28" t="str">
        <f>VLOOKUP(B149,物品!B:CV,99,FALSE)</f>
        <v>|CffFFC92610秒|r内提高|Cffffc926100%|r攻击伤害</v>
      </c>
      <c r="J149" s="159" t="str">
        <f t="shared" ref="J149:J155" si="56">H149</f>
        <v>|CffFFC926奥里给Lo他|r</v>
      </c>
      <c r="K149" s="159" t="str">
        <f t="shared" ref="K149:K155" si="57">I149</f>
        <v>|CffFFC92610秒|r内提高|Cffffc926100%|r攻击伤害</v>
      </c>
      <c r="L149" s="28"/>
      <c r="M149" s="160" t="str">
        <f>VLOOKUP(LEFT(RIGHT(B149,5),4),物品!B:CU,20,FALSE)</f>
        <v>ReplaceableTextures\\CommandButtons\\BTNIN11.blp</v>
      </c>
      <c r="N149" s="181" t="s">
        <v>83</v>
      </c>
      <c r="O149" s="160" t="s">
        <v>94</v>
      </c>
      <c r="P149" s="28">
        <v>0</v>
      </c>
      <c r="Q149" s="28">
        <v>0</v>
      </c>
      <c r="R149" s="181" t="s">
        <v>83</v>
      </c>
      <c r="S149" s="181" t="s">
        <v>83</v>
      </c>
      <c r="T149" s="181" t="s">
        <v>83</v>
      </c>
      <c r="U149" s="181" t="s">
        <v>83</v>
      </c>
      <c r="V149" s="28"/>
      <c r="W149" s="28" t="s">
        <v>93</v>
      </c>
      <c r="X149" s="28">
        <v>0</v>
      </c>
      <c r="Y149" s="181" t="s">
        <v>83</v>
      </c>
      <c r="Z149" s="28">
        <v>0</v>
      </c>
      <c r="AA149" s="28">
        <v>0</v>
      </c>
      <c r="AB149" s="28">
        <v>0</v>
      </c>
      <c r="AC149" s="28">
        <v>1</v>
      </c>
      <c r="AD149" s="28">
        <v>1</v>
      </c>
      <c r="AE149" s="181" t="s">
        <v>83</v>
      </c>
      <c r="AF149" s="181" t="s">
        <v>83</v>
      </c>
      <c r="AG149" s="181" t="s">
        <v>83</v>
      </c>
      <c r="AH149" s="181" t="s">
        <v>83</v>
      </c>
      <c r="AI149" s="28"/>
      <c r="AJ149" s="28"/>
      <c r="AK149" s="28">
        <v>1</v>
      </c>
      <c r="AL149" s="28">
        <v>1</v>
      </c>
      <c r="AM149" s="181" t="s">
        <v>83</v>
      </c>
      <c r="AN149" s="28">
        <v>1</v>
      </c>
      <c r="AO149" s="28">
        <v>1</v>
      </c>
      <c r="AP149" s="28">
        <v>1</v>
      </c>
    </row>
    <row r="150" spans="1:42">
      <c r="A150" s="157"/>
      <c r="B150" s="28" t="str">
        <f>物品!B150</f>
        <v>IN12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|CffFF0000以逸待劳|r</v>
      </c>
      <c r="I150" s="28" t="str">
        <f>VLOOKUP(B150,物品!B:CV,99,FALSE)</f>
        <v>在|Cffffc926基地-周文王|r附近召唤|Cffffc9261|r个|Cffffc926黑市商店|r，仅存在|Cffffc92630|r秒。</v>
      </c>
      <c r="J150" s="159" t="str">
        <f t="shared" si="56"/>
        <v>|CffFF0000以逸待劳|r</v>
      </c>
      <c r="K150" s="159" t="str">
        <f t="shared" si="57"/>
        <v>在|Cffffc926基地-周文王|r附近召唤|Cffffc9261|r个|Cffffc926黑市商店|r，仅存在|Cffffc92630|r秒。</v>
      </c>
      <c r="L150" s="28"/>
      <c r="M150" s="160" t="str">
        <f>VLOOKUP(LEFT(RIGHT(B150,5),4),物品!B:CU,20,FALSE)</f>
        <v>ReplaceableTextures\\CommandButtons\\BTNIN12.blp</v>
      </c>
      <c r="N150" s="181" t="s">
        <v>83</v>
      </c>
      <c r="O150" s="160" t="s">
        <v>94</v>
      </c>
      <c r="P150" s="28">
        <v>0</v>
      </c>
      <c r="Q150" s="28">
        <v>0</v>
      </c>
      <c r="R150" s="181" t="s">
        <v>83</v>
      </c>
      <c r="S150" s="181" t="s">
        <v>83</v>
      </c>
      <c r="T150" s="181" t="s">
        <v>83</v>
      </c>
      <c r="U150" s="181" t="s">
        <v>83</v>
      </c>
      <c r="V150" s="28"/>
      <c r="W150" s="28" t="s">
        <v>93</v>
      </c>
      <c r="X150" s="28">
        <v>0</v>
      </c>
      <c r="Y150" s="181" t="s">
        <v>83</v>
      </c>
      <c r="Z150" s="28">
        <v>0</v>
      </c>
      <c r="AA150" s="28">
        <v>0</v>
      </c>
      <c r="AB150" s="28">
        <v>0</v>
      </c>
      <c r="AC150" s="28">
        <v>1</v>
      </c>
      <c r="AD150" s="28">
        <v>1</v>
      </c>
      <c r="AE150" s="181" t="s">
        <v>83</v>
      </c>
      <c r="AF150" s="181" t="s">
        <v>83</v>
      </c>
      <c r="AG150" s="181" t="s">
        <v>83</v>
      </c>
      <c r="AH150" s="181" t="s">
        <v>83</v>
      </c>
      <c r="AI150" s="28"/>
      <c r="AJ150" s="28"/>
      <c r="AK150" s="28">
        <v>1</v>
      </c>
      <c r="AL150" s="28">
        <v>1</v>
      </c>
      <c r="AM150" s="181" t="s">
        <v>83</v>
      </c>
      <c r="AN150" s="28">
        <v>1</v>
      </c>
      <c r="AO150" s="28">
        <v>1</v>
      </c>
      <c r="AP150" s="28">
        <v>1</v>
      </c>
    </row>
    <row r="151" spans="1:42">
      <c r="A151" s="157"/>
      <c r="B151" s="28" t="str">
        <f>物品!B151</f>
        <v>IN13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|CffFF0000全军出击|r</v>
      </c>
      <c r="I151" s="28" t="str">
        <f>VLOOKUP(B151,物品!B:CV,99,FALSE)</f>
        <v>场上存活的队友|Cffffc92615|r秒内提高|Cffffc92650%|r技能伤害</v>
      </c>
      <c r="J151" s="159" t="str">
        <f t="shared" si="56"/>
        <v>|CffFF0000全军出击|r</v>
      </c>
      <c r="K151" s="159" t="str">
        <f t="shared" si="57"/>
        <v>场上存活的队友|Cffffc92615|r秒内提高|Cffffc92650%|r技能伤害</v>
      </c>
      <c r="L151" s="28"/>
      <c r="M151" s="160" t="str">
        <f>VLOOKUP(LEFT(RIGHT(B151,5),4),物品!B:CU,20,FALSE)</f>
        <v>ReplaceableTextures\\CommandButtons\\BTNIN13.blp</v>
      </c>
      <c r="N151" s="181" t="s">
        <v>83</v>
      </c>
      <c r="O151" s="160" t="s">
        <v>94</v>
      </c>
      <c r="P151" s="28">
        <v>0</v>
      </c>
      <c r="Q151" s="28">
        <v>0</v>
      </c>
      <c r="R151" s="181" t="s">
        <v>83</v>
      </c>
      <c r="S151" s="181" t="s">
        <v>83</v>
      </c>
      <c r="T151" s="181" t="s">
        <v>83</v>
      </c>
      <c r="U151" s="181" t="s">
        <v>83</v>
      </c>
      <c r="V151" s="28"/>
      <c r="W151" s="28" t="s">
        <v>93</v>
      </c>
      <c r="X151" s="28">
        <v>0</v>
      </c>
      <c r="Y151" s="181" t="s">
        <v>83</v>
      </c>
      <c r="Z151" s="28">
        <v>0</v>
      </c>
      <c r="AA151" s="28">
        <v>0</v>
      </c>
      <c r="AB151" s="28">
        <v>0</v>
      </c>
      <c r="AC151" s="28">
        <v>1</v>
      </c>
      <c r="AD151" s="28">
        <v>1</v>
      </c>
      <c r="AE151" s="181" t="s">
        <v>83</v>
      </c>
      <c r="AF151" s="181" t="s">
        <v>83</v>
      </c>
      <c r="AG151" s="181" t="s">
        <v>83</v>
      </c>
      <c r="AH151" s="181" t="s">
        <v>83</v>
      </c>
      <c r="AI151" s="28"/>
      <c r="AJ151" s="28"/>
      <c r="AK151" s="28">
        <v>1</v>
      </c>
      <c r="AL151" s="28">
        <v>1</v>
      </c>
      <c r="AM151" s="181" t="s">
        <v>83</v>
      </c>
      <c r="AN151" s="28">
        <v>1</v>
      </c>
      <c r="AO151" s="28">
        <v>1</v>
      </c>
      <c r="AP151" s="28">
        <v>1</v>
      </c>
    </row>
    <row r="152" spans="1:42">
      <c r="A152" s="157"/>
      <c r="B152" s="28" t="str">
        <f>物品!B152</f>
        <v>IN14</v>
      </c>
      <c r="C152" s="28" t="s">
        <v>41</v>
      </c>
      <c r="D152" s="28" t="s">
        <v>81</v>
      </c>
      <c r="E152" s="28" t="s">
        <v>82</v>
      </c>
      <c r="F152" s="28"/>
      <c r="G152" s="28"/>
      <c r="H152" s="28" t="str">
        <f>VLOOKUP(LEFT(RIGHT(B152,5),4),物品!B:CU,2,FALSE)</f>
        <v>|CffFFC926心跳时刻|r</v>
      </c>
      <c r="I152" s="28" t="str">
        <f>VLOOKUP(B152,物品!B:CV,99,FALSE)</f>
        <v>使用后基地无敌|Cffffc92610|r秒。</v>
      </c>
      <c r="J152" s="159" t="str">
        <f t="shared" si="56"/>
        <v>|CffFFC926心跳时刻|r</v>
      </c>
      <c r="K152" s="159" t="str">
        <f t="shared" si="57"/>
        <v>使用后基地无敌|Cffffc92610|r秒。</v>
      </c>
      <c r="L152" s="28"/>
      <c r="M152" s="160" t="str">
        <f>VLOOKUP(LEFT(RIGHT(B152,5),4),物品!B:CU,20,FALSE)</f>
        <v>ReplaceableTextures\\CommandButtons\\BTNIN14.blp</v>
      </c>
      <c r="N152" s="181" t="s">
        <v>83</v>
      </c>
      <c r="O152" s="160" t="s">
        <v>94</v>
      </c>
      <c r="P152" s="28">
        <v>0</v>
      </c>
      <c r="Q152" s="28">
        <v>0</v>
      </c>
      <c r="R152" s="181" t="s">
        <v>83</v>
      </c>
      <c r="S152" s="181" t="s">
        <v>83</v>
      </c>
      <c r="T152" s="181" t="s">
        <v>83</v>
      </c>
      <c r="U152" s="181" t="s">
        <v>83</v>
      </c>
      <c r="V152" s="28"/>
      <c r="W152" s="28" t="s">
        <v>93</v>
      </c>
      <c r="X152" s="28">
        <v>0</v>
      </c>
      <c r="Y152" s="181" t="s">
        <v>83</v>
      </c>
      <c r="Z152" s="28">
        <v>0</v>
      </c>
      <c r="AA152" s="28">
        <v>0</v>
      </c>
      <c r="AB152" s="28">
        <v>0</v>
      </c>
      <c r="AC152" s="28">
        <v>1</v>
      </c>
      <c r="AD152" s="28">
        <v>1</v>
      </c>
      <c r="AE152" s="181" t="s">
        <v>83</v>
      </c>
      <c r="AF152" s="181" t="s">
        <v>83</v>
      </c>
      <c r="AG152" s="181" t="s">
        <v>83</v>
      </c>
      <c r="AH152" s="181" t="s">
        <v>83</v>
      </c>
      <c r="AI152" s="28"/>
      <c r="AJ152" s="28"/>
      <c r="AK152" s="28">
        <v>1</v>
      </c>
      <c r="AL152" s="28">
        <v>1</v>
      </c>
      <c r="AM152" s="181" t="s">
        <v>83</v>
      </c>
      <c r="AN152" s="28">
        <v>1</v>
      </c>
      <c r="AO152" s="28">
        <v>1</v>
      </c>
      <c r="AP152" s="28">
        <v>1</v>
      </c>
    </row>
    <row r="153" spans="1:42">
      <c r="A153" s="157"/>
      <c r="B153" s="28" t="str">
        <f>物品!B153</f>
        <v>IN15</v>
      </c>
      <c r="C153" s="28" t="s">
        <v>41</v>
      </c>
      <c r="D153" s="28" t="s">
        <v>81</v>
      </c>
      <c r="E153" s="28" t="s">
        <v>82</v>
      </c>
      <c r="F153" s="28"/>
      <c r="G153" s="28"/>
      <c r="H153" s="28" t="str">
        <f>VLOOKUP(LEFT(RIGHT(B153,5),4),物品!B:CU,2,FALSE)</f>
        <v>|CffFFC926据守|r</v>
      </c>
      <c r="I153" s="28" t="str">
        <f>VLOOKUP(B153,物品!B:CV,99,FALSE)</f>
        <v>场上存活的队友|Cffffc92615|r秒内减少|Cffffc92620%|r承受伤害</v>
      </c>
      <c r="J153" s="159" t="str">
        <f t="shared" si="56"/>
        <v>|CffFFC926据守|r</v>
      </c>
      <c r="K153" s="159" t="str">
        <f t="shared" si="57"/>
        <v>场上存活的队友|Cffffc92615|r秒内减少|Cffffc92620%|r承受伤害</v>
      </c>
      <c r="L153" s="28"/>
      <c r="M153" s="160" t="str">
        <f>VLOOKUP(LEFT(RIGHT(B153,5),4),物品!B:CU,20,FALSE)</f>
        <v>ReplaceableTextures\\CommandButtons\\BTNIN15.blp</v>
      </c>
      <c r="N153" s="181" t="s">
        <v>83</v>
      </c>
      <c r="O153" s="160" t="s">
        <v>94</v>
      </c>
      <c r="P153" s="28">
        <v>0</v>
      </c>
      <c r="Q153" s="28">
        <v>0</v>
      </c>
      <c r="R153" s="181" t="s">
        <v>83</v>
      </c>
      <c r="S153" s="181" t="s">
        <v>83</v>
      </c>
      <c r="T153" s="181" t="s">
        <v>83</v>
      </c>
      <c r="U153" s="181" t="s">
        <v>83</v>
      </c>
      <c r="V153" s="28"/>
      <c r="W153" s="28" t="s">
        <v>93</v>
      </c>
      <c r="X153" s="28">
        <v>0</v>
      </c>
      <c r="Y153" s="181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181" t="s">
        <v>83</v>
      </c>
      <c r="AF153" s="181" t="s">
        <v>83</v>
      </c>
      <c r="AG153" s="181" t="s">
        <v>83</v>
      </c>
      <c r="AH153" s="181" t="s">
        <v>83</v>
      </c>
      <c r="AI153" s="28"/>
      <c r="AJ153" s="28"/>
      <c r="AK153" s="28">
        <v>1</v>
      </c>
      <c r="AL153" s="28">
        <v>1</v>
      </c>
      <c r="AM153" s="181" t="s">
        <v>83</v>
      </c>
      <c r="AN153" s="28">
        <v>1</v>
      </c>
      <c r="AO153" s="28">
        <v>1</v>
      </c>
      <c r="AP153" s="28">
        <v>1</v>
      </c>
    </row>
    <row r="154" spans="1:42">
      <c r="A154" s="157"/>
      <c r="B154" s="28" t="str">
        <f>物品!B154</f>
        <v>IN16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赌输可退</v>
      </c>
      <c r="I154" s="28" t="str">
        <f>VLOOKUP(B154,物品!B:CV,99,FALSE)</f>
        <v>使|Cffffd24d1|r个|Cffffd24d道果品质|r提高|Cffffd24d-1~+2|r。|n|n|Cff00ff7f只能对天级【7】或以下的道果使用|r</v>
      </c>
      <c r="J154" s="159" t="str">
        <f t="shared" si="56"/>
        <v>赌输可退</v>
      </c>
      <c r="K154" s="159" t="str">
        <f t="shared" si="57"/>
        <v>使|Cffffd24d1|r个|Cffffd24d道果品质|r提高|Cffffd24d-1~+2|r。|n|n|Cff00ff7f只能对天级【7】或以下的道果使用|r</v>
      </c>
      <c r="L154" s="28"/>
      <c r="M154" s="160" t="str">
        <f>VLOOKUP(LEFT(RIGHT(B154,5),4),物品!B:CU,20,FALSE)</f>
        <v>ReplaceableTextures\\CommandButtons\\BTNIN16.blp</v>
      </c>
      <c r="N154" s="181" t="s">
        <v>83</v>
      </c>
      <c r="O154" s="160" t="s">
        <v>94</v>
      </c>
      <c r="P154" s="28">
        <v>0</v>
      </c>
      <c r="Q154" s="28">
        <v>0</v>
      </c>
      <c r="R154" s="181" t="s">
        <v>83</v>
      </c>
      <c r="S154" s="181" t="s">
        <v>83</v>
      </c>
      <c r="T154" s="181" t="s">
        <v>83</v>
      </c>
      <c r="U154" s="181" t="s">
        <v>83</v>
      </c>
      <c r="V154" s="28"/>
      <c r="W154" s="28" t="s">
        <v>93</v>
      </c>
      <c r="X154" s="28">
        <v>0</v>
      </c>
      <c r="Y154" s="181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81" t="s">
        <v>83</v>
      </c>
      <c r="AF154" s="181" t="s">
        <v>83</v>
      </c>
      <c r="AG154" s="181" t="s">
        <v>83</v>
      </c>
      <c r="AH154" s="181" t="s">
        <v>83</v>
      </c>
      <c r="AI154" s="28"/>
      <c r="AJ154" s="28"/>
      <c r="AK154" s="28">
        <v>1</v>
      </c>
      <c r="AL154" s="28">
        <v>1</v>
      </c>
      <c r="AM154" s="181" t="s">
        <v>83</v>
      </c>
      <c r="AN154" s="28">
        <v>1</v>
      </c>
      <c r="AO154" s="28">
        <v>1</v>
      </c>
      <c r="AP154" s="28">
        <v>1</v>
      </c>
    </row>
    <row r="155" spans="1:42">
      <c r="A155" s="157"/>
      <c r="B155" s="28" t="str">
        <f>物品!B155</f>
        <v>IN17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|Cff00BFFF来点玄铁|r</v>
      </c>
      <c r="I155" s="28" t="str">
        <f>VLOOKUP(B155,物品!B:CV,99,FALSE)</f>
        <v>玄铁|Cffffc926+5~20|r</v>
      </c>
      <c r="J155" s="159" t="str">
        <f t="shared" si="56"/>
        <v>|Cff00BFFF来点玄铁|r</v>
      </c>
      <c r="K155" s="159" t="str">
        <f t="shared" si="57"/>
        <v>玄铁|Cffffc926+5~20|r</v>
      </c>
      <c r="L155" s="28"/>
      <c r="M155" s="160" t="str">
        <f>VLOOKUP(LEFT(RIGHT(B155,5),4),物品!B:CU,20,FALSE)</f>
        <v>ReplaceableTextures\\CommandButtons\\BTNIN17.blp</v>
      </c>
      <c r="N155" s="181" t="s">
        <v>83</v>
      </c>
      <c r="O155" s="160" t="s">
        <v>94</v>
      </c>
      <c r="P155" s="28">
        <v>0</v>
      </c>
      <c r="Q155" s="28">
        <v>0</v>
      </c>
      <c r="R155" s="181" t="s">
        <v>83</v>
      </c>
      <c r="S155" s="181" t="s">
        <v>83</v>
      </c>
      <c r="T155" s="181" t="s">
        <v>83</v>
      </c>
      <c r="U155" s="181" t="s">
        <v>83</v>
      </c>
      <c r="V155" s="28"/>
      <c r="W155" s="28" t="s">
        <v>93</v>
      </c>
      <c r="X155" s="28">
        <v>0</v>
      </c>
      <c r="Y155" s="181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81" t="s">
        <v>83</v>
      </c>
      <c r="AF155" s="181" t="s">
        <v>83</v>
      </c>
      <c r="AG155" s="181" t="s">
        <v>83</v>
      </c>
      <c r="AH155" s="181" t="s">
        <v>83</v>
      </c>
      <c r="AI155" s="28"/>
      <c r="AJ155" s="28"/>
      <c r="AK155" s="28">
        <v>1</v>
      </c>
      <c r="AL155" s="28">
        <v>1</v>
      </c>
      <c r="AM155" s="181" t="s">
        <v>83</v>
      </c>
      <c r="AN155" s="28">
        <v>1</v>
      </c>
      <c r="AO155" s="28">
        <v>1</v>
      </c>
      <c r="AP155" s="28">
        <v>1</v>
      </c>
    </row>
    <row r="156" spans="1:42">
      <c r="A156" s="157"/>
      <c r="B156" s="28" t="str">
        <f>物品!B156</f>
        <v>IN18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|CffFFC926恭喜发财|r</v>
      </c>
      <c r="I156" s="28" t="str">
        <f>VLOOKUP(B156,物品!B:CV,99,FALSE)</f>
        <v>|CffFFC92630|r秒内金币加成|Cffffc926+50%|r</v>
      </c>
      <c r="J156" s="159" t="str">
        <f t="shared" ref="J156" si="58">H156</f>
        <v>|CffFFC926恭喜发财|r</v>
      </c>
      <c r="K156" s="159" t="str">
        <f t="shared" ref="K156" si="59">I156</f>
        <v>|CffFFC92630|r秒内金币加成|Cffffc926+50%|r</v>
      </c>
      <c r="L156" s="28"/>
      <c r="M156" s="160" t="str">
        <f>VLOOKUP(LEFT(RIGHT(B156,5),4),物品!B:CU,20,FALSE)</f>
        <v>ReplaceableTextures\\CommandButtons\\BTNIN18.blp</v>
      </c>
      <c r="N156" s="181" t="s">
        <v>83</v>
      </c>
      <c r="O156" s="160" t="s">
        <v>94</v>
      </c>
      <c r="P156" s="28">
        <v>0</v>
      </c>
      <c r="Q156" s="28">
        <v>0</v>
      </c>
      <c r="R156" s="181" t="s">
        <v>83</v>
      </c>
      <c r="S156" s="181" t="s">
        <v>83</v>
      </c>
      <c r="T156" s="181" t="s">
        <v>83</v>
      </c>
      <c r="U156" s="181" t="s">
        <v>83</v>
      </c>
      <c r="V156" s="28"/>
      <c r="W156" s="28" t="s">
        <v>93</v>
      </c>
      <c r="X156" s="28">
        <v>0</v>
      </c>
      <c r="Y156" s="181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81" t="s">
        <v>83</v>
      </c>
      <c r="AF156" s="181" t="s">
        <v>83</v>
      </c>
      <c r="AG156" s="181" t="s">
        <v>83</v>
      </c>
      <c r="AH156" s="181" t="s">
        <v>83</v>
      </c>
      <c r="AI156" s="28"/>
      <c r="AJ156" s="28"/>
      <c r="AK156" s="28">
        <v>1</v>
      </c>
      <c r="AL156" s="28">
        <v>1</v>
      </c>
      <c r="AM156" s="181" t="s">
        <v>83</v>
      </c>
      <c r="AN156" s="28">
        <v>1</v>
      </c>
      <c r="AO156" s="28">
        <v>1</v>
      </c>
      <c r="AP156" s="28">
        <v>1</v>
      </c>
    </row>
    <row r="157" spans="1:42">
      <c r="A157" s="157"/>
      <c r="B157" s="28" t="str">
        <f>物品!B157</f>
        <v>IN19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附魔宝箱</v>
      </c>
      <c r="I157" s="28" t="str">
        <f>VLOOKUP(B157,物品!B:CV,99,FALSE)</f>
        <v>使用后获得|Cffffc926随机类型技能附魔石|r</v>
      </c>
      <c r="J157" s="159" t="str">
        <f t="shared" ref="J157:J165" si="60">H157</f>
        <v>附魔宝箱</v>
      </c>
      <c r="K157" s="159" t="str">
        <f t="shared" ref="K157:K165" si="61">I157</f>
        <v>使用后获得|Cffffc926随机类型技能附魔石|r</v>
      </c>
      <c r="L157" s="28"/>
      <c r="M157" s="160" t="str">
        <f>VLOOKUP(LEFT(RIGHT(B157,5),4),物品!B:CU,20,FALSE)</f>
        <v>ReplaceableTextures\\CommandButtons\\BTNIN16.blp</v>
      </c>
      <c r="N157" s="181" t="s">
        <v>83</v>
      </c>
      <c r="O157" s="160" t="s">
        <v>104</v>
      </c>
      <c r="P157" s="28">
        <v>0</v>
      </c>
      <c r="Q157" s="28">
        <v>0</v>
      </c>
      <c r="R157" s="181" t="s">
        <v>83</v>
      </c>
      <c r="S157" s="181" t="s">
        <v>83</v>
      </c>
      <c r="T157" s="181" t="s">
        <v>83</v>
      </c>
      <c r="U157" s="181" t="s">
        <v>83</v>
      </c>
      <c r="V157" s="28"/>
      <c r="W157" s="28" t="s">
        <v>93</v>
      </c>
      <c r="X157" s="28">
        <v>0</v>
      </c>
      <c r="Y157" s="181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81" t="s">
        <v>83</v>
      </c>
      <c r="AF157" s="181" t="s">
        <v>83</v>
      </c>
      <c r="AG157" s="181" t="s">
        <v>83</v>
      </c>
      <c r="AH157" s="181" t="s">
        <v>83</v>
      </c>
      <c r="AI157" s="28"/>
      <c r="AJ157" s="28"/>
      <c r="AK157" s="28">
        <v>1</v>
      </c>
      <c r="AL157" s="28">
        <v>1</v>
      </c>
      <c r="AM157" s="181" t="s">
        <v>83</v>
      </c>
      <c r="AN157" s="28">
        <v>1</v>
      </c>
      <c r="AO157" s="28">
        <v>1</v>
      </c>
      <c r="AP157" s="28">
        <v>1</v>
      </c>
    </row>
    <row r="158" spans="1:42">
      <c r="A158" s="157"/>
      <c r="B158" s="28" t="str">
        <f>物品!B158</f>
        <v>IN20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|CffFFC926鼠年大吉|r</v>
      </c>
      <c r="I158" s="28" t="str">
        <f>VLOOKUP(B158,物品!B:CV,99,FALSE)</f>
        <v>|CffFFC92630|r秒内杀敌金币|Cffffc926+25|r</v>
      </c>
      <c r="J158" s="159" t="str">
        <f t="shared" si="60"/>
        <v>|CffFFC926鼠年大吉|r</v>
      </c>
      <c r="K158" s="159" t="str">
        <f t="shared" si="61"/>
        <v>|CffFFC92630|r秒内杀敌金币|Cffffc926+25|r</v>
      </c>
      <c r="L158" s="28"/>
      <c r="M158" s="160" t="str">
        <f>VLOOKUP(LEFT(RIGHT(B158,5),4),物品!B:CU,20,FALSE)</f>
        <v>ReplaceableTextures\\CommandButtons\\BTNIN20.blp</v>
      </c>
      <c r="N158" s="181" t="s">
        <v>83</v>
      </c>
      <c r="O158" s="160" t="s">
        <v>94</v>
      </c>
      <c r="P158" s="28">
        <v>0</v>
      </c>
      <c r="Q158" s="28">
        <v>0</v>
      </c>
      <c r="R158" s="181" t="s">
        <v>83</v>
      </c>
      <c r="S158" s="181" t="s">
        <v>83</v>
      </c>
      <c r="T158" s="181" t="s">
        <v>83</v>
      </c>
      <c r="U158" s="181" t="s">
        <v>83</v>
      </c>
      <c r="V158" s="28"/>
      <c r="W158" s="28" t="s">
        <v>93</v>
      </c>
      <c r="X158" s="28">
        <v>0</v>
      </c>
      <c r="Y158" s="181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81" t="s">
        <v>83</v>
      </c>
      <c r="AF158" s="181" t="s">
        <v>83</v>
      </c>
      <c r="AG158" s="181" t="s">
        <v>83</v>
      </c>
      <c r="AH158" s="181" t="s">
        <v>83</v>
      </c>
      <c r="AI158" s="28"/>
      <c r="AJ158" s="28"/>
      <c r="AK158" s="28">
        <v>1</v>
      </c>
      <c r="AL158" s="28">
        <v>1</v>
      </c>
      <c r="AM158" s="181" t="s">
        <v>83</v>
      </c>
      <c r="AN158" s="28">
        <v>1</v>
      </c>
      <c r="AO158" s="28">
        <v>1</v>
      </c>
      <c r="AP158" s="28">
        <v>1</v>
      </c>
    </row>
    <row r="159" spans="1:42">
      <c r="A159" s="157"/>
      <c r="B159" s="28" t="str">
        <f>物品!B159</f>
        <v>IN21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|Cff00FF7F小金库|r</v>
      </c>
      <c r="I159" s="28" t="str">
        <f>VLOOKUP(B159,物品!B:CV,99,FALSE)</f>
        <v>金币|Cffffc926+888~8888|r</v>
      </c>
      <c r="J159" s="159" t="str">
        <f t="shared" si="60"/>
        <v>|Cff00FF7F小金库|r</v>
      </c>
      <c r="K159" s="159" t="str">
        <f t="shared" si="61"/>
        <v>金币|Cffffc926+888~8888|r</v>
      </c>
      <c r="L159" s="28"/>
      <c r="M159" s="160" t="str">
        <f>VLOOKUP(LEFT(RIGHT(B159,5),4),物品!B:CU,20,FALSE)</f>
        <v>ReplaceableTextures\\CommandButtons\\BTNIN21.blp</v>
      </c>
      <c r="N159" s="181" t="s">
        <v>83</v>
      </c>
      <c r="O159" s="160" t="s">
        <v>94</v>
      </c>
      <c r="P159" s="28">
        <v>0</v>
      </c>
      <c r="Q159" s="28">
        <v>0</v>
      </c>
      <c r="R159" s="181" t="s">
        <v>83</v>
      </c>
      <c r="S159" s="181" t="s">
        <v>83</v>
      </c>
      <c r="T159" s="181" t="s">
        <v>83</v>
      </c>
      <c r="U159" s="181" t="s">
        <v>83</v>
      </c>
      <c r="V159" s="28"/>
      <c r="W159" s="28" t="s">
        <v>93</v>
      </c>
      <c r="X159" s="28">
        <v>0</v>
      </c>
      <c r="Y159" s="181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81" t="s">
        <v>83</v>
      </c>
      <c r="AF159" s="181" t="s">
        <v>83</v>
      </c>
      <c r="AG159" s="181" t="s">
        <v>83</v>
      </c>
      <c r="AH159" s="181" t="s">
        <v>83</v>
      </c>
      <c r="AI159" s="28"/>
      <c r="AJ159" s="28"/>
      <c r="AK159" s="28">
        <v>1</v>
      </c>
      <c r="AL159" s="28">
        <v>1</v>
      </c>
      <c r="AM159" s="181" t="s">
        <v>83</v>
      </c>
      <c r="AN159" s="28">
        <v>1</v>
      </c>
      <c r="AO159" s="28">
        <v>1</v>
      </c>
      <c r="AP159" s="28">
        <v>1</v>
      </c>
    </row>
    <row r="160" spans="1:42">
      <c r="A160" s="157"/>
      <c r="B160" s="28" t="str">
        <f>物品!B160</f>
        <v>IN22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|Cff00BFFF小银行|r</v>
      </c>
      <c r="I160" s="28" t="str">
        <f>VLOOKUP(B160,物品!B:CV,99,FALSE)</f>
        <v>金币|Cffffc926+2888~18888|r</v>
      </c>
      <c r="J160" s="159" t="str">
        <f t="shared" si="60"/>
        <v>|Cff00BFFF小银行|r</v>
      </c>
      <c r="K160" s="159" t="str">
        <f t="shared" si="61"/>
        <v>金币|Cffffc926+2888~18888|r</v>
      </c>
      <c r="L160" s="28"/>
      <c r="M160" s="160" t="str">
        <f>VLOOKUP(LEFT(RIGHT(B160,5),4),物品!B:CU,20,FALSE)</f>
        <v>ReplaceableTextures\\CommandButtons\\BTNIN22.blp</v>
      </c>
      <c r="N160" s="181" t="s">
        <v>83</v>
      </c>
      <c r="O160" s="160" t="s">
        <v>94</v>
      </c>
      <c r="P160" s="28">
        <v>0</v>
      </c>
      <c r="Q160" s="28">
        <v>0</v>
      </c>
      <c r="R160" s="181" t="s">
        <v>83</v>
      </c>
      <c r="S160" s="181" t="s">
        <v>83</v>
      </c>
      <c r="T160" s="181" t="s">
        <v>83</v>
      </c>
      <c r="U160" s="181" t="s">
        <v>83</v>
      </c>
      <c r="V160" s="28"/>
      <c r="W160" s="28" t="s">
        <v>93</v>
      </c>
      <c r="X160" s="28">
        <v>0</v>
      </c>
      <c r="Y160" s="181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81" t="s">
        <v>83</v>
      </c>
      <c r="AF160" s="181" t="s">
        <v>83</v>
      </c>
      <c r="AG160" s="181" t="s">
        <v>83</v>
      </c>
      <c r="AH160" s="181" t="s">
        <v>83</v>
      </c>
      <c r="AI160" s="28"/>
      <c r="AJ160" s="28"/>
      <c r="AK160" s="28">
        <v>1</v>
      </c>
      <c r="AL160" s="28">
        <v>1</v>
      </c>
      <c r="AM160" s="181" t="s">
        <v>83</v>
      </c>
      <c r="AN160" s="28">
        <v>1</v>
      </c>
      <c r="AO160" s="28">
        <v>1</v>
      </c>
      <c r="AP160" s="28">
        <v>1</v>
      </c>
    </row>
    <row r="161" spans="1:42">
      <c r="A161" s="157"/>
      <c r="B161" s="28" t="str">
        <f>物品!B161</f>
        <v>IN23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|CffFFC926大金矿|r</v>
      </c>
      <c r="I161" s="28" t="str">
        <f>VLOOKUP(B161,物品!B:CV,99,FALSE)</f>
        <v>金币|Cffffc926+8888~88888|r</v>
      </c>
      <c r="J161" s="159" t="str">
        <f t="shared" si="60"/>
        <v>|CffFFC926大金矿|r</v>
      </c>
      <c r="K161" s="159" t="str">
        <f t="shared" si="61"/>
        <v>金币|Cffffc926+8888~88888|r</v>
      </c>
      <c r="L161" s="28"/>
      <c r="M161" s="160" t="str">
        <f>VLOOKUP(LEFT(RIGHT(B161,5),4),物品!B:CU,20,FALSE)</f>
        <v>ReplaceableTextures\\CommandButtons\\BTNIN23.blp</v>
      </c>
      <c r="N161" s="181" t="s">
        <v>83</v>
      </c>
      <c r="O161" s="160" t="s">
        <v>94</v>
      </c>
      <c r="P161" s="28">
        <v>0</v>
      </c>
      <c r="Q161" s="28">
        <v>0</v>
      </c>
      <c r="R161" s="181" t="s">
        <v>83</v>
      </c>
      <c r="S161" s="181" t="s">
        <v>83</v>
      </c>
      <c r="T161" s="181" t="s">
        <v>83</v>
      </c>
      <c r="U161" s="181" t="s">
        <v>83</v>
      </c>
      <c r="V161" s="28"/>
      <c r="W161" s="28" t="s">
        <v>93</v>
      </c>
      <c r="X161" s="28">
        <v>0</v>
      </c>
      <c r="Y161" s="181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81" t="s">
        <v>83</v>
      </c>
      <c r="AF161" s="181" t="s">
        <v>83</v>
      </c>
      <c r="AG161" s="181" t="s">
        <v>83</v>
      </c>
      <c r="AH161" s="181" t="s">
        <v>83</v>
      </c>
      <c r="AI161" s="28"/>
      <c r="AJ161" s="28"/>
      <c r="AK161" s="28">
        <v>1</v>
      </c>
      <c r="AL161" s="28">
        <v>1</v>
      </c>
      <c r="AM161" s="181" t="s">
        <v>83</v>
      </c>
      <c r="AN161" s="28">
        <v>1</v>
      </c>
      <c r="AO161" s="28">
        <v>1</v>
      </c>
      <c r="AP161" s="28">
        <v>1</v>
      </c>
    </row>
    <row r="162" spans="1:42">
      <c r="A162" s="157"/>
      <c r="B162" s="28" t="str">
        <f>物品!B162</f>
        <v>IN24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|Cff00FF7F培元丹|r</v>
      </c>
      <c r="I162" s="28" t="str">
        <f>VLOOKUP(B162,物品!B:CV,99,FALSE)</f>
        <v>攻击|Cffffc926+1000|r</v>
      </c>
      <c r="J162" s="159" t="str">
        <f t="shared" si="60"/>
        <v>|Cff00FF7F培元丹|r</v>
      </c>
      <c r="K162" s="159" t="str">
        <f t="shared" si="61"/>
        <v>攻击|Cffffc926+1000|r</v>
      </c>
      <c r="L162" s="28"/>
      <c r="M162" s="160" t="str">
        <f>VLOOKUP(LEFT(RIGHT(B162,5),4),物品!B:CU,20,FALSE)</f>
        <v>ReplaceableTextures\\CommandButtons\\BTNIN24.blp</v>
      </c>
      <c r="N162" s="181" t="s">
        <v>83</v>
      </c>
      <c r="O162" s="160" t="s">
        <v>94</v>
      </c>
      <c r="P162" s="28">
        <v>0</v>
      </c>
      <c r="Q162" s="28">
        <v>0</v>
      </c>
      <c r="R162" s="181" t="s">
        <v>83</v>
      </c>
      <c r="S162" s="181" t="s">
        <v>83</v>
      </c>
      <c r="T162" s="181" t="s">
        <v>83</v>
      </c>
      <c r="U162" s="181" t="s">
        <v>83</v>
      </c>
      <c r="V162" s="28"/>
      <c r="W162" s="28" t="s">
        <v>93</v>
      </c>
      <c r="X162" s="28">
        <v>0</v>
      </c>
      <c r="Y162" s="181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81" t="s">
        <v>83</v>
      </c>
      <c r="AF162" s="181" t="s">
        <v>83</v>
      </c>
      <c r="AG162" s="181" t="s">
        <v>83</v>
      </c>
      <c r="AH162" s="181" t="s">
        <v>83</v>
      </c>
      <c r="AI162" s="28"/>
      <c r="AJ162" s="28"/>
      <c r="AK162" s="28">
        <v>1</v>
      </c>
      <c r="AL162" s="28">
        <v>1</v>
      </c>
      <c r="AM162" s="181" t="s">
        <v>83</v>
      </c>
      <c r="AN162" s="28">
        <v>1</v>
      </c>
      <c r="AO162" s="28">
        <v>1</v>
      </c>
      <c r="AP162" s="28">
        <v>1</v>
      </c>
    </row>
    <row r="163" spans="1:42">
      <c r="A163" s="157"/>
      <c r="B163" s="28" t="str">
        <f>物品!B163</f>
        <v>IN25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|Cff00BFFF入门道果箱|r</v>
      </c>
      <c r="I163" s="28" t="str">
        <f>VLOOKUP(B163,物品!B:CV,99,FALSE)</f>
        <v>打开后有几率获得以下奖励：|n【随机品质】中级道果|n|Cff00ff7f【随机品质】高级道果|r</v>
      </c>
      <c r="J163" s="159" t="str">
        <f t="shared" si="60"/>
        <v>|Cff00BFFF入门道果箱|r</v>
      </c>
      <c r="K163" s="159" t="str">
        <f t="shared" si="61"/>
        <v>打开后有几率获得以下奖励：|n【随机品质】中级道果|n|Cff00ff7f【随机品质】高级道果|r</v>
      </c>
      <c r="L163" s="28"/>
      <c r="M163" s="160" t="str">
        <f>VLOOKUP(LEFT(RIGHT(B163,5),4),物品!B:CU,20,FALSE)</f>
        <v>ReplaceableTextures\\CommandButtons\\BTNAM20.blp</v>
      </c>
      <c r="N163" s="181" t="s">
        <v>83</v>
      </c>
      <c r="O163" s="10" t="s">
        <v>105</v>
      </c>
      <c r="P163" s="28">
        <v>0</v>
      </c>
      <c r="Q163" s="28">
        <v>0</v>
      </c>
      <c r="R163" s="181" t="s">
        <v>83</v>
      </c>
      <c r="S163" s="181" t="s">
        <v>83</v>
      </c>
      <c r="T163" s="181" t="s">
        <v>83</v>
      </c>
      <c r="U163" s="181" t="s">
        <v>83</v>
      </c>
      <c r="V163" s="28"/>
      <c r="W163" s="28" t="s">
        <v>93</v>
      </c>
      <c r="X163" s="28">
        <v>0</v>
      </c>
      <c r="Y163" s="181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81" t="s">
        <v>83</v>
      </c>
      <c r="AF163" s="181" t="s">
        <v>83</v>
      </c>
      <c r="AG163" s="181" t="s">
        <v>83</v>
      </c>
      <c r="AH163" s="181" t="s">
        <v>83</v>
      </c>
      <c r="AI163" s="28"/>
      <c r="AJ163" s="28"/>
      <c r="AK163" s="28">
        <v>1</v>
      </c>
      <c r="AL163" s="28">
        <v>1</v>
      </c>
      <c r="AM163" s="181" t="s">
        <v>83</v>
      </c>
      <c r="AN163" s="28">
        <v>1</v>
      </c>
      <c r="AO163" s="28">
        <v>1</v>
      </c>
      <c r="AP163" s="28">
        <v>1</v>
      </c>
    </row>
    <row r="164" spans="1:42">
      <c r="A164" s="157"/>
      <c r="B164" s="28" t="str">
        <f>物品!B164</f>
        <v>IN26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|CffFFD24D后天道果箱|r</v>
      </c>
      <c r="I164" s="28" t="str">
        <f>VLOOKUP(B164,物品!B:CV,99,FALSE)</f>
        <v>打开后有几率获得以下奖励：|n|Cff00ff7f【随机品质】黄级道果|r|n|Cff00bfff【随机品质】玄级道果|n【随机品质】地级道果|r</v>
      </c>
      <c r="J164" s="159" t="str">
        <f t="shared" si="60"/>
        <v>|CffFFD24D后天道果箱|r</v>
      </c>
      <c r="K164" s="159" t="str">
        <f t="shared" si="61"/>
        <v>打开后有几率获得以下奖励：|n|Cff00ff7f【随机品质】黄级道果|r|n|Cff00bfff【随机品质】玄级道果|n【随机品质】地级道果|r</v>
      </c>
      <c r="L164" s="28"/>
      <c r="M164" s="160" t="str">
        <f>VLOOKUP(LEFT(RIGHT(B164,5),4),物品!B:CU,20,FALSE)</f>
        <v>ReplaceableTextures\\CommandButtons\\BTNAM21.blp</v>
      </c>
      <c r="N164" s="181" t="s">
        <v>83</v>
      </c>
      <c r="O164" s="10" t="s">
        <v>106</v>
      </c>
      <c r="P164" s="28">
        <v>0</v>
      </c>
      <c r="Q164" s="28">
        <v>0</v>
      </c>
      <c r="R164" s="181" t="s">
        <v>83</v>
      </c>
      <c r="S164" s="181" t="s">
        <v>83</v>
      </c>
      <c r="T164" s="181" t="s">
        <v>83</v>
      </c>
      <c r="U164" s="181" t="s">
        <v>83</v>
      </c>
      <c r="V164" s="28"/>
      <c r="W164" s="28" t="s">
        <v>93</v>
      </c>
      <c r="X164" s="28">
        <v>0</v>
      </c>
      <c r="Y164" s="181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81" t="s">
        <v>83</v>
      </c>
      <c r="AF164" s="181" t="s">
        <v>83</v>
      </c>
      <c r="AG164" s="181" t="s">
        <v>83</v>
      </c>
      <c r="AH164" s="181" t="s">
        <v>83</v>
      </c>
      <c r="AI164" s="28"/>
      <c r="AJ164" s="28"/>
      <c r="AK164" s="28">
        <v>1</v>
      </c>
      <c r="AL164" s="28">
        <v>1</v>
      </c>
      <c r="AM164" s="181" t="s">
        <v>83</v>
      </c>
      <c r="AN164" s="28">
        <v>1</v>
      </c>
      <c r="AO164" s="28">
        <v>1</v>
      </c>
      <c r="AP164" s="28">
        <v>1</v>
      </c>
    </row>
    <row r="165" spans="1:42">
      <c r="A165" s="157"/>
      <c r="B165" s="28" t="str">
        <f>物品!B165</f>
        <v>IN27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|CffFF0000先天道果箱|r</v>
      </c>
      <c r="I165" s="28" t="str">
        <f>VLOOKUP(B165,物品!B:CV,99,FALSE)</f>
        <v>打开后有几率获得以下奖励：|n|Cffffd24d【随机品质】天级道果|n【随机品质】仙品道果|n|r|Cffff0000【随机品质】至圣道果|n【随机品质】混沌道果|r</v>
      </c>
      <c r="J165" s="159" t="str">
        <f t="shared" si="60"/>
        <v>|CffFF0000先天道果箱|r</v>
      </c>
      <c r="K165" s="159" t="str">
        <f t="shared" si="61"/>
        <v>打开后有几率获得以下奖励：|n|Cffffd24d【随机品质】天级道果|n【随机品质】仙品道果|n|r|Cffff0000【随机品质】至圣道果|n【随机品质】混沌道果|r</v>
      </c>
      <c r="L165" s="28"/>
      <c r="M165" s="160" t="str">
        <f>VLOOKUP(LEFT(RIGHT(B165,5),4),物品!B:CU,20,FALSE)</f>
        <v>ReplaceableTextures\\CommandButtons\\BTNAM22.blp</v>
      </c>
      <c r="N165" s="181" t="s">
        <v>83</v>
      </c>
      <c r="O165" s="160" t="s">
        <v>107</v>
      </c>
      <c r="P165" s="28">
        <v>0</v>
      </c>
      <c r="Q165" s="28">
        <v>0</v>
      </c>
      <c r="R165" s="181" t="s">
        <v>83</v>
      </c>
      <c r="S165" s="181" t="s">
        <v>83</v>
      </c>
      <c r="T165" s="181" t="s">
        <v>83</v>
      </c>
      <c r="U165" s="181" t="s">
        <v>83</v>
      </c>
      <c r="V165" s="28"/>
      <c r="W165" s="28" t="s">
        <v>93</v>
      </c>
      <c r="X165" s="28">
        <v>0</v>
      </c>
      <c r="Y165" s="181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81" t="s">
        <v>83</v>
      </c>
      <c r="AF165" s="181" t="s">
        <v>83</v>
      </c>
      <c r="AG165" s="181" t="s">
        <v>83</v>
      </c>
      <c r="AH165" s="181" t="s">
        <v>83</v>
      </c>
      <c r="AI165" s="28"/>
      <c r="AJ165" s="28"/>
      <c r="AK165" s="28">
        <v>1</v>
      </c>
      <c r="AL165" s="28">
        <v>1</v>
      </c>
      <c r="AM165" s="181" t="s">
        <v>83</v>
      </c>
      <c r="AN165" s="28">
        <v>1</v>
      </c>
      <c r="AO165" s="28">
        <v>1</v>
      </c>
      <c r="AP165" s="28">
        <v>1</v>
      </c>
    </row>
    <row r="166" spans="1:42">
      <c r="A166" s="157"/>
      <c r="B166" s="28" t="str">
        <f>物品!B166</f>
        <v>IN28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|CffFFD24D技能宝箱|r</v>
      </c>
      <c r="I166" s="28" t="str">
        <f>VLOOKUP(B166,物品!B:CV,99,FALSE)</f>
        <v>使用后获得|Cffffc926随机类型技能升阶石|r</v>
      </c>
      <c r="J166" s="159" t="str">
        <f t="shared" ref="J166:J167" si="62">H166</f>
        <v>|CffFFD24D技能宝箱|r</v>
      </c>
      <c r="K166" s="159" t="str">
        <f t="shared" ref="K166:K167" si="63">I166</f>
        <v>使用后获得|Cffffc926随机类型技能升阶石|r</v>
      </c>
      <c r="L166" s="28"/>
      <c r="M166" s="160" t="str">
        <f>VLOOKUP(LEFT(RIGHT(B166,5),4),物品!B:CU,20,FALSE)</f>
        <v>ReplaceableTextures\\CommandButtons\\BTNAM23.blp</v>
      </c>
      <c r="N166" s="181" t="s">
        <v>83</v>
      </c>
      <c r="O166" s="10" t="s">
        <v>106</v>
      </c>
      <c r="P166" s="28">
        <v>0</v>
      </c>
      <c r="Q166" s="28">
        <v>0</v>
      </c>
      <c r="R166" s="181" t="s">
        <v>83</v>
      </c>
      <c r="S166" s="181" t="s">
        <v>83</v>
      </c>
      <c r="T166" s="181" t="s">
        <v>83</v>
      </c>
      <c r="U166" s="181" t="s">
        <v>83</v>
      </c>
      <c r="V166" s="28"/>
      <c r="W166" s="28" t="s">
        <v>93</v>
      </c>
      <c r="X166" s="28">
        <v>0</v>
      </c>
      <c r="Y166" s="181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81" t="s">
        <v>83</v>
      </c>
      <c r="AF166" s="181" t="s">
        <v>83</v>
      </c>
      <c r="AG166" s="181" t="s">
        <v>83</v>
      </c>
      <c r="AH166" s="181" t="s">
        <v>83</v>
      </c>
      <c r="AI166" s="28"/>
      <c r="AJ166" s="28"/>
      <c r="AK166" s="28">
        <v>1</v>
      </c>
      <c r="AL166" s="28">
        <v>1</v>
      </c>
      <c r="AM166" s="181" t="s">
        <v>83</v>
      </c>
      <c r="AN166" s="28">
        <v>1</v>
      </c>
      <c r="AO166" s="28">
        <v>1</v>
      </c>
      <c r="AP166" s="28">
        <v>1</v>
      </c>
    </row>
    <row r="167" spans="1:42">
      <c r="A167" s="157"/>
      <c r="B167" s="28" t="str">
        <f>物品!B167</f>
        <v>IN29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|CffFFD24D附魔宝箱|r</v>
      </c>
      <c r="I167" s="28" t="str">
        <f>VLOOKUP(B167,物品!B:CV,99,FALSE)</f>
        <v>使用后获得|Cffffc926随机类型技能附魔石|r</v>
      </c>
      <c r="J167" s="159" t="str">
        <f t="shared" si="62"/>
        <v>|CffFFD24D附魔宝箱|r</v>
      </c>
      <c r="K167" s="159" t="str">
        <f t="shared" si="63"/>
        <v>使用后获得|Cffffc926随机类型技能附魔石|r</v>
      </c>
      <c r="L167" s="28"/>
      <c r="M167" s="160" t="str">
        <f>VLOOKUP(LEFT(RIGHT(B167,5),4),物品!B:CU,20,FALSE)</f>
        <v>ReplaceableTextures\\CommandButtons\\BTNAM24.blp</v>
      </c>
      <c r="N167" s="181" t="s">
        <v>83</v>
      </c>
      <c r="O167" s="10" t="s">
        <v>106</v>
      </c>
      <c r="P167" s="28">
        <v>0</v>
      </c>
      <c r="Q167" s="28">
        <v>0</v>
      </c>
      <c r="R167" s="181" t="s">
        <v>83</v>
      </c>
      <c r="S167" s="181" t="s">
        <v>83</v>
      </c>
      <c r="T167" s="181" t="s">
        <v>83</v>
      </c>
      <c r="U167" s="181" t="s">
        <v>83</v>
      </c>
      <c r="V167" s="28"/>
      <c r="W167" s="28" t="s">
        <v>93</v>
      </c>
      <c r="X167" s="28">
        <v>0</v>
      </c>
      <c r="Y167" s="181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81" t="s">
        <v>83</v>
      </c>
      <c r="AF167" s="181" t="s">
        <v>83</v>
      </c>
      <c r="AG167" s="181" t="s">
        <v>83</v>
      </c>
      <c r="AH167" s="181" t="s">
        <v>83</v>
      </c>
      <c r="AI167" s="28"/>
      <c r="AJ167" s="28"/>
      <c r="AK167" s="28">
        <v>1</v>
      </c>
      <c r="AL167" s="28">
        <v>1</v>
      </c>
      <c r="AM167" s="181" t="s">
        <v>83</v>
      </c>
      <c r="AN167" s="28">
        <v>1</v>
      </c>
      <c r="AO167" s="28">
        <v>1</v>
      </c>
      <c r="AP167" s="28">
        <v>1</v>
      </c>
    </row>
    <row r="168" spans="1:42">
      <c r="A168" s="157"/>
      <c r="B168" s="28" t="str">
        <f>物品!B168</f>
        <v>IN30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|Cff00FF7F幸运星盒|r</v>
      </c>
      <c r="I168" s="28" t="str">
        <f>VLOOKUP(B168,物品!B:CV,99,FALSE)</f>
        <v>开启后获得|Cff00bfff随机奖励|r。</v>
      </c>
      <c r="J168" s="159" t="str">
        <f t="shared" ref="J168:J169" si="64">H168</f>
        <v>|Cff00FF7F幸运星盒|r</v>
      </c>
      <c r="K168" s="159" t="str">
        <f t="shared" ref="K168:K169" si="65">I168</f>
        <v>开启后获得|Cff00bfff随机奖励|r。</v>
      </c>
      <c r="L168" s="28"/>
      <c r="M168" s="160" t="str">
        <f>VLOOKUP(LEFT(RIGHT(B168,5),4),物品!B:CU,20,FALSE)</f>
        <v>ReplaceableTextures\\CommandButtons\\BTNI013.blp</v>
      </c>
      <c r="N168" s="28">
        <v>0.5</v>
      </c>
      <c r="O168" s="10" t="s">
        <v>108</v>
      </c>
      <c r="P168" s="28">
        <v>0</v>
      </c>
      <c r="Q168" s="28">
        <v>0</v>
      </c>
      <c r="R168" s="181" t="s">
        <v>83</v>
      </c>
      <c r="S168" s="181" t="s">
        <v>83</v>
      </c>
      <c r="T168" s="181" t="s">
        <v>83</v>
      </c>
      <c r="U168" s="181" t="s">
        <v>83</v>
      </c>
      <c r="V168" s="28"/>
      <c r="W168" s="28" t="s">
        <v>93</v>
      </c>
      <c r="X168" s="28">
        <v>0</v>
      </c>
      <c r="Y168" s="181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81" t="s">
        <v>83</v>
      </c>
      <c r="AF168" s="181" t="s">
        <v>83</v>
      </c>
      <c r="AG168" s="181" t="s">
        <v>83</v>
      </c>
      <c r="AH168" s="181" t="s">
        <v>83</v>
      </c>
      <c r="AI168" s="28"/>
      <c r="AJ168" s="28"/>
      <c r="AK168" s="28">
        <v>1</v>
      </c>
      <c r="AL168" s="28">
        <v>1</v>
      </c>
      <c r="AM168" s="181" t="s">
        <v>83</v>
      </c>
      <c r="AN168" s="28">
        <v>1</v>
      </c>
      <c r="AO168" s="28">
        <v>1</v>
      </c>
      <c r="AP168" s="28">
        <v>1</v>
      </c>
    </row>
    <row r="169" spans="1:42">
      <c r="A169" s="157"/>
      <c r="B169" s="28" t="str">
        <f>物品!B169</f>
        <v>IN31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|CffFFD24D炽星魔盒|r</v>
      </c>
      <c r="I169" s="28" t="str">
        <f>VLOOKUP(B169,物品!B:CV,99,FALSE)</f>
        <v>开启后获得|Cffffd24d随机奖励|r。</v>
      </c>
      <c r="J169" s="159" t="str">
        <f t="shared" si="64"/>
        <v>|CffFFD24D炽星魔盒|r</v>
      </c>
      <c r="K169" s="159" t="str">
        <f t="shared" si="65"/>
        <v>开启后获得|Cffffd24d随机奖励|r。</v>
      </c>
      <c r="L169" s="28"/>
      <c r="M169" s="160" t="str">
        <f>VLOOKUP(LEFT(RIGHT(B169,5),4),物品!B:CU,20,FALSE)</f>
        <v>ReplaceableTextures\\CommandButtons\\BTNI014.blp</v>
      </c>
      <c r="N169" s="28">
        <v>0.5</v>
      </c>
      <c r="O169" s="10" t="s">
        <v>108</v>
      </c>
      <c r="P169" s="28">
        <v>0</v>
      </c>
      <c r="Q169" s="28">
        <v>0</v>
      </c>
      <c r="R169" s="181" t="s">
        <v>83</v>
      </c>
      <c r="S169" s="181" t="s">
        <v>83</v>
      </c>
      <c r="T169" s="181" t="s">
        <v>83</v>
      </c>
      <c r="U169" s="181" t="s">
        <v>83</v>
      </c>
      <c r="V169" s="28"/>
      <c r="W169" s="28" t="s">
        <v>93</v>
      </c>
      <c r="X169" s="28">
        <v>0</v>
      </c>
      <c r="Y169" s="181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81" t="s">
        <v>83</v>
      </c>
      <c r="AF169" s="181" t="s">
        <v>83</v>
      </c>
      <c r="AG169" s="181" t="s">
        <v>83</v>
      </c>
      <c r="AH169" s="181" t="s">
        <v>83</v>
      </c>
      <c r="AI169" s="28"/>
      <c r="AJ169" s="28"/>
      <c r="AK169" s="28">
        <v>1</v>
      </c>
      <c r="AL169" s="28">
        <v>1</v>
      </c>
      <c r="AM169" s="181" t="s">
        <v>83</v>
      </c>
      <c r="AN169" s="28">
        <v>1</v>
      </c>
      <c r="AO169" s="28">
        <v>1</v>
      </c>
      <c r="AP169" s="28">
        <v>1</v>
      </c>
    </row>
    <row r="170" spans="1:42">
      <c r="A170" s="157"/>
      <c r="B170" s="28" t="str">
        <f>物品!B170</f>
        <v>IN32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|CffFFD24D技能宝箱|r</v>
      </c>
      <c r="I170" s="28" t="str">
        <f>VLOOKUP(B170,物品!B:CV,99,FALSE)</f>
        <v>使用后获得|Cffffc926随机类型技能升阶石|r</v>
      </c>
      <c r="J170" s="159" t="str">
        <f t="shared" ref="J170" si="66">H170</f>
        <v>|CffFFD24D技能宝箱|r</v>
      </c>
      <c r="K170" s="159" t="str">
        <f t="shared" ref="K170" si="67">I170</f>
        <v>使用后获得|Cffffc926随机类型技能升阶石|r</v>
      </c>
      <c r="L170" s="28"/>
      <c r="M170" s="160" t="str">
        <f>VLOOKUP(LEFT(RIGHT(B170,5),4),物品!B:CU,20,FALSE)</f>
        <v>ReplaceableTextures\\CommandButtons\\BTNAM23.blp</v>
      </c>
      <c r="N170" s="28">
        <v>0.5</v>
      </c>
      <c r="O170" s="10" t="s">
        <v>108</v>
      </c>
      <c r="P170" s="28">
        <v>0</v>
      </c>
      <c r="Q170" s="28">
        <v>0</v>
      </c>
      <c r="R170" s="181" t="s">
        <v>83</v>
      </c>
      <c r="S170" s="181" t="s">
        <v>83</v>
      </c>
      <c r="T170" s="181" t="s">
        <v>83</v>
      </c>
      <c r="U170" s="181" t="s">
        <v>83</v>
      </c>
      <c r="V170" s="28"/>
      <c r="W170" s="28" t="s">
        <v>93</v>
      </c>
      <c r="X170" s="28">
        <v>0</v>
      </c>
      <c r="Y170" s="181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81" t="s">
        <v>83</v>
      </c>
      <c r="AF170" s="181" t="s">
        <v>83</v>
      </c>
      <c r="AG170" s="181" t="s">
        <v>83</v>
      </c>
      <c r="AH170" s="181" t="s">
        <v>83</v>
      </c>
      <c r="AI170" s="28"/>
      <c r="AJ170" s="28"/>
      <c r="AK170" s="28">
        <v>1</v>
      </c>
      <c r="AL170" s="28">
        <v>1</v>
      </c>
      <c r="AM170" s="181" t="s">
        <v>83</v>
      </c>
      <c r="AN170" s="28">
        <v>1</v>
      </c>
      <c r="AO170" s="28">
        <v>1</v>
      </c>
      <c r="AP170" s="28">
        <v>1</v>
      </c>
    </row>
    <row r="171" spans="1:42">
      <c r="A171" s="157"/>
      <c r="B171" s="28" t="str">
        <f>物品!B171</f>
        <v>IN33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|Cff00BFFF血莲丹|r</v>
      </c>
      <c r="I171" s="28" t="str">
        <f>VLOOKUP(B171,物品!B:CV,99,FALSE)</f>
        <v>攻击|Cffffc926+2500|r</v>
      </c>
      <c r="J171" s="159" t="str">
        <f t="shared" ref="J171:J174" si="68">H171</f>
        <v>|Cff00BFFF血莲丹|r</v>
      </c>
      <c r="K171" s="159" t="str">
        <f t="shared" ref="K171:K174" si="69">I171</f>
        <v>攻击|Cffffc926+2500|r</v>
      </c>
      <c r="L171" s="28"/>
      <c r="M171" s="160" t="str">
        <f>VLOOKUP(LEFT(RIGHT(B171,5),4),物品!B:CU,20,FALSE)</f>
        <v>ReplaceableTextures\\CommandButtons\\BTNIN33.blp</v>
      </c>
      <c r="N171" s="28">
        <v>0.5</v>
      </c>
      <c r="O171" s="10" t="s">
        <v>108</v>
      </c>
      <c r="P171" s="28">
        <v>0</v>
      </c>
      <c r="Q171" s="28">
        <v>0</v>
      </c>
      <c r="R171" s="181" t="s">
        <v>83</v>
      </c>
      <c r="S171" s="181" t="s">
        <v>83</v>
      </c>
      <c r="T171" s="181" t="s">
        <v>83</v>
      </c>
      <c r="U171" s="181" t="s">
        <v>83</v>
      </c>
      <c r="V171" s="28"/>
      <c r="W171" s="28" t="s">
        <v>93</v>
      </c>
      <c r="X171" s="28">
        <v>0</v>
      </c>
      <c r="Y171" s="181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81" t="s">
        <v>83</v>
      </c>
      <c r="AF171" s="181" t="s">
        <v>83</v>
      </c>
      <c r="AG171" s="181" t="s">
        <v>83</v>
      </c>
      <c r="AH171" s="181" t="s">
        <v>83</v>
      </c>
      <c r="AI171" s="28"/>
      <c r="AJ171" s="28"/>
      <c r="AK171" s="28">
        <v>1</v>
      </c>
      <c r="AL171" s="28">
        <v>1</v>
      </c>
      <c r="AM171" s="181" t="s">
        <v>83</v>
      </c>
      <c r="AN171" s="28">
        <v>1</v>
      </c>
      <c r="AO171" s="28">
        <v>1</v>
      </c>
      <c r="AP171" s="28">
        <v>1</v>
      </c>
    </row>
    <row r="172" spans="1:42">
      <c r="A172" s="157"/>
      <c r="B172" s="28" t="str">
        <f>物品!B172</f>
        <v>IN34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|CffFFC926天魂融血丹|r</v>
      </c>
      <c r="I172" s="28" t="str">
        <f>VLOOKUP(B172,物品!B:CV,99,FALSE)</f>
        <v>攻击|Cffffc926+10000|r</v>
      </c>
      <c r="J172" s="159" t="str">
        <f t="shared" si="68"/>
        <v>|CffFFC926天魂融血丹|r</v>
      </c>
      <c r="K172" s="159" t="str">
        <f t="shared" si="69"/>
        <v>攻击|Cffffc926+10000|r</v>
      </c>
      <c r="L172" s="28"/>
      <c r="M172" s="160" t="str">
        <f>VLOOKUP(LEFT(RIGHT(B172,5),4),物品!B:CU,20,FALSE)</f>
        <v>ReplaceableTextures\\CommandButtons\\BTNIN34.blp</v>
      </c>
      <c r="N172" s="28">
        <v>0.5</v>
      </c>
      <c r="O172" s="10" t="s">
        <v>108</v>
      </c>
      <c r="P172" s="28">
        <v>0</v>
      </c>
      <c r="Q172" s="28">
        <v>0</v>
      </c>
      <c r="R172" s="181" t="s">
        <v>83</v>
      </c>
      <c r="S172" s="181" t="s">
        <v>83</v>
      </c>
      <c r="T172" s="181" t="s">
        <v>83</v>
      </c>
      <c r="U172" s="181" t="s">
        <v>83</v>
      </c>
      <c r="V172" s="28"/>
      <c r="W172" s="28" t="s">
        <v>93</v>
      </c>
      <c r="X172" s="28">
        <v>0</v>
      </c>
      <c r="Y172" s="181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81" t="s">
        <v>83</v>
      </c>
      <c r="AF172" s="181" t="s">
        <v>83</v>
      </c>
      <c r="AG172" s="181" t="s">
        <v>83</v>
      </c>
      <c r="AH172" s="181" t="s">
        <v>83</v>
      </c>
      <c r="AI172" s="28"/>
      <c r="AJ172" s="28"/>
      <c r="AK172" s="28">
        <v>1</v>
      </c>
      <c r="AL172" s="28">
        <v>1</v>
      </c>
      <c r="AM172" s="181" t="s">
        <v>83</v>
      </c>
      <c r="AN172" s="28">
        <v>1</v>
      </c>
      <c r="AO172" s="28">
        <v>1</v>
      </c>
      <c r="AP172" s="28">
        <v>1</v>
      </c>
    </row>
    <row r="173" spans="1:42">
      <c r="A173" s="157"/>
      <c r="B173" s="28" t="str">
        <f>物品!B173</f>
        <v>IN35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|Cff00FF7F聚灵丹|r</v>
      </c>
      <c r="I173" s="28" t="str">
        <f>VLOOKUP(B173,物品!B:CV,99,FALSE)</f>
        <v>业力|Cffffc926+1000|r</v>
      </c>
      <c r="J173" s="159" t="str">
        <f t="shared" si="68"/>
        <v>|Cff00FF7F聚灵丹|r</v>
      </c>
      <c r="K173" s="159" t="str">
        <f t="shared" si="69"/>
        <v>业力|Cffffc926+1000|r</v>
      </c>
      <c r="L173" s="28"/>
      <c r="M173" s="160" t="str">
        <f>VLOOKUP(LEFT(RIGHT(B173,5),4),物品!B:CU,20,FALSE)</f>
        <v>ReplaceableTextures\\CommandButtons\\BTNIN35.blp</v>
      </c>
      <c r="N173" s="28">
        <v>0.5</v>
      </c>
      <c r="O173" s="10" t="s">
        <v>108</v>
      </c>
      <c r="P173" s="28">
        <v>0</v>
      </c>
      <c r="Q173" s="28">
        <v>0</v>
      </c>
      <c r="R173" s="181" t="s">
        <v>83</v>
      </c>
      <c r="S173" s="181" t="s">
        <v>83</v>
      </c>
      <c r="T173" s="181" t="s">
        <v>83</v>
      </c>
      <c r="U173" s="181" t="s">
        <v>83</v>
      </c>
      <c r="V173" s="28"/>
      <c r="W173" s="28" t="s">
        <v>93</v>
      </c>
      <c r="X173" s="28">
        <v>0</v>
      </c>
      <c r="Y173" s="181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81" t="s">
        <v>83</v>
      </c>
      <c r="AF173" s="181" t="s">
        <v>83</v>
      </c>
      <c r="AG173" s="181" t="s">
        <v>83</v>
      </c>
      <c r="AH173" s="181" t="s">
        <v>83</v>
      </c>
      <c r="AI173" s="28"/>
      <c r="AJ173" s="28"/>
      <c r="AK173" s="28">
        <v>1</v>
      </c>
      <c r="AL173" s="28">
        <v>1</v>
      </c>
      <c r="AM173" s="181" t="s">
        <v>83</v>
      </c>
      <c r="AN173" s="28">
        <v>1</v>
      </c>
      <c r="AO173" s="28">
        <v>1</v>
      </c>
      <c r="AP173" s="28">
        <v>1</v>
      </c>
    </row>
    <row r="174" spans="1:42">
      <c r="A174" s="157"/>
      <c r="B174" s="28" t="str">
        <f>物品!B174</f>
        <v>IN36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|Cff00BFFF地灵丹|r</v>
      </c>
      <c r="I174" s="28" t="str">
        <f>VLOOKUP(B174,物品!B:CV,99,FALSE)</f>
        <v>业力|Cffffc926+2500|r</v>
      </c>
      <c r="J174" s="159" t="str">
        <f t="shared" si="68"/>
        <v>|Cff00BFFF地灵丹|r</v>
      </c>
      <c r="K174" s="159" t="str">
        <f t="shared" si="69"/>
        <v>业力|Cffffc926+2500|r</v>
      </c>
      <c r="L174" s="28"/>
      <c r="M174" s="160" t="str">
        <f>VLOOKUP(LEFT(RIGHT(B174,5),4),物品!B:CU,20,FALSE)</f>
        <v>ReplaceableTextures\\CommandButtons\\BTNIN36.blp</v>
      </c>
      <c r="N174" s="28">
        <v>0.5</v>
      </c>
      <c r="O174" s="10" t="s">
        <v>108</v>
      </c>
      <c r="P174" s="28">
        <v>0</v>
      </c>
      <c r="Q174" s="28">
        <v>0</v>
      </c>
      <c r="R174" s="181" t="s">
        <v>83</v>
      </c>
      <c r="S174" s="181" t="s">
        <v>83</v>
      </c>
      <c r="T174" s="181" t="s">
        <v>83</v>
      </c>
      <c r="U174" s="181" t="s">
        <v>83</v>
      </c>
      <c r="V174" s="28"/>
      <c r="W174" s="28" t="s">
        <v>93</v>
      </c>
      <c r="X174" s="28">
        <v>0</v>
      </c>
      <c r="Y174" s="181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81" t="s">
        <v>83</v>
      </c>
      <c r="AF174" s="181" t="s">
        <v>83</v>
      </c>
      <c r="AG174" s="181" t="s">
        <v>83</v>
      </c>
      <c r="AH174" s="181" t="s">
        <v>83</v>
      </c>
      <c r="AI174" s="28"/>
      <c r="AJ174" s="28"/>
      <c r="AK174" s="28">
        <v>1</v>
      </c>
      <c r="AL174" s="28">
        <v>1</v>
      </c>
      <c r="AM174" s="181" t="s">
        <v>83</v>
      </c>
      <c r="AN174" s="28">
        <v>1</v>
      </c>
      <c r="AO174" s="28">
        <v>1</v>
      </c>
      <c r="AP174" s="28">
        <v>1</v>
      </c>
    </row>
    <row r="175" spans="1:42">
      <c r="A175" s="157"/>
      <c r="B175" s="28" t="str">
        <f>物品!B175</f>
        <v>IN37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|CffFFC926三纹清灵丹|r</v>
      </c>
      <c r="I175" s="28" t="str">
        <f>VLOOKUP(B175,物品!B:CV,99,FALSE)</f>
        <v>业力|Cffffc926+10000|r</v>
      </c>
      <c r="J175" s="159" t="str">
        <f t="shared" ref="J175:J176" si="70">H175</f>
        <v>|CffFFC926三纹清灵丹|r</v>
      </c>
      <c r="K175" s="159" t="str">
        <f t="shared" ref="K175:K176" si="71">I175</f>
        <v>业力|Cffffc926+10000|r</v>
      </c>
      <c r="L175" s="28"/>
      <c r="M175" s="160" t="str">
        <f>VLOOKUP(LEFT(RIGHT(B175,5),4),物品!B:CU,20,FALSE)</f>
        <v>ReplaceableTextures\\CommandButtons\\BTNIN37.blp</v>
      </c>
      <c r="N175" s="28">
        <v>0.5</v>
      </c>
      <c r="O175" s="10" t="s">
        <v>108</v>
      </c>
      <c r="P175" s="28">
        <v>0</v>
      </c>
      <c r="Q175" s="28">
        <v>0</v>
      </c>
      <c r="R175" s="181" t="s">
        <v>83</v>
      </c>
      <c r="S175" s="181" t="s">
        <v>83</v>
      </c>
      <c r="T175" s="181" t="s">
        <v>83</v>
      </c>
      <c r="U175" s="181" t="s">
        <v>83</v>
      </c>
      <c r="V175" s="28"/>
      <c r="W175" s="28" t="s">
        <v>93</v>
      </c>
      <c r="X175" s="28">
        <v>0</v>
      </c>
      <c r="Y175" s="181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81" t="s">
        <v>83</v>
      </c>
      <c r="AF175" s="181" t="s">
        <v>83</v>
      </c>
      <c r="AG175" s="181" t="s">
        <v>83</v>
      </c>
      <c r="AH175" s="181" t="s">
        <v>83</v>
      </c>
      <c r="AI175" s="28"/>
      <c r="AJ175" s="28"/>
      <c r="AK175" s="28">
        <v>1</v>
      </c>
      <c r="AL175" s="28">
        <v>1</v>
      </c>
      <c r="AM175" s="181" t="s">
        <v>83</v>
      </c>
      <c r="AN175" s="28">
        <v>1</v>
      </c>
      <c r="AO175" s="28">
        <v>1</v>
      </c>
      <c r="AP175" s="28">
        <v>1</v>
      </c>
    </row>
    <row r="176" spans="1:42">
      <c r="A176" s="157"/>
      <c r="B176" s="28" t="str">
        <f>物品!B176</f>
        <v>IN38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|Cff00FF7F血气丹|r</v>
      </c>
      <c r="I176" s="28" t="str">
        <f>VLOOKUP(B176,物品!B:CV,99,FALSE)</f>
        <v>生命|Cffffc926+20000|r</v>
      </c>
      <c r="J176" s="159" t="str">
        <f t="shared" si="70"/>
        <v>|Cff00FF7F血气丹|r</v>
      </c>
      <c r="K176" s="159" t="str">
        <f t="shared" si="71"/>
        <v>生命|Cffffc926+20000|r</v>
      </c>
      <c r="L176" s="28"/>
      <c r="M176" s="160" t="str">
        <f>VLOOKUP(LEFT(RIGHT(B176,5),4),物品!B:CU,20,FALSE)</f>
        <v>ReplaceableTextures\\CommandButtons\\BTNIN38.blp</v>
      </c>
      <c r="N176" s="28">
        <v>0.5</v>
      </c>
      <c r="O176" s="10" t="s">
        <v>108</v>
      </c>
      <c r="P176" s="28">
        <v>0</v>
      </c>
      <c r="Q176" s="28">
        <v>0</v>
      </c>
      <c r="R176" s="181" t="s">
        <v>83</v>
      </c>
      <c r="S176" s="181" t="s">
        <v>83</v>
      </c>
      <c r="T176" s="181" t="s">
        <v>83</v>
      </c>
      <c r="U176" s="181" t="s">
        <v>83</v>
      </c>
      <c r="V176" s="28"/>
      <c r="W176" s="28" t="s">
        <v>93</v>
      </c>
      <c r="X176" s="28">
        <v>0</v>
      </c>
      <c r="Y176" s="181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81" t="s">
        <v>83</v>
      </c>
      <c r="AF176" s="181" t="s">
        <v>83</v>
      </c>
      <c r="AG176" s="181" t="s">
        <v>83</v>
      </c>
      <c r="AH176" s="181" t="s">
        <v>83</v>
      </c>
      <c r="AI176" s="28"/>
      <c r="AJ176" s="28"/>
      <c r="AK176" s="28">
        <v>1</v>
      </c>
      <c r="AL176" s="28">
        <v>1</v>
      </c>
      <c r="AM176" s="181" t="s">
        <v>83</v>
      </c>
      <c r="AN176" s="28">
        <v>1</v>
      </c>
      <c r="AO176" s="28">
        <v>1</v>
      </c>
      <c r="AP176" s="28">
        <v>1</v>
      </c>
    </row>
    <row r="177" spans="1:42">
      <c r="A177" s="157"/>
      <c r="B177" s="28" t="str">
        <f>物品!B177</f>
        <v>IN39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|Cff00BFFF洗髓丹|r</v>
      </c>
      <c r="I177" s="28" t="str">
        <f>VLOOKUP(B177,物品!B:CV,99,FALSE)</f>
        <v>生命|Cffffc926+50000|r</v>
      </c>
      <c r="J177" s="159" t="str">
        <f t="shared" ref="J177" si="72">H177</f>
        <v>|Cff00BFFF洗髓丹|r</v>
      </c>
      <c r="K177" s="159" t="str">
        <f t="shared" ref="K177" si="73">I177</f>
        <v>生命|Cffffc926+50000|r</v>
      </c>
      <c r="L177" s="28"/>
      <c r="M177" s="160" t="str">
        <f>VLOOKUP(LEFT(RIGHT(B177,5),4),物品!B:CU,20,FALSE)</f>
        <v>ReplaceableTextures\\CommandButtons\\BTNIN39.blp</v>
      </c>
      <c r="N177" s="28">
        <v>0.5</v>
      </c>
      <c r="O177" s="10" t="s">
        <v>108</v>
      </c>
      <c r="P177" s="28">
        <v>0</v>
      </c>
      <c r="Q177" s="28">
        <v>0</v>
      </c>
      <c r="R177" s="181" t="s">
        <v>83</v>
      </c>
      <c r="S177" s="181" t="s">
        <v>83</v>
      </c>
      <c r="T177" s="181" t="s">
        <v>83</v>
      </c>
      <c r="U177" s="181" t="s">
        <v>83</v>
      </c>
      <c r="V177" s="28"/>
      <c r="W177" s="28" t="s">
        <v>93</v>
      </c>
      <c r="X177" s="28">
        <v>0</v>
      </c>
      <c r="Y177" s="181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81" t="s">
        <v>83</v>
      </c>
      <c r="AF177" s="181" t="s">
        <v>83</v>
      </c>
      <c r="AG177" s="181" t="s">
        <v>83</v>
      </c>
      <c r="AH177" s="181" t="s">
        <v>83</v>
      </c>
      <c r="AI177" s="28"/>
      <c r="AJ177" s="28"/>
      <c r="AK177" s="28">
        <v>1</v>
      </c>
      <c r="AL177" s="28">
        <v>1</v>
      </c>
      <c r="AM177" s="181" t="s">
        <v>83</v>
      </c>
      <c r="AN177" s="28">
        <v>1</v>
      </c>
      <c r="AO177" s="28">
        <v>1</v>
      </c>
      <c r="AP177" s="28">
        <v>1</v>
      </c>
    </row>
    <row r="178" spans="1:42">
      <c r="A178" s="157"/>
      <c r="B178" s="28" t="str">
        <f>物品!B178</f>
        <v>IN40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|CffFFC926七命玄门丹|r</v>
      </c>
      <c r="I178" s="28" t="str">
        <f>VLOOKUP(B178,物品!B:CV,99,FALSE)</f>
        <v>生命|Cffffc926+200000|r</v>
      </c>
      <c r="J178" s="159" t="str">
        <f t="shared" ref="J178" si="74">H178</f>
        <v>|CffFFC926七命玄门丹|r</v>
      </c>
      <c r="K178" s="159" t="str">
        <f t="shared" ref="K178" si="75">I178</f>
        <v>生命|Cffffc926+200000|r</v>
      </c>
      <c r="L178" s="28"/>
      <c r="M178" s="160" t="str">
        <f>VLOOKUP(LEFT(RIGHT(B178,5),4),物品!B:CU,20,FALSE)</f>
        <v>ReplaceableTextures\\CommandButtons\\BTNIN40.blp</v>
      </c>
      <c r="N178" s="28">
        <v>0.5</v>
      </c>
      <c r="O178" s="10" t="s">
        <v>108</v>
      </c>
      <c r="P178" s="28">
        <v>0</v>
      </c>
      <c r="Q178" s="28">
        <v>0</v>
      </c>
      <c r="R178" s="181" t="s">
        <v>83</v>
      </c>
      <c r="S178" s="181" t="s">
        <v>83</v>
      </c>
      <c r="T178" s="181" t="s">
        <v>83</v>
      </c>
      <c r="U178" s="181" t="s">
        <v>83</v>
      </c>
      <c r="V178" s="28"/>
      <c r="W178" s="28" t="s">
        <v>93</v>
      </c>
      <c r="X178" s="28">
        <v>0</v>
      </c>
      <c r="Y178" s="181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81" t="s">
        <v>83</v>
      </c>
      <c r="AF178" s="181" t="s">
        <v>83</v>
      </c>
      <c r="AG178" s="181" t="s">
        <v>83</v>
      </c>
      <c r="AH178" s="181" t="s">
        <v>83</v>
      </c>
      <c r="AI178" s="28"/>
      <c r="AJ178" s="28"/>
      <c r="AK178" s="28">
        <v>1</v>
      </c>
      <c r="AL178" s="28">
        <v>1</v>
      </c>
      <c r="AM178" s="181" t="s">
        <v>83</v>
      </c>
      <c r="AN178" s="28">
        <v>1</v>
      </c>
      <c r="AO178" s="28">
        <v>1</v>
      </c>
      <c r="AP178" s="28">
        <v>1</v>
      </c>
    </row>
    <row r="179" spans="1:42">
      <c r="A179" s="157"/>
      <c r="B179" s="28" t="str">
        <f>物品!B179</f>
        <v>IP01</v>
      </c>
      <c r="C179" s="28" t="s">
        <v>41</v>
      </c>
      <c r="D179" s="28" t="s">
        <v>81</v>
      </c>
      <c r="E179" s="28"/>
      <c r="F179" s="28"/>
      <c r="G179" s="28"/>
      <c r="H179" s="28" t="str">
        <f>VLOOKUP(LEFT(RIGHT(B179,5),4),物品!B:CU,2,FALSE)</f>
        <v>|CffFF0000时渊入场券|r</v>
      </c>
      <c r="I179" s="28" t="str">
        <f>VLOOKUP(B179,物品!B:CV,99,FALSE)</f>
        <v>每次|Cffffd24d完成|r时渊副本将消耗|Cffffd24d1|r个|Cffffd24d时渊入场券|r</v>
      </c>
      <c r="J179" s="159" t="str">
        <f t="shared" ref="J179" si="76">H179</f>
        <v>|CffFF0000时渊入场券|r</v>
      </c>
      <c r="K179" s="159" t="str">
        <f t="shared" ref="K179" si="77">I179</f>
        <v>每次|Cffffd24d完成|r时渊副本将消耗|Cffffd24d1|r个|Cffffd24d时渊入场券|r</v>
      </c>
      <c r="L179" s="28"/>
      <c r="M179" s="160" t="str">
        <f>VLOOKUP(LEFT(RIGHT(B179,5),4),物品!B:CU,20,FALSE)</f>
        <v>ReplaceableTextures\\CommandButtons\\BTNIP01.blp</v>
      </c>
      <c r="N179" s="181" t="s">
        <v>83</v>
      </c>
      <c r="O179" s="160" t="s">
        <v>98</v>
      </c>
      <c r="P179" s="28">
        <v>0</v>
      </c>
      <c r="Q179" s="28">
        <v>0</v>
      </c>
      <c r="R179" s="181" t="s">
        <v>83</v>
      </c>
      <c r="S179" s="181" t="s">
        <v>83</v>
      </c>
      <c r="T179" s="181" t="s">
        <v>83</v>
      </c>
      <c r="U179" s="181" t="s">
        <v>83</v>
      </c>
      <c r="V179" s="28"/>
      <c r="W179" s="28" t="s">
        <v>88</v>
      </c>
      <c r="X179" s="28">
        <v>0</v>
      </c>
      <c r="Y179" s="181" t="s">
        <v>83</v>
      </c>
      <c r="Z179" s="28">
        <v>0</v>
      </c>
      <c r="AA179" s="28">
        <v>0</v>
      </c>
      <c r="AB179" s="28">
        <v>50</v>
      </c>
      <c r="AC179" s="28">
        <v>1</v>
      </c>
      <c r="AD179" s="28">
        <v>1</v>
      </c>
      <c r="AE179" s="181" t="s">
        <v>83</v>
      </c>
      <c r="AF179" s="181" t="s">
        <v>83</v>
      </c>
      <c r="AG179" s="181" t="s">
        <v>83</v>
      </c>
      <c r="AH179" s="181" t="s">
        <v>83</v>
      </c>
      <c r="AI179" s="28">
        <v>1</v>
      </c>
      <c r="AJ179" s="28"/>
      <c r="AK179" s="28">
        <v>1</v>
      </c>
      <c r="AL179" s="28">
        <v>1</v>
      </c>
      <c r="AM179" s="181" t="s">
        <v>83</v>
      </c>
      <c r="AN179" s="28">
        <v>1</v>
      </c>
      <c r="AO179" s="28">
        <v>1</v>
      </c>
      <c r="AP179" s="28">
        <v>1</v>
      </c>
    </row>
    <row r="180" spans="1:42">
      <c r="A180" s="157"/>
      <c r="B180" s="28" t="str">
        <f>物品!B180</f>
        <v>IP02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|CffFFD24D补天石|r</v>
      </c>
      <c r="I180" s="28" t="str">
        <f>VLOOKUP(B180,物品!B:CV,99,FALSE)</f>
        <v>点击|Cffffc926选中指定法宝|r后，再点击|Cffffc926重铸|r，可|Cffffc926重置|r指定法宝，|Cffffc926品质不变|r。|n|n|Cff00ff7f每次重铸消耗1个补天石|r</v>
      </c>
      <c r="J180" s="159" t="str">
        <f t="shared" ref="J180:J202" si="78">H180</f>
        <v>|CffFFD24D补天石|r</v>
      </c>
      <c r="K180" s="159" t="str">
        <f t="shared" ref="K180:K202" si="79">I180</f>
        <v>点击|Cffffc926选中指定法宝|r后，再点击|Cffffc926重铸|r，可|Cffffc926重置|r指定法宝，|Cffffc926品质不变|r。|n|n|Cff00ff7f每次重铸消耗1个补天石|r</v>
      </c>
      <c r="L180" s="28"/>
      <c r="M180" s="160" t="str">
        <f>VLOOKUP(LEFT(RIGHT(B180,5),4),物品!B:CU,20,FALSE)</f>
        <v>ReplaceableTextures\\CommandButtons\\BTNIP02.blp</v>
      </c>
      <c r="N180" s="181" t="s">
        <v>83</v>
      </c>
      <c r="O180" s="160" t="s">
        <v>107</v>
      </c>
      <c r="P180" s="28">
        <v>0</v>
      </c>
      <c r="Q180" s="28">
        <v>0</v>
      </c>
      <c r="R180" s="181" t="s">
        <v>83</v>
      </c>
      <c r="S180" s="181" t="s">
        <v>83</v>
      </c>
      <c r="T180" s="181" t="s">
        <v>83</v>
      </c>
      <c r="U180" s="181" t="s">
        <v>83</v>
      </c>
      <c r="V180" s="28"/>
      <c r="W180" s="28" t="s">
        <v>88</v>
      </c>
      <c r="X180" s="28">
        <v>0</v>
      </c>
      <c r="Y180" s="181" t="s">
        <v>83</v>
      </c>
      <c r="Z180" s="28">
        <v>0</v>
      </c>
      <c r="AA180" s="28">
        <v>0</v>
      </c>
      <c r="AB180" s="28">
        <v>80</v>
      </c>
      <c r="AC180" s="28">
        <v>1</v>
      </c>
      <c r="AD180" s="28">
        <v>1</v>
      </c>
      <c r="AE180" s="181" t="s">
        <v>83</v>
      </c>
      <c r="AF180" s="181" t="s">
        <v>83</v>
      </c>
      <c r="AG180" s="181" t="s">
        <v>83</v>
      </c>
      <c r="AH180" s="181" t="s">
        <v>83</v>
      </c>
      <c r="AI180" s="28"/>
      <c r="AJ180" s="28"/>
      <c r="AK180" s="28">
        <v>1</v>
      </c>
      <c r="AL180" s="28">
        <v>1</v>
      </c>
      <c r="AM180" s="181" t="s">
        <v>83</v>
      </c>
      <c r="AN180" s="28">
        <v>1</v>
      </c>
      <c r="AO180" s="28">
        <v>1</v>
      </c>
      <c r="AP180" s="28">
        <v>1</v>
      </c>
    </row>
    <row r="181" spans="1:42">
      <c r="A181" s="157"/>
      <c r="B181" s="28" t="str">
        <f>物品!B181</f>
        <v>IP03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|CffFF0000鸿蒙结晶|r</v>
      </c>
      <c r="I181" s="28" t="str">
        <f>VLOOKUP(B181,物品!B:CV,99,FALSE)</f>
        <v>点击|Cffffc926选中指定法宝|r后，再点击|Cffffc926锻造|r，可|Cffffc926重置|r指定法宝，|Cffffc926品质提升一级|r。|n|n|Cff00ff7f每次重铸消耗1个鸿蒙结晶|r</v>
      </c>
      <c r="J181" s="159" t="str">
        <f t="shared" si="78"/>
        <v>|CffFF0000鸿蒙结晶|r</v>
      </c>
      <c r="K181" s="159" t="str">
        <f t="shared" si="79"/>
        <v>点击|Cffffc926选中指定法宝|r后，再点击|Cffffc926锻造|r，可|Cffffc926重置|r指定法宝，|Cffffc926品质提升一级|r。|n|n|Cff00ff7f每次重铸消耗1个鸿蒙结晶|r</v>
      </c>
      <c r="L181" s="28"/>
      <c r="M181" s="160" t="str">
        <f>VLOOKUP(LEFT(RIGHT(B181,5),4),物品!B:CU,20,FALSE)</f>
        <v>ReplaceableTextures\\CommandButtons\\BTNIP03.blp</v>
      </c>
      <c r="N181" s="181" t="s">
        <v>83</v>
      </c>
      <c r="O181" s="160" t="s">
        <v>107</v>
      </c>
      <c r="P181" s="28">
        <v>0</v>
      </c>
      <c r="Q181" s="28">
        <v>0</v>
      </c>
      <c r="R181" s="181" t="s">
        <v>83</v>
      </c>
      <c r="S181" s="181" t="s">
        <v>83</v>
      </c>
      <c r="T181" s="181" t="s">
        <v>83</v>
      </c>
      <c r="U181" s="181" t="s">
        <v>83</v>
      </c>
      <c r="V181" s="28"/>
      <c r="W181" s="28" t="s">
        <v>88</v>
      </c>
      <c r="X181" s="28">
        <v>0</v>
      </c>
      <c r="Y181" s="181" t="s">
        <v>83</v>
      </c>
      <c r="Z181" s="28">
        <v>0</v>
      </c>
      <c r="AA181" s="28">
        <v>0</v>
      </c>
      <c r="AB181" s="28">
        <v>200</v>
      </c>
      <c r="AC181" s="28">
        <v>1</v>
      </c>
      <c r="AD181" s="28">
        <v>1</v>
      </c>
      <c r="AE181" s="181" t="s">
        <v>83</v>
      </c>
      <c r="AF181" s="181" t="s">
        <v>83</v>
      </c>
      <c r="AG181" s="181" t="s">
        <v>83</v>
      </c>
      <c r="AH181" s="181" t="s">
        <v>83</v>
      </c>
      <c r="AI181" s="28"/>
      <c r="AJ181" s="28"/>
      <c r="AK181" s="28">
        <v>1</v>
      </c>
      <c r="AL181" s="28">
        <v>1</v>
      </c>
      <c r="AM181" s="181" t="s">
        <v>83</v>
      </c>
      <c r="AN181" s="28">
        <v>1</v>
      </c>
      <c r="AO181" s="28">
        <v>1</v>
      </c>
      <c r="AP181" s="28">
        <v>1</v>
      </c>
    </row>
    <row r="182" spans="1:42">
      <c r="A182" s="157"/>
      <c r="B182" s="28" t="str">
        <f>物品!B182</f>
        <v>IP04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|CffFF0000神兽洗灵石|r</v>
      </c>
      <c r="I182" s="28" t="str">
        <f>VLOOKUP(B182,物品!B:CV,99,FALSE)</f>
        <v>使用后|Cffffc926重置|r当前|Cffff0000觉醒神通【R】|r|Cfff0f0f0。|r</v>
      </c>
      <c r="J182" s="159" t="str">
        <f t="shared" ref="J182:J183" si="80">H182</f>
        <v>|CffFF0000神兽洗灵石|r</v>
      </c>
      <c r="K182" s="159" t="str">
        <f t="shared" ref="K182:K183" si="81">I182</f>
        <v>使用后|Cffffc926重置|r当前|Cffff0000觉醒神通【R】|r|Cfff0f0f0。|r</v>
      </c>
      <c r="L182" s="28"/>
      <c r="M182" s="160" t="str">
        <f>VLOOKUP(LEFT(RIGHT(B182,5),4),物品!B:CU,20,FALSE)</f>
        <v>ReplaceableTextures\\CommandButtons\\BTNIP04.blp</v>
      </c>
      <c r="N182" s="181" t="s">
        <v>83</v>
      </c>
      <c r="O182" s="160" t="s">
        <v>98</v>
      </c>
      <c r="P182" s="28">
        <v>1</v>
      </c>
      <c r="Q182" s="28">
        <v>1</v>
      </c>
      <c r="R182" s="181" t="s">
        <v>83</v>
      </c>
      <c r="S182" s="181" t="s">
        <v>83</v>
      </c>
      <c r="T182" s="181" t="s">
        <v>83</v>
      </c>
      <c r="U182" s="181" t="s">
        <v>83</v>
      </c>
      <c r="V182" s="28"/>
      <c r="W182" s="28" t="s">
        <v>93</v>
      </c>
      <c r="X182" s="28">
        <v>80000</v>
      </c>
      <c r="Y182" s="181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81" t="s">
        <v>83</v>
      </c>
      <c r="AF182" s="181" t="s">
        <v>83</v>
      </c>
      <c r="AG182" s="181" t="s">
        <v>83</v>
      </c>
      <c r="AH182" s="181" t="s">
        <v>83</v>
      </c>
      <c r="AI182" s="28"/>
      <c r="AJ182" s="28"/>
      <c r="AK182" s="28">
        <v>1</v>
      </c>
      <c r="AL182" s="28">
        <v>1</v>
      </c>
      <c r="AM182" s="181" t="s">
        <v>83</v>
      </c>
      <c r="AN182" s="28">
        <v>1</v>
      </c>
      <c r="AO182" s="28">
        <v>1</v>
      </c>
      <c r="AP182" s="28">
        <v>1</v>
      </c>
    </row>
    <row r="183" spans="1:42">
      <c r="A183" s="157"/>
      <c r="B183" s="28" t="str">
        <f>物品!B183</f>
        <v>IP05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|CffFF0000虚空圣战卡|r</v>
      </c>
      <c r="I183" s="28" t="str">
        <f>VLOOKUP(B183,物品!B:CV,99,FALSE)</f>
        <v>开启|Cffffc926结界|r，前往虚空终止|Cffff0000封神圣战|r。</v>
      </c>
      <c r="J183" s="159" t="str">
        <f t="shared" si="80"/>
        <v>|CffFF0000虚空圣战卡|r</v>
      </c>
      <c r="K183" s="159" t="str">
        <f t="shared" si="81"/>
        <v>开启|Cffffc926结界|r，前往虚空终止|Cffff0000封神圣战|r。</v>
      </c>
      <c r="L183" s="28"/>
      <c r="M183" s="160" t="str">
        <f>VLOOKUP(LEFT(RIGHT(B183,5),4),物品!B:CU,20,FALSE)</f>
        <v>ReplaceableTextures\\CommandButtons\\BTNIP05.blp</v>
      </c>
      <c r="N183" s="181" t="s">
        <v>83</v>
      </c>
      <c r="O183" s="160" t="s">
        <v>98</v>
      </c>
      <c r="P183" s="28">
        <v>0</v>
      </c>
      <c r="Q183" s="28">
        <v>0</v>
      </c>
      <c r="R183" s="181" t="s">
        <v>83</v>
      </c>
      <c r="S183" s="181" t="s">
        <v>83</v>
      </c>
      <c r="T183" s="181" t="s">
        <v>83</v>
      </c>
      <c r="U183" s="181" t="s">
        <v>83</v>
      </c>
      <c r="V183" s="28"/>
      <c r="W183" s="28" t="s">
        <v>93</v>
      </c>
      <c r="X183" s="28">
        <v>0</v>
      </c>
      <c r="Y183" s="181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81" t="s">
        <v>83</v>
      </c>
      <c r="AF183" s="181" t="s">
        <v>83</v>
      </c>
      <c r="AG183" s="181" t="s">
        <v>83</v>
      </c>
      <c r="AH183" s="181" t="s">
        <v>83</v>
      </c>
      <c r="AI183" s="28"/>
      <c r="AJ183" s="28"/>
      <c r="AK183" s="28">
        <v>1</v>
      </c>
      <c r="AL183" s="28">
        <v>1</v>
      </c>
      <c r="AM183" s="181" t="s">
        <v>83</v>
      </c>
      <c r="AN183" s="28">
        <v>1</v>
      </c>
      <c r="AO183" s="28">
        <v>1</v>
      </c>
      <c r="AP183" s="28">
        <v>1</v>
      </c>
    </row>
    <row r="184" spans="1:42">
      <c r="A184" s="157"/>
      <c r="B184" s="28" t="str">
        <f>物品!B184</f>
        <v>IP06</v>
      </c>
      <c r="C184" s="28" t="s">
        <v>41</v>
      </c>
      <c r="D184" s="28" t="s">
        <v>81</v>
      </c>
      <c r="E184" s="28" t="s">
        <v>82</v>
      </c>
      <c r="F184" s="28"/>
      <c r="G184" s="28"/>
      <c r="H184" s="28" t="str">
        <f>VLOOKUP(LEFT(RIGHT(B184,5),4),物品!B:CU,2,FALSE)</f>
        <v>|Cff00FF7F大补丸|r</v>
      </c>
      <c r="I184" s="28" t="str">
        <f>VLOOKUP(B184,物品!B:CV,99,FALSE)</f>
        <v>使用后增加|Cffffd24d100点|r境界经验。</v>
      </c>
      <c r="J184" s="159" t="str">
        <f t="shared" ref="J184:J185" si="82">H184</f>
        <v>|Cff00FF7F大补丸|r</v>
      </c>
      <c r="K184" s="159" t="str">
        <f t="shared" ref="K184:K185" si="83">I184</f>
        <v>使用后增加|Cffffd24d100点|r境界经验。</v>
      </c>
      <c r="L184" s="28"/>
      <c r="M184" s="160" t="str">
        <f>VLOOKUP(LEFT(RIGHT(B184,5),4),物品!B:CU,20,FALSE)</f>
        <v>ReplaceableTextures\\CommandButtons\\BTNAM40.blp</v>
      </c>
      <c r="N184" s="181" t="s">
        <v>83</v>
      </c>
      <c r="O184" s="160" t="s">
        <v>98</v>
      </c>
      <c r="P184" s="28">
        <v>0</v>
      </c>
      <c r="Q184" s="28">
        <v>0</v>
      </c>
      <c r="R184" s="181" t="s">
        <v>83</v>
      </c>
      <c r="S184" s="181" t="s">
        <v>83</v>
      </c>
      <c r="T184" s="181" t="s">
        <v>83</v>
      </c>
      <c r="U184" s="181" t="s">
        <v>83</v>
      </c>
      <c r="V184" s="28"/>
      <c r="W184" s="28" t="s">
        <v>93</v>
      </c>
      <c r="X184" s="28">
        <v>0</v>
      </c>
      <c r="Y184" s="181" t="s">
        <v>83</v>
      </c>
      <c r="Z184" s="28">
        <v>0</v>
      </c>
      <c r="AA184" s="28">
        <v>0</v>
      </c>
      <c r="AB184" s="28">
        <v>0</v>
      </c>
      <c r="AC184" s="28">
        <v>1</v>
      </c>
      <c r="AD184" s="28">
        <v>1</v>
      </c>
      <c r="AE184" s="181" t="s">
        <v>83</v>
      </c>
      <c r="AF184" s="181" t="s">
        <v>83</v>
      </c>
      <c r="AG184" s="181" t="s">
        <v>83</v>
      </c>
      <c r="AH184" s="181" t="s">
        <v>83</v>
      </c>
      <c r="AI184" s="28"/>
      <c r="AJ184" s="28"/>
      <c r="AK184" s="28">
        <v>1</v>
      </c>
      <c r="AL184" s="28">
        <v>1</v>
      </c>
      <c r="AM184" s="181" t="s">
        <v>83</v>
      </c>
      <c r="AN184" s="28">
        <v>1</v>
      </c>
      <c r="AO184" s="28">
        <v>1</v>
      </c>
      <c r="AP184" s="28">
        <v>1</v>
      </c>
    </row>
    <row r="185" spans="1:42">
      <c r="A185" s="157"/>
      <c r="B185" s="28" t="str">
        <f>物品!B185</f>
        <v>IP07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|Cff00FF7F抽奖抵用券|r</v>
      </c>
      <c r="I185" s="28" t="str">
        <f>VLOOKUP(B185,物品!B:CV,99,FALSE)</f>
        <v>可抵扣|Cffffd24d1|r次抽奖消耗</v>
      </c>
      <c r="J185" s="159" t="str">
        <f t="shared" si="82"/>
        <v>|Cff00FF7F抽奖抵用券|r</v>
      </c>
      <c r="K185" s="159" t="str">
        <f t="shared" si="83"/>
        <v>可抵扣|Cffffd24d1|r次抽奖消耗</v>
      </c>
      <c r="L185" s="28"/>
      <c r="M185" s="160" t="str">
        <f>VLOOKUP(LEFT(RIGHT(B185,5),4),物品!B:CU,20,FALSE)</f>
        <v>ReplaceableTextures\\CommandButtons\\BTNIP07.blp</v>
      </c>
      <c r="N185" s="181" t="s">
        <v>83</v>
      </c>
      <c r="O185" s="160" t="s">
        <v>98</v>
      </c>
      <c r="P185" s="28">
        <v>0</v>
      </c>
      <c r="Q185" s="28">
        <v>0</v>
      </c>
      <c r="R185" s="181" t="s">
        <v>83</v>
      </c>
      <c r="S185" s="181" t="s">
        <v>83</v>
      </c>
      <c r="T185" s="181" t="s">
        <v>83</v>
      </c>
      <c r="U185" s="181" t="s">
        <v>83</v>
      </c>
      <c r="V185" s="28"/>
      <c r="W185" s="28" t="s">
        <v>93</v>
      </c>
      <c r="X185" s="28">
        <v>0</v>
      </c>
      <c r="Y185" s="181" t="s">
        <v>83</v>
      </c>
      <c r="Z185" s="28">
        <v>0</v>
      </c>
      <c r="AA185" s="28">
        <v>0</v>
      </c>
      <c r="AB185" s="28">
        <v>0</v>
      </c>
      <c r="AC185" s="28">
        <v>1</v>
      </c>
      <c r="AD185" s="28">
        <v>1</v>
      </c>
      <c r="AE185" s="181" t="s">
        <v>83</v>
      </c>
      <c r="AF185" s="181" t="s">
        <v>83</v>
      </c>
      <c r="AG185" s="181" t="s">
        <v>83</v>
      </c>
      <c r="AH185" s="181" t="s">
        <v>83</v>
      </c>
      <c r="AI185" s="28"/>
      <c r="AJ185" s="28"/>
      <c r="AK185" s="28">
        <v>1</v>
      </c>
      <c r="AL185" s="28">
        <v>1</v>
      </c>
      <c r="AM185" s="181" t="s">
        <v>83</v>
      </c>
      <c r="AN185" s="28">
        <v>1</v>
      </c>
      <c r="AO185" s="28">
        <v>1</v>
      </c>
      <c r="AP185" s="28">
        <v>1</v>
      </c>
    </row>
    <row r="186" spans="1:42">
      <c r="A186" s="157"/>
      <c r="B186" s="28" t="str">
        <f>物品!B186</f>
        <v>IP08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|Cff00FF7F超级大补丸|r</v>
      </c>
      <c r="I186" s="28" t="str">
        <f>VLOOKUP(B186,物品!B:CV,99,FALSE)</f>
        <v>使用后增加|Cffffd24d300点|r境界经验。</v>
      </c>
      <c r="J186" s="159" t="str">
        <f t="shared" ref="J186:J187" si="84">H186</f>
        <v>|Cff00FF7F超级大补丸|r</v>
      </c>
      <c r="K186" s="159" t="str">
        <f t="shared" ref="K186:K187" si="85">I186</f>
        <v>使用后增加|Cffffd24d300点|r境界经验。</v>
      </c>
      <c r="L186" s="28"/>
      <c r="M186" s="160" t="str">
        <f>VLOOKUP(LEFT(RIGHT(B186,5),4),物品!B:CU,20,FALSE)</f>
        <v>ReplaceableTextures\\CommandButtons\\BTNAM41.blp</v>
      </c>
      <c r="N186" s="181" t="s">
        <v>83</v>
      </c>
      <c r="O186" s="160" t="s">
        <v>98</v>
      </c>
      <c r="P186" s="28">
        <v>0</v>
      </c>
      <c r="Q186" s="28">
        <v>0</v>
      </c>
      <c r="R186" s="181" t="s">
        <v>83</v>
      </c>
      <c r="S186" s="181" t="s">
        <v>83</v>
      </c>
      <c r="T186" s="181" t="s">
        <v>83</v>
      </c>
      <c r="U186" s="181" t="s">
        <v>83</v>
      </c>
      <c r="V186" s="28"/>
      <c r="W186" s="28" t="s">
        <v>93</v>
      </c>
      <c r="X186" s="28">
        <v>0</v>
      </c>
      <c r="Y186" s="181" t="s">
        <v>83</v>
      </c>
      <c r="Z186" s="28">
        <v>0</v>
      </c>
      <c r="AA186" s="28">
        <v>0</v>
      </c>
      <c r="AB186" s="28">
        <v>0</v>
      </c>
      <c r="AC186" s="28">
        <v>1</v>
      </c>
      <c r="AD186" s="28">
        <v>1</v>
      </c>
      <c r="AE186" s="181" t="s">
        <v>83</v>
      </c>
      <c r="AF186" s="181" t="s">
        <v>83</v>
      </c>
      <c r="AG186" s="181" t="s">
        <v>83</v>
      </c>
      <c r="AH186" s="181" t="s">
        <v>83</v>
      </c>
      <c r="AI186" s="28"/>
      <c r="AJ186" s="28"/>
      <c r="AK186" s="28">
        <v>1</v>
      </c>
      <c r="AL186" s="28">
        <v>1</v>
      </c>
      <c r="AM186" s="181" t="s">
        <v>83</v>
      </c>
      <c r="AN186" s="28">
        <v>1</v>
      </c>
      <c r="AO186" s="28">
        <v>1</v>
      </c>
      <c r="AP186" s="28">
        <v>1</v>
      </c>
    </row>
    <row r="187" spans="1:42">
      <c r="A187" s="157"/>
      <c r="B187" s="28" t="str">
        <f>物品!B187</f>
        <v>IP09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|Cff00FF7F特级大补丸|r</v>
      </c>
      <c r="I187" s="28" t="str">
        <f>VLOOKUP(B187,物品!B:CV,99,FALSE)</f>
        <v>使用后增加|Cffffd24d500点|r境界经验。</v>
      </c>
      <c r="J187" s="159" t="str">
        <f t="shared" si="84"/>
        <v>|Cff00FF7F特级大补丸|r</v>
      </c>
      <c r="K187" s="159" t="str">
        <f t="shared" si="85"/>
        <v>使用后增加|Cffffd24d500点|r境界经验。</v>
      </c>
      <c r="L187" s="28"/>
      <c r="M187" s="160" t="str">
        <f>VLOOKUP(LEFT(RIGHT(B187,5),4),物品!B:CU,20,FALSE)</f>
        <v>ReplaceableTextures\\CommandButtons\\BTNAM42.blp</v>
      </c>
      <c r="N187" s="181" t="s">
        <v>83</v>
      </c>
      <c r="O187" s="160" t="s">
        <v>98</v>
      </c>
      <c r="P187" s="28">
        <v>0</v>
      </c>
      <c r="Q187" s="28">
        <v>0</v>
      </c>
      <c r="R187" s="181" t="s">
        <v>83</v>
      </c>
      <c r="S187" s="181" t="s">
        <v>83</v>
      </c>
      <c r="T187" s="181" t="s">
        <v>83</v>
      </c>
      <c r="U187" s="181" t="s">
        <v>83</v>
      </c>
      <c r="V187" s="28"/>
      <c r="W187" s="28" t="s">
        <v>93</v>
      </c>
      <c r="X187" s="28">
        <v>0</v>
      </c>
      <c r="Y187" s="181" t="s">
        <v>83</v>
      </c>
      <c r="Z187" s="28">
        <v>0</v>
      </c>
      <c r="AA187" s="28">
        <v>0</v>
      </c>
      <c r="AB187" s="28">
        <v>0</v>
      </c>
      <c r="AC187" s="28">
        <v>1</v>
      </c>
      <c r="AD187" s="28">
        <v>1</v>
      </c>
      <c r="AE187" s="181" t="s">
        <v>83</v>
      </c>
      <c r="AF187" s="181" t="s">
        <v>83</v>
      </c>
      <c r="AG187" s="181" t="s">
        <v>83</v>
      </c>
      <c r="AH187" s="181" t="s">
        <v>83</v>
      </c>
      <c r="AI187" s="28"/>
      <c r="AJ187" s="28"/>
      <c r="AK187" s="28">
        <v>1</v>
      </c>
      <c r="AL187" s="28">
        <v>1</v>
      </c>
      <c r="AM187" s="181" t="s">
        <v>83</v>
      </c>
      <c r="AN187" s="28">
        <v>1</v>
      </c>
      <c r="AO187" s="28">
        <v>1</v>
      </c>
      <c r="AP187" s="28">
        <v>1</v>
      </c>
    </row>
    <row r="188" spans="1:42">
      <c r="A188" s="157"/>
      <c r="B188" s="28" t="str">
        <f>物品!B188</f>
        <v>IT01</v>
      </c>
      <c r="C188" s="28" t="s">
        <v>41</v>
      </c>
      <c r="D188" s="28" t="s">
        <v>81</v>
      </c>
      <c r="E188" s="28"/>
      <c r="F188" s="28"/>
      <c r="G188" s="28"/>
      <c r="H188" s="28" t="str">
        <f>VLOOKUP(LEFT(RIGHT(B188,5),4),物品!B:CU,2,FALSE)</f>
        <v>噬心劫</v>
      </c>
      <c r="I188" s="28" t="str">
        <f>VLOOKUP(B188,物品!B:CV,99,FALSE)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88" s="159" t="str">
        <f t="shared" si="78"/>
        <v>噬心劫</v>
      </c>
      <c r="K188" s="159" t="str">
        <f t="shared" si="79"/>
        <v>渡过该劫后可结成|CffCCCCCC低级道果|r。|n|n|CffCCCCCC低级道果：|r|n攻击+5000|n业力+4000|n生命值+100000|n生命回复+2000|n攻击伤害+9%|n技能伤害+8%|n|n|Cff00FF7F完成任意渡劫均可突破境界。|r</v>
      </c>
      <c r="L188" s="28"/>
      <c r="M188" s="160" t="str">
        <f>VLOOKUP(LEFT(RIGHT(B188,5),4),物品!B:CU,20,FALSE)</f>
        <v>ReplaceableTextures\\CommandButtons\\BTNIT01.blp</v>
      </c>
      <c r="N188" s="181" t="s">
        <v>83</v>
      </c>
      <c r="O188" s="160" t="s">
        <v>98</v>
      </c>
      <c r="P188" s="28">
        <v>0</v>
      </c>
      <c r="Q188" s="28">
        <v>0</v>
      </c>
      <c r="R188" s="181" t="s">
        <v>83</v>
      </c>
      <c r="S188" s="181" t="s">
        <v>83</v>
      </c>
      <c r="T188" s="181" t="s">
        <v>83</v>
      </c>
      <c r="U188" s="181" t="s">
        <v>83</v>
      </c>
      <c r="V188" s="28"/>
      <c r="W188" s="28" t="s">
        <v>88</v>
      </c>
      <c r="X188" s="28">
        <v>3000</v>
      </c>
      <c r="Y188" s="181" t="s">
        <v>83</v>
      </c>
      <c r="Z188" s="28">
        <v>0</v>
      </c>
      <c r="AA188" s="28">
        <v>0</v>
      </c>
      <c r="AB188" s="159">
        <v>0</v>
      </c>
      <c r="AC188" s="28">
        <v>1</v>
      </c>
      <c r="AD188" s="28">
        <v>1</v>
      </c>
      <c r="AE188" s="181" t="s">
        <v>83</v>
      </c>
      <c r="AF188" s="181" t="s">
        <v>83</v>
      </c>
      <c r="AG188" s="181" t="s">
        <v>83</v>
      </c>
      <c r="AH188" s="181" t="s">
        <v>83</v>
      </c>
      <c r="AI188" s="28">
        <v>1</v>
      </c>
      <c r="AJ188" s="28"/>
      <c r="AK188" s="28">
        <v>1</v>
      </c>
      <c r="AL188" s="28">
        <v>1</v>
      </c>
      <c r="AM188" s="181" t="s">
        <v>83</v>
      </c>
      <c r="AN188" s="28">
        <v>1</v>
      </c>
      <c r="AO188" s="28">
        <v>1</v>
      </c>
      <c r="AP188" s="28">
        <v>1</v>
      </c>
    </row>
    <row r="189" spans="1:42">
      <c r="A189" s="157"/>
      <c r="B189" s="28" t="str">
        <f>物品!B189</f>
        <v>IT02</v>
      </c>
      <c r="C189" s="28" t="s">
        <v>41</v>
      </c>
      <c r="D189" s="28" t="s">
        <v>81</v>
      </c>
      <c r="E189" s="28"/>
      <c r="F189" s="28"/>
      <c r="G189" s="28"/>
      <c r="H189" s="28" t="str">
        <f>VLOOKUP(LEFT(RIGHT(B189,5),4),物品!B:CU,2,FALSE)</f>
        <v>三重轰雷劫</v>
      </c>
      <c r="I189" s="28" t="str">
        <f>VLOOKUP(B189,物品!B:CV,99,FALSE)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89" s="159" t="str">
        <f t="shared" si="78"/>
        <v>三重轰雷劫</v>
      </c>
      <c r="K189" s="159" t="str">
        <f t="shared" si="79"/>
        <v>渡过该劫后可结成|CffCCCCCC中级道果|r。|n|n|CffCCCCCC中级道果：|r|n攻击+7500|n业力+6000|n生命值+150000|n生命回复+3000|n攻击伤害+9%|n技能伤害+8%|n|n|Cff00FF7F完成任意渡劫均可突破境界。|r</v>
      </c>
      <c r="L189" s="28"/>
      <c r="M189" s="160" t="str">
        <f>VLOOKUP(LEFT(RIGHT(B189,5),4),物品!B:CU,20,FALSE)</f>
        <v>ReplaceableTextures\\CommandButtons\\BTNIT02.blp</v>
      </c>
      <c r="N189" s="181" t="s">
        <v>83</v>
      </c>
      <c r="O189" s="160" t="s">
        <v>98</v>
      </c>
      <c r="P189" s="28">
        <v>1</v>
      </c>
      <c r="Q189" s="28">
        <v>0</v>
      </c>
      <c r="R189" s="181" t="s">
        <v>83</v>
      </c>
      <c r="S189" s="181" t="s">
        <v>83</v>
      </c>
      <c r="T189" s="181" t="s">
        <v>83</v>
      </c>
      <c r="U189" s="181" t="s">
        <v>83</v>
      </c>
      <c r="V189" s="28"/>
      <c r="W189" s="28" t="s">
        <v>88</v>
      </c>
      <c r="X189" s="28">
        <v>3000</v>
      </c>
      <c r="Y189" s="181" t="s">
        <v>83</v>
      </c>
      <c r="Z189" s="28">
        <v>0</v>
      </c>
      <c r="AA189" s="28">
        <v>0</v>
      </c>
      <c r="AB189" s="159">
        <v>2</v>
      </c>
      <c r="AC189" s="28">
        <v>1</v>
      </c>
      <c r="AD189" s="28">
        <v>1</v>
      </c>
      <c r="AE189" s="181" t="s">
        <v>83</v>
      </c>
      <c r="AF189" s="181" t="s">
        <v>83</v>
      </c>
      <c r="AG189" s="181" t="s">
        <v>83</v>
      </c>
      <c r="AH189" s="181" t="s">
        <v>83</v>
      </c>
      <c r="AI189" s="28">
        <v>1</v>
      </c>
      <c r="AJ189" s="28"/>
      <c r="AK189" s="28">
        <v>1</v>
      </c>
      <c r="AL189" s="28">
        <v>1</v>
      </c>
      <c r="AM189" s="181" t="s">
        <v>83</v>
      </c>
      <c r="AN189" s="28">
        <v>1</v>
      </c>
      <c r="AO189" s="28">
        <v>1</v>
      </c>
      <c r="AP189" s="28">
        <v>1</v>
      </c>
    </row>
    <row r="190" spans="1:42">
      <c r="A190" s="157"/>
      <c r="B190" s="28" t="str">
        <f>物品!B190</f>
        <v>IT03</v>
      </c>
      <c r="C190" s="28" t="s">
        <v>41</v>
      </c>
      <c r="D190" s="28" t="s">
        <v>81</v>
      </c>
      <c r="E190" s="28"/>
      <c r="F190" s="28"/>
      <c r="G190" s="28"/>
      <c r="H190" s="28" t="str">
        <f>VLOOKUP(LEFT(RIGHT(B190,5),4),物品!B:CU,2,FALSE)</f>
        <v>|Cff00FF7F六重天雷劫|r</v>
      </c>
      <c r="I190" s="28" t="str">
        <f>VLOOKUP(B190,物品!B:CV,99,FALSE)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0" s="159" t="str">
        <f t="shared" si="78"/>
        <v>|Cff00FF7F六重天雷劫|r</v>
      </c>
      <c r="K190" s="159" t="str">
        <f t="shared" si="79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0" s="28"/>
      <c r="M190" s="160" t="str">
        <f>VLOOKUP(LEFT(RIGHT(B190,5),4),物品!B:CU,20,FALSE)</f>
        <v>ReplaceableTextures\\CommandButtons\\BTNIT03.blp</v>
      </c>
      <c r="N190" s="181" t="s">
        <v>83</v>
      </c>
      <c r="O190" s="160" t="s">
        <v>98</v>
      </c>
      <c r="P190" s="28">
        <v>2</v>
      </c>
      <c r="Q190" s="28">
        <v>0</v>
      </c>
      <c r="R190" s="181" t="s">
        <v>83</v>
      </c>
      <c r="S190" s="181" t="s">
        <v>83</v>
      </c>
      <c r="T190" s="181" t="s">
        <v>83</v>
      </c>
      <c r="U190" s="181" t="s">
        <v>83</v>
      </c>
      <c r="V190" s="28"/>
      <c r="W190" s="28" t="s">
        <v>88</v>
      </c>
      <c r="X190" s="28">
        <v>5000</v>
      </c>
      <c r="Y190" s="181" t="s">
        <v>83</v>
      </c>
      <c r="Z190" s="28">
        <v>0</v>
      </c>
      <c r="AA190" s="28">
        <v>0</v>
      </c>
      <c r="AB190" s="159">
        <v>3</v>
      </c>
      <c r="AC190" s="28">
        <v>1</v>
      </c>
      <c r="AD190" s="28">
        <v>1</v>
      </c>
      <c r="AE190" s="181" t="s">
        <v>83</v>
      </c>
      <c r="AF190" s="181" t="s">
        <v>83</v>
      </c>
      <c r="AG190" s="181" t="s">
        <v>83</v>
      </c>
      <c r="AH190" s="181" t="s">
        <v>83</v>
      </c>
      <c r="AI190" s="28">
        <v>1</v>
      </c>
      <c r="AJ190" s="28"/>
      <c r="AK190" s="28">
        <v>1</v>
      </c>
      <c r="AL190" s="28">
        <v>1</v>
      </c>
      <c r="AM190" s="181" t="s">
        <v>83</v>
      </c>
      <c r="AN190" s="28">
        <v>1</v>
      </c>
      <c r="AO190" s="28">
        <v>1</v>
      </c>
      <c r="AP190" s="28">
        <v>1</v>
      </c>
    </row>
    <row r="191" spans="1:42">
      <c r="A191" s="157"/>
      <c r="B191" s="28" t="str">
        <f>物品!B191</f>
        <v>IT04</v>
      </c>
      <c r="C191" s="28" t="s">
        <v>41</v>
      </c>
      <c r="D191" s="28" t="s">
        <v>81</v>
      </c>
      <c r="E191" s="28"/>
      <c r="F191" s="28"/>
      <c r="G191" s="28"/>
      <c r="H191" s="28" t="str">
        <f>VLOOKUP(LEFT(RIGHT(B191,5),4),物品!B:CU,2,FALSE)</f>
        <v>|Cff00FF7F九重煅神劫|r</v>
      </c>
      <c r="I191" s="28" t="str">
        <f>VLOOKUP(B191,物品!B:CV,99,FALSE)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1" s="159" t="str">
        <f t="shared" si="78"/>
        <v>|Cff00FF7F九重煅神劫|r</v>
      </c>
      <c r="K191" s="159" t="str">
        <f t="shared" si="79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1" s="28"/>
      <c r="M191" s="160" t="str">
        <f>VLOOKUP(LEFT(RIGHT(B191,5),4),物品!B:CU,20,FALSE)</f>
        <v>ReplaceableTextures\\CommandButtons\\BTNIT04.blp</v>
      </c>
      <c r="N191" s="181" t="s">
        <v>83</v>
      </c>
      <c r="O191" s="160" t="s">
        <v>98</v>
      </c>
      <c r="P191" s="28">
        <v>3</v>
      </c>
      <c r="Q191" s="28">
        <v>0</v>
      </c>
      <c r="R191" s="181" t="s">
        <v>83</v>
      </c>
      <c r="S191" s="181" t="s">
        <v>83</v>
      </c>
      <c r="T191" s="181" t="s">
        <v>83</v>
      </c>
      <c r="U191" s="181" t="s">
        <v>83</v>
      </c>
      <c r="V191" s="28"/>
      <c r="W191" s="28" t="s">
        <v>88</v>
      </c>
      <c r="X191" s="28">
        <v>7000</v>
      </c>
      <c r="Y191" s="181" t="s">
        <v>83</v>
      </c>
      <c r="Z191" s="28">
        <v>0</v>
      </c>
      <c r="AA191" s="28">
        <v>0</v>
      </c>
      <c r="AB191" s="159">
        <v>5</v>
      </c>
      <c r="AC191" s="28">
        <v>1</v>
      </c>
      <c r="AD191" s="28">
        <v>1</v>
      </c>
      <c r="AE191" s="181" t="s">
        <v>83</v>
      </c>
      <c r="AF191" s="181" t="s">
        <v>83</v>
      </c>
      <c r="AG191" s="181" t="s">
        <v>83</v>
      </c>
      <c r="AH191" s="181" t="s">
        <v>83</v>
      </c>
      <c r="AI191" s="28">
        <v>1</v>
      </c>
      <c r="AJ191" s="28"/>
      <c r="AK191" s="28">
        <v>1</v>
      </c>
      <c r="AL191" s="28">
        <v>1</v>
      </c>
      <c r="AM191" s="181" t="s">
        <v>83</v>
      </c>
      <c r="AN191" s="28">
        <v>1</v>
      </c>
      <c r="AO191" s="28">
        <v>1</v>
      </c>
      <c r="AP191" s="28">
        <v>1</v>
      </c>
    </row>
    <row r="192" spans="1:42">
      <c r="A192" s="157"/>
      <c r="B192" s="28" t="str">
        <f>物品!B192</f>
        <v>IT05</v>
      </c>
      <c r="C192" s="28" t="s">
        <v>41</v>
      </c>
      <c r="D192" s="28" t="s">
        <v>81</v>
      </c>
      <c r="E192" s="28"/>
      <c r="F192" s="28"/>
      <c r="G192" s="28"/>
      <c r="H192" s="28" t="str">
        <f>VLOOKUP(LEFT(RIGHT(B192,5),4),物品!B:CU,2,FALSE)</f>
        <v>|Cff00BFFF灭魄血煞劫|r</v>
      </c>
      <c r="I192" s="28" t="str">
        <f>VLOOKUP(B192,物品!B:CV,99,FALSE)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2" s="159" t="str">
        <f t="shared" si="78"/>
        <v>|Cff00BFFF灭魄血煞劫|r</v>
      </c>
      <c r="K192" s="159" t="str">
        <f t="shared" si="79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2" s="28"/>
      <c r="M192" s="160" t="str">
        <f>VLOOKUP(LEFT(RIGHT(B192,5),4),物品!B:CU,20,FALSE)</f>
        <v>ReplaceableTextures\\CommandButtons\\BTNIT05.blp</v>
      </c>
      <c r="N192" s="181" t="s">
        <v>83</v>
      </c>
      <c r="O192" s="160" t="s">
        <v>98</v>
      </c>
      <c r="P192" s="28">
        <v>0</v>
      </c>
      <c r="Q192" s="28">
        <v>1</v>
      </c>
      <c r="R192" s="181" t="s">
        <v>83</v>
      </c>
      <c r="S192" s="181" t="s">
        <v>83</v>
      </c>
      <c r="T192" s="181" t="s">
        <v>83</v>
      </c>
      <c r="U192" s="181" t="s">
        <v>83</v>
      </c>
      <c r="V192" s="28"/>
      <c r="W192" s="28" t="s">
        <v>88</v>
      </c>
      <c r="X192" s="28">
        <v>10000</v>
      </c>
      <c r="Y192" s="181" t="s">
        <v>83</v>
      </c>
      <c r="Z192" s="28">
        <v>0</v>
      </c>
      <c r="AA192" s="28">
        <v>0</v>
      </c>
      <c r="AB192" s="159">
        <v>7</v>
      </c>
      <c r="AC192" s="28">
        <v>1</v>
      </c>
      <c r="AD192" s="28">
        <v>1</v>
      </c>
      <c r="AE192" s="181" t="s">
        <v>83</v>
      </c>
      <c r="AF192" s="181" t="s">
        <v>83</v>
      </c>
      <c r="AG192" s="181" t="s">
        <v>83</v>
      </c>
      <c r="AH192" s="181" t="s">
        <v>83</v>
      </c>
      <c r="AI192" s="28">
        <v>1</v>
      </c>
      <c r="AJ192" s="28"/>
      <c r="AK192" s="28">
        <v>1</v>
      </c>
      <c r="AL192" s="28">
        <v>1</v>
      </c>
      <c r="AM192" s="181" t="s">
        <v>83</v>
      </c>
      <c r="AN192" s="28">
        <v>1</v>
      </c>
      <c r="AO192" s="28">
        <v>1</v>
      </c>
      <c r="AP192" s="28">
        <v>1</v>
      </c>
    </row>
    <row r="193" spans="1:42">
      <c r="A193" s="157"/>
      <c r="B193" s="28" t="str">
        <f>物品!B193</f>
        <v>IT06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|Cff00BFFF入微洞虚劫|r</v>
      </c>
      <c r="I193" s="28" t="str">
        <f>VLOOKUP(B193,物品!B:CV,99,FALSE)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3" s="159" t="str">
        <f t="shared" si="78"/>
        <v>|Cff00BFFF入微洞虚劫|r</v>
      </c>
      <c r="K193" s="159" t="str">
        <f t="shared" si="79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3" s="28"/>
      <c r="M193" s="160" t="str">
        <f>VLOOKUP(LEFT(RIGHT(B193,5),4),物品!B:CU,20,FALSE)</f>
        <v>ReplaceableTextures\\CommandButtons\\BTNIT06.blp</v>
      </c>
      <c r="N193" s="181" t="s">
        <v>83</v>
      </c>
      <c r="O193" s="160" t="s">
        <v>98</v>
      </c>
      <c r="P193" s="28">
        <v>1</v>
      </c>
      <c r="Q193" s="28">
        <v>1</v>
      </c>
      <c r="R193" s="181" t="s">
        <v>83</v>
      </c>
      <c r="S193" s="181" t="s">
        <v>83</v>
      </c>
      <c r="T193" s="181" t="s">
        <v>83</v>
      </c>
      <c r="U193" s="181" t="s">
        <v>83</v>
      </c>
      <c r="V193" s="28"/>
      <c r="W193" s="28" t="s">
        <v>88</v>
      </c>
      <c r="X193" s="28">
        <v>15000</v>
      </c>
      <c r="Y193" s="181" t="s">
        <v>83</v>
      </c>
      <c r="Z193" s="28">
        <v>0</v>
      </c>
      <c r="AA193" s="28">
        <v>0</v>
      </c>
      <c r="AB193" s="159">
        <v>10</v>
      </c>
      <c r="AC193" s="28">
        <v>1</v>
      </c>
      <c r="AD193" s="28">
        <v>1</v>
      </c>
      <c r="AE193" s="181" t="s">
        <v>83</v>
      </c>
      <c r="AF193" s="181" t="s">
        <v>83</v>
      </c>
      <c r="AG193" s="181" t="s">
        <v>83</v>
      </c>
      <c r="AH193" s="181" t="s">
        <v>83</v>
      </c>
      <c r="AI193" s="28">
        <v>1</v>
      </c>
      <c r="AJ193" s="28"/>
      <c r="AK193" s="28">
        <v>1</v>
      </c>
      <c r="AL193" s="28">
        <v>1</v>
      </c>
      <c r="AM193" s="181" t="s">
        <v>83</v>
      </c>
      <c r="AN193" s="28">
        <v>1</v>
      </c>
      <c r="AO193" s="28">
        <v>1</v>
      </c>
      <c r="AP193" s="28">
        <v>1</v>
      </c>
    </row>
    <row r="194" spans="1:42">
      <c r="A194" s="157"/>
      <c r="B194" s="28" t="str">
        <f>物品!B194</f>
        <v>IT07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|CffFFD24D因果厄难劫|r</v>
      </c>
      <c r="I194" s="28" t="str">
        <f>VLOOKUP(B194,物品!B:CV,99,FALSE)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94" s="159" t="str">
        <f t="shared" si="78"/>
        <v>|CffFFD24D因果厄难劫|r</v>
      </c>
      <c r="K194" s="159" t="str">
        <f t="shared" si="79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94" s="28"/>
      <c r="M194" s="160" t="str">
        <f>VLOOKUP(LEFT(RIGHT(B194,5),4),物品!B:CU,20,FALSE)</f>
        <v>ReplaceableTextures\\CommandButtons\\BTNIT07.blp</v>
      </c>
      <c r="N194" s="181" t="s">
        <v>83</v>
      </c>
      <c r="O194" s="160" t="s">
        <v>98</v>
      </c>
      <c r="P194" s="28">
        <v>2</v>
      </c>
      <c r="Q194" s="28">
        <v>1</v>
      </c>
      <c r="R194" s="181" t="s">
        <v>83</v>
      </c>
      <c r="S194" s="181" t="s">
        <v>83</v>
      </c>
      <c r="T194" s="181" t="s">
        <v>83</v>
      </c>
      <c r="U194" s="181" t="s">
        <v>83</v>
      </c>
      <c r="V194" s="28"/>
      <c r="W194" s="28" t="s">
        <v>88</v>
      </c>
      <c r="X194" s="28">
        <v>20000</v>
      </c>
      <c r="Y194" s="181" t="s">
        <v>83</v>
      </c>
      <c r="Z194" s="28">
        <v>0</v>
      </c>
      <c r="AA194" s="28">
        <v>0</v>
      </c>
      <c r="AB194" s="159">
        <v>13</v>
      </c>
      <c r="AC194" s="28">
        <v>1</v>
      </c>
      <c r="AD194" s="28">
        <v>1</v>
      </c>
      <c r="AE194" s="181" t="s">
        <v>83</v>
      </c>
      <c r="AF194" s="181" t="s">
        <v>83</v>
      </c>
      <c r="AG194" s="181" t="s">
        <v>83</v>
      </c>
      <c r="AH194" s="181" t="s">
        <v>83</v>
      </c>
      <c r="AI194" s="28">
        <v>1</v>
      </c>
      <c r="AJ194" s="28"/>
      <c r="AK194" s="28">
        <v>1</v>
      </c>
      <c r="AL194" s="28">
        <v>1</v>
      </c>
      <c r="AM194" s="181" t="s">
        <v>83</v>
      </c>
      <c r="AN194" s="28">
        <v>1</v>
      </c>
      <c r="AO194" s="28">
        <v>1</v>
      </c>
      <c r="AP194" s="28">
        <v>1</v>
      </c>
    </row>
    <row r="195" spans="1:42">
      <c r="A195" s="157"/>
      <c r="B195" s="28" t="str">
        <f>物品!B195</f>
        <v>IT08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|CffFFD24D迷魂幻世劫|r</v>
      </c>
      <c r="I195" s="28" t="str">
        <f>VLOOKUP(B195,物品!B:CV,99,FALSE)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95" s="159" t="str">
        <f t="shared" si="78"/>
        <v>|CffFFD24D迷魂幻世劫|r</v>
      </c>
      <c r="K195" s="159" t="str">
        <f t="shared" si="79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95" s="28"/>
      <c r="M195" s="160" t="str">
        <f>VLOOKUP(LEFT(RIGHT(B195,5),4),物品!B:CU,20,FALSE)</f>
        <v>ReplaceableTextures\\CommandButtons\\BTNIT08.blp</v>
      </c>
      <c r="N195" s="181" t="s">
        <v>83</v>
      </c>
      <c r="O195" s="160" t="s">
        <v>98</v>
      </c>
      <c r="P195" s="28">
        <v>3</v>
      </c>
      <c r="Q195" s="28">
        <v>1</v>
      </c>
      <c r="R195" s="181" t="s">
        <v>83</v>
      </c>
      <c r="S195" s="181" t="s">
        <v>83</v>
      </c>
      <c r="T195" s="181" t="s">
        <v>83</v>
      </c>
      <c r="U195" s="181" t="s">
        <v>83</v>
      </c>
      <c r="V195" s="28"/>
      <c r="W195" s="28" t="s">
        <v>88</v>
      </c>
      <c r="X195" s="28">
        <v>25000</v>
      </c>
      <c r="Y195" s="181" t="s">
        <v>83</v>
      </c>
      <c r="Z195" s="28">
        <v>0</v>
      </c>
      <c r="AA195" s="28">
        <v>0</v>
      </c>
      <c r="AB195" s="159">
        <v>16</v>
      </c>
      <c r="AC195" s="28">
        <v>1</v>
      </c>
      <c r="AD195" s="28">
        <v>1</v>
      </c>
      <c r="AE195" s="181" t="s">
        <v>83</v>
      </c>
      <c r="AF195" s="181" t="s">
        <v>83</v>
      </c>
      <c r="AG195" s="181" t="s">
        <v>83</v>
      </c>
      <c r="AH195" s="181" t="s">
        <v>83</v>
      </c>
      <c r="AI195" s="28">
        <v>1</v>
      </c>
      <c r="AJ195" s="28"/>
      <c r="AK195" s="28">
        <v>1</v>
      </c>
      <c r="AL195" s="28">
        <v>1</v>
      </c>
      <c r="AM195" s="181" t="s">
        <v>83</v>
      </c>
      <c r="AN195" s="28">
        <v>1</v>
      </c>
      <c r="AO195" s="28">
        <v>1</v>
      </c>
      <c r="AP195" s="28">
        <v>1</v>
      </c>
    </row>
    <row r="196" spans="1:42">
      <c r="A196" s="157"/>
      <c r="B196" s="28" t="str">
        <f>物品!B196</f>
        <v>IT09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|CffFF0000天人五衰劫|r</v>
      </c>
      <c r="I196" s="28" t="str">
        <f>VLOOKUP(B196,物品!B:CV,99,FALSE)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96" s="159" t="str">
        <f t="shared" si="78"/>
        <v>|CffFF0000天人五衰劫|r</v>
      </c>
      <c r="K196" s="159" t="str">
        <f t="shared" si="79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96" s="28"/>
      <c r="M196" s="160" t="str">
        <f>VLOOKUP(LEFT(RIGHT(B196,5),4),物品!B:CU,20,FALSE)</f>
        <v>ReplaceableTextures\\CommandButtons\\BTNIT09.blp</v>
      </c>
      <c r="N196" s="181" t="s">
        <v>83</v>
      </c>
      <c r="O196" s="160" t="s">
        <v>98</v>
      </c>
      <c r="P196" s="28">
        <v>0</v>
      </c>
      <c r="Q196" s="28">
        <v>2</v>
      </c>
      <c r="R196" s="181" t="s">
        <v>83</v>
      </c>
      <c r="S196" s="181" t="s">
        <v>83</v>
      </c>
      <c r="T196" s="181" t="s">
        <v>83</v>
      </c>
      <c r="U196" s="181" t="s">
        <v>83</v>
      </c>
      <c r="V196" s="28"/>
      <c r="W196" s="28" t="s">
        <v>88</v>
      </c>
      <c r="X196" s="28">
        <v>30000</v>
      </c>
      <c r="Y196" s="181" t="s">
        <v>83</v>
      </c>
      <c r="Z196" s="28">
        <v>0</v>
      </c>
      <c r="AA196" s="28">
        <v>0</v>
      </c>
      <c r="AB196" s="159">
        <v>20</v>
      </c>
      <c r="AC196" s="28">
        <v>1</v>
      </c>
      <c r="AD196" s="28">
        <v>1</v>
      </c>
      <c r="AE196" s="181" t="s">
        <v>83</v>
      </c>
      <c r="AF196" s="181" t="s">
        <v>83</v>
      </c>
      <c r="AG196" s="181" t="s">
        <v>83</v>
      </c>
      <c r="AH196" s="181" t="s">
        <v>83</v>
      </c>
      <c r="AI196" s="28">
        <v>1</v>
      </c>
      <c r="AJ196" s="28"/>
      <c r="AK196" s="28">
        <v>1</v>
      </c>
      <c r="AL196" s="28">
        <v>1</v>
      </c>
      <c r="AM196" s="181" t="s">
        <v>83</v>
      </c>
      <c r="AN196" s="28">
        <v>1</v>
      </c>
      <c r="AO196" s="28">
        <v>1</v>
      </c>
      <c r="AP196" s="28">
        <v>1</v>
      </c>
    </row>
    <row r="197" spans="1:42">
      <c r="A197" s="157"/>
      <c r="B197" s="28" t="str">
        <f>物品!B197</f>
        <v>IT10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|CffFF0000混元灭世劫|r</v>
      </c>
      <c r="I197" s="28" t="str">
        <f>VLOOKUP(B197,物品!B:CV,99,FALSE)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97" s="159" t="str">
        <f t="shared" si="78"/>
        <v>|CffFF0000混元灭世劫|r</v>
      </c>
      <c r="K197" s="159" t="str">
        <f t="shared" si="79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97" s="28"/>
      <c r="M197" s="160" t="str">
        <f>VLOOKUP(LEFT(RIGHT(B197,5),4),物品!B:CU,20,FALSE)</f>
        <v>ReplaceableTextures\\CommandButtons\\BTNIT10.blp</v>
      </c>
      <c r="N197" s="181" t="s">
        <v>83</v>
      </c>
      <c r="O197" s="160" t="s">
        <v>98</v>
      </c>
      <c r="P197" s="28">
        <v>1</v>
      </c>
      <c r="Q197" s="28">
        <v>2</v>
      </c>
      <c r="R197" s="181" t="s">
        <v>83</v>
      </c>
      <c r="S197" s="181" t="s">
        <v>83</v>
      </c>
      <c r="T197" s="181" t="s">
        <v>83</v>
      </c>
      <c r="U197" s="181" t="s">
        <v>83</v>
      </c>
      <c r="V197" s="28"/>
      <c r="W197" s="28" t="s">
        <v>88</v>
      </c>
      <c r="X197" s="28">
        <v>50000</v>
      </c>
      <c r="Y197" s="181" t="s">
        <v>83</v>
      </c>
      <c r="Z197" s="28">
        <v>0</v>
      </c>
      <c r="AA197" s="28">
        <v>0</v>
      </c>
      <c r="AB197" s="159">
        <v>25</v>
      </c>
      <c r="AC197" s="28">
        <v>1</v>
      </c>
      <c r="AD197" s="28">
        <v>1</v>
      </c>
      <c r="AE197" s="181" t="s">
        <v>83</v>
      </c>
      <c r="AF197" s="181" t="s">
        <v>83</v>
      </c>
      <c r="AG197" s="181" t="s">
        <v>83</v>
      </c>
      <c r="AH197" s="181" t="s">
        <v>83</v>
      </c>
      <c r="AI197" s="28">
        <v>1</v>
      </c>
      <c r="AJ197" s="28"/>
      <c r="AK197" s="28">
        <v>1</v>
      </c>
      <c r="AL197" s="28">
        <v>1</v>
      </c>
      <c r="AM197" s="181" t="s">
        <v>83</v>
      </c>
      <c r="AN197" s="28">
        <v>1</v>
      </c>
      <c r="AO197" s="28">
        <v>1</v>
      </c>
      <c r="AP197" s="28">
        <v>1</v>
      </c>
    </row>
    <row r="198" spans="1:42">
      <c r="A198" s="157"/>
      <c r="B198" s="28" t="str">
        <f>物品!B198</f>
        <v>IT11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斩三尸</v>
      </c>
      <c r="I198" s="28" t="str">
        <f>VLOOKUP(B198,物品!B:CV,99,FALSE)</f>
        <v>境界挑战11</v>
      </c>
      <c r="J198" s="159" t="str">
        <f t="shared" si="78"/>
        <v>斩三尸</v>
      </c>
      <c r="K198" s="159" t="str">
        <f t="shared" si="79"/>
        <v>境界挑战11</v>
      </c>
      <c r="L198" s="28"/>
      <c r="M198" s="160" t="str">
        <f>VLOOKUP(LEFT(RIGHT(B198,5),4),物品!B:CU,20,FALSE)</f>
        <v>ReplaceableTextures\\CommandButtons\\BTNIT11.blp</v>
      </c>
      <c r="N198" s="181" t="s">
        <v>83</v>
      </c>
      <c r="O198" s="160" t="s">
        <v>98</v>
      </c>
      <c r="P198" s="28">
        <v>2</v>
      </c>
      <c r="Q198" s="28">
        <v>1</v>
      </c>
      <c r="R198" s="181" t="s">
        <v>83</v>
      </c>
      <c r="S198" s="181" t="s">
        <v>83</v>
      </c>
      <c r="T198" s="181" t="s">
        <v>83</v>
      </c>
      <c r="U198" s="181" t="s">
        <v>83</v>
      </c>
      <c r="V198" s="28"/>
      <c r="W198" s="28" t="s">
        <v>88</v>
      </c>
      <c r="X198" s="28">
        <v>0</v>
      </c>
      <c r="Y198" s="181" t="s">
        <v>83</v>
      </c>
      <c r="Z198" s="28">
        <v>0</v>
      </c>
      <c r="AA198" s="28">
        <v>0</v>
      </c>
      <c r="AB198" s="28">
        <v>0</v>
      </c>
      <c r="AC198" s="28">
        <v>1</v>
      </c>
      <c r="AD198" s="28">
        <v>1</v>
      </c>
      <c r="AE198" s="181" t="s">
        <v>83</v>
      </c>
      <c r="AF198" s="181" t="s">
        <v>83</v>
      </c>
      <c r="AG198" s="181" t="s">
        <v>83</v>
      </c>
      <c r="AH198" s="181" t="s">
        <v>83</v>
      </c>
      <c r="AI198" s="28">
        <v>1</v>
      </c>
      <c r="AJ198" s="28"/>
      <c r="AK198" s="28">
        <v>1</v>
      </c>
      <c r="AL198" s="28">
        <v>1</v>
      </c>
      <c r="AM198" s="181" t="s">
        <v>83</v>
      </c>
      <c r="AN198" s="28">
        <v>1</v>
      </c>
      <c r="AO198" s="28">
        <v>1</v>
      </c>
      <c r="AP198" s="28">
        <v>1</v>
      </c>
    </row>
    <row r="199" spans="1:42">
      <c r="A199" s="157"/>
      <c r="B199" s="28" t="str">
        <f>物品!B199</f>
        <v>IT12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无量量劫</v>
      </c>
      <c r="I199" s="28" t="str">
        <f>VLOOKUP(B199,物品!B:CV,99,FALSE)</f>
        <v>境界挑战12</v>
      </c>
      <c r="J199" s="159" t="str">
        <f t="shared" si="78"/>
        <v>无量量劫</v>
      </c>
      <c r="K199" s="159" t="str">
        <f t="shared" si="79"/>
        <v>境界挑战12</v>
      </c>
      <c r="L199" s="28"/>
      <c r="M199" s="160" t="str">
        <f>VLOOKUP(LEFT(RIGHT(B199,5),4),物品!B:CU,20,FALSE)</f>
        <v>ReplaceableTextures\\CommandButtons\\BTNIT12.blp</v>
      </c>
      <c r="N199" s="181" t="s">
        <v>83</v>
      </c>
      <c r="O199" s="160" t="s">
        <v>98</v>
      </c>
      <c r="P199" s="28">
        <v>3</v>
      </c>
      <c r="Q199" s="28">
        <v>1</v>
      </c>
      <c r="R199" s="181" t="s">
        <v>83</v>
      </c>
      <c r="S199" s="181" t="s">
        <v>83</v>
      </c>
      <c r="T199" s="181" t="s">
        <v>83</v>
      </c>
      <c r="U199" s="181" t="s">
        <v>83</v>
      </c>
      <c r="V199" s="28"/>
      <c r="W199" s="28" t="s">
        <v>88</v>
      </c>
      <c r="X199" s="28">
        <v>0</v>
      </c>
      <c r="Y199" s="181" t="s">
        <v>83</v>
      </c>
      <c r="Z199" s="28">
        <v>0</v>
      </c>
      <c r="AA199" s="28">
        <v>0</v>
      </c>
      <c r="AB199" s="28">
        <v>0</v>
      </c>
      <c r="AC199" s="28">
        <v>1</v>
      </c>
      <c r="AD199" s="28">
        <v>1</v>
      </c>
      <c r="AE199" s="181" t="s">
        <v>83</v>
      </c>
      <c r="AF199" s="181" t="s">
        <v>83</v>
      </c>
      <c r="AG199" s="181" t="s">
        <v>83</v>
      </c>
      <c r="AH199" s="181" t="s">
        <v>83</v>
      </c>
      <c r="AI199" s="28">
        <v>1</v>
      </c>
      <c r="AJ199" s="28"/>
      <c r="AK199" s="28">
        <v>1</v>
      </c>
      <c r="AL199" s="28">
        <v>1</v>
      </c>
      <c r="AM199" s="181" t="s">
        <v>83</v>
      </c>
      <c r="AN199" s="28">
        <v>1</v>
      </c>
      <c r="AO199" s="28">
        <v>1</v>
      </c>
      <c r="AP199" s="28">
        <v>1</v>
      </c>
    </row>
    <row r="200" spans="1:42">
      <c r="A200" s="157"/>
      <c r="B200" s="28" t="str">
        <f>物品!B200</f>
        <v>IT13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鸿钧对练</v>
      </c>
      <c r="I200" s="28" t="str">
        <f>VLOOKUP(B200,物品!B:CV,99,FALSE)</f>
        <v>境界挑战13</v>
      </c>
      <c r="J200" s="159" t="str">
        <f t="shared" si="78"/>
        <v>鸿钧对练</v>
      </c>
      <c r="K200" s="159" t="str">
        <f t="shared" si="79"/>
        <v>境界挑战13</v>
      </c>
      <c r="L200" s="28"/>
      <c r="M200" s="160" t="str">
        <f>VLOOKUP(LEFT(RIGHT(B200,5),4),物品!B:CU,20,FALSE)</f>
        <v>ReplaceableTextures\\CommandButtons\\BTNIT13.blp</v>
      </c>
      <c r="N200" s="181" t="s">
        <v>83</v>
      </c>
      <c r="O200" s="160" t="s">
        <v>98</v>
      </c>
      <c r="P200" s="28">
        <v>0</v>
      </c>
      <c r="Q200" s="28">
        <v>2</v>
      </c>
      <c r="R200" s="181" t="s">
        <v>83</v>
      </c>
      <c r="S200" s="181" t="s">
        <v>83</v>
      </c>
      <c r="T200" s="181" t="s">
        <v>83</v>
      </c>
      <c r="U200" s="181" t="s">
        <v>83</v>
      </c>
      <c r="V200" s="28"/>
      <c r="W200" s="28" t="s">
        <v>88</v>
      </c>
      <c r="X200" s="28">
        <v>0</v>
      </c>
      <c r="Y200" s="181" t="s">
        <v>83</v>
      </c>
      <c r="Z200" s="28">
        <v>0</v>
      </c>
      <c r="AA200" s="28">
        <v>0</v>
      </c>
      <c r="AB200" s="28">
        <v>0</v>
      </c>
      <c r="AC200" s="28">
        <v>1</v>
      </c>
      <c r="AD200" s="28">
        <v>1</v>
      </c>
      <c r="AE200" s="181" t="s">
        <v>83</v>
      </c>
      <c r="AF200" s="181" t="s">
        <v>83</v>
      </c>
      <c r="AG200" s="181" t="s">
        <v>83</v>
      </c>
      <c r="AH200" s="181" t="s">
        <v>83</v>
      </c>
      <c r="AI200" s="28">
        <v>1</v>
      </c>
      <c r="AJ200" s="28"/>
      <c r="AK200" s="28">
        <v>1</v>
      </c>
      <c r="AL200" s="28">
        <v>1</v>
      </c>
      <c r="AM200" s="181" t="s">
        <v>83</v>
      </c>
      <c r="AN200" s="28">
        <v>1</v>
      </c>
      <c r="AO200" s="28">
        <v>1</v>
      </c>
      <c r="AP200" s="28">
        <v>1</v>
      </c>
    </row>
    <row r="201" spans="1:42">
      <c r="A201" s="157"/>
      <c r="B201" s="28" t="str">
        <f>物品!B201</f>
        <v>IT14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境界挑战14</v>
      </c>
      <c r="I201" s="28" t="str">
        <f>VLOOKUP(B201,物品!B:CV,99,FALSE)</f>
        <v>境界挑战14</v>
      </c>
      <c r="J201" s="159" t="str">
        <f t="shared" si="78"/>
        <v>境界挑战14</v>
      </c>
      <c r="K201" s="159" t="str">
        <f t="shared" si="79"/>
        <v>境界挑战14</v>
      </c>
      <c r="L201" s="28"/>
      <c r="M201" s="160" t="str">
        <f>VLOOKUP(LEFT(RIGHT(B201,5),4),物品!B:CU,20,FALSE)</f>
        <v>ReplaceableTextures\\CommandButtons\\BTNIT14.blp</v>
      </c>
      <c r="N201" s="181" t="s">
        <v>83</v>
      </c>
      <c r="O201" s="160" t="s">
        <v>98</v>
      </c>
      <c r="P201" s="28">
        <v>1</v>
      </c>
      <c r="Q201" s="28">
        <v>2</v>
      </c>
      <c r="R201" s="181" t="s">
        <v>83</v>
      </c>
      <c r="S201" s="181" t="s">
        <v>83</v>
      </c>
      <c r="T201" s="181" t="s">
        <v>83</v>
      </c>
      <c r="U201" s="181" t="s">
        <v>83</v>
      </c>
      <c r="V201" s="28"/>
      <c r="W201" s="28" t="s">
        <v>88</v>
      </c>
      <c r="X201" s="28">
        <v>0</v>
      </c>
      <c r="Y201" s="181" t="s">
        <v>83</v>
      </c>
      <c r="Z201" s="28">
        <v>0</v>
      </c>
      <c r="AA201" s="28">
        <v>0</v>
      </c>
      <c r="AB201" s="28">
        <v>0</v>
      </c>
      <c r="AC201" s="28">
        <v>1</v>
      </c>
      <c r="AD201" s="28">
        <v>1</v>
      </c>
      <c r="AE201" s="181" t="s">
        <v>83</v>
      </c>
      <c r="AF201" s="181" t="s">
        <v>83</v>
      </c>
      <c r="AG201" s="181" t="s">
        <v>83</v>
      </c>
      <c r="AH201" s="181" t="s">
        <v>83</v>
      </c>
      <c r="AI201" s="28">
        <v>1</v>
      </c>
      <c r="AJ201" s="28"/>
      <c r="AK201" s="28">
        <v>1</v>
      </c>
      <c r="AL201" s="28">
        <v>1</v>
      </c>
      <c r="AM201" s="181" t="s">
        <v>83</v>
      </c>
      <c r="AN201" s="28">
        <v>1</v>
      </c>
      <c r="AO201" s="28">
        <v>1</v>
      </c>
      <c r="AP201" s="28">
        <v>1</v>
      </c>
    </row>
    <row r="202" spans="1:42">
      <c r="A202" s="157"/>
      <c r="B202" s="28" t="str">
        <f>物品!B202</f>
        <v>IZ0A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暂停进攻</v>
      </c>
      <c r="I202" s="28" t="str">
        <f>VLOOKUP(B202,物品!B:CV,99,FALSE)</f>
        <v>延缓敌军2分钟进攻时间。|n|n|Cff999999狗策划一直不想做这个功能，你们就省着点用吧~（逃|r</v>
      </c>
      <c r="J202" s="159" t="str">
        <f t="shared" si="78"/>
        <v>暂停进攻</v>
      </c>
      <c r="K202" s="159" t="str">
        <f t="shared" si="79"/>
        <v>延缓敌军2分钟进攻时间。|n|n|Cff999999狗策划一直不想做这个功能，你们就省着点用吧~（逃|r</v>
      </c>
      <c r="L202" s="28"/>
      <c r="M202" s="164" t="s">
        <v>109</v>
      </c>
      <c r="N202" s="181" t="s">
        <v>83</v>
      </c>
      <c r="O202" s="160" t="s">
        <v>98</v>
      </c>
      <c r="P202" s="28">
        <v>0</v>
      </c>
      <c r="Q202" s="28">
        <v>0</v>
      </c>
      <c r="R202" s="181" t="s">
        <v>83</v>
      </c>
      <c r="S202" s="181" t="s">
        <v>83</v>
      </c>
      <c r="T202" s="181" t="s">
        <v>83</v>
      </c>
      <c r="U202" s="181" t="s">
        <v>83</v>
      </c>
      <c r="V202" s="28"/>
      <c r="W202" s="28" t="s">
        <v>88</v>
      </c>
      <c r="X202" s="28">
        <v>10000</v>
      </c>
      <c r="Y202" s="181" t="s">
        <v>83</v>
      </c>
      <c r="Z202" s="28">
        <v>120</v>
      </c>
      <c r="AA202" s="28">
        <v>300</v>
      </c>
      <c r="AB202" s="28">
        <v>0</v>
      </c>
      <c r="AC202" s="28">
        <v>1</v>
      </c>
      <c r="AD202" s="28">
        <v>1</v>
      </c>
      <c r="AE202" s="181" t="s">
        <v>83</v>
      </c>
      <c r="AF202" s="181" t="s">
        <v>83</v>
      </c>
      <c r="AG202" s="181" t="s">
        <v>83</v>
      </c>
      <c r="AH202" s="181" t="s">
        <v>83</v>
      </c>
      <c r="AI202" s="28">
        <v>1</v>
      </c>
      <c r="AJ202" s="28"/>
      <c r="AK202" s="28">
        <v>1</v>
      </c>
      <c r="AL202" s="28">
        <v>1</v>
      </c>
      <c r="AM202" s="181" t="s">
        <v>83</v>
      </c>
      <c r="AN202" s="28">
        <v>1</v>
      </c>
      <c r="AO202" s="28">
        <v>1</v>
      </c>
      <c r="AP202" s="28">
        <v>1</v>
      </c>
    </row>
    <row r="203" spans="1:42">
      <c r="A203" s="157"/>
      <c r="B203" s="28" t="str">
        <f>物品!B203</f>
        <v>IZ0B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奇经八脉</v>
      </c>
      <c r="I203" s="28" t="str">
        <f>VLOOKUP(B203,物品!B:CV,99,FALSE)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3" s="159" t="str">
        <f t="shared" ref="J203:J207" si="86">H203</f>
        <v>奇经八脉</v>
      </c>
      <c r="K203" s="159" t="str">
        <f t="shared" ref="K203:K207" si="87">I203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3" s="28"/>
      <c r="M203" s="160" t="str">
        <f>VLOOKUP(LEFT(RIGHT(B203,5),4),物品!B:CU,20,FALSE)</f>
        <v>ReplaceableTextures\\CommandButtons\\BTNIZ0B.blp</v>
      </c>
      <c r="N203" s="181" t="s">
        <v>83</v>
      </c>
      <c r="O203" s="160" t="s">
        <v>98</v>
      </c>
      <c r="P203" s="28">
        <v>2</v>
      </c>
      <c r="Q203" s="28">
        <v>2</v>
      </c>
      <c r="R203" s="181" t="s">
        <v>83</v>
      </c>
      <c r="S203" s="181" t="s">
        <v>83</v>
      </c>
      <c r="T203" s="181" t="s">
        <v>83</v>
      </c>
      <c r="U203" s="181" t="s">
        <v>83</v>
      </c>
      <c r="V203" s="28"/>
      <c r="W203" s="28" t="s">
        <v>88</v>
      </c>
      <c r="X203" s="28">
        <v>0</v>
      </c>
      <c r="Y203" s="181" t="s">
        <v>83</v>
      </c>
      <c r="Z203" s="28">
        <v>0</v>
      </c>
      <c r="AA203" s="28">
        <v>600</v>
      </c>
      <c r="AB203" s="28">
        <v>0</v>
      </c>
      <c r="AC203" s="28">
        <v>1</v>
      </c>
      <c r="AD203" s="28">
        <v>1</v>
      </c>
      <c r="AE203" s="181" t="s">
        <v>83</v>
      </c>
      <c r="AF203" s="181" t="s">
        <v>83</v>
      </c>
      <c r="AG203" s="181" t="s">
        <v>83</v>
      </c>
      <c r="AH203" s="181" t="s">
        <v>83</v>
      </c>
      <c r="AI203" s="28">
        <v>1</v>
      </c>
      <c r="AJ203" s="28"/>
      <c r="AK203" s="28">
        <v>1</v>
      </c>
      <c r="AL203" s="28">
        <v>1</v>
      </c>
      <c r="AM203" s="181" t="s">
        <v>83</v>
      </c>
      <c r="AN203" s="28">
        <v>1</v>
      </c>
      <c r="AO203" s="28">
        <v>1</v>
      </c>
      <c r="AP203" s="28">
        <v>1</v>
      </c>
    </row>
    <row r="204" spans="1:42">
      <c r="A204" s="157"/>
      <c r="B204" s="28" t="str">
        <f>物品!B204</f>
        <v>IZ0D</v>
      </c>
      <c r="C204" s="28" t="s">
        <v>41</v>
      </c>
      <c r="D204" s="28" t="s">
        <v>81</v>
      </c>
      <c r="E204" s="28"/>
      <c r="F204" s="28"/>
      <c r="G204" s="28"/>
      <c r="H204" s="28">
        <f>VLOOKUP(LEFT(RIGHT(B204,5),4),物品!B:CU,2,FALSE)</f>
        <v>0</v>
      </c>
      <c r="I204" s="28"/>
      <c r="J204" s="159">
        <f t="shared" si="86"/>
        <v>0</v>
      </c>
      <c r="K204" s="159">
        <f t="shared" si="87"/>
        <v>0</v>
      </c>
      <c r="L204" s="28"/>
      <c r="M204" s="160" t="str">
        <f>VLOOKUP(LEFT(RIGHT(B204,5),4),物品!B:CU,20,FALSE)</f>
        <v>ReplaceableTextures\\CommandButtons\\BTNIZ0D.blp</v>
      </c>
      <c r="N204" s="181" t="s">
        <v>83</v>
      </c>
      <c r="O204" s="160" t="s">
        <v>98</v>
      </c>
      <c r="P204" s="28">
        <v>0</v>
      </c>
      <c r="Q204" s="28">
        <v>0</v>
      </c>
      <c r="R204" s="181" t="s">
        <v>83</v>
      </c>
      <c r="S204" s="181" t="s">
        <v>83</v>
      </c>
      <c r="T204" s="181" t="s">
        <v>83</v>
      </c>
      <c r="U204" s="181" t="s">
        <v>83</v>
      </c>
      <c r="V204" s="28"/>
      <c r="W204" s="28" t="s">
        <v>88</v>
      </c>
      <c r="X204" s="28">
        <v>0</v>
      </c>
      <c r="Y204" s="181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81" t="s">
        <v>83</v>
      </c>
      <c r="AF204" s="181" t="s">
        <v>83</v>
      </c>
      <c r="AG204" s="181" t="s">
        <v>83</v>
      </c>
      <c r="AH204" s="181" t="s">
        <v>83</v>
      </c>
      <c r="AI204" s="28">
        <v>1</v>
      </c>
      <c r="AJ204" s="28"/>
      <c r="AK204" s="28">
        <v>1</v>
      </c>
      <c r="AL204" s="28">
        <v>1</v>
      </c>
      <c r="AM204" s="181" t="s">
        <v>83</v>
      </c>
      <c r="AN204" s="28">
        <v>1</v>
      </c>
      <c r="AO204" s="28">
        <v>1</v>
      </c>
      <c r="AP204" s="28">
        <v>1</v>
      </c>
    </row>
    <row r="205" spans="1:42">
      <c r="A205" s="157"/>
      <c r="B205" s="28" t="str">
        <f>物品!B205</f>
        <v>IZ0E</v>
      </c>
      <c r="C205" s="28" t="s">
        <v>41</v>
      </c>
      <c r="D205" s="28" t="s">
        <v>81</v>
      </c>
      <c r="E205" s="28"/>
      <c r="F205" s="28"/>
      <c r="G205" s="28"/>
      <c r="H205" s="28">
        <f>VLOOKUP(LEFT(RIGHT(B205,5),4),物品!B:CU,2,FALSE)</f>
        <v>0</v>
      </c>
      <c r="I205" s="28"/>
      <c r="J205" s="159">
        <f t="shared" si="86"/>
        <v>0</v>
      </c>
      <c r="K205" s="159">
        <f t="shared" si="87"/>
        <v>0</v>
      </c>
      <c r="L205" s="28"/>
      <c r="M205" s="160" t="str">
        <f>VLOOKUP(LEFT(RIGHT(B205,5),4),物品!B:CU,20,FALSE)</f>
        <v>ReplaceableTextures\\CommandButtons\\BTNIZ0E.blp</v>
      </c>
      <c r="N205" s="181" t="s">
        <v>83</v>
      </c>
      <c r="O205" s="160" t="s">
        <v>98</v>
      </c>
      <c r="P205" s="28">
        <v>0</v>
      </c>
      <c r="Q205" s="28">
        <v>0</v>
      </c>
      <c r="R205" s="181" t="s">
        <v>83</v>
      </c>
      <c r="S205" s="181" t="s">
        <v>83</v>
      </c>
      <c r="T205" s="181" t="s">
        <v>83</v>
      </c>
      <c r="U205" s="181" t="s">
        <v>83</v>
      </c>
      <c r="V205" s="28"/>
      <c r="W205" s="28" t="s">
        <v>88</v>
      </c>
      <c r="X205" s="28">
        <v>0</v>
      </c>
      <c r="Y205" s="181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81" t="s">
        <v>83</v>
      </c>
      <c r="AF205" s="181" t="s">
        <v>83</v>
      </c>
      <c r="AG205" s="181" t="s">
        <v>83</v>
      </c>
      <c r="AH205" s="181" t="s">
        <v>83</v>
      </c>
      <c r="AI205" s="28">
        <v>1</v>
      </c>
      <c r="AJ205" s="28"/>
      <c r="AK205" s="28">
        <v>1</v>
      </c>
      <c r="AL205" s="28">
        <v>1</v>
      </c>
      <c r="AM205" s="181" t="s">
        <v>83</v>
      </c>
      <c r="AN205" s="28">
        <v>1</v>
      </c>
      <c r="AO205" s="28">
        <v>1</v>
      </c>
      <c r="AP205" s="28">
        <v>1</v>
      </c>
    </row>
    <row r="206" spans="1:42">
      <c r="A206" s="157"/>
      <c r="B206" s="28" t="str">
        <f>物品!B206</f>
        <v>IZ0F</v>
      </c>
      <c r="C206" s="28" t="s">
        <v>41</v>
      </c>
      <c r="D206" s="28" t="s">
        <v>81</v>
      </c>
      <c r="E206" s="28"/>
      <c r="F206" s="28"/>
      <c r="G206" s="28"/>
      <c r="H206" s="28">
        <f>VLOOKUP(LEFT(RIGHT(B206,5),4),物品!B:CU,2,FALSE)</f>
        <v>0</v>
      </c>
      <c r="I206" s="28"/>
      <c r="J206" s="159">
        <f t="shared" si="86"/>
        <v>0</v>
      </c>
      <c r="K206" s="159">
        <f t="shared" si="87"/>
        <v>0</v>
      </c>
      <c r="L206" s="28"/>
      <c r="M206" s="160" t="str">
        <f>VLOOKUP(LEFT(RIGHT(B206,5),4),物品!B:CU,20,FALSE)</f>
        <v>ReplaceableTextures\\CommandButtons\\BTNIZ0F.blp</v>
      </c>
      <c r="N206" s="181" t="s">
        <v>83</v>
      </c>
      <c r="O206" s="160" t="s">
        <v>98</v>
      </c>
      <c r="P206" s="28">
        <v>0</v>
      </c>
      <c r="Q206" s="28">
        <v>0</v>
      </c>
      <c r="R206" s="181" t="s">
        <v>83</v>
      </c>
      <c r="S206" s="181" t="s">
        <v>83</v>
      </c>
      <c r="T206" s="181" t="s">
        <v>83</v>
      </c>
      <c r="U206" s="181" t="s">
        <v>83</v>
      </c>
      <c r="V206" s="28"/>
      <c r="W206" s="28" t="s">
        <v>88</v>
      </c>
      <c r="X206" s="28">
        <v>0</v>
      </c>
      <c r="Y206" s="181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81" t="s">
        <v>83</v>
      </c>
      <c r="AF206" s="181" t="s">
        <v>83</v>
      </c>
      <c r="AG206" s="181" t="s">
        <v>83</v>
      </c>
      <c r="AH206" s="181" t="s">
        <v>83</v>
      </c>
      <c r="AI206" s="28">
        <v>1</v>
      </c>
      <c r="AJ206" s="28"/>
      <c r="AK206" s="28">
        <v>1</v>
      </c>
      <c r="AL206" s="28">
        <v>1</v>
      </c>
      <c r="AM206" s="181" t="s">
        <v>83</v>
      </c>
      <c r="AN206" s="28">
        <v>1</v>
      </c>
      <c r="AO206" s="28">
        <v>1</v>
      </c>
      <c r="AP206" s="28">
        <v>1</v>
      </c>
    </row>
    <row r="207" spans="1:42">
      <c r="A207" s="157"/>
      <c r="B207" s="28" t="str">
        <f>物品!B207</f>
        <v>IZ0G</v>
      </c>
      <c r="C207" s="28" t="s">
        <v>41</v>
      </c>
      <c r="D207" s="28" t="s">
        <v>81</v>
      </c>
      <c r="E207" s="28"/>
      <c r="F207" s="28"/>
      <c r="G207" s="28"/>
      <c r="H207" s="28">
        <f>VLOOKUP(LEFT(RIGHT(B207,5),4),物品!B:CU,2,FALSE)</f>
        <v>0</v>
      </c>
      <c r="I207" s="28"/>
      <c r="J207" s="159">
        <f t="shared" si="86"/>
        <v>0</v>
      </c>
      <c r="K207" s="159">
        <f t="shared" si="87"/>
        <v>0</v>
      </c>
      <c r="L207" s="28"/>
      <c r="M207" s="160" t="str">
        <f>VLOOKUP(LEFT(RIGHT(B207,5),4),物品!B:CU,20,FALSE)</f>
        <v>ReplaceableTextures\\CommandButtons\\BTNIZ0G.blp</v>
      </c>
      <c r="N207" s="181" t="s">
        <v>83</v>
      </c>
      <c r="O207" s="160" t="s">
        <v>98</v>
      </c>
      <c r="P207" s="28">
        <v>0</v>
      </c>
      <c r="Q207" s="28">
        <v>0</v>
      </c>
      <c r="R207" s="181" t="s">
        <v>83</v>
      </c>
      <c r="S207" s="181" t="s">
        <v>83</v>
      </c>
      <c r="T207" s="181" t="s">
        <v>83</v>
      </c>
      <c r="U207" s="181" t="s">
        <v>83</v>
      </c>
      <c r="V207" s="28"/>
      <c r="W207" s="28" t="s">
        <v>88</v>
      </c>
      <c r="X207" s="28">
        <v>0</v>
      </c>
      <c r="Y207" s="181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81" t="s">
        <v>83</v>
      </c>
      <c r="AF207" s="181" t="s">
        <v>83</v>
      </c>
      <c r="AG207" s="181" t="s">
        <v>83</v>
      </c>
      <c r="AH207" s="181" t="s">
        <v>83</v>
      </c>
      <c r="AI207" s="28">
        <v>1</v>
      </c>
      <c r="AJ207" s="28"/>
      <c r="AK207" s="28">
        <v>1</v>
      </c>
      <c r="AL207" s="28">
        <v>1</v>
      </c>
      <c r="AM207" s="181" t="s">
        <v>83</v>
      </c>
      <c r="AN207" s="28">
        <v>1</v>
      </c>
      <c r="AO207" s="28">
        <v>1</v>
      </c>
      <c r="AP207" s="28">
        <v>1</v>
      </c>
    </row>
    <row r="208" spans="1:42">
      <c r="A208" s="157"/>
      <c r="B208" s="28" t="str">
        <f>物品!B208</f>
        <v>IZ01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|CffFF0000团队副本-万仙阵|r</v>
      </c>
      <c r="I208" s="28" t="str">
        <f>VLOOKUP(B208,物品!B:CV,99,FALSE)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08" s="159" t="str">
        <f t="shared" ref="J208:J209" si="88">H208</f>
        <v>|CffFF0000团队副本-万仙阵|r</v>
      </c>
      <c r="K208" s="159" t="str">
        <f t="shared" ref="K208:K209" si="89">I208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08" s="28"/>
      <c r="M208" s="160" t="str">
        <f>VLOOKUP(LEFT(RIGHT(B208,5),4),物品!B:CU,20,FALSE)</f>
        <v>ReplaceableTextures\\CommandButtons\\BTNIZ01.blp</v>
      </c>
      <c r="N208" s="181" t="s">
        <v>83</v>
      </c>
      <c r="O208" s="160" t="s">
        <v>98</v>
      </c>
      <c r="P208" s="28">
        <v>0</v>
      </c>
      <c r="Q208" s="28">
        <v>0</v>
      </c>
      <c r="R208" s="181" t="s">
        <v>83</v>
      </c>
      <c r="S208" s="181" t="s">
        <v>83</v>
      </c>
      <c r="T208" s="181" t="s">
        <v>83</v>
      </c>
      <c r="U208" s="181" t="s">
        <v>83</v>
      </c>
      <c r="V208" s="28"/>
      <c r="W208" s="28" t="s">
        <v>88</v>
      </c>
      <c r="X208" s="28">
        <v>0</v>
      </c>
      <c r="Y208" s="181" t="s">
        <v>83</v>
      </c>
      <c r="Z208" s="28">
        <v>0</v>
      </c>
      <c r="AA208" s="28">
        <v>0</v>
      </c>
      <c r="AB208" s="28">
        <v>0</v>
      </c>
      <c r="AC208" s="28">
        <v>1</v>
      </c>
      <c r="AD208" s="28">
        <v>1</v>
      </c>
      <c r="AE208" s="181" t="s">
        <v>83</v>
      </c>
      <c r="AF208" s="181" t="s">
        <v>83</v>
      </c>
      <c r="AG208" s="181" t="s">
        <v>83</v>
      </c>
      <c r="AH208" s="181" t="s">
        <v>83</v>
      </c>
      <c r="AI208" s="28">
        <v>1</v>
      </c>
      <c r="AJ208" s="28"/>
      <c r="AK208" s="28">
        <v>1</v>
      </c>
      <c r="AL208" s="28">
        <v>1</v>
      </c>
      <c r="AM208" s="181" t="s">
        <v>83</v>
      </c>
      <c r="AN208" s="28">
        <v>1</v>
      </c>
      <c r="AO208" s="28">
        <v>1</v>
      </c>
      <c r="AP208" s="28">
        <v>1</v>
      </c>
    </row>
    <row r="209" spans="1:42">
      <c r="A209" s="157"/>
      <c r="B209" s="28" t="str">
        <f>物品!B209</f>
        <v>IS01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|Cff00FF7F学习Q技能|r</v>
      </c>
      <c r="I209" s="28" t="str">
        <f>VLOOKUP(B209,物品!B:CV,99,FALSE)</f>
        <v>高概率获得D级技能，低概率获得|Cff00ff7fC级技能|r</v>
      </c>
      <c r="J209" s="159" t="str">
        <f t="shared" si="88"/>
        <v>|Cff00FF7F学习Q技能|r</v>
      </c>
      <c r="K209" s="159" t="str">
        <f t="shared" si="89"/>
        <v>高概率获得D级技能，低概率获得|Cff00ff7fC级技能|r</v>
      </c>
      <c r="L209" s="28"/>
      <c r="M209" s="160" t="str">
        <f>VLOOKUP(LEFT(RIGHT(B209,5),4),物品!B:CU,20,FALSE)</f>
        <v>ReplaceableTextures\\CommandButtons\\BTN023.blp</v>
      </c>
      <c r="N209" s="181" t="s">
        <v>83</v>
      </c>
      <c r="O209" s="160" t="s">
        <v>98</v>
      </c>
      <c r="P209" s="28">
        <v>0</v>
      </c>
      <c r="Q209" s="28">
        <v>0</v>
      </c>
      <c r="R209" s="181" t="s">
        <v>83</v>
      </c>
      <c r="S209" s="181" t="s">
        <v>83</v>
      </c>
      <c r="T209" s="181" t="s">
        <v>83</v>
      </c>
      <c r="U209" s="181" t="s">
        <v>83</v>
      </c>
      <c r="V209" s="28"/>
      <c r="W209" s="28" t="s">
        <v>88</v>
      </c>
      <c r="X209" s="28">
        <v>0</v>
      </c>
      <c r="Y209" s="181" t="s">
        <v>83</v>
      </c>
      <c r="Z209" s="28">
        <v>0</v>
      </c>
      <c r="AA209" s="28">
        <v>0</v>
      </c>
      <c r="AB209" s="28">
        <v>3</v>
      </c>
      <c r="AC209" s="28">
        <v>1</v>
      </c>
      <c r="AD209" s="28">
        <v>1</v>
      </c>
      <c r="AE209" s="181" t="s">
        <v>83</v>
      </c>
      <c r="AF209" s="181" t="s">
        <v>83</v>
      </c>
      <c r="AG209" s="181" t="s">
        <v>83</v>
      </c>
      <c r="AH209" s="181" t="s">
        <v>83</v>
      </c>
      <c r="AI209" s="28">
        <v>1</v>
      </c>
      <c r="AJ209" s="28"/>
      <c r="AK209" s="28">
        <v>1</v>
      </c>
      <c r="AL209" s="28">
        <v>1</v>
      </c>
      <c r="AM209" s="181" t="s">
        <v>83</v>
      </c>
      <c r="AN209" s="28">
        <v>1</v>
      </c>
      <c r="AO209" s="28">
        <v>1</v>
      </c>
      <c r="AP209" s="28">
        <v>1</v>
      </c>
    </row>
    <row r="210" spans="1:42">
      <c r="A210" s="157"/>
      <c r="B210" s="28" t="str">
        <f>物品!B210</f>
        <v>IS02</v>
      </c>
      <c r="C210" s="28" t="s">
        <v>41</v>
      </c>
      <c r="D210" s="28" t="s">
        <v>81</v>
      </c>
      <c r="E210" s="28"/>
      <c r="F210" s="28"/>
      <c r="G210" s="28"/>
      <c r="H210" s="28" t="str">
        <f>VLOOKUP(LEFT(RIGHT(B210,5),4),物品!B:CU,2,FALSE)</f>
        <v>|Cff00BFFF学习Q技能|r</v>
      </c>
      <c r="I210" s="28" t="str">
        <f>VLOOKUP(B210,物品!B:CV,99,FALSE)</f>
        <v>较高概率获得D级技能，高概率获得|Cff00ff7fC级技能|r，极低概率获得|Cff2693ffB级技能|r。</v>
      </c>
      <c r="J210" s="159" t="str">
        <f t="shared" ref="J210:J226" si="90">H210</f>
        <v>|Cff00BFFF学习Q技能|r</v>
      </c>
      <c r="K210" s="159" t="str">
        <f t="shared" ref="K210:K226" si="91">I210</f>
        <v>较高概率获得D级技能，高概率获得|Cff00ff7fC级技能|r，极低概率获得|Cff2693ffB级技能|r。</v>
      </c>
      <c r="L210" s="28"/>
      <c r="M210" s="160" t="str">
        <f>VLOOKUP(LEFT(RIGHT(B210,5),4),物品!B:CU,20,FALSE)</f>
        <v>ReplaceableTextures\\CommandButtons\\BTN020.blp</v>
      </c>
      <c r="N210" s="181" t="s">
        <v>83</v>
      </c>
      <c r="O210" s="160" t="s">
        <v>98</v>
      </c>
      <c r="P210" s="28">
        <v>1</v>
      </c>
      <c r="Q210" s="28">
        <v>0</v>
      </c>
      <c r="R210" s="181" t="s">
        <v>83</v>
      </c>
      <c r="S210" s="181" t="s">
        <v>83</v>
      </c>
      <c r="T210" s="181" t="s">
        <v>83</v>
      </c>
      <c r="U210" s="181" t="s">
        <v>83</v>
      </c>
      <c r="V210" s="28"/>
      <c r="W210" s="28" t="s">
        <v>88</v>
      </c>
      <c r="X210" s="28">
        <v>0</v>
      </c>
      <c r="Y210" s="181" t="s">
        <v>83</v>
      </c>
      <c r="Z210" s="28">
        <v>720</v>
      </c>
      <c r="AA210" s="28">
        <v>0</v>
      </c>
      <c r="AB210" s="28">
        <v>5</v>
      </c>
      <c r="AC210" s="28">
        <v>1</v>
      </c>
      <c r="AD210" s="28">
        <v>1</v>
      </c>
      <c r="AE210" s="181" t="s">
        <v>83</v>
      </c>
      <c r="AF210" s="181" t="s">
        <v>83</v>
      </c>
      <c r="AG210" s="181" t="s">
        <v>83</v>
      </c>
      <c r="AH210" s="181" t="s">
        <v>83</v>
      </c>
      <c r="AI210" s="28">
        <v>1</v>
      </c>
      <c r="AJ210" s="28"/>
      <c r="AK210" s="28">
        <v>1</v>
      </c>
      <c r="AL210" s="28">
        <v>1</v>
      </c>
      <c r="AM210" s="181" t="s">
        <v>83</v>
      </c>
      <c r="AN210" s="28">
        <v>1</v>
      </c>
      <c r="AO210" s="28">
        <v>1</v>
      </c>
      <c r="AP210" s="28">
        <v>1</v>
      </c>
    </row>
    <row r="211" spans="1:42">
      <c r="A211" s="157"/>
      <c r="B211" s="28" t="str">
        <f>物品!B211</f>
        <v>IS03</v>
      </c>
      <c r="C211" s="28" t="s">
        <v>41</v>
      </c>
      <c r="D211" s="28" t="s">
        <v>81</v>
      </c>
      <c r="E211" s="28"/>
      <c r="F211" s="28"/>
      <c r="G211" s="28"/>
      <c r="H211" s="28" t="str">
        <f>VLOOKUP(LEFT(RIGHT(B211,5),4),物品!B:CU,2,FALSE)</f>
        <v>|CffFFC926学习Q技能|r</v>
      </c>
      <c r="I211" s="28" t="str">
        <f>VLOOKUP(B211,物品!B:CV,99,FALSE)</f>
        <v>低概率获得C级技能，高概率获得|Cff00ff7fB级技能|r，低概率获得|Cff2693ffA级技能|r。</v>
      </c>
      <c r="J211" s="159" t="str">
        <f t="shared" si="90"/>
        <v>|CffFFC926学习Q技能|r</v>
      </c>
      <c r="K211" s="159" t="str">
        <f t="shared" si="91"/>
        <v>低概率获得C级技能，高概率获得|Cff00ff7fB级技能|r，低概率获得|Cff2693ffA级技能|r。</v>
      </c>
      <c r="L211" s="28"/>
      <c r="M211" s="160" t="str">
        <f>VLOOKUP(LEFT(RIGHT(B211,5),4),物品!B:CU,20,FALSE)</f>
        <v>ReplaceableTextures\\CommandButtons\\BTN001.blp</v>
      </c>
      <c r="N211" s="181" t="s">
        <v>83</v>
      </c>
      <c r="O211" s="160" t="s">
        <v>98</v>
      </c>
      <c r="P211" s="28">
        <v>2</v>
      </c>
      <c r="Q211" s="28">
        <v>0</v>
      </c>
      <c r="R211" s="181" t="s">
        <v>83</v>
      </c>
      <c r="S211" s="181" t="s">
        <v>83</v>
      </c>
      <c r="T211" s="181" t="s">
        <v>83</v>
      </c>
      <c r="U211" s="181" t="s">
        <v>83</v>
      </c>
      <c r="V211" s="28"/>
      <c r="W211" s="28" t="s">
        <v>88</v>
      </c>
      <c r="X211" s="28">
        <v>0</v>
      </c>
      <c r="Y211" s="181" t="s">
        <v>83</v>
      </c>
      <c r="Z211" s="28">
        <v>1440</v>
      </c>
      <c r="AA211" s="28">
        <v>0</v>
      </c>
      <c r="AB211" s="28">
        <v>10</v>
      </c>
      <c r="AC211" s="28">
        <v>1</v>
      </c>
      <c r="AD211" s="28">
        <v>1</v>
      </c>
      <c r="AE211" s="181" t="s">
        <v>83</v>
      </c>
      <c r="AF211" s="181" t="s">
        <v>83</v>
      </c>
      <c r="AG211" s="181" t="s">
        <v>83</v>
      </c>
      <c r="AH211" s="181" t="s">
        <v>83</v>
      </c>
      <c r="AI211" s="28">
        <v>1</v>
      </c>
      <c r="AJ211" s="28"/>
      <c r="AK211" s="28">
        <v>1</v>
      </c>
      <c r="AL211" s="28">
        <v>1</v>
      </c>
      <c r="AM211" s="181" t="s">
        <v>83</v>
      </c>
      <c r="AN211" s="28">
        <v>1</v>
      </c>
      <c r="AO211" s="28">
        <v>1</v>
      </c>
      <c r="AP211" s="28">
        <v>1</v>
      </c>
    </row>
    <row r="212" spans="1:42">
      <c r="A212" s="157"/>
      <c r="B212" s="28" t="str">
        <f>物品!B212</f>
        <v>IS06</v>
      </c>
      <c r="C212" s="28" t="s">
        <v>41</v>
      </c>
      <c r="D212" s="28" t="s">
        <v>81</v>
      </c>
      <c r="E212" s="28"/>
      <c r="F212" s="28"/>
      <c r="G212" s="28"/>
      <c r="H212" s="28" t="str">
        <f>VLOOKUP(LEFT(RIGHT(B212,5),4),物品!B:CU,2,FALSE)</f>
        <v>|Cff00FF7F学习W技能|r</v>
      </c>
      <c r="I212" s="28" t="str">
        <f>VLOOKUP(B212,物品!B:CV,99,FALSE)</f>
        <v>高概率获得D级技能，低概率获得|Cff00ff7fC级技能|r</v>
      </c>
      <c r="J212" s="159" t="str">
        <f t="shared" si="90"/>
        <v>|Cff00FF7F学习W技能|r</v>
      </c>
      <c r="K212" s="159" t="str">
        <f t="shared" si="91"/>
        <v>高概率获得D级技能，低概率获得|Cff00ff7fC级技能|r</v>
      </c>
      <c r="L212" s="28"/>
      <c r="M212" s="160" t="str">
        <f>VLOOKUP(LEFT(RIGHT(B212,5),4),物品!B:CU,20,FALSE)</f>
        <v>ReplaceableTextures\\CommandButtons\\BTN024.blp</v>
      </c>
      <c r="N212" s="181" t="s">
        <v>83</v>
      </c>
      <c r="O212" s="160" t="s">
        <v>98</v>
      </c>
      <c r="P212" s="28">
        <v>0</v>
      </c>
      <c r="Q212" s="28">
        <v>1</v>
      </c>
      <c r="R212" s="181" t="s">
        <v>83</v>
      </c>
      <c r="S212" s="181" t="s">
        <v>83</v>
      </c>
      <c r="T212" s="181" t="s">
        <v>83</v>
      </c>
      <c r="U212" s="181" t="s">
        <v>83</v>
      </c>
      <c r="V212" s="28"/>
      <c r="W212" s="28" t="s">
        <v>88</v>
      </c>
      <c r="X212" s="28">
        <v>0</v>
      </c>
      <c r="Y212" s="181" t="s">
        <v>83</v>
      </c>
      <c r="Z212" s="28">
        <v>0</v>
      </c>
      <c r="AA212" s="28">
        <v>0</v>
      </c>
      <c r="AB212" s="28">
        <v>3</v>
      </c>
      <c r="AC212" s="28">
        <v>1</v>
      </c>
      <c r="AD212" s="28">
        <v>1</v>
      </c>
      <c r="AE212" s="181" t="s">
        <v>83</v>
      </c>
      <c r="AF212" s="181" t="s">
        <v>83</v>
      </c>
      <c r="AG212" s="181" t="s">
        <v>83</v>
      </c>
      <c r="AH212" s="181" t="s">
        <v>83</v>
      </c>
      <c r="AI212" s="28">
        <v>1</v>
      </c>
      <c r="AJ212" s="28"/>
      <c r="AK212" s="28">
        <v>1</v>
      </c>
      <c r="AL212" s="28">
        <v>1</v>
      </c>
      <c r="AM212" s="181" t="s">
        <v>83</v>
      </c>
      <c r="AN212" s="28">
        <v>1</v>
      </c>
      <c r="AO212" s="28">
        <v>1</v>
      </c>
      <c r="AP212" s="28">
        <v>1</v>
      </c>
    </row>
    <row r="213" spans="1:42">
      <c r="A213" s="157"/>
      <c r="B213" s="28" t="str">
        <f>物品!B213</f>
        <v>IS07</v>
      </c>
      <c r="C213" s="28" t="s">
        <v>41</v>
      </c>
      <c r="D213" s="28" t="s">
        <v>81</v>
      </c>
      <c r="E213" s="28"/>
      <c r="F213" s="28"/>
      <c r="G213" s="28"/>
      <c r="H213" s="28" t="str">
        <f>VLOOKUP(LEFT(RIGHT(B213,5),4),物品!B:CU,2,FALSE)</f>
        <v>|Cff00BFFF学习W技能|r</v>
      </c>
      <c r="I213" s="28" t="str">
        <f>VLOOKUP(B213,物品!B:CV,99,FALSE)</f>
        <v>较高概率获得D级技能，高概率获得|Cff00ff7fC级技能|r，极低概率获得|Cff2693ffB级技能|r。</v>
      </c>
      <c r="J213" s="159" t="str">
        <f t="shared" ref="J213:J214" si="92">H213</f>
        <v>|Cff00BFFF学习W技能|r</v>
      </c>
      <c r="K213" s="159" t="str">
        <f t="shared" ref="K213:K214" si="93">I213</f>
        <v>较高概率获得D级技能，高概率获得|Cff00ff7fC级技能|r，极低概率获得|Cff2693ffB级技能|r。</v>
      </c>
      <c r="L213" s="28"/>
      <c r="M213" s="160" t="str">
        <f>VLOOKUP(LEFT(RIGHT(B213,5),4),物品!B:CU,20,FALSE)</f>
        <v>ReplaceableTextures\\CommandButtons\\BTN021.blp</v>
      </c>
      <c r="N213" s="181" t="s">
        <v>83</v>
      </c>
      <c r="O213" s="160" t="s">
        <v>98</v>
      </c>
      <c r="P213" s="28">
        <v>1</v>
      </c>
      <c r="Q213" s="28">
        <v>1</v>
      </c>
      <c r="R213" s="181" t="s">
        <v>83</v>
      </c>
      <c r="S213" s="181" t="s">
        <v>83</v>
      </c>
      <c r="T213" s="181" t="s">
        <v>83</v>
      </c>
      <c r="U213" s="181" t="s">
        <v>83</v>
      </c>
      <c r="V213" s="28"/>
      <c r="W213" s="28" t="s">
        <v>88</v>
      </c>
      <c r="X213" s="28">
        <v>0</v>
      </c>
      <c r="Y213" s="181" t="s">
        <v>83</v>
      </c>
      <c r="Z213" s="28">
        <v>720</v>
      </c>
      <c r="AA213" s="28">
        <v>0</v>
      </c>
      <c r="AB213" s="28">
        <v>5</v>
      </c>
      <c r="AC213" s="28">
        <v>1</v>
      </c>
      <c r="AD213" s="28">
        <v>1</v>
      </c>
      <c r="AE213" s="181" t="s">
        <v>83</v>
      </c>
      <c r="AF213" s="181" t="s">
        <v>83</v>
      </c>
      <c r="AG213" s="181" t="s">
        <v>83</v>
      </c>
      <c r="AH213" s="181" t="s">
        <v>83</v>
      </c>
      <c r="AI213" s="28">
        <v>1</v>
      </c>
      <c r="AJ213" s="28"/>
      <c r="AK213" s="28">
        <v>1</v>
      </c>
      <c r="AL213" s="28">
        <v>1</v>
      </c>
      <c r="AM213" s="181" t="s">
        <v>83</v>
      </c>
      <c r="AN213" s="28">
        <v>1</v>
      </c>
      <c r="AO213" s="28">
        <v>1</v>
      </c>
      <c r="AP213" s="28">
        <v>1</v>
      </c>
    </row>
    <row r="214" spans="1:42">
      <c r="A214" s="157"/>
      <c r="B214" s="28" t="str">
        <f>物品!B214</f>
        <v>IS08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|CffFFC926学习W技能|r</v>
      </c>
      <c r="I214" s="28" t="str">
        <f>VLOOKUP(B214,物品!B:CV,99,FALSE)</f>
        <v>低概率获得C级技能，高概率获得|Cff00ff7fB级技能|r，低概率获得|Cff2693ffA级技能|r。</v>
      </c>
      <c r="J214" s="159" t="str">
        <f t="shared" si="92"/>
        <v>|CffFFC926学习W技能|r</v>
      </c>
      <c r="K214" s="159" t="str">
        <f t="shared" si="93"/>
        <v>低概率获得C级技能，高概率获得|Cff00ff7fB级技能|r，低概率获得|Cff2693ffA级技能|r。</v>
      </c>
      <c r="L214" s="28"/>
      <c r="M214" s="160" t="str">
        <f>VLOOKUP(LEFT(RIGHT(B214,5),4),物品!B:CU,20,FALSE)</f>
        <v>ReplaceableTextures\\CommandButtons\\BTN002.blp</v>
      </c>
      <c r="N214" s="181" t="s">
        <v>83</v>
      </c>
      <c r="O214" s="160" t="s">
        <v>98</v>
      </c>
      <c r="P214" s="28">
        <v>2</v>
      </c>
      <c r="Q214" s="28">
        <v>1</v>
      </c>
      <c r="R214" s="181" t="s">
        <v>83</v>
      </c>
      <c r="S214" s="181" t="s">
        <v>83</v>
      </c>
      <c r="T214" s="181" t="s">
        <v>83</v>
      </c>
      <c r="U214" s="181" t="s">
        <v>83</v>
      </c>
      <c r="V214" s="28"/>
      <c r="W214" s="28" t="s">
        <v>88</v>
      </c>
      <c r="X214" s="28">
        <v>0</v>
      </c>
      <c r="Y214" s="181" t="s">
        <v>83</v>
      </c>
      <c r="Z214" s="28">
        <v>1440</v>
      </c>
      <c r="AA214" s="28">
        <v>0</v>
      </c>
      <c r="AB214" s="28">
        <v>10</v>
      </c>
      <c r="AC214" s="28">
        <v>1</v>
      </c>
      <c r="AD214" s="28">
        <v>1</v>
      </c>
      <c r="AE214" s="181" t="s">
        <v>83</v>
      </c>
      <c r="AF214" s="181" t="s">
        <v>83</v>
      </c>
      <c r="AG214" s="181" t="s">
        <v>83</v>
      </c>
      <c r="AH214" s="181" t="s">
        <v>83</v>
      </c>
      <c r="AI214" s="28">
        <v>1</v>
      </c>
      <c r="AJ214" s="28"/>
      <c r="AK214" s="28">
        <v>1</v>
      </c>
      <c r="AL214" s="28">
        <v>1</v>
      </c>
      <c r="AM214" s="181" t="s">
        <v>83</v>
      </c>
      <c r="AN214" s="28">
        <v>1</v>
      </c>
      <c r="AO214" s="28">
        <v>1</v>
      </c>
      <c r="AP214" s="28">
        <v>1</v>
      </c>
    </row>
    <row r="215" spans="1:42">
      <c r="A215" s="157"/>
      <c r="B215" s="28" t="str">
        <f>物品!B215</f>
        <v>IS21</v>
      </c>
      <c r="C215" s="28" t="s">
        <v>41</v>
      </c>
      <c r="D215" s="28" t="s">
        <v>81</v>
      </c>
      <c r="E215" s="28" t="s">
        <v>82</v>
      </c>
      <c r="F215" s="28"/>
      <c r="G215" s="28"/>
      <c r="H215" s="28" t="str">
        <f>VLOOKUP(LEFT(RIGHT(B215,5),4),物品!B:CU,2,FALSE)</f>
        <v>Q技能附魔石</v>
      </c>
      <c r="I215" s="28" t="str">
        <f>VLOOKUP(B215,物品!B:CV,99,FALSE)</f>
        <v>为|Cffffd24dQ技能|r附魔一条|Cffffd24d随机属性|r。</v>
      </c>
      <c r="J215" s="159" t="str">
        <f t="shared" si="90"/>
        <v>Q技能附魔石</v>
      </c>
      <c r="K215" s="159" t="str">
        <f t="shared" si="91"/>
        <v>为|Cffffd24dQ技能|r附魔一条|Cffffd24d随机属性|r。</v>
      </c>
      <c r="L215" s="28"/>
      <c r="M215" s="160" t="str">
        <f>VLOOKUP(LEFT(RIGHT(B215,5),4),物品!B:CU,20,FALSE)</f>
        <v>ReplaceableTextures\\CommandButtons\\BTNIN01.blp</v>
      </c>
      <c r="N215" s="181" t="s">
        <v>83</v>
      </c>
      <c r="O215" s="160" t="s">
        <v>98</v>
      </c>
      <c r="P215" s="28">
        <v>0</v>
      </c>
      <c r="Q215" s="28">
        <v>2</v>
      </c>
      <c r="R215" s="181" t="s">
        <v>83</v>
      </c>
      <c r="S215" s="181" t="s">
        <v>83</v>
      </c>
      <c r="T215" s="181" t="s">
        <v>83</v>
      </c>
      <c r="U215" s="181" t="s">
        <v>83</v>
      </c>
      <c r="V215" s="28"/>
      <c r="W215" s="28" t="s">
        <v>93</v>
      </c>
      <c r="X215" s="28">
        <v>0</v>
      </c>
      <c r="Y215" s="181" t="s">
        <v>83</v>
      </c>
      <c r="Z215" s="28">
        <v>0</v>
      </c>
      <c r="AA215" s="28">
        <v>0</v>
      </c>
      <c r="AB215" s="28">
        <v>0</v>
      </c>
      <c r="AC215" s="28">
        <v>1</v>
      </c>
      <c r="AD215" s="28">
        <v>1</v>
      </c>
      <c r="AE215" s="181" t="s">
        <v>83</v>
      </c>
      <c r="AF215" s="181" t="s">
        <v>83</v>
      </c>
      <c r="AG215" s="181" t="s">
        <v>83</v>
      </c>
      <c r="AH215" s="181" t="s">
        <v>83</v>
      </c>
      <c r="AI215" s="28">
        <v>0</v>
      </c>
      <c r="AJ215" s="28"/>
      <c r="AK215" s="28">
        <v>1</v>
      </c>
      <c r="AL215" s="28">
        <v>1</v>
      </c>
      <c r="AM215" s="181" t="s">
        <v>83</v>
      </c>
      <c r="AN215" s="28">
        <v>1</v>
      </c>
      <c r="AO215" s="28">
        <v>1</v>
      </c>
      <c r="AP215" s="28">
        <v>1</v>
      </c>
    </row>
    <row r="216" spans="1:42">
      <c r="A216" s="157"/>
      <c r="B216" s="28" t="str">
        <f>物品!B216</f>
        <v>IS22</v>
      </c>
      <c r="C216" s="28" t="s">
        <v>41</v>
      </c>
      <c r="D216" s="28" t="s">
        <v>81</v>
      </c>
      <c r="E216" s="28" t="s">
        <v>82</v>
      </c>
      <c r="F216" s="28"/>
      <c r="G216" s="28"/>
      <c r="H216" s="28" t="str">
        <f>VLOOKUP(LEFT(RIGHT(B216,5),4),物品!B:CU,2,FALSE)</f>
        <v>W技能附魔石</v>
      </c>
      <c r="I216" s="28" t="str">
        <f>VLOOKUP(B216,物品!B:CV,99,FALSE)</f>
        <v>为|Cffffd24dW技能|r附魔一条|Cffffd24d随机属性|r。</v>
      </c>
      <c r="J216" s="159" t="str">
        <f t="shared" ref="J216:J218" si="94">H216</f>
        <v>W技能附魔石</v>
      </c>
      <c r="K216" s="159" t="str">
        <f t="shared" ref="K216:K218" si="95">I216</f>
        <v>为|Cffffd24dW技能|r附魔一条|Cffffd24d随机属性|r。</v>
      </c>
      <c r="L216" s="28"/>
      <c r="M216" s="160" t="str">
        <f>VLOOKUP(LEFT(RIGHT(B216,5),4),物品!B:CU,20,FALSE)</f>
        <v>ReplaceableTextures\\CommandButtons\\BTNIN02.blp</v>
      </c>
      <c r="N216" s="181" t="s">
        <v>83</v>
      </c>
      <c r="O216" s="160" t="s">
        <v>98</v>
      </c>
      <c r="P216" s="28">
        <v>1</v>
      </c>
      <c r="Q216" s="28">
        <v>2</v>
      </c>
      <c r="R216" s="181" t="s">
        <v>83</v>
      </c>
      <c r="S216" s="181" t="s">
        <v>83</v>
      </c>
      <c r="T216" s="181" t="s">
        <v>83</v>
      </c>
      <c r="U216" s="181" t="s">
        <v>83</v>
      </c>
      <c r="V216" s="28"/>
      <c r="W216" s="28" t="s">
        <v>93</v>
      </c>
      <c r="X216" s="28">
        <v>0</v>
      </c>
      <c r="Y216" s="181" t="s">
        <v>83</v>
      </c>
      <c r="Z216" s="28">
        <v>0</v>
      </c>
      <c r="AA216" s="28">
        <v>0</v>
      </c>
      <c r="AB216" s="28">
        <v>0</v>
      </c>
      <c r="AC216" s="28">
        <v>1</v>
      </c>
      <c r="AD216" s="28">
        <v>1</v>
      </c>
      <c r="AE216" s="181" t="s">
        <v>83</v>
      </c>
      <c r="AF216" s="181" t="s">
        <v>83</v>
      </c>
      <c r="AG216" s="181" t="s">
        <v>83</v>
      </c>
      <c r="AH216" s="181" t="s">
        <v>83</v>
      </c>
      <c r="AI216" s="28">
        <v>0</v>
      </c>
      <c r="AJ216" s="28"/>
      <c r="AK216" s="28">
        <v>1</v>
      </c>
      <c r="AL216" s="28">
        <v>1</v>
      </c>
      <c r="AM216" s="181" t="s">
        <v>83</v>
      </c>
      <c r="AN216" s="28">
        <v>1</v>
      </c>
      <c r="AO216" s="28">
        <v>1</v>
      </c>
      <c r="AP216" s="28">
        <v>1</v>
      </c>
    </row>
    <row r="217" spans="1:42">
      <c r="A217" s="157"/>
      <c r="B217" s="28" t="str">
        <f>物品!B217</f>
        <v>IS23</v>
      </c>
      <c r="C217" s="28" t="s">
        <v>41</v>
      </c>
      <c r="D217" s="28" t="s">
        <v>81</v>
      </c>
      <c r="E217" s="28" t="s">
        <v>82</v>
      </c>
      <c r="F217" s="28"/>
      <c r="G217" s="28"/>
      <c r="H217" s="28" t="str">
        <f>VLOOKUP(LEFT(RIGHT(B217,5),4),物品!B:CU,2,FALSE)</f>
        <v>E技能附魔石</v>
      </c>
      <c r="I217" s="28" t="str">
        <f>VLOOKUP(B217,物品!B:CV,99,FALSE)</f>
        <v>为|Cffffd24dE技能|r附魔一条|Cffffd24d随机属性|r。</v>
      </c>
      <c r="J217" s="159" t="str">
        <f t="shared" si="94"/>
        <v>E技能附魔石</v>
      </c>
      <c r="K217" s="159" t="str">
        <f t="shared" si="95"/>
        <v>为|Cffffd24dE技能|r附魔一条|Cffffd24d随机属性|r。</v>
      </c>
      <c r="L217" s="28"/>
      <c r="M217" s="160" t="str">
        <f>VLOOKUP(LEFT(RIGHT(B217,5),4),物品!B:CU,20,FALSE)</f>
        <v>ReplaceableTextures\\CommandButtons\\BTNIN03.blp</v>
      </c>
      <c r="N217" s="181" t="s">
        <v>83</v>
      </c>
      <c r="O217" s="160" t="s">
        <v>98</v>
      </c>
      <c r="P217" s="28">
        <v>2</v>
      </c>
      <c r="Q217" s="28">
        <v>2</v>
      </c>
      <c r="R217" s="181" t="s">
        <v>83</v>
      </c>
      <c r="S217" s="181" t="s">
        <v>83</v>
      </c>
      <c r="T217" s="181" t="s">
        <v>83</v>
      </c>
      <c r="U217" s="181" t="s">
        <v>83</v>
      </c>
      <c r="V217" s="28"/>
      <c r="W217" s="28" t="s">
        <v>93</v>
      </c>
      <c r="X217" s="28">
        <v>0</v>
      </c>
      <c r="Y217" s="181" t="s">
        <v>83</v>
      </c>
      <c r="Z217" s="28">
        <v>0</v>
      </c>
      <c r="AA217" s="28">
        <v>0</v>
      </c>
      <c r="AB217" s="28">
        <v>0</v>
      </c>
      <c r="AC217" s="28">
        <v>1</v>
      </c>
      <c r="AD217" s="28">
        <v>1</v>
      </c>
      <c r="AE217" s="181" t="s">
        <v>83</v>
      </c>
      <c r="AF217" s="181" t="s">
        <v>83</v>
      </c>
      <c r="AG217" s="181" t="s">
        <v>83</v>
      </c>
      <c r="AH217" s="181" t="s">
        <v>83</v>
      </c>
      <c r="AI217" s="28">
        <v>0</v>
      </c>
      <c r="AJ217" s="28"/>
      <c r="AK217" s="28">
        <v>1</v>
      </c>
      <c r="AL217" s="28">
        <v>1</v>
      </c>
      <c r="AM217" s="181" t="s">
        <v>83</v>
      </c>
      <c r="AN217" s="28">
        <v>1</v>
      </c>
      <c r="AO217" s="28">
        <v>1</v>
      </c>
      <c r="AP217" s="28">
        <v>1</v>
      </c>
    </row>
    <row r="218" spans="1:42">
      <c r="A218" s="157"/>
      <c r="B218" s="28" t="str">
        <f>物品!B218</f>
        <v>IS24</v>
      </c>
      <c r="C218" s="28" t="s">
        <v>41</v>
      </c>
      <c r="D218" s="28" t="s">
        <v>81</v>
      </c>
      <c r="E218" s="28" t="s">
        <v>82</v>
      </c>
      <c r="F218" s="28"/>
      <c r="G218" s="28"/>
      <c r="H218" s="28" t="str">
        <f>VLOOKUP(LEFT(RIGHT(B218,5),4),物品!B:CU,2,FALSE)</f>
        <v>|CffFFD24DQ强力附魔石|r</v>
      </c>
      <c r="I218" s="28" t="str">
        <f>VLOOKUP(B218,物品!B:CV,99,FALSE)</f>
        <v>为|Cffffd24dQ技能|r附魔一条|Cffffd24d随机属性|r。</v>
      </c>
      <c r="J218" s="159" t="str">
        <f t="shared" si="94"/>
        <v>|CffFFD24DQ强力附魔石|r</v>
      </c>
      <c r="K218" s="159" t="str">
        <f t="shared" si="95"/>
        <v>为|Cffffd24dQ技能|r附魔一条|Cffffd24d随机属性|r。</v>
      </c>
      <c r="L218" s="28"/>
      <c r="M218" s="160" t="str">
        <f>VLOOKUP(LEFT(RIGHT(B218,5),4),物品!B:CU,20,FALSE)</f>
        <v>ReplaceableTextures\\CommandButtons\\BTN009.blp</v>
      </c>
      <c r="N218" s="181" t="s">
        <v>83</v>
      </c>
      <c r="O218" s="160" t="s">
        <v>98</v>
      </c>
      <c r="P218" s="28">
        <v>0</v>
      </c>
      <c r="Q218" s="28">
        <v>2</v>
      </c>
      <c r="R218" s="181" t="s">
        <v>83</v>
      </c>
      <c r="S218" s="181" t="s">
        <v>83</v>
      </c>
      <c r="T218" s="181" t="s">
        <v>83</v>
      </c>
      <c r="U218" s="181" t="s">
        <v>83</v>
      </c>
      <c r="V218" s="28"/>
      <c r="W218" s="28" t="s">
        <v>93</v>
      </c>
      <c r="X218" s="28">
        <v>0</v>
      </c>
      <c r="Y218" s="181" t="s">
        <v>83</v>
      </c>
      <c r="Z218" s="28">
        <v>0</v>
      </c>
      <c r="AA218" s="28">
        <v>0</v>
      </c>
      <c r="AB218" s="28">
        <v>30</v>
      </c>
      <c r="AC218" s="28">
        <v>1</v>
      </c>
      <c r="AD218" s="28">
        <v>1</v>
      </c>
      <c r="AE218" s="181" t="s">
        <v>83</v>
      </c>
      <c r="AF218" s="181" t="s">
        <v>83</v>
      </c>
      <c r="AG218" s="181" t="s">
        <v>83</v>
      </c>
      <c r="AH218" s="181" t="s">
        <v>83</v>
      </c>
      <c r="AI218" s="28">
        <v>0</v>
      </c>
      <c r="AJ218" s="28"/>
      <c r="AK218" s="28">
        <v>1</v>
      </c>
      <c r="AL218" s="28">
        <v>1</v>
      </c>
      <c r="AM218" s="181" t="s">
        <v>83</v>
      </c>
      <c r="AN218" s="28">
        <v>1</v>
      </c>
      <c r="AO218" s="28">
        <v>1</v>
      </c>
      <c r="AP218" s="28">
        <v>1</v>
      </c>
    </row>
    <row r="219" spans="1:42">
      <c r="A219" s="157"/>
      <c r="B219" s="28" t="str">
        <f>物品!B219</f>
        <v>IS25</v>
      </c>
      <c r="C219" s="28" t="s">
        <v>41</v>
      </c>
      <c r="D219" s="28" t="s">
        <v>81</v>
      </c>
      <c r="E219" s="28" t="s">
        <v>82</v>
      </c>
      <c r="F219" s="28"/>
      <c r="G219" s="28"/>
      <c r="H219" s="28" t="str">
        <f>VLOOKUP(LEFT(RIGHT(B219,5),4),物品!B:CU,2,FALSE)</f>
        <v>|CffFFD24DW强力附魔石|r</v>
      </c>
      <c r="I219" s="28" t="str">
        <f>VLOOKUP(B219,物品!B:CV,99,FALSE)</f>
        <v>为|Cffffd24dW技能|r附魔一条|Cffffd24d随机属性|r。</v>
      </c>
      <c r="J219" s="159" t="str">
        <f t="shared" ref="J219:J220" si="96">H219</f>
        <v>|CffFFD24DW强力附魔石|r</v>
      </c>
      <c r="K219" s="159" t="str">
        <f t="shared" ref="K219:K220" si="97">I219</f>
        <v>为|Cffffd24dW技能|r附魔一条|Cffffd24d随机属性|r。</v>
      </c>
      <c r="L219" s="28"/>
      <c r="M219" s="160" t="str">
        <f>VLOOKUP(LEFT(RIGHT(B219,5),4),物品!B:CU,20,FALSE)</f>
        <v>ReplaceableTextures\\CommandButtons\\BTN010.blp</v>
      </c>
      <c r="N219" s="181" t="s">
        <v>83</v>
      </c>
      <c r="O219" s="160" t="s">
        <v>98</v>
      </c>
      <c r="P219" s="28">
        <v>1</v>
      </c>
      <c r="Q219" s="28">
        <v>2</v>
      </c>
      <c r="R219" s="181" t="s">
        <v>83</v>
      </c>
      <c r="S219" s="181" t="s">
        <v>83</v>
      </c>
      <c r="T219" s="181" t="s">
        <v>83</v>
      </c>
      <c r="U219" s="181" t="s">
        <v>83</v>
      </c>
      <c r="V219" s="28"/>
      <c r="W219" s="28" t="s">
        <v>93</v>
      </c>
      <c r="X219" s="28">
        <v>0</v>
      </c>
      <c r="Y219" s="181" t="s">
        <v>83</v>
      </c>
      <c r="Z219" s="28">
        <v>0</v>
      </c>
      <c r="AA219" s="28">
        <v>0</v>
      </c>
      <c r="AB219" s="28">
        <v>30</v>
      </c>
      <c r="AC219" s="28">
        <v>1</v>
      </c>
      <c r="AD219" s="28">
        <v>1</v>
      </c>
      <c r="AE219" s="181" t="s">
        <v>83</v>
      </c>
      <c r="AF219" s="181" t="s">
        <v>83</v>
      </c>
      <c r="AG219" s="181" t="s">
        <v>83</v>
      </c>
      <c r="AH219" s="181" t="s">
        <v>83</v>
      </c>
      <c r="AI219" s="28">
        <v>0</v>
      </c>
      <c r="AJ219" s="28"/>
      <c r="AK219" s="28">
        <v>1</v>
      </c>
      <c r="AL219" s="28">
        <v>1</v>
      </c>
      <c r="AM219" s="181" t="s">
        <v>83</v>
      </c>
      <c r="AN219" s="28">
        <v>1</v>
      </c>
      <c r="AO219" s="28">
        <v>1</v>
      </c>
      <c r="AP219" s="28">
        <v>1</v>
      </c>
    </row>
    <row r="220" spans="1:42">
      <c r="A220" s="157"/>
      <c r="B220" s="28" t="str">
        <f>物品!B220</f>
        <v>IS26</v>
      </c>
      <c r="C220" s="28" t="s">
        <v>41</v>
      </c>
      <c r="D220" s="28" t="s">
        <v>81</v>
      </c>
      <c r="E220" s="28" t="s">
        <v>82</v>
      </c>
      <c r="F220" s="28"/>
      <c r="G220" s="28"/>
      <c r="H220" s="28" t="str">
        <f>VLOOKUP(LEFT(RIGHT(B220,5),4),物品!B:CU,2,FALSE)</f>
        <v>|CffFFD24DE强力附魔石|r</v>
      </c>
      <c r="I220" s="28" t="str">
        <f>VLOOKUP(B220,物品!B:CV,99,FALSE)</f>
        <v>为|Cffffd24dE技能|r附魔一条|Cffffd24d随机属性|r。</v>
      </c>
      <c r="J220" s="159" t="str">
        <f t="shared" si="96"/>
        <v>|CffFFD24DE强力附魔石|r</v>
      </c>
      <c r="K220" s="159" t="str">
        <f t="shared" si="97"/>
        <v>为|Cffffd24dE技能|r附魔一条|Cffffd24d随机属性|r。</v>
      </c>
      <c r="L220" s="28"/>
      <c r="M220" s="160" t="str">
        <f>VLOOKUP(LEFT(RIGHT(B220,5),4),物品!B:CU,20,FALSE)</f>
        <v>ReplaceableTextures\\CommandButtons\\BTN011.blp</v>
      </c>
      <c r="N220" s="181" t="s">
        <v>83</v>
      </c>
      <c r="O220" s="160" t="s">
        <v>98</v>
      </c>
      <c r="P220" s="28">
        <v>2</v>
      </c>
      <c r="Q220" s="28">
        <v>2</v>
      </c>
      <c r="R220" s="181" t="s">
        <v>83</v>
      </c>
      <c r="S220" s="181" t="s">
        <v>83</v>
      </c>
      <c r="T220" s="181" t="s">
        <v>83</v>
      </c>
      <c r="U220" s="181" t="s">
        <v>83</v>
      </c>
      <c r="V220" s="28"/>
      <c r="W220" s="28" t="s">
        <v>93</v>
      </c>
      <c r="X220" s="28">
        <v>0</v>
      </c>
      <c r="Y220" s="181" t="s">
        <v>83</v>
      </c>
      <c r="Z220" s="28">
        <v>0</v>
      </c>
      <c r="AA220" s="28">
        <v>0</v>
      </c>
      <c r="AB220" s="28">
        <v>30</v>
      </c>
      <c r="AC220" s="28">
        <v>1</v>
      </c>
      <c r="AD220" s="28">
        <v>1</v>
      </c>
      <c r="AE220" s="181" t="s">
        <v>83</v>
      </c>
      <c r="AF220" s="181" t="s">
        <v>83</v>
      </c>
      <c r="AG220" s="181" t="s">
        <v>83</v>
      </c>
      <c r="AH220" s="181" t="s">
        <v>83</v>
      </c>
      <c r="AI220" s="28">
        <v>0</v>
      </c>
      <c r="AJ220" s="28"/>
      <c r="AK220" s="28">
        <v>1</v>
      </c>
      <c r="AL220" s="28">
        <v>1</v>
      </c>
      <c r="AM220" s="181" t="s">
        <v>83</v>
      </c>
      <c r="AN220" s="28">
        <v>1</v>
      </c>
      <c r="AO220" s="28">
        <v>1</v>
      </c>
      <c r="AP220" s="28">
        <v>1</v>
      </c>
    </row>
    <row r="221" spans="1:42">
      <c r="A221" s="157"/>
      <c r="B221" s="28" t="str">
        <f>物品!B221</f>
        <v>IS11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|CffFF0000占星|r</v>
      </c>
      <c r="I221" s="28" t="str">
        <f>VLOOKUP(B221,物品!B:CV,99,FALSE)</f>
        <v>|CffFF0000占星|r</v>
      </c>
      <c r="J221" s="159" t="str">
        <f t="shared" ref="J221" si="98">H221</f>
        <v>|CffFF0000占星|r</v>
      </c>
      <c r="K221" s="159" t="str">
        <f t="shared" ref="K221" si="99">I221</f>
        <v>|CffFF0000占星|r</v>
      </c>
      <c r="L221" s="28"/>
      <c r="M221" s="160" t="str">
        <f>VLOOKUP(LEFT(RIGHT(B221,5),4),物品!B:CU,20,FALSE)</f>
        <v>ReplaceableTextures\\CommandButtons\\BTNIS11.blp</v>
      </c>
      <c r="N221" s="181" t="s">
        <v>83</v>
      </c>
      <c r="O221" s="160" t="s">
        <v>98</v>
      </c>
      <c r="P221" s="28">
        <v>0</v>
      </c>
      <c r="Q221" s="28">
        <v>0</v>
      </c>
      <c r="R221" s="181" t="s">
        <v>83</v>
      </c>
      <c r="S221" s="181" t="s">
        <v>83</v>
      </c>
      <c r="T221" s="181" t="s">
        <v>83</v>
      </c>
      <c r="U221" s="181" t="s">
        <v>83</v>
      </c>
      <c r="V221" s="28"/>
      <c r="W221" s="28" t="s">
        <v>88</v>
      </c>
      <c r="X221" s="28">
        <v>0</v>
      </c>
      <c r="Y221" s="181" t="s">
        <v>83</v>
      </c>
      <c r="Z221" s="28">
        <v>0</v>
      </c>
      <c r="AA221" s="28">
        <v>240</v>
      </c>
      <c r="AB221" s="28">
        <v>0</v>
      </c>
      <c r="AC221" s="28">
        <v>1</v>
      </c>
      <c r="AD221" s="28">
        <v>1</v>
      </c>
      <c r="AE221" s="181" t="s">
        <v>83</v>
      </c>
      <c r="AF221" s="181" t="s">
        <v>83</v>
      </c>
      <c r="AG221" s="181" t="s">
        <v>83</v>
      </c>
      <c r="AH221" s="181" t="s">
        <v>83</v>
      </c>
      <c r="AI221" s="28">
        <v>1</v>
      </c>
      <c r="AJ221" s="28"/>
      <c r="AK221" s="28">
        <v>1</v>
      </c>
      <c r="AL221" s="28">
        <v>1</v>
      </c>
      <c r="AM221" s="181" t="s">
        <v>83</v>
      </c>
      <c r="AN221" s="28">
        <v>1</v>
      </c>
      <c r="AO221" s="28">
        <v>1</v>
      </c>
      <c r="AP221" s="28">
        <v>1</v>
      </c>
    </row>
    <row r="222" spans="1:42">
      <c r="A222" s="157"/>
      <c r="B222" s="28" t="str">
        <f>物品!B222</f>
        <v>IS12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|CffFFD24D兽魂抽奖|r</v>
      </c>
      <c r="I222" s="28" t="str">
        <f>VLOOKUP(B222,物品!B:CV,99,FALSE)</f>
        <v>|CffFFD24D兽魂抽奖|r</v>
      </c>
      <c r="J222" s="159" t="str">
        <f t="shared" si="90"/>
        <v>|CffFFD24D兽魂抽奖|r</v>
      </c>
      <c r="K222" s="159" t="str">
        <f t="shared" si="91"/>
        <v>|CffFFD24D兽魂抽奖|r</v>
      </c>
      <c r="L222" s="28"/>
      <c r="M222" s="160" t="str">
        <f>VLOOKUP(LEFT(RIGHT(B222,5),4),物品!B:CU,20,FALSE)</f>
        <v>ReplaceableTextures\\CommandButtons\\BTNIH00.blp</v>
      </c>
      <c r="N222" s="181" t="s">
        <v>83</v>
      </c>
      <c r="O222" s="160" t="s">
        <v>98</v>
      </c>
      <c r="P222" s="28">
        <v>0</v>
      </c>
      <c r="Q222" s="28">
        <v>0</v>
      </c>
      <c r="R222" s="181" t="s">
        <v>83</v>
      </c>
      <c r="S222" s="181" t="s">
        <v>83</v>
      </c>
      <c r="T222" s="181" t="s">
        <v>83</v>
      </c>
      <c r="U222" s="181" t="s">
        <v>83</v>
      </c>
      <c r="V222" s="28"/>
      <c r="W222" s="28" t="s">
        <v>88</v>
      </c>
      <c r="X222" s="28">
        <v>0</v>
      </c>
      <c r="Y222" s="181" t="s">
        <v>83</v>
      </c>
      <c r="Z222" s="28">
        <v>0</v>
      </c>
      <c r="AA222" s="28">
        <v>3</v>
      </c>
      <c r="AB222" s="28">
        <v>0</v>
      </c>
      <c r="AC222" s="28">
        <v>1</v>
      </c>
      <c r="AD222" s="28">
        <v>1</v>
      </c>
      <c r="AE222" s="181" t="s">
        <v>83</v>
      </c>
      <c r="AF222" s="181" t="s">
        <v>83</v>
      </c>
      <c r="AG222" s="181" t="s">
        <v>83</v>
      </c>
      <c r="AH222" s="181" t="s">
        <v>83</v>
      </c>
      <c r="AI222" s="28">
        <v>1</v>
      </c>
      <c r="AJ222" s="28"/>
      <c r="AK222" s="28">
        <v>1</v>
      </c>
      <c r="AL222" s="28">
        <v>1</v>
      </c>
      <c r="AM222" s="181" t="s">
        <v>83</v>
      </c>
      <c r="AN222" s="28">
        <v>1</v>
      </c>
      <c r="AO222" s="28">
        <v>1</v>
      </c>
      <c r="AP222" s="28">
        <v>1</v>
      </c>
    </row>
    <row r="223" spans="1:42">
      <c r="A223" s="157"/>
      <c r="B223" s="28" t="str">
        <f>物品!B223</f>
        <v>IZ0C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|CffFFD24D兽魂抽奖|r</v>
      </c>
      <c r="I223" s="28" t="str">
        <f>VLOOKUP(B223,物品!B:CV,99,FALSE)</f>
        <v>|CffFFD24D兽魂抽奖|r</v>
      </c>
      <c r="J223" s="159" t="str">
        <f t="shared" si="90"/>
        <v>|CffFFD24D兽魂抽奖|r</v>
      </c>
      <c r="K223" s="159" t="str">
        <f t="shared" si="91"/>
        <v>|CffFFD24D兽魂抽奖|r</v>
      </c>
      <c r="L223" s="28"/>
      <c r="M223" s="160" t="str">
        <f>VLOOKUP(LEFT(RIGHT(B223,5),4),物品!B:CU,20,FALSE)</f>
        <v>ReplaceableTextures\\CommandButtons\\BTNIH00.blp</v>
      </c>
      <c r="N223" s="181" t="s">
        <v>83</v>
      </c>
      <c r="O223" s="160" t="s">
        <v>98</v>
      </c>
      <c r="P223" s="28">
        <v>0</v>
      </c>
      <c r="Q223" s="28">
        <v>0</v>
      </c>
      <c r="R223" s="181" t="s">
        <v>83</v>
      </c>
      <c r="S223" s="181" t="s">
        <v>83</v>
      </c>
      <c r="T223" s="181" t="s">
        <v>83</v>
      </c>
      <c r="U223" s="181" t="s">
        <v>83</v>
      </c>
      <c r="V223" s="28"/>
      <c r="W223" s="28" t="s">
        <v>88</v>
      </c>
      <c r="X223" s="28">
        <v>0</v>
      </c>
      <c r="Y223" s="181" t="s">
        <v>83</v>
      </c>
      <c r="Z223" s="28">
        <v>0</v>
      </c>
      <c r="AA223" s="28">
        <v>9999999</v>
      </c>
      <c r="AB223" s="28">
        <v>0</v>
      </c>
      <c r="AC223" s="28">
        <v>1</v>
      </c>
      <c r="AD223" s="28">
        <v>1</v>
      </c>
      <c r="AE223" s="181" t="s">
        <v>83</v>
      </c>
      <c r="AF223" s="181" t="s">
        <v>83</v>
      </c>
      <c r="AG223" s="181" t="s">
        <v>83</v>
      </c>
      <c r="AH223" s="181" t="s">
        <v>83</v>
      </c>
      <c r="AI223" s="28">
        <v>1</v>
      </c>
      <c r="AJ223" s="28"/>
      <c r="AK223" s="28">
        <v>1</v>
      </c>
      <c r="AL223" s="28">
        <v>1</v>
      </c>
      <c r="AM223" s="181" t="s">
        <v>83</v>
      </c>
      <c r="AN223" s="28">
        <v>1</v>
      </c>
      <c r="AO223" s="28">
        <v>1</v>
      </c>
      <c r="AP223" s="28">
        <v>1</v>
      </c>
    </row>
    <row r="224" spans="1:42">
      <c r="A224" s="157"/>
      <c r="B224" s="28" t="str">
        <f>物品!B224</f>
        <v>IZ10</v>
      </c>
      <c r="C224" s="28" t="s">
        <v>41</v>
      </c>
      <c r="D224" s="28" t="s">
        <v>81</v>
      </c>
      <c r="E224" s="28"/>
      <c r="F224" s="28"/>
      <c r="G224" s="28"/>
      <c r="H224" s="28" t="str">
        <f>VLOOKUP(LEFT(RIGHT(B224,5),4),物品!B:CU,2,FALSE)</f>
        <v>|CffFFD24D占星卜卦|r</v>
      </c>
      <c r="I224" s="28" t="str">
        <f>VLOOKUP(B224,物品!B:CV,99,FALSE)</f>
        <v>|CffF0F0F0有几率获得|r|Cffffd24d好东西|r|Cfff0f0f0，也有可能|r|Cffcccccc打水漂|r|Cfff0f0f0。|n|n|r|Cff00ff7f观今夜星象，抽就完事了...|r</v>
      </c>
      <c r="J224" s="159" t="str">
        <f t="shared" si="90"/>
        <v>|CffFFD24D占星卜卦|r</v>
      </c>
      <c r="K224" s="159" t="str">
        <f t="shared" si="91"/>
        <v>|CffF0F0F0有几率获得|r|Cffffd24d好东西|r|Cfff0f0f0，也有可能|r|Cffcccccc打水漂|r|Cfff0f0f0。|n|n|r|Cff00ff7f观今夜星象，抽就完事了...|r</v>
      </c>
      <c r="L224" s="28"/>
      <c r="M224" s="160" t="str">
        <f>VLOOKUP(LEFT(RIGHT(B224,5),4),物品!B:CU,20,FALSE)</f>
        <v>ReplaceableTextures\\CommandButtons\\BTNIH00.blp</v>
      </c>
      <c r="N224" s="181" t="s">
        <v>83</v>
      </c>
      <c r="O224" s="160" t="s">
        <v>98</v>
      </c>
      <c r="P224" s="28">
        <v>0</v>
      </c>
      <c r="Q224" s="28">
        <v>0</v>
      </c>
      <c r="R224" s="181" t="s">
        <v>83</v>
      </c>
      <c r="S224" s="181" t="s">
        <v>83</v>
      </c>
      <c r="T224" s="181" t="s">
        <v>83</v>
      </c>
      <c r="U224" s="181" t="s">
        <v>83</v>
      </c>
      <c r="V224" s="28"/>
      <c r="W224" s="28" t="s">
        <v>88</v>
      </c>
      <c r="X224" s="28">
        <v>3888</v>
      </c>
      <c r="Y224" s="181" t="s">
        <v>83</v>
      </c>
      <c r="Z224" s="28">
        <v>0</v>
      </c>
      <c r="AA224" s="28">
        <v>1</v>
      </c>
      <c r="AB224" s="28">
        <v>0</v>
      </c>
      <c r="AC224" s="28">
        <v>1</v>
      </c>
      <c r="AD224" s="28">
        <v>1</v>
      </c>
      <c r="AE224" s="181" t="s">
        <v>83</v>
      </c>
      <c r="AF224" s="181" t="s">
        <v>83</v>
      </c>
      <c r="AG224" s="181" t="s">
        <v>83</v>
      </c>
      <c r="AH224" s="181" t="s">
        <v>83</v>
      </c>
      <c r="AI224" s="28">
        <v>1</v>
      </c>
      <c r="AJ224" s="28"/>
      <c r="AK224" s="28">
        <v>1</v>
      </c>
      <c r="AL224" s="28">
        <v>1</v>
      </c>
      <c r="AM224" s="181" t="s">
        <v>83</v>
      </c>
      <c r="AN224" s="28">
        <v>1</v>
      </c>
      <c r="AO224" s="28">
        <v>1</v>
      </c>
      <c r="AP224" s="28">
        <v>1</v>
      </c>
    </row>
    <row r="225" spans="1:42">
      <c r="A225" s="157"/>
      <c r="B225" s="28" t="str">
        <f>物品!B225</f>
        <v>IZ11</v>
      </c>
      <c r="C225" s="28" t="s">
        <v>41</v>
      </c>
      <c r="D225" s="28" t="s">
        <v>81</v>
      </c>
      <c r="E225" s="28"/>
      <c r="F225" s="28"/>
      <c r="G225" s="28"/>
      <c r="H225" s="28" t="str">
        <f>VLOOKUP(LEFT(RIGHT(B225,5),4),物品!B:CU,2,FALSE)</f>
        <v>|CffFFD24D占星卜卦|r - [|cffffcc0010连|r]</v>
      </c>
      <c r="I225" s="28" t="str">
        <f>VLOOKUP(B225,物品!B:CV,99,FALSE)</f>
        <v>|CffF0F0F0有几率获得|r|Cffffd24d很多好东西|r|Cfff0f0f0，也有可能|r|Cffcccccc打很多水漂|r|Cfff0f0f0。|n|n|r|Cff00ff7f观今夜星象，使劲抽就完事了...|r</v>
      </c>
      <c r="J225" s="159" t="str">
        <f t="shared" si="90"/>
        <v>|CffFFD24D占星卜卦|r - [|cffffcc0010连|r]</v>
      </c>
      <c r="K225" s="159" t="str">
        <f t="shared" si="91"/>
        <v>|CffF0F0F0有几率获得|r|Cffffd24d很多好东西|r|Cfff0f0f0，也有可能|r|Cffcccccc打很多水漂|r|Cfff0f0f0。|n|n|r|Cff00ff7f观今夜星象，使劲抽就完事了...|r</v>
      </c>
      <c r="L225" s="28"/>
      <c r="M225" s="160" t="str">
        <f>VLOOKUP(LEFT(RIGHT(B225,5),4),物品!B:CU,20,FALSE)</f>
        <v>ReplaceableTextures\\CommandButtons\\BTNIH00.blp</v>
      </c>
      <c r="N225" s="181" t="s">
        <v>83</v>
      </c>
      <c r="O225" s="160" t="s">
        <v>98</v>
      </c>
      <c r="P225" s="28">
        <v>0</v>
      </c>
      <c r="Q225" s="28">
        <v>0</v>
      </c>
      <c r="R225" s="181" t="s">
        <v>83</v>
      </c>
      <c r="S225" s="181" t="s">
        <v>83</v>
      </c>
      <c r="T225" s="181" t="s">
        <v>83</v>
      </c>
      <c r="U225" s="181" t="s">
        <v>83</v>
      </c>
      <c r="V225" s="28"/>
      <c r="W225" s="28" t="s">
        <v>88</v>
      </c>
      <c r="X225" s="28">
        <v>39999</v>
      </c>
      <c r="Y225" s="181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81" t="s">
        <v>83</v>
      </c>
      <c r="AF225" s="181" t="s">
        <v>83</v>
      </c>
      <c r="AG225" s="181" t="s">
        <v>83</v>
      </c>
      <c r="AH225" s="181" t="s">
        <v>83</v>
      </c>
      <c r="AI225" s="28">
        <v>1</v>
      </c>
      <c r="AJ225" s="28"/>
      <c r="AK225" s="28">
        <v>1</v>
      </c>
      <c r="AL225" s="28">
        <v>1</v>
      </c>
      <c r="AM225" s="181" t="s">
        <v>83</v>
      </c>
      <c r="AN225" s="28">
        <v>1</v>
      </c>
      <c r="AO225" s="28">
        <v>1</v>
      </c>
      <c r="AP225" s="28">
        <v>1</v>
      </c>
    </row>
    <row r="226" spans="1:42">
      <c r="A226" s="157"/>
      <c r="B226" s="28" t="str">
        <f>物品!B226</f>
        <v>IS13</v>
      </c>
      <c r="C226" s="28" t="s">
        <v>41</v>
      </c>
      <c r="D226" s="28" t="s">
        <v>81</v>
      </c>
      <c r="E226" s="28"/>
      <c r="F226" s="28"/>
      <c r="G226" s="28"/>
      <c r="H226" s="28" t="str">
        <f>VLOOKUP(LEFT(RIGHT(B226,5),4),物品!B:CU,2,FALSE)</f>
        <v>|cffffd24d强化饰品等级|n|r</v>
      </c>
      <c r="I226" s="28" t="str">
        <f>VLOOKUP(B226,物品!B:CV,99,FALSE)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26" s="159" t="str">
        <f t="shared" si="90"/>
        <v>|cffffd24d强化饰品等级|n|r</v>
      </c>
      <c r="K226" s="159" t="str">
        <f t="shared" si="91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26" s="28"/>
      <c r="M226" s="160" t="str">
        <f>VLOOKUP(LEFT(RIGHT(B226,5),4),物品!B:CU,20,FALSE)</f>
        <v>ReplaceableTextures\\CommandButtons\\BTNZ10.blp</v>
      </c>
      <c r="N226" s="181" t="s">
        <v>83</v>
      </c>
      <c r="O226" s="160" t="s">
        <v>98</v>
      </c>
      <c r="P226" s="28">
        <v>0</v>
      </c>
      <c r="Q226" s="28">
        <v>1</v>
      </c>
      <c r="R226" s="181" t="s">
        <v>83</v>
      </c>
      <c r="S226" s="181" t="s">
        <v>83</v>
      </c>
      <c r="T226" s="181" t="s">
        <v>83</v>
      </c>
      <c r="U226" s="181" t="s">
        <v>83</v>
      </c>
      <c r="V226" s="28"/>
      <c r="W226" s="28" t="s">
        <v>88</v>
      </c>
      <c r="X226" s="28">
        <v>0</v>
      </c>
      <c r="Y226" s="181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81" t="s">
        <v>83</v>
      </c>
      <c r="AF226" s="181" t="s">
        <v>83</v>
      </c>
      <c r="AG226" s="181" t="s">
        <v>83</v>
      </c>
      <c r="AH226" s="181" t="s">
        <v>83</v>
      </c>
      <c r="AI226" s="28">
        <v>1</v>
      </c>
      <c r="AJ226" s="28"/>
      <c r="AK226" s="28">
        <v>1</v>
      </c>
      <c r="AL226" s="28">
        <v>1</v>
      </c>
      <c r="AM226" s="181" t="s">
        <v>83</v>
      </c>
      <c r="AN226" s="28">
        <v>1</v>
      </c>
      <c r="AO226" s="28">
        <v>1</v>
      </c>
      <c r="AP226" s="28">
        <v>1</v>
      </c>
    </row>
    <row r="227" spans="1:42">
      <c r="A227" s="157"/>
      <c r="B227" s="28" t="str">
        <f>物品!B227</f>
        <v>IS14</v>
      </c>
      <c r="C227" s="28" t="s">
        <v>41</v>
      </c>
      <c r="D227" s="28" t="s">
        <v>81</v>
      </c>
      <c r="E227" s="28"/>
      <c r="F227" s="28"/>
      <c r="G227" s="28"/>
      <c r="H227" s="28" t="str">
        <f>VLOOKUP(LEFT(RIGHT(B227,5),4),物品!B:CU,2,FALSE)</f>
        <v>|CffFFD24D强化药品等级|r</v>
      </c>
      <c r="I227" s="28" t="str">
        <f>VLOOKUP(B227,物品!B:CV,99,FALSE)</f>
        <v>|cffffcc00升级消耗：|r150+等级*150杀敌数|n|n|cff00ff7f最高升至10级|r</v>
      </c>
      <c r="J227" s="159" t="str">
        <f t="shared" ref="J227" si="100">H227</f>
        <v>|CffFFD24D强化药品等级|r</v>
      </c>
      <c r="K227" s="159" t="str">
        <f t="shared" ref="K227" si="101">I227</f>
        <v>|cffffcc00升级消耗：|r150+等级*150杀敌数|n|n|cff00ff7f最高升至10级|r</v>
      </c>
      <c r="L227" s="28"/>
      <c r="M227" s="160" t="str">
        <f>VLOOKUP(LEFT(RIGHT(B227,5),4),物品!B:CU,20,FALSE)</f>
        <v>ReplaceableTextures\\CommandButtons\\BTNAG06.blp</v>
      </c>
      <c r="N227" s="181" t="s">
        <v>83</v>
      </c>
      <c r="O227" s="160" t="s">
        <v>98</v>
      </c>
      <c r="P227" s="28">
        <v>0</v>
      </c>
      <c r="Q227" s="28">
        <v>1</v>
      </c>
      <c r="R227" s="181" t="s">
        <v>83</v>
      </c>
      <c r="S227" s="181" t="s">
        <v>83</v>
      </c>
      <c r="T227" s="181" t="s">
        <v>83</v>
      </c>
      <c r="U227" s="181" t="s">
        <v>83</v>
      </c>
      <c r="V227" s="28"/>
      <c r="W227" s="28" t="s">
        <v>88</v>
      </c>
      <c r="X227" s="28">
        <v>0</v>
      </c>
      <c r="Y227" s="181" t="s">
        <v>83</v>
      </c>
      <c r="Z227" s="28">
        <v>0</v>
      </c>
      <c r="AA227" s="28">
        <v>0</v>
      </c>
      <c r="AB227" s="28">
        <v>0</v>
      </c>
      <c r="AC227" s="28">
        <v>1</v>
      </c>
      <c r="AD227" s="28">
        <v>1</v>
      </c>
      <c r="AE227" s="181" t="s">
        <v>83</v>
      </c>
      <c r="AF227" s="181" t="s">
        <v>83</v>
      </c>
      <c r="AG227" s="181" t="s">
        <v>83</v>
      </c>
      <c r="AH227" s="181" t="s">
        <v>83</v>
      </c>
      <c r="AI227" s="28">
        <v>1</v>
      </c>
      <c r="AJ227" s="28"/>
      <c r="AK227" s="28">
        <v>1</v>
      </c>
      <c r="AL227" s="28">
        <v>1</v>
      </c>
      <c r="AM227" s="181" t="s">
        <v>83</v>
      </c>
      <c r="AN227" s="28">
        <v>1</v>
      </c>
      <c r="AO227" s="28">
        <v>1</v>
      </c>
      <c r="AP227" s="28">
        <v>1</v>
      </c>
    </row>
    <row r="228" spans="1:42">
      <c r="A228" s="157"/>
      <c r="B228" s="28" t="str">
        <f>物品!B229</f>
        <v>IB01</v>
      </c>
      <c r="C228" s="28" t="s">
        <v>41</v>
      </c>
      <c r="D228" s="28" t="s">
        <v>81</v>
      </c>
      <c r="E228" s="28"/>
      <c r="F228" s="28"/>
      <c r="G228" s="28"/>
      <c r="H228" s="28" t="str">
        <f>VLOOKUP(LEFT(RIGHT(B228,5),4),物品!B:CU,2,FALSE)</f>
        <v>公众号礼包</v>
      </c>
      <c r="I228" s="28" t="str">
        <f>VLOOKUP(B228,物品!B:CV,99,FALSE)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28" s="159" t="str">
        <f t="shared" ref="J228:K232" si="102">H228</f>
        <v>公众号礼包</v>
      </c>
      <c r="K228" s="159" t="str">
        <f t="shared" si="10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28" s="28"/>
      <c r="M228" s="160" t="str">
        <f>VLOOKUP(LEFT(RIGHT(B228,5),4),物品!B:CU,20,FALSE)</f>
        <v>ReplaceableTextures\\CommandButtons\\BTNIB01.blp</v>
      </c>
      <c r="N228" s="181" t="s">
        <v>83</v>
      </c>
      <c r="O228" s="160" t="s">
        <v>98</v>
      </c>
      <c r="P228" s="28">
        <v>0</v>
      </c>
      <c r="Q228" s="28">
        <v>0</v>
      </c>
      <c r="R228" s="181" t="s">
        <v>83</v>
      </c>
      <c r="S228" s="181" t="s">
        <v>83</v>
      </c>
      <c r="T228" s="181" t="s">
        <v>83</v>
      </c>
      <c r="U228" s="181" t="s">
        <v>83</v>
      </c>
      <c r="V228" s="28"/>
      <c r="W228" s="28" t="s">
        <v>88</v>
      </c>
      <c r="X228" s="28">
        <v>0</v>
      </c>
      <c r="Y228" s="181" t="s">
        <v>83</v>
      </c>
      <c r="Z228" s="28">
        <v>0</v>
      </c>
      <c r="AA228" s="28">
        <v>0</v>
      </c>
      <c r="AB228" s="28">
        <v>0</v>
      </c>
      <c r="AC228" s="28">
        <v>1</v>
      </c>
      <c r="AD228" s="28">
        <v>1</v>
      </c>
      <c r="AE228" s="181" t="s">
        <v>83</v>
      </c>
      <c r="AF228" s="181" t="s">
        <v>83</v>
      </c>
      <c r="AG228" s="181" t="s">
        <v>83</v>
      </c>
      <c r="AH228" s="181" t="s">
        <v>83</v>
      </c>
      <c r="AI228" s="28">
        <v>1</v>
      </c>
      <c r="AJ228" s="28"/>
      <c r="AK228" s="28">
        <v>1</v>
      </c>
      <c r="AL228" s="28">
        <v>1</v>
      </c>
      <c r="AM228" s="181" t="s">
        <v>83</v>
      </c>
      <c r="AN228" s="28">
        <v>1</v>
      </c>
      <c r="AO228" s="28">
        <v>1</v>
      </c>
      <c r="AP228" s="28">
        <v>1</v>
      </c>
    </row>
    <row r="229" spans="1:42">
      <c r="A229" s="157"/>
      <c r="B229" s="28" t="str">
        <f>物品!B230</f>
        <v>IB02</v>
      </c>
      <c r="C229" s="28" t="s">
        <v>41</v>
      </c>
      <c r="D229" s="28" t="s">
        <v>81</v>
      </c>
      <c r="E229" s="28"/>
      <c r="F229" s="28"/>
      <c r="G229" s="28"/>
      <c r="H229" s="28" t="str">
        <f>VLOOKUP(LEFT(RIGHT(B229,5),4),物品!B:CU,2,FALSE)</f>
        <v>入群礼包</v>
      </c>
      <c r="I229" s="28" t="str">
        <f>VLOOKUP(B229,物品!B:CV,99,FALSE)</f>
        <v>加入《|cff00ffcc全民封神|r》官方QQ群，即可获得入群礼包码！|n|n输入礼包码即可获得：|n金币+1000，每秒攻击+2，每秒业力+2</v>
      </c>
      <c r="J229" s="159" t="str">
        <f t="shared" si="102"/>
        <v>入群礼包</v>
      </c>
      <c r="K229" s="159" t="str">
        <f t="shared" si="102"/>
        <v>加入《|cff00ffcc全民封神|r》官方QQ群，即可获得入群礼包码！|n|n输入礼包码即可获得：|n金币+1000，每秒攻击+2，每秒业力+2</v>
      </c>
      <c r="L229" s="28"/>
      <c r="M229" s="160" t="str">
        <f>VLOOKUP(LEFT(RIGHT(B229,5),4),物品!B:CU,20,FALSE)</f>
        <v>ReplaceableTextures\\CommandButtons\\BTNIB02.blp</v>
      </c>
      <c r="N229" s="181" t="s">
        <v>83</v>
      </c>
      <c r="O229" s="160" t="s">
        <v>98</v>
      </c>
      <c r="P229" s="28">
        <v>1</v>
      </c>
      <c r="Q229" s="28">
        <v>0</v>
      </c>
      <c r="R229" s="181" t="s">
        <v>83</v>
      </c>
      <c r="S229" s="181" t="s">
        <v>83</v>
      </c>
      <c r="T229" s="181" t="s">
        <v>83</v>
      </c>
      <c r="U229" s="181" t="s">
        <v>83</v>
      </c>
      <c r="V229" s="28"/>
      <c r="W229" s="28" t="s">
        <v>88</v>
      </c>
      <c r="X229" s="28">
        <v>0</v>
      </c>
      <c r="Y229" s="181" t="s">
        <v>83</v>
      </c>
      <c r="Z229" s="28">
        <v>0</v>
      </c>
      <c r="AA229" s="28">
        <v>0</v>
      </c>
      <c r="AB229" s="28">
        <v>0</v>
      </c>
      <c r="AC229" s="28">
        <v>1</v>
      </c>
      <c r="AD229" s="28">
        <v>1</v>
      </c>
      <c r="AE229" s="181" t="s">
        <v>83</v>
      </c>
      <c r="AF229" s="181" t="s">
        <v>83</v>
      </c>
      <c r="AG229" s="181" t="s">
        <v>83</v>
      </c>
      <c r="AH229" s="181" t="s">
        <v>83</v>
      </c>
      <c r="AI229" s="28">
        <v>1</v>
      </c>
      <c r="AJ229" s="28"/>
      <c r="AK229" s="28">
        <v>1</v>
      </c>
      <c r="AL229" s="28">
        <v>1</v>
      </c>
      <c r="AM229" s="181" t="s">
        <v>83</v>
      </c>
      <c r="AN229" s="28">
        <v>1</v>
      </c>
      <c r="AO229" s="28">
        <v>1</v>
      </c>
      <c r="AP229" s="28">
        <v>1</v>
      </c>
    </row>
    <row r="230" spans="1:42">
      <c r="A230" s="157"/>
      <c r="B230" s="28" t="str">
        <f>物品!B231</f>
        <v>IB03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拜年礼包</v>
      </c>
      <c r="I230" s="28" t="str">
        <f>VLOOKUP(B230,物品!B:CV,99,FALSE)</f>
        <v>|cff99ccff给与地图有效评论建议|r即可领取：|n每秒生命+100，每秒业力+2|n|n|r|cff808080地图等级达到3级可领取|r</v>
      </c>
      <c r="J230" s="159" t="str">
        <f t="shared" si="102"/>
        <v>拜年礼包</v>
      </c>
      <c r="K230" s="159" t="str">
        <f t="shared" si="102"/>
        <v>|cff99ccff给与地图有效评论建议|r即可领取：|n每秒生命+100，每秒业力+2|n|n|r|cff808080地图等级达到3级可领取|r</v>
      </c>
      <c r="L230" s="28"/>
      <c r="M230" s="160" t="str">
        <f>VLOOKUP(LEFT(RIGHT(B230,5),4),物品!B:CU,20,FALSE)</f>
        <v>ReplaceableTextures\\CommandButtons\\BTNIB03.blp</v>
      </c>
      <c r="N230" s="181" t="s">
        <v>83</v>
      </c>
      <c r="O230" s="160" t="s">
        <v>98</v>
      </c>
      <c r="P230" s="28">
        <v>2</v>
      </c>
      <c r="Q230" s="28">
        <v>0</v>
      </c>
      <c r="R230" s="181" t="s">
        <v>83</v>
      </c>
      <c r="S230" s="181" t="s">
        <v>83</v>
      </c>
      <c r="T230" s="181" t="s">
        <v>83</v>
      </c>
      <c r="U230" s="181" t="s">
        <v>83</v>
      </c>
      <c r="V230" s="28"/>
      <c r="W230" s="28" t="s">
        <v>88</v>
      </c>
      <c r="X230" s="28">
        <v>0</v>
      </c>
      <c r="Y230" s="181" t="s">
        <v>83</v>
      </c>
      <c r="Z230" s="28">
        <v>0</v>
      </c>
      <c r="AA230" s="28">
        <v>0</v>
      </c>
      <c r="AB230" s="28">
        <v>0</v>
      </c>
      <c r="AC230" s="28">
        <v>1</v>
      </c>
      <c r="AD230" s="28">
        <v>1</v>
      </c>
      <c r="AE230" s="181" t="s">
        <v>83</v>
      </c>
      <c r="AF230" s="181" t="s">
        <v>83</v>
      </c>
      <c r="AG230" s="181" t="s">
        <v>83</v>
      </c>
      <c r="AH230" s="181" t="s">
        <v>83</v>
      </c>
      <c r="AI230" s="28">
        <v>1</v>
      </c>
      <c r="AJ230" s="28"/>
      <c r="AK230" s="28">
        <v>1</v>
      </c>
      <c r="AL230" s="28">
        <v>1</v>
      </c>
      <c r="AM230" s="181" t="s">
        <v>83</v>
      </c>
      <c r="AN230" s="28">
        <v>1</v>
      </c>
      <c r="AO230" s="28">
        <v>1</v>
      </c>
      <c r="AP230" s="28">
        <v>1</v>
      </c>
    </row>
    <row r="231" spans="1:42">
      <c r="A231" s="157"/>
      <c r="B231" s="28" t="str">
        <f>物品!B232</f>
        <v>IB04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收藏礼包</v>
      </c>
      <c r="I231" s="28" t="str">
        <f>VLOOKUP(B231,物品!B:CV,99,FALSE)</f>
        <v>|cff99ccff房间大厅界面点击右上角《|r|cffcc99ff收藏|r|cff99ccff》后可领取该礼包。|n|n|r属性：|n|cffffcc33攻击伤害+5%|n技能伤害+5%|r</v>
      </c>
      <c r="J231" s="159" t="str">
        <f t="shared" si="102"/>
        <v>收藏礼包</v>
      </c>
      <c r="K231" s="159" t="str">
        <f t="shared" si="102"/>
        <v>|cff99ccff房间大厅界面点击右上角《|r|cffcc99ff收藏|r|cff99ccff》后可领取该礼包。|n|n|r属性：|n|cffffcc33攻击伤害+5%|n技能伤害+5%|r</v>
      </c>
      <c r="L231" s="28"/>
      <c r="M231" s="160" t="str">
        <f>VLOOKUP(LEFT(RIGHT(B231,5),4),物品!B:CU,20,FALSE)</f>
        <v>ReplaceableTextures\\CommandButtons\\BTNIB04.blp</v>
      </c>
      <c r="N231" s="181" t="s">
        <v>83</v>
      </c>
      <c r="O231" s="160" t="s">
        <v>98</v>
      </c>
      <c r="P231" s="28">
        <v>3</v>
      </c>
      <c r="Q231" s="28">
        <v>0</v>
      </c>
      <c r="R231" s="181" t="s">
        <v>83</v>
      </c>
      <c r="S231" s="181" t="s">
        <v>83</v>
      </c>
      <c r="T231" s="181" t="s">
        <v>83</v>
      </c>
      <c r="U231" s="181" t="s">
        <v>83</v>
      </c>
      <c r="V231" s="28"/>
      <c r="W231" s="28" t="s">
        <v>88</v>
      </c>
      <c r="X231" s="28">
        <v>0</v>
      </c>
      <c r="Y231" s="181" t="s">
        <v>83</v>
      </c>
      <c r="Z231" s="28">
        <v>0</v>
      </c>
      <c r="AA231" s="28">
        <v>0</v>
      </c>
      <c r="AB231" s="28">
        <v>0</v>
      </c>
      <c r="AC231" s="28">
        <v>1</v>
      </c>
      <c r="AD231" s="28">
        <v>1</v>
      </c>
      <c r="AE231" s="181" t="s">
        <v>83</v>
      </c>
      <c r="AF231" s="181" t="s">
        <v>83</v>
      </c>
      <c r="AG231" s="181" t="s">
        <v>83</v>
      </c>
      <c r="AH231" s="181" t="s">
        <v>83</v>
      </c>
      <c r="AI231" s="28">
        <v>1</v>
      </c>
      <c r="AJ231" s="28"/>
      <c r="AK231" s="28">
        <v>1</v>
      </c>
      <c r="AL231" s="28">
        <v>1</v>
      </c>
      <c r="AM231" s="181" t="s">
        <v>83</v>
      </c>
      <c r="AN231" s="28">
        <v>1</v>
      </c>
      <c r="AO231" s="28">
        <v>1</v>
      </c>
      <c r="AP231" s="28">
        <v>1</v>
      </c>
    </row>
    <row r="232" spans="1:42">
      <c r="A232" s="157"/>
      <c r="B232" s="28" t="str">
        <f>物品!B233</f>
        <v>IB05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重置版礼包</v>
      </c>
      <c r="I232" s="28" t="str">
        <f>VLOOKUP(B232,物品!B:CV,99,FALSE)</f>
        <v>|cff33ff00购买魔兽重制版可领取该礼包！|n|n|r奖励：|n招魂幡Lv3</v>
      </c>
      <c r="J232" s="159" t="str">
        <f t="shared" si="102"/>
        <v>重置版礼包</v>
      </c>
      <c r="K232" s="159" t="str">
        <f t="shared" si="102"/>
        <v>|cff33ff00购买魔兽重制版可领取该礼包！|n|n|r奖励：|n招魂幡Lv3</v>
      </c>
      <c r="L232" s="28"/>
      <c r="M232" s="160" t="str">
        <f>VLOOKUP(LEFT(RIGHT(B232,5),4),物品!B:CU,20,FALSE)</f>
        <v>ReplaceableTextures\\CommandButtons\\BTNIB05.blp</v>
      </c>
      <c r="N232" s="181" t="s">
        <v>83</v>
      </c>
      <c r="O232" s="160" t="s">
        <v>98</v>
      </c>
      <c r="P232" s="28">
        <v>0</v>
      </c>
      <c r="Q232" s="28">
        <v>1</v>
      </c>
      <c r="R232" s="181" t="s">
        <v>83</v>
      </c>
      <c r="S232" s="181" t="s">
        <v>83</v>
      </c>
      <c r="T232" s="181" t="s">
        <v>83</v>
      </c>
      <c r="U232" s="181" t="s">
        <v>83</v>
      </c>
      <c r="V232" s="28"/>
      <c r="W232" s="28" t="s">
        <v>88</v>
      </c>
      <c r="X232" s="28">
        <v>0</v>
      </c>
      <c r="Y232" s="181" t="s">
        <v>83</v>
      </c>
      <c r="Z232" s="28">
        <v>0</v>
      </c>
      <c r="AA232" s="28">
        <v>0</v>
      </c>
      <c r="AB232" s="28">
        <v>0</v>
      </c>
      <c r="AC232" s="28">
        <v>1</v>
      </c>
      <c r="AD232" s="28">
        <v>1</v>
      </c>
      <c r="AE232" s="181" t="s">
        <v>83</v>
      </c>
      <c r="AF232" s="181" t="s">
        <v>83</v>
      </c>
      <c r="AG232" s="181" t="s">
        <v>83</v>
      </c>
      <c r="AH232" s="181" t="s">
        <v>83</v>
      </c>
      <c r="AI232" s="28">
        <v>1</v>
      </c>
      <c r="AJ232" s="28"/>
      <c r="AK232" s="28">
        <v>1</v>
      </c>
      <c r="AL232" s="28">
        <v>1</v>
      </c>
      <c r="AM232" s="181" t="s">
        <v>83</v>
      </c>
      <c r="AN232" s="28">
        <v>1</v>
      </c>
      <c r="AO232" s="28">
        <v>1</v>
      </c>
      <c r="AP232" s="28">
        <v>1</v>
      </c>
    </row>
    <row r="233" spans="1:42">
      <c r="A233" s="157"/>
      <c r="B233" s="28" t="str">
        <f>物品!B234</f>
        <v>IB06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公会福利</v>
      </c>
      <c r="I233" s="28" t="str">
        <f>VLOOKUP(B233,物品!B:CV,99,FALSE)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J233" s="159" t="str">
        <f t="shared" ref="J233:J237" si="103">H233</f>
        <v>公会福利</v>
      </c>
      <c r="K233" s="159" t="str">
        <f t="shared" ref="K233:K237" si="104">I233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L233" s="28"/>
      <c r="M233" s="160" t="str">
        <f>VLOOKUP(LEFT(RIGHT(B233,5),4),物品!B:CU,20,FALSE)</f>
        <v>ReplaceableTextures\\CommandButtons\\BTNIB06.blp</v>
      </c>
      <c r="N233" s="181" t="s">
        <v>83</v>
      </c>
      <c r="O233" s="160" t="s">
        <v>98</v>
      </c>
      <c r="P233" s="28">
        <v>1</v>
      </c>
      <c r="Q233" s="28">
        <v>1</v>
      </c>
      <c r="R233" s="181" t="s">
        <v>83</v>
      </c>
      <c r="S233" s="181" t="s">
        <v>83</v>
      </c>
      <c r="T233" s="181" t="s">
        <v>83</v>
      </c>
      <c r="U233" s="181" t="s">
        <v>83</v>
      </c>
      <c r="V233" s="28"/>
      <c r="W233" s="28" t="s">
        <v>88</v>
      </c>
      <c r="X233" s="28">
        <v>0</v>
      </c>
      <c r="Y233" s="181" t="s">
        <v>83</v>
      </c>
      <c r="Z233" s="28">
        <v>0</v>
      </c>
      <c r="AA233" s="28">
        <v>0</v>
      </c>
      <c r="AB233" s="28">
        <v>0</v>
      </c>
      <c r="AC233" s="28">
        <v>1</v>
      </c>
      <c r="AD233" s="28">
        <v>1</v>
      </c>
      <c r="AE233" s="181" t="s">
        <v>83</v>
      </c>
      <c r="AF233" s="181" t="s">
        <v>83</v>
      </c>
      <c r="AG233" s="181" t="s">
        <v>83</v>
      </c>
      <c r="AH233" s="181" t="s">
        <v>83</v>
      </c>
      <c r="AI233" s="28">
        <v>1</v>
      </c>
      <c r="AJ233" s="28"/>
      <c r="AK233" s="28">
        <v>1</v>
      </c>
      <c r="AL233" s="28">
        <v>1</v>
      </c>
      <c r="AM233" s="181" t="s">
        <v>83</v>
      </c>
      <c r="AN233" s="28">
        <v>1</v>
      </c>
      <c r="AO233" s="28">
        <v>1</v>
      </c>
      <c r="AP233" s="28">
        <v>1</v>
      </c>
    </row>
    <row r="234" spans="1:42">
      <c r="A234" s="157"/>
      <c r="B234" s="28" t="str">
        <f>物品!B235</f>
        <v>IB07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星耀礼包</v>
      </c>
      <c r="I234" s="28" t="str">
        <f>VLOOKUP(B234,物品!B:CV,99,FALSE)</f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J234" s="159" t="str">
        <f t="shared" si="103"/>
        <v>星耀礼包</v>
      </c>
      <c r="K234" s="159" t="str">
        <f t="shared" si="104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L234" s="28"/>
      <c r="M234" s="160" t="str">
        <f>VLOOKUP(LEFT(RIGHT(B234,5),4),物品!B:CU,20,FALSE)</f>
        <v>ReplaceableTextures\\CommandButtons\\BTNIB07.blp</v>
      </c>
      <c r="N234" s="181" t="s">
        <v>83</v>
      </c>
      <c r="O234" s="160" t="s">
        <v>98</v>
      </c>
      <c r="P234" s="28">
        <v>2</v>
      </c>
      <c r="Q234" s="28">
        <v>1</v>
      </c>
      <c r="R234" s="181" t="s">
        <v>83</v>
      </c>
      <c r="S234" s="181" t="s">
        <v>83</v>
      </c>
      <c r="T234" s="181" t="s">
        <v>83</v>
      </c>
      <c r="U234" s="181" t="s">
        <v>83</v>
      </c>
      <c r="V234" s="28"/>
      <c r="W234" s="28" t="s">
        <v>88</v>
      </c>
      <c r="X234" s="28">
        <v>0</v>
      </c>
      <c r="Y234" s="181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81" t="s">
        <v>83</v>
      </c>
      <c r="AF234" s="181" t="s">
        <v>83</v>
      </c>
      <c r="AG234" s="181" t="s">
        <v>83</v>
      </c>
      <c r="AH234" s="181" t="s">
        <v>83</v>
      </c>
      <c r="AI234" s="28">
        <v>1</v>
      </c>
      <c r="AJ234" s="28"/>
      <c r="AK234" s="28">
        <v>1</v>
      </c>
      <c r="AL234" s="28">
        <v>1</v>
      </c>
      <c r="AM234" s="181" t="s">
        <v>83</v>
      </c>
      <c r="AN234" s="28">
        <v>1</v>
      </c>
      <c r="AO234" s="28">
        <v>1</v>
      </c>
      <c r="AP234" s="28">
        <v>1</v>
      </c>
    </row>
    <row r="235" spans="1:42">
      <c r="A235" s="157"/>
      <c r="B235" s="28" t="str">
        <f>物品!B236</f>
        <v>IB08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魔芝RPG礼包</v>
      </c>
      <c r="I235" s="28" t="str">
        <f>VLOOKUP(B235,物品!B:CV,99,FALSE)</f>
        <v>|cff99ccff游戏中输入《|r|cff33ff00魔芝RPG|r|cff99ccff》领取本礼包！|r|n|n|r奖励：|n|cffffcc00练功房怪物数量+1|r</v>
      </c>
      <c r="J235" s="159" t="str">
        <f t="shared" si="103"/>
        <v>魔芝RPG礼包</v>
      </c>
      <c r="K235" s="159" t="str">
        <f t="shared" si="104"/>
        <v>|cff99ccff游戏中输入《|r|cff33ff00魔芝RPG|r|cff99ccff》领取本礼包！|r|n|n|r奖励：|n|cffffcc00练功房怪物数量+1|r</v>
      </c>
      <c r="L235" s="28"/>
      <c r="M235" s="160" t="str">
        <f>VLOOKUP(LEFT(RIGHT(B235,5),4),物品!B:CU,20,FALSE)</f>
        <v>ReplaceableTextures\\CommandButtons\\BTNIB08.blp</v>
      </c>
      <c r="N235" s="181" t="s">
        <v>83</v>
      </c>
      <c r="O235" s="160" t="s">
        <v>98</v>
      </c>
      <c r="P235" s="28">
        <v>2</v>
      </c>
      <c r="Q235" s="28">
        <v>0</v>
      </c>
      <c r="R235" s="181" t="s">
        <v>83</v>
      </c>
      <c r="S235" s="181" t="s">
        <v>83</v>
      </c>
      <c r="T235" s="181" t="s">
        <v>83</v>
      </c>
      <c r="U235" s="181" t="s">
        <v>83</v>
      </c>
      <c r="V235" s="28"/>
      <c r="W235" s="28" t="s">
        <v>88</v>
      </c>
      <c r="X235" s="28">
        <v>0</v>
      </c>
      <c r="Y235" s="181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81" t="s">
        <v>83</v>
      </c>
      <c r="AF235" s="181" t="s">
        <v>83</v>
      </c>
      <c r="AG235" s="181" t="s">
        <v>83</v>
      </c>
      <c r="AH235" s="181" t="s">
        <v>83</v>
      </c>
      <c r="AI235" s="28">
        <v>1</v>
      </c>
      <c r="AJ235" s="28"/>
      <c r="AK235" s="28">
        <v>1</v>
      </c>
      <c r="AL235" s="28">
        <v>1</v>
      </c>
      <c r="AM235" s="181" t="s">
        <v>83</v>
      </c>
      <c r="AN235" s="28">
        <v>1</v>
      </c>
      <c r="AO235" s="28">
        <v>1</v>
      </c>
      <c r="AP235" s="28">
        <v>1</v>
      </c>
    </row>
    <row r="236" spans="1:42">
      <c r="A236" s="157"/>
      <c r="B236" s="28" t="str">
        <f>物品!B237</f>
        <v>IB09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老铁礼包</v>
      </c>
      <c r="I236" s="28">
        <f>VLOOKUP(B236,物品!B:CV,99,FALSE)</f>
        <v>0</v>
      </c>
      <c r="J236" s="159" t="str">
        <f t="shared" si="103"/>
        <v>老铁礼包</v>
      </c>
      <c r="K236" s="159">
        <f t="shared" si="104"/>
        <v>0</v>
      </c>
      <c r="L236" s="28"/>
      <c r="M236" s="160" t="str">
        <f>VLOOKUP(LEFT(RIGHT(B236,5),4),物品!B:CU,20,FALSE)</f>
        <v>ReplaceableTextures\\CommandButtons\\BTNIB09.blp</v>
      </c>
      <c r="N236" s="181" t="s">
        <v>83</v>
      </c>
      <c r="O236" s="160" t="s">
        <v>98</v>
      </c>
      <c r="P236" s="28">
        <v>0</v>
      </c>
      <c r="Q236" s="28">
        <v>0</v>
      </c>
      <c r="R236" s="181" t="s">
        <v>83</v>
      </c>
      <c r="S236" s="181" t="s">
        <v>83</v>
      </c>
      <c r="T236" s="181" t="s">
        <v>83</v>
      </c>
      <c r="U236" s="181" t="s">
        <v>83</v>
      </c>
      <c r="V236" s="28"/>
      <c r="W236" s="28" t="s">
        <v>88</v>
      </c>
      <c r="X236" s="28">
        <v>0</v>
      </c>
      <c r="Y236" s="181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81" t="s">
        <v>83</v>
      </c>
      <c r="AF236" s="181" t="s">
        <v>83</v>
      </c>
      <c r="AG236" s="181" t="s">
        <v>83</v>
      </c>
      <c r="AH236" s="181" t="s">
        <v>83</v>
      </c>
      <c r="AI236" s="28">
        <v>1</v>
      </c>
      <c r="AJ236" s="28"/>
      <c r="AK236" s="28">
        <v>1</v>
      </c>
      <c r="AL236" s="28">
        <v>1</v>
      </c>
      <c r="AM236" s="181" t="s">
        <v>83</v>
      </c>
      <c r="AN236" s="28">
        <v>1</v>
      </c>
      <c r="AO236" s="28">
        <v>1</v>
      </c>
      <c r="AP236" s="28">
        <v>1</v>
      </c>
    </row>
    <row r="237" spans="1:42">
      <c r="A237" s="157"/>
      <c r="B237" s="28" t="str">
        <f>物品!B239</f>
        <v>IB51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已领取公众号礼包</v>
      </c>
      <c r="I237" s="28" t="str">
        <f>VLOOKUP(B237,物品!B:CV,99,FALSE)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37" s="159" t="str">
        <f t="shared" si="103"/>
        <v>已领取公众号礼包</v>
      </c>
      <c r="K237" s="159" t="str">
        <f t="shared" si="104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37" s="28"/>
      <c r="M237" s="160" t="str">
        <f>VLOOKUP(LEFT(RIGHT(B237,5),4),物品!B:CU,20,FALSE)</f>
        <v>ReplaceableTextures\\commandButtons\\BTNLBUI01.blp</v>
      </c>
      <c r="N237" s="181" t="s">
        <v>83</v>
      </c>
      <c r="O237" s="160" t="s">
        <v>98</v>
      </c>
      <c r="P237" s="28">
        <v>0</v>
      </c>
      <c r="Q237" s="28">
        <v>0</v>
      </c>
      <c r="R237" s="181" t="s">
        <v>83</v>
      </c>
      <c r="S237" s="181" t="s">
        <v>83</v>
      </c>
      <c r="T237" s="181" t="s">
        <v>83</v>
      </c>
      <c r="U237" s="181" t="s">
        <v>83</v>
      </c>
      <c r="V237" s="28"/>
      <c r="W237" s="28" t="s">
        <v>88</v>
      </c>
      <c r="X237" s="28">
        <v>0</v>
      </c>
      <c r="Y237" s="181" t="s">
        <v>83</v>
      </c>
      <c r="Z237" s="28">
        <v>0</v>
      </c>
      <c r="AA237" s="28">
        <v>0</v>
      </c>
      <c r="AB237" s="28">
        <v>0</v>
      </c>
      <c r="AC237" s="28">
        <v>0</v>
      </c>
      <c r="AD237" s="28">
        <v>1</v>
      </c>
      <c r="AE237" s="181" t="s">
        <v>83</v>
      </c>
      <c r="AF237" s="181" t="s">
        <v>83</v>
      </c>
      <c r="AG237" s="181" t="s">
        <v>83</v>
      </c>
      <c r="AH237" s="181" t="s">
        <v>83</v>
      </c>
      <c r="AI237" s="28">
        <v>1</v>
      </c>
      <c r="AJ237" s="28"/>
      <c r="AK237" s="28">
        <v>1</v>
      </c>
      <c r="AL237" s="28">
        <v>1</v>
      </c>
      <c r="AM237" s="181" t="s">
        <v>83</v>
      </c>
      <c r="AN237" s="28">
        <v>1</v>
      </c>
      <c r="AO237" s="28">
        <v>1</v>
      </c>
      <c r="AP237" s="28">
        <v>1</v>
      </c>
    </row>
    <row r="238" spans="1:42">
      <c r="A238" s="157"/>
      <c r="B238" s="28" t="str">
        <f>物品!B240</f>
        <v>IB52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已领取入群礼包</v>
      </c>
      <c r="I238" s="28" t="str">
        <f>VLOOKUP(B238,物品!B:CV,99,FALSE)</f>
        <v>加入《|cff00ffcc全民封神|r》官方QQ群，即可获得入群礼包码！|n|n输入礼包码即可获得：|n金币+1000，每秒攻击+2，每秒业力+2|N|N|cff00ff00已领取该礼包</v>
      </c>
      <c r="J238" s="159" t="str">
        <f t="shared" ref="J238:J250" si="105">H238</f>
        <v>已领取入群礼包</v>
      </c>
      <c r="K238" s="159" t="str">
        <f t="shared" ref="K238:K250" si="106">I238</f>
        <v>加入《|cff00ffcc全民封神|r》官方QQ群，即可获得入群礼包码！|n|n输入礼包码即可获得：|n金币+1000，每秒攻击+2，每秒业力+2|N|N|cff00ff00已领取该礼包</v>
      </c>
      <c r="L238" s="28"/>
      <c r="M238" s="160" t="str">
        <f>VLOOKUP(LEFT(RIGHT(B238,5),4),物品!B:CU,20,FALSE)</f>
        <v>ReplaceableTextures\\commandButtons\\BTNLBUI01.blp</v>
      </c>
      <c r="N238" s="181" t="s">
        <v>83</v>
      </c>
      <c r="O238" s="160" t="s">
        <v>98</v>
      </c>
      <c r="P238" s="28">
        <v>1</v>
      </c>
      <c r="Q238" s="28">
        <v>0</v>
      </c>
      <c r="R238" s="181" t="s">
        <v>83</v>
      </c>
      <c r="S238" s="181" t="s">
        <v>83</v>
      </c>
      <c r="T238" s="181" t="s">
        <v>83</v>
      </c>
      <c r="U238" s="181" t="s">
        <v>83</v>
      </c>
      <c r="V238" s="28"/>
      <c r="W238" s="28" t="s">
        <v>88</v>
      </c>
      <c r="X238" s="28">
        <v>0</v>
      </c>
      <c r="Y238" s="181" t="s">
        <v>83</v>
      </c>
      <c r="Z238" s="28">
        <v>0</v>
      </c>
      <c r="AA238" s="28">
        <v>0</v>
      </c>
      <c r="AB238" s="28">
        <v>0</v>
      </c>
      <c r="AC238" s="28">
        <v>0</v>
      </c>
      <c r="AD238" s="28">
        <v>1</v>
      </c>
      <c r="AE238" s="181" t="s">
        <v>83</v>
      </c>
      <c r="AF238" s="181" t="s">
        <v>83</v>
      </c>
      <c r="AG238" s="181" t="s">
        <v>83</v>
      </c>
      <c r="AH238" s="181" t="s">
        <v>83</v>
      </c>
      <c r="AI238" s="28">
        <v>1</v>
      </c>
      <c r="AJ238" s="28"/>
      <c r="AK238" s="28">
        <v>1</v>
      </c>
      <c r="AL238" s="28">
        <v>1</v>
      </c>
      <c r="AM238" s="181" t="s">
        <v>83</v>
      </c>
      <c r="AN238" s="28">
        <v>1</v>
      </c>
      <c r="AO238" s="28">
        <v>1</v>
      </c>
      <c r="AP238" s="28">
        <v>1</v>
      </c>
    </row>
    <row r="239" spans="1:42">
      <c r="A239" s="157"/>
      <c r="B239" s="28" t="str">
        <f>物品!B241</f>
        <v>IB53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已领取拜年礼包</v>
      </c>
      <c r="I239" s="28" t="str">
        <f>VLOOKUP(B239,物品!B:CV,99,FALSE)</f>
        <v>|cff99ccff给与地图有效评论建议|r即可领取：|n每秒生命+100，每秒业力+2|n|n|r|cff808080地图等级达到3级可领取|r|N|N|cff00ff00已领取该礼包</v>
      </c>
      <c r="J239" s="159" t="str">
        <f t="shared" si="105"/>
        <v>已领取拜年礼包</v>
      </c>
      <c r="K239" s="159" t="str">
        <f t="shared" si="106"/>
        <v>|cff99ccff给与地图有效评论建议|r即可领取：|n每秒生命+100，每秒业力+2|n|n|r|cff808080地图等级达到3级可领取|r|N|N|cff00ff00已领取该礼包</v>
      </c>
      <c r="L239" s="28"/>
      <c r="M239" s="160" t="str">
        <f>VLOOKUP(LEFT(RIGHT(B239,5),4),物品!B:CU,20,FALSE)</f>
        <v>ReplaceableTextures\\commandButtons\\BTNLBUI01.blp</v>
      </c>
      <c r="N239" s="181" t="s">
        <v>83</v>
      </c>
      <c r="O239" s="160" t="s">
        <v>98</v>
      </c>
      <c r="P239" s="28">
        <v>2</v>
      </c>
      <c r="Q239" s="28">
        <v>0</v>
      </c>
      <c r="R239" s="181" t="s">
        <v>83</v>
      </c>
      <c r="S239" s="181" t="s">
        <v>83</v>
      </c>
      <c r="T239" s="181" t="s">
        <v>83</v>
      </c>
      <c r="U239" s="181" t="s">
        <v>83</v>
      </c>
      <c r="V239" s="28"/>
      <c r="W239" s="28" t="s">
        <v>88</v>
      </c>
      <c r="X239" s="28">
        <v>0</v>
      </c>
      <c r="Y239" s="181" t="s">
        <v>83</v>
      </c>
      <c r="Z239" s="28">
        <v>0</v>
      </c>
      <c r="AA239" s="28">
        <v>0</v>
      </c>
      <c r="AB239" s="28">
        <v>0</v>
      </c>
      <c r="AC239" s="28">
        <v>0</v>
      </c>
      <c r="AD239" s="28">
        <v>1</v>
      </c>
      <c r="AE239" s="181" t="s">
        <v>83</v>
      </c>
      <c r="AF239" s="181" t="s">
        <v>83</v>
      </c>
      <c r="AG239" s="181" t="s">
        <v>83</v>
      </c>
      <c r="AH239" s="181" t="s">
        <v>83</v>
      </c>
      <c r="AI239" s="28">
        <v>1</v>
      </c>
      <c r="AJ239" s="28"/>
      <c r="AK239" s="28">
        <v>1</v>
      </c>
      <c r="AL239" s="28">
        <v>1</v>
      </c>
      <c r="AM239" s="181" t="s">
        <v>83</v>
      </c>
      <c r="AN239" s="28">
        <v>1</v>
      </c>
      <c r="AO239" s="28">
        <v>1</v>
      </c>
      <c r="AP239" s="28">
        <v>1</v>
      </c>
    </row>
    <row r="240" spans="1:42">
      <c r="A240" s="157"/>
      <c r="B240" s="28" t="str">
        <f>物品!B242</f>
        <v>IB54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已领取收藏礼包</v>
      </c>
      <c r="I240" s="28" t="str">
        <f>VLOOKUP(B240,物品!B:CV,99,FALSE)</f>
        <v>|cff99ccff房间大厅界面点击右上角《|r|cffcc99ff收藏|r|cff99ccff》后可领取该礼包。|n|n|r属性：|n|cffffcc33攻击伤害+5%|n技能伤害+5%|r|N|N|cff00ff00已领取该礼包</v>
      </c>
      <c r="J240" s="159" t="str">
        <f t="shared" si="105"/>
        <v>已领取收藏礼包</v>
      </c>
      <c r="K240" s="159" t="str">
        <f t="shared" si="106"/>
        <v>|cff99ccff房间大厅界面点击右上角《|r|cffcc99ff收藏|r|cff99ccff》后可领取该礼包。|n|n|r属性：|n|cffffcc33攻击伤害+5%|n技能伤害+5%|r|N|N|cff00ff00已领取该礼包</v>
      </c>
      <c r="L240" s="28"/>
      <c r="M240" s="160" t="str">
        <f>VLOOKUP(LEFT(RIGHT(B240,5),4),物品!B:CU,20,FALSE)</f>
        <v>ReplaceableTextures\\commandButtons\\BTNLBUI01.blp</v>
      </c>
      <c r="N240" s="181" t="s">
        <v>83</v>
      </c>
      <c r="O240" s="160" t="s">
        <v>98</v>
      </c>
      <c r="P240" s="28">
        <v>3</v>
      </c>
      <c r="Q240" s="28">
        <v>0</v>
      </c>
      <c r="R240" s="181" t="s">
        <v>83</v>
      </c>
      <c r="S240" s="181" t="s">
        <v>83</v>
      </c>
      <c r="T240" s="181" t="s">
        <v>83</v>
      </c>
      <c r="U240" s="181" t="s">
        <v>83</v>
      </c>
      <c r="V240" s="28"/>
      <c r="W240" s="28" t="s">
        <v>88</v>
      </c>
      <c r="X240" s="28">
        <v>0</v>
      </c>
      <c r="Y240" s="181" t="s">
        <v>83</v>
      </c>
      <c r="Z240" s="28">
        <v>0</v>
      </c>
      <c r="AA240" s="28">
        <v>0</v>
      </c>
      <c r="AB240" s="28">
        <v>0</v>
      </c>
      <c r="AC240" s="28">
        <v>0</v>
      </c>
      <c r="AD240" s="28">
        <v>1</v>
      </c>
      <c r="AE240" s="181" t="s">
        <v>83</v>
      </c>
      <c r="AF240" s="181" t="s">
        <v>83</v>
      </c>
      <c r="AG240" s="181" t="s">
        <v>83</v>
      </c>
      <c r="AH240" s="181" t="s">
        <v>83</v>
      </c>
      <c r="AI240" s="28">
        <v>1</v>
      </c>
      <c r="AJ240" s="28"/>
      <c r="AK240" s="28">
        <v>1</v>
      </c>
      <c r="AL240" s="28">
        <v>1</v>
      </c>
      <c r="AM240" s="181" t="s">
        <v>83</v>
      </c>
      <c r="AN240" s="28">
        <v>1</v>
      </c>
      <c r="AO240" s="28">
        <v>1</v>
      </c>
      <c r="AP240" s="28">
        <v>1</v>
      </c>
    </row>
    <row r="241" spans="1:42">
      <c r="A241" s="157"/>
      <c r="B241" s="28" t="str">
        <f>物品!B243</f>
        <v>IB55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已领取重置版礼包</v>
      </c>
      <c r="I241" s="28" t="str">
        <f>VLOOKUP(B241,物品!B:CV,99,FALSE)</f>
        <v>|cff33ff00购买魔兽重制版可领取该礼包！|n|n|r奖励：|n招魂幡Lv3|N|N|cff00ff00已领取该礼包</v>
      </c>
      <c r="J241" s="159" t="str">
        <f t="shared" si="105"/>
        <v>已领取重置版礼包</v>
      </c>
      <c r="K241" s="159" t="str">
        <f t="shared" si="106"/>
        <v>|cff33ff00购买魔兽重制版可领取该礼包！|n|n|r奖励：|n招魂幡Lv3|N|N|cff00ff00已领取该礼包</v>
      </c>
      <c r="L241" s="28"/>
      <c r="M241" s="160" t="str">
        <f>VLOOKUP(LEFT(RIGHT(B241,5),4),物品!B:CU,20,FALSE)</f>
        <v>ReplaceableTextures\\commandButtons\\BTNLBUI01.blp</v>
      </c>
      <c r="N241" s="181" t="s">
        <v>83</v>
      </c>
      <c r="O241" s="160" t="s">
        <v>98</v>
      </c>
      <c r="P241" s="28">
        <v>0</v>
      </c>
      <c r="Q241" s="28">
        <v>1</v>
      </c>
      <c r="R241" s="181" t="s">
        <v>83</v>
      </c>
      <c r="S241" s="181" t="s">
        <v>83</v>
      </c>
      <c r="T241" s="181" t="s">
        <v>83</v>
      </c>
      <c r="U241" s="181" t="s">
        <v>83</v>
      </c>
      <c r="V241" s="28"/>
      <c r="W241" s="28" t="s">
        <v>88</v>
      </c>
      <c r="X241" s="28">
        <v>0</v>
      </c>
      <c r="Y241" s="181" t="s">
        <v>83</v>
      </c>
      <c r="Z241" s="28">
        <v>0</v>
      </c>
      <c r="AA241" s="28">
        <v>0</v>
      </c>
      <c r="AB241" s="28">
        <v>0</v>
      </c>
      <c r="AC241" s="28">
        <v>0</v>
      </c>
      <c r="AD241" s="28">
        <v>1</v>
      </c>
      <c r="AE241" s="181" t="s">
        <v>83</v>
      </c>
      <c r="AF241" s="181" t="s">
        <v>83</v>
      </c>
      <c r="AG241" s="181" t="s">
        <v>83</v>
      </c>
      <c r="AH241" s="181" t="s">
        <v>83</v>
      </c>
      <c r="AI241" s="28">
        <v>1</v>
      </c>
      <c r="AJ241" s="28"/>
      <c r="AK241" s="28">
        <v>1</v>
      </c>
      <c r="AL241" s="28">
        <v>1</v>
      </c>
      <c r="AM241" s="181" t="s">
        <v>83</v>
      </c>
      <c r="AN241" s="28">
        <v>1</v>
      </c>
      <c r="AO241" s="28">
        <v>1</v>
      </c>
      <c r="AP241" s="28">
        <v>1</v>
      </c>
    </row>
    <row r="242" spans="1:42">
      <c r="A242" s="157"/>
      <c r="B242" s="28" t="str">
        <f>物品!B244</f>
        <v>IB56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已领取公会福利</v>
      </c>
      <c r="I242" s="28" t="str">
        <f>VLOOKUP(B242,物品!B:CV,99,FALSE)</f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J242" s="159" t="str">
        <f t="shared" si="105"/>
        <v>已领取公会福利</v>
      </c>
      <c r="K242" s="159" t="str">
        <f t="shared" si="106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L242" s="28"/>
      <c r="M242" s="160" t="str">
        <f>VLOOKUP(LEFT(RIGHT(B242,5),4),物品!B:CU,20,FALSE)</f>
        <v>ReplaceableTextures\\commandButtons\\BTNLBUI01.blp</v>
      </c>
      <c r="N242" s="181" t="s">
        <v>83</v>
      </c>
      <c r="O242" s="160" t="s">
        <v>98</v>
      </c>
      <c r="P242" s="28">
        <v>1</v>
      </c>
      <c r="Q242" s="28">
        <v>1</v>
      </c>
      <c r="R242" s="181" t="s">
        <v>83</v>
      </c>
      <c r="S242" s="181" t="s">
        <v>83</v>
      </c>
      <c r="T242" s="181" t="s">
        <v>83</v>
      </c>
      <c r="U242" s="181" t="s">
        <v>83</v>
      </c>
      <c r="V242" s="28"/>
      <c r="W242" s="28" t="s">
        <v>88</v>
      </c>
      <c r="X242" s="28">
        <v>0</v>
      </c>
      <c r="Y242" s="181" t="s">
        <v>83</v>
      </c>
      <c r="Z242" s="28">
        <v>0</v>
      </c>
      <c r="AA242" s="28">
        <v>0</v>
      </c>
      <c r="AB242" s="28">
        <v>0</v>
      </c>
      <c r="AC242" s="28">
        <v>0</v>
      </c>
      <c r="AD242" s="28">
        <v>1</v>
      </c>
      <c r="AE242" s="181" t="s">
        <v>83</v>
      </c>
      <c r="AF242" s="181" t="s">
        <v>83</v>
      </c>
      <c r="AG242" s="181" t="s">
        <v>83</v>
      </c>
      <c r="AH242" s="181" t="s">
        <v>83</v>
      </c>
      <c r="AI242" s="28">
        <v>1</v>
      </c>
      <c r="AJ242" s="28"/>
      <c r="AK242" s="28">
        <v>1</v>
      </c>
      <c r="AL242" s="28">
        <v>1</v>
      </c>
      <c r="AM242" s="181" t="s">
        <v>83</v>
      </c>
      <c r="AN242" s="28">
        <v>1</v>
      </c>
      <c r="AO242" s="28">
        <v>1</v>
      </c>
      <c r="AP242" s="28">
        <v>1</v>
      </c>
    </row>
    <row r="243" spans="1:42">
      <c r="A243" s="157"/>
      <c r="B243" s="28" t="str">
        <f>物品!B245</f>
        <v>IB57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已领取星耀礼包</v>
      </c>
      <c r="I243" s="28" t="str">
        <f>VLOOKUP(B243,物品!B:CV,99,FALSE)</f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J243" s="159" t="str">
        <f t="shared" si="105"/>
        <v>已领取星耀礼包</v>
      </c>
      <c r="K243" s="159" t="str">
        <f t="shared" si="106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L243" s="28"/>
      <c r="M243" s="160" t="str">
        <f>VLOOKUP(LEFT(RIGHT(B243,5),4),物品!B:CU,20,FALSE)</f>
        <v>ReplaceableTextures\\commandButtons\\BTNLBUI01.blp</v>
      </c>
      <c r="N243" s="181" t="s">
        <v>83</v>
      </c>
      <c r="O243" s="160" t="s">
        <v>98</v>
      </c>
      <c r="P243" s="28">
        <v>2</v>
      </c>
      <c r="Q243" s="28">
        <v>1</v>
      </c>
      <c r="R243" s="181" t="s">
        <v>83</v>
      </c>
      <c r="S243" s="181" t="s">
        <v>83</v>
      </c>
      <c r="T243" s="181" t="s">
        <v>83</v>
      </c>
      <c r="U243" s="181" t="s">
        <v>83</v>
      </c>
      <c r="V243" s="28"/>
      <c r="W243" s="28" t="s">
        <v>88</v>
      </c>
      <c r="X243" s="28">
        <v>0</v>
      </c>
      <c r="Y243" s="181" t="s">
        <v>83</v>
      </c>
      <c r="Z243" s="28">
        <v>0</v>
      </c>
      <c r="AA243" s="28">
        <v>0</v>
      </c>
      <c r="AB243" s="28">
        <v>0</v>
      </c>
      <c r="AC243" s="28">
        <v>0</v>
      </c>
      <c r="AD243" s="28">
        <v>1</v>
      </c>
      <c r="AE243" s="181" t="s">
        <v>83</v>
      </c>
      <c r="AF243" s="181" t="s">
        <v>83</v>
      </c>
      <c r="AG243" s="181" t="s">
        <v>83</v>
      </c>
      <c r="AH243" s="181" t="s">
        <v>83</v>
      </c>
      <c r="AI243" s="28">
        <v>1</v>
      </c>
      <c r="AJ243" s="28"/>
      <c r="AK243" s="28">
        <v>1</v>
      </c>
      <c r="AL243" s="28">
        <v>1</v>
      </c>
      <c r="AM243" s="181" t="s">
        <v>83</v>
      </c>
      <c r="AN243" s="28">
        <v>1</v>
      </c>
      <c r="AO243" s="28">
        <v>1</v>
      </c>
      <c r="AP243" s="28">
        <v>1</v>
      </c>
    </row>
    <row r="244" spans="1:42">
      <c r="A244" s="157"/>
      <c r="B244" s="28" t="str">
        <f>物品!B246</f>
        <v>IB58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已领取魔芝RPG礼包</v>
      </c>
      <c r="I244" s="28" t="str">
        <f>VLOOKUP(B244,物品!B:CV,99,FALSE)</f>
        <v>|cff99ccff游戏中输入《|r|cff33ff00魔芝RPG|r|cff99ccff》领取本礼包！|r|n|n|r奖励：|n|cffffcc00练功房怪物数量+1|r|N|N|cff00ff00已领取该礼包</v>
      </c>
      <c r="J244" s="159" t="str">
        <f t="shared" si="105"/>
        <v>已领取魔芝RPG礼包</v>
      </c>
      <c r="K244" s="159" t="str">
        <f t="shared" si="106"/>
        <v>|cff99ccff游戏中输入《|r|cff33ff00魔芝RPG|r|cff99ccff》领取本礼包！|r|n|n|r奖励：|n|cffffcc00练功房怪物数量+1|r|N|N|cff00ff00已领取该礼包</v>
      </c>
      <c r="L244" s="28"/>
      <c r="M244" s="160" t="str">
        <f>VLOOKUP(LEFT(RIGHT(B244,5),4),物品!B:CU,20,FALSE)</f>
        <v>ReplaceableTextures\\commandButtons\\BTNLBUI01.blp</v>
      </c>
      <c r="N244" s="181" t="s">
        <v>83</v>
      </c>
      <c r="O244" s="160" t="s">
        <v>98</v>
      </c>
      <c r="P244" s="28">
        <v>2</v>
      </c>
      <c r="Q244" s="28">
        <v>0</v>
      </c>
      <c r="R244" s="181" t="s">
        <v>83</v>
      </c>
      <c r="S244" s="181" t="s">
        <v>83</v>
      </c>
      <c r="T244" s="181" t="s">
        <v>83</v>
      </c>
      <c r="U244" s="181" t="s">
        <v>83</v>
      </c>
      <c r="V244" s="28"/>
      <c r="W244" s="28" t="s">
        <v>88</v>
      </c>
      <c r="X244" s="28">
        <v>0</v>
      </c>
      <c r="Y244" s="181" t="s">
        <v>83</v>
      </c>
      <c r="Z244" s="28">
        <v>0</v>
      </c>
      <c r="AA244" s="28">
        <v>0</v>
      </c>
      <c r="AB244" s="28">
        <v>0</v>
      </c>
      <c r="AC244" s="28">
        <v>0</v>
      </c>
      <c r="AD244" s="28">
        <v>1</v>
      </c>
      <c r="AE244" s="181" t="s">
        <v>83</v>
      </c>
      <c r="AF244" s="181" t="s">
        <v>83</v>
      </c>
      <c r="AG244" s="181" t="s">
        <v>83</v>
      </c>
      <c r="AH244" s="181" t="s">
        <v>83</v>
      </c>
      <c r="AI244" s="28">
        <v>1</v>
      </c>
      <c r="AJ244" s="28"/>
      <c r="AK244" s="28">
        <v>1</v>
      </c>
      <c r="AL244" s="28">
        <v>1</v>
      </c>
      <c r="AM244" s="181" t="s">
        <v>83</v>
      </c>
      <c r="AN244" s="28">
        <v>1</v>
      </c>
      <c r="AO244" s="28">
        <v>1</v>
      </c>
      <c r="AP244" s="28">
        <v>1</v>
      </c>
    </row>
    <row r="245" spans="1:42">
      <c r="A245" s="157"/>
      <c r="B245" s="28" t="str">
        <f>物品!B247</f>
        <v>IB59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已领取老铁礼包</v>
      </c>
      <c r="I245" s="28" t="str">
        <f>VLOOKUP(B245,物品!B:CV,99,FALSE)</f>
        <v>|N|N|cff00ff00已领取该礼包</v>
      </c>
      <c r="J245" s="159" t="str">
        <f t="shared" si="105"/>
        <v>已领取老铁礼包</v>
      </c>
      <c r="K245" s="159" t="str">
        <f t="shared" si="106"/>
        <v>|N|N|cff00ff00已领取该礼包</v>
      </c>
      <c r="L245" s="28"/>
      <c r="M245" s="160" t="str">
        <f>VLOOKUP(LEFT(RIGHT(B245,5),4),物品!B:CU,20,FALSE)</f>
        <v>ReplaceableTextures\\commandButtons\\BTNLBUI01.blp</v>
      </c>
      <c r="N245" s="181" t="s">
        <v>83</v>
      </c>
      <c r="O245" s="160" t="s">
        <v>98</v>
      </c>
      <c r="P245" s="28">
        <v>0</v>
      </c>
      <c r="Q245" s="28">
        <v>0</v>
      </c>
      <c r="R245" s="181" t="s">
        <v>83</v>
      </c>
      <c r="S245" s="181" t="s">
        <v>83</v>
      </c>
      <c r="T245" s="181" t="s">
        <v>83</v>
      </c>
      <c r="U245" s="181" t="s">
        <v>83</v>
      </c>
      <c r="V245" s="28"/>
      <c r="W245" s="28" t="s">
        <v>88</v>
      </c>
      <c r="X245" s="28">
        <v>0</v>
      </c>
      <c r="Y245" s="181" t="s">
        <v>83</v>
      </c>
      <c r="Z245" s="28">
        <v>0</v>
      </c>
      <c r="AA245" s="28">
        <v>0</v>
      </c>
      <c r="AB245" s="28">
        <v>0</v>
      </c>
      <c r="AC245" s="28">
        <v>0</v>
      </c>
      <c r="AD245" s="28">
        <v>1</v>
      </c>
      <c r="AE245" s="181" t="s">
        <v>83</v>
      </c>
      <c r="AF245" s="181" t="s">
        <v>83</v>
      </c>
      <c r="AG245" s="181" t="s">
        <v>83</v>
      </c>
      <c r="AH245" s="181" t="s">
        <v>83</v>
      </c>
      <c r="AI245" s="28">
        <v>1</v>
      </c>
      <c r="AJ245" s="28"/>
      <c r="AK245" s="28">
        <v>1</v>
      </c>
      <c r="AL245" s="28">
        <v>1</v>
      </c>
      <c r="AM245" s="181" t="s">
        <v>83</v>
      </c>
      <c r="AN245" s="28">
        <v>1</v>
      </c>
      <c r="AO245" s="28">
        <v>1</v>
      </c>
      <c r="AP245" s="28">
        <v>1</v>
      </c>
    </row>
    <row r="246" spans="1:42">
      <c r="A246" s="157"/>
      <c r="B246" s="28" t="str">
        <f>物品!B248</f>
        <v>IY00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积分兑换-永久</v>
      </c>
      <c r="I246" s="28" t="str">
        <f>VLOOKUP(B246,物品!B:CV,99,FALSE)</f>
        <v>积分兑换-永久</v>
      </c>
      <c r="J246" s="159" t="str">
        <f t="shared" ref="J246" si="107">H246</f>
        <v>积分兑换-永久</v>
      </c>
      <c r="K246" s="159" t="str">
        <f t="shared" ref="K246" si="108">I246</f>
        <v>积分兑换-永久</v>
      </c>
      <c r="L246" s="28"/>
      <c r="M246" s="160" t="str">
        <f>VLOOKUP(LEFT(RIGHT(B246,5),4),物品!B:CU,20,FALSE)</f>
        <v>ReplaceableTextures\\CommandButtons\\BTNUIRK04.blp</v>
      </c>
      <c r="N246" s="181" t="s">
        <v>83</v>
      </c>
      <c r="O246" s="160" t="s">
        <v>98</v>
      </c>
      <c r="P246" s="28">
        <v>0</v>
      </c>
      <c r="Q246" s="28">
        <v>2</v>
      </c>
      <c r="R246" s="181" t="s">
        <v>83</v>
      </c>
      <c r="S246" s="181" t="s">
        <v>83</v>
      </c>
      <c r="T246" s="181" t="s">
        <v>83</v>
      </c>
      <c r="U246" s="181" t="s">
        <v>83</v>
      </c>
      <c r="V246" s="28"/>
      <c r="W246" s="28" t="s">
        <v>88</v>
      </c>
      <c r="X246" s="28">
        <v>0</v>
      </c>
      <c r="Y246" s="181" t="s">
        <v>83</v>
      </c>
      <c r="Z246" s="28">
        <v>0</v>
      </c>
      <c r="AA246" s="28">
        <v>0</v>
      </c>
      <c r="AB246" s="28">
        <v>0</v>
      </c>
      <c r="AC246" s="28">
        <v>1</v>
      </c>
      <c r="AD246" s="28">
        <v>1</v>
      </c>
      <c r="AE246" s="181" t="s">
        <v>83</v>
      </c>
      <c r="AF246" s="181" t="s">
        <v>83</v>
      </c>
      <c r="AG246" s="181" t="s">
        <v>83</v>
      </c>
      <c r="AH246" s="181" t="s">
        <v>83</v>
      </c>
      <c r="AI246" s="28">
        <v>1</v>
      </c>
      <c r="AJ246" s="28"/>
      <c r="AK246" s="28">
        <v>1</v>
      </c>
      <c r="AL246" s="28">
        <v>1</v>
      </c>
      <c r="AM246" s="181" t="s">
        <v>83</v>
      </c>
      <c r="AN246" s="28">
        <v>1</v>
      </c>
      <c r="AO246" s="28">
        <v>1</v>
      </c>
      <c r="AP246" s="28">
        <v>1</v>
      </c>
    </row>
    <row r="247" spans="1:42">
      <c r="A247" s="157"/>
      <c r="B247" s="28" t="str">
        <f>物品!B249</f>
        <v>IY1C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天乾地坤</v>
      </c>
      <c r="I247" s="28" t="str">
        <f>VLOOKUP(B247,物品!B:CV,99,FALSE)</f>
        <v>代码生成</v>
      </c>
      <c r="J247" s="159" t="str">
        <f t="shared" si="105"/>
        <v>天乾地坤</v>
      </c>
      <c r="K247" s="159" t="str">
        <f t="shared" si="106"/>
        <v>代码生成</v>
      </c>
      <c r="L247" s="28"/>
      <c r="M247" s="160" t="str">
        <f>VLOOKUP(LEFT(RIGHT(B247,5),4),物品!B:CU,20,FALSE)</f>
        <v>ReplaceableTextures\\CommandButtons\\BTNRY1C.blp</v>
      </c>
      <c r="N247" s="181" t="s">
        <v>83</v>
      </c>
      <c r="O247" s="160" t="s">
        <v>98</v>
      </c>
      <c r="P247" s="28">
        <v>2</v>
      </c>
      <c r="Q247" s="28">
        <v>0</v>
      </c>
      <c r="R247" s="181" t="s">
        <v>83</v>
      </c>
      <c r="S247" s="181" t="s">
        <v>83</v>
      </c>
      <c r="T247" s="181" t="s">
        <v>83</v>
      </c>
      <c r="U247" s="181" t="s">
        <v>83</v>
      </c>
      <c r="V247" s="28"/>
      <c r="W247" s="28" t="s">
        <v>88</v>
      </c>
      <c r="X247" s="28">
        <v>0</v>
      </c>
      <c r="Y247" s="181" t="s">
        <v>83</v>
      </c>
      <c r="Z247" s="28">
        <v>0</v>
      </c>
      <c r="AA247" s="28">
        <v>0</v>
      </c>
      <c r="AB247" s="28">
        <v>0</v>
      </c>
      <c r="AC247" s="28">
        <v>1</v>
      </c>
      <c r="AD247" s="28">
        <v>1</v>
      </c>
      <c r="AE247" s="181" t="s">
        <v>83</v>
      </c>
      <c r="AF247" s="181" t="s">
        <v>83</v>
      </c>
      <c r="AG247" s="181" t="s">
        <v>83</v>
      </c>
      <c r="AH247" s="181" t="s">
        <v>83</v>
      </c>
      <c r="AI247" s="28">
        <v>1</v>
      </c>
      <c r="AJ247" s="28"/>
      <c r="AK247" s="28">
        <v>1</v>
      </c>
      <c r="AL247" s="28">
        <v>1</v>
      </c>
      <c r="AM247" s="181" t="s">
        <v>83</v>
      </c>
      <c r="AN247" s="28">
        <v>1</v>
      </c>
      <c r="AO247" s="28">
        <v>1</v>
      </c>
      <c r="AP247" s="28">
        <v>1</v>
      </c>
    </row>
    <row r="248" spans="1:42">
      <c r="A248" s="157"/>
      <c r="B248" s="28" t="str">
        <f>物品!B250</f>
        <v>IY2C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五彩凰翼</v>
      </c>
      <c r="I248" s="28" t="str">
        <f>VLOOKUP(B248,物品!B:CV,99,FALSE)</f>
        <v>代码生成</v>
      </c>
      <c r="J248" s="159" t="str">
        <f t="shared" si="105"/>
        <v>五彩凰翼</v>
      </c>
      <c r="K248" s="159" t="str">
        <f t="shared" si="106"/>
        <v>代码生成</v>
      </c>
      <c r="L248" s="28"/>
      <c r="M248" s="160" t="str">
        <f>VLOOKUP(LEFT(RIGHT(B248,5),4),物品!B:CU,20,FALSE)</f>
        <v>ReplaceableTextures\\CommandButtons\\BTNRY2C.blp</v>
      </c>
      <c r="N248" s="181" t="s">
        <v>83</v>
      </c>
      <c r="O248" s="160" t="s">
        <v>98</v>
      </c>
      <c r="P248" s="28">
        <v>0</v>
      </c>
      <c r="Q248" s="28">
        <v>0</v>
      </c>
      <c r="R248" s="181" t="s">
        <v>83</v>
      </c>
      <c r="S248" s="181" t="s">
        <v>83</v>
      </c>
      <c r="T248" s="181" t="s">
        <v>83</v>
      </c>
      <c r="U248" s="181" t="s">
        <v>83</v>
      </c>
      <c r="V248" s="28"/>
      <c r="W248" s="28" t="s">
        <v>88</v>
      </c>
      <c r="X248" s="28">
        <v>0</v>
      </c>
      <c r="Y248" s="181" t="s">
        <v>83</v>
      </c>
      <c r="Z248" s="28">
        <v>0</v>
      </c>
      <c r="AA248" s="28">
        <v>0</v>
      </c>
      <c r="AB248" s="28">
        <v>0</v>
      </c>
      <c r="AC248" s="28">
        <v>1</v>
      </c>
      <c r="AD248" s="28">
        <v>1</v>
      </c>
      <c r="AE248" s="181" t="s">
        <v>83</v>
      </c>
      <c r="AF248" s="181" t="s">
        <v>83</v>
      </c>
      <c r="AG248" s="181" t="s">
        <v>83</v>
      </c>
      <c r="AH248" s="181" t="s">
        <v>83</v>
      </c>
      <c r="AI248" s="28">
        <v>1</v>
      </c>
      <c r="AJ248" s="28"/>
      <c r="AK248" s="28">
        <v>1</v>
      </c>
      <c r="AL248" s="28">
        <v>1</v>
      </c>
      <c r="AM248" s="181" t="s">
        <v>83</v>
      </c>
      <c r="AN248" s="28">
        <v>1</v>
      </c>
      <c r="AO248" s="28">
        <v>1</v>
      </c>
      <c r="AP248" s="28">
        <v>1</v>
      </c>
    </row>
    <row r="249" spans="1:42">
      <c r="A249" s="157"/>
      <c r="B249" s="28" t="str">
        <f>物品!B251</f>
        <v>IY3C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崩鸣刃</v>
      </c>
      <c r="I249" s="28" t="str">
        <f>VLOOKUP(B249,物品!B:CV,99,FALSE)</f>
        <v>代码生成</v>
      </c>
      <c r="J249" s="159" t="str">
        <f t="shared" si="105"/>
        <v>崩鸣刃</v>
      </c>
      <c r="K249" s="159" t="str">
        <f t="shared" si="106"/>
        <v>代码生成</v>
      </c>
      <c r="L249" s="28"/>
      <c r="M249" s="160" t="str">
        <f>VLOOKUP(LEFT(RIGHT(B249,5),4),物品!B:CU,20,FALSE)</f>
        <v>ReplaceableTextures\\CommandButtons\\BTNRY3C.blp</v>
      </c>
      <c r="N249" s="181" t="s">
        <v>83</v>
      </c>
      <c r="O249" s="160" t="s">
        <v>98</v>
      </c>
      <c r="P249" s="28">
        <v>3</v>
      </c>
      <c r="Q249" s="28">
        <v>0</v>
      </c>
      <c r="R249" s="181" t="s">
        <v>83</v>
      </c>
      <c r="S249" s="181" t="s">
        <v>83</v>
      </c>
      <c r="T249" s="181" t="s">
        <v>83</v>
      </c>
      <c r="U249" s="181" t="s">
        <v>83</v>
      </c>
      <c r="V249" s="28"/>
      <c r="W249" s="28" t="s">
        <v>88</v>
      </c>
      <c r="X249" s="28">
        <v>0</v>
      </c>
      <c r="Y249" s="181" t="s">
        <v>83</v>
      </c>
      <c r="Z249" s="28">
        <v>0</v>
      </c>
      <c r="AA249" s="28">
        <v>0</v>
      </c>
      <c r="AB249" s="28">
        <v>0</v>
      </c>
      <c r="AC249" s="28">
        <v>1</v>
      </c>
      <c r="AD249" s="28">
        <v>1</v>
      </c>
      <c r="AE249" s="181" t="s">
        <v>83</v>
      </c>
      <c r="AF249" s="181" t="s">
        <v>83</v>
      </c>
      <c r="AG249" s="181" t="s">
        <v>83</v>
      </c>
      <c r="AH249" s="181" t="s">
        <v>83</v>
      </c>
      <c r="AI249" s="28">
        <v>1</v>
      </c>
      <c r="AJ249" s="28"/>
      <c r="AK249" s="28">
        <v>1</v>
      </c>
      <c r="AL249" s="28">
        <v>1</v>
      </c>
      <c r="AM249" s="181" t="s">
        <v>83</v>
      </c>
      <c r="AN249" s="28">
        <v>1</v>
      </c>
      <c r="AO249" s="28">
        <v>1</v>
      </c>
      <c r="AP249" s="28">
        <v>1</v>
      </c>
    </row>
    <row r="250" spans="1:42">
      <c r="A250" s="157"/>
      <c r="B250" s="28" t="str">
        <f>物品!B252</f>
        <v>IY4C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俯瞰寰宇</v>
      </c>
      <c r="I250" s="28" t="str">
        <f>VLOOKUP(B250,物品!B:CV,99,FALSE)</f>
        <v>代码生成</v>
      </c>
      <c r="J250" s="159" t="str">
        <f t="shared" si="105"/>
        <v>俯瞰寰宇</v>
      </c>
      <c r="K250" s="159" t="str">
        <f t="shared" si="106"/>
        <v>代码生成</v>
      </c>
      <c r="L250" s="28"/>
      <c r="M250" s="160" t="str">
        <f>VLOOKUP(LEFT(RIGHT(B250,5),4),物品!B:CU,20,FALSE)</f>
        <v>ReplaceableTextures\\CommandButtons\\BTNRY4C.blp</v>
      </c>
      <c r="N250" s="181" t="s">
        <v>83</v>
      </c>
      <c r="O250" s="160" t="s">
        <v>98</v>
      </c>
      <c r="P250" s="28">
        <v>1</v>
      </c>
      <c r="Q250" s="28">
        <v>0</v>
      </c>
      <c r="R250" s="181" t="s">
        <v>83</v>
      </c>
      <c r="S250" s="181" t="s">
        <v>83</v>
      </c>
      <c r="T250" s="181" t="s">
        <v>83</v>
      </c>
      <c r="U250" s="181" t="s">
        <v>83</v>
      </c>
      <c r="V250" s="28"/>
      <c r="W250" s="28" t="s">
        <v>88</v>
      </c>
      <c r="X250" s="28">
        <v>0</v>
      </c>
      <c r="Y250" s="181" t="s">
        <v>83</v>
      </c>
      <c r="Z250" s="28">
        <v>0</v>
      </c>
      <c r="AA250" s="28">
        <v>0</v>
      </c>
      <c r="AB250" s="28">
        <v>0</v>
      </c>
      <c r="AC250" s="28">
        <v>1</v>
      </c>
      <c r="AD250" s="28">
        <v>1</v>
      </c>
      <c r="AE250" s="181" t="s">
        <v>83</v>
      </c>
      <c r="AF250" s="181" t="s">
        <v>83</v>
      </c>
      <c r="AG250" s="181" t="s">
        <v>83</v>
      </c>
      <c r="AH250" s="181" t="s">
        <v>83</v>
      </c>
      <c r="AI250" s="28">
        <v>1</v>
      </c>
      <c r="AJ250" s="28"/>
      <c r="AK250" s="28">
        <v>1</v>
      </c>
      <c r="AL250" s="28">
        <v>1</v>
      </c>
      <c r="AM250" s="181" t="s">
        <v>83</v>
      </c>
      <c r="AN250" s="28">
        <v>1</v>
      </c>
      <c r="AO250" s="28">
        <v>1</v>
      </c>
      <c r="AP250" s="28">
        <v>1</v>
      </c>
    </row>
    <row r="251" spans="1:42">
      <c r="A251" s="157"/>
      <c r="B251" s="28" t="str">
        <f>物品!B253</f>
        <v>IF01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附魔</v>
      </c>
      <c r="I251" s="28">
        <f>VLOOKUP(B251,物品!B:CV,99,FALSE)</f>
        <v>0</v>
      </c>
      <c r="J251" s="159" t="str">
        <f t="shared" ref="J251" si="109">H251</f>
        <v>附魔</v>
      </c>
      <c r="K251" s="159">
        <f t="shared" ref="K251" si="110">I251</f>
        <v>0</v>
      </c>
      <c r="L251" s="28"/>
      <c r="M251" s="160">
        <f>VLOOKUP(LEFT(RIGHT(B251,5),4),物品!B:CU,20,FALSE)</f>
        <v>0</v>
      </c>
      <c r="N251" s="181" t="s">
        <v>83</v>
      </c>
      <c r="O251" s="160" t="s">
        <v>98</v>
      </c>
      <c r="P251" s="28">
        <v>0</v>
      </c>
      <c r="Q251" s="28">
        <v>0</v>
      </c>
      <c r="R251" s="181" t="s">
        <v>83</v>
      </c>
      <c r="S251" s="181" t="s">
        <v>83</v>
      </c>
      <c r="T251" s="181" t="s">
        <v>83</v>
      </c>
      <c r="U251" s="181" t="s">
        <v>83</v>
      </c>
      <c r="V251" s="28"/>
      <c r="W251" s="28" t="s">
        <v>88</v>
      </c>
      <c r="X251" s="28">
        <v>0</v>
      </c>
      <c r="Y251" s="181" t="s">
        <v>83</v>
      </c>
      <c r="Z251" s="28">
        <v>0</v>
      </c>
      <c r="AA251" s="28">
        <v>0</v>
      </c>
      <c r="AB251" s="28">
        <v>0</v>
      </c>
      <c r="AC251" s="28">
        <v>1</v>
      </c>
      <c r="AD251" s="28">
        <v>1</v>
      </c>
      <c r="AE251" s="181" t="s">
        <v>83</v>
      </c>
      <c r="AF251" s="181" t="s">
        <v>83</v>
      </c>
      <c r="AG251" s="181" t="s">
        <v>83</v>
      </c>
      <c r="AH251" s="181" t="s">
        <v>83</v>
      </c>
      <c r="AI251" s="28">
        <v>1</v>
      </c>
      <c r="AJ251" s="28"/>
      <c r="AK251" s="28">
        <v>1</v>
      </c>
      <c r="AL251" s="28">
        <v>1</v>
      </c>
      <c r="AM251" s="181" t="s">
        <v>83</v>
      </c>
      <c r="AN251" s="28">
        <v>1</v>
      </c>
      <c r="AO251" s="28">
        <v>1</v>
      </c>
      <c r="AP251" s="28">
        <v>1</v>
      </c>
    </row>
    <row r="252" spans="1:42">
      <c r="A252" s="157"/>
      <c r="B252" s="28" t="str">
        <f>物品!B254</f>
        <v>IF02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附魔</v>
      </c>
      <c r="I252" s="28">
        <f>VLOOKUP(B252,物品!B:CV,99,FALSE)</f>
        <v>0</v>
      </c>
      <c r="J252" s="159" t="str">
        <f t="shared" ref="J252:J277" si="111">H252</f>
        <v>附魔</v>
      </c>
      <c r="K252" s="159">
        <f t="shared" ref="K252:K277" si="112">I252</f>
        <v>0</v>
      </c>
      <c r="L252" s="28"/>
      <c r="M252" s="160">
        <f>VLOOKUP(LEFT(RIGHT(B252,5),4),物品!B:CU,20,FALSE)</f>
        <v>0</v>
      </c>
      <c r="N252" s="181" t="s">
        <v>83</v>
      </c>
      <c r="O252" s="160" t="s">
        <v>98</v>
      </c>
      <c r="P252" s="28">
        <v>0</v>
      </c>
      <c r="Q252" s="28">
        <v>0</v>
      </c>
      <c r="R252" s="181" t="s">
        <v>83</v>
      </c>
      <c r="S252" s="181" t="s">
        <v>83</v>
      </c>
      <c r="T252" s="181" t="s">
        <v>83</v>
      </c>
      <c r="U252" s="181" t="s">
        <v>83</v>
      </c>
      <c r="V252" s="28"/>
      <c r="W252" s="28" t="s">
        <v>88</v>
      </c>
      <c r="X252" s="28">
        <v>0</v>
      </c>
      <c r="Y252" s="181" t="s">
        <v>83</v>
      </c>
      <c r="Z252" s="28">
        <v>0</v>
      </c>
      <c r="AA252" s="28">
        <v>0</v>
      </c>
      <c r="AB252" s="28">
        <v>0</v>
      </c>
      <c r="AC252" s="28">
        <v>1</v>
      </c>
      <c r="AD252" s="28">
        <v>1</v>
      </c>
      <c r="AE252" s="181" t="s">
        <v>83</v>
      </c>
      <c r="AF252" s="181" t="s">
        <v>83</v>
      </c>
      <c r="AG252" s="181" t="s">
        <v>83</v>
      </c>
      <c r="AH252" s="181" t="s">
        <v>83</v>
      </c>
      <c r="AI252" s="28">
        <v>1</v>
      </c>
      <c r="AJ252" s="28"/>
      <c r="AK252" s="28">
        <v>1</v>
      </c>
      <c r="AL252" s="28">
        <v>1</v>
      </c>
      <c r="AM252" s="181" t="s">
        <v>83</v>
      </c>
      <c r="AN252" s="28">
        <v>1</v>
      </c>
      <c r="AO252" s="28">
        <v>1</v>
      </c>
      <c r="AP252" s="28">
        <v>1</v>
      </c>
    </row>
    <row r="253" spans="1:42">
      <c r="A253" s="157"/>
      <c r="B253" s="28" t="str">
        <f>物品!B255</f>
        <v>IF03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附魔</v>
      </c>
      <c r="I253" s="28">
        <f>VLOOKUP(B253,物品!B:CV,99,FALSE)</f>
        <v>0</v>
      </c>
      <c r="J253" s="159" t="str">
        <f t="shared" si="111"/>
        <v>附魔</v>
      </c>
      <c r="K253" s="159">
        <f t="shared" si="112"/>
        <v>0</v>
      </c>
      <c r="L253" s="28"/>
      <c r="M253" s="160">
        <f>VLOOKUP(LEFT(RIGHT(B253,5),4),物品!B:CU,20,FALSE)</f>
        <v>0</v>
      </c>
      <c r="N253" s="181" t="s">
        <v>83</v>
      </c>
      <c r="O253" s="160" t="s">
        <v>98</v>
      </c>
      <c r="P253" s="28">
        <v>0</v>
      </c>
      <c r="Q253" s="28">
        <v>0</v>
      </c>
      <c r="R253" s="181" t="s">
        <v>83</v>
      </c>
      <c r="S253" s="181" t="s">
        <v>83</v>
      </c>
      <c r="T253" s="181" t="s">
        <v>83</v>
      </c>
      <c r="U253" s="181" t="s">
        <v>83</v>
      </c>
      <c r="V253" s="28"/>
      <c r="W253" s="28" t="s">
        <v>88</v>
      </c>
      <c r="X253" s="28">
        <v>0</v>
      </c>
      <c r="Y253" s="181" t="s">
        <v>83</v>
      </c>
      <c r="Z253" s="28">
        <v>0</v>
      </c>
      <c r="AA253" s="28">
        <v>0</v>
      </c>
      <c r="AB253" s="28">
        <v>0</v>
      </c>
      <c r="AC253" s="28">
        <v>1</v>
      </c>
      <c r="AD253" s="28">
        <v>1</v>
      </c>
      <c r="AE253" s="181" t="s">
        <v>83</v>
      </c>
      <c r="AF253" s="181" t="s">
        <v>83</v>
      </c>
      <c r="AG253" s="181" t="s">
        <v>83</v>
      </c>
      <c r="AH253" s="181" t="s">
        <v>83</v>
      </c>
      <c r="AI253" s="28">
        <v>1</v>
      </c>
      <c r="AJ253" s="28"/>
      <c r="AK253" s="28">
        <v>1</v>
      </c>
      <c r="AL253" s="28">
        <v>1</v>
      </c>
      <c r="AM253" s="181" t="s">
        <v>83</v>
      </c>
      <c r="AN253" s="28">
        <v>1</v>
      </c>
      <c r="AO253" s="28">
        <v>1</v>
      </c>
      <c r="AP253" s="28">
        <v>1</v>
      </c>
    </row>
    <row r="254" spans="1:42">
      <c r="A254" s="157"/>
      <c r="B254" s="28" t="str">
        <f>物品!B256</f>
        <v>IF04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附魔</v>
      </c>
      <c r="I254" s="28">
        <f>VLOOKUP(B254,物品!B:CV,99,FALSE)</f>
        <v>0</v>
      </c>
      <c r="J254" s="159" t="str">
        <f t="shared" si="111"/>
        <v>附魔</v>
      </c>
      <c r="K254" s="159">
        <f t="shared" si="112"/>
        <v>0</v>
      </c>
      <c r="L254" s="28"/>
      <c r="M254" s="160">
        <f>VLOOKUP(LEFT(RIGHT(B254,5),4),物品!B:CU,20,FALSE)</f>
        <v>0</v>
      </c>
      <c r="N254" s="181" t="s">
        <v>83</v>
      </c>
      <c r="O254" s="160" t="s">
        <v>98</v>
      </c>
      <c r="P254" s="28">
        <v>0</v>
      </c>
      <c r="Q254" s="28">
        <v>0</v>
      </c>
      <c r="R254" s="181" t="s">
        <v>83</v>
      </c>
      <c r="S254" s="181" t="s">
        <v>83</v>
      </c>
      <c r="T254" s="181" t="s">
        <v>83</v>
      </c>
      <c r="U254" s="181" t="s">
        <v>83</v>
      </c>
      <c r="V254" s="28"/>
      <c r="W254" s="28" t="s">
        <v>88</v>
      </c>
      <c r="X254" s="28">
        <v>0</v>
      </c>
      <c r="Y254" s="181" t="s">
        <v>83</v>
      </c>
      <c r="Z254" s="28">
        <v>0</v>
      </c>
      <c r="AA254" s="28">
        <v>0</v>
      </c>
      <c r="AB254" s="28">
        <v>0</v>
      </c>
      <c r="AC254" s="28">
        <v>1</v>
      </c>
      <c r="AD254" s="28">
        <v>1</v>
      </c>
      <c r="AE254" s="181" t="s">
        <v>83</v>
      </c>
      <c r="AF254" s="181" t="s">
        <v>83</v>
      </c>
      <c r="AG254" s="181" t="s">
        <v>83</v>
      </c>
      <c r="AH254" s="181" t="s">
        <v>83</v>
      </c>
      <c r="AI254" s="28">
        <v>1</v>
      </c>
      <c r="AJ254" s="28"/>
      <c r="AK254" s="28">
        <v>1</v>
      </c>
      <c r="AL254" s="28">
        <v>1</v>
      </c>
      <c r="AM254" s="181" t="s">
        <v>83</v>
      </c>
      <c r="AN254" s="28">
        <v>1</v>
      </c>
      <c r="AO254" s="28">
        <v>1</v>
      </c>
      <c r="AP254" s="28">
        <v>1</v>
      </c>
    </row>
    <row r="255" spans="1:42">
      <c r="A255" s="157"/>
      <c r="B255" s="28" t="str">
        <f>物品!B257</f>
        <v>IF05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附魔</v>
      </c>
      <c r="I255" s="28">
        <f>VLOOKUP(B255,物品!B:CV,99,FALSE)</f>
        <v>0</v>
      </c>
      <c r="J255" s="159" t="str">
        <f t="shared" si="111"/>
        <v>附魔</v>
      </c>
      <c r="K255" s="159">
        <f t="shared" si="112"/>
        <v>0</v>
      </c>
      <c r="L255" s="28"/>
      <c r="M255" s="160">
        <f>VLOOKUP(LEFT(RIGHT(B255,5),4),物品!B:CU,20,FALSE)</f>
        <v>0</v>
      </c>
      <c r="N255" s="181" t="s">
        <v>83</v>
      </c>
      <c r="O255" s="160" t="s">
        <v>98</v>
      </c>
      <c r="P255" s="28">
        <v>0</v>
      </c>
      <c r="Q255" s="28">
        <v>0</v>
      </c>
      <c r="R255" s="181" t="s">
        <v>83</v>
      </c>
      <c r="S255" s="181" t="s">
        <v>83</v>
      </c>
      <c r="T255" s="181" t="s">
        <v>83</v>
      </c>
      <c r="U255" s="181" t="s">
        <v>83</v>
      </c>
      <c r="V255" s="28"/>
      <c r="W255" s="28" t="s">
        <v>88</v>
      </c>
      <c r="X255" s="28">
        <v>0</v>
      </c>
      <c r="Y255" s="181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81" t="s">
        <v>83</v>
      </c>
      <c r="AF255" s="181" t="s">
        <v>83</v>
      </c>
      <c r="AG255" s="181" t="s">
        <v>83</v>
      </c>
      <c r="AH255" s="181" t="s">
        <v>83</v>
      </c>
      <c r="AI255" s="28">
        <v>1</v>
      </c>
      <c r="AJ255" s="28"/>
      <c r="AK255" s="28">
        <v>1</v>
      </c>
      <c r="AL255" s="28">
        <v>1</v>
      </c>
      <c r="AM255" s="181" t="s">
        <v>83</v>
      </c>
      <c r="AN255" s="28">
        <v>1</v>
      </c>
      <c r="AO255" s="28">
        <v>1</v>
      </c>
      <c r="AP255" s="28">
        <v>1</v>
      </c>
    </row>
    <row r="256" spans="1:42">
      <c r="A256" s="157"/>
      <c r="B256" s="28" t="str">
        <f>物品!B258</f>
        <v>IF06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附魔</v>
      </c>
      <c r="I256" s="28">
        <f>VLOOKUP(B256,物品!B:CV,99,FALSE)</f>
        <v>0</v>
      </c>
      <c r="J256" s="159" t="str">
        <f t="shared" si="111"/>
        <v>附魔</v>
      </c>
      <c r="K256" s="159">
        <f t="shared" si="112"/>
        <v>0</v>
      </c>
      <c r="L256" s="28"/>
      <c r="M256" s="160">
        <f>VLOOKUP(LEFT(RIGHT(B256,5),4),物品!B:CU,20,FALSE)</f>
        <v>0</v>
      </c>
      <c r="N256" s="181" t="s">
        <v>83</v>
      </c>
      <c r="O256" s="160" t="s">
        <v>98</v>
      </c>
      <c r="P256" s="28">
        <v>0</v>
      </c>
      <c r="Q256" s="28">
        <v>0</v>
      </c>
      <c r="R256" s="181" t="s">
        <v>83</v>
      </c>
      <c r="S256" s="181" t="s">
        <v>83</v>
      </c>
      <c r="T256" s="181" t="s">
        <v>83</v>
      </c>
      <c r="U256" s="181" t="s">
        <v>83</v>
      </c>
      <c r="V256" s="28"/>
      <c r="W256" s="28" t="s">
        <v>88</v>
      </c>
      <c r="X256" s="28">
        <v>0</v>
      </c>
      <c r="Y256" s="181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81" t="s">
        <v>83</v>
      </c>
      <c r="AF256" s="181" t="s">
        <v>83</v>
      </c>
      <c r="AG256" s="181" t="s">
        <v>83</v>
      </c>
      <c r="AH256" s="181" t="s">
        <v>83</v>
      </c>
      <c r="AI256" s="28">
        <v>1</v>
      </c>
      <c r="AJ256" s="28"/>
      <c r="AK256" s="28">
        <v>1</v>
      </c>
      <c r="AL256" s="28">
        <v>1</v>
      </c>
      <c r="AM256" s="181" t="s">
        <v>83</v>
      </c>
      <c r="AN256" s="28">
        <v>1</v>
      </c>
      <c r="AO256" s="28">
        <v>1</v>
      </c>
      <c r="AP256" s="28">
        <v>1</v>
      </c>
    </row>
    <row r="257" spans="1:42">
      <c r="A257" s="157"/>
      <c r="B257" s="28" t="str">
        <f>物品!B259</f>
        <v>IF07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附魔</v>
      </c>
      <c r="I257" s="28">
        <f>VLOOKUP(B257,物品!B:CV,99,FALSE)</f>
        <v>0</v>
      </c>
      <c r="J257" s="159" t="str">
        <f t="shared" si="111"/>
        <v>附魔</v>
      </c>
      <c r="K257" s="159">
        <f t="shared" si="112"/>
        <v>0</v>
      </c>
      <c r="L257" s="28"/>
      <c r="M257" s="160">
        <f>VLOOKUP(LEFT(RIGHT(B257,5),4),物品!B:CU,20,FALSE)</f>
        <v>0</v>
      </c>
      <c r="N257" s="181" t="s">
        <v>83</v>
      </c>
      <c r="O257" s="160" t="s">
        <v>98</v>
      </c>
      <c r="P257" s="28">
        <v>0</v>
      </c>
      <c r="Q257" s="28">
        <v>0</v>
      </c>
      <c r="R257" s="181" t="s">
        <v>83</v>
      </c>
      <c r="S257" s="181" t="s">
        <v>83</v>
      </c>
      <c r="T257" s="181" t="s">
        <v>83</v>
      </c>
      <c r="U257" s="181" t="s">
        <v>83</v>
      </c>
      <c r="V257" s="28"/>
      <c r="W257" s="28" t="s">
        <v>88</v>
      </c>
      <c r="X257" s="28">
        <v>0</v>
      </c>
      <c r="Y257" s="181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81" t="s">
        <v>83</v>
      </c>
      <c r="AF257" s="181" t="s">
        <v>83</v>
      </c>
      <c r="AG257" s="181" t="s">
        <v>83</v>
      </c>
      <c r="AH257" s="181" t="s">
        <v>83</v>
      </c>
      <c r="AI257" s="28">
        <v>1</v>
      </c>
      <c r="AJ257" s="28"/>
      <c r="AK257" s="28">
        <v>1</v>
      </c>
      <c r="AL257" s="28">
        <v>1</v>
      </c>
      <c r="AM257" s="181" t="s">
        <v>83</v>
      </c>
      <c r="AN257" s="28">
        <v>1</v>
      </c>
      <c r="AO257" s="28">
        <v>1</v>
      </c>
      <c r="AP257" s="28">
        <v>1</v>
      </c>
    </row>
    <row r="258" spans="1:42">
      <c r="A258" s="157"/>
      <c r="B258" s="28" t="str">
        <f>物品!B260</f>
        <v>IF08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附魔</v>
      </c>
      <c r="I258" s="28">
        <f>VLOOKUP(B258,物品!B:CV,99,FALSE)</f>
        <v>0</v>
      </c>
      <c r="J258" s="159" t="str">
        <f t="shared" si="111"/>
        <v>附魔</v>
      </c>
      <c r="K258" s="159">
        <f t="shared" si="112"/>
        <v>0</v>
      </c>
      <c r="L258" s="28"/>
      <c r="M258" s="160">
        <f>VLOOKUP(LEFT(RIGHT(B258,5),4),物品!B:CU,20,FALSE)</f>
        <v>0</v>
      </c>
      <c r="N258" s="181" t="s">
        <v>83</v>
      </c>
      <c r="O258" s="160" t="s">
        <v>98</v>
      </c>
      <c r="P258" s="28">
        <v>0</v>
      </c>
      <c r="Q258" s="28">
        <v>0</v>
      </c>
      <c r="R258" s="181" t="s">
        <v>83</v>
      </c>
      <c r="S258" s="181" t="s">
        <v>83</v>
      </c>
      <c r="T258" s="181" t="s">
        <v>83</v>
      </c>
      <c r="U258" s="181" t="s">
        <v>83</v>
      </c>
      <c r="V258" s="28"/>
      <c r="W258" s="28" t="s">
        <v>88</v>
      </c>
      <c r="X258" s="28">
        <v>0</v>
      </c>
      <c r="Y258" s="181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81" t="s">
        <v>83</v>
      </c>
      <c r="AF258" s="181" t="s">
        <v>83</v>
      </c>
      <c r="AG258" s="181" t="s">
        <v>83</v>
      </c>
      <c r="AH258" s="181" t="s">
        <v>83</v>
      </c>
      <c r="AI258" s="28">
        <v>1</v>
      </c>
      <c r="AJ258" s="28"/>
      <c r="AK258" s="28">
        <v>1</v>
      </c>
      <c r="AL258" s="28">
        <v>1</v>
      </c>
      <c r="AM258" s="181" t="s">
        <v>83</v>
      </c>
      <c r="AN258" s="28">
        <v>1</v>
      </c>
      <c r="AO258" s="28">
        <v>1</v>
      </c>
      <c r="AP258" s="28">
        <v>1</v>
      </c>
    </row>
    <row r="259" spans="1:42">
      <c r="A259" s="157"/>
      <c r="B259" s="28" t="str">
        <f>物品!B261</f>
        <v>IF09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附魔</v>
      </c>
      <c r="I259" s="28">
        <f>VLOOKUP(B259,物品!B:CV,99,FALSE)</f>
        <v>0</v>
      </c>
      <c r="J259" s="159" t="str">
        <f t="shared" si="111"/>
        <v>附魔</v>
      </c>
      <c r="K259" s="159">
        <f t="shared" si="112"/>
        <v>0</v>
      </c>
      <c r="L259" s="28"/>
      <c r="M259" s="160">
        <f>VLOOKUP(LEFT(RIGHT(B259,5),4),物品!B:CU,20,FALSE)</f>
        <v>0</v>
      </c>
      <c r="N259" s="181" t="s">
        <v>83</v>
      </c>
      <c r="O259" s="160" t="s">
        <v>98</v>
      </c>
      <c r="P259" s="28">
        <v>0</v>
      </c>
      <c r="Q259" s="28">
        <v>0</v>
      </c>
      <c r="R259" s="181" t="s">
        <v>83</v>
      </c>
      <c r="S259" s="181" t="s">
        <v>83</v>
      </c>
      <c r="T259" s="181" t="s">
        <v>83</v>
      </c>
      <c r="U259" s="181" t="s">
        <v>83</v>
      </c>
      <c r="V259" s="28"/>
      <c r="W259" s="28" t="s">
        <v>88</v>
      </c>
      <c r="X259" s="28">
        <v>0</v>
      </c>
      <c r="Y259" s="181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81" t="s">
        <v>83</v>
      </c>
      <c r="AF259" s="181" t="s">
        <v>83</v>
      </c>
      <c r="AG259" s="181" t="s">
        <v>83</v>
      </c>
      <c r="AH259" s="181" t="s">
        <v>83</v>
      </c>
      <c r="AI259" s="28">
        <v>1</v>
      </c>
      <c r="AJ259" s="28"/>
      <c r="AK259" s="28">
        <v>1</v>
      </c>
      <c r="AL259" s="28">
        <v>1</v>
      </c>
      <c r="AM259" s="181" t="s">
        <v>83</v>
      </c>
      <c r="AN259" s="28">
        <v>1</v>
      </c>
      <c r="AO259" s="28">
        <v>1</v>
      </c>
      <c r="AP259" s="28">
        <v>1</v>
      </c>
    </row>
    <row r="260" spans="1:42">
      <c r="A260" s="157"/>
      <c r="B260" s="28" t="str">
        <f>物品!B262</f>
        <v>IF10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附魔</v>
      </c>
      <c r="I260" s="28">
        <f>VLOOKUP(B260,物品!B:CV,99,FALSE)</f>
        <v>0</v>
      </c>
      <c r="J260" s="159" t="str">
        <f t="shared" si="111"/>
        <v>附魔</v>
      </c>
      <c r="K260" s="159">
        <f t="shared" si="112"/>
        <v>0</v>
      </c>
      <c r="L260" s="28"/>
      <c r="M260" s="160">
        <f>VLOOKUP(LEFT(RIGHT(B260,5),4),物品!B:CU,20,FALSE)</f>
        <v>0</v>
      </c>
      <c r="N260" s="181" t="s">
        <v>83</v>
      </c>
      <c r="O260" s="160" t="s">
        <v>98</v>
      </c>
      <c r="P260" s="28">
        <v>0</v>
      </c>
      <c r="Q260" s="28">
        <v>0</v>
      </c>
      <c r="R260" s="181" t="s">
        <v>83</v>
      </c>
      <c r="S260" s="181" t="s">
        <v>83</v>
      </c>
      <c r="T260" s="181" t="s">
        <v>83</v>
      </c>
      <c r="U260" s="181" t="s">
        <v>83</v>
      </c>
      <c r="V260" s="28"/>
      <c r="W260" s="28" t="s">
        <v>88</v>
      </c>
      <c r="X260" s="28">
        <v>0</v>
      </c>
      <c r="Y260" s="181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81" t="s">
        <v>83</v>
      </c>
      <c r="AF260" s="181" t="s">
        <v>83</v>
      </c>
      <c r="AG260" s="181" t="s">
        <v>83</v>
      </c>
      <c r="AH260" s="181" t="s">
        <v>83</v>
      </c>
      <c r="AI260" s="28">
        <v>1</v>
      </c>
      <c r="AJ260" s="28"/>
      <c r="AK260" s="28">
        <v>1</v>
      </c>
      <c r="AL260" s="28">
        <v>1</v>
      </c>
      <c r="AM260" s="181" t="s">
        <v>83</v>
      </c>
      <c r="AN260" s="28">
        <v>1</v>
      </c>
      <c r="AO260" s="28">
        <v>1</v>
      </c>
      <c r="AP260" s="28">
        <v>1</v>
      </c>
    </row>
    <row r="261" spans="1:42">
      <c r="A261" s="157"/>
      <c r="B261" s="28" t="str">
        <f>物品!B263</f>
        <v>IF11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附魔</v>
      </c>
      <c r="I261" s="28">
        <f>VLOOKUP(B261,物品!B:CV,99,FALSE)</f>
        <v>0</v>
      </c>
      <c r="J261" s="159" t="str">
        <f t="shared" si="111"/>
        <v>附魔</v>
      </c>
      <c r="K261" s="159">
        <f t="shared" si="112"/>
        <v>0</v>
      </c>
      <c r="L261" s="28"/>
      <c r="M261" s="160">
        <f>VLOOKUP(LEFT(RIGHT(B261,5),4),物品!B:CU,20,FALSE)</f>
        <v>0</v>
      </c>
      <c r="N261" s="181" t="s">
        <v>83</v>
      </c>
      <c r="O261" s="160" t="s">
        <v>98</v>
      </c>
      <c r="P261" s="28">
        <v>0</v>
      </c>
      <c r="Q261" s="28">
        <v>0</v>
      </c>
      <c r="R261" s="181" t="s">
        <v>83</v>
      </c>
      <c r="S261" s="181" t="s">
        <v>83</v>
      </c>
      <c r="T261" s="181" t="s">
        <v>83</v>
      </c>
      <c r="U261" s="181" t="s">
        <v>83</v>
      </c>
      <c r="V261" s="28"/>
      <c r="W261" s="28" t="s">
        <v>88</v>
      </c>
      <c r="X261" s="28">
        <v>0</v>
      </c>
      <c r="Y261" s="181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81" t="s">
        <v>83</v>
      </c>
      <c r="AF261" s="181" t="s">
        <v>83</v>
      </c>
      <c r="AG261" s="181" t="s">
        <v>83</v>
      </c>
      <c r="AH261" s="181" t="s">
        <v>83</v>
      </c>
      <c r="AI261" s="28">
        <v>1</v>
      </c>
      <c r="AJ261" s="28"/>
      <c r="AK261" s="28">
        <v>1</v>
      </c>
      <c r="AL261" s="28">
        <v>1</v>
      </c>
      <c r="AM261" s="181" t="s">
        <v>83</v>
      </c>
      <c r="AN261" s="28">
        <v>1</v>
      </c>
      <c r="AO261" s="28">
        <v>1</v>
      </c>
      <c r="AP261" s="28">
        <v>1</v>
      </c>
    </row>
    <row r="262" spans="1:42">
      <c r="A262" s="157"/>
      <c r="B262" s="28" t="str">
        <f>物品!B264</f>
        <v>IF12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附魔</v>
      </c>
      <c r="I262" s="28">
        <f>VLOOKUP(B262,物品!B:CV,99,FALSE)</f>
        <v>0</v>
      </c>
      <c r="J262" s="159" t="str">
        <f t="shared" si="111"/>
        <v>附魔</v>
      </c>
      <c r="K262" s="159">
        <f t="shared" si="112"/>
        <v>0</v>
      </c>
      <c r="L262" s="28"/>
      <c r="M262" s="160">
        <f>VLOOKUP(LEFT(RIGHT(B262,5),4),物品!B:CU,20,FALSE)</f>
        <v>0</v>
      </c>
      <c r="N262" s="181" t="s">
        <v>83</v>
      </c>
      <c r="O262" s="160" t="s">
        <v>98</v>
      </c>
      <c r="P262" s="28">
        <v>0</v>
      </c>
      <c r="Q262" s="28">
        <v>0</v>
      </c>
      <c r="R262" s="181" t="s">
        <v>83</v>
      </c>
      <c r="S262" s="181" t="s">
        <v>83</v>
      </c>
      <c r="T262" s="181" t="s">
        <v>83</v>
      </c>
      <c r="U262" s="181" t="s">
        <v>83</v>
      </c>
      <c r="V262" s="28"/>
      <c r="W262" s="28" t="s">
        <v>88</v>
      </c>
      <c r="X262" s="28">
        <v>0</v>
      </c>
      <c r="Y262" s="181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81" t="s">
        <v>83</v>
      </c>
      <c r="AF262" s="181" t="s">
        <v>83</v>
      </c>
      <c r="AG262" s="181" t="s">
        <v>83</v>
      </c>
      <c r="AH262" s="181" t="s">
        <v>83</v>
      </c>
      <c r="AI262" s="28">
        <v>1</v>
      </c>
      <c r="AJ262" s="28"/>
      <c r="AK262" s="28">
        <v>1</v>
      </c>
      <c r="AL262" s="28">
        <v>1</v>
      </c>
      <c r="AM262" s="181" t="s">
        <v>83</v>
      </c>
      <c r="AN262" s="28">
        <v>1</v>
      </c>
      <c r="AO262" s="28">
        <v>1</v>
      </c>
      <c r="AP262" s="28">
        <v>1</v>
      </c>
    </row>
    <row r="263" spans="1:42">
      <c r="A263" s="157"/>
      <c r="B263" s="28" t="str">
        <f>物品!B265</f>
        <v>IF13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9" t="str">
        <f t="shared" si="111"/>
        <v>附魔</v>
      </c>
      <c r="K263" s="159">
        <f t="shared" si="112"/>
        <v>0</v>
      </c>
      <c r="L263" s="28"/>
      <c r="M263" s="160">
        <f>VLOOKUP(LEFT(RIGHT(B263,5),4),物品!B:CU,20,FALSE)</f>
        <v>0</v>
      </c>
      <c r="N263" s="181" t="s">
        <v>83</v>
      </c>
      <c r="O263" s="160" t="s">
        <v>98</v>
      </c>
      <c r="P263" s="28">
        <v>0</v>
      </c>
      <c r="Q263" s="28">
        <v>0</v>
      </c>
      <c r="R263" s="181" t="s">
        <v>83</v>
      </c>
      <c r="S263" s="181" t="s">
        <v>83</v>
      </c>
      <c r="T263" s="181" t="s">
        <v>83</v>
      </c>
      <c r="U263" s="181" t="s">
        <v>83</v>
      </c>
      <c r="V263" s="28"/>
      <c r="W263" s="28" t="s">
        <v>88</v>
      </c>
      <c r="X263" s="28">
        <v>0</v>
      </c>
      <c r="Y263" s="181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81" t="s">
        <v>83</v>
      </c>
      <c r="AF263" s="181" t="s">
        <v>83</v>
      </c>
      <c r="AG263" s="181" t="s">
        <v>83</v>
      </c>
      <c r="AH263" s="181" t="s">
        <v>83</v>
      </c>
      <c r="AI263" s="28">
        <v>1</v>
      </c>
      <c r="AJ263" s="28"/>
      <c r="AK263" s="28">
        <v>1</v>
      </c>
      <c r="AL263" s="28">
        <v>1</v>
      </c>
      <c r="AM263" s="181" t="s">
        <v>83</v>
      </c>
      <c r="AN263" s="28">
        <v>1</v>
      </c>
      <c r="AO263" s="28">
        <v>1</v>
      </c>
      <c r="AP263" s="28">
        <v>1</v>
      </c>
    </row>
    <row r="264" spans="1:42">
      <c r="A264" s="157"/>
      <c r="B264" s="28" t="str">
        <f>物品!B266</f>
        <v>IF14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9" t="str">
        <f t="shared" si="111"/>
        <v>附魔</v>
      </c>
      <c r="K264" s="159">
        <f t="shared" si="112"/>
        <v>0</v>
      </c>
      <c r="L264" s="28"/>
      <c r="M264" s="160">
        <f>VLOOKUP(LEFT(RIGHT(B264,5),4),物品!B:CU,20,FALSE)</f>
        <v>0</v>
      </c>
      <c r="N264" s="181" t="s">
        <v>83</v>
      </c>
      <c r="O264" s="160" t="s">
        <v>98</v>
      </c>
      <c r="P264" s="28">
        <v>0</v>
      </c>
      <c r="Q264" s="28">
        <v>0</v>
      </c>
      <c r="R264" s="181" t="s">
        <v>83</v>
      </c>
      <c r="S264" s="181" t="s">
        <v>83</v>
      </c>
      <c r="T264" s="181" t="s">
        <v>83</v>
      </c>
      <c r="U264" s="181" t="s">
        <v>83</v>
      </c>
      <c r="V264" s="28"/>
      <c r="W264" s="28" t="s">
        <v>88</v>
      </c>
      <c r="X264" s="28">
        <v>0</v>
      </c>
      <c r="Y264" s="181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81" t="s">
        <v>83</v>
      </c>
      <c r="AF264" s="181" t="s">
        <v>83</v>
      </c>
      <c r="AG264" s="181" t="s">
        <v>83</v>
      </c>
      <c r="AH264" s="181" t="s">
        <v>83</v>
      </c>
      <c r="AI264" s="28">
        <v>1</v>
      </c>
      <c r="AJ264" s="28"/>
      <c r="AK264" s="28">
        <v>1</v>
      </c>
      <c r="AL264" s="28">
        <v>1</v>
      </c>
      <c r="AM264" s="181" t="s">
        <v>83</v>
      </c>
      <c r="AN264" s="28">
        <v>1</v>
      </c>
      <c r="AO264" s="28">
        <v>1</v>
      </c>
      <c r="AP264" s="28">
        <v>1</v>
      </c>
    </row>
    <row r="265" spans="1:42">
      <c r="A265" s="157"/>
      <c r="B265" s="28" t="str">
        <f>物品!B267</f>
        <v>IF15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9" t="str">
        <f t="shared" si="111"/>
        <v>附魔</v>
      </c>
      <c r="K265" s="159">
        <f t="shared" si="112"/>
        <v>0</v>
      </c>
      <c r="L265" s="28"/>
      <c r="M265" s="160">
        <f>VLOOKUP(LEFT(RIGHT(B265,5),4),物品!B:CU,20,FALSE)</f>
        <v>0</v>
      </c>
      <c r="N265" s="181" t="s">
        <v>83</v>
      </c>
      <c r="O265" s="160" t="s">
        <v>98</v>
      </c>
      <c r="P265" s="28">
        <v>0</v>
      </c>
      <c r="Q265" s="28">
        <v>0</v>
      </c>
      <c r="R265" s="181" t="s">
        <v>83</v>
      </c>
      <c r="S265" s="181" t="s">
        <v>83</v>
      </c>
      <c r="T265" s="181" t="s">
        <v>83</v>
      </c>
      <c r="U265" s="181" t="s">
        <v>83</v>
      </c>
      <c r="V265" s="28"/>
      <c r="W265" s="28" t="s">
        <v>88</v>
      </c>
      <c r="X265" s="28">
        <v>0</v>
      </c>
      <c r="Y265" s="181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81" t="s">
        <v>83</v>
      </c>
      <c r="AF265" s="181" t="s">
        <v>83</v>
      </c>
      <c r="AG265" s="181" t="s">
        <v>83</v>
      </c>
      <c r="AH265" s="181" t="s">
        <v>83</v>
      </c>
      <c r="AI265" s="28">
        <v>1</v>
      </c>
      <c r="AJ265" s="28"/>
      <c r="AK265" s="28">
        <v>1</v>
      </c>
      <c r="AL265" s="28">
        <v>1</v>
      </c>
      <c r="AM265" s="181" t="s">
        <v>83</v>
      </c>
      <c r="AN265" s="28">
        <v>1</v>
      </c>
      <c r="AO265" s="28">
        <v>1</v>
      </c>
      <c r="AP265" s="28">
        <v>1</v>
      </c>
    </row>
    <row r="266" spans="1:42">
      <c r="A266" s="157"/>
      <c r="B266" s="28" t="str">
        <f>物品!B268</f>
        <v>IF16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9" t="str">
        <f t="shared" si="111"/>
        <v>附魔</v>
      </c>
      <c r="K266" s="159">
        <f t="shared" si="112"/>
        <v>0</v>
      </c>
      <c r="L266" s="28"/>
      <c r="M266" s="160">
        <f>VLOOKUP(LEFT(RIGHT(B266,5),4),物品!B:CU,20,FALSE)</f>
        <v>0</v>
      </c>
      <c r="N266" s="181" t="s">
        <v>83</v>
      </c>
      <c r="O266" s="160" t="s">
        <v>98</v>
      </c>
      <c r="P266" s="28">
        <v>0</v>
      </c>
      <c r="Q266" s="28">
        <v>0</v>
      </c>
      <c r="R266" s="181" t="s">
        <v>83</v>
      </c>
      <c r="S266" s="181" t="s">
        <v>83</v>
      </c>
      <c r="T266" s="181" t="s">
        <v>83</v>
      </c>
      <c r="U266" s="181" t="s">
        <v>83</v>
      </c>
      <c r="V266" s="28"/>
      <c r="W266" s="28" t="s">
        <v>88</v>
      </c>
      <c r="X266" s="28">
        <v>0</v>
      </c>
      <c r="Y266" s="181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81" t="s">
        <v>83</v>
      </c>
      <c r="AF266" s="181" t="s">
        <v>83</v>
      </c>
      <c r="AG266" s="181" t="s">
        <v>83</v>
      </c>
      <c r="AH266" s="181" t="s">
        <v>83</v>
      </c>
      <c r="AI266" s="28">
        <v>1</v>
      </c>
      <c r="AJ266" s="28"/>
      <c r="AK266" s="28">
        <v>1</v>
      </c>
      <c r="AL266" s="28">
        <v>1</v>
      </c>
      <c r="AM266" s="181" t="s">
        <v>83</v>
      </c>
      <c r="AN266" s="28">
        <v>1</v>
      </c>
      <c r="AO266" s="28">
        <v>1</v>
      </c>
      <c r="AP266" s="28">
        <v>1</v>
      </c>
    </row>
    <row r="267" spans="1:42">
      <c r="A267" s="157"/>
      <c r="B267" s="28" t="str">
        <f>物品!B269</f>
        <v>IF17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9" t="str">
        <f t="shared" si="111"/>
        <v>附魔</v>
      </c>
      <c r="K267" s="159">
        <f t="shared" si="112"/>
        <v>0</v>
      </c>
      <c r="L267" s="28"/>
      <c r="M267" s="160">
        <f>VLOOKUP(LEFT(RIGHT(B267,5),4),物品!B:CU,20,FALSE)</f>
        <v>0</v>
      </c>
      <c r="N267" s="181" t="s">
        <v>83</v>
      </c>
      <c r="O267" s="160" t="s">
        <v>98</v>
      </c>
      <c r="P267" s="28">
        <v>0</v>
      </c>
      <c r="Q267" s="28">
        <v>0</v>
      </c>
      <c r="R267" s="181" t="s">
        <v>83</v>
      </c>
      <c r="S267" s="181" t="s">
        <v>83</v>
      </c>
      <c r="T267" s="181" t="s">
        <v>83</v>
      </c>
      <c r="U267" s="181" t="s">
        <v>83</v>
      </c>
      <c r="V267" s="28"/>
      <c r="W267" s="28" t="s">
        <v>88</v>
      </c>
      <c r="X267" s="28">
        <v>0</v>
      </c>
      <c r="Y267" s="181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81" t="s">
        <v>83</v>
      </c>
      <c r="AF267" s="181" t="s">
        <v>83</v>
      </c>
      <c r="AG267" s="181" t="s">
        <v>83</v>
      </c>
      <c r="AH267" s="181" t="s">
        <v>83</v>
      </c>
      <c r="AI267" s="28">
        <v>1</v>
      </c>
      <c r="AJ267" s="28"/>
      <c r="AK267" s="28">
        <v>1</v>
      </c>
      <c r="AL267" s="28">
        <v>1</v>
      </c>
      <c r="AM267" s="181" t="s">
        <v>83</v>
      </c>
      <c r="AN267" s="28">
        <v>1</v>
      </c>
      <c r="AO267" s="28">
        <v>1</v>
      </c>
      <c r="AP267" s="28">
        <v>1</v>
      </c>
    </row>
    <row r="268" spans="1:42">
      <c r="A268" s="157"/>
      <c r="B268" s="28" t="str">
        <f>物品!B270</f>
        <v>IF18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9" t="str">
        <f t="shared" si="111"/>
        <v>附魔</v>
      </c>
      <c r="K268" s="159">
        <f t="shared" si="112"/>
        <v>0</v>
      </c>
      <c r="L268" s="28"/>
      <c r="M268" s="160">
        <f>VLOOKUP(LEFT(RIGHT(B268,5),4),物品!B:CU,20,FALSE)</f>
        <v>0</v>
      </c>
      <c r="N268" s="181" t="s">
        <v>83</v>
      </c>
      <c r="O268" s="160" t="s">
        <v>98</v>
      </c>
      <c r="P268" s="28">
        <v>0</v>
      </c>
      <c r="Q268" s="28">
        <v>0</v>
      </c>
      <c r="R268" s="181" t="s">
        <v>83</v>
      </c>
      <c r="S268" s="181" t="s">
        <v>83</v>
      </c>
      <c r="T268" s="181" t="s">
        <v>83</v>
      </c>
      <c r="U268" s="181" t="s">
        <v>83</v>
      </c>
      <c r="V268" s="28"/>
      <c r="W268" s="28" t="s">
        <v>88</v>
      </c>
      <c r="X268" s="28">
        <v>0</v>
      </c>
      <c r="Y268" s="181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81" t="s">
        <v>83</v>
      </c>
      <c r="AF268" s="181" t="s">
        <v>83</v>
      </c>
      <c r="AG268" s="181" t="s">
        <v>83</v>
      </c>
      <c r="AH268" s="181" t="s">
        <v>83</v>
      </c>
      <c r="AI268" s="28">
        <v>1</v>
      </c>
      <c r="AJ268" s="28"/>
      <c r="AK268" s="28">
        <v>1</v>
      </c>
      <c r="AL268" s="28">
        <v>1</v>
      </c>
      <c r="AM268" s="181" t="s">
        <v>83</v>
      </c>
      <c r="AN268" s="28">
        <v>1</v>
      </c>
      <c r="AO268" s="28">
        <v>1</v>
      </c>
      <c r="AP268" s="28">
        <v>1</v>
      </c>
    </row>
    <row r="269" spans="1:42">
      <c r="A269" s="157"/>
      <c r="B269" s="28" t="str">
        <f>物品!B271</f>
        <v>IF19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9" t="str">
        <f t="shared" si="111"/>
        <v>附魔</v>
      </c>
      <c r="K269" s="159">
        <f t="shared" si="112"/>
        <v>0</v>
      </c>
      <c r="L269" s="28"/>
      <c r="M269" s="160">
        <f>VLOOKUP(LEFT(RIGHT(B269,5),4),物品!B:CU,20,FALSE)</f>
        <v>0</v>
      </c>
      <c r="N269" s="181" t="s">
        <v>83</v>
      </c>
      <c r="O269" s="160" t="s">
        <v>98</v>
      </c>
      <c r="P269" s="28">
        <v>0</v>
      </c>
      <c r="Q269" s="28">
        <v>0</v>
      </c>
      <c r="R269" s="181" t="s">
        <v>83</v>
      </c>
      <c r="S269" s="181" t="s">
        <v>83</v>
      </c>
      <c r="T269" s="181" t="s">
        <v>83</v>
      </c>
      <c r="U269" s="181" t="s">
        <v>83</v>
      </c>
      <c r="V269" s="28"/>
      <c r="W269" s="28" t="s">
        <v>88</v>
      </c>
      <c r="X269" s="28">
        <v>0</v>
      </c>
      <c r="Y269" s="181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81" t="s">
        <v>83</v>
      </c>
      <c r="AF269" s="181" t="s">
        <v>83</v>
      </c>
      <c r="AG269" s="181" t="s">
        <v>83</v>
      </c>
      <c r="AH269" s="181" t="s">
        <v>83</v>
      </c>
      <c r="AI269" s="28">
        <v>1</v>
      </c>
      <c r="AJ269" s="28"/>
      <c r="AK269" s="28">
        <v>1</v>
      </c>
      <c r="AL269" s="28">
        <v>1</v>
      </c>
      <c r="AM269" s="181" t="s">
        <v>83</v>
      </c>
      <c r="AN269" s="28">
        <v>1</v>
      </c>
      <c r="AO269" s="28">
        <v>1</v>
      </c>
      <c r="AP269" s="28">
        <v>1</v>
      </c>
    </row>
    <row r="270" spans="1:42">
      <c r="A270" s="157"/>
      <c r="B270" s="28" t="str">
        <f>物品!B272</f>
        <v>IF20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9" t="str">
        <f t="shared" si="111"/>
        <v>附魔</v>
      </c>
      <c r="K270" s="159">
        <f t="shared" si="112"/>
        <v>0</v>
      </c>
      <c r="L270" s="28"/>
      <c r="M270" s="160">
        <f>VLOOKUP(LEFT(RIGHT(B270,5),4),物品!B:CU,20,FALSE)</f>
        <v>0</v>
      </c>
      <c r="N270" s="181" t="s">
        <v>83</v>
      </c>
      <c r="O270" s="160" t="s">
        <v>98</v>
      </c>
      <c r="P270" s="28">
        <v>0</v>
      </c>
      <c r="Q270" s="28">
        <v>0</v>
      </c>
      <c r="R270" s="181" t="s">
        <v>83</v>
      </c>
      <c r="S270" s="181" t="s">
        <v>83</v>
      </c>
      <c r="T270" s="181" t="s">
        <v>83</v>
      </c>
      <c r="U270" s="181" t="s">
        <v>83</v>
      </c>
      <c r="V270" s="28"/>
      <c r="W270" s="28" t="s">
        <v>88</v>
      </c>
      <c r="X270" s="28">
        <v>0</v>
      </c>
      <c r="Y270" s="181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81" t="s">
        <v>83</v>
      </c>
      <c r="AF270" s="181" t="s">
        <v>83</v>
      </c>
      <c r="AG270" s="181" t="s">
        <v>83</v>
      </c>
      <c r="AH270" s="181" t="s">
        <v>83</v>
      </c>
      <c r="AI270" s="28">
        <v>1</v>
      </c>
      <c r="AJ270" s="28"/>
      <c r="AK270" s="28">
        <v>1</v>
      </c>
      <c r="AL270" s="28">
        <v>1</v>
      </c>
      <c r="AM270" s="181" t="s">
        <v>83</v>
      </c>
      <c r="AN270" s="28">
        <v>1</v>
      </c>
      <c r="AO270" s="28">
        <v>1</v>
      </c>
      <c r="AP270" s="28">
        <v>1</v>
      </c>
    </row>
    <row r="271" spans="1:42">
      <c r="A271" s="157"/>
      <c r="B271" s="28" t="str">
        <f>物品!B273</f>
        <v>IF21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9" t="str">
        <f t="shared" si="111"/>
        <v>附魔</v>
      </c>
      <c r="K271" s="159">
        <f t="shared" si="112"/>
        <v>0</v>
      </c>
      <c r="L271" s="28"/>
      <c r="M271" s="160">
        <f>VLOOKUP(LEFT(RIGHT(B271,5),4),物品!B:CU,20,FALSE)</f>
        <v>0</v>
      </c>
      <c r="N271" s="181" t="s">
        <v>83</v>
      </c>
      <c r="O271" s="160" t="s">
        <v>98</v>
      </c>
      <c r="P271" s="28">
        <v>0</v>
      </c>
      <c r="Q271" s="28">
        <v>0</v>
      </c>
      <c r="R271" s="181" t="s">
        <v>83</v>
      </c>
      <c r="S271" s="181" t="s">
        <v>83</v>
      </c>
      <c r="T271" s="181" t="s">
        <v>83</v>
      </c>
      <c r="U271" s="181" t="s">
        <v>83</v>
      </c>
      <c r="V271" s="28"/>
      <c r="W271" s="28" t="s">
        <v>88</v>
      </c>
      <c r="X271" s="28">
        <v>0</v>
      </c>
      <c r="Y271" s="181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81" t="s">
        <v>83</v>
      </c>
      <c r="AF271" s="181" t="s">
        <v>83</v>
      </c>
      <c r="AG271" s="181" t="s">
        <v>83</v>
      </c>
      <c r="AH271" s="181" t="s">
        <v>83</v>
      </c>
      <c r="AI271" s="28">
        <v>1</v>
      </c>
      <c r="AJ271" s="28"/>
      <c r="AK271" s="28">
        <v>1</v>
      </c>
      <c r="AL271" s="28">
        <v>1</v>
      </c>
      <c r="AM271" s="181" t="s">
        <v>83</v>
      </c>
      <c r="AN271" s="28">
        <v>1</v>
      </c>
      <c r="AO271" s="28">
        <v>1</v>
      </c>
      <c r="AP271" s="28">
        <v>1</v>
      </c>
    </row>
    <row r="272" spans="1:42">
      <c r="A272" s="157"/>
      <c r="B272" s="28" t="str">
        <f>物品!B274</f>
        <v>IF22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9" t="str">
        <f t="shared" si="111"/>
        <v>附魔</v>
      </c>
      <c r="K272" s="159">
        <f t="shared" si="112"/>
        <v>0</v>
      </c>
      <c r="L272" s="28"/>
      <c r="M272" s="160">
        <f>VLOOKUP(LEFT(RIGHT(B272,5),4),物品!B:CU,20,FALSE)</f>
        <v>0</v>
      </c>
      <c r="N272" s="181" t="s">
        <v>83</v>
      </c>
      <c r="O272" s="160" t="s">
        <v>98</v>
      </c>
      <c r="P272" s="28">
        <v>0</v>
      </c>
      <c r="Q272" s="28">
        <v>0</v>
      </c>
      <c r="R272" s="181" t="s">
        <v>83</v>
      </c>
      <c r="S272" s="181" t="s">
        <v>83</v>
      </c>
      <c r="T272" s="181" t="s">
        <v>83</v>
      </c>
      <c r="U272" s="181" t="s">
        <v>83</v>
      </c>
      <c r="V272" s="28"/>
      <c r="W272" s="28" t="s">
        <v>88</v>
      </c>
      <c r="X272" s="28">
        <v>0</v>
      </c>
      <c r="Y272" s="181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81" t="s">
        <v>83</v>
      </c>
      <c r="AF272" s="181" t="s">
        <v>83</v>
      </c>
      <c r="AG272" s="181" t="s">
        <v>83</v>
      </c>
      <c r="AH272" s="181" t="s">
        <v>83</v>
      </c>
      <c r="AI272" s="28">
        <v>1</v>
      </c>
      <c r="AJ272" s="28"/>
      <c r="AK272" s="28">
        <v>1</v>
      </c>
      <c r="AL272" s="28">
        <v>1</v>
      </c>
      <c r="AM272" s="181" t="s">
        <v>83</v>
      </c>
      <c r="AN272" s="28">
        <v>1</v>
      </c>
      <c r="AO272" s="28">
        <v>1</v>
      </c>
      <c r="AP272" s="28">
        <v>1</v>
      </c>
    </row>
    <row r="273" spans="1:42">
      <c r="A273" s="157"/>
      <c r="B273" s="28" t="str">
        <f>物品!B275</f>
        <v>IF23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9" t="str">
        <f t="shared" si="111"/>
        <v>附魔</v>
      </c>
      <c r="K273" s="159">
        <f t="shared" si="112"/>
        <v>0</v>
      </c>
      <c r="L273" s="28"/>
      <c r="M273" s="160">
        <f>VLOOKUP(LEFT(RIGHT(B273,5),4),物品!B:CU,20,FALSE)</f>
        <v>0</v>
      </c>
      <c r="N273" s="181" t="s">
        <v>83</v>
      </c>
      <c r="O273" s="160" t="s">
        <v>98</v>
      </c>
      <c r="P273" s="28">
        <v>0</v>
      </c>
      <c r="Q273" s="28">
        <v>0</v>
      </c>
      <c r="R273" s="181" t="s">
        <v>83</v>
      </c>
      <c r="S273" s="181" t="s">
        <v>83</v>
      </c>
      <c r="T273" s="181" t="s">
        <v>83</v>
      </c>
      <c r="U273" s="181" t="s">
        <v>83</v>
      </c>
      <c r="V273" s="28"/>
      <c r="W273" s="28" t="s">
        <v>88</v>
      </c>
      <c r="X273" s="28">
        <v>0</v>
      </c>
      <c r="Y273" s="181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81" t="s">
        <v>83</v>
      </c>
      <c r="AF273" s="181" t="s">
        <v>83</v>
      </c>
      <c r="AG273" s="181" t="s">
        <v>83</v>
      </c>
      <c r="AH273" s="181" t="s">
        <v>83</v>
      </c>
      <c r="AI273" s="28">
        <v>1</v>
      </c>
      <c r="AJ273" s="28"/>
      <c r="AK273" s="28">
        <v>1</v>
      </c>
      <c r="AL273" s="28">
        <v>1</v>
      </c>
      <c r="AM273" s="181" t="s">
        <v>83</v>
      </c>
      <c r="AN273" s="28">
        <v>1</v>
      </c>
      <c r="AO273" s="28">
        <v>1</v>
      </c>
      <c r="AP273" s="28">
        <v>1</v>
      </c>
    </row>
    <row r="274" spans="1:42">
      <c r="A274" s="157"/>
      <c r="B274" s="28" t="str">
        <f>物品!B276</f>
        <v>IF24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9" t="str">
        <f t="shared" si="111"/>
        <v>附魔</v>
      </c>
      <c r="K274" s="159">
        <f t="shared" si="112"/>
        <v>0</v>
      </c>
      <c r="L274" s="28"/>
      <c r="M274" s="160">
        <f>VLOOKUP(LEFT(RIGHT(B274,5),4),物品!B:CU,20,FALSE)</f>
        <v>0</v>
      </c>
      <c r="N274" s="181" t="s">
        <v>83</v>
      </c>
      <c r="O274" s="160" t="s">
        <v>98</v>
      </c>
      <c r="P274" s="28">
        <v>0</v>
      </c>
      <c r="Q274" s="28">
        <v>0</v>
      </c>
      <c r="R274" s="181" t="s">
        <v>83</v>
      </c>
      <c r="S274" s="181" t="s">
        <v>83</v>
      </c>
      <c r="T274" s="181" t="s">
        <v>83</v>
      </c>
      <c r="U274" s="181" t="s">
        <v>83</v>
      </c>
      <c r="V274" s="28"/>
      <c r="W274" s="28" t="s">
        <v>88</v>
      </c>
      <c r="X274" s="28">
        <v>0</v>
      </c>
      <c r="Y274" s="181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81" t="s">
        <v>83</v>
      </c>
      <c r="AF274" s="181" t="s">
        <v>83</v>
      </c>
      <c r="AG274" s="181" t="s">
        <v>83</v>
      </c>
      <c r="AH274" s="181" t="s">
        <v>83</v>
      </c>
      <c r="AI274" s="28">
        <v>1</v>
      </c>
      <c r="AJ274" s="28"/>
      <c r="AK274" s="28">
        <v>1</v>
      </c>
      <c r="AL274" s="28">
        <v>1</v>
      </c>
      <c r="AM274" s="181" t="s">
        <v>83</v>
      </c>
      <c r="AN274" s="28">
        <v>1</v>
      </c>
      <c r="AO274" s="28">
        <v>1</v>
      </c>
      <c r="AP274" s="28">
        <v>1</v>
      </c>
    </row>
    <row r="275" spans="1:42">
      <c r="A275" s="157"/>
      <c r="B275" s="28" t="str">
        <f>物品!B277</f>
        <v>IF25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9" t="str">
        <f t="shared" si="111"/>
        <v>附魔</v>
      </c>
      <c r="K275" s="159">
        <f t="shared" si="112"/>
        <v>0</v>
      </c>
      <c r="L275" s="28"/>
      <c r="M275" s="160">
        <f>VLOOKUP(LEFT(RIGHT(B275,5),4),物品!B:CU,20,FALSE)</f>
        <v>0</v>
      </c>
      <c r="N275" s="181" t="s">
        <v>83</v>
      </c>
      <c r="O275" s="160" t="s">
        <v>98</v>
      </c>
      <c r="P275" s="28">
        <v>0</v>
      </c>
      <c r="Q275" s="28">
        <v>0</v>
      </c>
      <c r="R275" s="181" t="s">
        <v>83</v>
      </c>
      <c r="S275" s="181" t="s">
        <v>83</v>
      </c>
      <c r="T275" s="181" t="s">
        <v>83</v>
      </c>
      <c r="U275" s="181" t="s">
        <v>83</v>
      </c>
      <c r="V275" s="28"/>
      <c r="W275" s="28" t="s">
        <v>88</v>
      </c>
      <c r="X275" s="28">
        <v>0</v>
      </c>
      <c r="Y275" s="181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81" t="s">
        <v>83</v>
      </c>
      <c r="AF275" s="181" t="s">
        <v>83</v>
      </c>
      <c r="AG275" s="181" t="s">
        <v>83</v>
      </c>
      <c r="AH275" s="181" t="s">
        <v>83</v>
      </c>
      <c r="AI275" s="28">
        <v>1</v>
      </c>
      <c r="AJ275" s="28"/>
      <c r="AK275" s="28">
        <v>1</v>
      </c>
      <c r="AL275" s="28">
        <v>1</v>
      </c>
      <c r="AM275" s="181" t="s">
        <v>83</v>
      </c>
      <c r="AN275" s="28">
        <v>1</v>
      </c>
      <c r="AO275" s="28">
        <v>1</v>
      </c>
      <c r="AP275" s="28">
        <v>1</v>
      </c>
    </row>
    <row r="276" spans="1:42">
      <c r="A276" s="157"/>
      <c r="B276" s="28" t="str">
        <f>物品!B278</f>
        <v>IF26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9" t="str">
        <f t="shared" si="111"/>
        <v>附魔</v>
      </c>
      <c r="K276" s="159">
        <f t="shared" si="112"/>
        <v>0</v>
      </c>
      <c r="L276" s="28"/>
      <c r="M276" s="160">
        <f>VLOOKUP(LEFT(RIGHT(B276,5),4),物品!B:CU,20,FALSE)</f>
        <v>0</v>
      </c>
      <c r="N276" s="181" t="s">
        <v>83</v>
      </c>
      <c r="O276" s="160" t="s">
        <v>98</v>
      </c>
      <c r="P276" s="28">
        <v>0</v>
      </c>
      <c r="Q276" s="28">
        <v>0</v>
      </c>
      <c r="R276" s="181" t="s">
        <v>83</v>
      </c>
      <c r="S276" s="181" t="s">
        <v>83</v>
      </c>
      <c r="T276" s="181" t="s">
        <v>83</v>
      </c>
      <c r="U276" s="181" t="s">
        <v>83</v>
      </c>
      <c r="V276" s="28"/>
      <c r="W276" s="28" t="s">
        <v>88</v>
      </c>
      <c r="X276" s="28">
        <v>0</v>
      </c>
      <c r="Y276" s="181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81" t="s">
        <v>83</v>
      </c>
      <c r="AF276" s="181" t="s">
        <v>83</v>
      </c>
      <c r="AG276" s="181" t="s">
        <v>83</v>
      </c>
      <c r="AH276" s="181" t="s">
        <v>83</v>
      </c>
      <c r="AI276" s="28">
        <v>1</v>
      </c>
      <c r="AJ276" s="28"/>
      <c r="AK276" s="28">
        <v>1</v>
      </c>
      <c r="AL276" s="28">
        <v>1</v>
      </c>
      <c r="AM276" s="181" t="s">
        <v>83</v>
      </c>
      <c r="AN276" s="28">
        <v>1</v>
      </c>
      <c r="AO276" s="28">
        <v>1</v>
      </c>
      <c r="AP276" s="28">
        <v>1</v>
      </c>
    </row>
    <row r="277" spans="1:42">
      <c r="A277" s="157"/>
      <c r="B277" s="28" t="str">
        <f>物品!B279</f>
        <v>IF27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9" t="str">
        <f t="shared" si="111"/>
        <v>附魔</v>
      </c>
      <c r="K277" s="159">
        <f t="shared" si="112"/>
        <v>0</v>
      </c>
      <c r="L277" s="28"/>
      <c r="M277" s="160">
        <f>VLOOKUP(LEFT(RIGHT(B277,5),4),物品!B:CU,20,FALSE)</f>
        <v>0</v>
      </c>
      <c r="N277" s="181" t="s">
        <v>83</v>
      </c>
      <c r="O277" s="160" t="s">
        <v>98</v>
      </c>
      <c r="P277" s="28">
        <v>0</v>
      </c>
      <c r="Q277" s="28">
        <v>0</v>
      </c>
      <c r="R277" s="181" t="s">
        <v>83</v>
      </c>
      <c r="S277" s="181" t="s">
        <v>83</v>
      </c>
      <c r="T277" s="181" t="s">
        <v>83</v>
      </c>
      <c r="U277" s="181" t="s">
        <v>83</v>
      </c>
      <c r="V277" s="28"/>
      <c r="W277" s="28" t="s">
        <v>88</v>
      </c>
      <c r="X277" s="28">
        <v>0</v>
      </c>
      <c r="Y277" s="181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81" t="s">
        <v>83</v>
      </c>
      <c r="AF277" s="181" t="s">
        <v>83</v>
      </c>
      <c r="AG277" s="181" t="s">
        <v>83</v>
      </c>
      <c r="AH277" s="181" t="s">
        <v>83</v>
      </c>
      <c r="AI277" s="28">
        <v>1</v>
      </c>
      <c r="AJ277" s="28"/>
      <c r="AK277" s="28">
        <v>1</v>
      </c>
      <c r="AL277" s="28">
        <v>1</v>
      </c>
      <c r="AM277" s="181" t="s">
        <v>83</v>
      </c>
      <c r="AN277" s="28">
        <v>1</v>
      </c>
      <c r="AO277" s="28">
        <v>1</v>
      </c>
      <c r="AP277" s="28">
        <v>1</v>
      </c>
    </row>
    <row r="278" spans="1:42">
      <c r="A278" s="157"/>
      <c r="B278" s="28" t="str">
        <f>物品!B280</f>
        <v>IF28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9" t="str">
        <f t="shared" ref="J278:J280" si="113">H278</f>
        <v>附魔</v>
      </c>
      <c r="K278" s="159">
        <f t="shared" ref="K278:K280" si="114">I278</f>
        <v>0</v>
      </c>
      <c r="L278" s="28"/>
      <c r="M278" s="160">
        <f>VLOOKUP(LEFT(RIGHT(B278,5),4),物品!B:CU,20,FALSE)</f>
        <v>0</v>
      </c>
      <c r="N278" s="181" t="s">
        <v>83</v>
      </c>
      <c r="O278" s="160" t="s">
        <v>98</v>
      </c>
      <c r="P278" s="28">
        <v>0</v>
      </c>
      <c r="Q278" s="28">
        <v>0</v>
      </c>
      <c r="R278" s="181" t="s">
        <v>83</v>
      </c>
      <c r="S278" s="181" t="s">
        <v>83</v>
      </c>
      <c r="T278" s="181" t="s">
        <v>83</v>
      </c>
      <c r="U278" s="181" t="s">
        <v>83</v>
      </c>
      <c r="V278" s="28"/>
      <c r="W278" s="28" t="s">
        <v>88</v>
      </c>
      <c r="X278" s="28">
        <v>0</v>
      </c>
      <c r="Y278" s="181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81" t="s">
        <v>83</v>
      </c>
      <c r="AF278" s="181" t="s">
        <v>83</v>
      </c>
      <c r="AG278" s="181" t="s">
        <v>83</v>
      </c>
      <c r="AH278" s="181" t="s">
        <v>83</v>
      </c>
      <c r="AI278" s="28">
        <v>1</v>
      </c>
      <c r="AJ278" s="28"/>
      <c r="AK278" s="28">
        <v>1</v>
      </c>
      <c r="AL278" s="28">
        <v>1</v>
      </c>
      <c r="AM278" s="181" t="s">
        <v>83</v>
      </c>
      <c r="AN278" s="28">
        <v>1</v>
      </c>
      <c r="AO278" s="28">
        <v>1</v>
      </c>
      <c r="AP278" s="28">
        <v>1</v>
      </c>
    </row>
    <row r="279" spans="1:42">
      <c r="A279" s="157"/>
      <c r="B279" s="28" t="str">
        <f>物品!B281</f>
        <v>IF29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9" t="str">
        <f t="shared" si="113"/>
        <v>附魔</v>
      </c>
      <c r="K279" s="159">
        <f t="shared" si="114"/>
        <v>0</v>
      </c>
      <c r="L279" s="28"/>
      <c r="M279" s="160">
        <f>VLOOKUP(LEFT(RIGHT(B279,5),4),物品!B:CU,20,FALSE)</f>
        <v>0</v>
      </c>
      <c r="N279" s="181" t="s">
        <v>83</v>
      </c>
      <c r="O279" s="160" t="s">
        <v>98</v>
      </c>
      <c r="P279" s="28">
        <v>0</v>
      </c>
      <c r="Q279" s="28">
        <v>0</v>
      </c>
      <c r="R279" s="181" t="s">
        <v>83</v>
      </c>
      <c r="S279" s="181" t="s">
        <v>83</v>
      </c>
      <c r="T279" s="181" t="s">
        <v>83</v>
      </c>
      <c r="U279" s="181" t="s">
        <v>83</v>
      </c>
      <c r="V279" s="28"/>
      <c r="W279" s="28" t="s">
        <v>88</v>
      </c>
      <c r="X279" s="28">
        <v>0</v>
      </c>
      <c r="Y279" s="181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81" t="s">
        <v>83</v>
      </c>
      <c r="AF279" s="181" t="s">
        <v>83</v>
      </c>
      <c r="AG279" s="181" t="s">
        <v>83</v>
      </c>
      <c r="AH279" s="181" t="s">
        <v>83</v>
      </c>
      <c r="AI279" s="28">
        <v>1</v>
      </c>
      <c r="AJ279" s="28"/>
      <c r="AK279" s="28">
        <v>1</v>
      </c>
      <c r="AL279" s="28">
        <v>1</v>
      </c>
      <c r="AM279" s="181" t="s">
        <v>83</v>
      </c>
      <c r="AN279" s="28">
        <v>1</v>
      </c>
      <c r="AO279" s="28">
        <v>1</v>
      </c>
      <c r="AP279" s="28">
        <v>1</v>
      </c>
    </row>
    <row r="280" spans="1:42">
      <c r="A280" s="157"/>
      <c r="B280" s="28" t="str">
        <f>物品!B282</f>
        <v>IF30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9" t="str">
        <f t="shared" si="113"/>
        <v>附魔</v>
      </c>
      <c r="K280" s="159">
        <f t="shared" si="114"/>
        <v>0</v>
      </c>
      <c r="L280" s="28"/>
      <c r="M280" s="160">
        <f>VLOOKUP(LEFT(RIGHT(B280,5),4),物品!B:CU,20,FALSE)</f>
        <v>0</v>
      </c>
      <c r="N280" s="181" t="s">
        <v>83</v>
      </c>
      <c r="O280" s="160" t="s">
        <v>98</v>
      </c>
      <c r="P280" s="28">
        <v>0</v>
      </c>
      <c r="Q280" s="28">
        <v>0</v>
      </c>
      <c r="R280" s="181" t="s">
        <v>83</v>
      </c>
      <c r="S280" s="181" t="s">
        <v>83</v>
      </c>
      <c r="T280" s="181" t="s">
        <v>83</v>
      </c>
      <c r="U280" s="181" t="s">
        <v>83</v>
      </c>
      <c r="V280" s="28"/>
      <c r="W280" s="28" t="s">
        <v>88</v>
      </c>
      <c r="X280" s="28">
        <v>0</v>
      </c>
      <c r="Y280" s="181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81" t="s">
        <v>83</v>
      </c>
      <c r="AF280" s="181" t="s">
        <v>83</v>
      </c>
      <c r="AG280" s="181" t="s">
        <v>83</v>
      </c>
      <c r="AH280" s="181" t="s">
        <v>83</v>
      </c>
      <c r="AI280" s="28">
        <v>1</v>
      </c>
      <c r="AJ280" s="28"/>
      <c r="AK280" s="28">
        <v>1</v>
      </c>
      <c r="AL280" s="28">
        <v>1</v>
      </c>
      <c r="AM280" s="181" t="s">
        <v>83</v>
      </c>
      <c r="AN280" s="28">
        <v>1</v>
      </c>
      <c r="AO280" s="28">
        <v>1</v>
      </c>
      <c r="AP280" s="28">
        <v>1</v>
      </c>
    </row>
    <row r="281" spans="1:42">
      <c r="A281" s="157"/>
      <c r="B281" s="28" t="str">
        <f>物品!B283</f>
        <v>IF31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9" t="str">
        <f t="shared" ref="J281:J294" si="115">H281</f>
        <v>附魔</v>
      </c>
      <c r="K281" s="159">
        <f t="shared" ref="K281:K294" si="116">I281</f>
        <v>0</v>
      </c>
      <c r="L281" s="28"/>
      <c r="M281" s="160">
        <f>VLOOKUP(LEFT(RIGHT(B281,5),4),物品!B:CU,20,FALSE)</f>
        <v>0</v>
      </c>
      <c r="N281" s="181" t="s">
        <v>83</v>
      </c>
      <c r="O281" s="160" t="s">
        <v>98</v>
      </c>
      <c r="P281" s="28">
        <v>0</v>
      </c>
      <c r="Q281" s="28">
        <v>0</v>
      </c>
      <c r="R281" s="181" t="s">
        <v>83</v>
      </c>
      <c r="S281" s="181" t="s">
        <v>83</v>
      </c>
      <c r="T281" s="181" t="s">
        <v>83</v>
      </c>
      <c r="U281" s="181" t="s">
        <v>83</v>
      </c>
      <c r="V281" s="28"/>
      <c r="W281" s="28" t="s">
        <v>88</v>
      </c>
      <c r="X281" s="28">
        <v>0</v>
      </c>
      <c r="Y281" s="181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81" t="s">
        <v>83</v>
      </c>
      <c r="AF281" s="181" t="s">
        <v>83</v>
      </c>
      <c r="AG281" s="181" t="s">
        <v>83</v>
      </c>
      <c r="AH281" s="181" t="s">
        <v>83</v>
      </c>
      <c r="AI281" s="28">
        <v>1</v>
      </c>
      <c r="AJ281" s="28"/>
      <c r="AK281" s="28">
        <v>1</v>
      </c>
      <c r="AL281" s="28">
        <v>1</v>
      </c>
      <c r="AM281" s="181" t="s">
        <v>83</v>
      </c>
      <c r="AN281" s="28">
        <v>1</v>
      </c>
      <c r="AO281" s="28">
        <v>1</v>
      </c>
      <c r="AP281" s="28">
        <v>1</v>
      </c>
    </row>
    <row r="282" spans="1:42">
      <c r="A282" s="157"/>
      <c r="B282" s="28" t="str">
        <f>物品!B284</f>
        <v>IF32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9" t="str">
        <f t="shared" ref="J282" si="117">H282</f>
        <v>附魔</v>
      </c>
      <c r="K282" s="159">
        <f t="shared" ref="K282" si="118">I282</f>
        <v>0</v>
      </c>
      <c r="L282" s="28"/>
      <c r="M282" s="160">
        <f>VLOOKUP(LEFT(RIGHT(B282,5),4),物品!B:CU,20,FALSE)</f>
        <v>0</v>
      </c>
      <c r="N282" s="181" t="s">
        <v>83</v>
      </c>
      <c r="O282" s="160" t="s">
        <v>98</v>
      </c>
      <c r="P282" s="28">
        <v>0</v>
      </c>
      <c r="Q282" s="28">
        <v>0</v>
      </c>
      <c r="R282" s="181" t="s">
        <v>83</v>
      </c>
      <c r="S282" s="181" t="s">
        <v>83</v>
      </c>
      <c r="T282" s="181" t="s">
        <v>83</v>
      </c>
      <c r="U282" s="181" t="s">
        <v>83</v>
      </c>
      <c r="V282" s="28"/>
      <c r="W282" s="28" t="s">
        <v>88</v>
      </c>
      <c r="X282" s="28">
        <v>0</v>
      </c>
      <c r="Y282" s="181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81" t="s">
        <v>83</v>
      </c>
      <c r="AF282" s="181" t="s">
        <v>83</v>
      </c>
      <c r="AG282" s="181" t="s">
        <v>83</v>
      </c>
      <c r="AH282" s="181" t="s">
        <v>83</v>
      </c>
      <c r="AI282" s="28">
        <v>1</v>
      </c>
      <c r="AJ282" s="28"/>
      <c r="AK282" s="28">
        <v>1</v>
      </c>
      <c r="AL282" s="28">
        <v>1</v>
      </c>
      <c r="AM282" s="181" t="s">
        <v>83</v>
      </c>
      <c r="AN282" s="28">
        <v>1</v>
      </c>
      <c r="AO282" s="28">
        <v>1</v>
      </c>
      <c r="AP282" s="28">
        <v>1</v>
      </c>
    </row>
    <row r="283" spans="1:42">
      <c r="A283" s="157"/>
      <c r="B283" s="28" t="str">
        <f>物品!B285</f>
        <v>IC00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没抽到任何东西</v>
      </c>
      <c r="I283" s="28">
        <f>VLOOKUP(B283,物品!B:CV,99,FALSE)</f>
        <v>0</v>
      </c>
      <c r="J283" s="159" t="str">
        <f t="shared" ref="J283" si="119">H283</f>
        <v>没抽到任何东西</v>
      </c>
      <c r="K283" s="159">
        <f t="shared" ref="K283" si="120">I283</f>
        <v>0</v>
      </c>
      <c r="L283" s="28"/>
      <c r="M283" s="160">
        <f>VLOOKUP(LEFT(RIGHT(B283,5),4),物品!B:CU,20,FALSE)</f>
        <v>0</v>
      </c>
      <c r="N283" s="181" t="s">
        <v>83</v>
      </c>
      <c r="O283" s="160" t="s">
        <v>98</v>
      </c>
      <c r="P283" s="28">
        <v>0</v>
      </c>
      <c r="Q283" s="28">
        <v>0</v>
      </c>
      <c r="R283" s="181" t="s">
        <v>83</v>
      </c>
      <c r="S283" s="181" t="s">
        <v>83</v>
      </c>
      <c r="T283" s="181" t="s">
        <v>83</v>
      </c>
      <c r="U283" s="181" t="s">
        <v>83</v>
      </c>
      <c r="V283" s="28"/>
      <c r="W283" s="28" t="s">
        <v>88</v>
      </c>
      <c r="X283" s="28">
        <v>0</v>
      </c>
      <c r="Y283" s="181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81" t="s">
        <v>83</v>
      </c>
      <c r="AF283" s="181" t="s">
        <v>83</v>
      </c>
      <c r="AG283" s="181" t="s">
        <v>83</v>
      </c>
      <c r="AH283" s="181" t="s">
        <v>83</v>
      </c>
      <c r="AI283" s="28">
        <v>1</v>
      </c>
      <c r="AJ283" s="28"/>
      <c r="AK283" s="28">
        <v>1</v>
      </c>
      <c r="AL283" s="28">
        <v>1</v>
      </c>
      <c r="AM283" s="181" t="s">
        <v>83</v>
      </c>
      <c r="AN283" s="28">
        <v>1</v>
      </c>
      <c r="AO283" s="28">
        <v>1</v>
      </c>
      <c r="AP283" s="28">
        <v>1</v>
      </c>
    </row>
    <row r="284" spans="1:42">
      <c r="A284" s="157"/>
      <c r="B284" s="28" t="str">
        <f>物品!B286</f>
        <v>IC01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玄铁</v>
      </c>
      <c r="I284" s="28">
        <f>VLOOKUP(B284,物品!B:CV,99,FALSE)</f>
        <v>0</v>
      </c>
      <c r="J284" s="159" t="str">
        <f t="shared" si="115"/>
        <v>玄铁</v>
      </c>
      <c r="K284" s="159">
        <f t="shared" si="116"/>
        <v>0</v>
      </c>
      <c r="L284" s="28"/>
      <c r="M284" s="160">
        <f>VLOOKUP(LEFT(RIGHT(B284,5),4),物品!B:CU,20,FALSE)</f>
        <v>0</v>
      </c>
      <c r="N284" s="181" t="s">
        <v>83</v>
      </c>
      <c r="O284" s="160" t="s">
        <v>98</v>
      </c>
      <c r="P284" s="28">
        <v>0</v>
      </c>
      <c r="Q284" s="28">
        <v>0</v>
      </c>
      <c r="R284" s="181" t="s">
        <v>83</v>
      </c>
      <c r="S284" s="181" t="s">
        <v>83</v>
      </c>
      <c r="T284" s="181" t="s">
        <v>83</v>
      </c>
      <c r="U284" s="181" t="s">
        <v>83</v>
      </c>
      <c r="V284" s="28"/>
      <c r="W284" s="28" t="s">
        <v>88</v>
      </c>
      <c r="X284" s="28">
        <v>0</v>
      </c>
      <c r="Y284" s="181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81" t="s">
        <v>83</v>
      </c>
      <c r="AF284" s="181" t="s">
        <v>83</v>
      </c>
      <c r="AG284" s="181" t="s">
        <v>83</v>
      </c>
      <c r="AH284" s="181" t="s">
        <v>83</v>
      </c>
      <c r="AI284" s="28">
        <v>1</v>
      </c>
      <c r="AJ284" s="28"/>
      <c r="AK284" s="28">
        <v>1</v>
      </c>
      <c r="AL284" s="28">
        <v>1</v>
      </c>
      <c r="AM284" s="181" t="s">
        <v>83</v>
      </c>
      <c r="AN284" s="28">
        <v>1</v>
      </c>
      <c r="AO284" s="28">
        <v>1</v>
      </c>
      <c r="AP284" s="28">
        <v>1</v>
      </c>
    </row>
    <row r="285" spans="1:42">
      <c r="A285" s="157"/>
      <c r="B285" s="28" t="str">
        <f>物品!B287</f>
        <v>IC02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杀敌数</v>
      </c>
      <c r="I285" s="28">
        <f>VLOOKUP(B285,物品!B:CV,99,FALSE)</f>
        <v>0</v>
      </c>
      <c r="J285" s="159" t="str">
        <f t="shared" si="115"/>
        <v>杀敌数</v>
      </c>
      <c r="K285" s="159">
        <f t="shared" si="116"/>
        <v>0</v>
      </c>
      <c r="L285" s="28"/>
      <c r="M285" s="160">
        <f>VLOOKUP(LEFT(RIGHT(B285,5),4),物品!B:CU,20,FALSE)</f>
        <v>0</v>
      </c>
      <c r="N285" s="181" t="s">
        <v>83</v>
      </c>
      <c r="O285" s="160" t="s">
        <v>98</v>
      </c>
      <c r="P285" s="28">
        <v>0</v>
      </c>
      <c r="Q285" s="28">
        <v>0</v>
      </c>
      <c r="R285" s="181" t="s">
        <v>83</v>
      </c>
      <c r="S285" s="181" t="s">
        <v>83</v>
      </c>
      <c r="T285" s="181" t="s">
        <v>83</v>
      </c>
      <c r="U285" s="181" t="s">
        <v>83</v>
      </c>
      <c r="V285" s="28"/>
      <c r="W285" s="28" t="s">
        <v>88</v>
      </c>
      <c r="X285" s="28">
        <v>0</v>
      </c>
      <c r="Y285" s="181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81" t="s">
        <v>83</v>
      </c>
      <c r="AF285" s="181" t="s">
        <v>83</v>
      </c>
      <c r="AG285" s="181" t="s">
        <v>83</v>
      </c>
      <c r="AH285" s="181" t="s">
        <v>83</v>
      </c>
      <c r="AI285" s="28">
        <v>1</v>
      </c>
      <c r="AJ285" s="28"/>
      <c r="AK285" s="28">
        <v>1</v>
      </c>
      <c r="AL285" s="28">
        <v>1</v>
      </c>
      <c r="AM285" s="181" t="s">
        <v>83</v>
      </c>
      <c r="AN285" s="28">
        <v>1</v>
      </c>
      <c r="AO285" s="28">
        <v>1</v>
      </c>
      <c r="AP285" s="28">
        <v>1</v>
      </c>
    </row>
    <row r="286" spans="1:42">
      <c r="A286" s="157"/>
      <c r="B286" s="28" t="str">
        <f>物品!B288</f>
        <v>IC03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攻击力低</v>
      </c>
      <c r="I286" s="28">
        <f>VLOOKUP(B286,物品!B:CV,99,FALSE)</f>
        <v>0</v>
      </c>
      <c r="J286" s="159" t="str">
        <f t="shared" si="115"/>
        <v>攻击力低</v>
      </c>
      <c r="K286" s="159">
        <f t="shared" si="116"/>
        <v>0</v>
      </c>
      <c r="L286" s="28"/>
      <c r="M286" s="160">
        <f>VLOOKUP(LEFT(RIGHT(B286,5),4),物品!B:CU,20,FALSE)</f>
        <v>0</v>
      </c>
      <c r="N286" s="181" t="s">
        <v>83</v>
      </c>
      <c r="O286" s="160" t="s">
        <v>98</v>
      </c>
      <c r="P286" s="28">
        <v>0</v>
      </c>
      <c r="Q286" s="28">
        <v>0</v>
      </c>
      <c r="R286" s="181" t="s">
        <v>83</v>
      </c>
      <c r="S286" s="181" t="s">
        <v>83</v>
      </c>
      <c r="T286" s="181" t="s">
        <v>83</v>
      </c>
      <c r="U286" s="181" t="s">
        <v>83</v>
      </c>
      <c r="V286" s="28"/>
      <c r="W286" s="28" t="s">
        <v>88</v>
      </c>
      <c r="X286" s="28">
        <v>0</v>
      </c>
      <c r="Y286" s="181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81" t="s">
        <v>83</v>
      </c>
      <c r="AF286" s="181" t="s">
        <v>83</v>
      </c>
      <c r="AG286" s="181" t="s">
        <v>83</v>
      </c>
      <c r="AH286" s="181" t="s">
        <v>83</v>
      </c>
      <c r="AI286" s="28">
        <v>1</v>
      </c>
      <c r="AJ286" s="28"/>
      <c r="AK286" s="28">
        <v>1</v>
      </c>
      <c r="AL286" s="28">
        <v>1</v>
      </c>
      <c r="AM286" s="181" t="s">
        <v>83</v>
      </c>
      <c r="AN286" s="28">
        <v>1</v>
      </c>
      <c r="AO286" s="28">
        <v>1</v>
      </c>
      <c r="AP286" s="28">
        <v>1</v>
      </c>
    </row>
    <row r="287" spans="1:42">
      <c r="A287" s="157"/>
      <c r="B287" s="28" t="str">
        <f>物品!B289</f>
        <v>IC04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攻击力中</v>
      </c>
      <c r="I287" s="28">
        <f>VLOOKUP(B287,物品!B:CV,99,FALSE)</f>
        <v>0</v>
      </c>
      <c r="J287" s="159" t="str">
        <f t="shared" si="115"/>
        <v>攻击力中</v>
      </c>
      <c r="K287" s="159">
        <f t="shared" si="116"/>
        <v>0</v>
      </c>
      <c r="L287" s="28"/>
      <c r="M287" s="160">
        <f>VLOOKUP(LEFT(RIGHT(B287,5),4),物品!B:CU,20,FALSE)</f>
        <v>0</v>
      </c>
      <c r="N287" s="181" t="s">
        <v>83</v>
      </c>
      <c r="O287" s="160" t="s">
        <v>98</v>
      </c>
      <c r="P287" s="28">
        <v>0</v>
      </c>
      <c r="Q287" s="28">
        <v>0</v>
      </c>
      <c r="R287" s="181" t="s">
        <v>83</v>
      </c>
      <c r="S287" s="181" t="s">
        <v>83</v>
      </c>
      <c r="T287" s="181" t="s">
        <v>83</v>
      </c>
      <c r="U287" s="181" t="s">
        <v>83</v>
      </c>
      <c r="V287" s="28"/>
      <c r="W287" s="28" t="s">
        <v>88</v>
      </c>
      <c r="X287" s="28">
        <v>0</v>
      </c>
      <c r="Y287" s="181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81" t="s">
        <v>83</v>
      </c>
      <c r="AF287" s="181" t="s">
        <v>83</v>
      </c>
      <c r="AG287" s="181" t="s">
        <v>83</v>
      </c>
      <c r="AH287" s="181" t="s">
        <v>83</v>
      </c>
      <c r="AI287" s="28">
        <v>1</v>
      </c>
      <c r="AJ287" s="28"/>
      <c r="AK287" s="28">
        <v>1</v>
      </c>
      <c r="AL287" s="28">
        <v>1</v>
      </c>
      <c r="AM287" s="181" t="s">
        <v>83</v>
      </c>
      <c r="AN287" s="28">
        <v>1</v>
      </c>
      <c r="AO287" s="28">
        <v>1</v>
      </c>
      <c r="AP287" s="28">
        <v>1</v>
      </c>
    </row>
    <row r="288" spans="1:42">
      <c r="A288" s="157"/>
      <c r="B288" s="28" t="str">
        <f>物品!B290</f>
        <v>IC05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攻击力高</v>
      </c>
      <c r="I288" s="28">
        <f>VLOOKUP(B288,物品!B:CV,99,FALSE)</f>
        <v>0</v>
      </c>
      <c r="J288" s="159" t="str">
        <f t="shared" si="115"/>
        <v>攻击力高</v>
      </c>
      <c r="K288" s="159">
        <f t="shared" si="116"/>
        <v>0</v>
      </c>
      <c r="L288" s="28"/>
      <c r="M288" s="160">
        <f>VLOOKUP(LEFT(RIGHT(B288,5),4),物品!B:CU,20,FALSE)</f>
        <v>0</v>
      </c>
      <c r="N288" s="181" t="s">
        <v>83</v>
      </c>
      <c r="O288" s="160" t="s">
        <v>98</v>
      </c>
      <c r="P288" s="28">
        <v>0</v>
      </c>
      <c r="Q288" s="28">
        <v>0</v>
      </c>
      <c r="R288" s="181" t="s">
        <v>83</v>
      </c>
      <c r="S288" s="181" t="s">
        <v>83</v>
      </c>
      <c r="T288" s="181" t="s">
        <v>83</v>
      </c>
      <c r="U288" s="181" t="s">
        <v>83</v>
      </c>
      <c r="V288" s="28"/>
      <c r="W288" s="28" t="s">
        <v>88</v>
      </c>
      <c r="X288" s="28">
        <v>0</v>
      </c>
      <c r="Y288" s="181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81" t="s">
        <v>83</v>
      </c>
      <c r="AF288" s="181" t="s">
        <v>83</v>
      </c>
      <c r="AG288" s="181" t="s">
        <v>83</v>
      </c>
      <c r="AH288" s="181" t="s">
        <v>83</v>
      </c>
      <c r="AI288" s="28">
        <v>1</v>
      </c>
      <c r="AJ288" s="28"/>
      <c r="AK288" s="28">
        <v>1</v>
      </c>
      <c r="AL288" s="28">
        <v>1</v>
      </c>
      <c r="AM288" s="181" t="s">
        <v>83</v>
      </c>
      <c r="AN288" s="28">
        <v>1</v>
      </c>
      <c r="AO288" s="28">
        <v>1</v>
      </c>
      <c r="AP288" s="28">
        <v>1</v>
      </c>
    </row>
    <row r="289" spans="1:42">
      <c r="A289" s="157"/>
      <c r="B289" s="28" t="str">
        <f>物品!B291</f>
        <v>IC06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生命值低</v>
      </c>
      <c r="I289" s="28">
        <f>VLOOKUP(B289,物品!B:CV,99,FALSE)</f>
        <v>0</v>
      </c>
      <c r="J289" s="159" t="str">
        <f t="shared" si="115"/>
        <v>生命值低</v>
      </c>
      <c r="K289" s="159">
        <f t="shared" si="116"/>
        <v>0</v>
      </c>
      <c r="L289" s="28"/>
      <c r="M289" s="160">
        <f>VLOOKUP(LEFT(RIGHT(B289,5),4),物品!B:CU,20,FALSE)</f>
        <v>0</v>
      </c>
      <c r="N289" s="181" t="s">
        <v>83</v>
      </c>
      <c r="O289" s="160" t="s">
        <v>98</v>
      </c>
      <c r="P289" s="28">
        <v>0</v>
      </c>
      <c r="Q289" s="28">
        <v>0</v>
      </c>
      <c r="R289" s="181" t="s">
        <v>83</v>
      </c>
      <c r="S289" s="181" t="s">
        <v>83</v>
      </c>
      <c r="T289" s="181" t="s">
        <v>83</v>
      </c>
      <c r="U289" s="181" t="s">
        <v>83</v>
      </c>
      <c r="V289" s="28"/>
      <c r="W289" s="28" t="s">
        <v>88</v>
      </c>
      <c r="X289" s="28">
        <v>0</v>
      </c>
      <c r="Y289" s="181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81" t="s">
        <v>83</v>
      </c>
      <c r="AF289" s="181" t="s">
        <v>83</v>
      </c>
      <c r="AG289" s="181" t="s">
        <v>83</v>
      </c>
      <c r="AH289" s="181" t="s">
        <v>83</v>
      </c>
      <c r="AI289" s="28">
        <v>1</v>
      </c>
      <c r="AJ289" s="28"/>
      <c r="AK289" s="28">
        <v>1</v>
      </c>
      <c r="AL289" s="28">
        <v>1</v>
      </c>
      <c r="AM289" s="181" t="s">
        <v>83</v>
      </c>
      <c r="AN289" s="28">
        <v>1</v>
      </c>
      <c r="AO289" s="28">
        <v>1</v>
      </c>
      <c r="AP289" s="28">
        <v>1</v>
      </c>
    </row>
    <row r="290" spans="1:42">
      <c r="A290" s="157"/>
      <c r="B290" s="28" t="str">
        <f>物品!B292</f>
        <v>IC07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生命值中</v>
      </c>
      <c r="I290" s="28">
        <f>VLOOKUP(B290,物品!B:CV,99,FALSE)</f>
        <v>0</v>
      </c>
      <c r="J290" s="159" t="str">
        <f t="shared" si="115"/>
        <v>生命值中</v>
      </c>
      <c r="K290" s="159">
        <f t="shared" si="116"/>
        <v>0</v>
      </c>
      <c r="L290" s="28"/>
      <c r="M290" s="160">
        <f>VLOOKUP(LEFT(RIGHT(B290,5),4),物品!B:CU,20,FALSE)</f>
        <v>0</v>
      </c>
      <c r="N290" s="181" t="s">
        <v>83</v>
      </c>
      <c r="O290" s="160" t="s">
        <v>98</v>
      </c>
      <c r="P290" s="28">
        <v>0</v>
      </c>
      <c r="Q290" s="28">
        <v>0</v>
      </c>
      <c r="R290" s="181" t="s">
        <v>83</v>
      </c>
      <c r="S290" s="181" t="s">
        <v>83</v>
      </c>
      <c r="T290" s="181" t="s">
        <v>83</v>
      </c>
      <c r="U290" s="181" t="s">
        <v>83</v>
      </c>
      <c r="V290" s="28"/>
      <c r="W290" s="28" t="s">
        <v>88</v>
      </c>
      <c r="X290" s="28">
        <v>0</v>
      </c>
      <c r="Y290" s="181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81" t="s">
        <v>83</v>
      </c>
      <c r="AF290" s="181" t="s">
        <v>83</v>
      </c>
      <c r="AG290" s="181" t="s">
        <v>83</v>
      </c>
      <c r="AH290" s="181" t="s">
        <v>83</v>
      </c>
      <c r="AI290" s="28">
        <v>1</v>
      </c>
      <c r="AJ290" s="28"/>
      <c r="AK290" s="28">
        <v>1</v>
      </c>
      <c r="AL290" s="28">
        <v>1</v>
      </c>
      <c r="AM290" s="181" t="s">
        <v>83</v>
      </c>
      <c r="AN290" s="28">
        <v>1</v>
      </c>
      <c r="AO290" s="28">
        <v>1</v>
      </c>
      <c r="AP290" s="28">
        <v>1</v>
      </c>
    </row>
    <row r="291" spans="1:42">
      <c r="A291" s="157"/>
      <c r="B291" s="28" t="str">
        <f>物品!B293</f>
        <v>IC08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生命值高</v>
      </c>
      <c r="I291" s="28">
        <f>VLOOKUP(B291,物品!B:CV,99,FALSE)</f>
        <v>0</v>
      </c>
      <c r="J291" s="159" t="str">
        <f t="shared" si="115"/>
        <v>生命值高</v>
      </c>
      <c r="K291" s="159">
        <f t="shared" si="116"/>
        <v>0</v>
      </c>
      <c r="L291" s="28"/>
      <c r="M291" s="160">
        <f>VLOOKUP(LEFT(RIGHT(B291,5),4),物品!B:CU,20,FALSE)</f>
        <v>0</v>
      </c>
      <c r="N291" s="181" t="s">
        <v>83</v>
      </c>
      <c r="O291" s="160" t="s">
        <v>98</v>
      </c>
      <c r="P291" s="28">
        <v>0</v>
      </c>
      <c r="Q291" s="28">
        <v>0</v>
      </c>
      <c r="R291" s="181" t="s">
        <v>83</v>
      </c>
      <c r="S291" s="181" t="s">
        <v>83</v>
      </c>
      <c r="T291" s="181" t="s">
        <v>83</v>
      </c>
      <c r="U291" s="181" t="s">
        <v>83</v>
      </c>
      <c r="V291" s="28"/>
      <c r="W291" s="28" t="s">
        <v>88</v>
      </c>
      <c r="X291" s="28">
        <v>0</v>
      </c>
      <c r="Y291" s="181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81" t="s">
        <v>83</v>
      </c>
      <c r="AF291" s="181" t="s">
        <v>83</v>
      </c>
      <c r="AG291" s="181" t="s">
        <v>83</v>
      </c>
      <c r="AH291" s="181" t="s">
        <v>83</v>
      </c>
      <c r="AI291" s="28">
        <v>1</v>
      </c>
      <c r="AJ291" s="28"/>
      <c r="AK291" s="28">
        <v>1</v>
      </c>
      <c r="AL291" s="28">
        <v>1</v>
      </c>
      <c r="AM291" s="181" t="s">
        <v>83</v>
      </c>
      <c r="AN291" s="28">
        <v>1</v>
      </c>
      <c r="AO291" s="28">
        <v>1</v>
      </c>
      <c r="AP291" s="28">
        <v>1</v>
      </c>
    </row>
    <row r="292" spans="1:42">
      <c r="A292" s="157"/>
      <c r="B292" s="28" t="str">
        <f>物品!B294</f>
        <v>IC09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业力低</v>
      </c>
      <c r="I292" s="28">
        <f>VLOOKUP(B292,物品!B:CV,99,FALSE)</f>
        <v>0</v>
      </c>
      <c r="J292" s="159" t="str">
        <f t="shared" si="115"/>
        <v>业力低</v>
      </c>
      <c r="K292" s="159">
        <f t="shared" si="116"/>
        <v>0</v>
      </c>
      <c r="L292" s="28"/>
      <c r="M292" s="160">
        <f>VLOOKUP(LEFT(RIGHT(B292,5),4),物品!B:CU,20,FALSE)</f>
        <v>0</v>
      </c>
      <c r="N292" s="181" t="s">
        <v>83</v>
      </c>
      <c r="O292" s="160" t="s">
        <v>98</v>
      </c>
      <c r="P292" s="28">
        <v>0</v>
      </c>
      <c r="Q292" s="28">
        <v>0</v>
      </c>
      <c r="R292" s="181" t="s">
        <v>83</v>
      </c>
      <c r="S292" s="181" t="s">
        <v>83</v>
      </c>
      <c r="T292" s="181" t="s">
        <v>83</v>
      </c>
      <c r="U292" s="181" t="s">
        <v>83</v>
      </c>
      <c r="V292" s="28"/>
      <c r="W292" s="28" t="s">
        <v>88</v>
      </c>
      <c r="X292" s="28">
        <v>0</v>
      </c>
      <c r="Y292" s="181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81" t="s">
        <v>83</v>
      </c>
      <c r="AF292" s="181" t="s">
        <v>83</v>
      </c>
      <c r="AG292" s="181" t="s">
        <v>83</v>
      </c>
      <c r="AH292" s="181" t="s">
        <v>83</v>
      </c>
      <c r="AI292" s="28">
        <v>1</v>
      </c>
      <c r="AJ292" s="28"/>
      <c r="AK292" s="28">
        <v>1</v>
      </c>
      <c r="AL292" s="28">
        <v>1</v>
      </c>
      <c r="AM292" s="181" t="s">
        <v>83</v>
      </c>
      <c r="AN292" s="28">
        <v>1</v>
      </c>
      <c r="AO292" s="28">
        <v>1</v>
      </c>
      <c r="AP292" s="28">
        <v>1</v>
      </c>
    </row>
    <row r="293" spans="1:42">
      <c r="A293" s="157"/>
      <c r="B293" s="28" t="str">
        <f>物品!B295</f>
        <v>IC10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业力中</v>
      </c>
      <c r="I293" s="28">
        <f>VLOOKUP(B293,物品!B:CV,99,FALSE)</f>
        <v>0</v>
      </c>
      <c r="J293" s="159" t="str">
        <f t="shared" si="115"/>
        <v>业力中</v>
      </c>
      <c r="K293" s="159">
        <f t="shared" si="116"/>
        <v>0</v>
      </c>
      <c r="L293" s="28"/>
      <c r="M293" s="160">
        <f>VLOOKUP(LEFT(RIGHT(B293,5),4),物品!B:CU,20,FALSE)</f>
        <v>0</v>
      </c>
      <c r="N293" s="181" t="s">
        <v>83</v>
      </c>
      <c r="O293" s="160" t="s">
        <v>98</v>
      </c>
      <c r="P293" s="28">
        <v>0</v>
      </c>
      <c r="Q293" s="28">
        <v>0</v>
      </c>
      <c r="R293" s="181" t="s">
        <v>83</v>
      </c>
      <c r="S293" s="181" t="s">
        <v>83</v>
      </c>
      <c r="T293" s="181" t="s">
        <v>83</v>
      </c>
      <c r="U293" s="181" t="s">
        <v>83</v>
      </c>
      <c r="V293" s="28"/>
      <c r="W293" s="28" t="s">
        <v>88</v>
      </c>
      <c r="X293" s="28">
        <v>0</v>
      </c>
      <c r="Y293" s="181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81" t="s">
        <v>83</v>
      </c>
      <c r="AF293" s="181" t="s">
        <v>83</v>
      </c>
      <c r="AG293" s="181" t="s">
        <v>83</v>
      </c>
      <c r="AH293" s="181" t="s">
        <v>83</v>
      </c>
      <c r="AI293" s="28">
        <v>1</v>
      </c>
      <c r="AJ293" s="28"/>
      <c r="AK293" s="28">
        <v>1</v>
      </c>
      <c r="AL293" s="28">
        <v>1</v>
      </c>
      <c r="AM293" s="181" t="s">
        <v>83</v>
      </c>
      <c r="AN293" s="28">
        <v>1</v>
      </c>
      <c r="AO293" s="28">
        <v>1</v>
      </c>
      <c r="AP293" s="28">
        <v>1</v>
      </c>
    </row>
    <row r="294" spans="1:42">
      <c r="A294" s="157"/>
      <c r="B294" s="28" t="str">
        <f>物品!B296</f>
        <v>IC11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业力高</v>
      </c>
      <c r="I294" s="28">
        <f>VLOOKUP(B294,物品!B:CV,99,FALSE)</f>
        <v>0</v>
      </c>
      <c r="J294" s="159" t="str">
        <f t="shared" si="115"/>
        <v>业力高</v>
      </c>
      <c r="K294" s="159">
        <f t="shared" si="116"/>
        <v>0</v>
      </c>
      <c r="L294" s="28"/>
      <c r="M294" s="160">
        <f>VLOOKUP(LEFT(RIGHT(B294,5),4),物品!B:CU,20,FALSE)</f>
        <v>0</v>
      </c>
      <c r="N294" s="181" t="s">
        <v>83</v>
      </c>
      <c r="O294" s="160" t="s">
        <v>98</v>
      </c>
      <c r="P294" s="28">
        <v>0</v>
      </c>
      <c r="Q294" s="28">
        <v>0</v>
      </c>
      <c r="R294" s="181" t="s">
        <v>83</v>
      </c>
      <c r="S294" s="181" t="s">
        <v>83</v>
      </c>
      <c r="T294" s="181" t="s">
        <v>83</v>
      </c>
      <c r="U294" s="181" t="s">
        <v>83</v>
      </c>
      <c r="V294" s="28"/>
      <c r="W294" s="28" t="s">
        <v>88</v>
      </c>
      <c r="X294" s="28">
        <v>0</v>
      </c>
      <c r="Y294" s="181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81" t="s">
        <v>83</v>
      </c>
      <c r="AF294" s="181" t="s">
        <v>83</v>
      </c>
      <c r="AG294" s="181" t="s">
        <v>83</v>
      </c>
      <c r="AH294" s="181" t="s">
        <v>83</v>
      </c>
      <c r="AI294" s="28">
        <v>1</v>
      </c>
      <c r="AJ294" s="28"/>
      <c r="AK294" s="28">
        <v>1</v>
      </c>
      <c r="AL294" s="28">
        <v>1</v>
      </c>
      <c r="AM294" s="181" t="s">
        <v>83</v>
      </c>
      <c r="AN294" s="28">
        <v>1</v>
      </c>
      <c r="AO294" s="28">
        <v>1</v>
      </c>
      <c r="AP294" s="28">
        <v>1</v>
      </c>
    </row>
    <row r="295" spans="1:42">
      <c r="A295" s="157"/>
      <c r="B295" s="28"/>
      <c r="C295" s="28"/>
      <c r="D295" s="28"/>
      <c r="E295" s="28"/>
      <c r="F295" s="28"/>
      <c r="G295" s="28"/>
      <c r="H295" s="28"/>
      <c r="I295" s="28"/>
      <c r="J295" s="159"/>
      <c r="K295" s="159"/>
      <c r="L295" s="28"/>
      <c r="M295" s="160"/>
      <c r="N295" s="28"/>
      <c r="O295" s="160"/>
      <c r="P295" s="28"/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</row>
    <row r="296" spans="1:42">
      <c r="A296" s="157"/>
      <c r="B296" s="28"/>
      <c r="C296" s="28"/>
      <c r="D296" s="28"/>
      <c r="E296" s="28"/>
      <c r="F296" s="28"/>
      <c r="G296" s="28"/>
      <c r="H296" s="28"/>
      <c r="I296" s="28"/>
      <c r="J296" s="159"/>
      <c r="K296" s="159"/>
      <c r="L296" s="28"/>
      <c r="M296" s="160"/>
      <c r="N296" s="28"/>
      <c r="O296" s="160"/>
      <c r="P296" s="28"/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</row>
    <row r="297" spans="1:42">
      <c r="A297" s="157"/>
      <c r="B297" s="28"/>
      <c r="C297" s="28"/>
      <c r="D297" s="28"/>
      <c r="E297" s="28"/>
      <c r="F297" s="28"/>
      <c r="G297" s="28"/>
      <c r="H297" s="28"/>
      <c r="I297" s="28"/>
      <c r="J297" s="159"/>
      <c r="K297" s="159"/>
      <c r="L297" s="28"/>
      <c r="M297" s="160"/>
      <c r="N297" s="28"/>
      <c r="O297" s="160"/>
      <c r="P297" s="28"/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</row>
    <row r="298" spans="1:42">
      <c r="A298" s="157"/>
      <c r="B298" s="28"/>
      <c r="C298" s="28"/>
      <c r="D298" s="28"/>
      <c r="E298" s="28"/>
      <c r="F298" s="28"/>
      <c r="G298" s="28"/>
      <c r="H298" s="28"/>
      <c r="I298" s="28"/>
      <c r="J298" s="159"/>
      <c r="K298" s="159"/>
      <c r="L298" s="28"/>
      <c r="M298" s="160"/>
      <c r="N298" s="28"/>
      <c r="O298" s="160"/>
      <c r="P298" s="28"/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</row>
    <row r="299" spans="1:42">
      <c r="A299" s="157"/>
      <c r="B299" s="28"/>
      <c r="C299" s="28"/>
      <c r="D299" s="28"/>
      <c r="E299" s="28"/>
      <c r="F299" s="28"/>
      <c r="G299" s="28"/>
      <c r="H299" s="28"/>
      <c r="I299" s="28"/>
      <c r="J299" s="159"/>
      <c r="K299" s="159"/>
      <c r="L299" s="28"/>
      <c r="M299" s="160"/>
      <c r="N299" s="28"/>
      <c r="O299" s="160"/>
      <c r="P299" s="28"/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</row>
    <row r="300" spans="1:42">
      <c r="A300" s="157"/>
      <c r="B300" s="28"/>
      <c r="C300" s="28"/>
      <c r="D300" s="28"/>
      <c r="E300" s="28"/>
      <c r="F300" s="28"/>
      <c r="G300" s="28"/>
      <c r="H300" s="28"/>
      <c r="I300" s="28"/>
      <c r="J300" s="159"/>
      <c r="K300" s="159"/>
      <c r="L300" s="28"/>
      <c r="M300" s="160"/>
      <c r="N300" s="28"/>
      <c r="O300" s="160"/>
      <c r="P300" s="28"/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</row>
    <row r="301" spans="1:42">
      <c r="A301" s="157"/>
      <c r="B301" s="28"/>
      <c r="C301" s="28"/>
      <c r="D301" s="28"/>
      <c r="E301" s="28"/>
      <c r="F301" s="28"/>
      <c r="G301" s="28"/>
      <c r="H301" s="28"/>
      <c r="I301" s="28"/>
      <c r="J301" s="159"/>
      <c r="K301" s="159"/>
      <c r="L301" s="28"/>
      <c r="M301" s="160"/>
      <c r="N301" s="28"/>
      <c r="O301" s="160"/>
      <c r="P301" s="28"/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</row>
    <row r="302" spans="1:42">
      <c r="A302" s="157"/>
      <c r="B302" s="28"/>
      <c r="C302" s="28"/>
      <c r="D302" s="28"/>
      <c r="E302" s="28"/>
      <c r="F302" s="28"/>
      <c r="G302" s="28"/>
      <c r="H302" s="28"/>
      <c r="I302" s="28"/>
      <c r="J302" s="159"/>
      <c r="K302" s="159"/>
      <c r="L302" s="28"/>
      <c r="M302" s="160"/>
      <c r="N302" s="28"/>
      <c r="O302" s="160"/>
      <c r="P302" s="28"/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</row>
    <row r="303" spans="1:42">
      <c r="A303" s="157"/>
      <c r="B303" s="28"/>
      <c r="C303" s="28"/>
      <c r="D303" s="28"/>
      <c r="E303" s="28"/>
      <c r="F303" s="28"/>
      <c r="G303" s="28"/>
      <c r="H303" s="28"/>
      <c r="I303" s="28"/>
      <c r="J303" s="159"/>
      <c r="K303" s="159"/>
      <c r="L303" s="28"/>
      <c r="M303" s="160"/>
      <c r="N303" s="28"/>
      <c r="O303" s="160"/>
      <c r="P303" s="28"/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</row>
    <row r="304" spans="1:42">
      <c r="A304" s="157"/>
      <c r="B304" s="28"/>
      <c r="C304" s="28"/>
      <c r="D304" s="28"/>
      <c r="E304" s="28"/>
      <c r="F304" s="28"/>
      <c r="G304" s="28"/>
      <c r="H304" s="28"/>
      <c r="I304" s="28"/>
      <c r="J304" s="159"/>
      <c r="K304" s="159"/>
      <c r="L304" s="28"/>
      <c r="M304" s="160"/>
      <c r="N304" s="28"/>
      <c r="O304" s="160"/>
      <c r="P304" s="28"/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</row>
    <row r="305" spans="1:42">
      <c r="A305" s="157"/>
      <c r="B305" s="28"/>
      <c r="C305" s="28"/>
      <c r="D305" s="28"/>
      <c r="E305" s="28"/>
      <c r="F305" s="28"/>
      <c r="G305" s="28"/>
      <c r="H305" s="28"/>
      <c r="I305" s="28"/>
      <c r="J305" s="159"/>
      <c r="K305" s="159"/>
      <c r="L305" s="28"/>
      <c r="M305" s="160"/>
      <c r="N305" s="28"/>
      <c r="O305" s="160"/>
      <c r="P305" s="28"/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</row>
    <row r="306" spans="1:42">
      <c r="A306" s="157"/>
      <c r="B306" s="28"/>
      <c r="C306" s="28"/>
      <c r="D306" s="28"/>
      <c r="E306" s="28"/>
      <c r="F306" s="28"/>
      <c r="G306" s="28"/>
      <c r="H306" s="28"/>
      <c r="I306" s="28"/>
      <c r="J306" s="159"/>
      <c r="K306" s="159"/>
      <c r="L306" s="28"/>
      <c r="M306" s="160"/>
      <c r="N306" s="28"/>
      <c r="O306" s="160"/>
      <c r="P306" s="28"/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</row>
    <row r="307" spans="1:42">
      <c r="A307" s="157"/>
      <c r="B307" s="28"/>
      <c r="C307" s="28"/>
      <c r="D307" s="28"/>
      <c r="E307" s="28"/>
      <c r="F307" s="28"/>
      <c r="G307" s="28"/>
      <c r="H307" s="28"/>
      <c r="I307" s="28"/>
      <c r="J307" s="159"/>
      <c r="K307" s="159"/>
      <c r="L307" s="28"/>
      <c r="M307" s="160"/>
      <c r="N307" s="28"/>
      <c r="O307" s="160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7"/>
      <c r="B308" s="28"/>
      <c r="C308" s="28"/>
      <c r="D308" s="28"/>
      <c r="E308" s="28"/>
      <c r="F308" s="28"/>
      <c r="G308" s="28"/>
      <c r="H308" s="28"/>
      <c r="I308" s="28"/>
      <c r="J308" s="159"/>
      <c r="K308" s="159"/>
      <c r="L308" s="28"/>
      <c r="M308" s="160"/>
      <c r="N308" s="28"/>
      <c r="O308" s="160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7"/>
      <c r="B309" s="28"/>
      <c r="C309" s="28"/>
      <c r="D309" s="28"/>
      <c r="E309" s="28"/>
      <c r="F309" s="28"/>
      <c r="G309" s="28"/>
      <c r="H309" s="28"/>
      <c r="I309" s="28"/>
      <c r="J309" s="159"/>
      <c r="K309" s="159"/>
      <c r="L309" s="28"/>
      <c r="M309" s="160"/>
      <c r="N309" s="28"/>
      <c r="O309" s="160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7"/>
      <c r="B310" s="28"/>
      <c r="C310" s="28"/>
      <c r="D310" s="28"/>
      <c r="E310" s="28"/>
      <c r="F310" s="28"/>
      <c r="G310" s="28"/>
      <c r="H310" s="28"/>
      <c r="I310" s="28"/>
      <c r="J310" s="159"/>
      <c r="K310" s="159"/>
      <c r="L310" s="28"/>
      <c r="M310" s="160"/>
      <c r="N310" s="28"/>
      <c r="O310" s="160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7"/>
      <c r="B311" s="28"/>
      <c r="C311" s="28"/>
      <c r="D311" s="28"/>
      <c r="E311" s="28"/>
      <c r="F311" s="28"/>
      <c r="G311" s="28"/>
      <c r="H311" s="28"/>
      <c r="I311" s="28"/>
      <c r="J311" s="159"/>
      <c r="K311" s="159"/>
      <c r="L311" s="28"/>
      <c r="M311" s="160"/>
      <c r="N311" s="28"/>
      <c r="O311" s="160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7"/>
      <c r="B312" s="28"/>
      <c r="C312" s="28"/>
      <c r="D312" s="28"/>
      <c r="E312" s="28"/>
      <c r="F312" s="28"/>
      <c r="G312" s="28"/>
      <c r="H312" s="28"/>
      <c r="I312" s="28"/>
      <c r="J312" s="159"/>
      <c r="K312" s="159"/>
      <c r="L312" s="28"/>
      <c r="M312" s="160"/>
      <c r="N312" s="28"/>
      <c r="O312" s="160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7"/>
      <c r="B313" s="28"/>
      <c r="C313" s="28"/>
      <c r="D313" s="28"/>
      <c r="E313" s="28"/>
      <c r="F313" s="28"/>
      <c r="G313" s="28"/>
      <c r="H313" s="28"/>
      <c r="I313" s="28"/>
      <c r="J313" s="159"/>
      <c r="K313" s="159"/>
      <c r="L313" s="28"/>
      <c r="M313" s="160"/>
      <c r="N313" s="28"/>
      <c r="O313" s="160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7"/>
      <c r="B314" s="28"/>
      <c r="C314" s="28"/>
      <c r="D314" s="28"/>
      <c r="E314" s="28"/>
      <c r="F314" s="28"/>
      <c r="G314" s="28"/>
      <c r="H314" s="28"/>
      <c r="I314" s="28"/>
      <c r="J314" s="159"/>
      <c r="K314" s="159"/>
      <c r="L314" s="28"/>
      <c r="M314" s="160"/>
      <c r="N314" s="28"/>
      <c r="O314" s="160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7"/>
      <c r="B315" s="28"/>
      <c r="C315" s="28"/>
      <c r="D315" s="28"/>
      <c r="E315" s="28"/>
      <c r="F315" s="28"/>
      <c r="G315" s="28"/>
      <c r="H315" s="28"/>
      <c r="I315" s="28"/>
      <c r="J315" s="159"/>
      <c r="K315" s="159"/>
      <c r="L315" s="28"/>
      <c r="M315" s="160"/>
      <c r="N315" s="28"/>
      <c r="O315" s="160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7"/>
      <c r="B316" s="28"/>
      <c r="C316" s="28"/>
      <c r="D316" s="28"/>
      <c r="E316" s="28"/>
      <c r="F316" s="28"/>
      <c r="G316" s="28"/>
      <c r="H316" s="28"/>
      <c r="I316" s="28"/>
      <c r="J316" s="159"/>
      <c r="K316" s="159"/>
      <c r="L316" s="28"/>
      <c r="M316" s="160"/>
      <c r="N316" s="28"/>
      <c r="O316" s="160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7"/>
      <c r="B317" s="28"/>
      <c r="C317" s="28"/>
      <c r="D317" s="28"/>
      <c r="E317" s="28"/>
      <c r="F317" s="28"/>
      <c r="G317" s="28"/>
      <c r="H317" s="28"/>
      <c r="I317" s="28"/>
      <c r="J317" s="159"/>
      <c r="K317" s="159"/>
      <c r="L317" s="28"/>
      <c r="M317" s="160"/>
      <c r="N317" s="28"/>
      <c r="O317" s="160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7"/>
      <c r="B318" s="28"/>
      <c r="C318" s="28"/>
      <c r="D318" s="28"/>
      <c r="E318" s="28"/>
      <c r="F318" s="28"/>
      <c r="G318" s="28"/>
      <c r="H318" s="28"/>
      <c r="I318" s="28"/>
      <c r="J318" s="159"/>
      <c r="K318" s="159"/>
      <c r="L318" s="28"/>
      <c r="M318" s="160"/>
      <c r="N318" s="28"/>
      <c r="O318" s="160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7"/>
      <c r="B319" s="28"/>
      <c r="C319" s="28"/>
      <c r="D319" s="28"/>
      <c r="E319" s="28"/>
      <c r="F319" s="28"/>
      <c r="G319" s="28"/>
      <c r="H319" s="28"/>
      <c r="I319" s="28"/>
      <c r="J319" s="159"/>
      <c r="K319" s="159"/>
      <c r="L319" s="28"/>
      <c r="M319" s="160"/>
      <c r="N319" s="28"/>
      <c r="O319" s="160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7"/>
      <c r="B320" s="28"/>
      <c r="C320" s="28"/>
      <c r="D320" s="28"/>
      <c r="E320" s="28"/>
      <c r="F320" s="28"/>
      <c r="G320" s="28"/>
      <c r="H320" s="28"/>
      <c r="I320" s="28"/>
      <c r="J320" s="159"/>
      <c r="K320" s="159"/>
      <c r="L320" s="28"/>
      <c r="M320" s="160"/>
      <c r="N320" s="28"/>
      <c r="O320" s="160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7"/>
      <c r="B321" s="28"/>
      <c r="C321" s="28"/>
      <c r="D321" s="28"/>
      <c r="E321" s="28"/>
      <c r="F321" s="28"/>
      <c r="G321" s="28"/>
      <c r="H321" s="28"/>
      <c r="I321" s="28"/>
      <c r="J321" s="159"/>
      <c r="K321" s="159"/>
      <c r="L321" s="28"/>
      <c r="M321" s="160"/>
      <c r="N321" s="28"/>
      <c r="O321" s="160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7"/>
      <c r="B322" s="28"/>
      <c r="C322" s="28"/>
      <c r="D322" s="28"/>
      <c r="E322" s="28"/>
      <c r="F322" s="28"/>
      <c r="G322" s="28"/>
      <c r="H322" s="28"/>
      <c r="I322" s="28"/>
      <c r="J322" s="159"/>
      <c r="K322" s="159"/>
      <c r="L322" s="28"/>
      <c r="M322" s="160"/>
      <c r="N322" s="28"/>
      <c r="O322" s="160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7"/>
      <c r="B323" s="28"/>
      <c r="C323" s="28"/>
      <c r="D323" s="28"/>
      <c r="E323" s="28"/>
      <c r="F323" s="28"/>
      <c r="G323" s="28"/>
      <c r="H323" s="28"/>
      <c r="I323" s="28"/>
      <c r="J323" s="159"/>
      <c r="K323" s="159"/>
      <c r="L323" s="28"/>
      <c r="M323" s="160"/>
      <c r="N323" s="28"/>
      <c r="O323" s="160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7"/>
      <c r="B324" s="28"/>
      <c r="C324" s="28"/>
      <c r="D324" s="28"/>
      <c r="E324" s="28"/>
      <c r="F324" s="28"/>
      <c r="G324" s="28"/>
      <c r="H324" s="28"/>
      <c r="I324" s="28"/>
      <c r="J324" s="159"/>
      <c r="K324" s="159"/>
      <c r="L324" s="28"/>
      <c r="M324" s="160"/>
      <c r="N324" s="28"/>
      <c r="O324" s="160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7"/>
      <c r="B325" s="28"/>
      <c r="C325" s="28"/>
      <c r="D325" s="28"/>
      <c r="E325" s="28"/>
      <c r="F325" s="28"/>
      <c r="G325" s="28"/>
      <c r="H325" s="28"/>
      <c r="I325" s="28"/>
      <c r="J325" s="159"/>
      <c r="K325" s="159"/>
      <c r="L325" s="28"/>
      <c r="M325" s="160"/>
      <c r="N325" s="28"/>
      <c r="O325" s="160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7"/>
      <c r="B326" s="28"/>
      <c r="C326" s="28"/>
      <c r="D326" s="28"/>
      <c r="E326" s="28"/>
      <c r="F326" s="28"/>
      <c r="G326" s="28"/>
      <c r="H326" s="28"/>
      <c r="I326" s="28"/>
      <c r="J326" s="159"/>
      <c r="K326" s="159"/>
      <c r="L326" s="28"/>
      <c r="M326" s="160"/>
      <c r="N326" s="28"/>
      <c r="O326" s="160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7"/>
      <c r="B327" s="28"/>
      <c r="C327" s="28"/>
      <c r="D327" s="28"/>
      <c r="E327" s="28"/>
      <c r="F327" s="28"/>
      <c r="G327" s="28"/>
      <c r="H327" s="28"/>
      <c r="I327" s="28"/>
      <c r="J327" s="159"/>
      <c r="K327" s="159"/>
      <c r="L327" s="28"/>
      <c r="M327" s="160"/>
      <c r="N327" s="28"/>
      <c r="O327" s="160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7"/>
      <c r="B328" s="28"/>
      <c r="C328" s="28"/>
      <c r="D328" s="28"/>
      <c r="E328" s="28"/>
      <c r="F328" s="28"/>
      <c r="G328" s="28"/>
      <c r="H328" s="28"/>
      <c r="I328" s="28"/>
      <c r="J328" s="159"/>
      <c r="K328" s="159"/>
      <c r="L328" s="28"/>
      <c r="M328" s="160"/>
      <c r="N328" s="28"/>
      <c r="O328" s="160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7"/>
      <c r="B329" s="28"/>
      <c r="C329" s="28"/>
      <c r="D329" s="28"/>
      <c r="E329" s="28"/>
      <c r="F329" s="28"/>
      <c r="G329" s="28"/>
      <c r="H329" s="28"/>
      <c r="I329" s="28"/>
      <c r="J329" s="159"/>
      <c r="K329" s="159"/>
      <c r="L329" s="28"/>
      <c r="M329" s="160"/>
      <c r="N329" s="28"/>
      <c r="O329" s="160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7"/>
      <c r="B330" s="28"/>
      <c r="C330" s="28"/>
      <c r="D330" s="28"/>
      <c r="E330" s="28"/>
      <c r="F330" s="28"/>
      <c r="G330" s="28"/>
      <c r="H330" s="28"/>
      <c r="I330" s="28"/>
      <c r="J330" s="159"/>
      <c r="K330" s="159"/>
      <c r="L330" s="28"/>
      <c r="M330" s="160"/>
      <c r="N330" s="28"/>
      <c r="O330" s="160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7"/>
      <c r="B331" s="28"/>
      <c r="C331" s="28"/>
      <c r="D331" s="28"/>
      <c r="E331" s="28"/>
      <c r="F331" s="28"/>
      <c r="G331" s="28"/>
      <c r="H331" s="28"/>
      <c r="I331" s="28"/>
      <c r="J331" s="159"/>
      <c r="K331" s="159"/>
      <c r="L331" s="28"/>
      <c r="M331" s="160"/>
      <c r="N331" s="28"/>
      <c r="O331" s="160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7"/>
      <c r="B332" s="28"/>
      <c r="C332" s="28"/>
      <c r="D332" s="28"/>
      <c r="E332" s="28"/>
      <c r="F332" s="28"/>
      <c r="G332" s="28"/>
      <c r="H332" s="28"/>
      <c r="I332" s="28"/>
      <c r="J332" s="159"/>
      <c r="K332" s="159"/>
      <c r="L332" s="28"/>
      <c r="M332" s="160"/>
      <c r="N332" s="28"/>
      <c r="O332" s="160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7"/>
      <c r="B333" s="28"/>
      <c r="C333" s="28"/>
      <c r="D333" s="28"/>
      <c r="E333" s="28"/>
      <c r="F333" s="28"/>
      <c r="G333" s="28"/>
      <c r="H333" s="28"/>
      <c r="I333" s="28"/>
      <c r="J333" s="159"/>
      <c r="K333" s="159"/>
      <c r="L333" s="28"/>
      <c r="M333" s="160"/>
      <c r="N333" s="28"/>
      <c r="O333" s="160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7"/>
      <c r="B334" s="28"/>
      <c r="C334" s="28"/>
      <c r="D334" s="28"/>
      <c r="E334" s="28"/>
      <c r="F334" s="28"/>
      <c r="G334" s="28"/>
      <c r="H334" s="28"/>
      <c r="I334" s="28"/>
      <c r="J334" s="159"/>
      <c r="K334" s="159"/>
      <c r="L334" s="28"/>
      <c r="M334" s="160"/>
      <c r="N334" s="28"/>
      <c r="O334" s="160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7"/>
      <c r="B335" s="28"/>
      <c r="C335" s="28"/>
      <c r="D335" s="28"/>
      <c r="E335" s="28"/>
      <c r="F335" s="28"/>
      <c r="G335" s="28"/>
      <c r="H335" s="28"/>
      <c r="I335" s="28"/>
      <c r="J335" s="159"/>
      <c r="K335" s="159"/>
      <c r="L335" s="28"/>
      <c r="M335" s="160"/>
      <c r="N335" s="28"/>
      <c r="O335" s="160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7"/>
      <c r="B336" s="28"/>
      <c r="C336" s="28"/>
      <c r="D336" s="28"/>
      <c r="E336" s="28"/>
      <c r="F336" s="28"/>
      <c r="G336" s="28"/>
      <c r="H336" s="28"/>
      <c r="I336" s="28"/>
      <c r="J336" s="159"/>
      <c r="K336" s="159"/>
      <c r="L336" s="28"/>
      <c r="M336" s="160"/>
      <c r="N336" s="28"/>
      <c r="O336" s="160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7"/>
      <c r="B337" s="28"/>
      <c r="C337" s="28"/>
      <c r="D337" s="28"/>
      <c r="E337" s="28"/>
      <c r="F337" s="28"/>
      <c r="G337" s="28"/>
      <c r="H337" s="28"/>
      <c r="I337" s="28"/>
      <c r="J337" s="159"/>
      <c r="K337" s="159"/>
      <c r="L337" s="28"/>
      <c r="M337" s="160"/>
      <c r="N337" s="28"/>
      <c r="O337" s="160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7"/>
      <c r="B338" s="28"/>
      <c r="C338" s="28"/>
      <c r="D338" s="28"/>
      <c r="E338" s="28"/>
      <c r="F338" s="28"/>
      <c r="G338" s="28"/>
      <c r="H338" s="28"/>
      <c r="I338" s="28"/>
      <c r="J338" s="159"/>
      <c r="K338" s="159"/>
      <c r="L338" s="28"/>
      <c r="M338" s="160"/>
      <c r="N338" s="28"/>
      <c r="O338" s="160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7"/>
      <c r="B339" s="28"/>
      <c r="C339" s="28"/>
      <c r="D339" s="28"/>
      <c r="E339" s="28"/>
      <c r="F339" s="28"/>
      <c r="G339" s="28"/>
      <c r="H339" s="28"/>
      <c r="I339" s="28"/>
      <c r="J339" s="159"/>
      <c r="K339" s="159"/>
      <c r="L339" s="28"/>
      <c r="M339" s="160"/>
      <c r="N339" s="28"/>
      <c r="O339" s="160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7"/>
      <c r="B340" s="28"/>
      <c r="C340" s="28"/>
      <c r="D340" s="28"/>
      <c r="E340" s="28"/>
      <c r="F340" s="28"/>
      <c r="G340" s="28"/>
      <c r="H340" s="28"/>
      <c r="I340" s="28"/>
      <c r="J340" s="159"/>
      <c r="K340" s="159"/>
      <c r="L340" s="28"/>
      <c r="M340" s="160"/>
      <c r="N340" s="28"/>
      <c r="O340" s="160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7"/>
      <c r="B341" s="28"/>
      <c r="C341" s="28"/>
      <c r="D341" s="28"/>
      <c r="E341" s="28"/>
      <c r="F341" s="28"/>
      <c r="G341" s="28"/>
      <c r="H341" s="28"/>
      <c r="I341" s="28"/>
      <c r="J341" s="159"/>
      <c r="K341" s="159"/>
      <c r="L341" s="28"/>
      <c r="M341" s="160"/>
      <c r="N341" s="28"/>
      <c r="O341" s="160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7"/>
      <c r="B342" s="28"/>
      <c r="C342" s="28"/>
      <c r="D342" s="28"/>
      <c r="E342" s="28"/>
      <c r="F342" s="28"/>
      <c r="G342" s="28"/>
      <c r="H342" s="28"/>
      <c r="I342" s="28"/>
      <c r="J342" s="159"/>
      <c r="K342" s="159"/>
      <c r="L342" s="28"/>
      <c r="M342" s="160"/>
      <c r="N342" s="28"/>
      <c r="O342" s="160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 ht="14.4">
      <c r="B343" s="165"/>
      <c r="C343" s="28"/>
      <c r="D343" s="28"/>
      <c r="E343" s="28"/>
      <c r="H343" s="28"/>
      <c r="J343" s="159"/>
      <c r="K343" s="28"/>
      <c r="L343" s="28"/>
      <c r="O343" s="160"/>
      <c r="P343" s="28"/>
      <c r="Q343" s="28"/>
      <c r="W343" s="153"/>
      <c r="X343" s="153"/>
      <c r="Z343" s="28"/>
      <c r="AA343" s="28"/>
      <c r="AC343" s="28"/>
      <c r="AD343" s="28"/>
      <c r="AI343" s="28"/>
      <c r="AJ343" s="28"/>
      <c r="AK343" s="28"/>
      <c r="AO343" s="28"/>
      <c r="AP343" s="28"/>
    </row>
    <row r="344" spans="1:42" ht="14.4">
      <c r="B344" s="165"/>
      <c r="C344" s="28"/>
      <c r="D344" s="28"/>
      <c r="E344" s="28"/>
      <c r="H344" s="28"/>
      <c r="J344" s="159"/>
      <c r="K344" s="28"/>
      <c r="L344" s="28"/>
      <c r="O344" s="160"/>
      <c r="P344" s="28"/>
      <c r="Q344" s="28"/>
      <c r="W344" s="153"/>
      <c r="X344" s="153"/>
      <c r="Z344" s="28"/>
      <c r="AA344" s="28"/>
      <c r="AC344" s="28"/>
      <c r="AD344" s="28"/>
      <c r="AI344" s="28"/>
      <c r="AJ344" s="28"/>
      <c r="AK344" s="28"/>
      <c r="AO344" s="28"/>
      <c r="AP344" s="28"/>
    </row>
    <row r="345" spans="1:42" ht="14.4">
      <c r="B345" s="165"/>
      <c r="C345" s="28"/>
      <c r="D345" s="28"/>
      <c r="E345" s="28"/>
      <c r="H345" s="28"/>
      <c r="J345" s="159"/>
      <c r="K345" s="28"/>
      <c r="L345" s="28"/>
      <c r="O345" s="160"/>
      <c r="P345" s="28"/>
      <c r="Q345" s="28"/>
      <c r="W345" s="153"/>
      <c r="X345" s="153"/>
      <c r="Z345" s="28"/>
      <c r="AA345" s="28"/>
      <c r="AC345" s="28"/>
      <c r="AD345" s="28"/>
      <c r="AI345" s="28"/>
      <c r="AJ345" s="28"/>
      <c r="AK345" s="28"/>
      <c r="AO345" s="28"/>
      <c r="AP345" s="28"/>
    </row>
    <row r="346" spans="1:42" ht="14.4">
      <c r="B346" s="165"/>
      <c r="C346" s="28"/>
      <c r="D346" s="28"/>
      <c r="E346" s="28"/>
      <c r="H346" s="28"/>
      <c r="J346" s="159"/>
      <c r="K346" s="28"/>
      <c r="L346" s="28"/>
      <c r="O346" s="160"/>
      <c r="P346" s="28"/>
      <c r="Q346" s="28"/>
      <c r="W346" s="153"/>
      <c r="X346" s="153"/>
      <c r="Z346" s="28"/>
      <c r="AA346" s="28"/>
      <c r="AC346" s="28"/>
      <c r="AD346" s="28"/>
      <c r="AI346" s="28"/>
      <c r="AJ346" s="28"/>
      <c r="AK346" s="28"/>
      <c r="AO346" s="28"/>
      <c r="AP346" s="28"/>
    </row>
    <row r="347" spans="1:42" ht="14.4">
      <c r="B347" s="165"/>
      <c r="C347" s="28"/>
      <c r="D347" s="28"/>
      <c r="E347" s="28"/>
      <c r="H347" s="28"/>
      <c r="J347" s="159"/>
      <c r="K347" s="28"/>
      <c r="L347" s="28"/>
      <c r="O347" s="160"/>
      <c r="P347" s="28"/>
      <c r="Q347" s="28"/>
      <c r="W347" s="153"/>
      <c r="X347" s="153"/>
      <c r="Z347" s="28"/>
      <c r="AA347" s="28"/>
      <c r="AC347" s="28"/>
      <c r="AD347" s="28"/>
      <c r="AI347" s="28"/>
      <c r="AJ347" s="28"/>
      <c r="AK347" s="28"/>
      <c r="AO347" s="28"/>
      <c r="AP347" s="28"/>
    </row>
    <row r="348" spans="1:42" ht="14.4">
      <c r="B348" s="165"/>
      <c r="C348" s="28"/>
      <c r="D348" s="28"/>
      <c r="E348" s="28"/>
      <c r="H348" s="28"/>
      <c r="J348" s="159"/>
      <c r="K348" s="28"/>
      <c r="L348" s="28"/>
      <c r="O348" s="160"/>
      <c r="P348" s="28"/>
      <c r="Q348" s="28"/>
      <c r="W348" s="153"/>
      <c r="X348" s="153"/>
      <c r="Z348" s="28"/>
      <c r="AA348" s="28"/>
      <c r="AC348" s="28"/>
      <c r="AD348" s="28"/>
      <c r="AI348" s="28"/>
      <c r="AJ348" s="28"/>
      <c r="AK348" s="28"/>
      <c r="AO348" s="28"/>
      <c r="AP348" s="28"/>
    </row>
    <row r="349" spans="1:42" ht="14.4">
      <c r="B349" s="165"/>
      <c r="C349" s="28"/>
      <c r="D349" s="28"/>
      <c r="E349" s="28"/>
      <c r="H349" s="28"/>
      <c r="J349" s="159"/>
      <c r="K349" s="28"/>
      <c r="L349" s="28"/>
      <c r="O349" s="160"/>
      <c r="P349" s="28"/>
      <c r="Q349" s="28"/>
      <c r="W349" s="153"/>
      <c r="X349" s="153"/>
      <c r="Z349" s="28"/>
      <c r="AA349" s="28"/>
      <c r="AC349" s="28"/>
      <c r="AD349" s="28"/>
      <c r="AI349" s="28"/>
      <c r="AJ349" s="28"/>
      <c r="AK349" s="28"/>
      <c r="AO349" s="28"/>
      <c r="AP349" s="28"/>
    </row>
    <row r="350" spans="1:42" ht="14.4">
      <c r="B350" s="165"/>
      <c r="C350" s="28"/>
      <c r="D350" s="28"/>
      <c r="E350" s="28"/>
      <c r="H350" s="28"/>
      <c r="J350" s="159"/>
      <c r="K350" s="28"/>
      <c r="L350" s="28"/>
      <c r="O350" s="160"/>
      <c r="P350" s="28"/>
      <c r="Q350" s="28"/>
      <c r="W350" s="153"/>
      <c r="X350" s="153"/>
      <c r="Z350" s="28"/>
      <c r="AA350" s="28"/>
      <c r="AC350" s="28"/>
      <c r="AD350" s="28"/>
      <c r="AI350" s="28"/>
      <c r="AJ350" s="28"/>
      <c r="AK350" s="28"/>
      <c r="AO350" s="28"/>
      <c r="AP350" s="28"/>
    </row>
    <row r="351" spans="1:42" ht="14.4">
      <c r="B351" s="165"/>
      <c r="C351" s="28"/>
      <c r="D351" s="28"/>
      <c r="E351" s="28"/>
      <c r="H351" s="28"/>
      <c r="J351" s="159"/>
      <c r="K351" s="28"/>
      <c r="L351" s="28"/>
      <c r="O351" s="160"/>
      <c r="P351" s="28"/>
      <c r="Q351" s="28"/>
      <c r="W351" s="153"/>
      <c r="X351" s="153"/>
      <c r="Z351" s="28"/>
      <c r="AA351" s="28"/>
      <c r="AC351" s="28"/>
      <c r="AD351" s="28"/>
      <c r="AI351" s="28"/>
      <c r="AJ351" s="28"/>
      <c r="AK351" s="28"/>
      <c r="AO351" s="28"/>
      <c r="AP351" s="28"/>
    </row>
    <row r="352" spans="1:42" ht="14.4">
      <c r="B352" s="165"/>
      <c r="C352" s="28"/>
      <c r="D352" s="28"/>
      <c r="E352" s="28"/>
      <c r="H352" s="28"/>
      <c r="J352" s="159"/>
      <c r="K352" s="28"/>
      <c r="L352" s="28"/>
      <c r="O352" s="160"/>
      <c r="P352" s="28"/>
      <c r="Q352" s="28"/>
      <c r="W352" s="153"/>
      <c r="X352" s="153"/>
      <c r="Z352" s="28"/>
      <c r="AA352" s="28"/>
      <c r="AC352" s="28"/>
      <c r="AD352" s="28"/>
      <c r="AI352" s="28"/>
      <c r="AJ352" s="28"/>
      <c r="AK352" s="28"/>
      <c r="AO352" s="28"/>
      <c r="AP352" s="28"/>
    </row>
    <row r="353" spans="2:42" ht="14.4">
      <c r="B353" s="165"/>
      <c r="C353" s="28"/>
      <c r="D353" s="28"/>
      <c r="E353" s="28"/>
      <c r="H353" s="28"/>
      <c r="J353" s="159"/>
      <c r="K353" s="28"/>
      <c r="L353" s="28"/>
      <c r="O353" s="160"/>
      <c r="P353" s="28"/>
      <c r="Q353" s="28"/>
      <c r="W353" s="153"/>
      <c r="X353" s="153"/>
      <c r="Z353" s="28"/>
      <c r="AA353" s="28"/>
      <c r="AC353" s="28"/>
      <c r="AD353" s="28"/>
      <c r="AI353" s="28"/>
      <c r="AJ353" s="28"/>
      <c r="AK353" s="28"/>
      <c r="AO353" s="28"/>
      <c r="AP353" s="28"/>
    </row>
    <row r="354" spans="2:42" ht="14.4">
      <c r="B354" s="165"/>
      <c r="C354" s="28"/>
      <c r="D354" s="28"/>
      <c r="E354" s="28"/>
      <c r="H354" s="28"/>
      <c r="J354" s="159"/>
      <c r="K354" s="28"/>
      <c r="L354" s="28"/>
      <c r="O354" s="160"/>
      <c r="P354" s="28"/>
      <c r="Q354" s="28"/>
      <c r="W354" s="153"/>
      <c r="X354" s="153"/>
      <c r="Z354" s="28"/>
      <c r="AA354" s="28"/>
      <c r="AC354" s="28"/>
      <c r="AD354" s="28"/>
      <c r="AI354" s="28"/>
      <c r="AJ354" s="28"/>
      <c r="AK354" s="28"/>
      <c r="AO354" s="28"/>
      <c r="AP354" s="28"/>
    </row>
    <row r="355" spans="2:42" ht="14.4">
      <c r="B355" s="165"/>
      <c r="C355" s="28"/>
      <c r="D355" s="28"/>
      <c r="E355" s="28"/>
      <c r="H355" s="28"/>
      <c r="J355" s="159"/>
      <c r="K355" s="28"/>
      <c r="L355" s="28"/>
      <c r="O355" s="160"/>
      <c r="P355" s="28"/>
      <c r="Q355" s="28"/>
      <c r="W355" s="153"/>
      <c r="X355" s="153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2:42" ht="14.4">
      <c r="B356" s="165"/>
      <c r="C356" s="28"/>
      <c r="D356" s="28"/>
      <c r="E356" s="28"/>
      <c r="H356" s="28"/>
      <c r="J356" s="159"/>
      <c r="K356" s="28"/>
      <c r="L356" s="28"/>
      <c r="O356" s="160"/>
      <c r="P356" s="28"/>
      <c r="Q356" s="28"/>
      <c r="W356" s="153"/>
      <c r="X356" s="153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2:42" ht="14.4">
      <c r="B357" s="165"/>
      <c r="C357" s="28"/>
      <c r="D357" s="28"/>
      <c r="E357" s="28"/>
      <c r="H357" s="28"/>
      <c r="J357" s="159"/>
      <c r="K357" s="28"/>
      <c r="L357" s="28"/>
      <c r="O357" s="160"/>
      <c r="P357" s="28"/>
      <c r="Q357" s="28"/>
      <c r="W357" s="153"/>
      <c r="X357" s="153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2:42" ht="14.4">
      <c r="B358" s="165"/>
      <c r="C358" s="28"/>
      <c r="D358" s="28"/>
      <c r="E358" s="28"/>
      <c r="H358" s="28"/>
      <c r="J358" s="159"/>
      <c r="K358" s="28"/>
      <c r="L358" s="28"/>
      <c r="O358" s="160"/>
      <c r="P358" s="28"/>
      <c r="Q358" s="28"/>
      <c r="W358" s="153"/>
      <c r="X358" s="153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2:42" ht="14.4">
      <c r="B359" s="165"/>
      <c r="C359" s="28"/>
      <c r="D359" s="28"/>
      <c r="E359" s="28"/>
      <c r="H359" s="28"/>
      <c r="J359" s="159"/>
      <c r="K359" s="28"/>
      <c r="L359" s="28"/>
      <c r="O359" s="160"/>
      <c r="P359" s="28"/>
      <c r="Q359" s="28"/>
      <c r="W359" s="153"/>
      <c r="X359" s="153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2:42" ht="14.4">
      <c r="B360" s="165"/>
      <c r="C360" s="28"/>
      <c r="D360" s="28"/>
      <c r="E360" s="28"/>
      <c r="H360" s="28"/>
      <c r="J360" s="159"/>
      <c r="K360" s="28"/>
      <c r="L360" s="28"/>
      <c r="O360" s="160"/>
      <c r="P360" s="28"/>
      <c r="Q360" s="28"/>
      <c r="W360" s="153"/>
      <c r="X360" s="153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2:42" ht="14.4">
      <c r="B361" s="165"/>
      <c r="C361" s="28"/>
      <c r="D361" s="28"/>
      <c r="E361" s="28"/>
      <c r="H361" s="28"/>
      <c r="J361" s="159"/>
      <c r="K361" s="28"/>
      <c r="L361" s="28"/>
      <c r="O361" s="160"/>
      <c r="P361" s="28"/>
      <c r="Q361" s="28"/>
      <c r="W361" s="153"/>
      <c r="X361" s="153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2:42" ht="14.4">
      <c r="B362" s="165"/>
      <c r="C362" s="28"/>
      <c r="D362" s="28"/>
      <c r="E362" s="28"/>
      <c r="H362" s="28"/>
      <c r="J362" s="159"/>
      <c r="K362" s="28"/>
      <c r="L362" s="28"/>
      <c r="O362" s="160"/>
      <c r="P362" s="28"/>
      <c r="Q362" s="28"/>
      <c r="W362" s="153"/>
      <c r="X362" s="153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2:42" ht="14.4">
      <c r="B363" s="165"/>
      <c r="C363" s="28"/>
      <c r="D363" s="28"/>
      <c r="E363" s="28"/>
      <c r="H363" s="28"/>
      <c r="J363" s="159"/>
      <c r="K363" s="28"/>
      <c r="L363" s="28"/>
      <c r="O363" s="160"/>
      <c r="P363" s="28"/>
      <c r="Q363" s="28"/>
      <c r="W363" s="153"/>
      <c r="X363" s="153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2:42" ht="14.4">
      <c r="B364" s="165"/>
      <c r="C364" s="28"/>
      <c r="D364" s="28"/>
      <c r="E364" s="28"/>
      <c r="H364" s="28"/>
      <c r="J364" s="159"/>
      <c r="K364" s="28"/>
      <c r="L364" s="28"/>
      <c r="O364" s="160"/>
      <c r="P364" s="28"/>
      <c r="Q364" s="28"/>
      <c r="W364" s="153"/>
      <c r="X364" s="153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2:42" ht="14.4">
      <c r="B365" s="165"/>
      <c r="C365" s="28"/>
      <c r="D365" s="28"/>
      <c r="E365" s="28"/>
      <c r="H365" s="28"/>
      <c r="J365" s="159"/>
      <c r="K365" s="28"/>
      <c r="L365" s="28"/>
      <c r="O365" s="160"/>
      <c r="P365" s="28"/>
      <c r="Q365" s="28"/>
      <c r="W365" s="153"/>
      <c r="X365" s="153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2:42" ht="14.4">
      <c r="B366" s="165"/>
      <c r="C366" s="28"/>
      <c r="D366" s="28"/>
      <c r="E366" s="28"/>
      <c r="H366" s="28"/>
      <c r="J366" s="159"/>
      <c r="K366" s="28"/>
      <c r="L366" s="28"/>
      <c r="O366" s="160"/>
      <c r="P366" s="28"/>
      <c r="Q366" s="28"/>
      <c r="W366" s="153"/>
      <c r="X366" s="153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2:42" ht="14.4">
      <c r="B367" s="165"/>
      <c r="C367" s="28"/>
      <c r="D367" s="28"/>
      <c r="E367" s="28"/>
      <c r="H367" s="28"/>
      <c r="J367" s="159"/>
      <c r="K367" s="28"/>
      <c r="L367" s="28"/>
      <c r="O367" s="160"/>
      <c r="P367" s="28"/>
      <c r="Q367" s="28"/>
      <c r="W367" s="153"/>
      <c r="X367" s="153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2:42" ht="14.4">
      <c r="B368" s="165"/>
      <c r="C368" s="28"/>
      <c r="D368" s="28"/>
      <c r="E368" s="28"/>
      <c r="H368" s="28"/>
      <c r="J368" s="159"/>
      <c r="K368" s="28"/>
      <c r="L368" s="28"/>
      <c r="O368" s="160"/>
      <c r="P368" s="28"/>
      <c r="Q368" s="28"/>
      <c r="W368" s="153"/>
      <c r="X368" s="153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 ht="14.4">
      <c r="B369" s="165"/>
      <c r="C369" s="28"/>
      <c r="D369" s="28"/>
      <c r="E369" s="28"/>
      <c r="H369" s="28"/>
      <c r="J369" s="159"/>
      <c r="K369" s="28"/>
      <c r="L369" s="28"/>
      <c r="O369" s="160"/>
      <c r="P369" s="28"/>
      <c r="Q369" s="28"/>
      <c r="W369" s="153"/>
      <c r="X369" s="153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 ht="14.4">
      <c r="B370" s="165"/>
      <c r="C370" s="28"/>
      <c r="D370" s="28"/>
      <c r="E370" s="28"/>
      <c r="H370" s="28"/>
      <c r="J370" s="159"/>
      <c r="K370" s="28"/>
      <c r="L370" s="28"/>
      <c r="O370" s="160"/>
      <c r="P370" s="28"/>
      <c r="Q370" s="28"/>
      <c r="W370" s="153"/>
      <c r="X370" s="153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 ht="14.4">
      <c r="B371" s="165"/>
      <c r="C371" s="28"/>
      <c r="D371" s="28"/>
      <c r="E371" s="28"/>
      <c r="H371" s="28"/>
      <c r="J371" s="159"/>
      <c r="K371" s="28"/>
      <c r="L371" s="28"/>
      <c r="O371" s="160"/>
      <c r="P371" s="28"/>
      <c r="Q371" s="28"/>
      <c r="W371" s="153"/>
      <c r="X371" s="153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 ht="14.4">
      <c r="B372" s="165"/>
      <c r="C372" s="28"/>
      <c r="D372" s="28"/>
      <c r="E372" s="28"/>
      <c r="H372" s="28"/>
      <c r="J372" s="159"/>
      <c r="K372" s="28"/>
      <c r="L372" s="28"/>
      <c r="O372" s="160"/>
      <c r="P372" s="28"/>
      <c r="Q372" s="28"/>
      <c r="W372" s="153"/>
      <c r="X372" s="153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 ht="14.4">
      <c r="B373" s="165"/>
      <c r="C373" s="28"/>
      <c r="D373" s="28"/>
      <c r="E373" s="28"/>
      <c r="H373" s="28"/>
      <c r="J373" s="159"/>
      <c r="K373" s="28"/>
      <c r="L373" s="28"/>
      <c r="O373" s="160"/>
      <c r="P373" s="28"/>
      <c r="Q373" s="28"/>
      <c r="W373" s="153"/>
      <c r="X373" s="153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 ht="14.4">
      <c r="B374" s="165"/>
      <c r="C374" s="28"/>
      <c r="D374" s="28"/>
      <c r="E374" s="28"/>
      <c r="H374" s="28"/>
      <c r="J374" s="159"/>
      <c r="K374" s="28"/>
      <c r="L374" s="28"/>
      <c r="O374" s="160"/>
      <c r="P374" s="28"/>
      <c r="Q374" s="28"/>
      <c r="W374" s="153"/>
      <c r="X374" s="153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 ht="14.4">
      <c r="B375" s="165"/>
      <c r="C375" s="28"/>
      <c r="D375" s="28"/>
      <c r="E375" s="28"/>
      <c r="H375" s="28"/>
      <c r="J375" s="159"/>
      <c r="K375" s="28"/>
      <c r="L375" s="28"/>
      <c r="O375" s="160"/>
      <c r="P375" s="28"/>
      <c r="Q375" s="28"/>
      <c r="W375" s="153"/>
      <c r="X375" s="153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 ht="14.4">
      <c r="B376" s="165"/>
      <c r="C376" s="28"/>
      <c r="D376" s="28"/>
      <c r="E376" s="28"/>
      <c r="H376" s="28"/>
      <c r="J376" s="159"/>
      <c r="K376" s="28"/>
      <c r="L376" s="28"/>
      <c r="O376" s="160"/>
      <c r="P376" s="28"/>
      <c r="Q376" s="28"/>
      <c r="W376" s="153"/>
      <c r="X376" s="153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 ht="14.4">
      <c r="B377" s="165"/>
      <c r="C377" s="28"/>
      <c r="D377" s="28"/>
      <c r="E377" s="28"/>
      <c r="H377" s="28"/>
      <c r="J377" s="159"/>
      <c r="K377" s="28"/>
      <c r="L377" s="28"/>
      <c r="O377" s="160"/>
      <c r="P377" s="28"/>
      <c r="Q377" s="28"/>
      <c r="W377" s="153"/>
      <c r="X377" s="153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 ht="14.4">
      <c r="B378" s="165"/>
      <c r="C378" s="28"/>
      <c r="D378" s="28"/>
      <c r="E378" s="28"/>
      <c r="H378" s="28"/>
      <c r="J378" s="159"/>
      <c r="K378" s="28"/>
      <c r="L378" s="28"/>
      <c r="O378" s="160"/>
      <c r="P378" s="28"/>
      <c r="Q378" s="28"/>
      <c r="W378" s="153"/>
      <c r="X378" s="153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 ht="14.4">
      <c r="B379" s="165"/>
      <c r="C379" s="28"/>
      <c r="D379" s="28"/>
      <c r="E379" s="28"/>
      <c r="H379" s="28"/>
      <c r="J379" s="159"/>
      <c r="K379" s="28"/>
      <c r="L379" s="28"/>
      <c r="O379" s="160"/>
      <c r="P379" s="28"/>
      <c r="Q379" s="28"/>
      <c r="W379" s="153"/>
      <c r="X379" s="153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 ht="14.4">
      <c r="B380" s="165"/>
      <c r="C380" s="28"/>
      <c r="D380" s="28"/>
      <c r="E380" s="28"/>
      <c r="H380" s="28"/>
      <c r="J380" s="159"/>
      <c r="K380" s="28"/>
      <c r="L380" s="28"/>
      <c r="O380" s="160"/>
      <c r="P380" s="28"/>
      <c r="Q380" s="28"/>
      <c r="W380" s="153"/>
      <c r="X380" s="153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 ht="14.4">
      <c r="B381" s="165"/>
      <c r="C381" s="28"/>
      <c r="D381" s="28"/>
      <c r="E381" s="28"/>
      <c r="H381" s="28"/>
      <c r="J381" s="159"/>
      <c r="K381" s="28"/>
      <c r="L381" s="28"/>
      <c r="O381" s="160"/>
      <c r="P381" s="28"/>
      <c r="Q381" s="28"/>
      <c r="W381" s="153"/>
      <c r="X381" s="153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 ht="14.4">
      <c r="B382" s="165"/>
      <c r="C382" s="28"/>
      <c r="D382" s="28"/>
      <c r="E382" s="28"/>
      <c r="H382" s="28"/>
      <c r="J382" s="159"/>
      <c r="K382" s="28"/>
      <c r="L382" s="28"/>
      <c r="O382" s="160"/>
      <c r="P382" s="28"/>
      <c r="Q382" s="28"/>
      <c r="W382" s="153"/>
      <c r="X382" s="153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 ht="14.4">
      <c r="B383" s="165"/>
      <c r="C383" s="28"/>
      <c r="D383" s="28"/>
      <c r="E383" s="28"/>
      <c r="H383" s="28"/>
      <c r="J383" s="159"/>
      <c r="K383" s="28"/>
      <c r="L383" s="28"/>
      <c r="O383" s="160"/>
      <c r="P383" s="28"/>
      <c r="Q383" s="28"/>
      <c r="W383" s="153"/>
      <c r="X383" s="153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 ht="14.4">
      <c r="B384" s="165"/>
      <c r="C384" s="28"/>
      <c r="D384" s="28"/>
      <c r="E384" s="28"/>
      <c r="H384" s="28"/>
      <c r="J384" s="159"/>
      <c r="K384" s="28"/>
      <c r="L384" s="28"/>
      <c r="O384" s="160"/>
      <c r="P384" s="28"/>
      <c r="Q384" s="28"/>
      <c r="W384" s="153"/>
      <c r="X384" s="153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 ht="14.4">
      <c r="B385" s="165"/>
      <c r="C385" s="28"/>
      <c r="D385" s="28"/>
      <c r="E385" s="28"/>
      <c r="H385" s="28"/>
      <c r="J385" s="159"/>
      <c r="K385" s="28"/>
      <c r="L385" s="28"/>
      <c r="O385" s="160"/>
      <c r="P385" s="28"/>
      <c r="Q385" s="28"/>
      <c r="W385" s="153"/>
      <c r="X385" s="153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 ht="14.4">
      <c r="B386" s="165"/>
      <c r="C386" s="28"/>
      <c r="D386" s="28"/>
      <c r="E386" s="28"/>
      <c r="H386" s="28"/>
      <c r="J386" s="159"/>
      <c r="K386" s="28"/>
      <c r="L386" s="28"/>
      <c r="O386" s="160"/>
      <c r="P386" s="28"/>
      <c r="Q386" s="28"/>
      <c r="W386" s="153"/>
      <c r="X386" s="153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 ht="14.4">
      <c r="B387" s="165"/>
      <c r="C387" s="28"/>
      <c r="D387" s="28"/>
      <c r="E387" s="28"/>
      <c r="H387" s="28"/>
      <c r="J387" s="159"/>
      <c r="K387" s="28"/>
      <c r="L387" s="28"/>
      <c r="O387" s="160"/>
      <c r="P387" s="28"/>
      <c r="Q387" s="28"/>
      <c r="W387" s="153"/>
      <c r="X387" s="153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 ht="14.4">
      <c r="B388" s="165"/>
      <c r="C388" s="28"/>
      <c r="D388" s="28"/>
      <c r="E388" s="28"/>
      <c r="H388" s="28"/>
      <c r="J388" s="159"/>
      <c r="K388" s="28"/>
      <c r="L388" s="28"/>
      <c r="O388" s="160"/>
      <c r="P388" s="28"/>
      <c r="Q388" s="28"/>
      <c r="W388" s="153"/>
      <c r="X388" s="153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 ht="14.4">
      <c r="B389" s="165"/>
      <c r="C389" s="28"/>
      <c r="D389" s="28"/>
      <c r="E389" s="28"/>
      <c r="H389" s="28"/>
      <c r="J389" s="159"/>
      <c r="K389" s="28"/>
      <c r="L389" s="28"/>
      <c r="O389" s="160"/>
      <c r="P389" s="28"/>
      <c r="Q389" s="28"/>
      <c r="W389" s="153"/>
      <c r="X389" s="153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 ht="14.4">
      <c r="B390" s="165"/>
      <c r="C390" s="28"/>
      <c r="D390" s="28"/>
      <c r="E390" s="28"/>
      <c r="H390" s="28"/>
      <c r="J390" s="159"/>
      <c r="K390" s="28"/>
      <c r="L390" s="28"/>
      <c r="O390" s="160"/>
      <c r="P390" s="28"/>
      <c r="Q390" s="28"/>
      <c r="W390" s="153"/>
      <c r="X390" s="153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 ht="14.4">
      <c r="B391" s="165"/>
      <c r="C391" s="28"/>
      <c r="D391" s="28"/>
      <c r="E391" s="28"/>
      <c r="H391" s="28"/>
      <c r="J391" s="159"/>
      <c r="K391" s="28"/>
      <c r="L391" s="28"/>
      <c r="O391" s="160"/>
      <c r="P391" s="28"/>
      <c r="Q391" s="28"/>
      <c r="W391" s="153"/>
      <c r="X391" s="153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 ht="14.4">
      <c r="B392" s="165"/>
      <c r="C392" s="28"/>
      <c r="D392" s="28"/>
      <c r="E392" s="28"/>
      <c r="H392" s="28"/>
      <c r="J392" s="159"/>
      <c r="K392" s="28"/>
      <c r="L392" s="28"/>
      <c r="O392" s="160"/>
      <c r="P392" s="28"/>
      <c r="Q392" s="28"/>
      <c r="W392" s="153"/>
      <c r="X392" s="153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 ht="14.4">
      <c r="B393" s="165"/>
      <c r="C393" s="28"/>
      <c r="D393" s="28"/>
      <c r="E393" s="28"/>
      <c r="H393" s="28"/>
      <c r="J393" s="159"/>
      <c r="K393" s="28"/>
      <c r="L393" s="28"/>
      <c r="O393" s="160"/>
      <c r="P393" s="28"/>
      <c r="Q393" s="28"/>
      <c r="W393" s="153"/>
      <c r="X393" s="153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 ht="14.4">
      <c r="B394" s="165"/>
      <c r="C394" s="28"/>
      <c r="D394" s="28"/>
      <c r="E394" s="28"/>
      <c r="H394" s="28"/>
      <c r="J394" s="159"/>
      <c r="K394" s="28"/>
      <c r="L394" s="28"/>
      <c r="O394" s="160"/>
      <c r="P394" s="28"/>
      <c r="Q394" s="28"/>
      <c r="W394" s="153"/>
      <c r="X394" s="153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 ht="14.4">
      <c r="B395" s="165"/>
      <c r="C395" s="28"/>
      <c r="D395" s="28"/>
      <c r="E395" s="28"/>
      <c r="H395" s="28"/>
      <c r="J395" s="159"/>
      <c r="K395" s="28"/>
      <c r="L395" s="28"/>
      <c r="O395" s="160"/>
      <c r="P395" s="28"/>
      <c r="Q395" s="28"/>
      <c r="W395" s="153"/>
      <c r="X395" s="153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53"/>
      <c r="C396" s="28"/>
      <c r="D396" s="28"/>
      <c r="E396" s="28"/>
      <c r="H396" s="28"/>
      <c r="J396" s="159"/>
      <c r="K396" s="28"/>
      <c r="L396" s="28"/>
      <c r="M396" s="166"/>
      <c r="O396" s="160"/>
      <c r="P396" s="28"/>
      <c r="Q396" s="28"/>
      <c r="W396" s="28"/>
      <c r="X396" s="28"/>
      <c r="Z396" s="28"/>
      <c r="AA396" s="28"/>
      <c r="AC396" s="28"/>
      <c r="AD396" s="28"/>
      <c r="AJ396" s="28"/>
      <c r="AK396" s="28"/>
      <c r="AO396" s="28"/>
      <c r="AP396" s="28"/>
    </row>
    <row r="397" spans="2:42">
      <c r="B397" s="153"/>
      <c r="C397" s="28"/>
      <c r="D397" s="28"/>
      <c r="E397" s="28"/>
      <c r="H397" s="28"/>
      <c r="J397" s="159"/>
      <c r="K397" s="28"/>
      <c r="L397" s="28"/>
      <c r="M397" s="166"/>
      <c r="O397" s="160"/>
      <c r="P397" s="28"/>
      <c r="Q397" s="28"/>
      <c r="W397" s="28"/>
      <c r="X397" s="28"/>
      <c r="Z397" s="28"/>
      <c r="AA397" s="28"/>
      <c r="AC397" s="28"/>
      <c r="AD397" s="28"/>
      <c r="AJ397" s="28"/>
      <c r="AK397" s="28"/>
      <c r="AO397" s="28"/>
      <c r="AP397" s="28"/>
    </row>
    <row r="398" spans="2:42">
      <c r="B398" s="153"/>
      <c r="C398" s="28"/>
      <c r="D398" s="28"/>
      <c r="E398" s="28"/>
      <c r="H398" s="28"/>
      <c r="J398" s="159"/>
      <c r="K398" s="28"/>
      <c r="L398" s="28"/>
      <c r="M398" s="166"/>
      <c r="O398" s="160"/>
      <c r="P398" s="28"/>
      <c r="Q398" s="28"/>
      <c r="W398" s="28"/>
      <c r="X398" s="28"/>
      <c r="Z398" s="28"/>
      <c r="AA398" s="28"/>
      <c r="AC398" s="28"/>
      <c r="AD398" s="28"/>
      <c r="AJ398" s="28"/>
      <c r="AK398" s="28"/>
      <c r="AO398" s="28"/>
      <c r="AP398" s="28"/>
    </row>
    <row r="399" spans="2:42">
      <c r="B399" s="153"/>
      <c r="C399" s="28"/>
      <c r="D399" s="28"/>
      <c r="E399" s="28"/>
      <c r="H399" s="28"/>
      <c r="J399" s="159"/>
      <c r="K399" s="28"/>
      <c r="L399" s="28"/>
      <c r="M399" s="166"/>
      <c r="O399" s="160"/>
      <c r="P399" s="28"/>
      <c r="Q399" s="28"/>
      <c r="W399" s="28"/>
      <c r="X399" s="28"/>
      <c r="Z399" s="28"/>
      <c r="AA399" s="28"/>
      <c r="AC399" s="28"/>
      <c r="AD399" s="28"/>
      <c r="AJ399" s="28"/>
      <c r="AK399" s="28"/>
      <c r="AO399" s="28"/>
      <c r="AP399" s="28"/>
    </row>
    <row r="400" spans="2:42">
      <c r="B400" s="153"/>
      <c r="C400" s="28"/>
      <c r="D400" s="28"/>
      <c r="E400" s="28"/>
      <c r="H400" s="28"/>
      <c r="J400" s="159"/>
      <c r="K400" s="28"/>
      <c r="L400" s="28"/>
      <c r="M400" s="166"/>
      <c r="O400" s="160"/>
      <c r="P400" s="28"/>
      <c r="Q400" s="28"/>
      <c r="W400" s="28"/>
      <c r="X400" s="28"/>
      <c r="Z400" s="28"/>
      <c r="AA400" s="28"/>
      <c r="AC400" s="28"/>
      <c r="AD400" s="28"/>
      <c r="AJ400" s="28"/>
      <c r="AK400" s="28"/>
      <c r="AO400" s="28"/>
      <c r="AP400" s="28"/>
    </row>
    <row r="401" spans="2:42">
      <c r="B401" s="153"/>
      <c r="C401" s="28"/>
      <c r="D401" s="28"/>
      <c r="E401" s="28"/>
      <c r="H401" s="28"/>
      <c r="J401" s="159"/>
      <c r="K401" s="28"/>
      <c r="L401" s="28"/>
      <c r="M401" s="166"/>
      <c r="O401" s="160"/>
      <c r="P401" s="28"/>
      <c r="Q401" s="28"/>
      <c r="W401" s="28"/>
      <c r="X401" s="28"/>
      <c r="Z401" s="28"/>
      <c r="AA401" s="28"/>
      <c r="AC401" s="28"/>
      <c r="AD401" s="28"/>
      <c r="AJ401" s="28"/>
      <c r="AK401" s="28"/>
      <c r="AO401" s="28"/>
      <c r="AP401" s="28"/>
    </row>
    <row r="402" spans="2:42">
      <c r="B402" s="153"/>
      <c r="C402" s="28"/>
      <c r="D402" s="28"/>
      <c r="E402" s="28"/>
      <c r="H402" s="28"/>
      <c r="J402" s="159"/>
      <c r="K402" s="28"/>
      <c r="L402" s="28"/>
      <c r="M402" s="166"/>
      <c r="P402" s="28"/>
      <c r="Q402" s="28"/>
      <c r="W402" s="28"/>
      <c r="X402" s="28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3"/>
      <c r="C403" s="28"/>
      <c r="D403" s="28"/>
      <c r="E403" s="28"/>
      <c r="H403" s="28"/>
      <c r="J403" s="159"/>
      <c r="K403" s="28"/>
      <c r="L403" s="28"/>
      <c r="M403" s="166"/>
      <c r="P403" s="28"/>
      <c r="Q403" s="28"/>
      <c r="W403" s="28"/>
      <c r="X403" s="28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3"/>
      <c r="C404" s="28"/>
      <c r="D404" s="28"/>
      <c r="E404" s="28"/>
      <c r="H404" s="28"/>
      <c r="J404" s="159"/>
      <c r="K404" s="28"/>
      <c r="L404" s="28"/>
      <c r="M404" s="166"/>
      <c r="P404" s="28"/>
      <c r="Q404" s="28"/>
      <c r="W404" s="28"/>
      <c r="X404" s="28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3"/>
      <c r="C405" s="28"/>
      <c r="D405" s="28"/>
      <c r="E405" s="28"/>
      <c r="H405" s="28"/>
      <c r="J405" s="159"/>
      <c r="K405" s="28"/>
      <c r="L405" s="28"/>
      <c r="M405" s="166"/>
      <c r="P405" s="28"/>
      <c r="Q405" s="28"/>
      <c r="W405" s="28"/>
      <c r="X405" s="28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3"/>
      <c r="C406" s="28"/>
      <c r="D406" s="28"/>
      <c r="E406" s="28"/>
      <c r="H406" s="28"/>
      <c r="J406" s="159"/>
      <c r="K406" s="28"/>
      <c r="L406" s="28"/>
      <c r="M406" s="166"/>
      <c r="P406" s="28"/>
      <c r="Q406" s="28"/>
      <c r="W406" s="28"/>
      <c r="X406" s="28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3"/>
      <c r="C407" s="28"/>
      <c r="D407" s="28"/>
      <c r="E407" s="28"/>
      <c r="H407" s="28"/>
      <c r="J407" s="167"/>
      <c r="K407" s="153"/>
      <c r="L407" s="28"/>
      <c r="M407" s="166"/>
      <c r="O407" s="160"/>
      <c r="P407" s="28"/>
      <c r="Q407" s="28"/>
      <c r="W407" s="153"/>
      <c r="X407" s="28"/>
      <c r="Z407" s="28"/>
      <c r="AA407" s="28"/>
      <c r="AB407" s="28"/>
      <c r="AC407" s="28"/>
      <c r="AD407" s="28"/>
      <c r="AI407" s="28"/>
      <c r="AJ407" s="28"/>
      <c r="AK407" s="28"/>
      <c r="AO407" s="28"/>
      <c r="AP407" s="28"/>
    </row>
    <row r="408" spans="2:42">
      <c r="B408" s="153"/>
      <c r="C408" s="28"/>
      <c r="D408" s="28"/>
      <c r="E408" s="28"/>
      <c r="H408" s="28"/>
      <c r="J408" s="167"/>
      <c r="K408" s="153"/>
      <c r="L408" s="28"/>
      <c r="M408" s="166"/>
      <c r="O408" s="160"/>
      <c r="P408" s="28"/>
      <c r="Q408" s="28"/>
      <c r="W408" s="153"/>
      <c r="X408" s="28"/>
      <c r="Z408" s="28"/>
      <c r="AA408" s="28"/>
      <c r="AB408" s="28"/>
      <c r="AC408" s="28"/>
      <c r="AD408" s="28"/>
      <c r="AI408" s="28"/>
      <c r="AJ408" s="28"/>
      <c r="AK408" s="28"/>
      <c r="AO408" s="28"/>
      <c r="AP408" s="28"/>
    </row>
    <row r="409" spans="2:42">
      <c r="B409" s="153"/>
      <c r="C409" s="28"/>
      <c r="D409" s="28"/>
      <c r="E409" s="28"/>
      <c r="H409" s="28"/>
      <c r="J409" s="167"/>
      <c r="K409" s="153"/>
      <c r="L409" s="28"/>
      <c r="M409" s="166"/>
      <c r="O409" s="160"/>
      <c r="P409" s="28"/>
      <c r="Q409" s="28"/>
      <c r="W409" s="153"/>
      <c r="X409" s="28"/>
      <c r="Z409" s="28"/>
      <c r="AA409" s="28"/>
      <c r="AB409" s="28"/>
      <c r="AC409" s="28"/>
      <c r="AD409" s="28"/>
      <c r="AI409" s="28"/>
      <c r="AJ409" s="28"/>
      <c r="AK409" s="28"/>
      <c r="AO409" s="28"/>
      <c r="AP409" s="28"/>
    </row>
    <row r="410" spans="2:42">
      <c r="B410" s="153"/>
      <c r="C410" s="28"/>
      <c r="D410" s="28"/>
      <c r="E410" s="28"/>
      <c r="H410" s="28"/>
      <c r="J410" s="167"/>
      <c r="K410" s="153"/>
      <c r="L410" s="28"/>
      <c r="M410" s="166"/>
      <c r="O410" s="160"/>
      <c r="P410" s="28"/>
      <c r="Q410" s="28"/>
      <c r="W410" s="153"/>
      <c r="X410" s="28"/>
      <c r="Z410" s="28"/>
      <c r="AA410" s="28"/>
      <c r="AB410" s="28"/>
      <c r="AC410" s="28"/>
      <c r="AD410" s="28"/>
      <c r="AI410" s="28"/>
      <c r="AJ410" s="28"/>
      <c r="AK410" s="28"/>
      <c r="AO410" s="28"/>
      <c r="AP410" s="28"/>
    </row>
    <row r="411" spans="2:42">
      <c r="B411" s="153"/>
      <c r="C411" s="28"/>
      <c r="D411" s="28"/>
      <c r="E411" s="28"/>
      <c r="H411" s="28"/>
      <c r="J411" s="167"/>
      <c r="K411" s="153"/>
      <c r="L411" s="28"/>
      <c r="M411" s="166"/>
      <c r="O411" s="160"/>
      <c r="P411" s="28"/>
      <c r="Q411" s="28"/>
      <c r="R411" s="153"/>
      <c r="S411" s="153"/>
      <c r="T411" s="153"/>
      <c r="W411" s="153"/>
      <c r="X411" s="28"/>
      <c r="Z411" s="28"/>
      <c r="AA411" s="28"/>
      <c r="AB411" s="28"/>
      <c r="AC411" s="28"/>
      <c r="AD411" s="28"/>
      <c r="AI411" s="28"/>
      <c r="AJ411" s="28"/>
      <c r="AK411" s="28"/>
      <c r="AO411" s="28"/>
      <c r="AP411" s="28"/>
    </row>
    <row r="412" spans="2:42">
      <c r="B412" s="153"/>
      <c r="C412" s="28"/>
      <c r="D412" s="28"/>
      <c r="E412" s="28"/>
      <c r="H412" s="28"/>
      <c r="J412" s="167"/>
      <c r="K412" s="153"/>
      <c r="L412" s="28"/>
      <c r="M412" s="166"/>
      <c r="O412" s="160"/>
      <c r="P412" s="28"/>
      <c r="Q412" s="28"/>
      <c r="R412" s="153"/>
      <c r="S412" s="153"/>
      <c r="T412" s="153"/>
      <c r="W412" s="153"/>
      <c r="X412" s="28"/>
      <c r="Z412" s="28"/>
      <c r="AA412" s="28"/>
      <c r="AB412" s="28"/>
      <c r="AC412" s="28"/>
      <c r="AD412" s="28"/>
      <c r="AI412" s="28"/>
      <c r="AJ412" s="28"/>
      <c r="AK412" s="28"/>
      <c r="AO412" s="28"/>
      <c r="AP412" s="28"/>
    </row>
    <row r="413" spans="2:42">
      <c r="B413" s="153"/>
      <c r="C413" s="28"/>
      <c r="D413" s="28"/>
      <c r="E413" s="28"/>
      <c r="H413" s="28"/>
      <c r="J413" s="167"/>
      <c r="K413" s="153"/>
      <c r="L413" s="28"/>
      <c r="M413" s="166"/>
      <c r="O413" s="160"/>
      <c r="P413" s="28"/>
      <c r="Q413" s="28"/>
      <c r="R413" s="153"/>
      <c r="S413" s="153"/>
      <c r="T413" s="153"/>
      <c r="W413" s="153"/>
      <c r="X413" s="28"/>
      <c r="Z413" s="28"/>
      <c r="AA413" s="28"/>
      <c r="AB413" s="28"/>
      <c r="AC413" s="28"/>
      <c r="AD413" s="28"/>
      <c r="AI413" s="28"/>
      <c r="AJ413" s="28"/>
      <c r="AK413" s="28"/>
      <c r="AO413" s="28"/>
      <c r="AP413" s="28"/>
    </row>
    <row r="414" spans="2:42">
      <c r="B414" s="153"/>
      <c r="C414" s="28"/>
      <c r="D414" s="28"/>
      <c r="E414" s="28"/>
      <c r="H414" s="28"/>
      <c r="J414" s="167"/>
      <c r="K414" s="153"/>
      <c r="L414" s="28"/>
      <c r="M414" s="166"/>
      <c r="O414" s="160"/>
      <c r="P414" s="28"/>
      <c r="Q414" s="28"/>
      <c r="R414" s="153"/>
      <c r="S414" s="153"/>
      <c r="T414" s="153"/>
      <c r="W414" s="153"/>
      <c r="X414" s="28"/>
      <c r="Z414" s="28"/>
      <c r="AA414" s="28"/>
      <c r="AB414" s="28"/>
      <c r="AC414" s="28"/>
      <c r="AD414" s="28"/>
      <c r="AI414" s="28"/>
      <c r="AJ414" s="28"/>
      <c r="AK414" s="28"/>
      <c r="AO414" s="28"/>
      <c r="AP414" s="28"/>
    </row>
    <row r="415" spans="2:42">
      <c r="B415" s="153"/>
      <c r="C415" s="28"/>
      <c r="D415" s="28"/>
      <c r="E415" s="28"/>
      <c r="H415" s="28"/>
      <c r="J415" s="167"/>
      <c r="K415" s="153"/>
      <c r="L415" s="28"/>
      <c r="M415" s="166"/>
      <c r="O415" s="160"/>
      <c r="P415" s="28"/>
      <c r="Q415" s="28"/>
      <c r="R415" s="153"/>
      <c r="S415" s="153"/>
      <c r="T415" s="153"/>
      <c r="W415" s="153"/>
      <c r="X415" s="28"/>
      <c r="Z415" s="28"/>
      <c r="AA415" s="28"/>
      <c r="AB415" s="28"/>
      <c r="AC415" s="28"/>
      <c r="AD415" s="28"/>
      <c r="AI415" s="28"/>
      <c r="AJ415" s="28"/>
      <c r="AK415" s="28"/>
      <c r="AO415" s="28"/>
      <c r="AP415" s="28"/>
    </row>
    <row r="416" spans="2:42">
      <c r="B416" s="153"/>
      <c r="C416" s="28"/>
      <c r="D416" s="28"/>
      <c r="E416" s="28"/>
      <c r="H416" s="28"/>
      <c r="J416" s="167"/>
      <c r="K416" s="153"/>
      <c r="L416" s="28"/>
      <c r="M416" s="166"/>
      <c r="O416" s="160"/>
      <c r="P416" s="28"/>
      <c r="Q416" s="28"/>
      <c r="R416" s="153"/>
      <c r="S416" s="153"/>
      <c r="T416" s="153"/>
      <c r="W416" s="153"/>
      <c r="X416" s="28"/>
      <c r="Z416" s="28"/>
      <c r="AA416" s="28"/>
      <c r="AB416" s="28"/>
      <c r="AC416" s="28"/>
      <c r="AD416" s="28"/>
      <c r="AI416" s="28"/>
      <c r="AJ416" s="28"/>
      <c r="AK416" s="28"/>
      <c r="AO416" s="28"/>
      <c r="AP416" s="28"/>
    </row>
    <row r="417" spans="2:42">
      <c r="B417" s="153"/>
      <c r="C417" s="28"/>
      <c r="D417" s="28"/>
      <c r="E417" s="28"/>
      <c r="H417" s="28"/>
      <c r="J417" s="167"/>
      <c r="K417" s="153"/>
      <c r="L417" s="28"/>
      <c r="M417" s="166"/>
      <c r="O417" s="160"/>
      <c r="P417" s="28"/>
      <c r="Q417" s="28"/>
      <c r="R417" s="153"/>
      <c r="S417" s="153"/>
      <c r="T417" s="153"/>
      <c r="W417" s="153"/>
      <c r="X417" s="28"/>
      <c r="Z417" s="28"/>
      <c r="AA417" s="28"/>
      <c r="AB417" s="28"/>
      <c r="AC417" s="28"/>
      <c r="AD417" s="28"/>
      <c r="AI417" s="28"/>
      <c r="AJ417" s="28"/>
      <c r="AK417" s="28"/>
      <c r="AO417" s="28"/>
      <c r="AP417" s="28"/>
    </row>
    <row r="418" spans="2:42">
      <c r="B418" s="153"/>
      <c r="C418" s="28"/>
      <c r="D418" s="28"/>
      <c r="E418" s="28"/>
      <c r="H418" s="28"/>
      <c r="J418" s="167"/>
      <c r="K418" s="153"/>
      <c r="L418" s="28"/>
      <c r="M418" s="166"/>
      <c r="O418" s="160"/>
      <c r="P418" s="28"/>
      <c r="Q418" s="28"/>
      <c r="R418" s="153"/>
      <c r="S418" s="153"/>
      <c r="T418" s="153"/>
      <c r="W418" s="153"/>
      <c r="X418" s="28"/>
      <c r="Z418" s="28"/>
      <c r="AA418" s="28"/>
      <c r="AB418" s="28"/>
      <c r="AC418" s="28"/>
      <c r="AD418" s="28"/>
      <c r="AI418" s="28"/>
      <c r="AJ418" s="28"/>
      <c r="AK418" s="28"/>
      <c r="AO418" s="28"/>
      <c r="AP418" s="28"/>
    </row>
    <row r="419" spans="2:42">
      <c r="B419" s="153"/>
      <c r="C419" s="28"/>
      <c r="D419" s="28"/>
      <c r="E419" s="28"/>
      <c r="H419" s="28"/>
      <c r="J419" s="167"/>
      <c r="K419" s="153"/>
      <c r="L419" s="28"/>
      <c r="M419" s="166"/>
      <c r="O419" s="160"/>
      <c r="P419" s="28"/>
      <c r="Q419" s="28"/>
      <c r="R419" s="153"/>
      <c r="S419" s="153"/>
      <c r="T419" s="153"/>
      <c r="W419" s="153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53"/>
      <c r="C420" s="28"/>
      <c r="D420" s="28"/>
      <c r="E420" s="28"/>
      <c r="H420" s="28"/>
      <c r="J420" s="167"/>
      <c r="K420" s="153"/>
      <c r="L420" s="28"/>
      <c r="M420" s="166"/>
      <c r="O420" s="160"/>
      <c r="P420" s="28"/>
      <c r="Q420" s="28"/>
      <c r="R420" s="153"/>
      <c r="S420" s="153"/>
      <c r="T420" s="153"/>
      <c r="W420" s="153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53"/>
      <c r="C421" s="28"/>
      <c r="D421" s="28"/>
      <c r="E421" s="28"/>
      <c r="H421" s="28"/>
      <c r="J421" s="167"/>
      <c r="K421" s="153"/>
      <c r="L421" s="28"/>
      <c r="M421" s="166"/>
      <c r="O421" s="160"/>
      <c r="P421" s="28"/>
      <c r="Q421" s="28"/>
      <c r="R421" s="153"/>
      <c r="S421" s="153"/>
      <c r="T421" s="153"/>
      <c r="W421" s="153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53"/>
      <c r="C422" s="28"/>
      <c r="D422" s="28"/>
      <c r="E422" s="28"/>
      <c r="H422" s="28"/>
      <c r="J422" s="167"/>
      <c r="K422" s="153"/>
      <c r="L422" s="28"/>
      <c r="M422" s="166"/>
      <c r="O422" s="160"/>
      <c r="P422" s="28"/>
      <c r="Q422" s="28"/>
      <c r="R422" s="153"/>
      <c r="S422" s="153"/>
      <c r="T422" s="153"/>
      <c r="W422" s="153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53"/>
      <c r="C423" s="28"/>
      <c r="D423" s="28"/>
      <c r="E423" s="28"/>
      <c r="H423" s="28"/>
      <c r="J423" s="167"/>
      <c r="K423" s="153"/>
      <c r="L423" s="28"/>
      <c r="M423" s="166"/>
      <c r="O423" s="160"/>
      <c r="P423" s="28"/>
      <c r="Q423" s="28"/>
      <c r="R423" s="28"/>
      <c r="S423" s="28"/>
      <c r="T423" s="28"/>
      <c r="W423" s="153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53"/>
      <c r="C424" s="28"/>
      <c r="D424" s="28"/>
      <c r="E424" s="28"/>
      <c r="H424" s="28"/>
      <c r="J424" s="167"/>
      <c r="K424" s="153"/>
      <c r="L424" s="28"/>
      <c r="M424" s="166"/>
      <c r="O424" s="160"/>
      <c r="P424" s="28"/>
      <c r="Q424" s="28"/>
      <c r="R424" s="28"/>
      <c r="S424" s="28"/>
      <c r="T424" s="28"/>
      <c r="W424" s="153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 s="154" customFormat="1">
      <c r="E425" s="28"/>
      <c r="H425" s="28"/>
      <c r="J425" s="159"/>
      <c r="AB425" s="28"/>
    </row>
    <row r="426" spans="2:42" s="154" customFormat="1">
      <c r="E426" s="28"/>
      <c r="H426" s="28"/>
      <c r="J426" s="159"/>
      <c r="AB426" s="28"/>
    </row>
    <row r="427" spans="2:42" s="154" customFormat="1">
      <c r="E427" s="28"/>
      <c r="H427" s="28"/>
      <c r="J427" s="159"/>
      <c r="AB427" s="28"/>
    </row>
    <row r="428" spans="2:42" s="154" customFormat="1">
      <c r="E428" s="28"/>
      <c r="H428" s="28"/>
      <c r="J428" s="159"/>
      <c r="AB428" s="28"/>
    </row>
    <row r="429" spans="2:42" s="154" customFormat="1">
      <c r="E429" s="28"/>
      <c r="H429" s="28"/>
      <c r="J429" s="159"/>
      <c r="AB429" s="28"/>
    </row>
    <row r="430" spans="2:42" s="154" customFormat="1">
      <c r="E430" s="28"/>
      <c r="H430" s="28"/>
      <c r="J430" s="159"/>
      <c r="AB430" s="28"/>
    </row>
    <row r="431" spans="2:42" s="154" customFormat="1">
      <c r="E431" s="28"/>
      <c r="H431" s="28"/>
      <c r="J431" s="159"/>
      <c r="AB431" s="28"/>
    </row>
    <row r="432" spans="2:42" s="154" customFormat="1">
      <c r="E432" s="28"/>
      <c r="H432" s="28"/>
      <c r="J432" s="159"/>
      <c r="AB432" s="28"/>
    </row>
    <row r="433" spans="2:42" s="154" customFormat="1">
      <c r="E433" s="28"/>
      <c r="H433" s="28"/>
      <c r="J433" s="159"/>
      <c r="AB433" s="28"/>
    </row>
    <row r="434" spans="2:42" s="154" customFormat="1">
      <c r="E434" s="28"/>
      <c r="H434" s="28"/>
      <c r="J434" s="159"/>
      <c r="AB434" s="28"/>
    </row>
    <row r="435" spans="2:42" s="154" customFormat="1">
      <c r="E435" s="28"/>
      <c r="H435" s="28"/>
      <c r="J435" s="159"/>
      <c r="AB435" s="28"/>
    </row>
    <row r="436" spans="2:42" s="154" customFormat="1">
      <c r="E436" s="28"/>
      <c r="H436" s="28"/>
      <c r="J436" s="159"/>
      <c r="AB436" s="28"/>
    </row>
    <row r="437" spans="2:42" s="154" customFormat="1">
      <c r="E437" s="28"/>
      <c r="H437" s="28"/>
      <c r="J437" s="159"/>
      <c r="AB437" s="28"/>
    </row>
    <row r="438" spans="2:42" s="154" customFormat="1">
      <c r="E438" s="28"/>
      <c r="H438" s="28"/>
      <c r="J438" s="159"/>
      <c r="AB438" s="28"/>
    </row>
    <row r="439" spans="2:42" s="154" customFormat="1">
      <c r="E439" s="28"/>
      <c r="H439" s="28"/>
      <c r="J439" s="159"/>
      <c r="AB439" s="28"/>
    </row>
    <row r="440" spans="2:42" s="154" customFormat="1">
      <c r="E440" s="28"/>
      <c r="H440" s="28"/>
      <c r="J440" s="159"/>
      <c r="AB440" s="28"/>
    </row>
    <row r="441" spans="2:42" s="154" customFormat="1">
      <c r="E441" s="28"/>
      <c r="H441" s="28"/>
      <c r="J441" s="159"/>
      <c r="AB441" s="28"/>
    </row>
    <row r="442" spans="2:42" s="154" customFormat="1">
      <c r="E442" s="28"/>
      <c r="H442" s="28"/>
      <c r="J442" s="159"/>
      <c r="AB442" s="28"/>
    </row>
    <row r="443" spans="2:42">
      <c r="B443" s="153"/>
      <c r="C443" s="28"/>
      <c r="D443" s="28"/>
      <c r="E443" s="28"/>
      <c r="H443" s="28"/>
      <c r="J443" s="159"/>
      <c r="K443" s="28"/>
      <c r="L443" s="28"/>
      <c r="O443" s="160"/>
      <c r="P443" s="28"/>
      <c r="Q443" s="28"/>
      <c r="W443" s="28"/>
      <c r="X443" s="28"/>
      <c r="Z443" s="28"/>
      <c r="AA443" s="28"/>
      <c r="AC443" s="28"/>
      <c r="AD443" s="28"/>
      <c r="AI443" s="28"/>
      <c r="AJ443" s="28"/>
      <c r="AK443" s="28"/>
      <c r="AO443" s="28"/>
      <c r="AP443" s="28"/>
    </row>
    <row r="444" spans="2:42">
      <c r="B444" s="153"/>
      <c r="C444" s="28"/>
      <c r="D444" s="28"/>
      <c r="E444" s="28"/>
      <c r="H444" s="28"/>
      <c r="I444" s="154"/>
      <c r="J444" s="159"/>
      <c r="K444" s="28"/>
      <c r="L444" s="28"/>
      <c r="M444" s="154"/>
      <c r="O444" s="160"/>
      <c r="P444" s="28"/>
      <c r="Q444" s="28"/>
      <c r="W444" s="28"/>
      <c r="X444" s="28"/>
      <c r="Z444" s="28"/>
      <c r="AA444" s="28"/>
      <c r="AC444" s="28"/>
      <c r="AD444" s="28"/>
      <c r="AI444" s="28"/>
      <c r="AJ444" s="28"/>
      <c r="AK444" s="28"/>
      <c r="AO444" s="28"/>
      <c r="AP444" s="28"/>
    </row>
    <row r="445" spans="2:42">
      <c r="B445" s="153"/>
      <c r="C445" s="28"/>
      <c r="D445" s="28"/>
      <c r="E445" s="28"/>
      <c r="H445" s="28"/>
      <c r="I445" s="154"/>
      <c r="J445" s="159"/>
      <c r="K445" s="28"/>
      <c r="L445" s="28"/>
      <c r="M445" s="154"/>
      <c r="O445" s="160"/>
      <c r="P445" s="28"/>
      <c r="Q445" s="28"/>
      <c r="W445" s="28"/>
      <c r="X445" s="28"/>
      <c r="Z445" s="28"/>
      <c r="AA445" s="28"/>
      <c r="AC445" s="28"/>
      <c r="AD445" s="28"/>
      <c r="AI445" s="28"/>
      <c r="AJ445" s="28"/>
      <c r="AK445" s="28"/>
      <c r="AO445" s="28"/>
      <c r="AP445" s="28"/>
    </row>
    <row r="446" spans="2:42">
      <c r="B446" s="153"/>
      <c r="C446" s="28"/>
      <c r="D446" s="28"/>
      <c r="E446" s="28"/>
      <c r="H446" s="28"/>
      <c r="I446" s="154"/>
      <c r="J446" s="159"/>
      <c r="K446" s="28"/>
      <c r="L446" s="28"/>
      <c r="M446" s="154"/>
      <c r="O446" s="160"/>
      <c r="P446" s="28"/>
      <c r="Q446" s="28"/>
      <c r="W446" s="28"/>
      <c r="X446" s="28"/>
      <c r="Z446" s="28"/>
      <c r="AA446" s="28"/>
      <c r="AC446" s="28"/>
      <c r="AD446" s="28"/>
      <c r="AI446" s="28"/>
      <c r="AJ446" s="28"/>
      <c r="AK446" s="28"/>
      <c r="AO446" s="28"/>
      <c r="AP446" s="28"/>
    </row>
    <row r="447" spans="2:42">
      <c r="B447" s="153"/>
      <c r="C447" s="28"/>
      <c r="D447" s="28"/>
      <c r="E447" s="28"/>
      <c r="H447" s="28"/>
      <c r="I447" s="154"/>
      <c r="J447" s="154"/>
      <c r="K447" s="28"/>
      <c r="L447" s="28"/>
      <c r="M447" s="154"/>
      <c r="O447" s="160"/>
      <c r="P447" s="28"/>
      <c r="Q447" s="28"/>
      <c r="W447" s="28"/>
      <c r="X447" s="28"/>
      <c r="Z447" s="28"/>
      <c r="AA447" s="28"/>
      <c r="AC447" s="28"/>
      <c r="AD447" s="28"/>
      <c r="AI447" s="28"/>
      <c r="AJ447" s="28"/>
      <c r="AK447" s="28"/>
      <c r="AO447" s="28"/>
      <c r="AP447" s="28"/>
    </row>
    <row r="448" spans="2:42">
      <c r="B448" s="153"/>
      <c r="C448" s="28"/>
      <c r="D448" s="28"/>
      <c r="E448" s="28"/>
      <c r="H448" s="28"/>
      <c r="I448" s="154"/>
      <c r="J448" s="154"/>
      <c r="K448" s="28"/>
      <c r="L448" s="28"/>
      <c r="M448" s="154"/>
      <c r="O448" s="160"/>
      <c r="P448" s="28"/>
      <c r="Q448" s="28"/>
      <c r="W448" s="28"/>
      <c r="X448" s="28"/>
      <c r="Z448" s="28"/>
      <c r="AA448" s="28"/>
      <c r="AC448" s="28"/>
      <c r="AD448" s="28"/>
      <c r="AI448" s="28"/>
      <c r="AJ448" s="28"/>
      <c r="AK448" s="28"/>
      <c r="AO448" s="28"/>
      <c r="AP448" s="28"/>
    </row>
    <row r="449" spans="2:42">
      <c r="B449" s="153"/>
      <c r="C449" s="28"/>
      <c r="D449" s="28"/>
      <c r="E449" s="28"/>
      <c r="H449" s="28"/>
      <c r="I449" s="154"/>
      <c r="J449" s="154"/>
      <c r="K449" s="28"/>
      <c r="L449" s="28"/>
      <c r="M449" s="154"/>
      <c r="O449" s="160"/>
      <c r="P449" s="28"/>
      <c r="Q449" s="28"/>
      <c r="W449" s="28"/>
      <c r="X449" s="28"/>
      <c r="Z449" s="28"/>
      <c r="AA449" s="28"/>
      <c r="AC449" s="28"/>
      <c r="AD449" s="28"/>
      <c r="AI449" s="28"/>
      <c r="AJ449" s="28"/>
      <c r="AK449" s="28"/>
      <c r="AO449" s="28"/>
      <c r="AP449" s="28"/>
    </row>
    <row r="450" spans="2:42">
      <c r="B450" s="153"/>
      <c r="C450" s="28"/>
      <c r="D450" s="28"/>
      <c r="E450" s="28"/>
      <c r="H450" s="28"/>
      <c r="I450" s="154"/>
      <c r="J450" s="153"/>
      <c r="K450" s="28"/>
      <c r="L450" s="28"/>
      <c r="M450" s="154"/>
      <c r="O450" s="160"/>
      <c r="P450" s="28"/>
      <c r="Q450" s="28"/>
      <c r="W450" s="28"/>
      <c r="X450" s="28"/>
      <c r="Z450" s="28"/>
      <c r="AA450" s="28"/>
      <c r="AC450" s="28"/>
      <c r="AD450" s="28"/>
      <c r="AI450" s="28"/>
      <c r="AJ450" s="28"/>
      <c r="AK450" s="28"/>
      <c r="AO450" s="28"/>
      <c r="AP450" s="28"/>
    </row>
    <row r="451" spans="2:42">
      <c r="B451" s="153"/>
      <c r="C451" s="28"/>
      <c r="D451" s="28"/>
      <c r="E451" s="28"/>
      <c r="H451" s="28"/>
      <c r="I451" s="154"/>
      <c r="J451" s="153"/>
      <c r="K451" s="28"/>
      <c r="L451" s="28"/>
      <c r="M451" s="154"/>
      <c r="O451" s="160"/>
      <c r="P451" s="28"/>
      <c r="Q451" s="28"/>
      <c r="W451" s="28"/>
      <c r="X451" s="28"/>
      <c r="Z451" s="28"/>
      <c r="AA451" s="28"/>
      <c r="AC451" s="28"/>
      <c r="AD451" s="28"/>
      <c r="AI451" s="28"/>
      <c r="AJ451" s="28"/>
      <c r="AK451" s="28"/>
      <c r="AO451" s="28"/>
      <c r="AP451" s="28"/>
    </row>
    <row r="452" spans="2:42">
      <c r="B452" s="153"/>
      <c r="C452" s="28"/>
      <c r="D452" s="28"/>
      <c r="E452" s="28"/>
      <c r="H452" s="28"/>
      <c r="J452" s="159"/>
      <c r="K452" s="28"/>
      <c r="L452" s="28"/>
      <c r="M452" s="166"/>
      <c r="O452" s="160"/>
      <c r="P452" s="28"/>
      <c r="Q452" s="28"/>
      <c r="W452" s="153"/>
      <c r="X452" s="28"/>
      <c r="Z452" s="28"/>
      <c r="AA452" s="28"/>
      <c r="AC452" s="28"/>
      <c r="AD452" s="28"/>
      <c r="AI452" s="28"/>
      <c r="AJ452" s="28"/>
      <c r="AK452" s="28"/>
      <c r="AO452" s="28"/>
      <c r="AP452" s="28"/>
    </row>
    <row r="453" spans="2:42">
      <c r="B453" s="153"/>
      <c r="C453" s="28"/>
      <c r="D453" s="28"/>
      <c r="E453" s="28"/>
      <c r="H453" s="28"/>
      <c r="J453" s="159"/>
      <c r="K453" s="28"/>
      <c r="L453" s="28"/>
      <c r="M453" s="166"/>
      <c r="O453" s="160"/>
      <c r="P453" s="28"/>
      <c r="Q453" s="28"/>
      <c r="W453" s="153"/>
      <c r="X453" s="28"/>
      <c r="Z453" s="28"/>
      <c r="AA453" s="28"/>
      <c r="AC453" s="28"/>
      <c r="AD453" s="28"/>
      <c r="AI453" s="28"/>
      <c r="AJ453" s="28"/>
      <c r="AK453" s="28"/>
      <c r="AO453" s="28"/>
      <c r="AP453" s="28"/>
    </row>
    <row r="454" spans="2:42">
      <c r="B454" s="153"/>
      <c r="C454" s="28"/>
      <c r="D454" s="28"/>
      <c r="E454" s="28"/>
      <c r="H454" s="28"/>
      <c r="J454" s="159"/>
      <c r="K454" s="28"/>
      <c r="L454" s="28"/>
      <c r="M454" s="166"/>
      <c r="O454" s="160"/>
      <c r="P454" s="28"/>
      <c r="Q454" s="28"/>
      <c r="W454" s="153"/>
      <c r="X454" s="28"/>
      <c r="Z454" s="28"/>
      <c r="AA454" s="28"/>
      <c r="AC454" s="28"/>
      <c r="AD454" s="28"/>
      <c r="AI454" s="28"/>
      <c r="AJ454" s="28"/>
      <c r="AK454" s="28"/>
      <c r="AO454" s="28"/>
      <c r="AP454" s="28"/>
    </row>
    <row r="455" spans="2:42">
      <c r="B455" s="153"/>
      <c r="C455" s="28"/>
      <c r="D455" s="28"/>
      <c r="E455" s="28"/>
      <c r="H455" s="28"/>
      <c r="J455" s="159"/>
      <c r="K455" s="28"/>
      <c r="L455" s="28"/>
      <c r="M455" s="166"/>
      <c r="O455" s="160"/>
      <c r="P455" s="28"/>
      <c r="Q455" s="28"/>
      <c r="W455" s="153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53"/>
      <c r="C456" s="28"/>
      <c r="D456" s="28"/>
      <c r="E456" s="28"/>
      <c r="H456" s="28"/>
      <c r="J456" s="159"/>
      <c r="K456" s="28"/>
      <c r="L456" s="28"/>
      <c r="M456" s="168"/>
      <c r="O456" s="160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53"/>
      <c r="C457" s="28"/>
      <c r="D457" s="28"/>
      <c r="E457" s="28"/>
      <c r="H457" s="28"/>
      <c r="J457" s="159"/>
      <c r="K457" s="28"/>
      <c r="L457" s="28"/>
      <c r="M457" s="168"/>
      <c r="O457" s="160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53"/>
      <c r="C458" s="28"/>
      <c r="D458" s="28"/>
      <c r="E458" s="28"/>
      <c r="H458" s="28"/>
      <c r="J458" s="159"/>
      <c r="K458" s="28"/>
      <c r="L458" s="28"/>
      <c r="M458" s="168"/>
      <c r="O458" s="160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53"/>
      <c r="C459" s="28"/>
      <c r="D459" s="28"/>
      <c r="E459" s="28"/>
      <c r="H459" s="28"/>
      <c r="J459" s="159"/>
      <c r="K459" s="28"/>
      <c r="L459" s="28"/>
      <c r="M459" s="168"/>
      <c r="O459" s="160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53"/>
      <c r="C460" s="28"/>
      <c r="D460" s="28"/>
      <c r="E460" s="28"/>
      <c r="H460" s="28"/>
      <c r="J460" s="159"/>
      <c r="K460" s="28"/>
      <c r="L460" s="28"/>
      <c r="M460" s="168"/>
      <c r="O460" s="160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53"/>
      <c r="C461" s="28"/>
      <c r="D461" s="28"/>
      <c r="E461" s="28"/>
      <c r="H461" s="28"/>
      <c r="J461" s="159"/>
      <c r="K461" s="28"/>
      <c r="L461" s="28"/>
      <c r="M461" s="168"/>
      <c r="O461" s="160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53"/>
      <c r="C462" s="28"/>
      <c r="D462" s="28"/>
      <c r="E462" s="28"/>
      <c r="H462" s="28"/>
      <c r="J462" s="159"/>
      <c r="K462" s="28"/>
      <c r="L462" s="28"/>
      <c r="M462" s="168"/>
      <c r="O462" s="160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53"/>
      <c r="C463" s="28"/>
      <c r="D463" s="28"/>
      <c r="E463" s="28"/>
      <c r="H463" s="28"/>
      <c r="J463" s="159"/>
      <c r="K463" s="28"/>
      <c r="L463" s="28"/>
      <c r="M463" s="168"/>
      <c r="O463" s="160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54"/>
      <c r="C464" s="28"/>
      <c r="D464" s="28"/>
      <c r="E464" s="28"/>
      <c r="H464" s="28"/>
      <c r="J464" s="159"/>
      <c r="K464" s="28"/>
      <c r="L464" s="28"/>
      <c r="M464" s="168"/>
      <c r="O464" s="160"/>
      <c r="P464" s="28"/>
      <c r="Q464" s="28"/>
      <c r="W464" s="28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54"/>
      <c r="C465" s="28"/>
      <c r="D465" s="28"/>
      <c r="E465" s="28"/>
      <c r="H465" s="28"/>
      <c r="J465" s="159"/>
      <c r="K465" s="28"/>
      <c r="L465" s="28"/>
      <c r="M465" s="168"/>
      <c r="O465" s="160"/>
      <c r="P465" s="28"/>
      <c r="Q465" s="28"/>
      <c r="W465" s="28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54"/>
      <c r="C466" s="28"/>
      <c r="D466" s="28"/>
      <c r="E466" s="28"/>
      <c r="H466" s="28"/>
      <c r="J466" s="159"/>
      <c r="K466" s="28"/>
      <c r="L466" s="28"/>
      <c r="M466" s="168"/>
      <c r="O466" s="160"/>
      <c r="P466" s="28"/>
      <c r="Q466" s="28"/>
      <c r="W466" s="28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53"/>
      <c r="C467" s="28"/>
      <c r="D467" s="28"/>
      <c r="E467" s="28"/>
      <c r="H467" s="28"/>
      <c r="I467" s="154"/>
      <c r="J467" s="159"/>
      <c r="K467" s="28"/>
      <c r="L467" s="28"/>
      <c r="M467" s="166"/>
      <c r="O467" s="160"/>
      <c r="P467" s="28"/>
      <c r="Q467" s="28"/>
      <c r="W467" s="153"/>
      <c r="X467" s="28"/>
      <c r="Z467" s="28"/>
      <c r="AA467" s="28"/>
      <c r="AC467" s="28"/>
      <c r="AD467" s="28"/>
      <c r="AJ467" s="28"/>
      <c r="AK467" s="28"/>
    </row>
    <row r="468" spans="2:42">
      <c r="B468" s="153"/>
      <c r="C468" s="28"/>
      <c r="D468" s="28"/>
      <c r="E468" s="28"/>
      <c r="H468" s="28"/>
      <c r="J468" s="159"/>
      <c r="K468" s="28"/>
      <c r="L468" s="28"/>
      <c r="M468" s="166"/>
      <c r="O468" s="160"/>
      <c r="P468" s="28"/>
      <c r="Q468" s="28"/>
      <c r="W468" s="153"/>
      <c r="X468" s="28"/>
      <c r="Z468" s="28"/>
      <c r="AA468" s="28"/>
      <c r="AC468" s="28"/>
      <c r="AD468" s="28"/>
      <c r="AJ468" s="28"/>
      <c r="AK468" s="28"/>
    </row>
    <row r="469" spans="2:42">
      <c r="B469" s="153"/>
      <c r="C469" s="28"/>
      <c r="D469" s="28"/>
      <c r="E469" s="28"/>
      <c r="H469" s="28"/>
      <c r="J469" s="159"/>
      <c r="K469" s="28"/>
      <c r="L469" s="28"/>
      <c r="M469" s="166"/>
      <c r="O469" s="160"/>
      <c r="P469" s="28"/>
      <c r="Q469" s="28"/>
      <c r="W469" s="153"/>
      <c r="X469" s="28"/>
      <c r="Z469" s="28"/>
      <c r="AA469" s="28"/>
      <c r="AC469" s="28"/>
      <c r="AD469" s="28"/>
      <c r="AJ469" s="28"/>
      <c r="AK469" s="28"/>
    </row>
    <row r="470" spans="2:42">
      <c r="B470" s="153"/>
      <c r="C470" s="28"/>
      <c r="D470" s="28"/>
      <c r="E470" s="28"/>
      <c r="H470" s="28"/>
      <c r="J470" s="159"/>
      <c r="K470" s="28"/>
      <c r="L470" s="28"/>
      <c r="M470" s="166"/>
      <c r="O470" s="160"/>
      <c r="P470" s="28"/>
      <c r="Q470" s="28"/>
      <c r="W470" s="153"/>
      <c r="X470" s="28"/>
      <c r="Z470" s="28"/>
      <c r="AA470" s="28"/>
      <c r="AC470" s="28"/>
      <c r="AD470" s="28"/>
      <c r="AJ470" s="28"/>
      <c r="AK470" s="28"/>
    </row>
    <row r="471" spans="2:42">
      <c r="B471" s="153"/>
      <c r="C471" s="28"/>
      <c r="D471" s="28"/>
      <c r="E471" s="28"/>
      <c r="H471" s="28"/>
      <c r="J471" s="159"/>
      <c r="K471" s="28"/>
      <c r="L471" s="28"/>
      <c r="P471" s="28"/>
      <c r="Q471" s="28"/>
      <c r="W471" s="153"/>
      <c r="X471" s="28"/>
      <c r="Z471" s="28"/>
      <c r="AA471" s="28"/>
      <c r="AC471" s="28"/>
      <c r="AD471" s="28"/>
      <c r="AJ471" s="28"/>
      <c r="AK471" s="28"/>
      <c r="AO471" s="28"/>
      <c r="AP471" s="28"/>
    </row>
    <row r="472" spans="2:42">
      <c r="B472" s="153"/>
      <c r="C472" s="28"/>
      <c r="D472" s="28"/>
      <c r="E472" s="28"/>
      <c r="H472" s="28"/>
      <c r="J472" s="159"/>
      <c r="K472" s="28"/>
      <c r="L472" s="28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53"/>
      <c r="C473" s="28"/>
      <c r="D473" s="28"/>
      <c r="E473" s="28"/>
      <c r="H473" s="28"/>
      <c r="J473" s="159"/>
      <c r="K473" s="28"/>
      <c r="L473" s="28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53"/>
      <c r="C474" s="28"/>
      <c r="D474" s="28"/>
      <c r="E474" s="28"/>
      <c r="H474" s="28"/>
      <c r="J474" s="159"/>
      <c r="K474" s="28"/>
      <c r="L474" s="28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53"/>
      <c r="C475" s="28"/>
      <c r="D475" s="28"/>
      <c r="E475" s="28"/>
      <c r="H475" s="28"/>
      <c r="J475" s="159"/>
      <c r="K475" s="28"/>
      <c r="L475" s="28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53"/>
      <c r="C476" s="28"/>
      <c r="D476" s="28"/>
      <c r="E476" s="28"/>
      <c r="H476" s="28"/>
      <c r="J476" s="159"/>
      <c r="K476" s="28"/>
      <c r="L476" s="28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53"/>
      <c r="C477" s="28"/>
      <c r="D477" s="28"/>
      <c r="E477" s="28"/>
      <c r="H477" s="28"/>
      <c r="J477" s="159"/>
      <c r="K477" s="28"/>
      <c r="L477" s="28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53"/>
      <c r="C478" s="28"/>
      <c r="D478" s="28"/>
      <c r="E478" s="28"/>
      <c r="H478" s="28"/>
      <c r="J478" s="159"/>
      <c r="K478" s="28"/>
      <c r="L478" s="28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53"/>
      <c r="C479" s="28"/>
      <c r="D479" s="28"/>
      <c r="E479" s="28"/>
      <c r="H479" s="28"/>
      <c r="J479" s="159"/>
      <c r="K479" s="28"/>
      <c r="L479" s="28"/>
      <c r="P479" s="28"/>
      <c r="Q479" s="28"/>
      <c r="W479" s="28"/>
      <c r="X479" s="28"/>
      <c r="Z479" s="28"/>
      <c r="AA479" s="28"/>
      <c r="AC479" s="28"/>
      <c r="AD479" s="28"/>
      <c r="AI479" s="28"/>
      <c r="AJ479" s="28"/>
      <c r="AK479" s="28"/>
      <c r="AO479" s="28"/>
      <c r="AP479" s="28"/>
    </row>
    <row r="480" spans="2:42">
      <c r="B480" s="153"/>
      <c r="C480" s="28"/>
      <c r="D480" s="28"/>
      <c r="E480" s="28"/>
      <c r="H480" s="28"/>
      <c r="J480" s="159"/>
      <c r="K480" s="28"/>
      <c r="L480" s="28"/>
      <c r="P480" s="28"/>
      <c r="Q480" s="28"/>
      <c r="W480" s="28"/>
      <c r="X480" s="28"/>
      <c r="Z480" s="28"/>
      <c r="AA480" s="28"/>
      <c r="AC480" s="28"/>
      <c r="AD480" s="28"/>
      <c r="AI480" s="28"/>
      <c r="AJ480" s="28"/>
      <c r="AK480" s="28"/>
      <c r="AO480" s="28"/>
      <c r="AP480" s="28"/>
    </row>
    <row r="481" spans="2:42">
      <c r="B481" s="153"/>
      <c r="C481" s="28"/>
      <c r="D481" s="28"/>
      <c r="E481" s="28"/>
      <c r="H481" s="28"/>
      <c r="J481" s="159"/>
      <c r="K481" s="28"/>
      <c r="L481" s="28"/>
      <c r="O481" s="160"/>
      <c r="P481" s="28"/>
      <c r="Q481" s="28"/>
      <c r="W481" s="28"/>
      <c r="X481" s="28"/>
      <c r="Z481" s="28"/>
      <c r="AA481" s="28"/>
      <c r="AC481" s="28"/>
      <c r="AD481" s="28"/>
      <c r="AI481" s="28"/>
      <c r="AJ481" s="28"/>
      <c r="AK481" s="28"/>
      <c r="AO481" s="28"/>
      <c r="AP481" s="28"/>
    </row>
    <row r="482" spans="2:42">
      <c r="B482" s="153"/>
      <c r="C482" s="28"/>
      <c r="D482" s="28"/>
      <c r="E482" s="28"/>
      <c r="H482" s="28"/>
      <c r="J482" s="159"/>
      <c r="K482" s="28"/>
      <c r="L482" s="28"/>
      <c r="O482" s="160"/>
      <c r="P482" s="28"/>
      <c r="Q482" s="28"/>
      <c r="W482" s="28"/>
      <c r="X482" s="28"/>
      <c r="Z482" s="28"/>
      <c r="AA482" s="28"/>
      <c r="AC482" s="28"/>
      <c r="AD482" s="28"/>
      <c r="AI482" s="28"/>
      <c r="AJ482" s="28"/>
      <c r="AK482" s="28"/>
      <c r="AO482" s="28"/>
      <c r="AP482" s="28"/>
    </row>
    <row r="483" spans="2:42">
      <c r="B483" s="153"/>
      <c r="C483" s="28"/>
      <c r="D483" s="28"/>
      <c r="E483" s="28"/>
      <c r="H483" s="28"/>
      <c r="J483" s="159"/>
      <c r="K483" s="28"/>
      <c r="L483" s="28"/>
      <c r="O483" s="160"/>
      <c r="P483" s="28"/>
      <c r="Q483" s="28"/>
      <c r="W483" s="28"/>
      <c r="X483" s="28"/>
      <c r="Z483" s="28"/>
      <c r="AA483" s="28"/>
      <c r="AC483" s="28"/>
      <c r="AD483" s="28"/>
      <c r="AI483" s="28"/>
      <c r="AJ483" s="28"/>
      <c r="AK483" s="28"/>
      <c r="AO483" s="28"/>
      <c r="AP483" s="28"/>
    </row>
    <row r="484" spans="2:42">
      <c r="B484" s="153"/>
      <c r="C484" s="28"/>
      <c r="D484" s="28"/>
      <c r="E484" s="28"/>
      <c r="H484" s="28"/>
      <c r="J484" s="159"/>
      <c r="K484" s="28"/>
      <c r="L484" s="28"/>
      <c r="M484"/>
      <c r="O484" s="160"/>
      <c r="P484" s="28"/>
      <c r="Q484" s="28"/>
      <c r="W484" s="28"/>
      <c r="X484" s="28"/>
      <c r="Z484" s="28"/>
      <c r="AA484" s="28"/>
      <c r="AB484" s="28"/>
      <c r="AC484" s="28"/>
      <c r="AD484" s="28"/>
      <c r="AI484" s="28"/>
      <c r="AJ484" s="28"/>
      <c r="AK484" s="28"/>
      <c r="AO484" s="28"/>
      <c r="AP484" s="28"/>
    </row>
    <row r="485" spans="2:42">
      <c r="B485" s="153"/>
      <c r="C485" s="28"/>
      <c r="D485" s="28"/>
      <c r="E485" s="28"/>
      <c r="H485" s="28"/>
      <c r="J485" s="159"/>
      <c r="K485" s="28"/>
      <c r="L485" s="28"/>
      <c r="M485"/>
      <c r="O485" s="160"/>
      <c r="P485" s="28"/>
      <c r="Q485" s="28"/>
      <c r="W485" s="28"/>
      <c r="X485" s="28"/>
      <c r="Z485" s="28"/>
      <c r="AA485" s="28"/>
      <c r="AB485" s="28"/>
      <c r="AC485" s="28"/>
      <c r="AD485" s="28"/>
      <c r="AI485" s="28"/>
      <c r="AJ485" s="28"/>
      <c r="AK485" s="28"/>
      <c r="AO485" s="28"/>
      <c r="AP485" s="28"/>
    </row>
    <row r="486" spans="2:42">
      <c r="B486" s="153"/>
      <c r="C486" s="28"/>
      <c r="D486" s="28"/>
      <c r="E486" s="28"/>
      <c r="H486" s="28"/>
      <c r="J486" s="159"/>
      <c r="K486" s="28"/>
      <c r="L486" s="28"/>
      <c r="M486"/>
      <c r="O486" s="160"/>
      <c r="P486" s="28"/>
      <c r="Q486" s="28"/>
      <c r="W486" s="28"/>
      <c r="X486" s="28"/>
      <c r="Z486" s="28"/>
      <c r="AA486" s="28"/>
      <c r="AB486" s="28"/>
      <c r="AC486" s="28"/>
      <c r="AD486" s="28"/>
      <c r="AI486" s="28"/>
      <c r="AJ486" s="28"/>
      <c r="AK486" s="28"/>
      <c r="AO486" s="28"/>
      <c r="AP486" s="28"/>
    </row>
    <row r="487" spans="2:42">
      <c r="B487" s="153"/>
      <c r="C487" s="28"/>
      <c r="D487" s="28"/>
      <c r="E487" s="28"/>
      <c r="H487" s="28"/>
      <c r="J487" s="159"/>
      <c r="K487" s="28"/>
      <c r="L487" s="28"/>
      <c r="M487"/>
      <c r="O487" s="160"/>
      <c r="P487" s="28"/>
      <c r="Q487" s="28"/>
      <c r="W487" s="28"/>
      <c r="X487" s="28"/>
      <c r="Z487" s="28"/>
      <c r="AA487" s="28"/>
      <c r="AB487" s="28"/>
      <c r="AC487" s="28"/>
      <c r="AD487" s="28"/>
      <c r="AI487" s="28"/>
      <c r="AJ487" s="28"/>
      <c r="AK487" s="28"/>
      <c r="AO487" s="28"/>
      <c r="AP487" s="28"/>
    </row>
    <row r="488" spans="2:42">
      <c r="B488" s="153"/>
      <c r="C488" s="28"/>
      <c r="D488" s="28"/>
      <c r="E488" s="28"/>
      <c r="H488" s="28"/>
      <c r="J488" s="159"/>
      <c r="K488" s="28"/>
      <c r="L488" s="28"/>
      <c r="M488"/>
      <c r="O488" s="160"/>
      <c r="P488" s="28"/>
      <c r="Q488" s="28"/>
      <c r="W488" s="28"/>
      <c r="X488" s="28"/>
      <c r="Z488" s="28"/>
      <c r="AA488" s="28"/>
      <c r="AB488" s="28"/>
      <c r="AC488" s="28"/>
      <c r="AD488" s="28"/>
      <c r="AI488" s="28"/>
      <c r="AJ488" s="28"/>
      <c r="AK488" s="28"/>
      <c r="AO488" s="28"/>
      <c r="AP488" s="28"/>
    </row>
    <row r="489" spans="2:42">
      <c r="B489" s="153"/>
      <c r="C489" s="28"/>
      <c r="D489" s="28"/>
      <c r="E489" s="28"/>
      <c r="H489" s="28"/>
      <c r="J489" s="159"/>
      <c r="K489" s="28"/>
      <c r="L489" s="28"/>
      <c r="M489"/>
      <c r="O489" s="160"/>
      <c r="P489" s="28"/>
      <c r="Q489" s="28"/>
      <c r="W489" s="28"/>
      <c r="X489" s="28"/>
      <c r="Z489" s="28"/>
      <c r="AA489" s="28"/>
      <c r="AB489" s="28"/>
      <c r="AC489" s="28"/>
      <c r="AD489" s="28"/>
      <c r="AI489" s="28"/>
      <c r="AJ489" s="28"/>
      <c r="AK489" s="28"/>
      <c r="AO489" s="28"/>
      <c r="AP489" s="28"/>
    </row>
    <row r="490" spans="2:42">
      <c r="B490" s="153"/>
      <c r="C490" s="28"/>
      <c r="D490" s="28"/>
      <c r="E490" s="28"/>
      <c r="H490" s="28"/>
      <c r="J490" s="159"/>
      <c r="K490" s="28"/>
      <c r="L490" s="28"/>
      <c r="M490"/>
      <c r="O490" s="160"/>
      <c r="P490" s="28"/>
      <c r="Q490" s="28"/>
      <c r="W490" s="28"/>
      <c r="X490" s="28"/>
      <c r="Z490" s="28"/>
      <c r="AA490" s="28"/>
      <c r="AB490" s="28"/>
      <c r="AC490" s="28"/>
      <c r="AD490" s="28"/>
      <c r="AI490" s="28"/>
      <c r="AJ490" s="28"/>
      <c r="AK490" s="28"/>
      <c r="AO490" s="28"/>
      <c r="AP490" s="28"/>
    </row>
    <row r="491" spans="2:42">
      <c r="B491" s="153"/>
      <c r="C491" s="28"/>
      <c r="D491" s="28"/>
      <c r="E491" s="28"/>
      <c r="H491" s="28"/>
      <c r="J491" s="159"/>
      <c r="K491" s="28"/>
      <c r="L491" s="28"/>
      <c r="M491"/>
      <c r="O491" s="160"/>
      <c r="P491" s="28"/>
      <c r="Q491" s="28"/>
      <c r="W491" s="28"/>
      <c r="X491" s="28"/>
      <c r="Z491" s="28"/>
      <c r="AA491" s="28"/>
      <c r="AB491" s="28"/>
      <c r="AC491" s="28"/>
      <c r="AD491" s="28"/>
      <c r="AI491" s="28"/>
      <c r="AJ491" s="28"/>
      <c r="AK491" s="28"/>
      <c r="AO491" s="28"/>
      <c r="AP491" s="28"/>
    </row>
    <row r="492" spans="2:42">
      <c r="B492" s="153"/>
      <c r="C492" s="28"/>
      <c r="D492" s="28"/>
      <c r="E492" s="28"/>
      <c r="H492" s="28"/>
      <c r="J492" s="159"/>
      <c r="K492" s="28"/>
      <c r="L492" s="28"/>
      <c r="M492"/>
      <c r="O492" s="160"/>
      <c r="P492" s="28"/>
      <c r="Q492" s="28"/>
      <c r="W492" s="28"/>
      <c r="X492" s="28"/>
      <c r="Z492" s="28"/>
      <c r="AA492" s="28"/>
      <c r="AB492" s="28"/>
      <c r="AC492" s="28"/>
      <c r="AD492" s="28"/>
      <c r="AI492" s="28"/>
      <c r="AJ492" s="28"/>
      <c r="AK492" s="28"/>
      <c r="AO492" s="28"/>
      <c r="AP492" s="28"/>
    </row>
    <row r="493" spans="2:42">
      <c r="B493" s="153"/>
      <c r="C493" s="28"/>
      <c r="D493" s="28"/>
      <c r="E493" s="28"/>
      <c r="H493" s="28"/>
      <c r="J493" s="159"/>
      <c r="K493" s="28"/>
      <c r="L493" s="28"/>
      <c r="M493"/>
      <c r="O493" s="160"/>
      <c r="P493" s="28"/>
      <c r="Q493" s="28"/>
      <c r="W493" s="28"/>
      <c r="X493" s="28"/>
      <c r="Z493" s="28"/>
      <c r="AA493" s="28"/>
      <c r="AB493" s="28"/>
      <c r="AC493" s="28"/>
      <c r="AD493" s="28"/>
      <c r="AI493" s="28"/>
      <c r="AJ493" s="28"/>
      <c r="AK493" s="28"/>
      <c r="AO493" s="28"/>
      <c r="AP493" s="28"/>
    </row>
    <row r="494" spans="2:42">
      <c r="B494" s="153"/>
      <c r="C494" s="28"/>
      <c r="D494" s="28"/>
      <c r="E494" s="28"/>
      <c r="H494" s="28"/>
      <c r="J494" s="159"/>
      <c r="K494" s="28"/>
      <c r="L494" s="28"/>
      <c r="M494"/>
      <c r="O494" s="160"/>
      <c r="P494" s="28"/>
      <c r="Q494" s="28"/>
      <c r="W494" s="28"/>
      <c r="X494" s="28"/>
      <c r="Z494" s="28"/>
      <c r="AA494" s="28"/>
      <c r="AB494" s="28"/>
      <c r="AC494" s="28"/>
      <c r="AD494" s="28"/>
      <c r="AI494" s="28"/>
      <c r="AJ494" s="28"/>
      <c r="AK494" s="28"/>
      <c r="AO494" s="28"/>
      <c r="AP494" s="28"/>
    </row>
    <row r="495" spans="2:42">
      <c r="B495" s="153"/>
      <c r="C495" s="28"/>
      <c r="D495" s="28"/>
      <c r="E495" s="28"/>
      <c r="H495" s="28"/>
      <c r="J495" s="159"/>
      <c r="K495" s="28"/>
      <c r="L495" s="28"/>
      <c r="M495"/>
      <c r="O495" s="160"/>
      <c r="P495" s="28"/>
      <c r="Q495" s="28"/>
      <c r="W495" s="28"/>
      <c r="X495" s="28"/>
      <c r="Z495" s="28"/>
      <c r="AA495" s="28"/>
      <c r="AB495" s="28"/>
      <c r="AC495" s="28"/>
      <c r="AD495" s="28"/>
      <c r="AI495" s="28"/>
      <c r="AJ495" s="28"/>
      <c r="AK495" s="28"/>
      <c r="AO495" s="28"/>
      <c r="AP495" s="28"/>
    </row>
    <row r="496" spans="2:42">
      <c r="B496" s="153"/>
      <c r="C496" s="28"/>
      <c r="D496" s="28"/>
      <c r="E496" s="28"/>
      <c r="H496" s="28"/>
      <c r="J496" s="159"/>
      <c r="K496" s="28"/>
      <c r="L496" s="28"/>
      <c r="M496"/>
      <c r="O496" s="160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53"/>
      <c r="C497" s="28"/>
      <c r="D497" s="28"/>
      <c r="E497" s="28"/>
      <c r="H497" s="28"/>
      <c r="J497" s="159"/>
      <c r="K497" s="28"/>
      <c r="L497" s="28"/>
      <c r="M497"/>
      <c r="O497" s="160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53"/>
      <c r="C498" s="28"/>
      <c r="D498" s="28"/>
      <c r="E498" s="28"/>
      <c r="H498" s="28"/>
      <c r="J498" s="159"/>
      <c r="K498" s="28"/>
      <c r="L498" s="28"/>
      <c r="M498"/>
      <c r="O498" s="160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53"/>
      <c r="C499" s="28"/>
      <c r="D499" s="28"/>
      <c r="E499" s="28"/>
      <c r="H499" s="28"/>
      <c r="J499" s="159"/>
      <c r="K499" s="28"/>
      <c r="L499" s="28"/>
      <c r="M499"/>
      <c r="O499" s="160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53"/>
      <c r="C500" s="28"/>
      <c r="D500" s="28"/>
      <c r="E500" s="28"/>
      <c r="H500" s="28"/>
      <c r="J500" s="159"/>
      <c r="K500" s="28"/>
      <c r="L500" s="28"/>
      <c r="M500"/>
      <c r="O500" s="160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53"/>
      <c r="C501" s="28"/>
      <c r="D501" s="28"/>
      <c r="E501" s="28"/>
      <c r="H501" s="28"/>
      <c r="J501" s="159"/>
      <c r="K501" s="28"/>
      <c r="L501" s="28"/>
      <c r="M501"/>
      <c r="O501" s="160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53"/>
      <c r="C502" s="28"/>
      <c r="D502" s="28"/>
      <c r="E502" s="28"/>
      <c r="H502" s="28"/>
      <c r="J502" s="159"/>
      <c r="K502" s="28"/>
      <c r="L502" s="28"/>
      <c r="M502"/>
      <c r="O502" s="160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53"/>
      <c r="C503" s="28"/>
      <c r="D503" s="28"/>
      <c r="E503" s="28"/>
      <c r="H503" s="28"/>
      <c r="J503" s="159"/>
      <c r="K503" s="28"/>
      <c r="L503" s="28"/>
      <c r="M503"/>
      <c r="O503" s="160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53"/>
      <c r="C504" s="28"/>
      <c r="D504" s="28"/>
      <c r="E504" s="28"/>
      <c r="H504" s="28"/>
      <c r="J504" s="159"/>
      <c r="K504" s="28"/>
      <c r="L504" s="28"/>
      <c r="M504"/>
      <c r="O504" s="160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53"/>
      <c r="C505" s="28"/>
      <c r="D505" s="28"/>
      <c r="E505" s="28"/>
      <c r="H505" s="28"/>
      <c r="J505" s="159"/>
      <c r="K505" s="28"/>
      <c r="L505" s="28"/>
      <c r="M505"/>
      <c r="O505" s="160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53"/>
      <c r="C506" s="28"/>
      <c r="D506" s="28"/>
      <c r="E506" s="28"/>
      <c r="H506" s="28"/>
      <c r="J506" s="159"/>
      <c r="K506" s="28"/>
      <c r="L506" s="28"/>
      <c r="M506"/>
      <c r="O506" s="160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53"/>
      <c r="C507" s="28"/>
      <c r="D507" s="28"/>
      <c r="E507" s="28"/>
      <c r="H507" s="28"/>
      <c r="J507" s="159"/>
      <c r="K507" s="28"/>
      <c r="L507" s="28"/>
      <c r="M507"/>
      <c r="O507" s="160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53"/>
      <c r="C508" s="28"/>
      <c r="D508" s="28"/>
      <c r="E508" s="28"/>
      <c r="H508" s="28"/>
      <c r="J508" s="159"/>
      <c r="K508" s="28"/>
      <c r="M508" s="169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53"/>
      <c r="C509" s="28"/>
      <c r="D509" s="28"/>
      <c r="E509" s="28"/>
      <c r="H509" s="28"/>
      <c r="J509" s="159"/>
      <c r="K509" s="28"/>
      <c r="M509" s="169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53"/>
      <c r="C510" s="28"/>
      <c r="D510" s="28"/>
      <c r="E510" s="28"/>
      <c r="H510" s="28"/>
      <c r="J510" s="159"/>
      <c r="K510" s="28"/>
      <c r="M510" s="169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53"/>
      <c r="C511" s="28"/>
      <c r="D511" s="28"/>
      <c r="E511" s="28"/>
      <c r="H511" s="28"/>
      <c r="J511" s="159"/>
      <c r="K511" s="28"/>
      <c r="M511" s="169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53"/>
      <c r="C512" s="28"/>
      <c r="D512" s="28"/>
      <c r="E512" s="28"/>
      <c r="H512" s="28"/>
      <c r="J512" s="159"/>
      <c r="K512" s="28"/>
      <c r="M512" s="169"/>
      <c r="P512" s="28"/>
      <c r="Q512" s="28"/>
      <c r="W512" s="153"/>
      <c r="X512" s="28"/>
      <c r="Z512" s="28"/>
      <c r="AA512" s="28"/>
      <c r="AC512" s="28"/>
      <c r="AD512" s="28"/>
      <c r="AI512" s="28"/>
      <c r="AJ512" s="28"/>
      <c r="AK512" s="28"/>
      <c r="AO512" s="28"/>
      <c r="AP512" s="28"/>
    </row>
    <row r="513" spans="2:42">
      <c r="B513" s="153"/>
      <c r="C513" s="28"/>
      <c r="D513" s="28"/>
      <c r="E513" s="28"/>
      <c r="H513" s="28"/>
      <c r="J513" s="159"/>
      <c r="K513" s="28"/>
      <c r="M513" s="169"/>
      <c r="P513" s="28"/>
      <c r="Q513" s="28"/>
      <c r="W513" s="153"/>
      <c r="X513" s="28"/>
      <c r="Z513" s="28"/>
      <c r="AA513" s="28"/>
      <c r="AC513" s="28"/>
      <c r="AD513" s="28"/>
      <c r="AI513" s="28"/>
      <c r="AJ513" s="28"/>
      <c r="AK513" s="28"/>
      <c r="AO513" s="28"/>
      <c r="AP513" s="28"/>
    </row>
    <row r="514" spans="2:42">
      <c r="B514" s="153"/>
      <c r="C514" s="28"/>
      <c r="D514" s="28"/>
      <c r="E514" s="28"/>
      <c r="H514" s="28"/>
      <c r="J514" s="159"/>
      <c r="K514" s="28"/>
      <c r="M514" s="169"/>
      <c r="P514" s="28"/>
      <c r="Q514" s="28"/>
      <c r="W514" s="153"/>
      <c r="X514" s="28"/>
      <c r="Z514" s="28"/>
      <c r="AA514" s="28"/>
      <c r="AC514" s="28"/>
      <c r="AD514" s="28"/>
      <c r="AI514" s="28"/>
      <c r="AJ514" s="28"/>
      <c r="AK514" s="28"/>
      <c r="AO514" s="28"/>
      <c r="AP514" s="28"/>
    </row>
    <row r="515" spans="2:42">
      <c r="B515" s="153"/>
      <c r="C515" s="28"/>
      <c r="D515" s="28"/>
      <c r="E515" s="28"/>
      <c r="H515" s="28"/>
      <c r="J515" s="159"/>
      <c r="K515" s="28"/>
      <c r="M515" s="169"/>
      <c r="P515" s="28"/>
      <c r="Q515" s="28"/>
      <c r="W515" s="28"/>
      <c r="X515" s="28"/>
      <c r="Z515" s="28"/>
      <c r="AA515" s="28"/>
      <c r="AC515" s="28"/>
      <c r="AD515" s="28"/>
      <c r="AI515" s="28"/>
      <c r="AJ515" s="28"/>
      <c r="AK515" s="28"/>
      <c r="AO515" s="28"/>
      <c r="AP515" s="28"/>
    </row>
    <row r="516" spans="2:42">
      <c r="B516" s="153"/>
      <c r="C516" s="28"/>
      <c r="D516" s="28"/>
      <c r="E516" s="28"/>
      <c r="H516" s="28"/>
      <c r="J516" s="159"/>
      <c r="K516" s="28"/>
      <c r="M516" s="169"/>
      <c r="P516" s="28"/>
      <c r="Q516" s="28"/>
      <c r="W516" s="28"/>
      <c r="X516" s="28"/>
      <c r="Z516" s="28"/>
      <c r="AA516" s="28"/>
      <c r="AC516" s="28"/>
      <c r="AD516" s="28"/>
      <c r="AI516" s="28"/>
      <c r="AJ516" s="28"/>
      <c r="AK516" s="28"/>
      <c r="AO516" s="28"/>
      <c r="AP516" s="28"/>
    </row>
    <row r="517" spans="2:42">
      <c r="B517" s="153"/>
      <c r="C517" s="28"/>
      <c r="D517" s="28"/>
      <c r="E517" s="28"/>
      <c r="H517" s="28"/>
      <c r="J517" s="159"/>
      <c r="K517" s="28"/>
      <c r="M517" s="169"/>
      <c r="P517" s="28"/>
      <c r="Q517" s="28"/>
      <c r="W517" s="28"/>
      <c r="X517" s="28"/>
      <c r="Z517" s="28"/>
      <c r="AA517" s="28"/>
      <c r="AC517" s="28"/>
      <c r="AD517" s="28"/>
      <c r="AI517" s="28"/>
      <c r="AJ517" s="28"/>
      <c r="AK517" s="28"/>
      <c r="AO517" s="28"/>
      <c r="AP517" s="28"/>
    </row>
    <row r="518" spans="2:42">
      <c r="B518" s="153"/>
      <c r="C518" s="28"/>
      <c r="D518" s="28"/>
      <c r="E518" s="28"/>
      <c r="H518" s="28"/>
      <c r="J518" s="159"/>
      <c r="K518" s="28"/>
      <c r="M518" s="169"/>
      <c r="P518" s="28"/>
      <c r="Q518" s="28"/>
      <c r="W518" s="28"/>
      <c r="X518" s="28"/>
      <c r="Z518" s="28"/>
      <c r="AA518" s="28"/>
      <c r="AC518" s="28"/>
      <c r="AD518" s="28"/>
      <c r="AI518" s="28"/>
      <c r="AJ518" s="28"/>
      <c r="AK518" s="28"/>
      <c r="AO518" s="28"/>
      <c r="AP518" s="28"/>
    </row>
    <row r="519" spans="2:42">
      <c r="B519" s="153"/>
      <c r="C519" s="28"/>
      <c r="D519" s="28"/>
      <c r="E519" s="28"/>
      <c r="H519" s="28"/>
      <c r="J519" s="159"/>
      <c r="K519" s="28"/>
      <c r="M519" s="169"/>
      <c r="P519" s="28"/>
      <c r="Q519" s="28"/>
      <c r="W519" s="28"/>
      <c r="X519" s="28"/>
      <c r="Z519" s="28"/>
      <c r="AA519" s="28"/>
      <c r="AC519" s="28"/>
      <c r="AD519" s="28"/>
      <c r="AI519" s="28"/>
      <c r="AJ519" s="28"/>
      <c r="AK519" s="28"/>
      <c r="AO519" s="28"/>
      <c r="AP519" s="28"/>
    </row>
    <row r="520" spans="2:42">
      <c r="B520" s="153"/>
      <c r="C520" s="28"/>
      <c r="D520" s="28"/>
      <c r="E520" s="28"/>
      <c r="H520" s="28"/>
      <c r="J520" s="159"/>
      <c r="K520" s="28"/>
      <c r="M520" s="169"/>
      <c r="P520" s="28"/>
      <c r="Q520" s="28"/>
      <c r="W520" s="28"/>
      <c r="X520" s="28"/>
      <c r="Z520" s="28"/>
      <c r="AA520" s="28"/>
      <c r="AC520" s="28"/>
      <c r="AD520" s="28"/>
      <c r="AI520" s="28"/>
      <c r="AJ520" s="28"/>
      <c r="AK520" s="28"/>
      <c r="AO520" s="28"/>
      <c r="AP520" s="28"/>
    </row>
    <row r="521" spans="2:42">
      <c r="B521" s="153"/>
      <c r="C521" s="28"/>
      <c r="D521" s="28"/>
      <c r="E521" s="28"/>
      <c r="H521" s="28"/>
      <c r="J521" s="159"/>
      <c r="K521" s="28"/>
      <c r="M521" s="169"/>
      <c r="P521" s="28"/>
      <c r="Q521" s="28"/>
      <c r="W521" s="28"/>
      <c r="X521" s="28"/>
      <c r="Z521" s="28"/>
      <c r="AA521" s="28"/>
      <c r="AC521" s="28"/>
      <c r="AD521" s="28"/>
      <c r="AI521" s="28"/>
      <c r="AJ521" s="28"/>
      <c r="AK521" s="28"/>
      <c r="AO521" s="28"/>
      <c r="AP521" s="28"/>
    </row>
    <row r="522" spans="2:42">
      <c r="B522" s="153"/>
      <c r="C522" s="28"/>
      <c r="D522" s="28"/>
      <c r="E522" s="28"/>
      <c r="H522" s="28"/>
      <c r="J522" s="159"/>
      <c r="K522" s="28"/>
      <c r="M522" s="169"/>
      <c r="P522" s="28"/>
      <c r="Q522" s="28"/>
      <c r="W522" s="28"/>
      <c r="X522" s="28"/>
      <c r="Z522" s="28"/>
      <c r="AA522" s="28"/>
      <c r="AC522" s="28"/>
      <c r="AD522" s="28"/>
      <c r="AI522" s="28"/>
      <c r="AJ522" s="28"/>
      <c r="AK522" s="28"/>
      <c r="AO522" s="28"/>
      <c r="AP522" s="28"/>
    </row>
    <row r="523" spans="2:42">
      <c r="B523" s="153"/>
      <c r="C523" s="28"/>
      <c r="D523" s="28"/>
      <c r="E523" s="28"/>
      <c r="H523" s="28"/>
      <c r="J523" s="159"/>
      <c r="K523" s="28"/>
      <c r="M523" s="169"/>
      <c r="P523" s="28"/>
      <c r="Q523" s="28"/>
      <c r="W523" s="28"/>
      <c r="X523" s="28"/>
      <c r="Z523" s="28"/>
      <c r="AA523" s="28"/>
      <c r="AC523" s="28"/>
      <c r="AD523" s="28"/>
      <c r="AI523" s="28"/>
      <c r="AJ523" s="28"/>
      <c r="AK523" s="28"/>
      <c r="AO523" s="28"/>
      <c r="AP523" s="28"/>
    </row>
    <row r="524" spans="2:42">
      <c r="B524" s="153"/>
      <c r="C524" s="28"/>
      <c r="D524" s="28"/>
      <c r="E524" s="28"/>
      <c r="H524" s="28"/>
      <c r="J524" s="159"/>
      <c r="K524" s="28"/>
      <c r="M524" s="169"/>
      <c r="P524" s="28"/>
      <c r="Q524" s="28"/>
      <c r="W524" s="28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53"/>
      <c r="C525" s="28"/>
      <c r="D525" s="28"/>
      <c r="E525" s="28"/>
      <c r="H525" s="28"/>
      <c r="J525" s="159"/>
      <c r="K525" s="28"/>
      <c r="M525" s="169"/>
      <c r="P525" s="28"/>
      <c r="Q525" s="28"/>
      <c r="W525" s="28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53"/>
      <c r="C526" s="28"/>
      <c r="D526" s="28"/>
      <c r="E526" s="28"/>
      <c r="H526" s="28"/>
      <c r="J526" s="159"/>
      <c r="K526" s="28"/>
      <c r="M526" s="169"/>
      <c r="P526" s="28"/>
      <c r="Q526" s="28"/>
      <c r="W526" s="28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53"/>
      <c r="C527" s="28"/>
      <c r="D527" s="28"/>
      <c r="E527" s="28"/>
      <c r="H527" s="28"/>
      <c r="J527" s="159"/>
      <c r="K527" s="28"/>
      <c r="M527" s="169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54"/>
      <c r="C528" s="28"/>
      <c r="D528" s="28"/>
      <c r="E528" s="28"/>
      <c r="H528" s="28"/>
      <c r="I528" s="154"/>
      <c r="J528" s="159"/>
      <c r="K528" s="28"/>
      <c r="L528" s="28"/>
      <c r="M528" s="169"/>
      <c r="O528" s="160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54"/>
      <c r="C529" s="28"/>
      <c r="D529" s="28"/>
      <c r="E529" s="28"/>
      <c r="H529" s="28"/>
      <c r="I529" s="154"/>
      <c r="J529" s="159"/>
      <c r="K529" s="28"/>
      <c r="L529" s="28"/>
      <c r="M529" s="169"/>
      <c r="O529" s="160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54"/>
      <c r="C530" s="28"/>
      <c r="D530" s="28"/>
      <c r="E530" s="28"/>
      <c r="H530" s="28"/>
      <c r="I530" s="154"/>
      <c r="J530" s="159"/>
      <c r="K530" s="28"/>
      <c r="L530" s="28"/>
      <c r="M530" s="169"/>
      <c r="O530" s="160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54"/>
      <c r="C531" s="28"/>
      <c r="D531" s="28"/>
      <c r="E531" s="28"/>
      <c r="H531" s="28"/>
      <c r="I531" s="154"/>
      <c r="J531" s="159"/>
      <c r="K531" s="28"/>
      <c r="L531" s="28"/>
      <c r="M531" s="169"/>
      <c r="O531" s="160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54"/>
      <c r="C532" s="28"/>
      <c r="D532" s="28"/>
      <c r="E532" s="28"/>
      <c r="H532" s="28"/>
      <c r="I532" s="154"/>
      <c r="J532" s="159"/>
      <c r="K532" s="28"/>
      <c r="L532" s="28"/>
      <c r="M532" s="169"/>
      <c r="O532" s="160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54"/>
      <c r="C533" s="28"/>
      <c r="D533" s="28"/>
      <c r="E533" s="28"/>
      <c r="H533" s="28"/>
      <c r="I533" s="154"/>
      <c r="J533" s="159"/>
      <c r="K533" s="28"/>
      <c r="L533" s="28"/>
      <c r="M533" s="169"/>
      <c r="O533" s="160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54"/>
      <c r="C534" s="28"/>
      <c r="D534" s="28"/>
      <c r="E534" s="28"/>
      <c r="H534" s="28"/>
      <c r="I534" s="154"/>
      <c r="J534" s="159"/>
      <c r="K534" s="28"/>
      <c r="L534" s="28"/>
      <c r="M534" s="169"/>
      <c r="O534" s="160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54"/>
      <c r="C535" s="28"/>
      <c r="D535" s="28"/>
      <c r="E535" s="28"/>
      <c r="H535" s="28"/>
      <c r="I535" s="154"/>
      <c r="J535" s="159"/>
      <c r="K535" s="28"/>
      <c r="L535" s="28"/>
      <c r="M535" s="169"/>
      <c r="O535" s="160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54"/>
      <c r="C536" s="28"/>
      <c r="D536" s="28"/>
      <c r="E536" s="28"/>
      <c r="H536" s="28"/>
      <c r="I536" s="154"/>
      <c r="J536" s="159"/>
      <c r="K536" s="28"/>
      <c r="L536" s="28"/>
      <c r="M536" s="169"/>
      <c r="O536" s="160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54"/>
      <c r="C537" s="28"/>
      <c r="D537" s="28"/>
      <c r="E537" s="28"/>
      <c r="H537" s="28"/>
      <c r="I537" s="154"/>
      <c r="J537" s="159"/>
      <c r="K537" s="28"/>
      <c r="L537" s="28"/>
      <c r="M537" s="169"/>
      <c r="O537" s="160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54"/>
      <c r="C538" s="28"/>
      <c r="D538" s="28"/>
      <c r="E538" s="28"/>
      <c r="H538" s="28"/>
      <c r="I538" s="154"/>
      <c r="J538" s="159"/>
      <c r="K538" s="28"/>
      <c r="L538" s="28"/>
      <c r="M538" s="169"/>
      <c r="O538" s="160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54"/>
      <c r="C539" s="28"/>
      <c r="D539" s="28"/>
      <c r="E539" s="28"/>
      <c r="H539" s="28"/>
      <c r="I539" s="154"/>
      <c r="J539" s="159"/>
      <c r="K539" s="28"/>
      <c r="L539" s="28"/>
      <c r="M539" s="169"/>
      <c r="O539" s="160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54"/>
      <c r="C540" s="28"/>
      <c r="D540" s="28"/>
      <c r="E540" s="28"/>
      <c r="H540" s="28"/>
      <c r="I540" s="154"/>
      <c r="J540" s="159"/>
      <c r="K540" s="28"/>
      <c r="L540" s="28"/>
      <c r="M540" s="169"/>
      <c r="O540" s="160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54"/>
      <c r="C541" s="28"/>
      <c r="D541" s="28"/>
      <c r="E541" s="28"/>
      <c r="H541" s="28"/>
      <c r="I541" s="154"/>
      <c r="J541" s="159"/>
      <c r="K541" s="28"/>
      <c r="L541" s="28"/>
      <c r="M541" s="169"/>
      <c r="O541" s="160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54"/>
      <c r="C542" s="28"/>
      <c r="D542" s="28"/>
      <c r="E542" s="28"/>
      <c r="H542" s="28"/>
      <c r="I542" s="154"/>
      <c r="J542" s="159"/>
      <c r="K542" s="28"/>
      <c r="L542" s="28"/>
      <c r="M542" s="169"/>
      <c r="O542" s="160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54"/>
      <c r="C543" s="28"/>
      <c r="D543" s="28"/>
      <c r="E543" s="28"/>
      <c r="H543" s="28"/>
      <c r="I543" s="154"/>
      <c r="J543" s="159"/>
      <c r="K543" s="28"/>
      <c r="L543" s="28"/>
      <c r="M543" s="169"/>
      <c r="O543" s="160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54"/>
      <c r="C544" s="28"/>
      <c r="D544" s="28"/>
      <c r="E544" s="28"/>
      <c r="H544" s="28"/>
      <c r="I544" s="154"/>
      <c r="J544" s="159"/>
      <c r="K544" s="28"/>
      <c r="L544" s="28"/>
      <c r="M544" s="169"/>
      <c r="O544" s="160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54"/>
      <c r="C545" s="28"/>
      <c r="D545" s="28"/>
      <c r="E545" s="28"/>
      <c r="H545" s="28"/>
      <c r="I545" s="154"/>
      <c r="J545" s="159"/>
      <c r="K545" s="28"/>
      <c r="L545" s="28"/>
      <c r="M545" s="169"/>
      <c r="O545" s="160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54"/>
      <c r="C546" s="28"/>
      <c r="D546" s="28"/>
      <c r="E546" s="28"/>
      <c r="H546" s="28"/>
      <c r="I546" s="154"/>
      <c r="J546" s="159"/>
      <c r="K546" s="28"/>
      <c r="L546" s="28"/>
      <c r="M546" s="169"/>
      <c r="O546" s="160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53"/>
      <c r="C547" s="28"/>
      <c r="D547" s="28"/>
      <c r="E547" s="28"/>
      <c r="H547" s="28"/>
      <c r="J547" s="159"/>
      <c r="K547" s="28"/>
      <c r="L547" s="28"/>
      <c r="O547" s="160"/>
      <c r="P547" s="28"/>
      <c r="Q547" s="28"/>
      <c r="W547" s="153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53"/>
      <c r="C548" s="28"/>
      <c r="D548" s="28"/>
      <c r="E548" s="28"/>
      <c r="H548" s="28"/>
      <c r="J548" s="159"/>
      <c r="K548" s="28"/>
      <c r="L548" s="28"/>
      <c r="O548" s="160"/>
      <c r="P548" s="28"/>
      <c r="Q548" s="28"/>
      <c r="W548" s="153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53"/>
      <c r="C549" s="28"/>
      <c r="D549" s="28"/>
      <c r="E549" s="28"/>
      <c r="H549" s="28"/>
      <c r="J549" s="159"/>
      <c r="K549" s="28"/>
      <c r="L549" s="28"/>
      <c r="O549" s="160"/>
      <c r="P549" s="28"/>
      <c r="Q549" s="28"/>
      <c r="W549" s="153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53"/>
      <c r="C550" s="28"/>
      <c r="D550" s="28"/>
      <c r="E550" s="28"/>
      <c r="H550" s="28"/>
      <c r="J550" s="159"/>
      <c r="K550" s="28"/>
      <c r="L550" s="28"/>
      <c r="O550" s="160"/>
      <c r="P550" s="28"/>
      <c r="Q550" s="28"/>
      <c r="W550" s="153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53"/>
      <c r="C551" s="28"/>
      <c r="D551" s="28"/>
      <c r="E551" s="28"/>
      <c r="H551" s="28"/>
      <c r="J551" s="159"/>
      <c r="K551" s="28"/>
      <c r="L551" s="28"/>
      <c r="O551" s="160"/>
      <c r="P551" s="28"/>
      <c r="Q551" s="28"/>
      <c r="W551" s="153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53"/>
      <c r="C552" s="28"/>
      <c r="D552" s="28"/>
      <c r="E552" s="28"/>
      <c r="H552" s="28"/>
      <c r="J552" s="159"/>
      <c r="K552" s="28"/>
      <c r="L552" s="28"/>
      <c r="O552" s="160"/>
      <c r="P552" s="28"/>
      <c r="Q552" s="28"/>
      <c r="W552" s="153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53"/>
      <c r="C553" s="28"/>
      <c r="D553" s="28"/>
      <c r="E553" s="28"/>
      <c r="H553" s="28"/>
      <c r="J553" s="159"/>
      <c r="K553" s="28"/>
      <c r="L553" s="28"/>
      <c r="O553" s="160"/>
      <c r="P553" s="28"/>
      <c r="Q553" s="28"/>
      <c r="W553" s="153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53"/>
      <c r="C554" s="28"/>
      <c r="D554" s="28"/>
      <c r="E554" s="28"/>
      <c r="H554" s="28"/>
      <c r="J554" s="159"/>
      <c r="K554" s="28"/>
      <c r="L554" s="28"/>
      <c r="O554" s="160"/>
      <c r="P554" s="28"/>
      <c r="Q554" s="28"/>
      <c r="W554" s="153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53"/>
      <c r="C555" s="28"/>
      <c r="D555" s="28"/>
      <c r="E555" s="28"/>
      <c r="H555" s="28"/>
      <c r="J555" s="159"/>
      <c r="K555" s="28"/>
      <c r="L555" s="28"/>
      <c r="O555" s="160"/>
      <c r="P555" s="28"/>
      <c r="Q555" s="28"/>
      <c r="W555" s="153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53"/>
      <c r="C556" s="28"/>
      <c r="D556" s="28"/>
      <c r="E556" s="28"/>
      <c r="H556" s="28"/>
      <c r="J556" s="159"/>
      <c r="K556" s="28"/>
      <c r="L556" s="28"/>
      <c r="O556" s="160"/>
      <c r="P556" s="28"/>
      <c r="Q556" s="28"/>
      <c r="W556" s="153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53"/>
      <c r="C557" s="28"/>
      <c r="D557" s="28"/>
      <c r="E557" s="28"/>
      <c r="H557" s="28"/>
      <c r="J557" s="159"/>
      <c r="K557" s="28"/>
      <c r="L557" s="28"/>
      <c r="O557" s="160"/>
      <c r="P557" s="28"/>
      <c r="Q557" s="28"/>
      <c r="W557" s="153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53"/>
      <c r="C558" s="28"/>
      <c r="D558" s="28"/>
      <c r="E558" s="28"/>
      <c r="H558" s="28"/>
      <c r="I558" s="28"/>
      <c r="J558" s="159"/>
      <c r="K558" s="28"/>
      <c r="L558" s="28"/>
      <c r="N558" s="153"/>
      <c r="O558" s="160"/>
      <c r="P558" s="28"/>
      <c r="Q558" s="28"/>
      <c r="W558" s="28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53"/>
      <c r="C559" s="28"/>
      <c r="D559" s="28"/>
      <c r="E559" s="28"/>
      <c r="H559" s="28"/>
      <c r="I559" s="28"/>
      <c r="J559" s="159"/>
      <c r="K559" s="28"/>
      <c r="L559" s="28"/>
      <c r="N559" s="153"/>
      <c r="O559" s="160"/>
      <c r="P559" s="28"/>
      <c r="Q559" s="28"/>
      <c r="W559" s="28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53"/>
      <c r="C560" s="28"/>
      <c r="D560" s="28"/>
      <c r="E560" s="28"/>
      <c r="H560" s="28"/>
      <c r="I560" s="28"/>
      <c r="J560" s="159"/>
      <c r="K560" s="28"/>
      <c r="L560" s="28"/>
      <c r="N560" s="153"/>
      <c r="O560" s="160"/>
      <c r="P560" s="28"/>
      <c r="Q560" s="28"/>
      <c r="W560" s="28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53"/>
      <c r="C561" s="28"/>
      <c r="D561" s="28"/>
      <c r="E561" s="28"/>
      <c r="H561" s="28"/>
      <c r="I561" s="28"/>
      <c r="J561" s="159"/>
      <c r="K561" s="28"/>
      <c r="L561" s="28"/>
      <c r="N561" s="153"/>
      <c r="O561" s="160"/>
      <c r="P561" s="28"/>
      <c r="Q561" s="28"/>
      <c r="W561" s="28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 s="155" customFormat="1">
      <c r="B562" s="170"/>
      <c r="C562" s="171"/>
      <c r="D562" s="171"/>
      <c r="E562" s="28"/>
      <c r="H562" s="28"/>
      <c r="I562" s="171"/>
      <c r="J562" s="172"/>
      <c r="K562" s="171"/>
      <c r="L562" s="171"/>
      <c r="M562" s="166"/>
      <c r="P562" s="171"/>
      <c r="Q562" s="171"/>
      <c r="W562" s="171"/>
      <c r="X562" s="171"/>
      <c r="Z562" s="171"/>
      <c r="AA562" s="28"/>
      <c r="AB562" s="170"/>
      <c r="AC562" s="171"/>
      <c r="AD562" s="171"/>
      <c r="AI562" s="171"/>
      <c r="AJ562" s="171"/>
      <c r="AK562" s="171"/>
      <c r="AN562" s="170"/>
      <c r="AO562" s="171"/>
      <c r="AP562" s="171"/>
    </row>
    <row r="563" spans="2:42" s="155" customFormat="1">
      <c r="B563" s="170"/>
      <c r="C563" s="171"/>
      <c r="D563" s="171"/>
      <c r="E563" s="28"/>
      <c r="H563" s="28"/>
      <c r="I563" s="171"/>
      <c r="J563" s="172"/>
      <c r="K563" s="171"/>
      <c r="L563" s="171"/>
      <c r="M563" s="166"/>
      <c r="P563" s="171"/>
      <c r="Q563" s="171"/>
      <c r="W563" s="171"/>
      <c r="X563" s="171"/>
      <c r="Z563" s="171"/>
      <c r="AA563" s="28"/>
      <c r="AB563" s="170"/>
      <c r="AC563" s="171"/>
      <c r="AD563" s="171"/>
      <c r="AI563" s="171"/>
      <c r="AJ563" s="171"/>
      <c r="AK563" s="171"/>
      <c r="AN563" s="170"/>
      <c r="AO563" s="171"/>
      <c r="AP563" s="171"/>
    </row>
    <row r="564" spans="2:42">
      <c r="B564" s="153"/>
      <c r="C564" s="28"/>
      <c r="D564" s="28"/>
      <c r="E564" s="28"/>
      <c r="H564" s="28"/>
      <c r="I564" s="28"/>
      <c r="J564" s="159"/>
      <c r="K564" s="28"/>
      <c r="L564" s="28"/>
      <c r="P564" s="28"/>
      <c r="Q564" s="28"/>
      <c r="W564" s="28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53"/>
      <c r="C565" s="28"/>
      <c r="D565" s="28"/>
      <c r="E565" s="28"/>
      <c r="H565" s="28"/>
      <c r="I565" s="28"/>
      <c r="J565" s="159"/>
      <c r="K565" s="28"/>
      <c r="L565" s="28"/>
      <c r="P565" s="28"/>
      <c r="Q565" s="28"/>
      <c r="W565" s="28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53"/>
      <c r="C566" s="28"/>
      <c r="D566" s="28"/>
      <c r="E566" s="28"/>
      <c r="H566" s="28"/>
      <c r="I566" s="28"/>
      <c r="J566" s="159"/>
      <c r="K566" s="28"/>
      <c r="L566" s="28"/>
      <c r="P566" s="28"/>
      <c r="Q566" s="28"/>
      <c r="W566" s="28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53"/>
      <c r="C567" s="28"/>
      <c r="D567" s="28"/>
      <c r="E567" s="28"/>
      <c r="H567" s="28"/>
      <c r="I567" s="28"/>
      <c r="J567" s="159"/>
      <c r="K567" s="28"/>
      <c r="L567" s="28"/>
      <c r="P567" s="28"/>
      <c r="Q567" s="28"/>
      <c r="W567" s="28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53"/>
      <c r="C568" s="28"/>
      <c r="D568" s="28"/>
      <c r="E568" s="28"/>
      <c r="H568" s="28"/>
      <c r="I568" s="28"/>
      <c r="J568" s="159"/>
      <c r="K568" s="28"/>
      <c r="L568" s="28"/>
      <c r="P568" s="28"/>
      <c r="Q568" s="28"/>
      <c r="W568" s="28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53"/>
      <c r="C569" s="28"/>
      <c r="D569" s="28"/>
      <c r="E569" s="28"/>
      <c r="H569" s="28"/>
      <c r="I569" s="28"/>
      <c r="J569" s="159"/>
      <c r="K569" s="28"/>
      <c r="L569" s="28"/>
      <c r="P569" s="28"/>
      <c r="Q569" s="28"/>
      <c r="W569" s="28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53"/>
      <c r="C570" s="28"/>
      <c r="D570" s="28"/>
      <c r="E570" s="28"/>
      <c r="H570" s="28"/>
      <c r="I570" s="28"/>
      <c r="J570" s="159"/>
      <c r="K570" s="28"/>
      <c r="L570" s="28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53"/>
      <c r="C571" s="28"/>
      <c r="D571" s="28"/>
      <c r="E571" s="28"/>
      <c r="H571" s="28"/>
      <c r="I571" s="28"/>
      <c r="J571" s="159"/>
      <c r="K571" s="28"/>
      <c r="L571" s="28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53"/>
      <c r="C572" s="28"/>
      <c r="D572" s="28"/>
      <c r="E572" s="28"/>
      <c r="H572" s="28"/>
      <c r="I572" s="28"/>
      <c r="J572" s="159"/>
      <c r="K572" s="28"/>
      <c r="L572" s="28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53"/>
      <c r="C573" s="28"/>
      <c r="D573" s="28"/>
      <c r="E573" s="28"/>
      <c r="H573" s="28"/>
      <c r="I573" s="28"/>
      <c r="J573" s="159"/>
      <c r="K573" s="28"/>
      <c r="L573" s="28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>
      <c r="B574" s="153"/>
      <c r="C574" s="28"/>
      <c r="D574" s="28"/>
      <c r="E574" s="28"/>
      <c r="H574" s="28"/>
      <c r="I574" s="28"/>
      <c r="J574" s="159"/>
      <c r="K574" s="28"/>
      <c r="L574" s="28"/>
      <c r="P574" s="28"/>
      <c r="Q574" s="28"/>
      <c r="W574" s="28"/>
      <c r="X574" s="28"/>
      <c r="Z574" s="28"/>
      <c r="AA574" s="28"/>
      <c r="AC574" s="28"/>
      <c r="AD574" s="28"/>
      <c r="AI574" s="28"/>
      <c r="AJ574" s="28"/>
      <c r="AK574" s="28"/>
      <c r="AO574" s="28"/>
      <c r="AP574" s="28"/>
    </row>
    <row r="575" spans="2:42">
      <c r="B575" s="153"/>
      <c r="C575" s="28"/>
      <c r="D575" s="28"/>
      <c r="E575" s="28"/>
      <c r="H575" s="28"/>
      <c r="I575" s="28"/>
      <c r="J575" s="159"/>
      <c r="K575" s="28"/>
      <c r="L575" s="28"/>
      <c r="P575" s="28"/>
      <c r="Q575" s="28"/>
      <c r="W575" s="28"/>
      <c r="X575" s="28"/>
      <c r="Z575" s="28"/>
      <c r="AA575" s="28"/>
      <c r="AC575" s="28"/>
      <c r="AD575" s="28"/>
      <c r="AI575" s="28"/>
      <c r="AJ575" s="28"/>
      <c r="AK575" s="28"/>
      <c r="AO575" s="28"/>
      <c r="AP575" s="28"/>
    </row>
    <row r="576" spans="2:42">
      <c r="B576" s="153"/>
      <c r="C576" s="28"/>
      <c r="D576" s="28"/>
      <c r="E576" s="28"/>
      <c r="H576" s="28"/>
      <c r="I576" s="28"/>
      <c r="J576" s="159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53"/>
      <c r="C577" s="28"/>
      <c r="D577" s="28"/>
      <c r="E577" s="28"/>
      <c r="H577" s="28"/>
      <c r="I577" s="28"/>
      <c r="J577" s="159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53"/>
      <c r="C578" s="28"/>
      <c r="D578" s="28"/>
      <c r="E578" s="28"/>
      <c r="H578" s="28"/>
      <c r="I578" s="28"/>
      <c r="J578" s="159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53"/>
      <c r="C579" s="28"/>
      <c r="D579" s="28"/>
      <c r="E579" s="28"/>
      <c r="H579" s="28"/>
      <c r="I579" s="28"/>
      <c r="J579" s="159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53"/>
      <c r="C580" s="28"/>
      <c r="D580" s="28"/>
      <c r="E580" s="28"/>
      <c r="H580" s="28"/>
      <c r="I580" s="28"/>
      <c r="J580" s="159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53"/>
      <c r="C581" s="28"/>
      <c r="D581" s="28"/>
      <c r="E581" s="28"/>
      <c r="H581" s="28"/>
      <c r="I581" s="28"/>
      <c r="J581" s="159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53"/>
      <c r="C582" s="28"/>
      <c r="D582" s="28"/>
      <c r="E582" s="28"/>
      <c r="H582" s="28"/>
      <c r="I582" s="28"/>
      <c r="J582" s="159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53"/>
      <c r="C583" s="28"/>
      <c r="D583" s="28"/>
      <c r="E583" s="28"/>
      <c r="H583" s="28"/>
      <c r="I583" s="154"/>
      <c r="J583" s="159"/>
      <c r="K583" s="28"/>
      <c r="L583" s="28"/>
      <c r="P583" s="28"/>
      <c r="Q583" s="28"/>
      <c r="V583" s="28"/>
      <c r="W583" s="153"/>
      <c r="X583" s="28"/>
      <c r="Z583" s="28"/>
      <c r="AA583" s="28"/>
      <c r="AB583" s="28"/>
      <c r="AC583" s="28"/>
      <c r="AD583" s="28"/>
      <c r="AI583" s="28"/>
      <c r="AJ583" s="28"/>
      <c r="AK583" s="28"/>
      <c r="AO583" s="28"/>
      <c r="AP583" s="28"/>
    </row>
    <row r="584" spans="2:42">
      <c r="B584" s="153"/>
      <c r="C584" s="28"/>
      <c r="D584" s="28"/>
      <c r="E584" s="28"/>
      <c r="H584" s="28"/>
      <c r="I584" s="159"/>
      <c r="J584" s="159"/>
      <c r="K584" s="28"/>
      <c r="L584" s="28"/>
      <c r="P584" s="28"/>
      <c r="Q584" s="28"/>
      <c r="V584" s="28"/>
      <c r="W584" s="153"/>
      <c r="X584" s="28"/>
      <c r="Z584" s="28"/>
      <c r="AA584" s="28"/>
      <c r="AB584" s="28"/>
      <c r="AC584" s="28"/>
      <c r="AD584" s="28"/>
      <c r="AI584" s="28"/>
      <c r="AJ584" s="28"/>
      <c r="AK584" s="28"/>
      <c r="AO584" s="28"/>
      <c r="AP584" s="28"/>
    </row>
    <row r="585" spans="2:42">
      <c r="B585" s="153"/>
      <c r="C585" s="28"/>
      <c r="D585" s="28"/>
      <c r="E585" s="28"/>
      <c r="H585" s="28"/>
      <c r="I585" s="159"/>
      <c r="J585" s="159"/>
      <c r="K585" s="28"/>
      <c r="L585" s="28"/>
      <c r="P585" s="28"/>
      <c r="Q585" s="28"/>
      <c r="V585" s="28"/>
      <c r="W585" s="153"/>
      <c r="X585" s="28"/>
      <c r="Z585" s="28"/>
      <c r="AA585" s="28"/>
      <c r="AB585" s="28"/>
      <c r="AC585" s="28"/>
      <c r="AD585" s="28"/>
      <c r="AI585" s="28"/>
      <c r="AJ585" s="28"/>
      <c r="AK585" s="28"/>
      <c r="AO585" s="28"/>
      <c r="AP585" s="28"/>
    </row>
    <row r="586" spans="2:42">
      <c r="B586" s="153"/>
      <c r="C586" s="28"/>
      <c r="D586" s="28"/>
      <c r="E586" s="28"/>
      <c r="H586" s="28"/>
      <c r="I586" s="159"/>
      <c r="J586" s="159"/>
      <c r="K586" s="28"/>
      <c r="L586" s="28"/>
      <c r="P586" s="28"/>
      <c r="Q586" s="28"/>
      <c r="V586" s="28"/>
      <c r="W586" s="153"/>
      <c r="X586" s="28"/>
      <c r="Z586" s="28"/>
      <c r="AA586" s="28"/>
      <c r="AB586" s="28"/>
      <c r="AC586" s="28"/>
      <c r="AD586" s="28"/>
      <c r="AI586" s="28"/>
      <c r="AJ586" s="28"/>
      <c r="AK586" s="28"/>
      <c r="AO586" s="28"/>
      <c r="AP586" s="28"/>
    </row>
    <row r="587" spans="2:42">
      <c r="B587" s="153"/>
      <c r="C587" s="28"/>
      <c r="D587" s="28"/>
      <c r="E587" s="28"/>
      <c r="H587" s="28"/>
      <c r="I587" s="159"/>
      <c r="J587" s="159"/>
      <c r="K587" s="28"/>
      <c r="L587" s="28"/>
      <c r="P587" s="28"/>
      <c r="Q587" s="28"/>
      <c r="V587" s="28"/>
      <c r="W587" s="153"/>
      <c r="X587" s="28"/>
      <c r="Z587" s="28"/>
      <c r="AA587" s="28"/>
      <c r="AB587" s="28"/>
      <c r="AC587" s="28"/>
      <c r="AD587" s="28"/>
      <c r="AI587" s="28"/>
      <c r="AJ587" s="28"/>
      <c r="AK587" s="28"/>
      <c r="AO587" s="28"/>
      <c r="AP587" s="28"/>
    </row>
    <row r="588" spans="2:42">
      <c r="B588" s="153"/>
      <c r="C588" s="28"/>
      <c r="D588" s="28"/>
      <c r="E588" s="28"/>
      <c r="H588" s="28"/>
      <c r="I588" s="159"/>
      <c r="J588" s="159"/>
      <c r="K588" s="28"/>
      <c r="L588" s="28"/>
      <c r="P588" s="28"/>
      <c r="Q588" s="28"/>
      <c r="V588" s="28"/>
      <c r="W588" s="153"/>
      <c r="X588" s="28"/>
      <c r="Z588" s="28"/>
      <c r="AA588" s="28"/>
      <c r="AB588" s="28"/>
      <c r="AC588" s="28"/>
      <c r="AD588" s="28"/>
      <c r="AI588" s="28"/>
      <c r="AJ588" s="28"/>
      <c r="AK588" s="28"/>
      <c r="AO588" s="28"/>
      <c r="AP588" s="28"/>
    </row>
    <row r="589" spans="2:42">
      <c r="B589" s="153"/>
      <c r="C589" s="28"/>
      <c r="D589" s="28"/>
      <c r="E589" s="28"/>
      <c r="H589" s="28"/>
      <c r="I589" s="159"/>
      <c r="J589" s="159"/>
      <c r="K589" s="28"/>
      <c r="L589" s="28"/>
      <c r="P589" s="28"/>
      <c r="Q589" s="28"/>
      <c r="V589" s="28"/>
      <c r="W589" s="153"/>
      <c r="X589" s="28"/>
      <c r="Z589" s="28"/>
      <c r="AA589" s="28"/>
      <c r="AB589" s="28"/>
      <c r="AC589" s="28"/>
      <c r="AD589" s="28"/>
      <c r="AI589" s="28"/>
      <c r="AJ589" s="28"/>
      <c r="AK589" s="28"/>
      <c r="AO589" s="28"/>
      <c r="AP589" s="28"/>
    </row>
    <row r="590" spans="2:42">
      <c r="B590" s="153"/>
      <c r="C590" s="28"/>
      <c r="D590" s="28"/>
      <c r="E590" s="28"/>
      <c r="H590" s="28"/>
      <c r="I590" s="159"/>
      <c r="J590" s="159"/>
      <c r="K590" s="28"/>
      <c r="L590" s="28"/>
      <c r="P590" s="28"/>
      <c r="Q590" s="28"/>
      <c r="V590" s="28"/>
      <c r="W590" s="153"/>
      <c r="X590" s="28"/>
      <c r="Z590" s="28"/>
      <c r="AA590" s="28"/>
      <c r="AB590" s="28"/>
      <c r="AC590" s="28"/>
      <c r="AD590" s="28"/>
      <c r="AI590" s="28"/>
      <c r="AJ590" s="28"/>
      <c r="AK590" s="28"/>
      <c r="AO590" s="28"/>
      <c r="AP590" s="28"/>
    </row>
    <row r="591" spans="2:42">
      <c r="B591" s="153"/>
      <c r="C591" s="28"/>
      <c r="D591" s="28"/>
      <c r="E591" s="28"/>
      <c r="H591" s="28"/>
      <c r="I591" s="159"/>
      <c r="J591" s="159"/>
      <c r="K591" s="28"/>
      <c r="L591" s="28"/>
      <c r="P591" s="28"/>
      <c r="Q591" s="28"/>
      <c r="V591" s="28"/>
      <c r="W591" s="153"/>
      <c r="X591" s="28"/>
      <c r="Z591" s="28"/>
      <c r="AA591" s="28"/>
      <c r="AB591" s="28"/>
      <c r="AC591" s="28"/>
      <c r="AD591" s="28"/>
      <c r="AI591" s="28"/>
      <c r="AJ591" s="28"/>
      <c r="AK591" s="28"/>
      <c r="AO591" s="28"/>
      <c r="AP591" s="28"/>
    </row>
    <row r="592" spans="2:42">
      <c r="B592" s="28"/>
      <c r="C592" s="28"/>
      <c r="D592" s="28"/>
      <c r="E592" s="28"/>
      <c r="F592" s="28"/>
      <c r="G592" s="28"/>
      <c r="H592" s="28"/>
      <c r="I592" s="28"/>
      <c r="J592" s="159"/>
      <c r="K592" s="159"/>
      <c r="L592" s="28"/>
      <c r="M592" s="160"/>
      <c r="N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</row>
    <row r="593" spans="2:42">
      <c r="B593" s="28"/>
      <c r="C593" s="28"/>
      <c r="D593" s="28"/>
      <c r="E593" s="28"/>
      <c r="F593" s="28"/>
      <c r="G593" s="28"/>
      <c r="H593" s="28"/>
      <c r="I593" s="28"/>
      <c r="J593" s="159"/>
      <c r="K593" s="159"/>
      <c r="L593" s="28"/>
      <c r="M593" s="160"/>
      <c r="N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</row>
    <row r="594" spans="2:42">
      <c r="B594" s="28"/>
      <c r="C594" s="28"/>
      <c r="D594" s="28"/>
      <c r="E594" s="28"/>
      <c r="F594" s="28"/>
      <c r="G594" s="28"/>
      <c r="H594" s="28"/>
      <c r="I594" s="28"/>
      <c r="J594" s="159"/>
      <c r="K594" s="159"/>
      <c r="L594" s="28"/>
      <c r="M594" s="160"/>
      <c r="N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</row>
    <row r="595" spans="2:42">
      <c r="B595" s="28"/>
      <c r="C595" s="28"/>
      <c r="D595" s="28"/>
      <c r="E595" s="28"/>
      <c r="F595" s="28"/>
      <c r="G595" s="28"/>
      <c r="H595" s="28"/>
      <c r="I595" s="28"/>
      <c r="J595" s="159"/>
      <c r="K595" s="159"/>
      <c r="L595" s="28"/>
      <c r="M595" s="160"/>
      <c r="N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</row>
    <row r="596" spans="2:42">
      <c r="B596" s="28"/>
      <c r="C596" s="28"/>
      <c r="D596" s="28"/>
      <c r="E596" s="28"/>
      <c r="F596" s="28"/>
      <c r="G596" s="28"/>
      <c r="H596" s="28"/>
      <c r="I596" s="28"/>
      <c r="J596" s="159"/>
      <c r="K596" s="159"/>
      <c r="L596" s="28"/>
      <c r="M596" s="160"/>
      <c r="N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</row>
    <row r="597" spans="2:42">
      <c r="B597" s="28"/>
      <c r="C597" s="28"/>
      <c r="D597" s="28"/>
      <c r="E597" s="28"/>
      <c r="F597" s="28"/>
      <c r="G597" s="28"/>
      <c r="H597" s="28"/>
      <c r="I597" s="28"/>
      <c r="J597" s="159"/>
      <c r="K597" s="159"/>
      <c r="L597" s="28"/>
      <c r="M597" s="160"/>
      <c r="N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</row>
    <row r="598" spans="2:42">
      <c r="B598" s="28"/>
      <c r="C598" s="28"/>
      <c r="D598" s="28"/>
      <c r="E598" s="28"/>
      <c r="F598" s="28"/>
      <c r="G598" s="28"/>
      <c r="H598" s="28"/>
      <c r="I598" s="28"/>
      <c r="J598" s="159"/>
      <c r="K598" s="159"/>
      <c r="L598" s="28"/>
      <c r="M598" s="160"/>
      <c r="N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</row>
    <row r="599" spans="2:42">
      <c r="B599" s="28"/>
      <c r="C599" s="28"/>
      <c r="D599" s="28"/>
      <c r="E599" s="28"/>
      <c r="H599" s="28"/>
      <c r="I599" s="159"/>
      <c r="J599" s="159"/>
      <c r="K599" s="28"/>
      <c r="L599" s="28"/>
      <c r="M599" s="173"/>
      <c r="O599" s="28"/>
      <c r="P599" s="28"/>
      <c r="Q599" s="28"/>
      <c r="W599" s="28"/>
      <c r="X599" s="28"/>
      <c r="Z599" s="28"/>
      <c r="AA599" s="28"/>
      <c r="AC599" s="28"/>
      <c r="AD599" s="28"/>
      <c r="AI599" s="28"/>
      <c r="AJ599" s="28"/>
      <c r="AK599" s="28"/>
      <c r="AO599" s="28"/>
      <c r="AP599" s="28"/>
    </row>
    <row r="600" spans="2:42">
      <c r="B600" s="28"/>
      <c r="C600" s="28"/>
      <c r="D600" s="28"/>
      <c r="E600" s="28"/>
      <c r="H600" s="28"/>
      <c r="I600" s="159"/>
      <c r="J600" s="159"/>
      <c r="K600" s="28"/>
      <c r="L600" s="28"/>
      <c r="M600" s="173"/>
      <c r="O600" s="28"/>
      <c r="P600" s="28"/>
      <c r="Q600" s="28"/>
      <c r="W600" s="28"/>
      <c r="X600" s="28"/>
      <c r="Z600" s="28"/>
      <c r="AA600" s="28"/>
      <c r="AC600" s="28"/>
      <c r="AD600" s="28"/>
      <c r="AI600" s="28"/>
      <c r="AJ600" s="28"/>
      <c r="AK600" s="28"/>
      <c r="AO600" s="28"/>
      <c r="AP600" s="28"/>
    </row>
    <row r="601" spans="2:42">
      <c r="B601" s="28"/>
      <c r="C601" s="28"/>
      <c r="D601" s="28"/>
      <c r="E601" s="28"/>
      <c r="H601" s="28"/>
      <c r="I601" s="159"/>
      <c r="J601" s="159"/>
      <c r="K601" s="28"/>
      <c r="L601" s="28"/>
      <c r="M601" s="174"/>
      <c r="O601" s="28"/>
      <c r="P601" s="28"/>
      <c r="Q601" s="28"/>
      <c r="W601" s="28"/>
      <c r="X601" s="28"/>
      <c r="Z601" s="28"/>
      <c r="AA601" s="28"/>
      <c r="AC601" s="28"/>
      <c r="AD601" s="28"/>
      <c r="AI601" s="153"/>
      <c r="AJ601" s="28"/>
      <c r="AK601" s="28"/>
      <c r="AO601" s="28"/>
      <c r="AP601" s="28"/>
    </row>
    <row r="602" spans="2:42">
      <c r="B602" s="28"/>
      <c r="C602" s="28"/>
      <c r="D602" s="28"/>
      <c r="E602" s="28"/>
      <c r="H602" s="28"/>
      <c r="I602" s="159"/>
      <c r="J602" s="159"/>
      <c r="K602" s="28"/>
      <c r="L602" s="28"/>
      <c r="M602" s="173"/>
      <c r="O602" s="28"/>
      <c r="P602" s="28"/>
      <c r="Q602" s="28"/>
      <c r="W602" s="28"/>
      <c r="X602" s="28"/>
      <c r="Z602" s="28"/>
      <c r="AA602" s="28"/>
      <c r="AC602" s="28"/>
      <c r="AD602" s="28"/>
      <c r="AI602" s="153"/>
      <c r="AJ602" s="28"/>
      <c r="AK602" s="28"/>
      <c r="AO602" s="28"/>
      <c r="AP602" s="28"/>
    </row>
    <row r="603" spans="2:42">
      <c r="B603" s="28"/>
      <c r="C603" s="28"/>
      <c r="D603" s="28"/>
      <c r="E603" s="28"/>
      <c r="H603" s="28"/>
      <c r="I603" s="159"/>
      <c r="J603" s="159"/>
      <c r="K603" s="28"/>
      <c r="L603" s="28"/>
      <c r="M603" s="173"/>
      <c r="O603" s="28"/>
      <c r="P603" s="28"/>
      <c r="Q603" s="28"/>
      <c r="W603" s="28"/>
      <c r="X603" s="28"/>
      <c r="Z603" s="28"/>
      <c r="AA603" s="28"/>
      <c r="AC603" s="28"/>
      <c r="AD603" s="28"/>
      <c r="AI603" s="28"/>
      <c r="AJ603" s="28"/>
      <c r="AK603" s="28"/>
      <c r="AO603" s="28"/>
      <c r="AP603" s="28"/>
    </row>
    <row r="604" spans="2:42">
      <c r="B604" s="28"/>
      <c r="C604" s="28"/>
      <c r="D604" s="28"/>
      <c r="E604" s="28"/>
      <c r="H604" s="28"/>
      <c r="I604" s="28"/>
      <c r="J604" s="159"/>
      <c r="K604" s="28"/>
      <c r="L604" s="28"/>
      <c r="M604" s="173"/>
      <c r="N604" s="153"/>
      <c r="O604" s="175"/>
      <c r="P604" s="28"/>
      <c r="Q604" s="28"/>
      <c r="W604" s="28"/>
      <c r="X604" s="28"/>
      <c r="Z604" s="28"/>
      <c r="AA604" s="28"/>
      <c r="AB604" s="28"/>
      <c r="AC604" s="28"/>
      <c r="AD604" s="28"/>
      <c r="AJ604" s="28"/>
      <c r="AK604" s="28"/>
      <c r="AO604" s="28"/>
      <c r="AP604" s="28"/>
    </row>
    <row r="605" spans="2:42">
      <c r="B605" s="28"/>
      <c r="C605" s="28"/>
      <c r="D605" s="28"/>
      <c r="E605" s="28"/>
      <c r="H605" s="28"/>
      <c r="I605" s="28"/>
      <c r="J605" s="159"/>
      <c r="K605" s="28"/>
      <c r="L605" s="28"/>
      <c r="M605" s="173"/>
      <c r="N605" s="153"/>
      <c r="O605" s="175"/>
      <c r="P605" s="28"/>
      <c r="Q605" s="28"/>
      <c r="W605" s="28"/>
      <c r="X605" s="28"/>
      <c r="Z605" s="28"/>
      <c r="AA605" s="28"/>
      <c r="AB605" s="28"/>
      <c r="AC605" s="28"/>
      <c r="AD605" s="28"/>
      <c r="AJ605" s="28"/>
      <c r="AK605" s="28"/>
      <c r="AO605" s="28"/>
      <c r="AP605" s="28"/>
    </row>
    <row r="606" spans="2:42">
      <c r="B606" s="28"/>
      <c r="C606" s="28"/>
      <c r="D606" s="28"/>
      <c r="E606" s="28"/>
      <c r="H606" s="28"/>
      <c r="I606" s="28"/>
      <c r="J606" s="159"/>
      <c r="K606" s="28"/>
      <c r="L606" s="28"/>
      <c r="M606" s="173"/>
      <c r="N606" s="153"/>
      <c r="O606" s="175"/>
      <c r="P606" s="28"/>
      <c r="Q606" s="28"/>
      <c r="W606" s="28"/>
      <c r="X606" s="28"/>
      <c r="Z606" s="28"/>
      <c r="AA606" s="28"/>
      <c r="AB606" s="28"/>
      <c r="AC606" s="28"/>
      <c r="AD606" s="28"/>
      <c r="AJ606" s="28"/>
      <c r="AK606" s="28"/>
      <c r="AO606" s="28"/>
      <c r="AP606" s="28"/>
    </row>
    <row r="607" spans="2:42">
      <c r="B607" s="28"/>
      <c r="C607" s="28"/>
      <c r="D607" s="28"/>
      <c r="E607" s="28"/>
      <c r="H607" s="28"/>
      <c r="I607" s="28"/>
      <c r="J607" s="159"/>
      <c r="K607" s="28"/>
      <c r="L607" s="28"/>
      <c r="M607" s="173"/>
      <c r="N607" s="153"/>
      <c r="O607" s="175"/>
      <c r="P607" s="28"/>
      <c r="Q607" s="28"/>
      <c r="W607" s="28"/>
      <c r="X607" s="28"/>
      <c r="Z607" s="28"/>
      <c r="AA607" s="28"/>
      <c r="AB607" s="28"/>
      <c r="AC607" s="28"/>
      <c r="AD607" s="28"/>
      <c r="AJ607" s="28"/>
      <c r="AK607" s="28"/>
      <c r="AO607" s="28"/>
      <c r="AP607" s="28"/>
    </row>
    <row r="608" spans="2:42">
      <c r="B608" s="28"/>
      <c r="C608" s="28"/>
      <c r="D608" s="28"/>
      <c r="E608" s="28"/>
      <c r="H608" s="28"/>
      <c r="I608" s="28"/>
      <c r="J608" s="159"/>
      <c r="K608" s="28"/>
      <c r="L608" s="28"/>
      <c r="M608" s="173"/>
      <c r="N608" s="153"/>
      <c r="O608" s="175"/>
      <c r="P608" s="28"/>
      <c r="Q608" s="28"/>
      <c r="W608" s="28"/>
      <c r="X608" s="28"/>
      <c r="Z608" s="28"/>
      <c r="AA608" s="28"/>
      <c r="AB608" s="28"/>
      <c r="AC608" s="28"/>
      <c r="AD608" s="28"/>
      <c r="AJ608" s="28"/>
      <c r="AK608" s="28"/>
      <c r="AO608" s="28"/>
      <c r="AP608" s="28"/>
    </row>
    <row r="609" spans="2:42">
      <c r="B609" s="28"/>
      <c r="C609" s="28"/>
      <c r="D609" s="28"/>
      <c r="E609" s="28"/>
      <c r="H609" s="28"/>
      <c r="I609" s="28"/>
      <c r="J609" s="159"/>
      <c r="K609" s="28"/>
      <c r="L609" s="28"/>
      <c r="M609" s="173"/>
      <c r="N609" s="153"/>
      <c r="O609" s="175"/>
      <c r="P609" s="28"/>
      <c r="Q609" s="28"/>
      <c r="W609" s="28"/>
      <c r="X609" s="28"/>
      <c r="Z609" s="28"/>
      <c r="AA609" s="28"/>
      <c r="AB609" s="28"/>
      <c r="AC609" s="28"/>
      <c r="AD609" s="28"/>
      <c r="AJ609" s="28"/>
      <c r="AK609" s="28"/>
      <c r="AO609" s="28"/>
      <c r="AP609" s="28"/>
    </row>
    <row r="610" spans="2:42">
      <c r="B610" s="28"/>
      <c r="C610" s="28"/>
      <c r="D610" s="28"/>
      <c r="E610" s="28"/>
      <c r="H610" s="28"/>
      <c r="I610" s="28"/>
      <c r="J610" s="159"/>
      <c r="K610" s="28"/>
      <c r="L610" s="28"/>
      <c r="M610" s="173"/>
      <c r="N610" s="153"/>
      <c r="O610" s="175"/>
      <c r="P610" s="28"/>
      <c r="Q610" s="28"/>
      <c r="W610" s="28"/>
      <c r="X610" s="28"/>
      <c r="Z610" s="28"/>
      <c r="AA610" s="28"/>
      <c r="AB610" s="28"/>
      <c r="AC610" s="28"/>
      <c r="AD610" s="28"/>
      <c r="AJ610" s="28"/>
      <c r="AK610" s="28"/>
      <c r="AO610" s="28"/>
      <c r="AP610" s="28"/>
    </row>
    <row r="611" spans="2:42">
      <c r="B611" s="28"/>
      <c r="C611" s="28"/>
      <c r="D611" s="28"/>
      <c r="E611" s="28"/>
      <c r="H611" s="28"/>
      <c r="I611" s="28"/>
      <c r="J611" s="159"/>
      <c r="K611" s="28"/>
      <c r="L611" s="28"/>
      <c r="M611" s="173"/>
      <c r="N611" s="153"/>
      <c r="O611" s="175"/>
      <c r="P611" s="28"/>
      <c r="Q611" s="28"/>
      <c r="W611" s="28"/>
      <c r="X611" s="28"/>
      <c r="Z611" s="28"/>
      <c r="AA611" s="28"/>
      <c r="AB611" s="28"/>
      <c r="AC611" s="28"/>
      <c r="AD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28"/>
      <c r="J612" s="159"/>
      <c r="K612" s="28"/>
      <c r="L612" s="28"/>
      <c r="M612" s="173"/>
      <c r="N612" s="153"/>
      <c r="O612" s="175"/>
      <c r="P612" s="28"/>
      <c r="Q612" s="28"/>
      <c r="W612" s="28"/>
      <c r="X612" s="28"/>
      <c r="Z612" s="28"/>
      <c r="AA612" s="28"/>
      <c r="AB612" s="28"/>
      <c r="AC612" s="28"/>
      <c r="AD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28"/>
      <c r="J613" s="159"/>
      <c r="K613" s="28"/>
      <c r="L613" s="28"/>
      <c r="M613" s="173"/>
      <c r="N613" s="153"/>
      <c r="O613" s="175"/>
      <c r="P613" s="28"/>
      <c r="Q613" s="28"/>
      <c r="W613" s="28"/>
      <c r="X613" s="28"/>
      <c r="Z613" s="28"/>
      <c r="AA613" s="28"/>
      <c r="AB613" s="28"/>
      <c r="AC613" s="28"/>
      <c r="AD613" s="28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28"/>
      <c r="J614" s="159"/>
      <c r="K614" s="28"/>
      <c r="L614" s="28"/>
      <c r="M614" s="173"/>
      <c r="N614" s="153"/>
      <c r="O614" s="175"/>
      <c r="P614" s="28"/>
      <c r="Q614" s="28"/>
      <c r="W614" s="28"/>
      <c r="X614" s="28"/>
      <c r="Z614" s="28"/>
      <c r="AA614" s="28"/>
      <c r="AB614" s="28"/>
      <c r="AC614" s="28"/>
      <c r="AD614" s="28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28"/>
      <c r="J615" s="159"/>
      <c r="K615" s="28"/>
      <c r="L615" s="28"/>
      <c r="M615" s="173"/>
      <c r="N615" s="153"/>
      <c r="O615" s="175"/>
      <c r="P615" s="28"/>
      <c r="Q615" s="28"/>
      <c r="W615" s="28"/>
      <c r="X615" s="28"/>
      <c r="Z615" s="28"/>
      <c r="AA615" s="28"/>
      <c r="AB615" s="28"/>
      <c r="AC615" s="28"/>
      <c r="AD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9"/>
      <c r="K616" s="28"/>
      <c r="L616" s="28"/>
      <c r="M616" s="173"/>
      <c r="N616" s="153"/>
      <c r="O616" s="175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9"/>
      <c r="K617" s="28"/>
      <c r="L617" s="28"/>
      <c r="M617" s="173"/>
      <c r="N617" s="153"/>
      <c r="O617" s="175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9"/>
      <c r="K618" s="28"/>
      <c r="L618" s="28"/>
      <c r="M618" s="173"/>
      <c r="N618" s="153"/>
      <c r="O618" s="175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9"/>
      <c r="K619" s="28"/>
      <c r="L619" s="28"/>
      <c r="M619" s="173"/>
      <c r="N619" s="153"/>
      <c r="O619" s="175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9"/>
      <c r="K620" s="28"/>
      <c r="L620" s="28"/>
      <c r="M620" s="173"/>
      <c r="N620" s="153"/>
      <c r="O620" s="175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9"/>
      <c r="K621" s="28"/>
      <c r="L621" s="28"/>
      <c r="M621" s="173"/>
      <c r="N621" s="153"/>
      <c r="O621" s="175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9"/>
      <c r="K622" s="28"/>
      <c r="L622" s="28"/>
      <c r="M622" s="173"/>
      <c r="N622" s="153"/>
      <c r="O622" s="175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9"/>
      <c r="K623" s="28"/>
      <c r="L623" s="28"/>
      <c r="M623" s="173"/>
      <c r="N623" s="153"/>
      <c r="O623" s="175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9"/>
      <c r="K624" s="28"/>
      <c r="L624" s="28"/>
      <c r="M624" s="174"/>
      <c r="N624" s="153"/>
      <c r="O624" s="175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9"/>
      <c r="K625" s="28"/>
      <c r="L625" s="28"/>
      <c r="M625" s="174"/>
      <c r="N625" s="153"/>
      <c r="O625" s="175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9"/>
      <c r="K626" s="28"/>
      <c r="L626" s="28"/>
      <c r="M626" s="174"/>
      <c r="N626" s="153"/>
      <c r="O626" s="175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9"/>
      <c r="K627" s="28"/>
      <c r="L627" s="28"/>
      <c r="M627" s="174"/>
      <c r="N627" s="153"/>
      <c r="O627" s="175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9"/>
      <c r="K628" s="28"/>
      <c r="L628" s="28"/>
      <c r="M628" s="174"/>
      <c r="N628" s="153"/>
      <c r="O628" s="175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9"/>
      <c r="K629" s="28"/>
      <c r="L629" s="28"/>
      <c r="M629" s="174"/>
      <c r="N629" s="153"/>
      <c r="O629" s="175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9"/>
      <c r="K630" s="28"/>
      <c r="L630" s="28"/>
      <c r="M630" s="174"/>
      <c r="N630" s="153"/>
      <c r="O630" s="175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9"/>
      <c r="K631" s="28"/>
      <c r="L631" s="28"/>
      <c r="M631" s="174"/>
      <c r="N631" s="153"/>
      <c r="O631" s="175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9"/>
      <c r="K632" s="28"/>
      <c r="L632" s="28"/>
      <c r="M632" s="174"/>
      <c r="N632" s="153"/>
      <c r="O632" s="175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9"/>
      <c r="K633" s="28"/>
      <c r="L633" s="28"/>
      <c r="M633" s="174"/>
      <c r="N633" s="153"/>
      <c r="O633" s="175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9"/>
      <c r="K634" s="28"/>
      <c r="L634" s="28"/>
      <c r="M634" s="173"/>
      <c r="N634" s="153"/>
      <c r="O634" s="175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9"/>
      <c r="K635" s="28"/>
      <c r="L635" s="28"/>
      <c r="M635" s="173"/>
      <c r="N635" s="153"/>
      <c r="O635" s="175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9"/>
      <c r="K636" s="28"/>
      <c r="L636" s="28"/>
      <c r="M636" s="173"/>
      <c r="N636" s="153"/>
      <c r="O636" s="175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9"/>
      <c r="K637" s="28"/>
      <c r="L637" s="28"/>
      <c r="M637" s="173"/>
      <c r="N637" s="153"/>
      <c r="O637" s="175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9"/>
      <c r="K638" s="28"/>
      <c r="L638" s="28"/>
      <c r="M638" s="173"/>
      <c r="N638" s="153"/>
      <c r="O638" s="175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9"/>
      <c r="K639" s="28"/>
      <c r="L639" s="28"/>
      <c r="M639" s="173"/>
      <c r="N639" s="153"/>
      <c r="O639" s="175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9"/>
      <c r="K640" s="28"/>
      <c r="L640" s="28"/>
      <c r="M640" s="173"/>
      <c r="N640" s="153"/>
      <c r="O640" s="175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9"/>
      <c r="K641" s="28"/>
      <c r="L641" s="28"/>
      <c r="M641" s="173"/>
      <c r="N641" s="153"/>
      <c r="O641" s="175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9"/>
      <c r="K642" s="28"/>
      <c r="L642" s="28"/>
      <c r="M642" s="173"/>
      <c r="N642" s="153"/>
      <c r="O642" s="175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9"/>
      <c r="K643" s="28"/>
      <c r="L643" s="28"/>
      <c r="M643" s="173"/>
      <c r="N643" s="153"/>
      <c r="O643" s="175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9"/>
      <c r="K644" s="28"/>
      <c r="M644" s="173"/>
      <c r="N644" s="153"/>
      <c r="O644" s="175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9"/>
      <c r="K645" s="28"/>
      <c r="M645" s="173"/>
      <c r="N645" s="153"/>
      <c r="O645" s="175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9"/>
      <c r="K646" s="28"/>
      <c r="M646" s="173"/>
      <c r="N646" s="153"/>
      <c r="O646" s="175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9"/>
      <c r="K647" s="28"/>
      <c r="M647" s="173"/>
      <c r="N647" s="153"/>
      <c r="O647" s="175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9"/>
      <c r="K648" s="28"/>
      <c r="M648" s="173"/>
      <c r="N648" s="153"/>
      <c r="O648" s="175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9"/>
      <c r="K649" s="28"/>
      <c r="M649" s="173"/>
      <c r="N649" s="153"/>
      <c r="O649" s="175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9"/>
      <c r="K650" s="28"/>
      <c r="M650" s="173"/>
      <c r="N650" s="153"/>
      <c r="O650" s="175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9"/>
      <c r="K651" s="28"/>
      <c r="M651" s="173"/>
      <c r="N651" s="153"/>
      <c r="O651" s="175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9"/>
      <c r="K652" s="28"/>
      <c r="M652" s="173"/>
      <c r="N652" s="153"/>
      <c r="O652" s="175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9"/>
      <c r="K653" s="28"/>
      <c r="M653" s="173"/>
      <c r="N653" s="153"/>
      <c r="O653" s="175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9"/>
      <c r="K654" s="28"/>
      <c r="L654" s="28"/>
      <c r="M654" s="175"/>
      <c r="O654" s="157"/>
      <c r="P654" s="28"/>
      <c r="Q654" s="28"/>
      <c r="V654" s="28"/>
      <c r="W654" s="153"/>
      <c r="X654" s="28"/>
      <c r="Z654" s="28"/>
      <c r="AA654" s="28"/>
      <c r="AC654" s="28"/>
      <c r="AD654" s="28"/>
      <c r="AJ654" s="28"/>
      <c r="AK654" s="28"/>
    </row>
    <row r="655" spans="2:42">
      <c r="B655" s="28"/>
      <c r="C655" s="28"/>
      <c r="D655" s="28"/>
      <c r="E655" s="28"/>
      <c r="H655" s="28"/>
      <c r="I655" s="28"/>
      <c r="J655" s="159"/>
      <c r="K655" s="28"/>
      <c r="L655" s="28"/>
      <c r="M655" s="175"/>
      <c r="O655" s="157"/>
      <c r="P655" s="28"/>
      <c r="Q655" s="28"/>
      <c r="V655" s="28"/>
      <c r="W655" s="153"/>
      <c r="X655" s="28"/>
      <c r="Z655" s="28"/>
      <c r="AA655" s="28"/>
      <c r="AB655" s="28"/>
      <c r="AC655" s="28"/>
      <c r="AD655" s="28"/>
      <c r="AJ655" s="28"/>
      <c r="AK655" s="28"/>
    </row>
    <row r="656" spans="2:42">
      <c r="B656" s="28"/>
      <c r="C656" s="28"/>
      <c r="D656" s="28"/>
      <c r="E656" s="28"/>
      <c r="H656" s="28"/>
      <c r="I656" s="28"/>
      <c r="J656" s="159"/>
      <c r="K656" s="28"/>
      <c r="L656" s="28"/>
      <c r="M656" s="175"/>
      <c r="O656" s="157"/>
      <c r="P656" s="28"/>
      <c r="Q656" s="28"/>
      <c r="V656" s="28"/>
      <c r="W656" s="153"/>
      <c r="X656" s="28"/>
      <c r="Z656" s="28"/>
      <c r="AA656" s="28"/>
      <c r="AB656" s="28"/>
      <c r="AC656" s="28"/>
      <c r="AD656" s="28"/>
      <c r="AJ656" s="28"/>
      <c r="AK656" s="28"/>
    </row>
    <row r="657" spans="2:42">
      <c r="B657" s="28"/>
      <c r="C657" s="28"/>
      <c r="D657" s="28"/>
      <c r="E657" s="28"/>
      <c r="H657" s="28"/>
      <c r="I657" s="28"/>
      <c r="J657" s="159"/>
      <c r="K657" s="28"/>
      <c r="L657" s="28"/>
      <c r="M657" s="175"/>
      <c r="O657" s="157"/>
      <c r="P657" s="28"/>
      <c r="Q657" s="28"/>
      <c r="V657" s="28"/>
      <c r="W657" s="153"/>
      <c r="X657" s="28"/>
      <c r="Z657" s="28"/>
      <c r="AA657" s="28"/>
      <c r="AB657" s="28"/>
      <c r="AC657" s="28"/>
      <c r="AD657" s="28"/>
      <c r="AJ657" s="28"/>
      <c r="AK657" s="28"/>
    </row>
    <row r="658" spans="2:42" s="156" customFormat="1">
      <c r="B658" s="176"/>
      <c r="C658" s="176"/>
      <c r="D658" s="176"/>
      <c r="E658" s="28"/>
      <c r="H658" s="28"/>
      <c r="I658" s="176"/>
      <c r="J658" s="177"/>
      <c r="K658" s="176"/>
      <c r="L658" s="176"/>
      <c r="M658" s="178"/>
      <c r="O658" s="179"/>
      <c r="P658" s="176"/>
      <c r="Q658" s="176"/>
      <c r="V658" s="176"/>
      <c r="W658" s="180"/>
      <c r="X658" s="176"/>
      <c r="Z658" s="176"/>
      <c r="AA658" s="176"/>
      <c r="AB658" s="180"/>
      <c r="AC658" s="176"/>
      <c r="AD658" s="176"/>
      <c r="AJ658" s="176"/>
      <c r="AK658" s="176"/>
      <c r="AN658" s="180"/>
    </row>
    <row r="659" spans="2:42" s="156" customFormat="1">
      <c r="B659" s="176"/>
      <c r="C659" s="176"/>
      <c r="D659" s="176"/>
      <c r="E659" s="28"/>
      <c r="H659" s="28"/>
      <c r="I659" s="176"/>
      <c r="J659" s="177"/>
      <c r="K659" s="176"/>
      <c r="L659" s="176"/>
      <c r="M659" s="178"/>
      <c r="O659" s="179"/>
      <c r="P659" s="176"/>
      <c r="Q659" s="176"/>
      <c r="V659" s="176"/>
      <c r="W659" s="180"/>
      <c r="X659" s="176"/>
      <c r="Z659" s="176"/>
      <c r="AA659" s="176"/>
      <c r="AB659" s="180"/>
      <c r="AC659" s="176"/>
      <c r="AD659" s="176"/>
      <c r="AJ659" s="176"/>
      <c r="AK659" s="176"/>
      <c r="AN659" s="180"/>
    </row>
    <row r="660" spans="2:42" s="156" customFormat="1">
      <c r="B660" s="176"/>
      <c r="C660" s="176"/>
      <c r="D660" s="176"/>
      <c r="E660" s="28"/>
      <c r="H660" s="28"/>
      <c r="I660" s="176"/>
      <c r="J660" s="177"/>
      <c r="K660" s="176"/>
      <c r="L660" s="176"/>
      <c r="M660" s="178"/>
      <c r="O660" s="179"/>
      <c r="P660" s="176"/>
      <c r="Q660" s="176"/>
      <c r="V660" s="176"/>
      <c r="W660" s="180"/>
      <c r="X660" s="176"/>
      <c r="Z660" s="176"/>
      <c r="AA660" s="176"/>
      <c r="AB660" s="180"/>
      <c r="AC660" s="176"/>
      <c r="AD660" s="176"/>
      <c r="AJ660" s="176"/>
      <c r="AK660" s="176"/>
      <c r="AN660" s="180"/>
    </row>
    <row r="661" spans="2:42" s="156" customFormat="1">
      <c r="B661" s="176"/>
      <c r="C661" s="176"/>
      <c r="D661" s="176"/>
      <c r="E661" s="28"/>
      <c r="H661" s="28"/>
      <c r="I661" s="176"/>
      <c r="J661" s="177"/>
      <c r="K661" s="176"/>
      <c r="L661" s="176"/>
      <c r="M661" s="178"/>
      <c r="O661" s="179"/>
      <c r="P661" s="176"/>
      <c r="Q661" s="176"/>
      <c r="V661" s="176"/>
      <c r="W661" s="180"/>
      <c r="X661" s="176"/>
      <c r="Z661" s="176"/>
      <c r="AA661" s="176"/>
      <c r="AB661" s="180"/>
      <c r="AC661" s="176"/>
      <c r="AD661" s="176"/>
      <c r="AJ661" s="176"/>
      <c r="AK661" s="176"/>
      <c r="AN661" s="180"/>
    </row>
    <row r="662" spans="2:42">
      <c r="B662" s="28"/>
      <c r="C662" s="28"/>
      <c r="D662" s="28"/>
      <c r="E662" s="28"/>
      <c r="H662" s="28"/>
      <c r="I662" s="28"/>
      <c r="J662" s="159"/>
      <c r="K662" s="28"/>
      <c r="L662" s="28"/>
      <c r="M662" s="175"/>
      <c r="O662" s="157"/>
      <c r="P662" s="28"/>
      <c r="Q662" s="28"/>
      <c r="W662" s="28"/>
      <c r="X662" s="28"/>
      <c r="Z662" s="28"/>
      <c r="AA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9"/>
      <c r="K663" s="28"/>
      <c r="L663" s="28"/>
      <c r="M663" s="175"/>
      <c r="O663" s="157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9"/>
      <c r="K664" s="28"/>
      <c r="L664" s="28"/>
      <c r="M664" s="175"/>
      <c r="O664" s="157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9"/>
      <c r="K665" s="28"/>
      <c r="L665" s="28"/>
      <c r="M665" s="175"/>
      <c r="O665" s="157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 s="156" customFormat="1">
      <c r="B666" s="176"/>
      <c r="C666" s="176"/>
      <c r="D666" s="176"/>
      <c r="E666" s="28"/>
      <c r="H666" s="28"/>
      <c r="I666" s="176"/>
      <c r="J666" s="177"/>
      <c r="K666" s="176"/>
      <c r="L666" s="176"/>
      <c r="M666" s="178"/>
      <c r="O666" s="179"/>
      <c r="P666" s="176"/>
      <c r="Q666" s="176"/>
      <c r="W666" s="176"/>
      <c r="X666" s="176"/>
      <c r="Z666" s="176"/>
      <c r="AA666" s="176"/>
      <c r="AB666" s="180"/>
      <c r="AC666" s="176"/>
      <c r="AD666" s="176"/>
      <c r="AJ666" s="176"/>
      <c r="AK666" s="176"/>
      <c r="AN666" s="180"/>
      <c r="AO666" s="176"/>
      <c r="AP666" s="176"/>
    </row>
    <row r="667" spans="2:42" s="156" customFormat="1">
      <c r="B667" s="176"/>
      <c r="C667" s="176"/>
      <c r="D667" s="176"/>
      <c r="E667" s="28"/>
      <c r="H667" s="28"/>
      <c r="I667" s="176"/>
      <c r="J667" s="177"/>
      <c r="K667" s="176"/>
      <c r="L667" s="176"/>
      <c r="M667" s="178"/>
      <c r="O667" s="179"/>
      <c r="P667" s="176"/>
      <c r="Q667" s="176"/>
      <c r="W667" s="176"/>
      <c r="X667" s="176"/>
      <c r="Z667" s="176"/>
      <c r="AA667" s="176"/>
      <c r="AB667" s="180"/>
      <c r="AC667" s="176"/>
      <c r="AD667" s="176"/>
      <c r="AJ667" s="176"/>
      <c r="AK667" s="176"/>
      <c r="AN667" s="180"/>
      <c r="AO667" s="176"/>
      <c r="AP667" s="176"/>
    </row>
    <row r="668" spans="2:42" s="156" customFormat="1">
      <c r="B668" s="176"/>
      <c r="C668" s="176"/>
      <c r="D668" s="176"/>
      <c r="E668" s="28"/>
      <c r="H668" s="28"/>
      <c r="I668" s="176"/>
      <c r="J668" s="177"/>
      <c r="K668" s="176"/>
      <c r="L668" s="176"/>
      <c r="M668" s="178"/>
      <c r="O668" s="179"/>
      <c r="P668" s="176"/>
      <c r="Q668" s="176"/>
      <c r="W668" s="176"/>
      <c r="X668" s="176"/>
      <c r="Z668" s="176"/>
      <c r="AA668" s="176"/>
      <c r="AB668" s="180"/>
      <c r="AC668" s="176"/>
      <c r="AD668" s="176"/>
      <c r="AJ668" s="176"/>
      <c r="AK668" s="176"/>
      <c r="AN668" s="180"/>
      <c r="AO668" s="176"/>
      <c r="AP668" s="176"/>
    </row>
    <row r="669" spans="2:42" s="156" customFormat="1">
      <c r="B669" s="176"/>
      <c r="C669" s="176"/>
      <c r="D669" s="176"/>
      <c r="E669" s="28"/>
      <c r="H669" s="28"/>
      <c r="I669" s="176"/>
      <c r="J669" s="177"/>
      <c r="K669" s="176"/>
      <c r="L669" s="176"/>
      <c r="M669" s="178"/>
      <c r="O669" s="179"/>
      <c r="P669" s="176"/>
      <c r="Q669" s="176"/>
      <c r="W669" s="176"/>
      <c r="X669" s="176"/>
      <c r="Z669" s="176"/>
      <c r="AA669" s="176"/>
      <c r="AB669" s="180"/>
      <c r="AC669" s="176"/>
      <c r="AD669" s="176"/>
      <c r="AJ669" s="176"/>
      <c r="AK669" s="176"/>
      <c r="AN669" s="180"/>
      <c r="AO669" s="176"/>
      <c r="AP669" s="176"/>
    </row>
    <row r="670" spans="2:42">
      <c r="B670" s="28"/>
      <c r="C670" s="28"/>
      <c r="D670" s="28"/>
      <c r="E670" s="28"/>
      <c r="H670" s="28"/>
      <c r="I670" s="28"/>
      <c r="J670" s="159"/>
      <c r="K670" s="28"/>
      <c r="L670" s="28"/>
      <c r="M670" s="160"/>
      <c r="O670" s="28"/>
      <c r="P670" s="28"/>
      <c r="Q670" s="28"/>
      <c r="W670" s="28"/>
      <c r="X670" s="28"/>
      <c r="Z670" s="28"/>
      <c r="AA670" s="28"/>
      <c r="AC670" s="28"/>
      <c r="AD670" s="28"/>
      <c r="AI670" s="28"/>
      <c r="AJ670" s="28"/>
      <c r="AK670" s="28"/>
      <c r="AO670" s="28"/>
      <c r="AP670" s="28"/>
    </row>
    <row r="671" spans="2:42">
      <c r="B671" s="28"/>
      <c r="C671" s="28"/>
      <c r="D671" s="28"/>
      <c r="E671" s="28"/>
      <c r="H671" s="28"/>
      <c r="I671" s="28"/>
      <c r="J671" s="159"/>
      <c r="K671" s="28"/>
      <c r="L671" s="28"/>
      <c r="M671" s="160"/>
      <c r="O671" s="28"/>
      <c r="P671" s="28"/>
      <c r="Q671" s="28"/>
      <c r="W671" s="28"/>
      <c r="X671" s="28"/>
      <c r="Z671" s="28"/>
      <c r="AA671" s="28"/>
      <c r="AC671" s="28"/>
      <c r="AD671" s="28"/>
      <c r="AI671" s="28"/>
      <c r="AJ671" s="28"/>
      <c r="AK671" s="28"/>
      <c r="AO671" s="28"/>
      <c r="AP671" s="28"/>
    </row>
    <row r="672" spans="2:42">
      <c r="B672" s="28"/>
      <c r="C672" s="28"/>
      <c r="D672" s="28"/>
      <c r="E672" s="28"/>
      <c r="H672" s="28"/>
      <c r="I672" s="28"/>
      <c r="J672" s="159"/>
      <c r="K672" s="28"/>
      <c r="L672" s="28"/>
      <c r="M672" s="160"/>
      <c r="O672" s="28"/>
      <c r="P672" s="28"/>
      <c r="Q672" s="28"/>
      <c r="W672" s="28"/>
      <c r="X672" s="28"/>
      <c r="Z672" s="28"/>
      <c r="AA672" s="28"/>
      <c r="AC672" s="28"/>
      <c r="AD672" s="28"/>
      <c r="AI672" s="28"/>
      <c r="AJ672" s="28"/>
      <c r="AK672" s="28"/>
      <c r="AO672" s="28"/>
      <c r="AP672" s="28"/>
    </row>
    <row r="673" spans="2:42">
      <c r="B673" s="28"/>
      <c r="C673" s="28"/>
      <c r="D673" s="28"/>
      <c r="E673" s="28"/>
      <c r="H673" s="28"/>
      <c r="I673" s="28"/>
      <c r="J673" s="159"/>
      <c r="K673" s="28"/>
      <c r="L673" s="28"/>
      <c r="M673" s="160"/>
      <c r="O673" s="28"/>
      <c r="P673" s="28"/>
      <c r="Q673" s="28"/>
      <c r="W673" s="28"/>
      <c r="X673" s="28"/>
      <c r="Z673" s="28"/>
      <c r="AA673" s="28"/>
      <c r="AC673" s="28"/>
      <c r="AD673" s="28"/>
      <c r="AI673" s="28"/>
      <c r="AJ673" s="28"/>
      <c r="AK673" s="28"/>
      <c r="AO673" s="28"/>
      <c r="AP673" s="28"/>
    </row>
    <row r="674" spans="2:42">
      <c r="B674" s="28"/>
      <c r="C674" s="28"/>
      <c r="D674" s="28"/>
      <c r="E674" s="28"/>
      <c r="H674" s="28"/>
      <c r="I674" s="28"/>
      <c r="J674" s="159"/>
      <c r="K674" s="28"/>
      <c r="L674" s="28"/>
      <c r="M674" s="160"/>
      <c r="O674" s="28"/>
      <c r="P674" s="28"/>
      <c r="Q674" s="28"/>
      <c r="W674" s="28"/>
      <c r="X674" s="28"/>
      <c r="Z674" s="28"/>
      <c r="AA674" s="28"/>
      <c r="AC674" s="28"/>
      <c r="AD674" s="28"/>
      <c r="AI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9"/>
      <c r="K675" s="28"/>
      <c r="L675" s="28"/>
      <c r="M675" s="160"/>
      <c r="O675" s="28"/>
      <c r="P675" s="28"/>
      <c r="Q675" s="28"/>
      <c r="W675" s="28"/>
      <c r="X675" s="28"/>
      <c r="Z675" s="28"/>
      <c r="AA675" s="28"/>
      <c r="AC675" s="28"/>
      <c r="AD675" s="28"/>
      <c r="AI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9"/>
      <c r="K676" s="28"/>
      <c r="L676" s="28"/>
      <c r="M676" s="160"/>
      <c r="O676" s="28"/>
      <c r="P676" s="28"/>
      <c r="Q676" s="28"/>
      <c r="W676" s="28"/>
      <c r="X676" s="28"/>
      <c r="Z676" s="28"/>
      <c r="AA676" s="28"/>
      <c r="AC676" s="28"/>
      <c r="AD676" s="28"/>
      <c r="AI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9"/>
      <c r="K677" s="28"/>
      <c r="L677" s="28"/>
      <c r="M677" s="160"/>
      <c r="O677" s="28"/>
      <c r="P677" s="28"/>
      <c r="Q677" s="28"/>
      <c r="W677" s="28"/>
      <c r="X677" s="28"/>
      <c r="Z677" s="28"/>
      <c r="AA677" s="28"/>
      <c r="AC677" s="28"/>
      <c r="AD677" s="28"/>
      <c r="AI677" s="28"/>
      <c r="AJ677" s="28"/>
      <c r="AK677" s="28"/>
      <c r="AO677" s="28"/>
      <c r="AP677" s="28"/>
    </row>
    <row r="678" spans="2:42">
      <c r="B678" s="28"/>
      <c r="C678" s="28"/>
      <c r="D678" s="28"/>
      <c r="E678" s="28"/>
      <c r="H678" s="28"/>
      <c r="I678" s="28"/>
      <c r="J678" s="159"/>
      <c r="K678" s="28"/>
      <c r="L678" s="28"/>
      <c r="M678" s="160"/>
      <c r="O678" s="28"/>
      <c r="P678" s="28"/>
      <c r="Q678" s="28"/>
      <c r="W678" s="28"/>
      <c r="X678" s="28"/>
      <c r="Z678" s="28"/>
      <c r="AA678" s="28"/>
      <c r="AC678" s="28"/>
      <c r="AD678" s="28"/>
      <c r="AI678" s="28"/>
      <c r="AJ678" s="28"/>
      <c r="AK678" s="28"/>
      <c r="AO678" s="28"/>
      <c r="AP678" s="28"/>
    </row>
    <row r="679" spans="2:42">
      <c r="B679" s="28"/>
      <c r="C679" s="28"/>
      <c r="D679" s="28"/>
      <c r="E679" s="28"/>
      <c r="H679" s="28"/>
      <c r="I679" s="28"/>
      <c r="J679" s="159"/>
      <c r="K679" s="28"/>
      <c r="L679" s="28"/>
      <c r="M679" s="160"/>
      <c r="O679" s="28"/>
      <c r="P679" s="28"/>
      <c r="Q679" s="28"/>
      <c r="W679" s="28"/>
      <c r="X679" s="28"/>
      <c r="Z679" s="28"/>
      <c r="AA679" s="28"/>
      <c r="AC679" s="28"/>
      <c r="AD679" s="28"/>
      <c r="AI679" s="28"/>
      <c r="AJ679" s="28"/>
      <c r="AK679" s="28"/>
      <c r="AO679" s="28"/>
      <c r="AP679" s="28"/>
    </row>
    <row r="680" spans="2:42">
      <c r="B680" s="28"/>
      <c r="C680" s="28"/>
      <c r="D680" s="28"/>
      <c r="E680" s="28"/>
      <c r="H680" s="28"/>
      <c r="I680" s="28"/>
      <c r="J680" s="159"/>
      <c r="K680" s="28"/>
      <c r="L680" s="28"/>
      <c r="M680" s="160"/>
      <c r="O680" s="28"/>
      <c r="P680" s="28"/>
      <c r="Q680" s="28"/>
      <c r="W680" s="28"/>
      <c r="X680" s="28"/>
      <c r="Z680" s="28"/>
      <c r="AA680" s="28"/>
      <c r="AC680" s="28"/>
      <c r="AD680" s="28"/>
      <c r="AI680" s="28"/>
      <c r="AJ680" s="28"/>
      <c r="AK680" s="28"/>
      <c r="AO680" s="28"/>
      <c r="AP680" s="28"/>
    </row>
    <row r="681" spans="2:42">
      <c r="B681" s="28"/>
      <c r="C681" s="28"/>
      <c r="D681" s="28"/>
      <c r="E681" s="28"/>
      <c r="H681" s="28"/>
      <c r="I681" s="28"/>
      <c r="J681" s="159"/>
      <c r="K681" s="28"/>
      <c r="L681" s="28"/>
      <c r="M681" s="160"/>
      <c r="O681" s="28"/>
      <c r="P681" s="28"/>
      <c r="Q681" s="28"/>
      <c r="W681" s="28"/>
      <c r="X681" s="28"/>
      <c r="Z681" s="28"/>
      <c r="AA681" s="28"/>
      <c r="AC681" s="28"/>
      <c r="AD681" s="28"/>
      <c r="AI681" s="28"/>
      <c r="AJ681" s="28"/>
      <c r="AK681" s="28"/>
      <c r="AO681" s="28"/>
      <c r="AP681" s="28"/>
    </row>
    <row r="682" spans="2:42">
      <c r="B682" s="28"/>
      <c r="C682" s="28"/>
      <c r="D682" s="28"/>
      <c r="E682" s="28"/>
      <c r="H682" s="28"/>
      <c r="I682" s="28"/>
      <c r="J682" s="159"/>
      <c r="K682" s="28"/>
      <c r="L682" s="28"/>
      <c r="M682" s="160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9"/>
      <c r="K683" s="28"/>
      <c r="L683" s="28"/>
      <c r="M683" s="160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159"/>
      <c r="C684" s="28"/>
      <c r="D684" s="28"/>
      <c r="E684" s="28"/>
      <c r="H684" s="28"/>
      <c r="I684" s="159"/>
      <c r="J684" s="159"/>
      <c r="K684" s="28"/>
      <c r="L684" s="28"/>
      <c r="M684" s="160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9"/>
      <c r="K685" s="28"/>
      <c r="L685" s="28"/>
      <c r="O685" s="157"/>
      <c r="P685" s="28"/>
      <c r="Q685" s="28"/>
      <c r="V685" s="28"/>
      <c r="W685" s="153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9"/>
      <c r="K686" s="28"/>
      <c r="L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9"/>
      <c r="K687" s="28"/>
      <c r="L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9"/>
      <c r="K688" s="28"/>
      <c r="L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9"/>
      <c r="K689" s="28"/>
      <c r="L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9"/>
      <c r="K690" s="28"/>
      <c r="L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9"/>
      <c r="K691" s="28"/>
      <c r="L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9"/>
      <c r="K692" s="28"/>
      <c r="L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9"/>
      <c r="K693" s="28"/>
      <c r="L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9"/>
      <c r="K694" s="28"/>
      <c r="L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</row>
    <row r="695" spans="2:42">
      <c r="B695" s="28"/>
      <c r="C695" s="28"/>
      <c r="D695" s="28"/>
      <c r="E695" s="28"/>
      <c r="H695" s="28"/>
      <c r="I695" s="28"/>
      <c r="J695" s="159"/>
      <c r="K695" s="28"/>
      <c r="L695" s="28"/>
      <c r="P695" s="28"/>
      <c r="Q695" s="28"/>
      <c r="R695" s="153"/>
      <c r="S695" s="153"/>
      <c r="T695" s="153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28"/>
      <c r="C696" s="28"/>
      <c r="D696" s="28"/>
      <c r="E696" s="28"/>
      <c r="H696" s="28"/>
      <c r="I696" s="28"/>
      <c r="J696" s="159"/>
      <c r="K696" s="28"/>
      <c r="L696" s="28"/>
      <c r="P696" s="28"/>
      <c r="Q696" s="28"/>
      <c r="R696" s="153"/>
      <c r="S696" s="153"/>
      <c r="T696" s="153"/>
      <c r="W696" s="28"/>
      <c r="X696" s="28"/>
      <c r="Z696" s="28"/>
      <c r="AA696" s="28"/>
      <c r="AC696" s="28"/>
      <c r="AD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9"/>
      <c r="K697" s="28"/>
      <c r="L697" s="28"/>
      <c r="P697" s="28"/>
      <c r="Q697" s="28"/>
      <c r="R697" s="153"/>
      <c r="S697" s="153"/>
      <c r="T697" s="153"/>
      <c r="W697" s="28"/>
      <c r="X697" s="28"/>
      <c r="Z697" s="28"/>
      <c r="AA697" s="28"/>
      <c r="AC697" s="28"/>
      <c r="AD697" s="28"/>
      <c r="AJ697" s="28"/>
      <c r="AK697" s="28"/>
    </row>
    <row r="698" spans="2:42">
      <c r="B698" s="28"/>
      <c r="C698" s="28"/>
      <c r="D698" s="28"/>
      <c r="E698" s="28"/>
      <c r="H698" s="28"/>
      <c r="I698" s="28"/>
      <c r="J698" s="159"/>
      <c r="K698" s="28"/>
      <c r="L698" s="28"/>
      <c r="P698" s="28"/>
      <c r="Q698" s="28"/>
      <c r="R698" s="153"/>
      <c r="S698" s="153"/>
      <c r="T698" s="153"/>
      <c r="W698" s="28"/>
      <c r="X698" s="28"/>
      <c r="Z698" s="28"/>
      <c r="AA698" s="28"/>
      <c r="AC698" s="28"/>
      <c r="AD698" s="28"/>
      <c r="AJ698" s="28"/>
      <c r="AK698" s="28"/>
    </row>
    <row r="699" spans="2:42">
      <c r="B699" s="28"/>
      <c r="C699" s="28"/>
      <c r="D699" s="28"/>
      <c r="E699" s="28"/>
      <c r="H699" s="28"/>
      <c r="I699" s="28"/>
      <c r="J699" s="159"/>
      <c r="K699" s="28"/>
      <c r="L699" s="28"/>
      <c r="P699" s="28"/>
      <c r="Q699" s="28"/>
      <c r="R699" s="153"/>
      <c r="S699" s="153"/>
      <c r="T699" s="153"/>
      <c r="W699" s="28"/>
      <c r="X699" s="28"/>
      <c r="Z699" s="28"/>
      <c r="AA699" s="28"/>
      <c r="AC699" s="28"/>
      <c r="AD699" s="28"/>
      <c r="AJ699" s="28"/>
      <c r="AK699" s="28"/>
    </row>
    <row r="700" spans="2:42">
      <c r="B700" s="28"/>
      <c r="C700" s="28"/>
      <c r="D700" s="28"/>
      <c r="E700" s="28"/>
      <c r="H700" s="28"/>
      <c r="I700" s="28"/>
      <c r="J700" s="159"/>
      <c r="K700" s="28"/>
      <c r="L700" s="28"/>
      <c r="P700" s="28"/>
      <c r="Q700" s="28"/>
      <c r="R700" s="153"/>
      <c r="S700" s="153"/>
      <c r="T700" s="153"/>
      <c r="W700" s="28"/>
      <c r="X700" s="28"/>
      <c r="Z700" s="28"/>
      <c r="AA700" s="28"/>
      <c r="AC700" s="28"/>
      <c r="AD700" s="28"/>
      <c r="AJ700" s="28"/>
      <c r="AK700" s="28"/>
    </row>
    <row r="701" spans="2:42">
      <c r="B701" s="28"/>
      <c r="C701" s="28"/>
      <c r="D701" s="28"/>
      <c r="E701" s="28"/>
      <c r="H701" s="28"/>
      <c r="I701" s="28"/>
      <c r="J701" s="159"/>
      <c r="K701" s="28"/>
      <c r="L701" s="28"/>
      <c r="P701" s="28"/>
      <c r="Q701" s="28"/>
      <c r="R701" s="153"/>
      <c r="S701" s="153"/>
      <c r="T701" s="153"/>
      <c r="W701" s="28"/>
      <c r="X701" s="28"/>
      <c r="Z701" s="28"/>
      <c r="AA701" s="28"/>
      <c r="AC701" s="28"/>
      <c r="AD701" s="28"/>
      <c r="AJ701" s="28"/>
      <c r="AK701" s="28"/>
    </row>
    <row r="702" spans="2:42">
      <c r="B702" s="28"/>
      <c r="C702" s="28"/>
      <c r="D702" s="28"/>
      <c r="E702" s="28"/>
      <c r="H702" s="28"/>
      <c r="I702" s="28"/>
      <c r="J702" s="159"/>
      <c r="K702" s="28"/>
      <c r="L702" s="28"/>
      <c r="P702" s="28"/>
      <c r="Q702" s="28"/>
      <c r="R702" s="153"/>
      <c r="S702" s="153"/>
      <c r="T702" s="153"/>
      <c r="W702" s="28"/>
      <c r="X702" s="28"/>
      <c r="Z702" s="28"/>
      <c r="AA702" s="28"/>
      <c r="AC702" s="28"/>
      <c r="AD702" s="28"/>
      <c r="AJ702" s="28"/>
      <c r="AK702" s="28"/>
    </row>
    <row r="703" spans="2:42">
      <c r="B703" s="28"/>
      <c r="C703" s="28"/>
      <c r="D703" s="28"/>
      <c r="E703" s="28"/>
      <c r="H703" s="28"/>
      <c r="I703" s="28"/>
      <c r="J703" s="159"/>
      <c r="K703" s="28"/>
      <c r="L703" s="28"/>
      <c r="P703" s="28"/>
      <c r="Q703" s="28"/>
      <c r="R703" s="153"/>
      <c r="S703" s="153"/>
      <c r="T703" s="153"/>
      <c r="W703" s="28"/>
      <c r="X703" s="28"/>
      <c r="Z703" s="28"/>
      <c r="AA703" s="28"/>
      <c r="AC703" s="28"/>
      <c r="AD703" s="28"/>
      <c r="AJ703" s="28"/>
      <c r="AK703" s="28"/>
    </row>
    <row r="704" spans="2:42">
      <c r="B704" s="28"/>
      <c r="C704" s="28"/>
      <c r="D704" s="28"/>
      <c r="E704" s="28"/>
      <c r="H704" s="28"/>
      <c r="I704" s="157"/>
      <c r="J704" s="159"/>
      <c r="K704" s="28"/>
      <c r="M704" s="169"/>
      <c r="W704" s="28"/>
      <c r="Z704" s="28"/>
      <c r="AA704" s="28"/>
      <c r="AC704" s="28"/>
      <c r="AD704" s="28"/>
      <c r="AI704" s="28"/>
      <c r="AO704" s="28"/>
    </row>
    <row r="705" spans="2:41">
      <c r="B705" s="28"/>
      <c r="C705" s="28"/>
      <c r="D705" s="28"/>
      <c r="E705" s="28"/>
      <c r="H705" s="28"/>
      <c r="I705" s="157"/>
      <c r="J705" s="159"/>
      <c r="K705" s="28"/>
      <c r="M705" s="169"/>
      <c r="W705" s="28"/>
      <c r="Z705" s="28"/>
      <c r="AA705" s="28"/>
      <c r="AC705" s="28"/>
      <c r="AD705" s="28"/>
      <c r="AI705" s="28"/>
      <c r="AO705" s="28"/>
    </row>
    <row r="706" spans="2:41">
      <c r="B706" s="28"/>
      <c r="C706" s="28"/>
      <c r="D706" s="28"/>
      <c r="E706" s="28"/>
      <c r="H706" s="28"/>
      <c r="I706" s="157"/>
      <c r="J706" s="159"/>
      <c r="K706" s="28"/>
      <c r="M706" s="169"/>
      <c r="W706" s="28"/>
      <c r="Z706" s="28"/>
      <c r="AA706" s="28"/>
      <c r="AC706" s="28"/>
      <c r="AD706" s="28"/>
      <c r="AI706" s="28"/>
      <c r="AO706" s="28"/>
    </row>
    <row r="707" spans="2:41">
      <c r="B707" s="28"/>
      <c r="C707" s="28"/>
      <c r="D707" s="28"/>
      <c r="E707" s="28"/>
      <c r="H707" s="28"/>
      <c r="I707" s="157"/>
      <c r="J707" s="159"/>
      <c r="K707" s="28"/>
      <c r="M707" s="169"/>
      <c r="W707" s="28"/>
      <c r="Z707" s="28"/>
      <c r="AA707" s="28"/>
      <c r="AC707" s="28"/>
      <c r="AD707" s="28"/>
      <c r="AI707" s="28"/>
      <c r="AO707" s="28"/>
    </row>
    <row r="708" spans="2:41">
      <c r="B708" s="28"/>
      <c r="C708" s="28"/>
      <c r="D708" s="28"/>
      <c r="E708" s="28"/>
      <c r="H708" s="28"/>
      <c r="I708" s="157"/>
      <c r="J708" s="159"/>
      <c r="K708" s="28"/>
      <c r="M708" s="169"/>
      <c r="W708" s="28"/>
      <c r="Z708" s="28"/>
      <c r="AA708" s="28"/>
      <c r="AC708" s="28"/>
      <c r="AD708" s="28"/>
      <c r="AI708" s="28"/>
      <c r="AO708" s="28"/>
    </row>
    <row r="709" spans="2:41">
      <c r="B709" s="28"/>
      <c r="C709" s="28"/>
      <c r="D709" s="28"/>
      <c r="E709" s="28"/>
      <c r="H709" s="28"/>
      <c r="I709" s="157"/>
      <c r="J709" s="159"/>
      <c r="K709" s="28"/>
      <c r="M709" s="169"/>
      <c r="W709" s="28"/>
      <c r="Z709" s="28"/>
      <c r="AA709" s="28"/>
      <c r="AC709" s="28"/>
      <c r="AD709" s="28"/>
      <c r="AI709" s="28"/>
      <c r="AO709" s="28"/>
    </row>
    <row r="710" spans="2:41">
      <c r="B710" s="28"/>
      <c r="C710" s="28"/>
      <c r="D710" s="28"/>
      <c r="E710" s="28"/>
      <c r="H710" s="28"/>
      <c r="I710" s="157"/>
      <c r="J710" s="159"/>
      <c r="K710" s="28"/>
      <c r="M710" s="169"/>
      <c r="W710" s="28"/>
      <c r="Z710" s="28"/>
      <c r="AA710" s="28"/>
      <c r="AC710" s="28"/>
      <c r="AD710" s="28"/>
      <c r="AI710" s="28"/>
      <c r="AO710" s="28"/>
    </row>
    <row r="711" spans="2:41">
      <c r="B711" s="28"/>
      <c r="C711" s="28"/>
      <c r="D711" s="28"/>
      <c r="E711" s="28"/>
      <c r="H711" s="28"/>
      <c r="I711" s="157"/>
      <c r="J711" s="159"/>
      <c r="K711" s="28"/>
      <c r="M711" s="169"/>
      <c r="W711" s="28"/>
      <c r="Z711" s="28"/>
      <c r="AA711" s="28"/>
      <c r="AC711" s="28"/>
      <c r="AD711" s="28"/>
      <c r="AI711" s="28"/>
      <c r="AO711" s="28"/>
    </row>
    <row r="712" spans="2:41">
      <c r="B712" s="28"/>
      <c r="C712" s="28"/>
      <c r="D712" s="28"/>
      <c r="E712" s="28"/>
      <c r="H712" s="28"/>
      <c r="J712" s="159"/>
      <c r="K712" s="28"/>
    </row>
    <row r="713" spans="2:41">
      <c r="B713" s="28"/>
      <c r="C713" s="28"/>
      <c r="D713" s="28"/>
      <c r="E713" s="28"/>
      <c r="H713" s="28"/>
      <c r="J713" s="159"/>
      <c r="K713" s="153"/>
    </row>
    <row r="714" spans="2:41">
      <c r="E714" s="28"/>
      <c r="J714" s="159"/>
    </row>
    <row r="715" spans="2:41">
      <c r="E715" s="28"/>
      <c r="J715" s="159"/>
    </row>
    <row r="716" spans="2:41">
      <c r="E716" s="28"/>
      <c r="J716" s="159"/>
    </row>
    <row r="717" spans="2:41">
      <c r="E717" s="28"/>
      <c r="J717" s="159"/>
    </row>
    <row r="718" spans="2:41">
      <c r="E718" s="28"/>
      <c r="J718" s="159"/>
    </row>
    <row r="719" spans="2:41">
      <c r="E719" s="28"/>
      <c r="J719" s="159"/>
    </row>
    <row r="720" spans="2:41">
      <c r="E720" s="28"/>
      <c r="J720" s="159"/>
    </row>
    <row r="721" spans="5:10">
      <c r="E721" s="28"/>
      <c r="J721" s="159"/>
    </row>
    <row r="722" spans="5:10">
      <c r="E722" s="28"/>
      <c r="J722" s="159"/>
    </row>
    <row r="723" spans="5:10">
      <c r="E723" s="28"/>
      <c r="J723" s="159"/>
    </row>
    <row r="724" spans="5:10">
      <c r="E724" s="28"/>
      <c r="J724" s="159"/>
    </row>
    <row r="725" spans="5:10">
      <c r="E725" s="28"/>
      <c r="J725" s="159"/>
    </row>
    <row r="726" spans="5:10">
      <c r="E726" s="28"/>
      <c r="J726" s="159"/>
    </row>
    <row r="727" spans="5:10">
      <c r="E727" s="28"/>
      <c r="J727" s="159"/>
    </row>
    <row r="728" spans="5:10">
      <c r="E728" s="28"/>
      <c r="J728" s="159"/>
    </row>
    <row r="729" spans="5:10">
      <c r="E729" s="28"/>
      <c r="J729" s="159"/>
    </row>
    <row r="730" spans="5:10">
      <c r="E730" s="28"/>
      <c r="J730" s="159"/>
    </row>
    <row r="731" spans="5:10">
      <c r="E731" s="28"/>
      <c r="J731" s="159"/>
    </row>
    <row r="732" spans="5:10">
      <c r="E732" s="28"/>
      <c r="J732" s="159"/>
    </row>
    <row r="733" spans="5:10">
      <c r="E733" s="28"/>
      <c r="J733" s="159"/>
    </row>
    <row r="734" spans="5:10">
      <c r="E734" s="28"/>
      <c r="J734" s="159"/>
    </row>
    <row r="735" spans="5:10">
      <c r="E735" s="28"/>
      <c r="J735" s="159"/>
    </row>
    <row r="736" spans="5:10">
      <c r="E736" s="28"/>
      <c r="J736" s="159"/>
    </row>
    <row r="737" spans="5:10">
      <c r="E737" s="28"/>
      <c r="J737" s="159"/>
    </row>
    <row r="738" spans="5:10">
      <c r="E738" s="28"/>
      <c r="J738" s="159"/>
    </row>
    <row r="739" spans="5:10">
      <c r="E739" s="28"/>
      <c r="J739" s="159"/>
    </row>
    <row r="740" spans="5:10">
      <c r="E740" s="28"/>
      <c r="J740" s="159"/>
    </row>
    <row r="741" spans="5:10">
      <c r="E741" s="28"/>
      <c r="J741" s="159"/>
    </row>
    <row r="742" spans="5:10">
      <c r="E742" s="28"/>
      <c r="J742" s="159"/>
    </row>
    <row r="743" spans="5:10">
      <c r="E743" s="28"/>
      <c r="J743" s="159"/>
    </row>
    <row r="744" spans="5:10">
      <c r="E744" s="28"/>
      <c r="J744" s="159"/>
    </row>
    <row r="745" spans="5:10">
      <c r="E745" s="28"/>
      <c r="J745" s="159"/>
    </row>
    <row r="746" spans="5:10">
      <c r="E746" s="28"/>
      <c r="J746" s="159"/>
    </row>
    <row r="747" spans="5:10">
      <c r="E747" s="28"/>
      <c r="J747" s="159"/>
    </row>
    <row r="748" spans="5:10">
      <c r="E748" s="28"/>
      <c r="J748" s="159"/>
    </row>
    <row r="749" spans="5:10">
      <c r="E749" s="28"/>
      <c r="J749" s="159"/>
    </row>
    <row r="750" spans="5:10">
      <c r="E750" s="28"/>
      <c r="J750" s="159"/>
    </row>
    <row r="751" spans="5:10">
      <c r="E751" s="28"/>
      <c r="J751" s="159"/>
    </row>
    <row r="752" spans="5:10">
      <c r="E752" s="28"/>
    </row>
    <row r="753" spans="5:5">
      <c r="E753" s="28"/>
    </row>
  </sheetData>
  <autoFilter ref="A1:AP751" xr:uid="{00000000-0009-0000-0000-000000000000}"/>
  <phoneticPr fontId="37" type="noConversion"/>
  <pageMargins left="0.69930555555555596" right="0.69930555555555596" top="0.75" bottom="0.75" header="0.3" footer="0.3"/>
  <pageSetup paperSize="9" orientation="portrait" horizontalDpi="2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GetInformation">
                <anchor moveWithCells="1" sizeWithCells="1">
                  <from>
                    <xdr:col>0</xdr:col>
                    <xdr:colOff>228600</xdr:colOff>
                    <xdr:row>0</xdr:row>
                    <xdr:rowOff>7620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S375"/>
  <sheetViews>
    <sheetView tabSelected="1" workbookViewId="0">
      <pane xSplit="5" ySplit="2" topLeftCell="F39" activePane="bottomRight" state="frozen"/>
      <selection pane="topRight"/>
      <selection pane="bottomLeft"/>
      <selection pane="bottomRight" activeCell="D33" sqref="D33:D61"/>
    </sheetView>
  </sheetViews>
  <sheetFormatPr defaultColWidth="9" defaultRowHeight="13.8"/>
  <cols>
    <col min="1" max="1" width="2.109375" style="62" customWidth="1"/>
    <col min="2" max="2" width="5.109375" style="62" customWidth="1"/>
    <col min="3" max="3" width="27.109375" style="62" customWidth="1"/>
    <col min="4" max="4" width="6.109375" style="62" customWidth="1"/>
    <col min="5" max="5" width="4.21875" style="62" customWidth="1"/>
    <col min="6" max="6" width="8.109375" style="63" customWidth="1"/>
    <col min="7" max="8" width="6.109375" style="63" customWidth="1"/>
    <col min="9" max="9" width="6.6640625" style="63" customWidth="1"/>
    <col min="10" max="10" width="4.88671875" style="63" customWidth="1"/>
    <col min="11" max="11" width="5.109375" style="63" customWidth="1"/>
    <col min="12" max="12" width="4.6640625" style="63" customWidth="1"/>
    <col min="13" max="13" width="5.21875" style="63" customWidth="1"/>
    <col min="14" max="15" width="4.33203125" style="63" customWidth="1"/>
    <col min="16" max="19" width="5" style="64" customWidth="1"/>
    <col min="20" max="20" width="37.6640625" style="65" customWidth="1"/>
    <col min="21" max="21" width="50.33203125" style="66" customWidth="1"/>
    <col min="22" max="22" width="8.6640625" style="67" customWidth="1"/>
    <col min="23" max="25" width="8.6640625" style="68" customWidth="1"/>
    <col min="26" max="26" width="10.109375" style="68" customWidth="1"/>
    <col min="27" max="43" width="8.6640625" style="68" customWidth="1"/>
    <col min="44" max="45" width="8.6640625" style="69" customWidth="1"/>
    <col min="46" max="48" width="8.6640625" style="68" customWidth="1"/>
    <col min="49" max="49" width="12.109375" style="68" customWidth="1"/>
    <col min="50" max="91" width="8.6640625" style="68" customWidth="1"/>
    <col min="92" max="92" width="9.6640625" style="70" hidden="1" customWidth="1"/>
    <col min="93" max="93" width="14.44140625" style="70" hidden="1" customWidth="1"/>
    <col min="94" max="94" width="12" style="70" hidden="1" customWidth="1"/>
    <col min="95" max="95" width="13.109375" style="70" hidden="1" customWidth="1"/>
    <col min="96" max="98" width="15.33203125" style="70" hidden="1" customWidth="1"/>
    <col min="99" max="99" width="46" style="71" customWidth="1"/>
    <col min="100" max="104" width="9" style="71"/>
    <col min="105" max="105" width="63" style="71" customWidth="1"/>
    <col min="106" max="119" width="3.6640625" style="72" customWidth="1"/>
    <col min="120" max="120" width="14.88671875" style="72" customWidth="1"/>
    <col min="121" max="131" width="3.6640625" style="72" customWidth="1"/>
    <col min="132" max="132" width="19.88671875" style="72" customWidth="1"/>
    <col min="133" max="133" width="9" style="72" customWidth="1"/>
    <col min="134" max="146" width="3.6640625" style="72" customWidth="1"/>
    <col min="147" max="147" width="4" style="71" customWidth="1"/>
    <col min="148" max="175" width="3.6640625" style="71" customWidth="1"/>
    <col min="176" max="16384" width="9" style="71"/>
  </cols>
  <sheetData>
    <row r="1" spans="1:175">
      <c r="F1" s="183" t="s">
        <v>110</v>
      </c>
      <c r="G1" s="183"/>
      <c r="H1" s="183"/>
      <c r="I1" s="183"/>
      <c r="J1" s="183"/>
      <c r="K1" s="183"/>
      <c r="L1" s="183"/>
      <c r="M1" s="183"/>
      <c r="N1" s="183"/>
      <c r="O1" s="183"/>
      <c r="P1" s="184" t="s">
        <v>111</v>
      </c>
      <c r="Q1" s="185"/>
      <c r="R1" s="185"/>
      <c r="S1" s="186"/>
      <c r="T1" s="187" t="s">
        <v>7</v>
      </c>
      <c r="U1" s="187"/>
      <c r="V1" s="81">
        <v>1</v>
      </c>
      <c r="W1" s="81">
        <v>2</v>
      </c>
      <c r="X1" s="81">
        <v>3</v>
      </c>
      <c r="Y1" s="81">
        <v>4</v>
      </c>
      <c r="Z1" s="81">
        <v>5</v>
      </c>
      <c r="AA1" s="81">
        <v>6</v>
      </c>
      <c r="AB1" s="81">
        <v>7</v>
      </c>
      <c r="AC1" s="81">
        <v>8</v>
      </c>
      <c r="AD1" s="81">
        <v>9</v>
      </c>
      <c r="AE1" s="81">
        <v>10</v>
      </c>
      <c r="AF1" s="81">
        <v>11</v>
      </c>
      <c r="AG1" s="81">
        <v>12</v>
      </c>
      <c r="AH1" s="81">
        <v>13</v>
      </c>
      <c r="AI1" s="81">
        <v>14</v>
      </c>
      <c r="AJ1" s="81">
        <v>15</v>
      </c>
      <c r="AK1" s="81">
        <v>16</v>
      </c>
      <c r="AL1" s="81">
        <v>17</v>
      </c>
      <c r="AM1" s="81">
        <v>18</v>
      </c>
      <c r="AN1" s="81">
        <v>19</v>
      </c>
      <c r="AO1" s="81">
        <v>20</v>
      </c>
      <c r="AP1" s="81">
        <v>21</v>
      </c>
      <c r="AQ1" s="81">
        <v>22</v>
      </c>
      <c r="AR1" s="92">
        <v>23</v>
      </c>
      <c r="AS1" s="92">
        <v>24</v>
      </c>
      <c r="AT1" s="81">
        <v>25</v>
      </c>
      <c r="AU1" s="81">
        <v>26</v>
      </c>
      <c r="AV1" s="81">
        <v>27</v>
      </c>
      <c r="AW1" s="81">
        <v>28</v>
      </c>
      <c r="AX1" s="81">
        <v>29</v>
      </c>
      <c r="AY1" s="81">
        <v>30</v>
      </c>
      <c r="AZ1" s="81">
        <v>31</v>
      </c>
      <c r="BA1" s="81">
        <v>32</v>
      </c>
      <c r="BB1" s="81">
        <v>33</v>
      </c>
      <c r="BC1" s="81">
        <v>34</v>
      </c>
      <c r="BD1" s="81">
        <v>35</v>
      </c>
      <c r="BE1" s="81">
        <v>36</v>
      </c>
      <c r="BF1" s="81">
        <v>37</v>
      </c>
      <c r="BG1" s="81">
        <v>38</v>
      </c>
      <c r="BH1" s="81">
        <v>39</v>
      </c>
      <c r="BI1" s="81">
        <v>40</v>
      </c>
      <c r="BJ1" s="81">
        <v>41</v>
      </c>
      <c r="BK1" s="81">
        <v>42</v>
      </c>
      <c r="BL1" s="81">
        <v>43</v>
      </c>
      <c r="BM1" s="81">
        <v>44</v>
      </c>
      <c r="BN1" s="81">
        <v>45</v>
      </c>
      <c r="BO1" s="81">
        <v>46</v>
      </c>
      <c r="BP1" s="81">
        <v>47</v>
      </c>
      <c r="BQ1" s="81">
        <v>48</v>
      </c>
      <c r="BR1" s="81">
        <v>49</v>
      </c>
      <c r="BS1" s="81">
        <v>50</v>
      </c>
      <c r="BT1" s="81">
        <v>51</v>
      </c>
      <c r="BU1" s="81">
        <v>52</v>
      </c>
      <c r="BV1" s="81">
        <v>53</v>
      </c>
      <c r="BW1" s="81">
        <v>54</v>
      </c>
      <c r="BX1" s="81">
        <v>55</v>
      </c>
      <c r="BY1" s="81">
        <v>56</v>
      </c>
      <c r="BZ1" s="81">
        <v>57</v>
      </c>
      <c r="CA1" s="81">
        <v>58</v>
      </c>
      <c r="CB1" s="81">
        <v>59</v>
      </c>
      <c r="CC1" s="81">
        <v>60</v>
      </c>
      <c r="CD1" s="81">
        <v>61</v>
      </c>
      <c r="CE1" s="81">
        <v>62</v>
      </c>
      <c r="CF1" s="81">
        <v>63</v>
      </c>
      <c r="CG1" s="81">
        <v>64</v>
      </c>
      <c r="CH1" s="81">
        <v>65</v>
      </c>
      <c r="CI1" s="81">
        <v>66</v>
      </c>
      <c r="CJ1" s="81">
        <v>67</v>
      </c>
      <c r="CK1" s="81">
        <v>68</v>
      </c>
      <c r="CL1" s="81">
        <v>69</v>
      </c>
      <c r="CM1" s="81">
        <v>70</v>
      </c>
      <c r="CN1" s="71" t="s">
        <v>112</v>
      </c>
      <c r="CR1" s="95" t="s">
        <v>112</v>
      </c>
      <c r="CS1" s="97"/>
      <c r="CT1" s="97"/>
      <c r="DB1" s="81"/>
      <c r="DC1" s="81"/>
      <c r="DD1" s="81"/>
      <c r="DE1" s="81"/>
      <c r="DF1" s="81"/>
      <c r="DG1" s="81"/>
      <c r="DH1" s="81"/>
      <c r="DI1" s="81"/>
      <c r="DJ1" s="81" t="s">
        <v>113</v>
      </c>
      <c r="DK1" s="81" t="s">
        <v>113</v>
      </c>
      <c r="DL1" s="81" t="s">
        <v>113</v>
      </c>
      <c r="DM1" s="81"/>
      <c r="DN1" s="81"/>
      <c r="DO1" s="81" t="s">
        <v>113</v>
      </c>
      <c r="DP1" s="81" t="s">
        <v>113</v>
      </c>
      <c r="DQ1" s="81" t="s">
        <v>113</v>
      </c>
      <c r="DR1" s="81" t="s">
        <v>113</v>
      </c>
      <c r="DS1" s="81" t="s">
        <v>113</v>
      </c>
      <c r="DT1" s="81" t="s">
        <v>113</v>
      </c>
      <c r="DU1" s="81" t="s">
        <v>113</v>
      </c>
      <c r="DV1" s="81" t="s">
        <v>113</v>
      </c>
      <c r="DW1" s="81" t="s">
        <v>113</v>
      </c>
      <c r="DX1" s="81" t="s">
        <v>113</v>
      </c>
      <c r="DY1" s="81" t="s">
        <v>113</v>
      </c>
      <c r="DZ1" s="81" t="s">
        <v>113</v>
      </c>
      <c r="EA1" s="81"/>
      <c r="EB1" s="81"/>
      <c r="EC1" s="81"/>
      <c r="ED1" s="81"/>
      <c r="EE1" s="81"/>
      <c r="EF1" s="81" t="s">
        <v>113</v>
      </c>
      <c r="EG1" s="81" t="s">
        <v>113</v>
      </c>
      <c r="EH1" s="81" t="s">
        <v>113</v>
      </c>
      <c r="FJ1" s="71" t="s">
        <v>113</v>
      </c>
      <c r="FK1" s="71" t="s">
        <v>113</v>
      </c>
      <c r="FL1" s="71" t="s">
        <v>113</v>
      </c>
      <c r="FM1" s="71" t="s">
        <v>113</v>
      </c>
      <c r="FN1" s="71" t="s">
        <v>113</v>
      </c>
      <c r="FO1" s="71" t="s">
        <v>113</v>
      </c>
      <c r="FP1" s="71" t="s">
        <v>113</v>
      </c>
      <c r="FQ1" s="71" t="s">
        <v>113</v>
      </c>
      <c r="FR1" s="71" t="s">
        <v>113</v>
      </c>
    </row>
    <row r="2" spans="1:175" ht="14.4">
      <c r="B2" s="62" t="s">
        <v>114</v>
      </c>
      <c r="D2" s="62" t="s">
        <v>115</v>
      </c>
      <c r="E2" s="62" t="s">
        <v>116</v>
      </c>
      <c r="F2" s="63" t="s">
        <v>117</v>
      </c>
      <c r="G2" s="63" t="s">
        <v>118</v>
      </c>
      <c r="H2" s="63" t="s">
        <v>119</v>
      </c>
      <c r="I2" s="63" t="s">
        <v>120</v>
      </c>
      <c r="J2" s="63" t="s">
        <v>121</v>
      </c>
      <c r="K2" s="63" t="s">
        <v>122</v>
      </c>
      <c r="L2" s="63" t="s">
        <v>123</v>
      </c>
      <c r="M2" s="63" t="s">
        <v>124</v>
      </c>
      <c r="N2" s="63" t="s">
        <v>125</v>
      </c>
      <c r="O2" s="63" t="s">
        <v>126</v>
      </c>
      <c r="P2" s="84" t="s">
        <v>117</v>
      </c>
      <c r="Q2" s="84" t="s">
        <v>127</v>
      </c>
      <c r="R2" s="84" t="s">
        <v>128</v>
      </c>
      <c r="S2" s="84" t="s">
        <v>129</v>
      </c>
      <c r="T2" s="86" t="s">
        <v>130</v>
      </c>
      <c r="U2" s="66" t="s">
        <v>131</v>
      </c>
      <c r="V2" s="81" t="s">
        <v>132</v>
      </c>
      <c r="W2" s="81" t="s">
        <v>133</v>
      </c>
      <c r="X2" s="81" t="s">
        <v>134</v>
      </c>
      <c r="Y2" s="81" t="s">
        <v>135</v>
      </c>
      <c r="Z2" s="81" t="s">
        <v>23</v>
      </c>
      <c r="AA2" s="81" t="s">
        <v>136</v>
      </c>
      <c r="AB2" s="81" t="s">
        <v>137</v>
      </c>
      <c r="AC2" s="81" t="s">
        <v>138</v>
      </c>
      <c r="AD2" s="81" t="s">
        <v>139</v>
      </c>
      <c r="AE2" s="81" t="s">
        <v>140</v>
      </c>
      <c r="AF2" s="81" t="s">
        <v>141</v>
      </c>
      <c r="AG2" s="81" t="s">
        <v>142</v>
      </c>
      <c r="AH2" s="81" t="s">
        <v>143</v>
      </c>
      <c r="AI2" s="81" t="s">
        <v>144</v>
      </c>
      <c r="AJ2" s="81" t="s">
        <v>142</v>
      </c>
      <c r="AK2" s="81" t="s">
        <v>145</v>
      </c>
      <c r="AL2" s="81" t="s">
        <v>146</v>
      </c>
      <c r="AM2" s="81" t="s">
        <v>147</v>
      </c>
      <c r="AN2" s="81" t="s">
        <v>148</v>
      </c>
      <c r="AO2" s="81" t="s">
        <v>149</v>
      </c>
      <c r="AP2" s="81" t="s">
        <v>150</v>
      </c>
      <c r="AQ2" s="81" t="s">
        <v>151</v>
      </c>
      <c r="AR2" s="92" t="s">
        <v>152</v>
      </c>
      <c r="AS2" s="92" t="s">
        <v>153</v>
      </c>
      <c r="AT2" s="81" t="s">
        <v>154</v>
      </c>
      <c r="AU2" s="81" t="s">
        <v>155</v>
      </c>
      <c r="AV2" s="81" t="s">
        <v>156</v>
      </c>
      <c r="AW2" s="81" t="s">
        <v>157</v>
      </c>
      <c r="AX2" s="81" t="s">
        <v>158</v>
      </c>
      <c r="AY2" s="81"/>
      <c r="AZ2" s="81" t="s">
        <v>159</v>
      </c>
      <c r="BA2" s="81" t="s">
        <v>160</v>
      </c>
      <c r="BB2" s="81" t="s">
        <v>161</v>
      </c>
      <c r="BC2" s="81" t="s">
        <v>162</v>
      </c>
      <c r="BD2" s="81" t="s">
        <v>163</v>
      </c>
      <c r="BE2" s="81"/>
      <c r="BF2" s="81"/>
      <c r="BG2" s="81"/>
      <c r="BH2" s="81"/>
      <c r="BI2" s="81" t="s">
        <v>164</v>
      </c>
      <c r="BJ2" s="81" t="s">
        <v>165</v>
      </c>
      <c r="BK2" s="81"/>
      <c r="BL2" s="81" t="s">
        <v>166</v>
      </c>
      <c r="BM2" s="81" t="s">
        <v>167</v>
      </c>
      <c r="BN2" s="81" t="s">
        <v>168</v>
      </c>
      <c r="BO2" s="81" t="s">
        <v>169</v>
      </c>
      <c r="BP2" s="81" t="s">
        <v>170</v>
      </c>
      <c r="BQ2" s="81" t="s">
        <v>171</v>
      </c>
      <c r="BR2" s="81" t="s">
        <v>172</v>
      </c>
      <c r="BS2" s="81" t="s">
        <v>173</v>
      </c>
      <c r="BT2" s="81" t="s">
        <v>174</v>
      </c>
      <c r="BU2" s="81"/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  <c r="CJ2" s="81"/>
      <c r="CK2" s="81"/>
      <c r="CL2" s="81"/>
      <c r="CM2" s="81"/>
      <c r="CN2" s="70" t="s">
        <v>175</v>
      </c>
      <c r="CO2" s="70" t="s">
        <v>176</v>
      </c>
      <c r="CP2" s="70" t="s">
        <v>177</v>
      </c>
      <c r="CQ2" s="70" t="s">
        <v>178</v>
      </c>
      <c r="CR2" s="70" t="s">
        <v>179</v>
      </c>
      <c r="CS2" s="70" t="s">
        <v>180</v>
      </c>
      <c r="CT2" s="70" t="s">
        <v>181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133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1" customFormat="1" ht="1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5"/>
      <c r="Q3" s="85"/>
      <c r="R3" s="85"/>
      <c r="S3" s="85"/>
      <c r="T3" s="87" t="s">
        <v>184</v>
      </c>
      <c r="U3" s="88" t="s">
        <v>185</v>
      </c>
      <c r="V3" s="20">
        <v>1000</v>
      </c>
      <c r="W3" s="89"/>
      <c r="X3" s="89"/>
      <c r="Y3" s="89"/>
      <c r="Z3" s="89"/>
      <c r="AA3" s="89"/>
      <c r="AB3" s="89"/>
      <c r="AC3" s="89"/>
      <c r="AD3" s="71"/>
      <c r="AE3" s="89"/>
      <c r="AF3" s="89"/>
      <c r="AG3" s="91"/>
      <c r="AH3" s="89"/>
      <c r="AI3" s="89"/>
      <c r="AJ3" s="89"/>
      <c r="AK3" s="89"/>
      <c r="AL3" s="91"/>
      <c r="AM3" s="89"/>
      <c r="AN3" s="89"/>
      <c r="AO3" s="89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81"/>
      <c r="BD3" s="81"/>
      <c r="BE3" s="81"/>
      <c r="BF3" s="81"/>
      <c r="BG3" s="81"/>
      <c r="BH3" s="81"/>
      <c r="BI3" s="81"/>
      <c r="BJ3" s="81"/>
      <c r="BK3" s="81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1"/>
      <c r="CC3" s="81"/>
      <c r="CD3" s="81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5"/>
      <c r="Q4" s="85"/>
      <c r="R4" s="85"/>
      <c r="S4" s="85"/>
      <c r="T4" s="87" t="s">
        <v>184</v>
      </c>
      <c r="U4" s="88" t="s">
        <v>185</v>
      </c>
      <c r="V4" s="20">
        <v>2000</v>
      </c>
      <c r="W4" s="89"/>
      <c r="X4" s="89"/>
      <c r="Y4" s="89"/>
      <c r="Z4" s="89"/>
      <c r="AA4" s="89"/>
      <c r="AB4" s="89"/>
      <c r="AC4" s="89"/>
      <c r="AD4" s="71"/>
      <c r="AE4" s="89"/>
      <c r="AF4" s="89"/>
      <c r="AG4" s="91"/>
      <c r="AH4" s="89"/>
      <c r="AI4" s="89"/>
      <c r="AJ4" s="89"/>
      <c r="AK4" s="89"/>
      <c r="AL4" s="91"/>
      <c r="AM4" s="89"/>
      <c r="AN4" s="89"/>
      <c r="AO4" s="89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81"/>
      <c r="BD4" s="81"/>
      <c r="BE4" s="81"/>
      <c r="BF4" s="81"/>
      <c r="BG4" s="81"/>
      <c r="BH4" s="81"/>
      <c r="BI4" s="81"/>
      <c r="BJ4" s="81"/>
      <c r="BK4" s="81"/>
      <c r="BL4" s="81"/>
      <c r="BM4" s="81"/>
      <c r="BN4" s="81"/>
      <c r="BO4" s="81"/>
      <c r="BP4" s="81"/>
      <c r="BQ4" s="81"/>
      <c r="BR4" s="81"/>
      <c r="BS4" s="81"/>
      <c r="BT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5"/>
      <c r="Q5" s="85"/>
      <c r="R5" s="85"/>
      <c r="S5" s="85"/>
      <c r="T5" s="87" t="s">
        <v>184</v>
      </c>
      <c r="U5" s="88" t="s">
        <v>185</v>
      </c>
      <c r="V5" s="20">
        <v>3000</v>
      </c>
      <c r="W5" s="89"/>
      <c r="X5" s="89"/>
      <c r="Y5" s="89"/>
      <c r="Z5" s="89"/>
      <c r="AA5" s="89"/>
      <c r="AB5" s="89"/>
      <c r="AC5" s="89"/>
      <c r="AD5" s="71"/>
      <c r="AE5" s="89"/>
      <c r="AF5" s="89"/>
      <c r="AG5" s="91"/>
      <c r="AH5" s="89"/>
      <c r="AI5" s="89"/>
      <c r="AJ5" s="89"/>
      <c r="AK5" s="89"/>
      <c r="AL5" s="91"/>
      <c r="AM5" s="89"/>
      <c r="AN5" s="89"/>
      <c r="AO5" s="89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81"/>
      <c r="BD5" s="81"/>
      <c r="BE5" s="81"/>
      <c r="BF5" s="81"/>
      <c r="BG5" s="81"/>
      <c r="BH5" s="81"/>
      <c r="BI5" s="81"/>
      <c r="BJ5" s="81"/>
      <c r="BK5" s="81"/>
      <c r="BL5" s="81"/>
      <c r="BM5" s="81"/>
      <c r="BN5" s="81"/>
      <c r="BO5" s="81"/>
      <c r="BP5" s="81"/>
      <c r="BQ5" s="81"/>
      <c r="BR5" s="81"/>
      <c r="BS5" s="81"/>
      <c r="BT5" s="81"/>
      <c r="BU5" s="81"/>
      <c r="BV5" s="81"/>
      <c r="BW5" s="81"/>
      <c r="BX5" s="81"/>
      <c r="BY5" s="81"/>
      <c r="BZ5" s="81"/>
      <c r="CA5" s="81"/>
      <c r="CB5" s="81"/>
      <c r="CC5" s="81"/>
      <c r="CD5" s="81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5"/>
      <c r="Q6" s="85"/>
      <c r="R6" s="85"/>
      <c r="S6" s="85"/>
      <c r="T6" s="87" t="s">
        <v>184</v>
      </c>
      <c r="U6" s="88" t="s">
        <v>185</v>
      </c>
      <c r="V6" s="20">
        <v>4000</v>
      </c>
      <c r="W6" s="89"/>
      <c r="X6" s="89"/>
      <c r="Y6" s="89"/>
      <c r="Z6" s="89"/>
      <c r="AA6" s="89"/>
      <c r="AB6" s="89"/>
      <c r="AC6" s="89"/>
      <c r="AD6" s="71"/>
      <c r="AE6" s="89"/>
      <c r="AF6" s="89"/>
      <c r="AG6" s="91"/>
      <c r="AH6" s="89"/>
      <c r="AI6" s="89"/>
      <c r="AJ6" s="89"/>
      <c r="AK6" s="89"/>
      <c r="AL6" s="91"/>
      <c r="AM6" s="89"/>
      <c r="AN6" s="89"/>
      <c r="AO6" s="89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81"/>
      <c r="BD6" s="81"/>
      <c r="BE6" s="81"/>
      <c r="BF6" s="81"/>
      <c r="BG6" s="81"/>
      <c r="BH6" s="81"/>
      <c r="BI6" s="81"/>
      <c r="BJ6" s="81"/>
      <c r="BK6" s="81"/>
      <c r="BL6" s="81"/>
      <c r="BM6" s="81"/>
      <c r="BN6" s="81"/>
      <c r="BO6" s="81"/>
      <c r="BP6" s="81"/>
      <c r="BQ6" s="81"/>
      <c r="BR6" s="81"/>
      <c r="BS6" s="81"/>
      <c r="BT6" s="81"/>
      <c r="BU6" s="81"/>
      <c r="BV6" s="81"/>
      <c r="BW6" s="81"/>
      <c r="BX6" s="81"/>
      <c r="BY6" s="81"/>
      <c r="BZ6" s="81"/>
      <c r="CA6" s="81"/>
      <c r="CB6" s="81"/>
      <c r="CC6" s="81"/>
      <c r="CD6" s="81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5"/>
      <c r="Q7" s="85"/>
      <c r="R7" s="85"/>
      <c r="S7" s="85"/>
      <c r="T7" s="87" t="s">
        <v>184</v>
      </c>
      <c r="U7" s="88" t="s">
        <v>185</v>
      </c>
      <c r="V7" s="20">
        <v>5000</v>
      </c>
      <c r="W7" s="89"/>
      <c r="X7" s="89"/>
      <c r="Y7" s="89"/>
      <c r="Z7" s="89"/>
      <c r="AA7" s="89"/>
      <c r="AB7" s="89"/>
      <c r="AC7" s="89"/>
      <c r="AD7" s="71"/>
      <c r="AE7" s="89"/>
      <c r="AF7" s="89"/>
      <c r="AG7" s="91"/>
      <c r="AH7" s="89"/>
      <c r="AI7" s="89"/>
      <c r="AJ7" s="89"/>
      <c r="AK7" s="89"/>
      <c r="AL7" s="91"/>
      <c r="AM7" s="89"/>
      <c r="AN7" s="89"/>
      <c r="AO7" s="89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81"/>
      <c r="BD7" s="81"/>
      <c r="BE7" s="81"/>
      <c r="BF7" s="81"/>
      <c r="BG7" s="81"/>
      <c r="BH7" s="81"/>
      <c r="BI7" s="81"/>
      <c r="BJ7" s="81"/>
      <c r="BK7" s="81"/>
      <c r="BL7" s="81"/>
      <c r="BM7" s="81"/>
      <c r="BN7" s="81"/>
      <c r="BO7" s="81"/>
      <c r="BP7" s="81"/>
      <c r="BQ7" s="81"/>
      <c r="BR7" s="81"/>
      <c r="BS7" s="81"/>
      <c r="BT7" s="81"/>
      <c r="BU7" s="81"/>
      <c r="BV7" s="81"/>
      <c r="BW7" s="81"/>
      <c r="BX7" s="81"/>
      <c r="BY7" s="81"/>
      <c r="BZ7" s="81"/>
      <c r="CA7" s="81"/>
      <c r="CB7" s="81"/>
      <c r="CC7" s="81"/>
      <c r="CD7" s="81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5"/>
      <c r="Q8" s="85"/>
      <c r="R8" s="85"/>
      <c r="S8" s="85"/>
      <c r="T8" s="87" t="s">
        <v>184</v>
      </c>
      <c r="U8" s="88" t="s">
        <v>197</v>
      </c>
      <c r="V8" s="20">
        <v>8000</v>
      </c>
      <c r="W8" s="89"/>
      <c r="X8" s="89"/>
      <c r="Y8" s="89"/>
      <c r="Z8" s="89"/>
      <c r="AA8" s="89"/>
      <c r="AB8" s="89"/>
      <c r="AC8" s="89"/>
      <c r="AD8" s="89">
        <v>20</v>
      </c>
      <c r="AE8" s="89"/>
      <c r="AF8" s="89"/>
      <c r="AG8" s="91"/>
      <c r="AH8" s="89"/>
      <c r="AI8" s="89"/>
      <c r="AJ8" s="89"/>
      <c r="AK8" s="89"/>
      <c r="AL8" s="91"/>
      <c r="AM8" s="89"/>
      <c r="AN8" s="89"/>
      <c r="AO8" s="89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81"/>
      <c r="BD8" s="81"/>
      <c r="BE8" s="81"/>
      <c r="BF8" s="81"/>
      <c r="BG8" s="81"/>
      <c r="BH8" s="81"/>
      <c r="BI8" s="81"/>
      <c r="BJ8" s="81"/>
      <c r="BK8" s="81"/>
      <c r="BL8" s="81"/>
      <c r="BM8" s="81"/>
      <c r="BN8" s="81"/>
      <c r="BO8" s="81"/>
      <c r="BP8" s="81"/>
      <c r="BQ8" s="81"/>
      <c r="BR8" s="81"/>
      <c r="BS8" s="81"/>
      <c r="BT8" s="81"/>
      <c r="BU8" s="81"/>
      <c r="BV8" s="81"/>
      <c r="BW8" s="81"/>
      <c r="BX8" s="81"/>
      <c r="BY8" s="81"/>
      <c r="BZ8" s="81"/>
      <c r="CA8" s="81"/>
      <c r="CB8" s="81"/>
      <c r="CC8" s="81"/>
      <c r="CD8" s="81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InitUnitState('E006',8000,,,,,,,,20,)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|n攻击+8000|n攻速+20%|n吸血+4%|n</v>
      </c>
      <c r="CV8" s="7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5"/>
      <c r="Q9" s="85"/>
      <c r="R9" s="85"/>
      <c r="S9" s="85"/>
      <c r="T9" s="87" t="s">
        <v>184</v>
      </c>
      <c r="U9" s="88" t="s">
        <v>197</v>
      </c>
      <c r="V9" s="20">
        <v>10000</v>
      </c>
      <c r="W9" s="89"/>
      <c r="X9" s="89"/>
      <c r="Y9" s="89"/>
      <c r="Z9" s="89"/>
      <c r="AA9" s="89"/>
      <c r="AB9" s="89"/>
      <c r="AC9" s="89"/>
      <c r="AD9" s="89">
        <v>20</v>
      </c>
      <c r="AE9" s="89"/>
      <c r="AF9" s="89"/>
      <c r="AG9" s="91"/>
      <c r="AH9" s="89"/>
      <c r="AI9" s="89"/>
      <c r="AJ9" s="89"/>
      <c r="AK9" s="89"/>
      <c r="AL9" s="91"/>
      <c r="AM9" s="89"/>
      <c r="AN9" s="89"/>
      <c r="AO9" s="89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81"/>
      <c r="BD9" s="81"/>
      <c r="BE9" s="81"/>
      <c r="BF9" s="81"/>
      <c r="BG9" s="81"/>
      <c r="BH9" s="81"/>
      <c r="BI9" s="81"/>
      <c r="BJ9" s="81"/>
      <c r="BK9" s="81"/>
      <c r="BL9" s="81"/>
      <c r="BM9" s="81"/>
      <c r="BN9" s="81"/>
      <c r="BO9" s="81"/>
      <c r="BP9" s="81"/>
      <c r="BQ9" s="81"/>
      <c r="BR9" s="81"/>
      <c r="BS9" s="81"/>
      <c r="BT9" s="81"/>
      <c r="BU9" s="81"/>
      <c r="BV9" s="81"/>
      <c r="BW9" s="81"/>
      <c r="BX9" s="81"/>
      <c r="BY9" s="81"/>
      <c r="BZ9" s="81"/>
      <c r="CA9" s="81"/>
      <c r="CB9" s="81"/>
      <c r="CC9" s="81"/>
      <c r="CD9" s="81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InitUnitState('E007',10000,,,,,,,,20,)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|n攻击+10000|n攻速+20%|n吸血+4%|n</v>
      </c>
      <c r="CV9" s="7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5"/>
      <c r="Q10" s="85"/>
      <c r="R10" s="85"/>
      <c r="S10" s="85"/>
      <c r="T10" s="87" t="s">
        <v>184</v>
      </c>
      <c r="U10" s="88" t="s">
        <v>197</v>
      </c>
      <c r="V10" s="20">
        <v>12000</v>
      </c>
      <c r="W10" s="89"/>
      <c r="X10" s="89"/>
      <c r="Y10" s="89"/>
      <c r="Z10" s="89"/>
      <c r="AA10" s="89"/>
      <c r="AB10" s="89"/>
      <c r="AC10" s="89"/>
      <c r="AD10" s="89">
        <v>20</v>
      </c>
      <c r="AE10" s="89"/>
      <c r="AF10" s="89"/>
      <c r="AG10" s="91"/>
      <c r="AH10" s="89"/>
      <c r="AI10" s="89"/>
      <c r="AJ10" s="89"/>
      <c r="AK10" s="89"/>
      <c r="AL10" s="91"/>
      <c r="AM10" s="89"/>
      <c r="AN10" s="89"/>
      <c r="AO10" s="89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1"/>
      <c r="CC10" s="81"/>
      <c r="CD10" s="81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InitUnitState('E008',12000,,,,,,,,20,)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|n攻击+12000|n攻速+20%|n吸血+4%|n</v>
      </c>
      <c r="CV10" s="7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5"/>
      <c r="Q11" s="85"/>
      <c r="R11" s="85"/>
      <c r="S11" s="85"/>
      <c r="T11" s="87" t="s">
        <v>184</v>
      </c>
      <c r="U11" s="88" t="s">
        <v>197</v>
      </c>
      <c r="V11" s="20">
        <v>14000</v>
      </c>
      <c r="W11" s="89"/>
      <c r="X11" s="89"/>
      <c r="Y11" s="89"/>
      <c r="Z11" s="89"/>
      <c r="AA11" s="89"/>
      <c r="AB11" s="89"/>
      <c r="AC11" s="89"/>
      <c r="AD11" s="89">
        <v>20</v>
      </c>
      <c r="AE11" s="89"/>
      <c r="AF11" s="89"/>
      <c r="AG11" s="91"/>
      <c r="AH11" s="89"/>
      <c r="AI11" s="89"/>
      <c r="AJ11" s="89"/>
      <c r="AK11" s="89"/>
      <c r="AL11" s="91"/>
      <c r="AM11" s="89"/>
      <c r="AN11" s="89"/>
      <c r="AO11" s="89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81"/>
      <c r="BD11" s="81"/>
      <c r="BE11" s="81"/>
      <c r="BF11" s="81"/>
      <c r="BG11" s="81"/>
      <c r="BH11" s="81"/>
      <c r="BI11" s="81"/>
      <c r="BJ11" s="81"/>
      <c r="BK11" s="81"/>
      <c r="BL11" s="81"/>
      <c r="BM11" s="81"/>
      <c r="BN11" s="81"/>
      <c r="BO11" s="81"/>
      <c r="BP11" s="81"/>
      <c r="BQ11" s="81"/>
      <c r="BR11" s="81"/>
      <c r="BS11" s="81"/>
      <c r="BT11" s="81"/>
      <c r="BU11" s="81"/>
      <c r="BV11" s="81"/>
      <c r="BW11" s="81"/>
      <c r="BX11" s="81"/>
      <c r="BY11" s="81"/>
      <c r="BZ11" s="81"/>
      <c r="CA11" s="81"/>
      <c r="CB11" s="81"/>
      <c r="CC11" s="81"/>
      <c r="CD11" s="81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InitUnitState('E009',14000,,,,,,,,20,)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|n攻击+14000|n攻速+20%|n吸血+4%|n</v>
      </c>
      <c r="CV11" s="7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5"/>
      <c r="Q12" s="85"/>
      <c r="R12" s="85"/>
      <c r="S12" s="85"/>
      <c r="T12" s="87" t="s">
        <v>184</v>
      </c>
      <c r="U12" s="88" t="s">
        <v>197</v>
      </c>
      <c r="V12" s="20">
        <v>16000</v>
      </c>
      <c r="W12" s="89"/>
      <c r="X12" s="89"/>
      <c r="Y12" s="89"/>
      <c r="Z12" s="89"/>
      <c r="AA12" s="89"/>
      <c r="AB12" s="89"/>
      <c r="AC12" s="89"/>
      <c r="AD12" s="89">
        <v>20</v>
      </c>
      <c r="AE12" s="89"/>
      <c r="AF12" s="89"/>
      <c r="AG12" s="91"/>
      <c r="AH12" s="89"/>
      <c r="AI12" s="89"/>
      <c r="AJ12" s="89"/>
      <c r="AK12" s="89"/>
      <c r="AL12" s="91"/>
      <c r="AM12" s="89"/>
      <c r="AN12" s="89"/>
      <c r="AO12" s="89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81"/>
      <c r="BD12" s="81"/>
      <c r="BE12" s="81"/>
      <c r="BF12" s="81"/>
      <c r="BG12" s="81"/>
      <c r="BH12" s="81"/>
      <c r="BI12" s="81"/>
      <c r="BJ12" s="81"/>
      <c r="BK12" s="81"/>
      <c r="BL12" s="81"/>
      <c r="BM12" s="81"/>
      <c r="BN12" s="81"/>
      <c r="BO12" s="81"/>
      <c r="BP12" s="81"/>
      <c r="BQ12" s="81"/>
      <c r="BR12" s="81"/>
      <c r="BS12" s="81"/>
      <c r="BT12" s="81"/>
      <c r="BU12" s="81"/>
      <c r="BV12" s="81"/>
      <c r="BW12" s="81"/>
      <c r="BX12" s="81"/>
      <c r="BY12" s="81"/>
      <c r="BZ12" s="81"/>
      <c r="CA12" s="81"/>
      <c r="CB12" s="81"/>
      <c r="CC12" s="81"/>
      <c r="CD12" s="81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InitUnitState('E010',16000,,,,,,,,20,)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InitEquipData('E010',,"",,E011,8000,100,'','','','','','',"ReplaceableTextures\\CommandButtons\\BTNZ03.blp")</v>
      </c>
      <c r="CS12" s="96"/>
      <c r="CT12" s="96"/>
      <c r="CU12" s="98" t="str">
        <f t="shared" si="78"/>
        <v>|n攻击+16000|n攻速+20%|n吸血+4%|n</v>
      </c>
      <c r="CV12" s="7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5"/>
      <c r="Q13" s="85"/>
      <c r="R13" s="85"/>
      <c r="S13" s="85"/>
      <c r="T13" s="87" t="s">
        <v>184</v>
      </c>
      <c r="U13" s="88" t="s">
        <v>209</v>
      </c>
      <c r="V13" s="20">
        <v>24000</v>
      </c>
      <c r="W13" s="89"/>
      <c r="X13" s="89"/>
      <c r="Y13" s="89"/>
      <c r="Z13" s="89"/>
      <c r="AA13" s="89"/>
      <c r="AB13" s="89"/>
      <c r="AC13" s="89"/>
      <c r="AD13" s="89">
        <v>30</v>
      </c>
      <c r="AE13" s="89"/>
      <c r="AF13" s="89"/>
      <c r="AG13" s="91"/>
      <c r="AH13" s="89"/>
      <c r="AI13" s="89"/>
      <c r="AJ13" s="89"/>
      <c r="AK13" s="89"/>
      <c r="AL13" s="91"/>
      <c r="AM13" s="89"/>
      <c r="AN13" s="89"/>
      <c r="AO13" s="89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81"/>
      <c r="BD13" s="81"/>
      <c r="BE13" s="81"/>
      <c r="BF13" s="81"/>
      <c r="BG13" s="81"/>
      <c r="BH13" s="81"/>
      <c r="BI13" s="81"/>
      <c r="BJ13" s="81"/>
      <c r="BK13" s="81"/>
      <c r="BL13" s="81"/>
      <c r="BM13" s="81"/>
      <c r="BN13" s="81"/>
      <c r="BO13" s="81"/>
      <c r="BP13" s="81"/>
      <c r="BQ13" s="81"/>
      <c r="BR13" s="81"/>
      <c r="BS13" s="81"/>
      <c r="BT13" s="81"/>
      <c r="BU13" s="81"/>
      <c r="BV13" s="81"/>
      <c r="BW13" s="81"/>
      <c r="BX13" s="81"/>
      <c r="BY13" s="81"/>
      <c r="BZ13" s="81"/>
      <c r="CA13" s="81"/>
      <c r="CB13" s="81"/>
      <c r="CC13" s="81"/>
      <c r="CD13" s="81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InitUnitState('E011',24000,,,,,,,,30,)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InitEquipData('E011',,"",,E012,6000,80,'','','','','','',"ReplaceableTextures\\CommandButtons\\BTNZ03.blp")</v>
      </c>
      <c r="CS13" s="96"/>
      <c r="CT13" s="96"/>
      <c r="CU13" s="98" t="str">
        <f t="shared" si="78"/>
        <v>|n攻击+24000|n攻速+30%|n吸血+6%|n</v>
      </c>
      <c r="CV13" s="7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5"/>
      <c r="Q14" s="85"/>
      <c r="R14" s="85"/>
      <c r="S14" s="85"/>
      <c r="T14" s="87" t="s">
        <v>184</v>
      </c>
      <c r="U14" s="88" t="s">
        <v>209</v>
      </c>
      <c r="V14" s="20">
        <v>28000</v>
      </c>
      <c r="W14" s="89"/>
      <c r="X14" s="89"/>
      <c r="Y14" s="89"/>
      <c r="Z14" s="89"/>
      <c r="AA14" s="89"/>
      <c r="AB14" s="89"/>
      <c r="AC14" s="89"/>
      <c r="AD14" s="89">
        <v>30</v>
      </c>
      <c r="AE14" s="89"/>
      <c r="AF14" s="89"/>
      <c r="AG14" s="91"/>
      <c r="AH14" s="89"/>
      <c r="AI14" s="89"/>
      <c r="AJ14" s="89"/>
      <c r="AK14" s="89"/>
      <c r="AL14" s="91"/>
      <c r="AM14" s="89"/>
      <c r="AN14" s="89"/>
      <c r="AO14" s="89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81"/>
      <c r="BD14" s="81"/>
      <c r="BE14" s="81"/>
      <c r="BF14" s="81"/>
      <c r="BG14" s="81"/>
      <c r="BH14" s="81"/>
      <c r="BI14" s="81"/>
      <c r="BJ14" s="81"/>
      <c r="BK14" s="81"/>
      <c r="BL14" s="81"/>
      <c r="BM14" s="81"/>
      <c r="BN14" s="81"/>
      <c r="BO14" s="81"/>
      <c r="BP14" s="81"/>
      <c r="BQ14" s="81"/>
      <c r="BR14" s="81"/>
      <c r="BS14" s="81"/>
      <c r="BT14" s="81"/>
      <c r="BU14" s="81"/>
      <c r="BV14" s="81"/>
      <c r="BW14" s="81"/>
      <c r="BX14" s="81"/>
      <c r="BY14" s="81"/>
      <c r="BZ14" s="81"/>
      <c r="CA14" s="81"/>
      <c r="CB14" s="81"/>
      <c r="CC14" s="81"/>
      <c r="CD14" s="81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InitUnitState('E012',28000,,,,,,,,30,)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InitEquipData('E012',,"",,E013,6000,80,'','','','','','',"ReplaceableTextures\\CommandButtons\\BTNZ03.blp")</v>
      </c>
      <c r="CS14" s="96"/>
      <c r="CT14" s="96"/>
      <c r="CU14" s="98" t="str">
        <f t="shared" si="78"/>
        <v>|n攻击+28000|n攻速+30%|n吸血+6%|n</v>
      </c>
      <c r="CV14" s="7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5"/>
      <c r="Q15" s="85"/>
      <c r="R15" s="85"/>
      <c r="S15" s="85"/>
      <c r="T15" s="87" t="s">
        <v>184</v>
      </c>
      <c r="U15" s="88" t="s">
        <v>209</v>
      </c>
      <c r="V15" s="20">
        <v>32000</v>
      </c>
      <c r="W15" s="89"/>
      <c r="X15" s="89"/>
      <c r="Y15" s="89"/>
      <c r="Z15" s="89"/>
      <c r="AA15" s="89"/>
      <c r="AB15" s="89"/>
      <c r="AC15" s="89"/>
      <c r="AD15" s="89">
        <v>30</v>
      </c>
      <c r="AE15" s="89"/>
      <c r="AF15" s="89"/>
      <c r="AG15" s="91"/>
      <c r="AH15" s="89"/>
      <c r="AI15" s="89"/>
      <c r="AJ15" s="89"/>
      <c r="AK15" s="89"/>
      <c r="AL15" s="91"/>
      <c r="AM15" s="89"/>
      <c r="AN15" s="89"/>
      <c r="AO15" s="89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T15" s="81"/>
      <c r="BU15" s="81"/>
      <c r="BV15" s="81"/>
      <c r="BW15" s="81"/>
      <c r="BX15" s="81"/>
      <c r="BY15" s="81"/>
      <c r="BZ15" s="81"/>
      <c r="CA15" s="81"/>
      <c r="CB15" s="81"/>
      <c r="CC15" s="81"/>
      <c r="CD15" s="81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InitUnitState('E013',32000,,,,,,,,30,)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InitEquipData('E013',,"",,E014,6000,80,'','','','','','',"ReplaceableTextures\\CommandButtons\\BTNZ03.blp")</v>
      </c>
      <c r="CS15" s="96"/>
      <c r="CT15" s="96"/>
      <c r="CU15" s="98" t="str">
        <f t="shared" si="78"/>
        <v>|n攻击+32000|n攻速+30%|n吸血+6%|n</v>
      </c>
      <c r="CV15" s="7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5"/>
      <c r="Q16" s="85"/>
      <c r="R16" s="85"/>
      <c r="S16" s="85"/>
      <c r="T16" s="87" t="s">
        <v>184</v>
      </c>
      <c r="U16" s="88" t="s">
        <v>209</v>
      </c>
      <c r="V16" s="20">
        <v>40000</v>
      </c>
      <c r="W16" s="89"/>
      <c r="X16" s="89"/>
      <c r="Y16" s="89"/>
      <c r="Z16" s="89"/>
      <c r="AA16" s="89"/>
      <c r="AB16" s="89"/>
      <c r="AC16" s="89"/>
      <c r="AD16" s="89">
        <v>30</v>
      </c>
      <c r="AE16" s="89"/>
      <c r="AF16" s="89"/>
      <c r="AG16" s="91"/>
      <c r="AH16" s="89"/>
      <c r="AI16" s="89"/>
      <c r="AJ16" s="89"/>
      <c r="AK16" s="89"/>
      <c r="AL16" s="91"/>
      <c r="AM16" s="89"/>
      <c r="AN16" s="89"/>
      <c r="AO16" s="89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81"/>
      <c r="BD16" s="81"/>
      <c r="BE16" s="81"/>
      <c r="BF16" s="81"/>
      <c r="BG16" s="81"/>
      <c r="BH16" s="81"/>
      <c r="BI16" s="81"/>
      <c r="BJ16" s="81"/>
      <c r="BK16" s="81"/>
      <c r="BL16" s="81"/>
      <c r="BM16" s="81"/>
      <c r="BN16" s="81"/>
      <c r="BO16" s="81"/>
      <c r="BP16" s="81"/>
      <c r="BQ16" s="81"/>
      <c r="BR16" s="81"/>
      <c r="BS16" s="81"/>
      <c r="BT16" s="81"/>
      <c r="BU16" s="81"/>
      <c r="BV16" s="81"/>
      <c r="BW16" s="81"/>
      <c r="BX16" s="81"/>
      <c r="BY16" s="81"/>
      <c r="BZ16" s="81"/>
      <c r="CA16" s="81"/>
      <c r="CB16" s="81"/>
      <c r="CC16" s="81"/>
      <c r="CD16" s="81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InitUnitState('E014',40000,,,,,,,,30,)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InitEquipData('E014',,"",,E015,6000,80,'','','','','','',"ReplaceableTextures\\CommandButtons\\BTNZ03.blp")</v>
      </c>
      <c r="CS16" s="96"/>
      <c r="CT16" s="96"/>
      <c r="CU16" s="98" t="str">
        <f t="shared" si="78"/>
        <v>|n攻击+40000|n攻速+30%|n吸血+6%|n</v>
      </c>
      <c r="CV16" s="7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5"/>
      <c r="Q17" s="85"/>
      <c r="R17" s="85"/>
      <c r="S17" s="85"/>
      <c r="T17" s="87" t="s">
        <v>184</v>
      </c>
      <c r="U17" s="88" t="s">
        <v>209</v>
      </c>
      <c r="V17" s="20">
        <v>48000</v>
      </c>
      <c r="W17" s="89"/>
      <c r="X17" s="89"/>
      <c r="Y17" s="89"/>
      <c r="Z17" s="89"/>
      <c r="AA17" s="89"/>
      <c r="AB17" s="89"/>
      <c r="AC17" s="89"/>
      <c r="AD17" s="89">
        <v>30</v>
      </c>
      <c r="AE17" s="89"/>
      <c r="AF17" s="89"/>
      <c r="AG17" s="91"/>
      <c r="AH17" s="89"/>
      <c r="AI17" s="89"/>
      <c r="AJ17" s="89"/>
      <c r="AK17" s="89"/>
      <c r="AL17" s="91"/>
      <c r="AM17" s="89"/>
      <c r="AN17" s="89"/>
      <c r="AO17" s="89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81"/>
      <c r="BD17" s="81"/>
      <c r="BE17" s="81"/>
      <c r="BF17" s="81"/>
      <c r="BG17" s="81"/>
      <c r="BH17" s="81"/>
      <c r="BI17" s="81"/>
      <c r="BJ17" s="81"/>
      <c r="BK17" s="81"/>
      <c r="BL17" s="81"/>
      <c r="BM17" s="81"/>
      <c r="BN17" s="81"/>
      <c r="BO17" s="81"/>
      <c r="BP17" s="81"/>
      <c r="BQ17" s="81"/>
      <c r="BR17" s="81"/>
      <c r="BS17" s="81"/>
      <c r="BT17" s="81"/>
      <c r="BU17" s="81"/>
      <c r="BV17" s="81"/>
      <c r="BW17" s="81"/>
      <c r="BX17" s="81"/>
      <c r="BY17" s="81"/>
      <c r="BZ17" s="81"/>
      <c r="CA17" s="81"/>
      <c r="CB17" s="81"/>
      <c r="CC17" s="81"/>
      <c r="CD17" s="81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InitUnitState('E015',48000,,,,,,,,30,)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6"/>
      <c r="CT17" s="96"/>
      <c r="CU17" s="98" t="str">
        <f t="shared" si="78"/>
        <v>|n攻击+48000|n攻速+30%|n吸血+6%|n</v>
      </c>
      <c r="CV17" s="7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5"/>
      <c r="Q18" s="85"/>
      <c r="R18" s="85"/>
      <c r="S18" s="85"/>
      <c r="T18" s="87" t="s">
        <v>184</v>
      </c>
      <c r="U18" s="88" t="s">
        <v>1029</v>
      </c>
      <c r="V18" s="20">
        <v>72000</v>
      </c>
      <c r="W18" s="89"/>
      <c r="X18" s="89"/>
      <c r="Y18" s="89"/>
      <c r="Z18" s="89"/>
      <c r="AA18" s="89"/>
      <c r="AB18" s="89"/>
      <c r="AC18" s="89"/>
      <c r="AD18" s="89">
        <v>40</v>
      </c>
      <c r="AE18" s="89"/>
      <c r="AF18" s="89"/>
      <c r="AG18" s="91"/>
      <c r="AH18" s="89"/>
      <c r="AI18" s="89"/>
      <c r="AJ18" s="89"/>
      <c r="AK18" s="89"/>
      <c r="AL18" s="91"/>
      <c r="AM18" s="89"/>
      <c r="AN18" s="89"/>
      <c r="AO18" s="89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81"/>
      <c r="BD18" s="81"/>
      <c r="BE18" s="81"/>
      <c r="BF18" s="81"/>
      <c r="BG18" s="81"/>
      <c r="BH18" s="81"/>
      <c r="BI18" s="81"/>
      <c r="BJ18" s="81"/>
      <c r="BK18" s="81"/>
      <c r="BL18" s="81"/>
      <c r="BM18" s="81"/>
      <c r="BN18" s="81"/>
      <c r="BO18" s="81"/>
      <c r="BP18" s="81"/>
      <c r="BQ18" s="81"/>
      <c r="BR18" s="81"/>
      <c r="BS18" s="81"/>
      <c r="BT18" s="81"/>
      <c r="BU18" s="81"/>
      <c r="BV18" s="81"/>
      <c r="BW18" s="81"/>
      <c r="BX18" s="81"/>
      <c r="BY18" s="81"/>
      <c r="BZ18" s="81"/>
      <c r="CA18" s="81"/>
      <c r="CB18" s="81"/>
      <c r="CC18" s="81"/>
      <c r="CD18" s="81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6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6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6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6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6"/>
      <c r="CT18" s="96"/>
      <c r="CU18" s="98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7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5">
      <c r="A19" s="73"/>
      <c r="B19" s="74" t="s">
        <v>221</v>
      </c>
      <c r="C19" s="73" t="s">
        <v>222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5"/>
      <c r="Q19" s="85"/>
      <c r="R19" s="85"/>
      <c r="S19" s="85"/>
      <c r="T19" s="87" t="s">
        <v>184</v>
      </c>
      <c r="U19" s="88" t="s">
        <v>1029</v>
      </c>
      <c r="V19" s="20">
        <v>84000</v>
      </c>
      <c r="W19" s="89"/>
      <c r="X19" s="89"/>
      <c r="Y19" s="89"/>
      <c r="Z19" s="89"/>
      <c r="AA19" s="89"/>
      <c r="AB19" s="89"/>
      <c r="AC19" s="89"/>
      <c r="AD19" s="89">
        <v>40</v>
      </c>
      <c r="AE19" s="89"/>
      <c r="AF19" s="89"/>
      <c r="AG19" s="91"/>
      <c r="AH19" s="89"/>
      <c r="AI19" s="89"/>
      <c r="AJ19" s="89"/>
      <c r="AK19" s="89"/>
      <c r="AL19" s="91"/>
      <c r="AM19" s="89"/>
      <c r="AN19" s="89"/>
      <c r="AO19" s="89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81"/>
      <c r="BD19" s="81"/>
      <c r="BE19" s="81"/>
      <c r="BF19" s="81"/>
      <c r="BG19" s="81"/>
      <c r="BH19" s="81"/>
      <c r="BI19" s="81"/>
      <c r="BJ19" s="81"/>
      <c r="BK19" s="81"/>
      <c r="BL19" s="81"/>
      <c r="BM19" s="81"/>
      <c r="BN19" s="81"/>
      <c r="BO19" s="81"/>
      <c r="BP19" s="81"/>
      <c r="BQ19" s="81"/>
      <c r="BR19" s="81"/>
      <c r="BS19" s="81"/>
      <c r="BT19" s="81"/>
      <c r="BU19" s="81"/>
      <c r="BV19" s="81"/>
      <c r="BW19" s="81"/>
      <c r="BX19" s="81"/>
      <c r="BY19" s="81"/>
      <c r="BZ19" s="81"/>
      <c r="CA19" s="81"/>
      <c r="CB19" s="81"/>
      <c r="CC19" s="81"/>
      <c r="CD19" s="81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19"/>
        <v>InitUnitState('E017',84000,,,,,,,,40,)</v>
      </c>
      <c r="CO19" s="96" t="str">
        <f t="shared" si="220"/>
        <v>InitUnitNormal('E017',,,,,,,,,,)</v>
      </c>
      <c r="CP19" s="96" t="str">
        <f t="shared" si="221"/>
        <v>InitUnitMagic('E017',8,,,,,,,,,)</v>
      </c>
      <c r="CQ19" s="96" t="str">
        <f t="shared" si="222"/>
        <v>InitUnitAdd('E017',,,,,,,,,,)</v>
      </c>
      <c r="CR19" s="96" t="str">
        <f t="shared" si="223"/>
        <v>InitEquipData('E017',,"",,E018,10000,70,'','','','','','',"ReplaceableTextures\\CommandButtons\\BTNZ21.blp")</v>
      </c>
      <c r="CS19" s="96"/>
      <c r="CT19" s="96"/>
      <c r="CU19" s="98" t="str">
        <f t="shared" si="224"/>
        <v>|n攻击+84000|n攻速+40%|n吸血+8%|n</v>
      </c>
      <c r="CV19" s="7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5">
      <c r="A20" s="73"/>
      <c r="B20" s="74" t="s">
        <v>223</v>
      </c>
      <c r="C20" s="73" t="s">
        <v>224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5"/>
      <c r="Q20" s="85"/>
      <c r="R20" s="85"/>
      <c r="S20" s="85"/>
      <c r="T20" s="87" t="s">
        <v>184</v>
      </c>
      <c r="U20" s="88" t="s">
        <v>1029</v>
      </c>
      <c r="V20" s="20">
        <v>96000</v>
      </c>
      <c r="W20" s="89"/>
      <c r="X20" s="89"/>
      <c r="Y20" s="89"/>
      <c r="Z20" s="89"/>
      <c r="AA20" s="89"/>
      <c r="AB20" s="89"/>
      <c r="AC20" s="89"/>
      <c r="AD20" s="89">
        <v>40</v>
      </c>
      <c r="AE20" s="89"/>
      <c r="AF20" s="89"/>
      <c r="AG20" s="91"/>
      <c r="AH20" s="89"/>
      <c r="AI20" s="89"/>
      <c r="AJ20" s="89"/>
      <c r="AK20" s="89"/>
      <c r="AL20" s="91"/>
      <c r="AM20" s="89"/>
      <c r="AN20" s="89"/>
      <c r="AO20" s="89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81"/>
      <c r="BD20" s="81"/>
      <c r="BE20" s="81"/>
      <c r="BF20" s="81"/>
      <c r="BG20" s="81"/>
      <c r="BH20" s="81"/>
      <c r="BI20" s="81"/>
      <c r="BJ20" s="81"/>
      <c r="BK20" s="81"/>
      <c r="BL20" s="81"/>
      <c r="BM20" s="81"/>
      <c r="BN20" s="81"/>
      <c r="BO20" s="81"/>
      <c r="BP20" s="81"/>
      <c r="BQ20" s="81"/>
      <c r="BR20" s="81"/>
      <c r="BS20" s="81"/>
      <c r="BT20" s="81"/>
      <c r="BU20" s="81"/>
      <c r="BV20" s="81"/>
      <c r="BW20" s="81"/>
      <c r="BX20" s="81"/>
      <c r="BY20" s="81"/>
      <c r="BZ20" s="81"/>
      <c r="CA20" s="81"/>
      <c r="CB20" s="81"/>
      <c r="CC20" s="81"/>
      <c r="CD20" s="81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19"/>
        <v>InitUnitState('E018',96000,,,,,,,,40,)</v>
      </c>
      <c r="CO20" s="96" t="str">
        <f t="shared" si="220"/>
        <v>InitUnitNormal('E018',,,,,,,,,,)</v>
      </c>
      <c r="CP20" s="96" t="str">
        <f t="shared" si="221"/>
        <v>InitUnitMagic('E018',8,,,,,,,,,)</v>
      </c>
      <c r="CQ20" s="96" t="str">
        <f t="shared" si="222"/>
        <v>InitUnitAdd('E018',,,,,,,,,,)</v>
      </c>
      <c r="CR20" s="96" t="str">
        <f t="shared" si="223"/>
        <v>InitEquipData('E018',,"",,E019,10000,70,'','','','','','',"ReplaceableTextures\\CommandButtons\\BTNZ21.blp")</v>
      </c>
      <c r="CS20" s="96"/>
      <c r="CT20" s="96"/>
      <c r="CU20" s="98" t="str">
        <f t="shared" si="224"/>
        <v>|n攻击+96000|n攻速+40%|n吸血+8%|n</v>
      </c>
      <c r="CV20" s="7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5">
      <c r="A21" s="73"/>
      <c r="B21" s="74" t="s">
        <v>225</v>
      </c>
      <c r="C21" s="73" t="s">
        <v>226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5"/>
      <c r="Q21" s="85"/>
      <c r="R21" s="85"/>
      <c r="S21" s="85"/>
      <c r="T21" s="87" t="s">
        <v>184</v>
      </c>
      <c r="U21" s="88" t="s">
        <v>1029</v>
      </c>
      <c r="V21" s="20">
        <v>108000</v>
      </c>
      <c r="W21" s="89"/>
      <c r="X21" s="89"/>
      <c r="Y21" s="89"/>
      <c r="Z21" s="89"/>
      <c r="AA21" s="89"/>
      <c r="AB21" s="89"/>
      <c r="AC21" s="89"/>
      <c r="AD21" s="89">
        <v>40</v>
      </c>
      <c r="AE21" s="89"/>
      <c r="AF21" s="89"/>
      <c r="AG21" s="91"/>
      <c r="AH21" s="89"/>
      <c r="AI21" s="89"/>
      <c r="AJ21" s="89"/>
      <c r="AK21" s="89"/>
      <c r="AL21" s="91"/>
      <c r="AM21" s="89"/>
      <c r="AN21" s="89"/>
      <c r="AO21" s="89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81"/>
      <c r="BD21" s="81"/>
      <c r="BE21" s="81"/>
      <c r="BF21" s="81"/>
      <c r="BG21" s="81"/>
      <c r="BH21" s="81"/>
      <c r="BI21" s="81"/>
      <c r="BJ21" s="81"/>
      <c r="BK21" s="81"/>
      <c r="BL21" s="81"/>
      <c r="BM21" s="81"/>
      <c r="BN21" s="81"/>
      <c r="BO21" s="81"/>
      <c r="BP21" s="81"/>
      <c r="BQ21" s="81"/>
      <c r="BR21" s="81"/>
      <c r="BS21" s="81"/>
      <c r="BT21" s="81"/>
      <c r="BU21" s="81"/>
      <c r="BV21" s="81"/>
      <c r="BW21" s="81"/>
      <c r="BX21" s="81"/>
      <c r="BY21" s="81"/>
      <c r="BZ21" s="81"/>
      <c r="CA21" s="81"/>
      <c r="CB21" s="81"/>
      <c r="CC21" s="81"/>
      <c r="CD21" s="81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19"/>
        <v>InitUnitState('E019',108000,,,,,,,,40,)</v>
      </c>
      <c r="CO21" s="96" t="str">
        <f t="shared" si="220"/>
        <v>InitUnitNormal('E019',,,,,,,,,,)</v>
      </c>
      <c r="CP21" s="96" t="str">
        <f t="shared" si="221"/>
        <v>InitUnitMagic('E019',8,,,,,,,,,)</v>
      </c>
      <c r="CQ21" s="96" t="str">
        <f t="shared" si="222"/>
        <v>InitUnitAdd('E019',,,,,,,,,,)</v>
      </c>
      <c r="CR21" s="96" t="str">
        <f t="shared" si="223"/>
        <v>InitEquipData('E019',,"",,E020,10000,70,'','','','','','',"ReplaceableTextures\\CommandButtons\\BTNZ21.blp")</v>
      </c>
      <c r="CS21" s="96"/>
      <c r="CT21" s="96"/>
      <c r="CU21" s="98" t="str">
        <f t="shared" si="224"/>
        <v>|n攻击+108000|n攻速+40%|n吸血+8%|n</v>
      </c>
      <c r="CV21" s="7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5">
      <c r="A22" s="73"/>
      <c r="B22" s="74" t="s">
        <v>227</v>
      </c>
      <c r="C22" s="73" t="s">
        <v>228</v>
      </c>
      <c r="D22" s="75"/>
      <c r="E22" s="76"/>
      <c r="F22" s="77">
        <v>30000</v>
      </c>
      <c r="G22" s="78">
        <v>100</v>
      </c>
      <c r="H22" s="79" t="s">
        <v>229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5"/>
      <c r="Q22" s="85"/>
      <c r="R22" s="85"/>
      <c r="S22" s="85"/>
      <c r="T22" s="87" t="s">
        <v>184</v>
      </c>
      <c r="U22" s="88" t="s">
        <v>1029</v>
      </c>
      <c r="V22" s="20">
        <v>120000</v>
      </c>
      <c r="W22" s="89"/>
      <c r="X22" s="89"/>
      <c r="Y22" s="89"/>
      <c r="Z22" s="89"/>
      <c r="AA22" s="89"/>
      <c r="AB22" s="89"/>
      <c r="AC22" s="89"/>
      <c r="AD22" s="89">
        <v>40</v>
      </c>
      <c r="AE22" s="89"/>
      <c r="AF22" s="89"/>
      <c r="AG22" s="91"/>
      <c r="AH22" s="89"/>
      <c r="AI22" s="89"/>
      <c r="AJ22" s="89"/>
      <c r="AK22" s="89"/>
      <c r="AL22" s="91"/>
      <c r="AM22" s="89"/>
      <c r="AN22" s="89"/>
      <c r="AO22" s="89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81"/>
      <c r="BD22" s="81"/>
      <c r="BE22" s="81"/>
      <c r="BF22" s="81"/>
      <c r="BG22" s="81"/>
      <c r="BH22" s="81"/>
      <c r="BI22" s="81"/>
      <c r="BJ22" s="81"/>
      <c r="BK22" s="81"/>
      <c r="BL22" s="81"/>
      <c r="BM22" s="81"/>
      <c r="BN22" s="81"/>
      <c r="BO22" s="81"/>
      <c r="BP22" s="81"/>
      <c r="BQ22" s="81"/>
      <c r="BR22" s="81"/>
      <c r="BS22" s="81"/>
      <c r="BT22" s="81"/>
      <c r="BU22" s="81"/>
      <c r="BV22" s="81"/>
      <c r="BW22" s="81"/>
      <c r="BX22" s="81"/>
      <c r="BY22" s="81"/>
      <c r="BZ22" s="81"/>
      <c r="CA22" s="81"/>
      <c r="CB22" s="81"/>
      <c r="CC22" s="81"/>
      <c r="CD22" s="81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19"/>
        <v>InitUnitState('E020',120000,,,,,,,,40,)</v>
      </c>
      <c r="CO22" s="96" t="str">
        <f t="shared" si="220"/>
        <v>InitUnitNormal('E020',,,,,,,,,,)</v>
      </c>
      <c r="CP22" s="96" t="str">
        <f t="shared" si="221"/>
        <v>InitUnitMagic('E020',8,,,,,,,,,)</v>
      </c>
      <c r="CQ22" s="96" t="str">
        <f t="shared" si="222"/>
        <v>InitUnitAdd('E020',,,,,,,,,,)</v>
      </c>
      <c r="CR22" s="96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6"/>
      <c r="CT22" s="96"/>
      <c r="CU22" s="98" t="str">
        <f t="shared" si="224"/>
        <v>|n攻击+120000|n攻速+40%|n吸血+8%|n</v>
      </c>
      <c r="CV22" s="7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5">
      <c r="A23" s="73"/>
      <c r="B23" s="74" t="s">
        <v>230</v>
      </c>
      <c r="C23" s="73" t="s">
        <v>231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5"/>
      <c r="Q23" s="85"/>
      <c r="R23" s="85"/>
      <c r="S23" s="85"/>
      <c r="T23" s="87" t="s">
        <v>184</v>
      </c>
      <c r="U23" s="88" t="s">
        <v>232</v>
      </c>
      <c r="V23" s="20">
        <v>160000</v>
      </c>
      <c r="W23" s="89"/>
      <c r="X23" s="89"/>
      <c r="Y23" s="89"/>
      <c r="Z23" s="89"/>
      <c r="AA23" s="89"/>
      <c r="AB23" s="89"/>
      <c r="AC23" s="89"/>
      <c r="AD23" s="89">
        <v>50</v>
      </c>
      <c r="AE23" s="89"/>
      <c r="AF23" s="89"/>
      <c r="AG23" s="91"/>
      <c r="AH23" s="89"/>
      <c r="AI23" s="89"/>
      <c r="AJ23" s="89"/>
      <c r="AK23" s="89"/>
      <c r="AL23" s="91"/>
      <c r="AM23" s="89"/>
      <c r="AN23" s="89"/>
      <c r="AO23" s="89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81"/>
      <c r="BD23" s="81"/>
      <c r="BE23" s="81"/>
      <c r="BF23" s="81"/>
      <c r="BG23" s="81"/>
      <c r="BH23" s="81"/>
      <c r="BI23" s="81"/>
      <c r="BJ23" s="81"/>
      <c r="BK23" s="81"/>
      <c r="BL23" s="81"/>
      <c r="BM23" s="81"/>
      <c r="BN23" s="81"/>
      <c r="BO23" s="81"/>
      <c r="BP23" s="81"/>
      <c r="BQ23" s="81"/>
      <c r="BR23" s="81"/>
      <c r="BS23" s="81"/>
      <c r="BT23" s="81"/>
      <c r="BU23" s="81"/>
      <c r="BV23" s="81"/>
      <c r="BW23" s="81"/>
      <c r="BX23" s="81"/>
      <c r="BY23" s="81"/>
      <c r="BZ23" s="81"/>
      <c r="CA23" s="81"/>
      <c r="CB23" s="81"/>
      <c r="CC23" s="81"/>
      <c r="CD23" s="81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InitUnitState('E021',160000,,,,,,,,50,)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InitEquipData('E021',,"",,E022,20000,60,'','','','','','',"ReplaceableTextures\\CommandButtons\\BTNZ04.blp")</v>
      </c>
      <c r="CS23" s="96"/>
      <c r="CT23" s="96"/>
      <c r="CU23" s="98" t="str">
        <f t="shared" si="78"/>
        <v>|n攻击+160000|n攻速+50%|n吸血+10%|n</v>
      </c>
      <c r="CV23" s="7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5">
      <c r="A24" s="73"/>
      <c r="B24" s="74" t="s">
        <v>233</v>
      </c>
      <c r="C24" s="73" t="s">
        <v>234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5"/>
      <c r="Q24" s="85"/>
      <c r="R24" s="85"/>
      <c r="S24" s="85"/>
      <c r="T24" s="87" t="s">
        <v>184</v>
      </c>
      <c r="U24" s="88" t="s">
        <v>232</v>
      </c>
      <c r="V24" s="20">
        <v>180000</v>
      </c>
      <c r="W24" s="89"/>
      <c r="X24" s="89"/>
      <c r="Y24" s="89"/>
      <c r="Z24" s="89"/>
      <c r="AA24" s="89"/>
      <c r="AB24" s="89"/>
      <c r="AC24" s="89"/>
      <c r="AD24" s="89">
        <v>50</v>
      </c>
      <c r="AE24" s="89"/>
      <c r="AF24" s="89"/>
      <c r="AG24" s="91"/>
      <c r="AH24" s="89"/>
      <c r="AI24" s="89"/>
      <c r="AJ24" s="89"/>
      <c r="AK24" s="89"/>
      <c r="AL24" s="91"/>
      <c r="AM24" s="89"/>
      <c r="AN24" s="89"/>
      <c r="AO24" s="89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81"/>
      <c r="BD24" s="81"/>
      <c r="BE24" s="81"/>
      <c r="BF24" s="81"/>
      <c r="BG24" s="81"/>
      <c r="BH24" s="81"/>
      <c r="BI24" s="81"/>
      <c r="BJ24" s="81"/>
      <c r="BK24" s="81"/>
      <c r="BL24" s="81"/>
      <c r="BM24" s="81"/>
      <c r="BN24" s="81"/>
      <c r="BO24" s="81"/>
      <c r="BP24" s="81"/>
      <c r="BQ24" s="81"/>
      <c r="BR24" s="81"/>
      <c r="BS24" s="81"/>
      <c r="BT24" s="81"/>
      <c r="BU24" s="81"/>
      <c r="BV24" s="81"/>
      <c r="BW24" s="81"/>
      <c r="BX24" s="81"/>
      <c r="BY24" s="81"/>
      <c r="BZ24" s="81"/>
      <c r="CA24" s="81"/>
      <c r="CB24" s="81"/>
      <c r="CC24" s="81"/>
      <c r="CD24" s="81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InitUnitState('E022',180000,,,,,,,,50,)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InitEquipData('E022',,"",,E023,20000,60,'','','','','','',"ReplaceableTextures\\CommandButtons\\BTNZ04.blp")</v>
      </c>
      <c r="CS24" s="96"/>
      <c r="CT24" s="96"/>
      <c r="CU24" s="98" t="str">
        <f t="shared" si="78"/>
        <v>|n攻击+180000|n攻速+50%|n吸血+10%|n</v>
      </c>
      <c r="CV24" s="7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5">
      <c r="A25" s="73"/>
      <c r="B25" s="74" t="s">
        <v>235</v>
      </c>
      <c r="C25" s="73" t="s">
        <v>236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5"/>
      <c r="Q25" s="85"/>
      <c r="R25" s="85"/>
      <c r="S25" s="85"/>
      <c r="T25" s="87" t="s">
        <v>184</v>
      </c>
      <c r="U25" s="88" t="s">
        <v>232</v>
      </c>
      <c r="V25" s="20">
        <v>200000</v>
      </c>
      <c r="W25" s="89"/>
      <c r="X25" s="89"/>
      <c r="Y25" s="89"/>
      <c r="Z25" s="89"/>
      <c r="AA25" s="89"/>
      <c r="AB25" s="89"/>
      <c r="AC25" s="89"/>
      <c r="AD25" s="89">
        <v>50</v>
      </c>
      <c r="AE25" s="89"/>
      <c r="AF25" s="89"/>
      <c r="AG25" s="91"/>
      <c r="AH25" s="89"/>
      <c r="AI25" s="89"/>
      <c r="AJ25" s="89"/>
      <c r="AK25" s="89"/>
      <c r="AL25" s="91"/>
      <c r="AM25" s="89"/>
      <c r="AN25" s="89"/>
      <c r="AO25" s="89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81"/>
      <c r="BD25" s="81"/>
      <c r="BE25" s="81"/>
      <c r="BF25" s="81"/>
      <c r="BG25" s="81"/>
      <c r="BH25" s="81"/>
      <c r="BI25" s="81"/>
      <c r="BJ25" s="81"/>
      <c r="BK25" s="81"/>
      <c r="BL25" s="81"/>
      <c r="BM25" s="81"/>
      <c r="BN25" s="81"/>
      <c r="BO25" s="81"/>
      <c r="BP25" s="81"/>
      <c r="BQ25" s="81"/>
      <c r="BR25" s="81"/>
      <c r="BS25" s="81"/>
      <c r="BT25" s="81"/>
      <c r="BU25" s="81"/>
      <c r="BV25" s="81"/>
      <c r="BW25" s="81"/>
      <c r="BX25" s="81"/>
      <c r="BY25" s="81"/>
      <c r="BZ25" s="81"/>
      <c r="CA25" s="81"/>
      <c r="CB25" s="81"/>
      <c r="CC25" s="81"/>
      <c r="CD25" s="81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InitUnitState('E023',200000,,,,,,,,50,)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InitEquipData('E023',,"",,E024,20000,60,'','','','','','',"ReplaceableTextures\\CommandButtons\\BTNZ04.blp")</v>
      </c>
      <c r="CS25" s="96"/>
      <c r="CT25" s="96"/>
      <c r="CU25" s="98" t="str">
        <f t="shared" si="78"/>
        <v>|n攻击+200000|n攻速+50%|n吸血+10%|n</v>
      </c>
      <c r="CV25" s="7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5">
      <c r="A26" s="73"/>
      <c r="B26" s="74" t="s">
        <v>237</v>
      </c>
      <c r="C26" s="73" t="s">
        <v>238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5"/>
      <c r="Q26" s="85"/>
      <c r="R26" s="85"/>
      <c r="S26" s="85"/>
      <c r="T26" s="87" t="s">
        <v>184</v>
      </c>
      <c r="U26" s="88" t="s">
        <v>232</v>
      </c>
      <c r="V26" s="20">
        <v>220000</v>
      </c>
      <c r="W26" s="89"/>
      <c r="X26" s="89"/>
      <c r="Y26" s="89"/>
      <c r="Z26" s="89"/>
      <c r="AA26" s="89"/>
      <c r="AB26" s="89"/>
      <c r="AC26" s="89"/>
      <c r="AD26" s="89">
        <v>50</v>
      </c>
      <c r="AE26" s="89"/>
      <c r="AF26" s="89"/>
      <c r="AG26" s="91"/>
      <c r="AH26" s="89"/>
      <c r="AI26" s="89"/>
      <c r="AJ26" s="89"/>
      <c r="AK26" s="89"/>
      <c r="AL26" s="91"/>
      <c r="AM26" s="89"/>
      <c r="AN26" s="89"/>
      <c r="AO26" s="89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81"/>
      <c r="BD26" s="81"/>
      <c r="BE26" s="81"/>
      <c r="BF26" s="81"/>
      <c r="BG26" s="81"/>
      <c r="BH26" s="81"/>
      <c r="BI26" s="81"/>
      <c r="BJ26" s="81"/>
      <c r="BK26" s="81"/>
      <c r="BL26" s="81"/>
      <c r="BM26" s="81"/>
      <c r="BN26" s="81"/>
      <c r="BO26" s="81"/>
      <c r="BP26" s="81"/>
      <c r="BQ26" s="81"/>
      <c r="BR26" s="81"/>
      <c r="BS26" s="81"/>
      <c r="BT26" s="81"/>
      <c r="BU26" s="81"/>
      <c r="BV26" s="81"/>
      <c r="BW26" s="81"/>
      <c r="BX26" s="81"/>
      <c r="BY26" s="81"/>
      <c r="BZ26" s="81"/>
      <c r="CA26" s="81"/>
      <c r="CB26" s="81"/>
      <c r="CC26" s="81"/>
      <c r="CD26" s="81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InitUnitState('E024',220000,,,,,,,,50,)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InitEquipData('E024',,"",,E025,20000,60,'','','','','','',"ReplaceableTextures\\CommandButtons\\BTNZ04.blp")</v>
      </c>
      <c r="CS26" s="96"/>
      <c r="CT26" s="96"/>
      <c r="CU26" s="98" t="str">
        <f t="shared" si="78"/>
        <v>|n攻击+220000|n攻速+50%|n吸血+10%|n</v>
      </c>
      <c r="CV26" s="7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5">
      <c r="A27" s="73"/>
      <c r="B27" s="74" t="s">
        <v>239</v>
      </c>
      <c r="C27" s="73" t="s">
        <v>240</v>
      </c>
      <c r="D27" s="75"/>
      <c r="E27" s="76"/>
      <c r="F27" s="77">
        <v>50000</v>
      </c>
      <c r="G27" s="78">
        <v>100</v>
      </c>
      <c r="H27" s="80" t="s">
        <v>241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5"/>
      <c r="Q27" s="85"/>
      <c r="R27" s="85"/>
      <c r="S27" s="85"/>
      <c r="T27" s="87" t="s">
        <v>184</v>
      </c>
      <c r="U27" s="88" t="s">
        <v>232</v>
      </c>
      <c r="V27" s="20">
        <v>240000</v>
      </c>
      <c r="W27" s="89"/>
      <c r="X27" s="89"/>
      <c r="Y27" s="89"/>
      <c r="Z27" s="89"/>
      <c r="AA27" s="89"/>
      <c r="AB27" s="89"/>
      <c r="AC27" s="89"/>
      <c r="AD27" s="89">
        <v>50</v>
      </c>
      <c r="AE27" s="89"/>
      <c r="AF27" s="89"/>
      <c r="AG27" s="91"/>
      <c r="AH27" s="89"/>
      <c r="AI27" s="89"/>
      <c r="AJ27" s="89"/>
      <c r="AK27" s="89"/>
      <c r="AL27" s="91"/>
      <c r="AM27" s="89"/>
      <c r="AN27" s="89"/>
      <c r="AO27" s="89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1"/>
      <c r="CC27" s="81"/>
      <c r="CD27" s="81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InitUnitState('E025',240000,,,,,,,,50,)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InitEquipData('E025',,"",,E026,50000,100,'','','','','','',"ReplaceableTextures\\CommandButtons\\BTNZ05.blp")</v>
      </c>
      <c r="CS27" s="96"/>
      <c r="CT27" s="96"/>
      <c r="CU27" s="98" t="str">
        <f t="shared" si="78"/>
        <v>|n攻击+240000|n攻速+50%|n吸血+10%|n</v>
      </c>
      <c r="CV27" s="7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5">
      <c r="A28" s="73"/>
      <c r="B28" s="74" t="s">
        <v>242</v>
      </c>
      <c r="C28" s="73" t="s">
        <v>243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5"/>
      <c r="Q28" s="85"/>
      <c r="R28" s="85"/>
      <c r="S28" s="85"/>
      <c r="T28" s="87" t="s">
        <v>184</v>
      </c>
      <c r="U28" s="88" t="s">
        <v>244</v>
      </c>
      <c r="V28" s="20">
        <v>360000</v>
      </c>
      <c r="W28" s="89"/>
      <c r="X28" s="89"/>
      <c r="Y28" s="89"/>
      <c r="Z28" s="89"/>
      <c r="AA28" s="89"/>
      <c r="AB28" s="89"/>
      <c r="AC28" s="89"/>
      <c r="AD28" s="89">
        <v>60</v>
      </c>
      <c r="AE28" s="89"/>
      <c r="AF28" s="89"/>
      <c r="AG28" s="91"/>
      <c r="AH28" s="89"/>
      <c r="AI28" s="89"/>
      <c r="AJ28" s="89"/>
      <c r="AK28" s="89"/>
      <c r="AL28" s="91"/>
      <c r="AM28" s="89"/>
      <c r="AN28" s="89"/>
      <c r="AO28" s="89"/>
      <c r="AP28" s="93">
        <v>12</v>
      </c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81"/>
      <c r="BD28" s="81"/>
      <c r="BE28" s="81"/>
      <c r="BF28" s="81"/>
      <c r="BG28" s="81"/>
      <c r="BH28" s="81"/>
      <c r="BI28" s="81"/>
      <c r="BJ28" s="81"/>
      <c r="BK28" s="81"/>
      <c r="BL28" s="81"/>
      <c r="BM28" s="81"/>
      <c r="BN28" s="81"/>
      <c r="BO28" s="81"/>
      <c r="BP28" s="81"/>
      <c r="BQ28" s="81"/>
      <c r="BR28" s="81"/>
      <c r="BS28" s="81"/>
      <c r="BT28" s="81"/>
      <c r="BU28" s="81"/>
      <c r="BV28" s="81"/>
      <c r="BW28" s="81"/>
      <c r="BX28" s="81"/>
      <c r="BY28" s="81"/>
      <c r="BZ28" s="81"/>
      <c r="CA28" s="81"/>
      <c r="CB28" s="81"/>
      <c r="CC28" s="81"/>
      <c r="CD28" s="81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InitUnitState('E026',360000,,,,,,,,60,)</v>
      </c>
      <c r="CO28" s="96" t="str">
        <f t="shared" si="3"/>
        <v>InitUnitNormal('E026',,,,,,,,,,)</v>
      </c>
      <c r="CP28" s="96" t="str">
        <f t="shared" si="4"/>
        <v>InitUnitMagic('E026',12,,,,,,,,,)</v>
      </c>
      <c r="CQ28" s="96" t="str">
        <f t="shared" si="5"/>
        <v>InitUnitAdd('E026',,,,,,,,,,)</v>
      </c>
      <c r="CR28" s="96" t="str">
        <f t="shared" si="6"/>
        <v>InitEquipData('E026',,"",,E027,30000,50,'','','','','','',"ReplaceableTextures\\CommandButtons\\BTNZ05.blp")</v>
      </c>
      <c r="CS28" s="96"/>
      <c r="CT28" s="96"/>
      <c r="CU28" s="98" t="str">
        <f t="shared" si="78"/>
        <v>|n攻击+360000|n攻速+60%|n吸血+12%|n</v>
      </c>
      <c r="CV28" s="7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5">
      <c r="A29" s="73"/>
      <c r="B29" s="74" t="s">
        <v>245</v>
      </c>
      <c r="C29" s="73" t="s">
        <v>246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5"/>
      <c r="Q29" s="85"/>
      <c r="R29" s="85"/>
      <c r="S29" s="85"/>
      <c r="T29" s="87" t="s">
        <v>184</v>
      </c>
      <c r="U29" s="88" t="s">
        <v>244</v>
      </c>
      <c r="V29" s="20">
        <v>420000</v>
      </c>
      <c r="W29" s="89"/>
      <c r="X29" s="89"/>
      <c r="Y29" s="89"/>
      <c r="Z29" s="89"/>
      <c r="AA29" s="89"/>
      <c r="AB29" s="89"/>
      <c r="AC29" s="89"/>
      <c r="AD29" s="89">
        <v>60</v>
      </c>
      <c r="AE29" s="89"/>
      <c r="AF29" s="89"/>
      <c r="AG29" s="91"/>
      <c r="AH29" s="89"/>
      <c r="AI29" s="89"/>
      <c r="AJ29" s="89"/>
      <c r="AK29" s="89"/>
      <c r="AL29" s="91"/>
      <c r="AM29" s="89"/>
      <c r="AN29" s="89"/>
      <c r="AO29" s="89"/>
      <c r="AP29" s="93">
        <v>12</v>
      </c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81"/>
      <c r="BD29" s="81"/>
      <c r="BE29" s="81"/>
      <c r="BF29" s="81"/>
      <c r="BG29" s="81"/>
      <c r="BH29" s="81"/>
      <c r="BI29" s="81"/>
      <c r="BJ29" s="81"/>
      <c r="BK29" s="81"/>
      <c r="BL29" s="81"/>
      <c r="BM29" s="81"/>
      <c r="BN29" s="81"/>
      <c r="BO29" s="81"/>
      <c r="BP29" s="81"/>
      <c r="BQ29" s="81"/>
      <c r="BR29" s="81"/>
      <c r="BS29" s="81"/>
      <c r="BT29" s="81"/>
      <c r="BU29" s="81"/>
      <c r="BV29" s="81"/>
      <c r="BW29" s="81"/>
      <c r="BX29" s="81"/>
      <c r="BY29" s="81"/>
      <c r="BZ29" s="81"/>
      <c r="CA29" s="81"/>
      <c r="CB29" s="81"/>
      <c r="CC29" s="81"/>
      <c r="CD29" s="81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InitUnitState('E027',420000,,,,,,,,60,)</v>
      </c>
      <c r="CO29" s="96" t="str">
        <f t="shared" si="3"/>
        <v>InitUnitNormal('E027',,,,,,,,,,)</v>
      </c>
      <c r="CP29" s="96" t="str">
        <f t="shared" si="4"/>
        <v>InitUnitMagic('E027',12,,,,,,,,,)</v>
      </c>
      <c r="CQ29" s="96" t="str">
        <f t="shared" si="5"/>
        <v>InitUnitAdd('E027',,,,,,,,,,)</v>
      </c>
      <c r="CR29" s="96" t="str">
        <f t="shared" si="6"/>
        <v>InitEquipData('E027',,"",,E028,30000,50,'','','','','','',"ReplaceableTextures\\CommandButtons\\BTNZ05.blp")</v>
      </c>
      <c r="CS29" s="96"/>
      <c r="CT29" s="96"/>
      <c r="CU29" s="98" t="str">
        <f t="shared" si="78"/>
        <v>|n攻击+420000|n攻速+60%|n吸血+12%|n</v>
      </c>
      <c r="CV29" s="7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5">
      <c r="A30" s="73"/>
      <c r="B30" s="74" t="s">
        <v>247</v>
      </c>
      <c r="C30" s="73" t="s">
        <v>248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5"/>
      <c r="Q30" s="85"/>
      <c r="R30" s="85"/>
      <c r="S30" s="85"/>
      <c r="T30" s="87" t="s">
        <v>184</v>
      </c>
      <c r="U30" s="88" t="s">
        <v>244</v>
      </c>
      <c r="V30" s="20">
        <v>480000</v>
      </c>
      <c r="W30" s="89"/>
      <c r="X30" s="89"/>
      <c r="Y30" s="89"/>
      <c r="Z30" s="89"/>
      <c r="AA30" s="89"/>
      <c r="AB30" s="89"/>
      <c r="AC30" s="89"/>
      <c r="AD30" s="89">
        <v>60</v>
      </c>
      <c r="AE30" s="89"/>
      <c r="AF30" s="89"/>
      <c r="AG30" s="91"/>
      <c r="AH30" s="89"/>
      <c r="AI30" s="89"/>
      <c r="AJ30" s="89"/>
      <c r="AK30" s="89"/>
      <c r="AL30" s="91"/>
      <c r="AM30" s="89"/>
      <c r="AN30" s="89"/>
      <c r="AO30" s="89"/>
      <c r="AP30" s="93">
        <v>12</v>
      </c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81"/>
      <c r="BD30" s="81"/>
      <c r="BE30" s="81"/>
      <c r="BF30" s="81"/>
      <c r="BG30" s="81"/>
      <c r="BH30" s="81"/>
      <c r="BI30" s="81"/>
      <c r="BJ30" s="81"/>
      <c r="BK30" s="81"/>
      <c r="BL30" s="81"/>
      <c r="BM30" s="81"/>
      <c r="BN30" s="81"/>
      <c r="BO30" s="81"/>
      <c r="BP30" s="81"/>
      <c r="BQ30" s="81"/>
      <c r="BR30" s="81"/>
      <c r="BS30" s="81"/>
      <c r="BT30" s="81"/>
      <c r="BU30" s="81"/>
      <c r="BV30" s="81"/>
      <c r="BW30" s="81"/>
      <c r="BX30" s="81"/>
      <c r="BY30" s="81"/>
      <c r="BZ30" s="81"/>
      <c r="CA30" s="81"/>
      <c r="CB30" s="81"/>
      <c r="CC30" s="81"/>
      <c r="CD30" s="81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InitUnitState('E028',480000,,,,,,,,60,)</v>
      </c>
      <c r="CO30" s="96" t="str">
        <f t="shared" si="3"/>
        <v>InitUnitNormal('E028',,,,,,,,,,)</v>
      </c>
      <c r="CP30" s="96" t="str">
        <f t="shared" si="4"/>
        <v>InitUnitMagic('E028',12,,,,,,,,,)</v>
      </c>
      <c r="CQ30" s="96" t="str">
        <f t="shared" si="5"/>
        <v>InitUnitAdd('E028',,,,,,,,,,)</v>
      </c>
      <c r="CR30" s="96" t="str">
        <f t="shared" si="6"/>
        <v>InitEquipData('E028',,"",,E029,30000,50,'','','','','','',"ReplaceableTextures\\CommandButtons\\BTNZ05.blp")</v>
      </c>
      <c r="CS30" s="96"/>
      <c r="CT30" s="96"/>
      <c r="CU30" s="98" t="str">
        <f t="shared" si="78"/>
        <v>|n攻击+480000|n攻速+60%|n吸血+12%|n</v>
      </c>
      <c r="CV30" s="7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5">
      <c r="A31" s="73"/>
      <c r="B31" s="74" t="s">
        <v>249</v>
      </c>
      <c r="C31" s="73" t="s">
        <v>250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5"/>
      <c r="Q31" s="85"/>
      <c r="R31" s="85"/>
      <c r="S31" s="85"/>
      <c r="T31" s="87" t="s">
        <v>184</v>
      </c>
      <c r="U31" s="88" t="s">
        <v>244</v>
      </c>
      <c r="V31" s="20">
        <v>540000</v>
      </c>
      <c r="W31" s="89"/>
      <c r="X31" s="89"/>
      <c r="Y31" s="89"/>
      <c r="Z31" s="89"/>
      <c r="AA31" s="89"/>
      <c r="AB31" s="89"/>
      <c r="AC31" s="89"/>
      <c r="AD31" s="89">
        <v>60</v>
      </c>
      <c r="AE31" s="89"/>
      <c r="AF31" s="89"/>
      <c r="AG31" s="91"/>
      <c r="AH31" s="89"/>
      <c r="AI31" s="89"/>
      <c r="AJ31" s="89"/>
      <c r="AK31" s="89"/>
      <c r="AL31" s="91"/>
      <c r="AM31" s="89"/>
      <c r="AN31" s="89"/>
      <c r="AO31" s="89"/>
      <c r="AP31" s="93">
        <v>12</v>
      </c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81"/>
      <c r="BD31" s="81"/>
      <c r="BE31" s="81"/>
      <c r="BF31" s="81"/>
      <c r="BG31" s="81"/>
      <c r="BH31" s="81"/>
      <c r="BI31" s="81"/>
      <c r="BJ31" s="81"/>
      <c r="BK31" s="81"/>
      <c r="BL31" s="81"/>
      <c r="BM31" s="81"/>
      <c r="BN31" s="81"/>
      <c r="BO31" s="81"/>
      <c r="BP31" s="81"/>
      <c r="BQ31" s="81"/>
      <c r="BR31" s="81"/>
      <c r="BS31" s="81"/>
      <c r="BT31" s="81"/>
      <c r="BU31" s="81"/>
      <c r="BV31" s="81"/>
      <c r="BW31" s="81"/>
      <c r="BX31" s="81"/>
      <c r="BY31" s="81"/>
      <c r="BZ31" s="81"/>
      <c r="CA31" s="81"/>
      <c r="CB31" s="81"/>
      <c r="CC31" s="81"/>
      <c r="CD31" s="81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InitUnitState('E029',540000,,,,,,,,60,)</v>
      </c>
      <c r="CO31" s="96" t="str">
        <f t="shared" si="3"/>
        <v>InitUnitNormal('E029',,,,,,,,,,)</v>
      </c>
      <c r="CP31" s="96" t="str">
        <f t="shared" si="4"/>
        <v>InitUnitMagic('E029',12,,,,,,,,,)</v>
      </c>
      <c r="CQ31" s="96" t="str">
        <f t="shared" si="5"/>
        <v>InitUnitAdd('E029',,,,,,,,,,)</v>
      </c>
      <c r="CR31" s="96" t="str">
        <f t="shared" si="6"/>
        <v>InitEquipData('E029',,"",,E030,30000,50,'','','','','','',"ReplaceableTextures\\CommandButtons\\BTNZ05.blp")</v>
      </c>
      <c r="CS31" s="96"/>
      <c r="CT31" s="96"/>
      <c r="CU31" s="98" t="str">
        <f t="shared" si="78"/>
        <v>|n攻击+540000|n攻速+60%|n吸血+12%|n</v>
      </c>
      <c r="CV31" s="7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5">
      <c r="A32" s="73"/>
      <c r="B32" s="74" t="s">
        <v>251</v>
      </c>
      <c r="C32" s="73" t="s">
        <v>252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5"/>
      <c r="Q32" s="85"/>
      <c r="R32" s="85"/>
      <c r="S32" s="85"/>
      <c r="T32" s="87" t="s">
        <v>184</v>
      </c>
      <c r="U32" s="88" t="s">
        <v>244</v>
      </c>
      <c r="V32" s="20">
        <v>600000</v>
      </c>
      <c r="W32" s="89"/>
      <c r="X32" s="89"/>
      <c r="Y32" s="89"/>
      <c r="Z32" s="89"/>
      <c r="AA32" s="89"/>
      <c r="AB32" s="89"/>
      <c r="AC32" s="89"/>
      <c r="AD32" s="89">
        <v>60</v>
      </c>
      <c r="AE32" s="89"/>
      <c r="AF32" s="89"/>
      <c r="AG32" s="91"/>
      <c r="AH32" s="89"/>
      <c r="AI32" s="89"/>
      <c r="AJ32" s="89"/>
      <c r="AK32" s="89"/>
      <c r="AL32" s="91"/>
      <c r="AM32" s="89"/>
      <c r="AN32" s="89"/>
      <c r="AO32" s="89"/>
      <c r="AP32" s="93">
        <v>12</v>
      </c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81"/>
      <c r="BD32" s="81"/>
      <c r="BE32" s="81"/>
      <c r="BF32" s="81"/>
      <c r="BG32" s="81"/>
      <c r="BH32" s="81"/>
      <c r="BI32" s="81"/>
      <c r="BJ32" s="81"/>
      <c r="BK32" s="81"/>
      <c r="BL32" s="81"/>
      <c r="BM32" s="81"/>
      <c r="BN32" s="81"/>
      <c r="BO32" s="81"/>
      <c r="BP32" s="81"/>
      <c r="BQ32" s="81"/>
      <c r="BR32" s="81"/>
      <c r="BS32" s="81"/>
      <c r="BT32" s="81"/>
      <c r="BU32" s="81"/>
      <c r="BV32" s="81"/>
      <c r="BW32" s="81"/>
      <c r="BX32" s="81"/>
      <c r="BY32" s="81"/>
      <c r="BZ32" s="81"/>
      <c r="CA32" s="81"/>
      <c r="CB32" s="81"/>
      <c r="CC32" s="81"/>
      <c r="CD32" s="81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InitUnitState('E030',600000,,,,,,,,60,)</v>
      </c>
      <c r="CO32" s="96" t="str">
        <f t="shared" si="3"/>
        <v>InitUnitNormal('E030',,,,,,,,,,)</v>
      </c>
      <c r="CP32" s="96" t="str">
        <f t="shared" si="4"/>
        <v>InitUnitMagic('E030',12,,,,,,,,,)</v>
      </c>
      <c r="CQ32" s="96" t="str">
        <f t="shared" si="5"/>
        <v>InitUnitAdd('E030',,,,,,,,,,)</v>
      </c>
      <c r="CR32" s="96" t="str">
        <f t="shared" si="6"/>
        <v>InitEquipData('E030',,"",,,,,'','','','','','',"ReplaceableTextures\\CommandButtons\\BTNZ06.blp")</v>
      </c>
      <c r="CS32" s="96"/>
      <c r="CT32" s="96"/>
      <c r="CU32" s="98" t="str">
        <f t="shared" si="78"/>
        <v>|n攻击+600000|n攻速+60%|n吸血+12%|n</v>
      </c>
      <c r="CV32" s="71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5">
      <c r="A33" s="73"/>
      <c r="B33" s="74" t="s">
        <v>253</v>
      </c>
      <c r="C33" s="81" t="s">
        <v>254</v>
      </c>
      <c r="D33" s="82">
        <v>200</v>
      </c>
      <c r="E33" s="76"/>
      <c r="F33" s="77"/>
      <c r="G33" s="78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5"/>
      <c r="Q33" s="85"/>
      <c r="R33" s="85"/>
      <c r="S33" s="85"/>
      <c r="T33" s="90" t="str">
        <f>"|n|Cff00ff7f击杀"&amp;D33&amp;"只怪有50%概率升级|r"</f>
        <v>|n|Cff00ff7f击杀200只怪有50%概率升级|r</v>
      </c>
      <c r="U33" s="88" t="s">
        <v>255</v>
      </c>
      <c r="V33" s="89">
        <v>250</v>
      </c>
      <c r="W33" s="89">
        <v>1000</v>
      </c>
      <c r="X33" s="89"/>
      <c r="Y33" s="89"/>
      <c r="Z33" s="89">
        <v>5000</v>
      </c>
      <c r="AA33" s="89"/>
      <c r="AB33" s="89"/>
      <c r="AC33" s="89"/>
      <c r="AD33" s="89"/>
      <c r="AE33" s="89"/>
      <c r="AF33" s="89"/>
      <c r="AG33" s="91"/>
      <c r="AH33" s="89"/>
      <c r="AI33" s="89"/>
      <c r="AJ33" s="89"/>
      <c r="AK33" s="89"/>
      <c r="AL33" s="91"/>
      <c r="AM33" s="89"/>
      <c r="AN33" s="89"/>
      <c r="AO33" s="89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81"/>
      <c r="BD33" s="81"/>
      <c r="BE33" s="81"/>
      <c r="BF33" s="81"/>
      <c r="BG33" s="81"/>
      <c r="BH33" s="81"/>
      <c r="BI33" s="81"/>
      <c r="BJ33" s="81"/>
      <c r="BK33" s="81"/>
      <c r="BL33" s="81"/>
      <c r="BM33" s="81"/>
      <c r="BN33" s="81"/>
      <c r="BO33" s="81"/>
      <c r="BP33" s="81"/>
      <c r="BQ33" s="81"/>
      <c r="BR33" s="81"/>
      <c r="BS33" s="81"/>
      <c r="BT33" s="81"/>
      <c r="BU33" s="81"/>
      <c r="BV33" s="81"/>
      <c r="BW33" s="81"/>
      <c r="BX33" s="81"/>
      <c r="BY33" s="81"/>
      <c r="BZ33" s="81"/>
      <c r="CA33" s="81"/>
      <c r="CB33" s="81"/>
      <c r="CC33" s="81"/>
      <c r="CD33" s="81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InitUnitState('E101',250,1000,,,5000,,,,,)</v>
      </c>
      <c r="CO33" s="96" t="str">
        <f t="shared" si="3"/>
        <v>InitUnitNormal('E101',,,,,,,,,,)</v>
      </c>
      <c r="CP33" s="96" t="str">
        <f t="shared" si="4"/>
        <v>InitUnitMagic('E101',,,,,,,,,,)</v>
      </c>
      <c r="CQ33" s="96" t="str">
        <f t="shared" si="5"/>
        <v>InitUnitAdd('E101',,,,,,,,,,)</v>
      </c>
      <c r="CR33" s="96" t="str">
        <f t="shared" si="6"/>
        <v>InitEquipData('E101',200,"",,E102,,60,'','','','','','',"ReplaceableTextures\\CommandButtons\\BTNZ06.blp")</v>
      </c>
      <c r="CS33" s="96"/>
      <c r="CT33" s="96"/>
      <c r="CU33" s="98" t="str">
        <f t="shared" si="78"/>
        <v>|n攻击+250|n业力+1000|n生命值+5000|n</v>
      </c>
      <c r="CV33" s="71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5">
      <c r="A34" s="73"/>
      <c r="B34" s="74" t="s">
        <v>256</v>
      </c>
      <c r="C34" s="81" t="s">
        <v>257</v>
      </c>
      <c r="D34" s="82">
        <v>200</v>
      </c>
      <c r="E34" s="76"/>
      <c r="F34" s="77"/>
      <c r="G34" s="78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5"/>
      <c r="Q34" s="85"/>
      <c r="R34" s="85"/>
      <c r="S34" s="85"/>
      <c r="T34" s="90" t="str">
        <f>"|n|Cff00ff7f击杀"&amp;D34&amp;"只怪有50%概率升级|r"</f>
        <v>|n|Cff00ff7f击杀200只怪有50%概率升级|r</v>
      </c>
      <c r="U34" s="88" t="s">
        <v>255</v>
      </c>
      <c r="V34" s="89">
        <v>500</v>
      </c>
      <c r="W34" s="89">
        <v>2000</v>
      </c>
      <c r="X34" s="89"/>
      <c r="Y34" s="89"/>
      <c r="Z34" s="89">
        <v>10000</v>
      </c>
      <c r="AA34" s="89"/>
      <c r="AB34" s="89"/>
      <c r="AC34" s="89"/>
      <c r="AD34" s="89"/>
      <c r="AE34" s="89"/>
      <c r="AF34" s="89"/>
      <c r="AG34" s="91"/>
      <c r="AH34" s="89"/>
      <c r="AI34" s="89"/>
      <c r="AJ34" s="89"/>
      <c r="AK34" s="89"/>
      <c r="AL34" s="91"/>
      <c r="AM34" s="89"/>
      <c r="AN34" s="89"/>
      <c r="AO34" s="89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81"/>
      <c r="BD34" s="81"/>
      <c r="BE34" s="81"/>
      <c r="BF34" s="81"/>
      <c r="BG34" s="81"/>
      <c r="BH34" s="81"/>
      <c r="BI34" s="81"/>
      <c r="BJ34" s="81"/>
      <c r="BK34" s="81"/>
      <c r="BL34" s="81"/>
      <c r="BM34" s="81"/>
      <c r="BN34" s="81"/>
      <c r="BO34" s="81"/>
      <c r="BP34" s="81"/>
      <c r="BQ34" s="81"/>
      <c r="BR34" s="81"/>
      <c r="BS34" s="81"/>
      <c r="BT34" s="81"/>
      <c r="BU34" s="81"/>
      <c r="BV34" s="81"/>
      <c r="BW34" s="81"/>
      <c r="BX34" s="81"/>
      <c r="BY34" s="81"/>
      <c r="BZ34" s="81"/>
      <c r="CA34" s="81"/>
      <c r="CB34" s="81"/>
      <c r="CC34" s="81"/>
      <c r="CD34" s="81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InitUnitState('E102',500,2000,,,10000,,,,,)</v>
      </c>
      <c r="CO34" s="96" t="str">
        <f t="shared" si="3"/>
        <v>InitUnitNormal('E102',,,,,,,,,,)</v>
      </c>
      <c r="CP34" s="96" t="str">
        <f t="shared" si="4"/>
        <v>InitUnitMagic('E102',,,,,,,,,,)</v>
      </c>
      <c r="CQ34" s="96" t="str">
        <f t="shared" si="5"/>
        <v>InitUnitAdd('E102',,,,,,,,,,)</v>
      </c>
      <c r="CR34" s="96" t="str">
        <f t="shared" si="6"/>
        <v>InitEquipData('E102',200,"",,E103,,60,'','','','','','',"ReplaceableTextures\\CommandButtons\\BTNZ06.blp")</v>
      </c>
      <c r="CS34" s="96"/>
      <c r="CT34" s="96"/>
      <c r="CU34" s="98" t="str">
        <f t="shared" si="78"/>
        <v>|n攻击+500|n业力+2000|n生命值+10000|n</v>
      </c>
      <c r="CV34" s="71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5">
      <c r="A35" s="73"/>
      <c r="B35" s="74" t="s">
        <v>258</v>
      </c>
      <c r="C35" s="81" t="s">
        <v>259</v>
      </c>
      <c r="D35" s="82">
        <v>200</v>
      </c>
      <c r="E35" s="76"/>
      <c r="F35" s="77"/>
      <c r="G35" s="78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5"/>
      <c r="Q35" s="85"/>
      <c r="R35" s="85"/>
      <c r="S35" s="85"/>
      <c r="T35" s="90" t="str">
        <f t="shared" ref="T35:T61" si="366">"|n|Cff00ff7f击杀"&amp;D35&amp;"只怪有50%概率升级|r"</f>
        <v>|n|Cff00ff7f击杀200只怪有50%概率升级|r</v>
      </c>
      <c r="U35" s="88" t="s">
        <v>255</v>
      </c>
      <c r="V35" s="89">
        <v>750</v>
      </c>
      <c r="W35" s="89">
        <v>3000</v>
      </c>
      <c r="X35" s="89"/>
      <c r="Y35" s="89"/>
      <c r="Z35" s="89">
        <v>15000</v>
      </c>
      <c r="AA35" s="89"/>
      <c r="AB35" s="89"/>
      <c r="AC35" s="89"/>
      <c r="AD35" s="89"/>
      <c r="AE35" s="89"/>
      <c r="AF35" s="89"/>
      <c r="AG35" s="91"/>
      <c r="AH35" s="89"/>
      <c r="AI35" s="89"/>
      <c r="AJ35" s="89"/>
      <c r="AK35" s="89"/>
      <c r="AL35" s="91"/>
      <c r="AM35" s="89"/>
      <c r="AN35" s="89"/>
      <c r="AO35" s="89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81"/>
      <c r="BD35" s="81"/>
      <c r="BE35" s="81"/>
      <c r="BF35" s="81"/>
      <c r="BG35" s="81"/>
      <c r="BH35" s="81"/>
      <c r="BI35" s="81"/>
      <c r="BJ35" s="81"/>
      <c r="BK35" s="81"/>
      <c r="BL35" s="81"/>
      <c r="BM35" s="81"/>
      <c r="BN35" s="81"/>
      <c r="BO35" s="81"/>
      <c r="BP35" s="81"/>
      <c r="BQ35" s="81"/>
      <c r="BR35" s="81"/>
      <c r="BS35" s="81"/>
      <c r="BT35" s="81"/>
      <c r="BU35" s="81"/>
      <c r="BV35" s="81"/>
      <c r="BW35" s="81"/>
      <c r="BX35" s="81"/>
      <c r="BY35" s="81"/>
      <c r="BZ35" s="81"/>
      <c r="CA35" s="81"/>
      <c r="CB35" s="81"/>
      <c r="CC35" s="81"/>
      <c r="CD35" s="81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si="2"/>
        <v>InitUnitState('E103',750,3000,,,15000,,,,,)</v>
      </c>
      <c r="CO35" s="96" t="str">
        <f t="shared" si="3"/>
        <v>InitUnitNormal('E103',,,,,,,,,,)</v>
      </c>
      <c r="CP35" s="96" t="str">
        <f t="shared" si="4"/>
        <v>InitUnitMagic('E103',,,,,,,,,,)</v>
      </c>
      <c r="CQ35" s="96" t="str">
        <f t="shared" si="5"/>
        <v>InitUnitAdd('E103',,,,,,,,,,)</v>
      </c>
      <c r="CR35" s="96" t="str">
        <f t="shared" si="6"/>
        <v>InitEquipData('E103',200,"",,E104,,60,'','','','','','',"ReplaceableTextures\\CommandButtons\\BTNZ06.blp")</v>
      </c>
      <c r="CS35" s="96"/>
      <c r="CT35" s="96"/>
      <c r="CU35" s="98" t="str">
        <f t="shared" si="78"/>
        <v>|n攻击+750|n业力+3000|n生命值+15000|n</v>
      </c>
      <c r="CV35" s="71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5">
      <c r="A36" s="73"/>
      <c r="B36" s="74" t="s">
        <v>260</v>
      </c>
      <c r="C36" s="81" t="s">
        <v>261</v>
      </c>
      <c r="D36" s="82">
        <v>200</v>
      </c>
      <c r="E36" s="76"/>
      <c r="F36" s="77"/>
      <c r="G36" s="78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5"/>
      <c r="Q36" s="85"/>
      <c r="R36" s="85"/>
      <c r="S36" s="85"/>
      <c r="T36" s="90" t="str">
        <f t="shared" si="366"/>
        <v>|n|Cff00ff7f击杀200只怪有50%概率升级|r</v>
      </c>
      <c r="U36" s="88" t="s">
        <v>255</v>
      </c>
      <c r="V36" s="89">
        <v>1000</v>
      </c>
      <c r="W36" s="89">
        <v>4000</v>
      </c>
      <c r="X36" s="89"/>
      <c r="Y36" s="89"/>
      <c r="Z36" s="89">
        <v>20000</v>
      </c>
      <c r="AA36" s="89"/>
      <c r="AB36" s="89"/>
      <c r="AC36" s="89"/>
      <c r="AD36" s="89"/>
      <c r="AE36" s="89"/>
      <c r="AF36" s="89"/>
      <c r="AG36" s="91"/>
      <c r="AH36" s="89"/>
      <c r="AI36" s="89"/>
      <c r="AJ36" s="89"/>
      <c r="AK36" s="89"/>
      <c r="AL36" s="91"/>
      <c r="AM36" s="89"/>
      <c r="AN36" s="89"/>
      <c r="AO36" s="89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81"/>
      <c r="BD36" s="81"/>
      <c r="BE36" s="81"/>
      <c r="BF36" s="81"/>
      <c r="BG36" s="81"/>
      <c r="BH36" s="81"/>
      <c r="BI36" s="81"/>
      <c r="BJ36" s="81"/>
      <c r="BK36" s="81"/>
      <c r="BL36" s="81"/>
      <c r="BM36" s="81"/>
      <c r="BN36" s="81"/>
      <c r="BO36" s="81"/>
      <c r="BP36" s="81"/>
      <c r="BQ36" s="81"/>
      <c r="BR36" s="81"/>
      <c r="BS36" s="81"/>
      <c r="BT36" s="81"/>
      <c r="BU36" s="81"/>
      <c r="BV36" s="81"/>
      <c r="BW36" s="81"/>
      <c r="BX36" s="81"/>
      <c r="BY36" s="81"/>
      <c r="BZ36" s="81"/>
      <c r="CA36" s="81"/>
      <c r="CB36" s="81"/>
      <c r="CC36" s="81"/>
      <c r="CD36" s="81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"/>
        <v>InitUnitState('E104',1000,4000,,,20000,,,,,)</v>
      </c>
      <c r="CO36" s="96" t="str">
        <f t="shared" si="3"/>
        <v>InitUnitNormal('E104',,,,,,,,,,)</v>
      </c>
      <c r="CP36" s="96" t="str">
        <f t="shared" si="4"/>
        <v>InitUnitMagic('E104',,,,,,,,,,)</v>
      </c>
      <c r="CQ36" s="96" t="str">
        <f t="shared" si="5"/>
        <v>InitUnitAdd('E104',,,,,,,,,,)</v>
      </c>
      <c r="CR36" s="96" t="str">
        <f t="shared" si="6"/>
        <v>InitEquipData('E104',200,"",,E105,,60,'','','','','','',"ReplaceableTextures\\CommandButtons\\BTNZ06.blp")</v>
      </c>
      <c r="CS36" s="96"/>
      <c r="CT36" s="96"/>
      <c r="CU36" s="98" t="str">
        <f t="shared" si="78"/>
        <v>|n攻击+1000|n业力+4000|n生命值+20000|n</v>
      </c>
      <c r="CV36" s="71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5">
      <c r="A37" s="73"/>
      <c r="B37" s="74" t="s">
        <v>262</v>
      </c>
      <c r="C37" s="81" t="s">
        <v>263</v>
      </c>
      <c r="D37" s="82">
        <v>400</v>
      </c>
      <c r="E37" s="76"/>
      <c r="F37" s="77"/>
      <c r="G37" s="78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5"/>
      <c r="Q37" s="85"/>
      <c r="R37" s="85"/>
      <c r="S37" s="85"/>
      <c r="T37" s="90" t="str">
        <f t="shared" si="366"/>
        <v>|n|Cff00ff7f击杀400只怪有50%概率升级|r</v>
      </c>
      <c r="U37" s="88" t="s">
        <v>255</v>
      </c>
      <c r="V37" s="89">
        <v>1250</v>
      </c>
      <c r="W37" s="89">
        <v>5000</v>
      </c>
      <c r="X37" s="89"/>
      <c r="Y37" s="89"/>
      <c r="Z37" s="89">
        <v>25000</v>
      </c>
      <c r="AA37" s="89"/>
      <c r="AB37" s="89"/>
      <c r="AC37" s="89"/>
      <c r="AD37" s="89"/>
      <c r="AE37" s="89"/>
      <c r="AF37" s="89"/>
      <c r="AG37" s="91"/>
      <c r="AH37" s="89"/>
      <c r="AI37" s="89"/>
      <c r="AJ37" s="89"/>
      <c r="AK37" s="89"/>
      <c r="AL37" s="91"/>
      <c r="AM37" s="89"/>
      <c r="AN37" s="89"/>
      <c r="AO37" s="89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81"/>
      <c r="BD37" s="81"/>
      <c r="BE37" s="81"/>
      <c r="BF37" s="81"/>
      <c r="BG37" s="81"/>
      <c r="BH37" s="81"/>
      <c r="BI37" s="81"/>
      <c r="BJ37" s="81"/>
      <c r="BK37" s="81"/>
      <c r="BL37" s="81"/>
      <c r="BM37" s="81"/>
      <c r="BN37" s="81"/>
      <c r="BO37" s="81"/>
      <c r="BP37" s="81"/>
      <c r="BQ37" s="81"/>
      <c r="BR37" s="81"/>
      <c r="BS37" s="81"/>
      <c r="BT37" s="81"/>
      <c r="BU37" s="81"/>
      <c r="BV37" s="81"/>
      <c r="BW37" s="81"/>
      <c r="BX37" s="81"/>
      <c r="BY37" s="81"/>
      <c r="BZ37" s="81"/>
      <c r="CA37" s="81"/>
      <c r="CB37" s="81"/>
      <c r="CC37" s="81"/>
      <c r="CD37" s="81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"/>
        <v>InitUnitState('E105',1250,5000,,,25000,,,,,)</v>
      </c>
      <c r="CO37" s="96" t="str">
        <f t="shared" si="3"/>
        <v>InitUnitNormal('E105',,,,,,,,,,)</v>
      </c>
      <c r="CP37" s="96" t="str">
        <f t="shared" si="4"/>
        <v>InitUnitMagic('E105',,,,,,,,,,)</v>
      </c>
      <c r="CQ37" s="96" t="str">
        <f t="shared" si="5"/>
        <v>InitUnitAdd('E105',,,,,,,,,,)</v>
      </c>
      <c r="CR37" s="96" t="str">
        <f t="shared" si="6"/>
        <v>InitEquipData('E105',400,"",,E106,,50,'','','','','','',"ReplaceableTextures\\CommandButtons\\BTNZ07.blp")</v>
      </c>
      <c r="CS37" s="96"/>
      <c r="CT37" s="96"/>
      <c r="CU37" s="98" t="str">
        <f t="shared" si="78"/>
        <v>|n攻击+1250|n业力+5000|n生命值+25000|n</v>
      </c>
      <c r="CV37" s="71" t="str">
        <f>"|Cffbbbbbb属性：|r"&amp;CU37&amp;VLOOKUP(A37,合成公式!A:P,16,FALSE)&amp;T37</f>
        <v>|Cffbbbbbb属性：|r|n攻击+1250|n业力+5000|n生命值+25000|n|n|Cff00ff7f击杀400只怪有50%概率升级|r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5">
      <c r="A38" s="73"/>
      <c r="B38" s="74" t="s">
        <v>264</v>
      </c>
      <c r="C38" s="81" t="s">
        <v>265</v>
      </c>
      <c r="D38" s="82">
        <v>300</v>
      </c>
      <c r="E38" s="76"/>
      <c r="F38" s="77"/>
      <c r="G38" s="78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5"/>
      <c r="Q38" s="85"/>
      <c r="R38" s="85"/>
      <c r="S38" s="85"/>
      <c r="T38" s="90" t="str">
        <f t="shared" si="366"/>
        <v>|n|Cff00ff7f击杀300只怪有50%概率升级|r</v>
      </c>
      <c r="U38" s="88" t="s">
        <v>266</v>
      </c>
      <c r="V38" s="89">
        <v>2000</v>
      </c>
      <c r="W38" s="89">
        <v>8000</v>
      </c>
      <c r="X38" s="89"/>
      <c r="Y38" s="89"/>
      <c r="Z38" s="89">
        <v>40000</v>
      </c>
      <c r="AA38" s="89"/>
      <c r="AB38" s="89"/>
      <c r="AC38" s="89"/>
      <c r="AD38" s="89"/>
      <c r="AE38" s="89"/>
      <c r="AF38" s="89"/>
      <c r="AG38" s="91"/>
      <c r="AH38" s="89"/>
      <c r="AI38" s="89"/>
      <c r="AJ38" s="89"/>
      <c r="AK38" s="89"/>
      <c r="AL38" s="91"/>
      <c r="AM38" s="89"/>
      <c r="AN38" s="71">
        <v>4</v>
      </c>
      <c r="AO38" s="89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81"/>
      <c r="BD38" s="81"/>
      <c r="BE38" s="81"/>
      <c r="BF38" s="81"/>
      <c r="BG38" s="81"/>
      <c r="BH38" s="81"/>
      <c r="BI38" s="81"/>
      <c r="BJ38" s="81"/>
      <c r="BK38" s="81"/>
      <c r="BL38" s="81"/>
      <c r="BM38" s="81"/>
      <c r="BN38" s="81"/>
      <c r="BO38" s="81"/>
      <c r="BP38" s="81"/>
      <c r="BQ38" s="81"/>
      <c r="BR38" s="81"/>
      <c r="BS38" s="81"/>
      <c r="BT38" s="81"/>
      <c r="BU38" s="81"/>
      <c r="BV38" s="81"/>
      <c r="BW38" s="81"/>
      <c r="BX38" s="81"/>
      <c r="BY38" s="81"/>
      <c r="BZ38" s="81"/>
      <c r="CA38" s="81"/>
      <c r="CB38" s="81"/>
      <c r="CC38" s="81"/>
      <c r="CD38" s="81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"/>
        <v>InitUnitState('E106',2000,8000,,,40000,,,,,)</v>
      </c>
      <c r="CO38" s="96" t="str">
        <f t="shared" si="3"/>
        <v>InitUnitNormal('E106',,,,,,,,,4,)</v>
      </c>
      <c r="CP38" s="96" t="str">
        <f t="shared" si="4"/>
        <v>InitUnitMagic('E106',,,,,,,,,,)</v>
      </c>
      <c r="CQ38" s="96" t="str">
        <f t="shared" si="5"/>
        <v>InitUnitAdd('E106',,,,,,,,,,)</v>
      </c>
      <c r="CR38" s="96" t="str">
        <f t="shared" si="6"/>
        <v>InitEquipData('E106',300,"",,E107,,50,'','','','','','',"ReplaceableTextures\\CommandButtons\\BTNZ07.blp")</v>
      </c>
      <c r="CS38" s="96"/>
      <c r="CT38" s="96"/>
      <c r="CU38" s="98" t="str">
        <f t="shared" si="78"/>
        <v>|n攻击+2000|n业力+8000|n生命值+40000|n暴击+4%|n</v>
      </c>
      <c r="CV38" s="71" t="str">
        <f>"|Cffbbbbbb属性：|r"&amp;CU38&amp;VLOOKUP(A38,合成公式!A:P,16,FALSE)&amp;T38</f>
        <v>|Cffbbbbbb属性：|r|n攻击+2000|n业力+8000|n生命值+40000|n暴击+4%|n|n|Cff00ff7f击杀300只怪有50%概率升级|r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5">
      <c r="A39" s="73"/>
      <c r="B39" s="74" t="s">
        <v>267</v>
      </c>
      <c r="C39" s="81" t="s">
        <v>268</v>
      </c>
      <c r="D39" s="82">
        <v>300</v>
      </c>
      <c r="E39" s="76"/>
      <c r="F39" s="77"/>
      <c r="G39" s="78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5"/>
      <c r="Q39" s="85"/>
      <c r="R39" s="85"/>
      <c r="S39" s="85"/>
      <c r="T39" s="90" t="str">
        <f t="shared" si="366"/>
        <v>|n|Cff00ff7f击杀300只怪有50%概率升级|r</v>
      </c>
      <c r="U39" s="88" t="s">
        <v>266</v>
      </c>
      <c r="V39" s="89">
        <v>2500</v>
      </c>
      <c r="W39" s="89">
        <v>10000</v>
      </c>
      <c r="X39" s="89"/>
      <c r="Y39" s="89"/>
      <c r="Z39" s="89">
        <v>50000</v>
      </c>
      <c r="AA39" s="89"/>
      <c r="AB39" s="89"/>
      <c r="AC39" s="89"/>
      <c r="AD39" s="89"/>
      <c r="AE39" s="89"/>
      <c r="AF39" s="89"/>
      <c r="AG39" s="91"/>
      <c r="AH39" s="89"/>
      <c r="AI39" s="89"/>
      <c r="AJ39" s="89"/>
      <c r="AK39" s="89"/>
      <c r="AL39" s="91"/>
      <c r="AM39" s="89"/>
      <c r="AN39" s="71">
        <v>4</v>
      </c>
      <c r="AO39" s="89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81"/>
      <c r="BD39" s="81"/>
      <c r="BE39" s="81"/>
      <c r="BF39" s="81"/>
      <c r="BG39" s="81"/>
      <c r="BH39" s="81"/>
      <c r="BI39" s="81"/>
      <c r="BJ39" s="81"/>
      <c r="BK39" s="81"/>
      <c r="BL39" s="81"/>
      <c r="BM39" s="81"/>
      <c r="BN39" s="81"/>
      <c r="BO39" s="81"/>
      <c r="BP39" s="81"/>
      <c r="BQ39" s="81"/>
      <c r="BR39" s="81"/>
      <c r="BS39" s="81"/>
      <c r="BT39" s="81"/>
      <c r="BU39" s="81"/>
      <c r="BV39" s="81"/>
      <c r="BW39" s="81"/>
      <c r="BX39" s="81"/>
      <c r="BY39" s="81"/>
      <c r="BZ39" s="81"/>
      <c r="CA39" s="81"/>
      <c r="CB39" s="81"/>
      <c r="CC39" s="81"/>
      <c r="CD39" s="81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"/>
        <v>InitUnitState('E107',2500,10000,,,50000,,,,,)</v>
      </c>
      <c r="CO39" s="96" t="str">
        <f t="shared" si="3"/>
        <v>InitUnitNormal('E107',,,,,,,,,4,)</v>
      </c>
      <c r="CP39" s="96" t="str">
        <f t="shared" si="4"/>
        <v>InitUnitMagic('E107',,,,,,,,,,)</v>
      </c>
      <c r="CQ39" s="96" t="str">
        <f t="shared" si="5"/>
        <v>InitUnitAdd('E107',,,,,,,,,,)</v>
      </c>
      <c r="CR39" s="96" t="str">
        <f t="shared" si="6"/>
        <v>InitEquipData('E107',300,"",,E108,,50,'','','','','','',"ReplaceableTextures\\CommandButtons\\BTNZ07.blp")</v>
      </c>
      <c r="CS39" s="96"/>
      <c r="CT39" s="96"/>
      <c r="CU39" s="98" t="str">
        <f t="shared" si="78"/>
        <v>|n攻击+2500|n业力+10000|n生命值+50000|n暴击+4%|n</v>
      </c>
      <c r="CV39" s="71" t="str">
        <f>"|Cffbbbbbb属性：|r"&amp;CU39&amp;VLOOKUP(A39,合成公式!A:P,16,FALSE)&amp;T39</f>
        <v>|Cffbbbbbb属性：|r|n攻击+2500|n业力+10000|n生命值+50000|n暴击+4%|n|n|Cff00ff7f击杀300只怪有50%概率升级|r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5">
      <c r="A40" s="73"/>
      <c r="B40" s="74" t="s">
        <v>269</v>
      </c>
      <c r="C40" s="81" t="s">
        <v>270</v>
      </c>
      <c r="D40" s="82">
        <v>300</v>
      </c>
      <c r="E40" s="76"/>
      <c r="F40" s="77"/>
      <c r="G40" s="78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5"/>
      <c r="Q40" s="85"/>
      <c r="R40" s="85"/>
      <c r="S40" s="85"/>
      <c r="T40" s="90" t="str">
        <f t="shared" si="366"/>
        <v>|n|Cff00ff7f击杀300只怪有50%概率升级|r</v>
      </c>
      <c r="U40" s="88" t="s">
        <v>266</v>
      </c>
      <c r="V40" s="89">
        <v>3000</v>
      </c>
      <c r="W40" s="89">
        <v>12000</v>
      </c>
      <c r="X40" s="89"/>
      <c r="Y40" s="89"/>
      <c r="Z40" s="89">
        <v>60000</v>
      </c>
      <c r="AA40" s="89"/>
      <c r="AB40" s="89"/>
      <c r="AC40" s="89"/>
      <c r="AD40" s="89"/>
      <c r="AE40" s="89"/>
      <c r="AF40" s="89"/>
      <c r="AG40" s="91"/>
      <c r="AH40" s="89"/>
      <c r="AI40" s="89"/>
      <c r="AJ40" s="89"/>
      <c r="AK40" s="89"/>
      <c r="AL40" s="91"/>
      <c r="AM40" s="89"/>
      <c r="AN40" s="71">
        <v>4</v>
      </c>
      <c r="AO40" s="89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81"/>
      <c r="BD40" s="81"/>
      <c r="BE40" s="81"/>
      <c r="BF40" s="81"/>
      <c r="BG40" s="81"/>
      <c r="BH40" s="81"/>
      <c r="BI40" s="81"/>
      <c r="BJ40" s="81"/>
      <c r="BK40" s="81"/>
      <c r="BL40" s="81"/>
      <c r="BM40" s="81"/>
      <c r="BN40" s="81"/>
      <c r="BO40" s="81"/>
      <c r="BP40" s="81"/>
      <c r="BQ40" s="81"/>
      <c r="BR40" s="81"/>
      <c r="BS40" s="81"/>
      <c r="BT40" s="81"/>
      <c r="BU40" s="81"/>
      <c r="BV40" s="81"/>
      <c r="BW40" s="81"/>
      <c r="BX40" s="81"/>
      <c r="BY40" s="81"/>
      <c r="BZ40" s="81"/>
      <c r="CA40" s="81"/>
      <c r="CB40" s="81"/>
      <c r="CC40" s="81"/>
      <c r="CD40" s="81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6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6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6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6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InitEquipData('E108',300,"",,E109,,50,'','','','','','',"ReplaceableTextures\\CommandButtons\\BTNZ07.blp")</v>
      </c>
      <c r="CS40" s="96"/>
      <c r="CT40" s="96"/>
      <c r="CU40" s="98" t="str">
        <f t="shared" si="78"/>
        <v>|n攻击+3000|n业力+12000|n生命值+60000|n暴击+4%|n</v>
      </c>
      <c r="CV40" s="71" t="str">
        <f>"|Cffbbbbbb属性：|r"&amp;CU40&amp;VLOOKUP(A40,合成公式!A:P,16,FALSE)&amp;T40</f>
        <v>|Cffbbbbbb属性：|r|n攻击+3000|n业力+12000|n生命值+60000|n暴击+4%|n|n|Cff00ff7f击杀300只怪有50%概率升级|r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5">
      <c r="A41" s="73"/>
      <c r="B41" s="74" t="s">
        <v>271</v>
      </c>
      <c r="C41" s="81" t="s">
        <v>272</v>
      </c>
      <c r="D41" s="82">
        <v>300</v>
      </c>
      <c r="E41" s="76"/>
      <c r="F41" s="77"/>
      <c r="G41" s="78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5"/>
      <c r="Q41" s="85"/>
      <c r="R41" s="85"/>
      <c r="S41" s="85"/>
      <c r="T41" s="90" t="str">
        <f t="shared" si="366"/>
        <v>|n|Cff00ff7f击杀300只怪有50%概率升级|r</v>
      </c>
      <c r="U41" s="88" t="s">
        <v>266</v>
      </c>
      <c r="V41" s="89">
        <v>3500</v>
      </c>
      <c r="W41" s="89">
        <v>14000</v>
      </c>
      <c r="X41" s="89"/>
      <c r="Y41" s="89"/>
      <c r="Z41" s="89">
        <v>70000</v>
      </c>
      <c r="AA41" s="89"/>
      <c r="AB41" s="89"/>
      <c r="AC41" s="89"/>
      <c r="AD41" s="89"/>
      <c r="AE41" s="89"/>
      <c r="AF41" s="89"/>
      <c r="AG41" s="91"/>
      <c r="AH41" s="89"/>
      <c r="AI41" s="89"/>
      <c r="AJ41" s="89"/>
      <c r="AK41" s="89"/>
      <c r="AL41" s="91"/>
      <c r="AM41" s="89"/>
      <c r="AN41" s="71">
        <v>4</v>
      </c>
      <c r="AO41" s="89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81"/>
      <c r="BD41" s="81"/>
      <c r="BE41" s="81"/>
      <c r="BF41" s="81"/>
      <c r="BG41" s="81"/>
      <c r="BH41" s="81"/>
      <c r="BI41" s="81"/>
      <c r="BJ41" s="81"/>
      <c r="BK41" s="81"/>
      <c r="BL41" s="81"/>
      <c r="BM41" s="81"/>
      <c r="BN41" s="81"/>
      <c r="BO41" s="81"/>
      <c r="BP41" s="81"/>
      <c r="BQ41" s="81"/>
      <c r="BR41" s="81"/>
      <c r="BS41" s="81"/>
      <c r="BT41" s="81"/>
      <c r="BU41" s="81"/>
      <c r="BV41" s="81"/>
      <c r="BW41" s="81"/>
      <c r="BX41" s="81"/>
      <c r="BY41" s="81"/>
      <c r="BZ41" s="81"/>
      <c r="CA41" s="81"/>
      <c r="CB41" s="81"/>
      <c r="CC41" s="81"/>
      <c r="CD41" s="81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367"/>
        <v>InitUnitState('E109',3500,14000,,,70000,,,,,)</v>
      </c>
      <c r="CO41" s="96" t="str">
        <f t="shared" si="368"/>
        <v>InitUnitNormal('E109',,,,,,,,,4,)</v>
      </c>
      <c r="CP41" s="96" t="str">
        <f t="shared" si="369"/>
        <v>InitUnitMagic('E109',,,,,,,,,,)</v>
      </c>
      <c r="CQ41" s="96" t="str">
        <f t="shared" si="370"/>
        <v>InitUnitAdd('E109',,,,,,,,,,)</v>
      </c>
      <c r="CR41" s="96" t="str">
        <f t="shared" si="371"/>
        <v>InitEquipData('E109',300,"",,E110,,50,'','','','','','',"ReplaceableTextures\\CommandButtons\\BTNZ07.blp")</v>
      </c>
      <c r="CS41" s="96"/>
      <c r="CT41" s="96"/>
      <c r="CU41" s="98" t="str">
        <f t="shared" si="78"/>
        <v>|n攻击+3500|n业力+14000|n生命值+70000|n暴击+4%|n</v>
      </c>
      <c r="CV41" s="71" t="str">
        <f>"|Cffbbbbbb属性：|r"&amp;CU41&amp;VLOOKUP(A41,合成公式!A:P,16,FALSE)&amp;T41</f>
        <v>|Cffbbbbbb属性：|r|n攻击+3500|n业力+14000|n生命值+70000|n暴击+4%|n|n|Cff00ff7f击杀300只怪有50%概率升级|r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5">
      <c r="A42" s="73"/>
      <c r="B42" s="74" t="s">
        <v>273</v>
      </c>
      <c r="C42" s="81" t="s">
        <v>274</v>
      </c>
      <c r="D42" s="82">
        <v>600</v>
      </c>
      <c r="E42" s="76"/>
      <c r="F42" s="77"/>
      <c r="G42" s="78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5"/>
      <c r="Q42" s="85"/>
      <c r="R42" s="85"/>
      <c r="S42" s="85"/>
      <c r="T42" s="90" t="str">
        <f t="shared" si="366"/>
        <v>|n|Cff00ff7f击杀600只怪有50%概率升级|r</v>
      </c>
      <c r="U42" s="88" t="s">
        <v>266</v>
      </c>
      <c r="V42" s="89">
        <v>4000</v>
      </c>
      <c r="W42" s="89">
        <v>16000</v>
      </c>
      <c r="X42" s="89"/>
      <c r="Y42" s="89"/>
      <c r="Z42" s="89">
        <v>80000</v>
      </c>
      <c r="AA42" s="89"/>
      <c r="AB42" s="89"/>
      <c r="AC42" s="89"/>
      <c r="AD42" s="89"/>
      <c r="AE42" s="89"/>
      <c r="AF42" s="89"/>
      <c r="AG42" s="91"/>
      <c r="AH42" s="89"/>
      <c r="AI42" s="89"/>
      <c r="AJ42" s="89"/>
      <c r="AK42" s="89"/>
      <c r="AL42" s="91"/>
      <c r="AM42" s="89"/>
      <c r="AN42" s="71">
        <v>4</v>
      </c>
      <c r="AO42" s="89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81"/>
      <c r="BD42" s="81"/>
      <c r="BE42" s="81"/>
      <c r="BF42" s="81"/>
      <c r="BG42" s="81"/>
      <c r="BH42" s="81"/>
      <c r="BI42" s="81"/>
      <c r="BJ42" s="81"/>
      <c r="BK42" s="81"/>
      <c r="BL42" s="81"/>
      <c r="BM42" s="81"/>
      <c r="BN42" s="81"/>
      <c r="BO42" s="81"/>
      <c r="BP42" s="81"/>
      <c r="BQ42" s="81"/>
      <c r="BR42" s="81"/>
      <c r="BS42" s="81"/>
      <c r="BT42" s="81"/>
      <c r="BU42" s="81"/>
      <c r="BV42" s="81"/>
      <c r="BW42" s="81"/>
      <c r="BX42" s="81"/>
      <c r="BY42" s="81"/>
      <c r="BZ42" s="81"/>
      <c r="CA42" s="81"/>
      <c r="CB42" s="81"/>
      <c r="CC42" s="81"/>
      <c r="CD42" s="81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367"/>
        <v>InitUnitState('E110',4000,16000,,,80000,,,,,)</v>
      </c>
      <c r="CO42" s="96" t="str">
        <f t="shared" si="368"/>
        <v>InitUnitNormal('E110',,,,,,,,,4,)</v>
      </c>
      <c r="CP42" s="96" t="str">
        <f t="shared" si="369"/>
        <v>InitUnitMagic('E110',,,,,,,,,,)</v>
      </c>
      <c r="CQ42" s="96" t="str">
        <f t="shared" si="370"/>
        <v>InitUnitAdd('E110',,,,,,,,,,)</v>
      </c>
      <c r="CR42" s="96" t="str">
        <f t="shared" si="371"/>
        <v>InitEquipData('E110',600,"",,E111,,50,'','','','','','',"ReplaceableTextures\\CommandButtons\\BTNZ08.blp")</v>
      </c>
      <c r="CS42" s="96"/>
      <c r="CT42" s="96"/>
      <c r="CU42" s="98" t="str">
        <f t="shared" si="78"/>
        <v>|n攻击+4000|n业力+16000|n生命值+80000|n暴击+4%|n</v>
      </c>
      <c r="CV42" s="71" t="str">
        <f>"|Cffbbbbbb属性：|r"&amp;CU42&amp;VLOOKUP(A42,合成公式!A:P,16,FALSE)&amp;T42</f>
        <v>|Cffbbbbbb属性：|r|n攻击+4000|n业力+16000|n生命值+80000|n暴击+4%|n|n|Cff00ff7f击杀600只怪有50%概率升级|r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5">
      <c r="A43" s="73"/>
      <c r="B43" s="74" t="s">
        <v>275</v>
      </c>
      <c r="C43" s="81" t="s">
        <v>276</v>
      </c>
      <c r="D43" s="82">
        <v>400</v>
      </c>
      <c r="E43" s="76"/>
      <c r="F43" s="77"/>
      <c r="G43" s="78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5"/>
      <c r="Q43" s="85"/>
      <c r="R43" s="85"/>
      <c r="S43" s="85"/>
      <c r="T43" s="90" t="str">
        <f t="shared" si="366"/>
        <v>|n|Cff00ff7f击杀400只怪有50%概率升级|r</v>
      </c>
      <c r="U43" s="88" t="s">
        <v>277</v>
      </c>
      <c r="V43" s="89">
        <v>6000</v>
      </c>
      <c r="W43" s="89">
        <v>24000</v>
      </c>
      <c r="X43" s="89"/>
      <c r="Y43" s="89"/>
      <c r="Z43" s="89">
        <v>120000</v>
      </c>
      <c r="AA43" s="89"/>
      <c r="AB43" s="89"/>
      <c r="AC43" s="89"/>
      <c r="AD43" s="89"/>
      <c r="AE43" s="89"/>
      <c r="AF43" s="89"/>
      <c r="AG43" s="91"/>
      <c r="AH43" s="89"/>
      <c r="AI43" s="89"/>
      <c r="AJ43" s="89"/>
      <c r="AK43" s="89"/>
      <c r="AL43" s="91"/>
      <c r="AM43" s="89"/>
      <c r="AN43" s="71">
        <v>6</v>
      </c>
      <c r="AO43" s="89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81"/>
      <c r="BD43" s="81"/>
      <c r="BE43" s="81"/>
      <c r="BF43" s="81"/>
      <c r="BG43" s="81"/>
      <c r="BH43" s="81"/>
      <c r="BI43" s="81"/>
      <c r="BJ43" s="81"/>
      <c r="BK43" s="81"/>
      <c r="BL43" s="81"/>
      <c r="BM43" s="81"/>
      <c r="BN43" s="81"/>
      <c r="BO43" s="81"/>
      <c r="BP43" s="81"/>
      <c r="BQ43" s="81"/>
      <c r="BR43" s="81"/>
      <c r="BS43" s="81"/>
      <c r="BT43" s="81"/>
      <c r="BU43" s="81"/>
      <c r="BV43" s="81"/>
      <c r="BW43" s="81"/>
      <c r="BX43" s="81"/>
      <c r="BY43" s="81"/>
      <c r="BZ43" s="81"/>
      <c r="CA43" s="81"/>
      <c r="CB43" s="81"/>
      <c r="CC43" s="81"/>
      <c r="CD43" s="81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367"/>
        <v>InitUnitState('E111',6000,24000,,,120000,,,,,)</v>
      </c>
      <c r="CO43" s="96" t="str">
        <f t="shared" si="368"/>
        <v>InitUnitNormal('E111',,,,,,,,,6,)</v>
      </c>
      <c r="CP43" s="96" t="str">
        <f t="shared" si="369"/>
        <v>InitUnitMagic('E111',,,,,,,,,,)</v>
      </c>
      <c r="CQ43" s="96" t="str">
        <f t="shared" si="370"/>
        <v>InitUnitAdd('E111',,,,,,,,,,)</v>
      </c>
      <c r="CR43" s="96" t="str">
        <f t="shared" si="371"/>
        <v>InitEquipData('E111',400,"",,E112,,50,'','','','','','',"ReplaceableTextures\\CommandButtons\\BTNZ08.blp")</v>
      </c>
      <c r="CS43" s="96"/>
      <c r="CT43" s="96"/>
      <c r="CU43" s="98" t="str">
        <f t="shared" si="78"/>
        <v>|n攻击+6000|n业力+24000|n生命值+120000|n暴击+6%|n</v>
      </c>
      <c r="CV43" s="71" t="str">
        <f>"|Cffbbbbbb属性：|r"&amp;CU43&amp;VLOOKUP(A43,合成公式!A:P,16,FALSE)&amp;T43</f>
        <v>|Cffbbbbbb属性：|r|n攻击+6000|n业力+24000|n生命值+120000|n暴击+6%|n|n|Cff00ff7f击杀400只怪有50%概率升级|r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5">
      <c r="A44" s="73"/>
      <c r="B44" s="74" t="s">
        <v>278</v>
      </c>
      <c r="C44" s="81" t="s">
        <v>279</v>
      </c>
      <c r="D44" s="82">
        <v>400</v>
      </c>
      <c r="E44" s="76"/>
      <c r="F44" s="77"/>
      <c r="G44" s="78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5"/>
      <c r="Q44" s="85"/>
      <c r="R44" s="85"/>
      <c r="S44" s="85"/>
      <c r="T44" s="90" t="str">
        <f t="shared" si="366"/>
        <v>|n|Cff00ff7f击杀400只怪有50%概率升级|r</v>
      </c>
      <c r="U44" s="88" t="s">
        <v>277</v>
      </c>
      <c r="V44" s="89">
        <v>7000</v>
      </c>
      <c r="W44" s="89">
        <v>28000</v>
      </c>
      <c r="X44" s="89"/>
      <c r="Y44" s="89"/>
      <c r="Z44" s="89">
        <v>140000</v>
      </c>
      <c r="AA44" s="89"/>
      <c r="AB44" s="89"/>
      <c r="AC44" s="89"/>
      <c r="AD44" s="89"/>
      <c r="AE44" s="89"/>
      <c r="AF44" s="89"/>
      <c r="AG44" s="91"/>
      <c r="AH44" s="89"/>
      <c r="AI44" s="89"/>
      <c r="AJ44" s="89"/>
      <c r="AK44" s="89"/>
      <c r="AL44" s="91"/>
      <c r="AM44" s="89"/>
      <c r="AN44" s="71">
        <v>6</v>
      </c>
      <c r="AO44" s="89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81"/>
      <c r="BD44" s="81"/>
      <c r="BE44" s="81"/>
      <c r="BF44" s="81"/>
      <c r="BG44" s="81"/>
      <c r="BH44" s="81"/>
      <c r="BI44" s="81"/>
      <c r="BJ44" s="81"/>
      <c r="BK44" s="81"/>
      <c r="BL44" s="81"/>
      <c r="BM44" s="81"/>
      <c r="BN44" s="81"/>
      <c r="BO44" s="81"/>
      <c r="BP44" s="81"/>
      <c r="BQ44" s="81"/>
      <c r="BR44" s="81"/>
      <c r="BS44" s="81"/>
      <c r="BT44" s="81"/>
      <c r="BU44" s="81"/>
      <c r="BV44" s="81"/>
      <c r="BW44" s="81"/>
      <c r="BX44" s="81"/>
      <c r="BY44" s="81"/>
      <c r="BZ44" s="81"/>
      <c r="CA44" s="81"/>
      <c r="CB44" s="81"/>
      <c r="CC44" s="81"/>
      <c r="CD44" s="81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367"/>
        <v>InitUnitState('E112',7000,28000,,,140000,,,,,)</v>
      </c>
      <c r="CO44" s="96" t="str">
        <f t="shared" si="368"/>
        <v>InitUnitNormal('E112',,,,,,,,,6,)</v>
      </c>
      <c r="CP44" s="96" t="str">
        <f t="shared" si="369"/>
        <v>InitUnitMagic('E112',,,,,,,,,,)</v>
      </c>
      <c r="CQ44" s="96" t="str">
        <f t="shared" si="370"/>
        <v>InitUnitAdd('E112',,,,,,,,,,)</v>
      </c>
      <c r="CR44" s="96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InitEquipData('E112',400,"",,E113,,50,'','','','','','',"ReplaceableTextures\\CommandButtons\\BTNZ08.blp")</v>
      </c>
      <c r="CS44" s="96"/>
      <c r="CT44" s="96"/>
      <c r="CU44" s="98" t="str">
        <f t="shared" si="78"/>
        <v>|n攻击+7000|n业力+28000|n生命值+140000|n暴击+6%|n</v>
      </c>
      <c r="CV44" s="71" t="str">
        <f>"|Cffbbbbbb属性：|r"&amp;CU44&amp;VLOOKUP(A44,合成公式!A:P,16,FALSE)&amp;T44</f>
        <v>|Cffbbbbbb属性：|r|n攻击+7000|n业力+28000|n生命值+140000|n暴击+6%|n|n|Cff00ff7f击杀400只怪有50%概率升级|r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5">
      <c r="A45" s="73"/>
      <c r="B45" s="74" t="s">
        <v>280</v>
      </c>
      <c r="C45" s="81" t="s">
        <v>281</v>
      </c>
      <c r="D45" s="82">
        <v>400</v>
      </c>
      <c r="E45" s="76"/>
      <c r="F45" s="77"/>
      <c r="G45" s="78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5"/>
      <c r="Q45" s="85"/>
      <c r="R45" s="85"/>
      <c r="S45" s="85"/>
      <c r="T45" s="90" t="str">
        <f t="shared" si="366"/>
        <v>|n|Cff00ff7f击杀400只怪有50%概率升级|r</v>
      </c>
      <c r="U45" s="88" t="s">
        <v>277</v>
      </c>
      <c r="V45" s="89">
        <v>8000</v>
      </c>
      <c r="W45" s="89">
        <v>32000</v>
      </c>
      <c r="X45" s="89"/>
      <c r="Y45" s="89"/>
      <c r="Z45" s="89">
        <v>160000</v>
      </c>
      <c r="AA45" s="89"/>
      <c r="AB45" s="89"/>
      <c r="AC45" s="89"/>
      <c r="AD45" s="89"/>
      <c r="AE45" s="89"/>
      <c r="AF45" s="89"/>
      <c r="AG45" s="91"/>
      <c r="AH45" s="89"/>
      <c r="AI45" s="89"/>
      <c r="AJ45" s="89"/>
      <c r="AK45" s="89"/>
      <c r="AL45" s="91"/>
      <c r="AM45" s="89"/>
      <c r="AN45" s="71">
        <v>6</v>
      </c>
      <c r="AO45" s="89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81"/>
      <c r="BD45" s="81"/>
      <c r="BE45" s="81"/>
      <c r="BF45" s="81"/>
      <c r="BG45" s="81"/>
      <c r="BH45" s="81"/>
      <c r="BI45" s="81"/>
      <c r="BJ45" s="81"/>
      <c r="BK45" s="81"/>
      <c r="BL45" s="81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1"/>
      <c r="CB45" s="81"/>
      <c r="CC45" s="81"/>
      <c r="CD45" s="81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367"/>
        <v>InitUnitState('E113',8000,32000,,,160000,,,,,)</v>
      </c>
      <c r="CO45" s="96" t="str">
        <f t="shared" si="368"/>
        <v>InitUnitNormal('E113',,,,,,,,,6,)</v>
      </c>
      <c r="CP45" s="96" t="str">
        <f t="shared" si="369"/>
        <v>InitUnitMagic('E113',,,,,,,,,,)</v>
      </c>
      <c r="CQ45" s="96" t="str">
        <f t="shared" si="370"/>
        <v>InitUnitAdd('E113',,,,,,,,,,)</v>
      </c>
      <c r="CR45" s="96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InitEquipData('E113',400,"",,E114,,50,'','','','','','',"ReplaceableTextures\\CommandButtons\\BTNZ08.blp")</v>
      </c>
      <c r="CS45" s="96"/>
      <c r="CT45" s="96"/>
      <c r="CU45" s="98" t="str">
        <f t="shared" si="78"/>
        <v>|n攻击+8000|n业力+32000|n生命值+160000|n暴击+6%|n</v>
      </c>
      <c r="CV45" s="71" t="str">
        <f>"|Cffbbbbbb属性：|r"&amp;CU45&amp;VLOOKUP(A45,合成公式!A:P,16,FALSE)&amp;T45</f>
        <v>|Cffbbbbbb属性：|r|n攻击+8000|n业力+32000|n生命值+160000|n暴击+6%|n|n|Cff00ff7f击杀400只怪有50%概率升级|r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5">
      <c r="A46" s="73"/>
      <c r="B46" s="74" t="s">
        <v>282</v>
      </c>
      <c r="C46" s="81" t="s">
        <v>283</v>
      </c>
      <c r="D46" s="82">
        <v>400</v>
      </c>
      <c r="E46" s="76"/>
      <c r="F46" s="77"/>
      <c r="G46" s="78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5"/>
      <c r="Q46" s="85"/>
      <c r="R46" s="85"/>
      <c r="S46" s="85"/>
      <c r="T46" s="90" t="str">
        <f t="shared" si="366"/>
        <v>|n|Cff00ff7f击杀400只怪有50%概率升级|r</v>
      </c>
      <c r="U46" s="88" t="s">
        <v>277</v>
      </c>
      <c r="V46" s="89">
        <v>10000</v>
      </c>
      <c r="W46" s="89">
        <v>40000</v>
      </c>
      <c r="X46" s="89"/>
      <c r="Y46" s="89"/>
      <c r="Z46" s="89">
        <v>200000</v>
      </c>
      <c r="AA46" s="89"/>
      <c r="AB46" s="89"/>
      <c r="AC46" s="89"/>
      <c r="AD46" s="89"/>
      <c r="AE46" s="89"/>
      <c r="AF46" s="89"/>
      <c r="AG46" s="91"/>
      <c r="AH46" s="89"/>
      <c r="AI46" s="89"/>
      <c r="AJ46" s="89"/>
      <c r="AK46" s="89"/>
      <c r="AL46" s="91"/>
      <c r="AM46" s="89"/>
      <c r="AN46" s="71">
        <v>6</v>
      </c>
      <c r="AO46" s="89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81"/>
      <c r="BD46" s="81"/>
      <c r="BE46" s="81"/>
      <c r="BF46" s="81"/>
      <c r="BG46" s="81"/>
      <c r="BH46" s="81"/>
      <c r="BI46" s="81"/>
      <c r="BJ46" s="81"/>
      <c r="BK46" s="81"/>
      <c r="BL46" s="81"/>
      <c r="BM46" s="81"/>
      <c r="BN46" s="81"/>
      <c r="BO46" s="81"/>
      <c r="BP46" s="81"/>
      <c r="BQ46" s="81"/>
      <c r="BR46" s="81"/>
      <c r="BS46" s="81"/>
      <c r="BT46" s="81"/>
      <c r="BU46" s="81"/>
      <c r="BV46" s="81"/>
      <c r="BW46" s="81"/>
      <c r="BX46" s="81"/>
      <c r="BY46" s="81"/>
      <c r="BZ46" s="81"/>
      <c r="CA46" s="81"/>
      <c r="CB46" s="81"/>
      <c r="CC46" s="81"/>
      <c r="CD46" s="81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367"/>
        <v>InitUnitState('E114',10000,40000,,,200000,,,,,)</v>
      </c>
      <c r="CO46" s="96" t="str">
        <f t="shared" si="368"/>
        <v>InitUnitNormal('E114',,,,,,,,,6,)</v>
      </c>
      <c r="CP46" s="96" t="str">
        <f t="shared" si="369"/>
        <v>InitUnitMagic('E114',,,,,,,,,,)</v>
      </c>
      <c r="CQ46" s="96" t="str">
        <f t="shared" si="370"/>
        <v>InitUnitAdd('E114',,,,,,,,,,)</v>
      </c>
      <c r="CR46" s="96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InitEquipData('E114',400,"",,E115,,50,'','','','','','',"ReplaceableTextures\\CommandButtons\\BTNZ08.blp")</v>
      </c>
      <c r="CS46" s="96"/>
      <c r="CT46" s="96"/>
      <c r="CU46" s="98" t="str">
        <f t="shared" si="78"/>
        <v>|n攻击+10000|n业力+40000|n生命值+200000|n暴击+6%|n</v>
      </c>
      <c r="CV46" s="71" t="str">
        <f>"|Cffbbbbbb属性：|r"&amp;CU46&amp;VLOOKUP(A46,合成公式!A:P,16,FALSE)&amp;T46</f>
        <v>|Cffbbbbbb属性：|r|n攻击+10000|n业力+40000|n生命值+200000|n暴击+6%|n|n|Cff00ff7f击杀400只怪有50%概率升级|r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5">
      <c r="A47" s="73"/>
      <c r="B47" s="74" t="s">
        <v>284</v>
      </c>
      <c r="C47" s="81" t="s">
        <v>285</v>
      </c>
      <c r="D47" s="82">
        <v>800</v>
      </c>
      <c r="E47" s="76"/>
      <c r="F47" s="77"/>
      <c r="G47" s="78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5"/>
      <c r="Q47" s="85"/>
      <c r="R47" s="85"/>
      <c r="S47" s="85"/>
      <c r="T47" s="90" t="str">
        <f t="shared" si="366"/>
        <v>|n|Cff00ff7f击杀800只怪有50%概率升级|r</v>
      </c>
      <c r="U47" s="88" t="s">
        <v>277</v>
      </c>
      <c r="V47" s="89">
        <v>12000</v>
      </c>
      <c r="W47" s="89">
        <v>48000</v>
      </c>
      <c r="X47" s="89"/>
      <c r="Y47" s="89"/>
      <c r="Z47" s="89">
        <v>240000</v>
      </c>
      <c r="AA47" s="89"/>
      <c r="AB47" s="89"/>
      <c r="AC47" s="89"/>
      <c r="AD47" s="89"/>
      <c r="AE47" s="89"/>
      <c r="AF47" s="89"/>
      <c r="AG47" s="91"/>
      <c r="AH47" s="89"/>
      <c r="AI47" s="89"/>
      <c r="AJ47" s="89"/>
      <c r="AK47" s="89"/>
      <c r="AL47" s="91"/>
      <c r="AM47" s="89"/>
      <c r="AN47" s="71">
        <v>6</v>
      </c>
      <c r="AO47" s="89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81"/>
      <c r="BD47" s="81"/>
      <c r="BE47" s="81"/>
      <c r="BF47" s="81"/>
      <c r="BG47" s="81"/>
      <c r="BH47" s="81"/>
      <c r="BI47" s="81"/>
      <c r="BJ47" s="81"/>
      <c r="BK47" s="81"/>
      <c r="BL47" s="81"/>
      <c r="BM47" s="81"/>
      <c r="BN47" s="81"/>
      <c r="BO47" s="81"/>
      <c r="BP47" s="81"/>
      <c r="BQ47" s="81"/>
      <c r="BR47" s="81"/>
      <c r="BS47" s="81"/>
      <c r="BT47" s="81"/>
      <c r="BU47" s="81"/>
      <c r="BV47" s="81"/>
      <c r="BW47" s="81"/>
      <c r="BX47" s="81"/>
      <c r="BY47" s="81"/>
      <c r="BZ47" s="81"/>
      <c r="CA47" s="81"/>
      <c r="CB47" s="81"/>
      <c r="CC47" s="81"/>
      <c r="CD47" s="81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367"/>
        <v>InitUnitState('E115',12000,48000,,,240000,,,,,)</v>
      </c>
      <c r="CO47" s="96" t="str">
        <f t="shared" si="368"/>
        <v>InitUnitNormal('E115',,,,,,,,,6,)</v>
      </c>
      <c r="CP47" s="96" t="str">
        <f t="shared" si="369"/>
        <v>InitUnitMagic('E115',,,,,,,,,,)</v>
      </c>
      <c r="CQ47" s="96" t="str">
        <f t="shared" si="370"/>
        <v>InitUnitAdd('E115',,,,,,,,,,)</v>
      </c>
      <c r="CR47" s="96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InitEquipData('E115',800,"",,E116,,50,'','','','','','',"ReplaceableTextures\\CommandButtons\\BTNZ09.blp")</v>
      </c>
      <c r="CS47" s="96"/>
      <c r="CT47" s="96"/>
      <c r="CU47" s="98" t="str">
        <f t="shared" si="78"/>
        <v>|n攻击+12000|n业力+48000|n生命值+240000|n暴击+6%|n</v>
      </c>
      <c r="CV47" s="71" t="str">
        <f>"|Cffbbbbbb属性：|r"&amp;CU47&amp;VLOOKUP(A47,合成公式!A:P,16,FALSE)&amp;T47</f>
        <v>|Cffbbbbbb属性：|r|n攻击+12000|n业力+48000|n生命值+240000|n暴击+6%|n|n|Cff00ff7f击杀800只怪有50%概率升级|r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5">
      <c r="A48" s="73"/>
      <c r="B48" s="74" t="s">
        <v>286</v>
      </c>
      <c r="C48" s="83" t="s">
        <v>287</v>
      </c>
      <c r="D48" s="82">
        <v>600</v>
      </c>
      <c r="E48" s="76"/>
      <c r="F48" s="77"/>
      <c r="G48" s="78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5"/>
      <c r="Q48" s="85"/>
      <c r="R48" s="85"/>
      <c r="S48" s="85"/>
      <c r="T48" s="90" t="str">
        <f t="shared" ref="T48:T52" si="442">"|n|Cff00ff7f击杀"&amp;D48&amp;"只怪有50%概率升级|r"</f>
        <v>|n|Cff00ff7f击杀600只怪有50%概率升级|r</v>
      </c>
      <c r="U48" s="88" t="s">
        <v>1030</v>
      </c>
      <c r="V48" s="89">
        <v>18000</v>
      </c>
      <c r="W48" s="89">
        <v>72000</v>
      </c>
      <c r="X48" s="89"/>
      <c r="Y48" s="89"/>
      <c r="Z48" s="89">
        <v>360000</v>
      </c>
      <c r="AA48" s="89"/>
      <c r="AB48" s="89"/>
      <c r="AC48" s="89"/>
      <c r="AD48" s="89"/>
      <c r="AE48" s="89"/>
      <c r="AF48" s="89"/>
      <c r="AG48" s="91"/>
      <c r="AH48" s="89"/>
      <c r="AI48" s="89"/>
      <c r="AJ48" s="89"/>
      <c r="AK48" s="89"/>
      <c r="AL48" s="91"/>
      <c r="AM48" s="89"/>
      <c r="AN48" s="71">
        <v>8</v>
      </c>
      <c r="AO48" s="89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81"/>
      <c r="BD48" s="81"/>
      <c r="BE48" s="81"/>
      <c r="BF48" s="81"/>
      <c r="BG48" s="81"/>
      <c r="BH48" s="81"/>
      <c r="BI48" s="81"/>
      <c r="BJ48" s="81"/>
      <c r="BK48" s="81"/>
      <c r="BL48" s="81"/>
      <c r="BM48" s="81"/>
      <c r="BN48" s="81"/>
      <c r="BO48" s="81"/>
      <c r="BP48" s="81"/>
      <c r="BQ48" s="81"/>
      <c r="BR48" s="81"/>
      <c r="BS48" s="81"/>
      <c r="BT48" s="81"/>
      <c r="BU48" s="81"/>
      <c r="BV48" s="81"/>
      <c r="BW48" s="81"/>
      <c r="BX48" s="81"/>
      <c r="BY48" s="81"/>
      <c r="BZ48" s="81"/>
      <c r="CA48" s="81"/>
      <c r="CB48" s="81"/>
      <c r="CC48" s="81"/>
      <c r="CD48" s="81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6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6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6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6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InitEquipData('E116',600,"",,E117,,50,'','','','','','',"ReplaceableTextures\\CommandButtons\\BTNZ24.blp")</v>
      </c>
      <c r="CS48" s="96"/>
      <c r="CT48" s="96"/>
      <c r="CU48" s="98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71" t="str">
        <f>"|Cffbbbbbb属性：|r"&amp;CU48&amp;VLOOKUP(A48,合成公式!A:P,16,FALSE)&amp;T48</f>
        <v>|Cffbbbbbb属性：|r|n攻击+18000|n业力+72000|n生命值+360000|n暴击+8%|n|n|Cff00ff7f击杀600只怪有50%概率升级|r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5">
      <c r="A49" s="73"/>
      <c r="B49" s="74" t="s">
        <v>288</v>
      </c>
      <c r="C49" s="83" t="s">
        <v>289</v>
      </c>
      <c r="D49" s="82">
        <v>600</v>
      </c>
      <c r="E49" s="76"/>
      <c r="F49" s="77"/>
      <c r="G49" s="78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5"/>
      <c r="Q49" s="85"/>
      <c r="R49" s="85"/>
      <c r="S49" s="85"/>
      <c r="T49" s="90" t="str">
        <f t="shared" si="442"/>
        <v>|n|Cff00ff7f击杀600只怪有50%概率升级|r</v>
      </c>
      <c r="U49" s="88" t="s">
        <v>1030</v>
      </c>
      <c r="V49" s="89">
        <v>21000</v>
      </c>
      <c r="W49" s="89">
        <v>84000</v>
      </c>
      <c r="X49" s="89"/>
      <c r="Y49" s="89"/>
      <c r="Z49" s="89">
        <v>420000</v>
      </c>
      <c r="AA49" s="89"/>
      <c r="AB49" s="89"/>
      <c r="AC49" s="89"/>
      <c r="AD49" s="89"/>
      <c r="AE49" s="89"/>
      <c r="AF49" s="89"/>
      <c r="AG49" s="91"/>
      <c r="AH49" s="89"/>
      <c r="AI49" s="89"/>
      <c r="AJ49" s="89"/>
      <c r="AK49" s="89"/>
      <c r="AL49" s="91"/>
      <c r="AM49" s="89"/>
      <c r="AN49" s="71">
        <v>8</v>
      </c>
      <c r="AO49" s="89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81"/>
      <c r="BD49" s="81"/>
      <c r="BE49" s="81"/>
      <c r="BF49" s="81"/>
      <c r="BG49" s="81"/>
      <c r="BH49" s="81"/>
      <c r="BI49" s="81"/>
      <c r="BJ49" s="81"/>
      <c r="BK49" s="81"/>
      <c r="BL49" s="81"/>
      <c r="BM49" s="81"/>
      <c r="BN49" s="81"/>
      <c r="BO49" s="81"/>
      <c r="BP49" s="81"/>
      <c r="BQ49" s="81"/>
      <c r="BR49" s="81"/>
      <c r="BS49" s="81"/>
      <c r="BT49" s="81"/>
      <c r="BU49" s="81"/>
      <c r="BV49" s="81"/>
      <c r="BW49" s="81"/>
      <c r="BX49" s="81"/>
      <c r="BY49" s="81"/>
      <c r="BZ49" s="81"/>
      <c r="CA49" s="81"/>
      <c r="CB49" s="81"/>
      <c r="CC49" s="81"/>
      <c r="CD49" s="81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443"/>
        <v>InitUnitState('E117',21000,84000,,,420000,,,,,)</v>
      </c>
      <c r="CO49" s="96" t="str">
        <f t="shared" si="444"/>
        <v>InitUnitNormal('E117',,,,,,,,,8,)</v>
      </c>
      <c r="CP49" s="96" t="str">
        <f t="shared" si="445"/>
        <v>InitUnitMagic('E117',,,,,,,,,,)</v>
      </c>
      <c r="CQ49" s="96" t="str">
        <f t="shared" si="446"/>
        <v>InitUnitAdd('E117',,,,,,,,,,)</v>
      </c>
      <c r="CR49" s="96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InitEquipData('E117',600,"",,E118,,50,'','','','','','',"ReplaceableTextures\\CommandButtons\\BTNZ24.blp")</v>
      </c>
      <c r="CS49" s="96"/>
      <c r="CT49" s="96"/>
      <c r="CU49" s="98" t="str">
        <f t="shared" si="448"/>
        <v>|n攻击+21000|n业力+84000|n生命值+420000|n暴击+8%|n</v>
      </c>
      <c r="CV49" s="71" t="str">
        <f>"|Cffbbbbbb属性：|r"&amp;CU49&amp;VLOOKUP(A49,合成公式!A:P,16,FALSE)&amp;T49</f>
        <v>|Cffbbbbbb属性：|r|n攻击+21000|n业力+84000|n生命值+420000|n暴击+8%|n|n|Cff00ff7f击杀600只怪有50%概率升级|r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5">
      <c r="A50" s="73"/>
      <c r="B50" s="74" t="s">
        <v>290</v>
      </c>
      <c r="C50" s="83" t="s">
        <v>291</v>
      </c>
      <c r="D50" s="82">
        <v>600</v>
      </c>
      <c r="E50" s="76"/>
      <c r="F50" s="77"/>
      <c r="G50" s="78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5"/>
      <c r="Q50" s="85"/>
      <c r="R50" s="85"/>
      <c r="S50" s="85"/>
      <c r="T50" s="90" t="str">
        <f t="shared" si="442"/>
        <v>|n|Cff00ff7f击杀600只怪有50%概率升级|r</v>
      </c>
      <c r="U50" s="88" t="s">
        <v>1030</v>
      </c>
      <c r="V50" s="89">
        <v>24000</v>
      </c>
      <c r="W50" s="89">
        <v>96000</v>
      </c>
      <c r="X50" s="89"/>
      <c r="Y50" s="89"/>
      <c r="Z50" s="89">
        <v>480000</v>
      </c>
      <c r="AA50" s="89"/>
      <c r="AB50" s="89"/>
      <c r="AC50" s="89"/>
      <c r="AD50" s="89"/>
      <c r="AE50" s="89"/>
      <c r="AF50" s="89"/>
      <c r="AG50" s="91"/>
      <c r="AH50" s="89"/>
      <c r="AI50" s="89"/>
      <c r="AJ50" s="89"/>
      <c r="AK50" s="89"/>
      <c r="AL50" s="91"/>
      <c r="AM50" s="89"/>
      <c r="AN50" s="71">
        <v>8</v>
      </c>
      <c r="AO50" s="89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81"/>
      <c r="BD50" s="81"/>
      <c r="BE50" s="81"/>
      <c r="BF50" s="81"/>
      <c r="BG50" s="81"/>
      <c r="BH50" s="81"/>
      <c r="BI50" s="81"/>
      <c r="BJ50" s="81"/>
      <c r="BK50" s="81"/>
      <c r="BL50" s="81"/>
      <c r="BM50" s="81"/>
      <c r="BN50" s="81"/>
      <c r="BO50" s="81"/>
      <c r="BP50" s="81"/>
      <c r="BQ50" s="81"/>
      <c r="BR50" s="81"/>
      <c r="BS50" s="81"/>
      <c r="BT50" s="81"/>
      <c r="BU50" s="81"/>
      <c r="BV50" s="81"/>
      <c r="BW50" s="81"/>
      <c r="BX50" s="81"/>
      <c r="BY50" s="81"/>
      <c r="BZ50" s="81"/>
      <c r="CA50" s="81"/>
      <c r="CB50" s="81"/>
      <c r="CC50" s="81"/>
      <c r="CD50" s="81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443"/>
        <v>InitUnitState('E118',24000,96000,,,480000,,,,,)</v>
      </c>
      <c r="CO50" s="96" t="str">
        <f t="shared" si="444"/>
        <v>InitUnitNormal('E118',,,,,,,,,8,)</v>
      </c>
      <c r="CP50" s="96" t="str">
        <f t="shared" si="445"/>
        <v>InitUnitMagic('E118',,,,,,,,,,)</v>
      </c>
      <c r="CQ50" s="96" t="str">
        <f t="shared" si="446"/>
        <v>InitUnitAdd('E118',,,,,,,,,,)</v>
      </c>
      <c r="CR50" s="96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InitEquipData('E118',600,"",,E119,,50,'','','','','','',"ReplaceableTextures\\CommandButtons\\BTNZ24.blp")</v>
      </c>
      <c r="CS50" s="96"/>
      <c r="CT50" s="96"/>
      <c r="CU50" s="98" t="str">
        <f t="shared" si="448"/>
        <v>|n攻击+24000|n业力+96000|n生命值+480000|n暴击+8%|n</v>
      </c>
      <c r="CV50" s="71" t="str">
        <f>"|Cffbbbbbb属性：|r"&amp;CU50&amp;VLOOKUP(A50,合成公式!A:P,16,FALSE)&amp;T50</f>
        <v>|Cffbbbbbb属性：|r|n攻击+24000|n业力+96000|n生命值+480000|n暴击+8%|n|n|Cff00ff7f击杀600只怪有50%概率升级|r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5">
      <c r="A51" s="73"/>
      <c r="B51" s="74" t="s">
        <v>292</v>
      </c>
      <c r="C51" s="83" t="s">
        <v>293</v>
      </c>
      <c r="D51" s="82">
        <v>600</v>
      </c>
      <c r="E51" s="76"/>
      <c r="F51" s="77"/>
      <c r="G51" s="78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5"/>
      <c r="Q51" s="85"/>
      <c r="R51" s="85"/>
      <c r="S51" s="85"/>
      <c r="T51" s="90" t="str">
        <f t="shared" si="442"/>
        <v>|n|Cff00ff7f击杀600只怪有50%概率升级|r</v>
      </c>
      <c r="U51" s="88" t="s">
        <v>1030</v>
      </c>
      <c r="V51" s="89">
        <v>27000</v>
      </c>
      <c r="W51" s="89">
        <v>108000</v>
      </c>
      <c r="X51" s="89"/>
      <c r="Y51" s="89"/>
      <c r="Z51" s="89">
        <v>540000</v>
      </c>
      <c r="AA51" s="89"/>
      <c r="AB51" s="89"/>
      <c r="AC51" s="89"/>
      <c r="AD51" s="89"/>
      <c r="AE51" s="89"/>
      <c r="AF51" s="89"/>
      <c r="AG51" s="91"/>
      <c r="AH51" s="89"/>
      <c r="AI51" s="89"/>
      <c r="AJ51" s="89"/>
      <c r="AK51" s="89"/>
      <c r="AL51" s="91"/>
      <c r="AM51" s="89"/>
      <c r="AN51" s="71">
        <v>8</v>
      </c>
      <c r="AO51" s="89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81"/>
      <c r="BD51" s="81"/>
      <c r="BE51" s="81"/>
      <c r="BF51" s="81"/>
      <c r="BG51" s="81"/>
      <c r="BH51" s="81"/>
      <c r="BI51" s="81"/>
      <c r="BJ51" s="81"/>
      <c r="BK51" s="81"/>
      <c r="BL51" s="81"/>
      <c r="BM51" s="81"/>
      <c r="BN51" s="81"/>
      <c r="BO51" s="81"/>
      <c r="BP51" s="81"/>
      <c r="BQ51" s="81"/>
      <c r="BR51" s="81"/>
      <c r="BS51" s="81"/>
      <c r="BT51" s="81"/>
      <c r="BU51" s="81"/>
      <c r="BV51" s="81"/>
      <c r="BW51" s="81"/>
      <c r="BX51" s="81"/>
      <c r="BY51" s="81"/>
      <c r="BZ51" s="81"/>
      <c r="CA51" s="81"/>
      <c r="CB51" s="81"/>
      <c r="CC51" s="81"/>
      <c r="CD51" s="81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443"/>
        <v>InitUnitState('E119',27000,108000,,,540000,,,,,)</v>
      </c>
      <c r="CO51" s="96" t="str">
        <f t="shared" si="444"/>
        <v>InitUnitNormal('E119',,,,,,,,,8,)</v>
      </c>
      <c r="CP51" s="96" t="str">
        <f t="shared" si="445"/>
        <v>InitUnitMagic('E119',,,,,,,,,,)</v>
      </c>
      <c r="CQ51" s="96" t="str">
        <f t="shared" si="446"/>
        <v>InitUnitAdd('E119',,,,,,,,,,)</v>
      </c>
      <c r="CR51" s="96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InitEquipData('E119',600,"",,E120,,50,'','','','','','',"ReplaceableTextures\\CommandButtons\\BTNZ24.blp")</v>
      </c>
      <c r="CS51" s="96"/>
      <c r="CT51" s="96"/>
      <c r="CU51" s="98" t="str">
        <f t="shared" si="448"/>
        <v>|n攻击+27000|n业力+108000|n生命值+540000|n暴击+8%|n</v>
      </c>
      <c r="CV51" s="71" t="str">
        <f>"|Cffbbbbbb属性：|r"&amp;CU51&amp;VLOOKUP(A51,合成公式!A:P,16,FALSE)&amp;T51</f>
        <v>|Cffbbbbbb属性：|r|n攻击+27000|n业力+108000|n生命值+540000|n暴击+8%|n|n|Cff00ff7f击杀600只怪有50%概率升级|r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5">
      <c r="A52" s="73"/>
      <c r="B52" s="74" t="s">
        <v>294</v>
      </c>
      <c r="C52" s="83" t="s">
        <v>295</v>
      </c>
      <c r="D52" s="82">
        <v>1200</v>
      </c>
      <c r="E52" s="76"/>
      <c r="F52" s="77"/>
      <c r="G52" s="78">
        <v>50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5"/>
      <c r="Q52" s="85"/>
      <c r="R52" s="85"/>
      <c r="S52" s="85"/>
      <c r="T52" s="90" t="str">
        <f t="shared" si="442"/>
        <v>|n|Cff00ff7f击杀1200只怪有50%概率升级|r</v>
      </c>
      <c r="U52" s="88" t="s">
        <v>1030</v>
      </c>
      <c r="V52" s="89">
        <v>30000</v>
      </c>
      <c r="W52" s="89">
        <v>120000</v>
      </c>
      <c r="X52" s="89"/>
      <c r="Y52" s="89"/>
      <c r="Z52" s="89">
        <v>600000</v>
      </c>
      <c r="AA52" s="89"/>
      <c r="AB52" s="89"/>
      <c r="AC52" s="89"/>
      <c r="AD52" s="89"/>
      <c r="AE52" s="89"/>
      <c r="AF52" s="89"/>
      <c r="AG52" s="91"/>
      <c r="AH52" s="89"/>
      <c r="AI52" s="89"/>
      <c r="AJ52" s="89"/>
      <c r="AK52" s="89"/>
      <c r="AL52" s="91"/>
      <c r="AM52" s="89"/>
      <c r="AN52" s="71">
        <v>8</v>
      </c>
      <c r="AO52" s="89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81"/>
      <c r="BD52" s="81"/>
      <c r="BE52" s="81"/>
      <c r="BF52" s="81"/>
      <c r="BG52" s="81"/>
      <c r="BH52" s="81"/>
      <c r="BI52" s="81"/>
      <c r="BJ52" s="81"/>
      <c r="BK52" s="81"/>
      <c r="BL52" s="81"/>
      <c r="BM52" s="81"/>
      <c r="BN52" s="81"/>
      <c r="BO52" s="81"/>
      <c r="BP52" s="81"/>
      <c r="BQ52" s="81"/>
      <c r="BR52" s="81"/>
      <c r="BS52" s="81"/>
      <c r="BT52" s="81"/>
      <c r="BU52" s="81"/>
      <c r="BV52" s="81"/>
      <c r="BW52" s="81"/>
      <c r="BX52" s="81"/>
      <c r="BY52" s="81"/>
      <c r="BZ52" s="81"/>
      <c r="CA52" s="81"/>
      <c r="CB52" s="81"/>
      <c r="CC52" s="81"/>
      <c r="CD52" s="81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443"/>
        <v>InitUnitState('E120',30000,120000,,,600000,,,,,)</v>
      </c>
      <c r="CO52" s="96" t="str">
        <f t="shared" si="444"/>
        <v>InitUnitNormal('E120',,,,,,,,,8,)</v>
      </c>
      <c r="CP52" s="96" t="str">
        <f t="shared" si="445"/>
        <v>InitUnitMagic('E120',,,,,,,,,,)</v>
      </c>
      <c r="CQ52" s="96" t="str">
        <f t="shared" si="446"/>
        <v>InitUnitAdd('E120',,,,,,,,,,)</v>
      </c>
      <c r="CR52" s="96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InitEquipData('E120',1200,"",,E121,,50,'','','','','','',"ReplaceableTextures\\CommandButtons\\BTNZ10.blp")</v>
      </c>
      <c r="CS52" s="96"/>
      <c r="CT52" s="96"/>
      <c r="CU52" s="98" t="str">
        <f t="shared" si="448"/>
        <v>|n攻击+30000|n业力+120000|n生命值+600000|n暴击+8%|n</v>
      </c>
      <c r="CV52" s="71" t="str">
        <f>"|Cffbbbbbb属性：|r"&amp;CU52&amp;VLOOKUP(A52,合成公式!A:P,16,FALSE)&amp;T52</f>
        <v>|Cffbbbbbb属性：|r|n攻击+30000|n业力+120000|n生命值+600000|n暴击+8%|n|n|Cff00ff7f击杀1200只怪有50%概率升级|r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5">
      <c r="A53" s="73"/>
      <c r="B53" s="74" t="s">
        <v>296</v>
      </c>
      <c r="C53" s="81" t="s">
        <v>297</v>
      </c>
      <c r="D53" s="82">
        <v>800</v>
      </c>
      <c r="E53" s="76"/>
      <c r="F53" s="77"/>
      <c r="G53" s="78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5"/>
      <c r="Q53" s="85"/>
      <c r="R53" s="85"/>
      <c r="S53" s="85"/>
      <c r="T53" s="90" t="str">
        <f t="shared" si="366"/>
        <v>|n|Cff00ff7f击杀800只怪有50%概率升级|r</v>
      </c>
      <c r="U53" s="88" t="s">
        <v>298</v>
      </c>
      <c r="V53" s="89">
        <v>40000</v>
      </c>
      <c r="W53" s="89">
        <v>160000</v>
      </c>
      <c r="X53" s="89"/>
      <c r="Y53" s="89"/>
      <c r="Z53" s="89">
        <v>800000</v>
      </c>
      <c r="AA53" s="89"/>
      <c r="AB53" s="89"/>
      <c r="AC53" s="89"/>
      <c r="AD53" s="89"/>
      <c r="AE53" s="89"/>
      <c r="AF53" s="89"/>
      <c r="AG53" s="91"/>
      <c r="AH53" s="89"/>
      <c r="AI53" s="89"/>
      <c r="AJ53" s="89"/>
      <c r="AK53" s="89"/>
      <c r="AL53" s="91"/>
      <c r="AM53" s="89"/>
      <c r="AN53" s="71">
        <v>10</v>
      </c>
      <c r="AO53" s="89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81"/>
      <c r="BD53" s="81"/>
      <c r="BE53" s="81"/>
      <c r="BF53" s="81"/>
      <c r="BG53" s="81"/>
      <c r="BH53" s="81"/>
      <c r="BI53" s="81"/>
      <c r="BJ53" s="81"/>
      <c r="BK53" s="81"/>
      <c r="BL53" s="81"/>
      <c r="BM53" s="81"/>
      <c r="BN53" s="81"/>
      <c r="BO53" s="81"/>
      <c r="BP53" s="81"/>
      <c r="BQ53" s="81"/>
      <c r="BR53" s="81"/>
      <c r="BS53" s="81"/>
      <c r="BT53" s="81"/>
      <c r="BU53" s="81"/>
      <c r="BV53" s="81"/>
      <c r="BW53" s="81"/>
      <c r="BX53" s="81"/>
      <c r="BY53" s="81"/>
      <c r="BZ53" s="81"/>
      <c r="CA53" s="81"/>
      <c r="CB53" s="81"/>
      <c r="CC53" s="81"/>
      <c r="CD53" s="81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367"/>
        <v>InitUnitState('E121',40000,160000,,,800000,,,,,)</v>
      </c>
      <c r="CO53" s="96" t="str">
        <f t="shared" si="368"/>
        <v>InitUnitNormal('E121',,,,,,,,,10,)</v>
      </c>
      <c r="CP53" s="96" t="str">
        <f t="shared" si="369"/>
        <v>InitUnitMagic('E121',,,,,,,,,,)</v>
      </c>
      <c r="CQ53" s="96" t="str">
        <f t="shared" si="370"/>
        <v>InitUnitAdd('E121',,,,,,,,,,)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6"/>
      <c r="CT53" s="96"/>
      <c r="CU53" s="98" t="str">
        <f t="shared" si="78"/>
        <v>|n攻击+40000|n业力+160000|n生命值+800000|n暴击+10%|n</v>
      </c>
      <c r="CV53" s="71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5">
      <c r="A54" s="73"/>
      <c r="B54" s="74" t="s">
        <v>299</v>
      </c>
      <c r="C54" s="81" t="s">
        <v>300</v>
      </c>
      <c r="D54" s="82">
        <v>800</v>
      </c>
      <c r="E54" s="76"/>
      <c r="F54" s="77"/>
      <c r="G54" s="78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5"/>
      <c r="Q54" s="85"/>
      <c r="R54" s="85"/>
      <c r="S54" s="85"/>
      <c r="T54" s="90" t="str">
        <f t="shared" si="366"/>
        <v>|n|Cff00ff7f击杀800只怪有50%概率升级|r</v>
      </c>
      <c r="U54" s="88" t="s">
        <v>298</v>
      </c>
      <c r="V54" s="89">
        <v>45000</v>
      </c>
      <c r="W54" s="89">
        <v>180000</v>
      </c>
      <c r="X54" s="89"/>
      <c r="Y54" s="89"/>
      <c r="Z54" s="89">
        <v>900000</v>
      </c>
      <c r="AA54" s="89"/>
      <c r="AB54" s="89"/>
      <c r="AC54" s="89"/>
      <c r="AD54" s="89"/>
      <c r="AE54" s="89"/>
      <c r="AF54" s="89"/>
      <c r="AG54" s="91"/>
      <c r="AH54" s="89"/>
      <c r="AI54" s="89"/>
      <c r="AJ54" s="89"/>
      <c r="AK54" s="89"/>
      <c r="AL54" s="91"/>
      <c r="AM54" s="89"/>
      <c r="AN54" s="71">
        <v>10</v>
      </c>
      <c r="AO54" s="89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81"/>
      <c r="BD54" s="81"/>
      <c r="BE54" s="81"/>
      <c r="BF54" s="81"/>
      <c r="BG54" s="81"/>
      <c r="BH54" s="81"/>
      <c r="BI54" s="81"/>
      <c r="BJ54" s="81"/>
      <c r="BK54" s="81"/>
      <c r="BL54" s="81"/>
      <c r="BM54" s="81"/>
      <c r="BN54" s="81"/>
      <c r="BO54" s="81"/>
      <c r="BP54" s="81"/>
      <c r="BQ54" s="81"/>
      <c r="BR54" s="81"/>
      <c r="BS54" s="81"/>
      <c r="BT54" s="81"/>
      <c r="BU54" s="81"/>
      <c r="BV54" s="81"/>
      <c r="BW54" s="81"/>
      <c r="BX54" s="81"/>
      <c r="BY54" s="81"/>
      <c r="BZ54" s="81"/>
      <c r="CA54" s="81"/>
      <c r="CB54" s="81"/>
      <c r="CC54" s="81"/>
      <c r="CD54" s="81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367"/>
        <v>InitUnitState('E122',45000,180000,,,900000,,,,,)</v>
      </c>
      <c r="CO54" s="96" t="str">
        <f t="shared" si="368"/>
        <v>InitUnitNormal('E122',,,,,,,,,10,)</v>
      </c>
      <c r="CP54" s="96" t="str">
        <f t="shared" si="369"/>
        <v>InitUnitMagic('E122',,,,,,,,,,)</v>
      </c>
      <c r="CQ54" s="96" t="str">
        <f t="shared" si="370"/>
        <v>InitUnitAdd('E122',,,,,,,,,,)</v>
      </c>
      <c r="CR54" s="96" t="str">
        <f t="shared" si="371"/>
        <v>InitEquipData('E122',800,"",,E123,,50,'','','','','','',"ReplaceableTextures\\CommandButtons\\BTNZ09.blp")</v>
      </c>
      <c r="CS54" s="96"/>
      <c r="CT54" s="96"/>
      <c r="CU54" s="98" t="str">
        <f t="shared" si="78"/>
        <v>|n攻击+45000|n业力+180000|n生命值+900000|n暴击+10%|n</v>
      </c>
      <c r="CV54" s="71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5">
      <c r="A55" s="73"/>
      <c r="B55" s="74" t="s">
        <v>301</v>
      </c>
      <c r="C55" s="81" t="s">
        <v>302</v>
      </c>
      <c r="D55" s="82">
        <v>800</v>
      </c>
      <c r="E55" s="76"/>
      <c r="F55" s="77"/>
      <c r="G55" s="78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5"/>
      <c r="Q55" s="85"/>
      <c r="R55" s="85"/>
      <c r="S55" s="85"/>
      <c r="T55" s="90" t="str">
        <f t="shared" si="366"/>
        <v>|n|Cff00ff7f击杀800只怪有50%概率升级|r</v>
      </c>
      <c r="U55" s="88" t="s">
        <v>298</v>
      </c>
      <c r="V55" s="89">
        <v>50000</v>
      </c>
      <c r="W55" s="89">
        <v>200000</v>
      </c>
      <c r="X55" s="89"/>
      <c r="Y55" s="89"/>
      <c r="Z55" s="89">
        <v>1000000</v>
      </c>
      <c r="AA55" s="89"/>
      <c r="AB55" s="89"/>
      <c r="AC55" s="89"/>
      <c r="AD55" s="89"/>
      <c r="AE55" s="89"/>
      <c r="AF55" s="89"/>
      <c r="AG55" s="91"/>
      <c r="AH55" s="89"/>
      <c r="AI55" s="89"/>
      <c r="AJ55" s="89"/>
      <c r="AK55" s="89"/>
      <c r="AL55" s="91"/>
      <c r="AM55" s="89"/>
      <c r="AN55" s="71">
        <v>10</v>
      </c>
      <c r="AO55" s="89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81"/>
      <c r="BD55" s="81"/>
      <c r="BE55" s="81"/>
      <c r="BF55" s="81"/>
      <c r="BG55" s="81"/>
      <c r="BH55" s="81"/>
      <c r="BI55" s="81"/>
      <c r="BJ55" s="81"/>
      <c r="BK55" s="81"/>
      <c r="BL55" s="81"/>
      <c r="BM55" s="81"/>
      <c r="BN55" s="81"/>
      <c r="BO55" s="81"/>
      <c r="BP55" s="81"/>
      <c r="BQ55" s="81"/>
      <c r="BR55" s="81"/>
      <c r="BS55" s="81"/>
      <c r="BT55" s="81"/>
      <c r="BU55" s="81"/>
      <c r="BV55" s="81"/>
      <c r="BW55" s="81"/>
      <c r="BX55" s="81"/>
      <c r="BY55" s="81"/>
      <c r="BZ55" s="81"/>
      <c r="CA55" s="81"/>
      <c r="CB55" s="81"/>
      <c r="CC55" s="81"/>
      <c r="CD55" s="81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367"/>
        <v>InitUnitState('E123',50000,200000,,,1000000,,,,,)</v>
      </c>
      <c r="CO55" s="96" t="str">
        <f t="shared" si="368"/>
        <v>InitUnitNormal('E123',,,,,,,,,10,)</v>
      </c>
      <c r="CP55" s="96" t="str">
        <f t="shared" si="369"/>
        <v>InitUnitMagic('E123',,,,,,,,,,)</v>
      </c>
      <c r="CQ55" s="96" t="str">
        <f t="shared" si="370"/>
        <v>InitUnitAdd('E123',,,,,,,,,,)</v>
      </c>
      <c r="CR55" s="96" t="str">
        <f t="shared" si="371"/>
        <v>InitEquipData('E123',800,"",,E124,,50,'','','','','','',"ReplaceableTextures\\CommandButtons\\BTNZ09.blp")</v>
      </c>
      <c r="CS55" s="96"/>
      <c r="CT55" s="96"/>
      <c r="CU55" s="98" t="str">
        <f t="shared" si="78"/>
        <v>|n攻击+50000|n业力+200000|n生命值+1000000|n暴击+10%|n</v>
      </c>
      <c r="CV55" s="71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5">
      <c r="A56" s="73"/>
      <c r="B56" s="74" t="s">
        <v>303</v>
      </c>
      <c r="C56" s="81" t="s">
        <v>304</v>
      </c>
      <c r="D56" s="82">
        <v>800</v>
      </c>
      <c r="E56" s="76"/>
      <c r="F56" s="77"/>
      <c r="G56" s="78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5"/>
      <c r="Q56" s="85"/>
      <c r="R56" s="85"/>
      <c r="S56" s="85"/>
      <c r="T56" s="90" t="str">
        <f t="shared" si="366"/>
        <v>|n|Cff00ff7f击杀800只怪有50%概率升级|r</v>
      </c>
      <c r="U56" s="88" t="s">
        <v>298</v>
      </c>
      <c r="V56" s="89">
        <v>55000</v>
      </c>
      <c r="W56" s="89">
        <v>220000</v>
      </c>
      <c r="X56" s="89"/>
      <c r="Y56" s="89"/>
      <c r="Z56" s="89">
        <v>1100000</v>
      </c>
      <c r="AA56" s="89"/>
      <c r="AB56" s="89"/>
      <c r="AC56" s="89"/>
      <c r="AD56" s="89"/>
      <c r="AE56" s="89"/>
      <c r="AF56" s="89"/>
      <c r="AG56" s="91"/>
      <c r="AH56" s="89"/>
      <c r="AI56" s="89"/>
      <c r="AJ56" s="89"/>
      <c r="AK56" s="89"/>
      <c r="AL56" s="91"/>
      <c r="AM56" s="89"/>
      <c r="AN56" s="71">
        <v>10</v>
      </c>
      <c r="AO56" s="89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81"/>
      <c r="BD56" s="81"/>
      <c r="BE56" s="81"/>
      <c r="BF56" s="81"/>
      <c r="BG56" s="81"/>
      <c r="BH56" s="81"/>
      <c r="BI56" s="81"/>
      <c r="BJ56" s="81"/>
      <c r="BK56" s="81"/>
      <c r="BL56" s="81"/>
      <c r="BM56" s="81"/>
      <c r="BN56" s="81"/>
      <c r="BO56" s="81"/>
      <c r="BP56" s="81"/>
      <c r="BQ56" s="81"/>
      <c r="BR56" s="81"/>
      <c r="BS56" s="81"/>
      <c r="BT56" s="81"/>
      <c r="BU56" s="81"/>
      <c r="BV56" s="81"/>
      <c r="BW56" s="81"/>
      <c r="BX56" s="81"/>
      <c r="BY56" s="81"/>
      <c r="BZ56" s="81"/>
      <c r="CA56" s="81"/>
      <c r="CB56" s="81"/>
      <c r="CC56" s="81"/>
      <c r="CD56" s="81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367"/>
        <v>InitUnitState('E124',55000,220000,,,1100000,,,,,)</v>
      </c>
      <c r="CO56" s="96" t="str">
        <f t="shared" si="368"/>
        <v>InitUnitNormal('E124',,,,,,,,,10,)</v>
      </c>
      <c r="CP56" s="96" t="str">
        <f t="shared" si="369"/>
        <v>InitUnitMagic('E124',,,,,,,,,,)</v>
      </c>
      <c r="CQ56" s="96" t="str">
        <f t="shared" si="370"/>
        <v>InitUnitAdd('E124',,,,,,,,,,)</v>
      </c>
      <c r="CR56" s="96" t="str">
        <f t="shared" si="371"/>
        <v>InitEquipData('E124',800,"",,E125,,50,'','','','','','',"ReplaceableTextures\\CommandButtons\\BTNZ09.blp")</v>
      </c>
      <c r="CS56" s="96"/>
      <c r="CT56" s="96"/>
      <c r="CU56" s="98" t="str">
        <f t="shared" si="78"/>
        <v>|n攻击+55000|n业力+220000|n生命值+1100000|n暴击+10%|n</v>
      </c>
      <c r="CV56" s="71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5">
      <c r="A57" s="73"/>
      <c r="B57" s="74" t="s">
        <v>305</v>
      </c>
      <c r="C57" s="81" t="s">
        <v>306</v>
      </c>
      <c r="D57" s="82">
        <v>1600</v>
      </c>
      <c r="E57" s="76"/>
      <c r="F57" s="77"/>
      <c r="G57" s="78">
        <v>50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5"/>
      <c r="Q57" s="85"/>
      <c r="R57" s="85"/>
      <c r="S57" s="85"/>
      <c r="T57" s="90" t="str">
        <f t="shared" si="366"/>
        <v>|n|Cff00ff7f击杀1600只怪有50%概率升级|r</v>
      </c>
      <c r="U57" s="88" t="s">
        <v>298</v>
      </c>
      <c r="V57" s="89">
        <v>60000</v>
      </c>
      <c r="W57" s="89">
        <v>240000</v>
      </c>
      <c r="X57" s="89"/>
      <c r="Y57" s="89"/>
      <c r="Z57" s="89">
        <v>1200000</v>
      </c>
      <c r="AA57" s="89"/>
      <c r="AB57" s="89"/>
      <c r="AC57" s="89"/>
      <c r="AD57" s="89"/>
      <c r="AE57" s="89"/>
      <c r="AF57" s="89"/>
      <c r="AG57" s="91"/>
      <c r="AH57" s="89"/>
      <c r="AI57" s="89"/>
      <c r="AJ57" s="89"/>
      <c r="AK57" s="89"/>
      <c r="AL57" s="91"/>
      <c r="AM57" s="89"/>
      <c r="AN57" s="71">
        <v>10</v>
      </c>
      <c r="AO57" s="89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81"/>
      <c r="BD57" s="81"/>
      <c r="BE57" s="81"/>
      <c r="BF57" s="81"/>
      <c r="BG57" s="81"/>
      <c r="BH57" s="81"/>
      <c r="BI57" s="81"/>
      <c r="BJ57" s="81"/>
      <c r="BK57" s="81"/>
      <c r="BL57" s="81"/>
      <c r="BM57" s="81"/>
      <c r="BN57" s="81"/>
      <c r="BO57" s="81"/>
      <c r="BP57" s="81"/>
      <c r="BQ57" s="81"/>
      <c r="BR57" s="81"/>
      <c r="BS57" s="81"/>
      <c r="BT57" s="81"/>
      <c r="BU57" s="81"/>
      <c r="BV57" s="81"/>
      <c r="BW57" s="81"/>
      <c r="BX57" s="81"/>
      <c r="BY57" s="81"/>
      <c r="BZ57" s="81"/>
      <c r="CA57" s="81"/>
      <c r="CB57" s="81"/>
      <c r="CC57" s="81"/>
      <c r="CD57" s="81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367"/>
        <v>InitUnitState('E125',60000,240000,,,1200000,,,,,)</v>
      </c>
      <c r="CO57" s="96" t="str">
        <f t="shared" si="368"/>
        <v>InitUnitNormal('E125',,,,,,,,,10,)</v>
      </c>
      <c r="CP57" s="96" t="str">
        <f t="shared" si="369"/>
        <v>InitUnitMagic('E125',,,,,,,,,,)</v>
      </c>
      <c r="CQ57" s="96" t="str">
        <f t="shared" si="370"/>
        <v>InitUnitAdd('E125',,,,,,,,,,)</v>
      </c>
      <c r="CR57" s="96" t="str">
        <f t="shared" si="371"/>
        <v>InitEquipData('E125',1600,"",,E126,,50,'','','','','','',"ReplaceableTextures\\CommandButtons\\BTNZ10.blp")</v>
      </c>
      <c r="CS57" s="96"/>
      <c r="CT57" s="96"/>
      <c r="CU57" s="98" t="str">
        <f t="shared" si="78"/>
        <v>|n攻击+60000|n业力+240000|n生命值+1200000|n暴击+10%|n</v>
      </c>
      <c r="CV57" s="71" t="str">
        <f>"|Cffbbbbbb属性：|r"&amp;CU57&amp;VLOOKUP(A57,合成公式!A:P,16,FALSE)&amp;T57</f>
        <v>|Cffbbbbbb属性：|r|n攻击+60000|n业力+240000|n生命值+1200000|n暴击+10%|n|n|Cff00ff7f击杀1600只怪有50%概率升级|r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5">
      <c r="A58" s="73"/>
      <c r="B58" s="74" t="s">
        <v>307</v>
      </c>
      <c r="C58" s="81" t="s">
        <v>308</v>
      </c>
      <c r="D58" s="82">
        <v>1000</v>
      </c>
      <c r="E58" s="76"/>
      <c r="F58" s="77"/>
      <c r="G58" s="78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5"/>
      <c r="Q58" s="85"/>
      <c r="R58" s="85"/>
      <c r="S58" s="85"/>
      <c r="T58" s="90" t="str">
        <f t="shared" si="366"/>
        <v>|n|Cff00ff7f击杀1000只怪有50%概率升级|r</v>
      </c>
      <c r="U58" s="88" t="s">
        <v>309</v>
      </c>
      <c r="V58" s="89">
        <v>90000</v>
      </c>
      <c r="W58" s="89">
        <v>360000</v>
      </c>
      <c r="X58" s="89"/>
      <c r="Y58" s="89"/>
      <c r="Z58" s="89">
        <v>1800000</v>
      </c>
      <c r="AA58" s="89"/>
      <c r="AB58" s="89"/>
      <c r="AC58" s="89"/>
      <c r="AD58" s="89"/>
      <c r="AE58" s="89"/>
      <c r="AF58" s="89"/>
      <c r="AG58" s="91"/>
      <c r="AH58" s="89"/>
      <c r="AI58" s="89"/>
      <c r="AJ58" s="89"/>
      <c r="AK58" s="89"/>
      <c r="AL58" s="91"/>
      <c r="AM58" s="89"/>
      <c r="AN58" s="71">
        <v>12</v>
      </c>
      <c r="AO58" s="89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81"/>
      <c r="BD58" s="81"/>
      <c r="BE58" s="81"/>
      <c r="BF58" s="81"/>
      <c r="BG58" s="81"/>
      <c r="BH58" s="81"/>
      <c r="BI58" s="81"/>
      <c r="BJ58" s="81"/>
      <c r="BK58" s="81"/>
      <c r="BL58" s="81"/>
      <c r="BM58" s="81"/>
      <c r="BN58" s="81"/>
      <c r="BO58" s="81"/>
      <c r="BP58" s="81"/>
      <c r="BQ58" s="81"/>
      <c r="BR58" s="81"/>
      <c r="BS58" s="81"/>
      <c r="BT58" s="81"/>
      <c r="BU58" s="81"/>
      <c r="BV58" s="81"/>
      <c r="BW58" s="81"/>
      <c r="BX58" s="81"/>
      <c r="BY58" s="81"/>
      <c r="BZ58" s="81"/>
      <c r="CA58" s="81"/>
      <c r="CB58" s="81"/>
      <c r="CC58" s="81"/>
      <c r="CD58" s="81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367"/>
        <v>InitUnitState('E126',90000,360000,,,1800000,,,,,)</v>
      </c>
      <c r="CO58" s="96" t="str">
        <f t="shared" si="368"/>
        <v>InitUnitNormal('E126',,,,,,,,,12,)</v>
      </c>
      <c r="CP58" s="96" t="str">
        <f t="shared" si="369"/>
        <v>InitUnitMagic('E126',,,,,,,,,,)</v>
      </c>
      <c r="CQ58" s="96" t="str">
        <f t="shared" si="370"/>
        <v>InitUnitAdd('E126',,,,,,,,,,)</v>
      </c>
      <c r="CR58" s="96" t="str">
        <f t="shared" si="371"/>
        <v>InitEquipData('E126',1000,"",,E127,,50,'','','','','','',"ReplaceableTextures\\CommandButtons\\BTNZ10.blp")</v>
      </c>
      <c r="CS58" s="96"/>
      <c r="CT58" s="96"/>
      <c r="CU58" s="98" t="str">
        <f t="shared" si="78"/>
        <v>|n攻击+90000|n业力+360000|n生命值+1800000|n暴击+12%|n</v>
      </c>
      <c r="CV58" s="71" t="str">
        <f>"|Cffbbbbbb属性：|r"&amp;CU58&amp;VLOOKUP(A58,合成公式!A:P,16,FALSE)&amp;T58</f>
        <v>|Cffbbbbbb属性：|r|n攻击+90000|n业力+360000|n生命值+1800000|n暴击+12%|n|n|Cff00ff7f击杀1000只怪有50%概率升级|r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5">
      <c r="A59" s="73"/>
      <c r="B59" s="74" t="s">
        <v>310</v>
      </c>
      <c r="C59" s="81" t="s">
        <v>311</v>
      </c>
      <c r="D59" s="82">
        <v>1000</v>
      </c>
      <c r="E59" s="76"/>
      <c r="F59" s="77"/>
      <c r="G59" s="78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5"/>
      <c r="Q59" s="85"/>
      <c r="R59" s="85"/>
      <c r="S59" s="85"/>
      <c r="T59" s="90" t="str">
        <f t="shared" si="366"/>
        <v>|n|Cff00ff7f击杀1000只怪有50%概率升级|r</v>
      </c>
      <c r="U59" s="88" t="s">
        <v>309</v>
      </c>
      <c r="V59" s="89">
        <v>105000</v>
      </c>
      <c r="W59" s="89">
        <v>420000</v>
      </c>
      <c r="X59" s="89"/>
      <c r="Y59" s="89"/>
      <c r="Z59" s="89">
        <v>2100000</v>
      </c>
      <c r="AA59" s="89"/>
      <c r="AB59" s="89"/>
      <c r="AC59" s="89"/>
      <c r="AD59" s="89"/>
      <c r="AE59" s="89"/>
      <c r="AF59" s="89"/>
      <c r="AG59" s="91"/>
      <c r="AH59" s="89"/>
      <c r="AI59" s="89"/>
      <c r="AJ59" s="89"/>
      <c r="AK59" s="89"/>
      <c r="AL59" s="91"/>
      <c r="AM59" s="89"/>
      <c r="AN59" s="71">
        <v>12</v>
      </c>
      <c r="AO59" s="89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81"/>
      <c r="BD59" s="81"/>
      <c r="BE59" s="81"/>
      <c r="BF59" s="81"/>
      <c r="BG59" s="81"/>
      <c r="BH59" s="81"/>
      <c r="BI59" s="81"/>
      <c r="BJ59" s="81"/>
      <c r="BK59" s="81"/>
      <c r="BL59" s="81"/>
      <c r="BM59" s="81"/>
      <c r="BN59" s="81"/>
      <c r="BO59" s="81"/>
      <c r="BP59" s="81"/>
      <c r="BQ59" s="81"/>
      <c r="BR59" s="81"/>
      <c r="BS59" s="81"/>
      <c r="BT59" s="81"/>
      <c r="BU59" s="81"/>
      <c r="BV59" s="81"/>
      <c r="BW59" s="81"/>
      <c r="BX59" s="81"/>
      <c r="BY59" s="81"/>
      <c r="BZ59" s="81"/>
      <c r="CA59" s="81"/>
      <c r="CB59" s="81"/>
      <c r="CC59" s="81"/>
      <c r="CD59" s="81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367"/>
        <v>InitUnitState('E127',105000,420000,,,2100000,,,,,)</v>
      </c>
      <c r="CO59" s="96" t="str">
        <f t="shared" si="368"/>
        <v>InitUnitNormal('E127',,,,,,,,,12,)</v>
      </c>
      <c r="CP59" s="96" t="str">
        <f t="shared" si="369"/>
        <v>InitUnitMagic('E127',,,,,,,,,,)</v>
      </c>
      <c r="CQ59" s="96" t="str">
        <f t="shared" si="370"/>
        <v>InitUnitAdd('E127',,,,,,,,,,)</v>
      </c>
      <c r="CR59" s="96" t="str">
        <f t="shared" si="371"/>
        <v>InitEquipData('E127',1000,"",,E128,,50,'','','','','','',"ReplaceableTextures\\CommandButtons\\BTNZ10.blp")</v>
      </c>
      <c r="CS59" s="96"/>
      <c r="CT59" s="96"/>
      <c r="CU59" s="98" t="str">
        <f t="shared" si="78"/>
        <v>|n攻击+105000|n业力+420000|n生命值+2100000|n暴击+12%|n</v>
      </c>
      <c r="CV59" s="71" t="str">
        <f>"|Cffbbbbbb属性：|r"&amp;CU59&amp;VLOOKUP(A59,合成公式!A:P,16,FALSE)&amp;T59</f>
        <v>|Cffbbbbbb属性：|r|n攻击+105000|n业力+420000|n生命值+2100000|n暴击+12%|n|n|Cff00ff7f击杀1000只怪有50%概率升级|r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5">
      <c r="A60" s="73"/>
      <c r="B60" s="74" t="s">
        <v>312</v>
      </c>
      <c r="C60" s="81" t="s">
        <v>313</v>
      </c>
      <c r="D60" s="82">
        <v>1000</v>
      </c>
      <c r="E60" s="76"/>
      <c r="F60" s="77"/>
      <c r="G60" s="78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5"/>
      <c r="Q60" s="85"/>
      <c r="R60" s="85"/>
      <c r="S60" s="85"/>
      <c r="T60" s="90" t="str">
        <f t="shared" si="366"/>
        <v>|n|Cff00ff7f击杀1000只怪有50%概率升级|r</v>
      </c>
      <c r="U60" s="88" t="s">
        <v>309</v>
      </c>
      <c r="V60" s="89">
        <v>120000</v>
      </c>
      <c r="W60" s="89">
        <v>480000</v>
      </c>
      <c r="X60" s="89"/>
      <c r="Y60" s="89"/>
      <c r="Z60" s="89">
        <v>2400000</v>
      </c>
      <c r="AA60" s="89"/>
      <c r="AB60" s="89"/>
      <c r="AC60" s="89"/>
      <c r="AD60" s="89"/>
      <c r="AE60" s="89"/>
      <c r="AF60" s="89"/>
      <c r="AG60" s="91"/>
      <c r="AH60" s="89"/>
      <c r="AI60" s="89"/>
      <c r="AJ60" s="89"/>
      <c r="AK60" s="89"/>
      <c r="AL60" s="91"/>
      <c r="AM60" s="89"/>
      <c r="AN60" s="71">
        <v>12</v>
      </c>
      <c r="AO60" s="89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81"/>
      <c r="BD60" s="81"/>
      <c r="BE60" s="81"/>
      <c r="BF60" s="81"/>
      <c r="BG60" s="81"/>
      <c r="BH60" s="81"/>
      <c r="BI60" s="81"/>
      <c r="BJ60" s="81"/>
      <c r="BK60" s="81"/>
      <c r="BL60" s="81"/>
      <c r="BM60" s="81"/>
      <c r="BN60" s="81"/>
      <c r="BO60" s="81"/>
      <c r="BP60" s="81"/>
      <c r="BQ60" s="81"/>
      <c r="BR60" s="81"/>
      <c r="BS60" s="81"/>
      <c r="BT60" s="81"/>
      <c r="BU60" s="81"/>
      <c r="BV60" s="81"/>
      <c r="BW60" s="81"/>
      <c r="BX60" s="81"/>
      <c r="BY60" s="81"/>
      <c r="BZ60" s="81"/>
      <c r="CA60" s="81"/>
      <c r="CB60" s="81"/>
      <c r="CC60" s="81"/>
      <c r="CD60" s="81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367"/>
        <v>InitUnitState('E128',120000,480000,,,2400000,,,,,)</v>
      </c>
      <c r="CO60" s="96" t="str">
        <f t="shared" si="368"/>
        <v>InitUnitNormal('E128',,,,,,,,,12,)</v>
      </c>
      <c r="CP60" s="96" t="str">
        <f t="shared" si="369"/>
        <v>InitUnitMagic('E128',,,,,,,,,,)</v>
      </c>
      <c r="CQ60" s="96" t="str">
        <f t="shared" si="370"/>
        <v>InitUnitAdd('E128',,,,,,,,,,)</v>
      </c>
      <c r="CR60" s="96" t="str">
        <f t="shared" si="371"/>
        <v>InitEquipData('E128',1000,"",,E129,,50,'','','','','','',"ReplaceableTextures\\CommandButtons\\BTNZ10.blp")</v>
      </c>
      <c r="CS60" s="96"/>
      <c r="CT60" s="96"/>
      <c r="CU60" s="98" t="str">
        <f t="shared" si="78"/>
        <v>|n攻击+120000|n业力+480000|n生命值+2400000|n暴击+12%|n</v>
      </c>
      <c r="CV60" s="71" t="str">
        <f>"|Cffbbbbbb属性：|r"&amp;CU60&amp;VLOOKUP(A60,合成公式!A:P,16,FALSE)&amp;T60</f>
        <v>|Cffbbbbbb属性：|r|n攻击+120000|n业力+480000|n生命值+2400000|n暴击+12%|n|n|Cff00ff7f击杀1000只怪有50%概率升级|r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5">
      <c r="A61" s="73"/>
      <c r="B61" s="74" t="s">
        <v>314</v>
      </c>
      <c r="C61" s="81" t="s">
        <v>315</v>
      </c>
      <c r="D61" s="82">
        <v>1000</v>
      </c>
      <c r="E61" s="76"/>
      <c r="F61" s="77"/>
      <c r="G61" s="78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5"/>
      <c r="Q61" s="85"/>
      <c r="R61" s="85"/>
      <c r="S61" s="85"/>
      <c r="T61" s="90" t="str">
        <f t="shared" si="366"/>
        <v>|n|Cff00ff7f击杀1000只怪有50%概率升级|r</v>
      </c>
      <c r="U61" s="88" t="s">
        <v>309</v>
      </c>
      <c r="V61" s="89">
        <v>135000</v>
      </c>
      <c r="W61" s="89">
        <v>540000</v>
      </c>
      <c r="X61" s="89"/>
      <c r="Y61" s="89"/>
      <c r="Z61" s="89">
        <v>2700000</v>
      </c>
      <c r="AA61" s="89"/>
      <c r="AB61" s="89"/>
      <c r="AC61" s="89"/>
      <c r="AD61" s="89"/>
      <c r="AE61" s="89"/>
      <c r="AF61" s="89"/>
      <c r="AG61" s="91"/>
      <c r="AH61" s="89"/>
      <c r="AI61" s="89"/>
      <c r="AJ61" s="89"/>
      <c r="AK61" s="89"/>
      <c r="AL61" s="91"/>
      <c r="AM61" s="89"/>
      <c r="AN61" s="71">
        <v>12</v>
      </c>
      <c r="AO61" s="89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81"/>
      <c r="BD61" s="81"/>
      <c r="BE61" s="81"/>
      <c r="BF61" s="81"/>
      <c r="BG61" s="81"/>
      <c r="BH61" s="81"/>
      <c r="BI61" s="81"/>
      <c r="BJ61" s="81"/>
      <c r="BK61" s="81"/>
      <c r="BL61" s="81"/>
      <c r="BM61" s="81"/>
      <c r="BN61" s="81"/>
      <c r="BO61" s="81"/>
      <c r="BP61" s="81"/>
      <c r="BQ61" s="81"/>
      <c r="BR61" s="81"/>
      <c r="BS61" s="81"/>
      <c r="BT61" s="81"/>
      <c r="BU61" s="81"/>
      <c r="BV61" s="81"/>
      <c r="BW61" s="81"/>
      <c r="BX61" s="81"/>
      <c r="BY61" s="81"/>
      <c r="BZ61" s="81"/>
      <c r="CA61" s="81"/>
      <c r="CB61" s="81"/>
      <c r="CC61" s="81"/>
      <c r="CD61" s="81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367"/>
        <v>InitUnitState('E129',135000,540000,,,2700000,,,,,)</v>
      </c>
      <c r="CO61" s="96" t="str">
        <f t="shared" si="368"/>
        <v>InitUnitNormal('E129',,,,,,,,,12,)</v>
      </c>
      <c r="CP61" s="96" t="str">
        <f t="shared" si="369"/>
        <v>InitUnitMagic('E129',,,,,,,,,,)</v>
      </c>
      <c r="CQ61" s="96" t="str">
        <f t="shared" si="370"/>
        <v>InitUnitAdd('E129',,,,,,,,,,)</v>
      </c>
      <c r="CR61" s="96" t="str">
        <f t="shared" si="371"/>
        <v>InitEquipData('E129',1000,"",,E130,,50,'','','','','','',"ReplaceableTextures\\CommandButtons\\BTNZ10.blp")</v>
      </c>
      <c r="CS61" s="96"/>
      <c r="CT61" s="96"/>
      <c r="CU61" s="98" t="str">
        <f t="shared" si="78"/>
        <v>|n攻击+135000|n业力+540000|n生命值+2700000|n暴击+12%|n</v>
      </c>
      <c r="CV61" s="71" t="str">
        <f>"|Cffbbbbbb属性：|r"&amp;CU61&amp;VLOOKUP(A61,合成公式!A:P,16,FALSE)&amp;T61</f>
        <v>|Cffbbbbbb属性：|r|n攻击+135000|n业力+540000|n生命值+2700000|n暴击+12%|n|n|Cff00ff7f击杀1000只怪有50%概率升级|r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5">
      <c r="A62" s="73"/>
      <c r="B62" s="74" t="s">
        <v>316</v>
      </c>
      <c r="C62" s="81" t="s">
        <v>317</v>
      </c>
      <c r="D62" s="82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5"/>
      <c r="Q62" s="85"/>
      <c r="R62" s="85"/>
      <c r="S62" s="85"/>
      <c r="T62" s="90"/>
      <c r="U62" s="88" t="s">
        <v>309</v>
      </c>
      <c r="V62" s="89">
        <v>150000</v>
      </c>
      <c r="W62" s="89">
        <v>600000</v>
      </c>
      <c r="X62" s="89"/>
      <c r="Y62" s="89"/>
      <c r="Z62" s="89">
        <v>3000000</v>
      </c>
      <c r="AA62" s="89"/>
      <c r="AB62" s="89"/>
      <c r="AC62" s="89"/>
      <c r="AD62" s="89"/>
      <c r="AE62" s="89"/>
      <c r="AF62" s="89"/>
      <c r="AG62" s="91"/>
      <c r="AH62" s="89"/>
      <c r="AI62" s="89"/>
      <c r="AJ62" s="89"/>
      <c r="AK62" s="89"/>
      <c r="AL62" s="91"/>
      <c r="AM62" s="89"/>
      <c r="AN62" s="71">
        <v>12</v>
      </c>
      <c r="AO62" s="89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81"/>
      <c r="BD62" s="81"/>
      <c r="BE62" s="81"/>
      <c r="BF62" s="81"/>
      <c r="BG62" s="81"/>
      <c r="BH62" s="81"/>
      <c r="BI62" s="81"/>
      <c r="BJ62" s="81"/>
      <c r="BK62" s="81"/>
      <c r="BL62" s="81"/>
      <c r="BM62" s="81"/>
      <c r="BN62" s="81"/>
      <c r="BO62" s="81"/>
      <c r="BP62" s="81"/>
      <c r="BQ62" s="81"/>
      <c r="BR62" s="81"/>
      <c r="BS62" s="81"/>
      <c r="BT62" s="81"/>
      <c r="BU62" s="81"/>
      <c r="BV62" s="81"/>
      <c r="BW62" s="81"/>
      <c r="BX62" s="81"/>
      <c r="BY62" s="81"/>
      <c r="BZ62" s="81"/>
      <c r="CA62" s="81"/>
      <c r="CB62" s="81"/>
      <c r="CC62" s="81"/>
      <c r="CD62" s="81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367"/>
        <v>InitUnitState('E130',150000,600000,,,3000000,,,,,)</v>
      </c>
      <c r="CO62" s="96" t="str">
        <f t="shared" si="368"/>
        <v>InitUnitNormal('E130',,,,,,,,,12,)</v>
      </c>
      <c r="CP62" s="96" t="str">
        <f t="shared" si="369"/>
        <v>InitUnitMagic('E130',,,,,,,,,,)</v>
      </c>
      <c r="CQ62" s="96" t="str">
        <f t="shared" si="370"/>
        <v>InitUnitAdd('E130',,,,,,,,,,)</v>
      </c>
      <c r="CR62" s="96" t="str">
        <f t="shared" si="371"/>
        <v>InitEquipData('E130',,"",,,,,'','','','','','',"ReplaceableTextures\\CommandButtons\\BTNZ11.blp")</v>
      </c>
      <c r="CS62" s="96"/>
      <c r="CT62" s="96"/>
      <c r="CU62" s="98" t="str">
        <f t="shared" si="78"/>
        <v>|n攻击+150000|n业力+600000|n生命值+3000000|n暴击+12%|n</v>
      </c>
      <c r="CV62" s="71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5">
      <c r="A63" s="73"/>
      <c r="B63" s="74" t="s">
        <v>318</v>
      </c>
      <c r="C63" s="73" t="s">
        <v>319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5"/>
      <c r="Q63" s="85"/>
      <c r="R63" s="85"/>
      <c r="S63" s="85"/>
      <c r="T63" s="90"/>
      <c r="U63" s="88" t="s">
        <v>320</v>
      </c>
      <c r="V63" s="89"/>
      <c r="W63" s="89"/>
      <c r="X63" s="89"/>
      <c r="Y63" s="89"/>
      <c r="Z63" s="89">
        <v>20000</v>
      </c>
      <c r="AA63" s="89"/>
      <c r="AB63" s="89">
        <v>500</v>
      </c>
      <c r="AC63" s="89"/>
      <c r="AD63" s="89"/>
      <c r="AE63" s="89"/>
      <c r="AF63" s="89"/>
      <c r="AG63" s="91"/>
      <c r="AH63" s="89"/>
      <c r="AI63" s="89"/>
      <c r="AJ63" s="89"/>
      <c r="AK63" s="89"/>
      <c r="AL63" s="91"/>
      <c r="AM63" s="89"/>
      <c r="AN63" s="89"/>
      <c r="AO63" s="89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81"/>
      <c r="BD63" s="81"/>
      <c r="BE63" s="81"/>
      <c r="BF63" s="81"/>
      <c r="BG63" s="81"/>
      <c r="BH63" s="81"/>
      <c r="BI63" s="81"/>
      <c r="BJ63" s="81"/>
      <c r="BK63" s="81"/>
      <c r="BL63" s="81"/>
      <c r="BM63" s="81"/>
      <c r="BN63" s="81"/>
      <c r="BO63" s="81"/>
      <c r="BP63" s="81"/>
      <c r="BQ63" s="81"/>
      <c r="BR63" s="81"/>
      <c r="BS63" s="81"/>
      <c r="BT63" s="81"/>
      <c r="BU63" s="81"/>
      <c r="BV63" s="81"/>
      <c r="BW63" s="81"/>
      <c r="BX63" s="81"/>
      <c r="BY63" s="81"/>
      <c r="BZ63" s="81"/>
      <c r="CA63" s="81"/>
      <c r="CB63" s="81"/>
      <c r="CC63" s="81"/>
      <c r="CD63" s="81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367"/>
        <v>InitUnitState('E201',,,,,20000,,500,,,)</v>
      </c>
      <c r="CO63" s="96" t="str">
        <f t="shared" si="368"/>
        <v>InitUnitNormal('E201',,,,,,,,,,)</v>
      </c>
      <c r="CP63" s="96" t="str">
        <f t="shared" si="369"/>
        <v>InitUnitMagic('E201',,,,,,,,,,)</v>
      </c>
      <c r="CQ63" s="96" t="str">
        <f t="shared" si="370"/>
        <v>InitUnitAdd('E201',,,,,,,,,,)</v>
      </c>
      <c r="CR63" s="96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6"/>
      <c r="CT63" s="96"/>
      <c r="CU63" s="98" t="str">
        <f t="shared" si="78"/>
        <v>|n生命值+20000|n生命回复+500|n</v>
      </c>
      <c r="CV63" s="71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5">
      <c r="A64" s="73"/>
      <c r="B64" s="74" t="s">
        <v>321</v>
      </c>
      <c r="C64" s="73" t="s">
        <v>322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5"/>
      <c r="Q64" s="85"/>
      <c r="R64" s="85"/>
      <c r="S64" s="85"/>
      <c r="T64" s="90"/>
      <c r="U64" s="88" t="s">
        <v>320</v>
      </c>
      <c r="V64" s="89"/>
      <c r="W64" s="89"/>
      <c r="X64" s="89"/>
      <c r="Y64" s="89"/>
      <c r="Z64" s="89">
        <v>40000</v>
      </c>
      <c r="AA64" s="89"/>
      <c r="AB64" s="89">
        <v>1000</v>
      </c>
      <c r="AC64" s="89"/>
      <c r="AD64" s="89"/>
      <c r="AE64" s="89"/>
      <c r="AF64" s="89"/>
      <c r="AG64" s="91"/>
      <c r="AH64" s="89"/>
      <c r="AI64" s="89"/>
      <c r="AJ64" s="89"/>
      <c r="AK64" s="89"/>
      <c r="AL64" s="91"/>
      <c r="AM64" s="89"/>
      <c r="AN64" s="89"/>
      <c r="AO64" s="89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81"/>
      <c r="BD64" s="81"/>
      <c r="BE64" s="81"/>
      <c r="BF64" s="81"/>
      <c r="BG64" s="81"/>
      <c r="BH64" s="81"/>
      <c r="BI64" s="81"/>
      <c r="BJ64" s="81"/>
      <c r="BK64" s="81"/>
      <c r="BL64" s="81"/>
      <c r="BM64" s="81"/>
      <c r="BN64" s="81"/>
      <c r="BO64" s="81"/>
      <c r="BP64" s="81"/>
      <c r="BQ64" s="81"/>
      <c r="BR64" s="81"/>
      <c r="BS64" s="81"/>
      <c r="BT64" s="81"/>
      <c r="BU64" s="81"/>
      <c r="BV64" s="81"/>
      <c r="BW64" s="81"/>
      <c r="BX64" s="81"/>
      <c r="BY64" s="81"/>
      <c r="BZ64" s="81"/>
      <c r="CA64" s="81"/>
      <c r="CB64" s="81"/>
      <c r="CC64" s="81"/>
      <c r="CD64" s="81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367"/>
        <v>InitUnitState('E202',,,,,40000,,1000,,,)</v>
      </c>
      <c r="CO64" s="96" t="str">
        <f t="shared" si="368"/>
        <v>InitUnitNormal('E202',,,,,,,,,,)</v>
      </c>
      <c r="CP64" s="96" t="str">
        <f t="shared" si="369"/>
        <v>InitUnitMagic('E202',,,,,,,,,,)</v>
      </c>
      <c r="CQ64" s="96" t="str">
        <f t="shared" si="370"/>
        <v>InitUnitAdd('E202',,,,,,,,,,)</v>
      </c>
      <c r="CR64" s="96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6"/>
      <c r="CT64" s="96"/>
      <c r="CU64" s="98" t="str">
        <f t="shared" si="78"/>
        <v>|n生命值+40000|n生命回复+1000|n</v>
      </c>
      <c r="CV64" s="71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5">
      <c r="A65" s="73"/>
      <c r="B65" s="74" t="s">
        <v>323</v>
      </c>
      <c r="C65" s="73" t="s">
        <v>324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5"/>
      <c r="Q65" s="85"/>
      <c r="R65" s="85"/>
      <c r="S65" s="85"/>
      <c r="T65" s="90"/>
      <c r="U65" s="88" t="s">
        <v>320</v>
      </c>
      <c r="V65" s="89"/>
      <c r="W65" s="89"/>
      <c r="X65" s="89"/>
      <c r="Y65" s="89"/>
      <c r="Z65" s="89">
        <v>60000</v>
      </c>
      <c r="AA65" s="89"/>
      <c r="AB65" s="89">
        <v>1500</v>
      </c>
      <c r="AC65" s="89"/>
      <c r="AD65" s="89"/>
      <c r="AE65" s="89"/>
      <c r="AF65" s="89"/>
      <c r="AG65" s="91"/>
      <c r="AH65" s="89"/>
      <c r="AI65" s="89"/>
      <c r="AJ65" s="89"/>
      <c r="AK65" s="89"/>
      <c r="AL65" s="91"/>
      <c r="AM65" s="89"/>
      <c r="AN65" s="89"/>
      <c r="AO65" s="89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81"/>
      <c r="BD65" s="81"/>
      <c r="BE65" s="81"/>
      <c r="BF65" s="81"/>
      <c r="BG65" s="81"/>
      <c r="BH65" s="81"/>
      <c r="BI65" s="81"/>
      <c r="BJ65" s="81"/>
      <c r="BK65" s="81"/>
      <c r="BL65" s="81"/>
      <c r="BM65" s="81"/>
      <c r="BN65" s="81"/>
      <c r="BO65" s="81"/>
      <c r="BP65" s="81"/>
      <c r="BQ65" s="81"/>
      <c r="BR65" s="81"/>
      <c r="BS65" s="81"/>
      <c r="BT65" s="81"/>
      <c r="BU65" s="81"/>
      <c r="BV65" s="81"/>
      <c r="BW65" s="81"/>
      <c r="BX65" s="81"/>
      <c r="BY65" s="81"/>
      <c r="BZ65" s="81"/>
      <c r="CA65" s="81"/>
      <c r="CB65" s="81"/>
      <c r="CC65" s="81"/>
      <c r="CD65" s="81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367"/>
        <v>InitUnitState('E203',,,,,60000,,1500,,,)</v>
      </c>
      <c r="CO65" s="96" t="str">
        <f t="shared" si="368"/>
        <v>InitUnitNormal('E203',,,,,,,,,,)</v>
      </c>
      <c r="CP65" s="96" t="str">
        <f t="shared" si="369"/>
        <v>InitUnitMagic('E203',,,,,,,,,,)</v>
      </c>
      <c r="CQ65" s="96" t="str">
        <f t="shared" si="370"/>
        <v>InitUnitAdd('E203',,,,,,,,,,)</v>
      </c>
      <c r="CR65" s="96" t="str">
        <f t="shared" si="590"/>
        <v>InitEquipData('E203',,"",,E204,800,100,'','','','','','',"ReplaceableTextures\\CommandButtons\\BTNZ13.blp")</v>
      </c>
      <c r="CS65" s="96"/>
      <c r="CT65" s="96"/>
      <c r="CU65" s="98" t="str">
        <f t="shared" si="78"/>
        <v>|n生命值+60000|n生命回复+1500|n</v>
      </c>
      <c r="CV65" s="71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5">
      <c r="A66" s="73"/>
      <c r="B66" s="74" t="s">
        <v>325</v>
      </c>
      <c r="C66" s="73" t="s">
        <v>326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5"/>
      <c r="Q66" s="85"/>
      <c r="R66" s="85"/>
      <c r="S66" s="85"/>
      <c r="T66" s="90"/>
      <c r="U66" s="88" t="s">
        <v>320</v>
      </c>
      <c r="V66" s="89"/>
      <c r="W66" s="89"/>
      <c r="X66" s="89"/>
      <c r="Y66" s="89"/>
      <c r="Z66" s="89">
        <v>80000</v>
      </c>
      <c r="AA66" s="89"/>
      <c r="AB66" s="89">
        <v>2000</v>
      </c>
      <c r="AC66" s="89"/>
      <c r="AD66" s="89"/>
      <c r="AE66" s="89"/>
      <c r="AF66" s="89"/>
      <c r="AG66" s="91"/>
      <c r="AH66" s="89"/>
      <c r="AI66" s="89"/>
      <c r="AJ66" s="89"/>
      <c r="AK66" s="89"/>
      <c r="AL66" s="91"/>
      <c r="AM66" s="89"/>
      <c r="AN66" s="89"/>
      <c r="AO66" s="89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81"/>
      <c r="BD66" s="81"/>
      <c r="BE66" s="81"/>
      <c r="BF66" s="81"/>
      <c r="BG66" s="81"/>
      <c r="BH66" s="81"/>
      <c r="BI66" s="81"/>
      <c r="BJ66" s="81"/>
      <c r="BK66" s="81"/>
      <c r="BL66" s="81"/>
      <c r="BM66" s="81"/>
      <c r="BN66" s="81"/>
      <c r="BO66" s="81"/>
      <c r="BP66" s="81"/>
      <c r="BQ66" s="81"/>
      <c r="BR66" s="81"/>
      <c r="BS66" s="81"/>
      <c r="BT66" s="81"/>
      <c r="BU66" s="81"/>
      <c r="BV66" s="81"/>
      <c r="BW66" s="81"/>
      <c r="BX66" s="81"/>
      <c r="BY66" s="81"/>
      <c r="BZ66" s="81"/>
      <c r="CA66" s="81"/>
      <c r="CB66" s="81"/>
      <c r="CC66" s="81"/>
      <c r="CD66" s="81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367"/>
        <v>InitUnitState('E204',,,,,80000,,2000,,,)</v>
      </c>
      <c r="CO66" s="96" t="str">
        <f t="shared" si="368"/>
        <v>InitUnitNormal('E204',,,,,,,,,,)</v>
      </c>
      <c r="CP66" s="96" t="str">
        <f t="shared" si="369"/>
        <v>InitUnitMagic('E204',,,,,,,,,,)</v>
      </c>
      <c r="CQ66" s="96" t="str">
        <f t="shared" si="370"/>
        <v>InitUnitAdd('E204',,,,,,,,,,)</v>
      </c>
      <c r="CR66" s="96" t="str">
        <f t="shared" si="590"/>
        <v>InitEquipData('E204',,"",,E205,800,100,'','','','','','',"ReplaceableTextures\\CommandButtons\\BTNZ13.blp")</v>
      </c>
      <c r="CS66" s="96"/>
      <c r="CT66" s="96"/>
      <c r="CU66" s="98" t="str">
        <f t="shared" si="78"/>
        <v>|n生命值+80000|n生命回复+2000|n</v>
      </c>
      <c r="CV66" s="71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5">
      <c r="A67" s="73"/>
      <c r="B67" s="74" t="s">
        <v>327</v>
      </c>
      <c r="C67" s="73" t="s">
        <v>328</v>
      </c>
      <c r="D67" s="75"/>
      <c r="E67" s="76"/>
      <c r="F67" s="77">
        <v>2500</v>
      </c>
      <c r="G67" s="78">
        <v>100</v>
      </c>
      <c r="H67" s="79" t="s">
        <v>329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5"/>
      <c r="Q67" s="85"/>
      <c r="R67" s="85"/>
      <c r="S67" s="85"/>
      <c r="T67" s="90"/>
      <c r="U67" s="88" t="s">
        <v>320</v>
      </c>
      <c r="V67" s="89"/>
      <c r="W67" s="89"/>
      <c r="X67" s="89"/>
      <c r="Y67" s="89"/>
      <c r="Z67" s="89">
        <v>100000</v>
      </c>
      <c r="AA67" s="89"/>
      <c r="AB67" s="89">
        <v>2500</v>
      </c>
      <c r="AC67" s="89"/>
      <c r="AD67" s="89"/>
      <c r="AE67" s="89"/>
      <c r="AF67" s="89"/>
      <c r="AG67" s="91"/>
      <c r="AH67" s="89"/>
      <c r="AI67" s="89"/>
      <c r="AJ67" s="89"/>
      <c r="AK67" s="89"/>
      <c r="AL67" s="91"/>
      <c r="AM67" s="89"/>
      <c r="AN67" s="89"/>
      <c r="AO67" s="89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81"/>
      <c r="BD67" s="81"/>
      <c r="BE67" s="81"/>
      <c r="BF67" s="81"/>
      <c r="BG67" s="81"/>
      <c r="BH67" s="81"/>
      <c r="BI67" s="81"/>
      <c r="BJ67" s="81"/>
      <c r="BK67" s="81"/>
      <c r="BL67" s="81"/>
      <c r="BM67" s="81"/>
      <c r="BN67" s="81"/>
      <c r="BO67" s="81"/>
      <c r="BP67" s="81"/>
      <c r="BQ67" s="81"/>
      <c r="BR67" s="81"/>
      <c r="BS67" s="81"/>
      <c r="BT67" s="81"/>
      <c r="BU67" s="81"/>
      <c r="BV67" s="81"/>
      <c r="BW67" s="81"/>
      <c r="BX67" s="81"/>
      <c r="BY67" s="81"/>
      <c r="BZ67" s="81"/>
      <c r="CA67" s="81"/>
      <c r="CB67" s="81"/>
      <c r="CC67" s="81"/>
      <c r="CD67" s="81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si="367"/>
        <v>InitUnitState('E205',,,,,100000,,2500,,,)</v>
      </c>
      <c r="CO67" s="96" t="str">
        <f t="shared" si="368"/>
        <v>InitUnitNormal('E205',,,,,,,,,,)</v>
      </c>
      <c r="CP67" s="96" t="str">
        <f t="shared" si="369"/>
        <v>InitUnitMagic('E205',,,,,,,,,,)</v>
      </c>
      <c r="CQ67" s="96" t="str">
        <f t="shared" si="370"/>
        <v>InitUnitAdd('E205',,,,,,,,,,)</v>
      </c>
      <c r="CR67" s="96" t="str">
        <f t="shared" si="590"/>
        <v>InitEquipData('E205',,"",,E206,2500,100,'','','','','','',"ReplaceableTextures\\CommandButtons\\BTNZ13.blp")</v>
      </c>
      <c r="CS67" s="96"/>
      <c r="CT67" s="96"/>
      <c r="CU67" s="98" t="str">
        <f t="shared" si="78"/>
        <v>|n生命值+100000|n生命回复+2500|n</v>
      </c>
      <c r="CV67" s="71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5">
      <c r="A68" s="73"/>
      <c r="B68" s="74" t="s">
        <v>330</v>
      </c>
      <c r="C68" s="73" t="s">
        <v>331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5"/>
      <c r="Q68" s="85"/>
      <c r="R68" s="85"/>
      <c r="S68" s="85"/>
      <c r="T68" s="90"/>
      <c r="U68" s="88" t="s">
        <v>332</v>
      </c>
      <c r="V68" s="89"/>
      <c r="W68" s="89"/>
      <c r="X68" s="89">
        <v>50</v>
      </c>
      <c r="Y68" s="89"/>
      <c r="Z68" s="89">
        <v>160000</v>
      </c>
      <c r="AA68" s="89"/>
      <c r="AB68" s="89">
        <v>4000</v>
      </c>
      <c r="AC68" s="89"/>
      <c r="AD68" s="89"/>
      <c r="AE68" s="89"/>
      <c r="AF68" s="89"/>
      <c r="AG68" s="91"/>
      <c r="AH68" s="89"/>
      <c r="AI68" s="89"/>
      <c r="AJ68" s="89"/>
      <c r="AK68" s="89"/>
      <c r="AL68" s="91"/>
      <c r="AM68" s="89"/>
      <c r="AN68" s="89"/>
      <c r="AO68" s="89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81"/>
      <c r="BD68" s="81"/>
      <c r="BE68" s="81"/>
      <c r="BF68" s="81"/>
      <c r="BG68" s="81"/>
      <c r="BH68" s="81"/>
      <c r="BI68" s="81"/>
      <c r="BJ68" s="81"/>
      <c r="BK68" s="81"/>
      <c r="BL68" s="81"/>
      <c r="BM68" s="81"/>
      <c r="BN68" s="81"/>
      <c r="BO68" s="81"/>
      <c r="BP68" s="81"/>
      <c r="BQ68" s="81"/>
      <c r="BR68" s="81"/>
      <c r="BS68" s="81"/>
      <c r="BT68" s="81"/>
      <c r="BU68" s="81"/>
      <c r="BV68" s="81"/>
      <c r="BW68" s="81"/>
      <c r="BX68" s="81"/>
      <c r="BY68" s="81"/>
      <c r="BZ68" s="81"/>
      <c r="CA68" s="81"/>
      <c r="CB68" s="81"/>
      <c r="CC68" s="81"/>
      <c r="CD68" s="81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367"/>
        <v>InitUnitState('E206',,,50,,160000,,4000,,,)</v>
      </c>
      <c r="CO68" s="96" t="str">
        <f t="shared" si="368"/>
        <v>InitUnitNormal('E206',,,,,,,,,,)</v>
      </c>
      <c r="CP68" s="96" t="str">
        <f t="shared" si="369"/>
        <v>InitUnitMagic('E206',,,,,,,,,,)</v>
      </c>
      <c r="CQ68" s="96" t="str">
        <f t="shared" si="370"/>
        <v>InitUnitAdd('E206',,,,,,,,,,)</v>
      </c>
      <c r="CR68" s="96" t="str">
        <f t="shared" si="590"/>
        <v>InitEquipData('E206',,"",,E207,2500,85,'','','','','','',"ReplaceableTextures\\CommandButtons\\BTNZ13.blp")</v>
      </c>
      <c r="CS68" s="96"/>
      <c r="CT68" s="96"/>
      <c r="CU68" s="98" t="str">
        <f t="shared" si="78"/>
        <v>|n护甲+50|n生命值+160000|n生命回复+4000|n</v>
      </c>
      <c r="CV68" s="71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5">
      <c r="A69" s="73"/>
      <c r="B69" s="74" t="s">
        <v>333</v>
      </c>
      <c r="C69" s="73" t="s">
        <v>334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5"/>
      <c r="Q69" s="85"/>
      <c r="R69" s="85"/>
      <c r="S69" s="85"/>
      <c r="T69" s="90"/>
      <c r="U69" s="88" t="s">
        <v>332</v>
      </c>
      <c r="V69" s="89"/>
      <c r="W69" s="89"/>
      <c r="X69" s="89">
        <v>50</v>
      </c>
      <c r="Y69" s="89"/>
      <c r="Z69" s="89">
        <v>200000</v>
      </c>
      <c r="AA69" s="89"/>
      <c r="AB69" s="89">
        <v>5000</v>
      </c>
      <c r="AC69" s="89"/>
      <c r="AD69" s="89"/>
      <c r="AE69" s="89"/>
      <c r="AF69" s="89"/>
      <c r="AG69" s="91"/>
      <c r="AH69" s="89"/>
      <c r="AI69" s="89"/>
      <c r="AJ69" s="89"/>
      <c r="AK69" s="89"/>
      <c r="AL69" s="91"/>
      <c r="AM69" s="89"/>
      <c r="AN69" s="89"/>
      <c r="AO69" s="89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81"/>
      <c r="BD69" s="81"/>
      <c r="BE69" s="81"/>
      <c r="BF69" s="81"/>
      <c r="BG69" s="81"/>
      <c r="BH69" s="81"/>
      <c r="BI69" s="81"/>
      <c r="BJ69" s="81"/>
      <c r="BK69" s="81"/>
      <c r="BL69" s="81"/>
      <c r="BM69" s="81"/>
      <c r="BN69" s="81"/>
      <c r="BO69" s="81"/>
      <c r="BP69" s="81"/>
      <c r="BQ69" s="81"/>
      <c r="BR69" s="81"/>
      <c r="BS69" s="81"/>
      <c r="BT69" s="81"/>
      <c r="BU69" s="81"/>
      <c r="BV69" s="81"/>
      <c r="BW69" s="81"/>
      <c r="BX69" s="81"/>
      <c r="BY69" s="81"/>
      <c r="BZ69" s="81"/>
      <c r="CA69" s="81"/>
      <c r="CB69" s="81"/>
      <c r="CC69" s="81"/>
      <c r="CD69" s="81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367"/>
        <v>InitUnitState('E207',,,50,,200000,,5000,,,)</v>
      </c>
      <c r="CO69" s="96" t="str">
        <f t="shared" si="368"/>
        <v>InitUnitNormal('E207',,,,,,,,,,)</v>
      </c>
      <c r="CP69" s="96" t="str">
        <f t="shared" si="369"/>
        <v>InitUnitMagic('E207',,,,,,,,,,)</v>
      </c>
      <c r="CQ69" s="96" t="str">
        <f t="shared" si="370"/>
        <v>InitUnitAdd('E207',,,,,,,,,,)</v>
      </c>
      <c r="CR69" s="96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6"/>
      <c r="CT69" s="96"/>
      <c r="CU69" s="98" t="str">
        <f t="shared" si="78"/>
        <v>|n护甲+50|n生命值+200000|n生命回复+5000|n</v>
      </c>
      <c r="CV69" s="71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5">
      <c r="A70" s="73"/>
      <c r="B70" s="74" t="s">
        <v>335</v>
      </c>
      <c r="C70" s="73" t="s">
        <v>336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5"/>
      <c r="Q70" s="85"/>
      <c r="R70" s="85"/>
      <c r="S70" s="85"/>
      <c r="T70" s="90"/>
      <c r="U70" s="88" t="s">
        <v>332</v>
      </c>
      <c r="V70" s="89"/>
      <c r="W70" s="89"/>
      <c r="X70" s="89">
        <v>50</v>
      </c>
      <c r="Y70" s="89"/>
      <c r="Z70" s="89">
        <v>240000</v>
      </c>
      <c r="AA70" s="89"/>
      <c r="AB70" s="89">
        <v>6000</v>
      </c>
      <c r="AC70" s="89"/>
      <c r="AD70" s="89"/>
      <c r="AE70" s="89"/>
      <c r="AF70" s="89"/>
      <c r="AG70" s="91"/>
      <c r="AH70" s="89"/>
      <c r="AI70" s="89"/>
      <c r="AJ70" s="89"/>
      <c r="AK70" s="89"/>
      <c r="AL70" s="91"/>
      <c r="AM70" s="89"/>
      <c r="AN70" s="89"/>
      <c r="AO70" s="89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81"/>
      <c r="BD70" s="81"/>
      <c r="BE70" s="81"/>
      <c r="BF70" s="81"/>
      <c r="BG70" s="81"/>
      <c r="BH70" s="81"/>
      <c r="BI70" s="81"/>
      <c r="BJ70" s="81"/>
      <c r="BK70" s="81"/>
      <c r="BL70" s="81"/>
      <c r="BM70" s="81"/>
      <c r="BN70" s="81"/>
      <c r="BO70" s="81"/>
      <c r="BP70" s="81"/>
      <c r="BQ70" s="81"/>
      <c r="BR70" s="81"/>
      <c r="BS70" s="81"/>
      <c r="BT70" s="81"/>
      <c r="BU70" s="81"/>
      <c r="BV70" s="81"/>
      <c r="BW70" s="81"/>
      <c r="BX70" s="81"/>
      <c r="BY70" s="81"/>
      <c r="BZ70" s="81"/>
      <c r="CA70" s="81"/>
      <c r="CB70" s="81"/>
      <c r="CC70" s="81"/>
      <c r="CD70" s="81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367"/>
        <v>InitUnitState('E208',,,50,,240000,,6000,,,)</v>
      </c>
      <c r="CO70" s="96" t="str">
        <f t="shared" si="368"/>
        <v>InitUnitNormal('E208',,,,,,,,,,)</v>
      </c>
      <c r="CP70" s="96" t="str">
        <f t="shared" si="369"/>
        <v>InitUnitMagic('E208',,,,,,,,,,)</v>
      </c>
      <c r="CQ70" s="96" t="str">
        <f t="shared" si="370"/>
        <v>InitUnitAdd('E208',,,,,,,,,,)</v>
      </c>
      <c r="CR70" s="96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6"/>
      <c r="CT70" s="96"/>
      <c r="CU70" s="98" t="str">
        <f t="shared" si="78"/>
        <v>|n护甲+50|n生命值+240000|n生命回复+6000|n</v>
      </c>
      <c r="CV70" s="71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5">
      <c r="A71" s="73"/>
      <c r="B71" s="74" t="s">
        <v>337</v>
      </c>
      <c r="C71" s="73" t="s">
        <v>338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5"/>
      <c r="Q71" s="85"/>
      <c r="R71" s="85"/>
      <c r="S71" s="85"/>
      <c r="T71" s="90"/>
      <c r="U71" s="88" t="s">
        <v>332</v>
      </c>
      <c r="V71" s="89"/>
      <c r="W71" s="89"/>
      <c r="X71" s="89">
        <v>50</v>
      </c>
      <c r="Y71" s="89"/>
      <c r="Z71" s="89">
        <v>280000</v>
      </c>
      <c r="AA71" s="89"/>
      <c r="AB71" s="89">
        <v>7000</v>
      </c>
      <c r="AC71" s="89"/>
      <c r="AD71" s="89"/>
      <c r="AE71" s="89"/>
      <c r="AF71" s="89"/>
      <c r="AG71" s="91"/>
      <c r="AH71" s="89"/>
      <c r="AI71" s="89"/>
      <c r="AJ71" s="89"/>
      <c r="AK71" s="89"/>
      <c r="AL71" s="91"/>
      <c r="AM71" s="89"/>
      <c r="AN71" s="89"/>
      <c r="AO71" s="89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81"/>
      <c r="BD71" s="81"/>
      <c r="BE71" s="81"/>
      <c r="BF71" s="81"/>
      <c r="BG71" s="81"/>
      <c r="BH71" s="81"/>
      <c r="BI71" s="81"/>
      <c r="BJ71" s="81"/>
      <c r="BK71" s="81"/>
      <c r="BL71" s="81"/>
      <c r="BM71" s="81"/>
      <c r="BN71" s="81"/>
      <c r="BO71" s="81"/>
      <c r="BP71" s="81"/>
      <c r="BQ71" s="81"/>
      <c r="BR71" s="81"/>
      <c r="BS71" s="81"/>
      <c r="BT71" s="81"/>
      <c r="BU71" s="81"/>
      <c r="BV71" s="81"/>
      <c r="BW71" s="81"/>
      <c r="BX71" s="81"/>
      <c r="BY71" s="81"/>
      <c r="BZ71" s="81"/>
      <c r="CA71" s="81"/>
      <c r="CB71" s="81"/>
      <c r="CC71" s="81"/>
      <c r="CD71" s="81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367"/>
        <v>InitUnitState('E209',,,50,,280000,,7000,,,)</v>
      </c>
      <c r="CO71" s="96" t="str">
        <f t="shared" si="368"/>
        <v>InitUnitNormal('E209',,,,,,,,,,)</v>
      </c>
      <c r="CP71" s="96" t="str">
        <f t="shared" si="369"/>
        <v>InitUnitMagic('E209',,,,,,,,,,)</v>
      </c>
      <c r="CQ71" s="96" t="str">
        <f t="shared" si="370"/>
        <v>InitUnitAdd('E209',,,,,,,,,,)</v>
      </c>
      <c r="CR71" s="96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6"/>
      <c r="CT71" s="96"/>
      <c r="CU71" s="98" t="str">
        <f t="shared" si="78"/>
        <v>|n护甲+50|n生命值+280000|n生命回复+7000|n</v>
      </c>
      <c r="CV71" s="71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5">
      <c r="A72" s="73"/>
      <c r="B72" s="74" t="s">
        <v>339</v>
      </c>
      <c r="C72" s="73" t="s">
        <v>340</v>
      </c>
      <c r="D72" s="75"/>
      <c r="E72" s="76"/>
      <c r="F72" s="77">
        <v>8000</v>
      </c>
      <c r="G72" s="78">
        <v>100</v>
      </c>
      <c r="H72" s="79" t="s">
        <v>341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5"/>
      <c r="Q72" s="85"/>
      <c r="R72" s="85"/>
      <c r="S72" s="85"/>
      <c r="T72" s="90"/>
      <c r="U72" s="88" t="s">
        <v>332</v>
      </c>
      <c r="V72" s="89"/>
      <c r="W72" s="89"/>
      <c r="X72" s="89">
        <v>50</v>
      </c>
      <c r="Y72" s="89"/>
      <c r="Z72" s="89">
        <v>320000</v>
      </c>
      <c r="AA72" s="89"/>
      <c r="AB72" s="89">
        <v>8000</v>
      </c>
      <c r="AC72" s="89"/>
      <c r="AD72" s="89"/>
      <c r="AE72" s="89"/>
      <c r="AF72" s="89"/>
      <c r="AG72" s="91"/>
      <c r="AH72" s="89"/>
      <c r="AI72" s="89"/>
      <c r="AJ72" s="89"/>
      <c r="AK72" s="89"/>
      <c r="AL72" s="91"/>
      <c r="AM72" s="89"/>
      <c r="AN72" s="89"/>
      <c r="AO72" s="89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81"/>
      <c r="BD72" s="81"/>
      <c r="BE72" s="81"/>
      <c r="BF72" s="81"/>
      <c r="BG72" s="81"/>
      <c r="BH72" s="81"/>
      <c r="BI72" s="81"/>
      <c r="BJ72" s="81"/>
      <c r="BK72" s="81"/>
      <c r="BL72" s="81"/>
      <c r="BM72" s="81"/>
      <c r="BN72" s="81"/>
      <c r="BO72" s="81"/>
      <c r="BP72" s="81"/>
      <c r="BQ72" s="81"/>
      <c r="BR72" s="81"/>
      <c r="BS72" s="81"/>
      <c r="BT72" s="81"/>
      <c r="BU72" s="81"/>
      <c r="BV72" s="81"/>
      <c r="BW72" s="81"/>
      <c r="BX72" s="81"/>
      <c r="BY72" s="81"/>
      <c r="BZ72" s="81"/>
      <c r="CA72" s="81"/>
      <c r="CB72" s="81"/>
      <c r="CC72" s="81"/>
      <c r="CD72" s="81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367"/>
        <v>InitUnitState('E210',,,50,,320000,,8000,,,)</v>
      </c>
      <c r="CO72" s="96" t="str">
        <f t="shared" si="368"/>
        <v>InitUnitNormal('E210',,,,,,,,,,)</v>
      </c>
      <c r="CP72" s="96" t="str">
        <f t="shared" si="369"/>
        <v>InitUnitMagic('E210',,,,,,,,,,)</v>
      </c>
      <c r="CQ72" s="96" t="str">
        <f t="shared" si="370"/>
        <v>InitUnitAdd('E210',,,,,,,,,,)</v>
      </c>
      <c r="CR72" s="96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6"/>
      <c r="CT72" s="96"/>
      <c r="CU72" s="98" t="str">
        <f t="shared" si="78"/>
        <v>|n护甲+50|n生命值+320000|n生命回复+8000|n</v>
      </c>
      <c r="CV72" s="71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5">
      <c r="A73" s="73"/>
      <c r="B73" s="74" t="s">
        <v>342</v>
      </c>
      <c r="C73" s="73" t="s">
        <v>343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5"/>
      <c r="Q73" s="105"/>
      <c r="R73" s="105"/>
      <c r="S73" s="106"/>
      <c r="T73" s="107"/>
      <c r="U73" s="88" t="s">
        <v>344</v>
      </c>
      <c r="V73" s="89"/>
      <c r="W73" s="89"/>
      <c r="X73" s="89">
        <v>100</v>
      </c>
      <c r="Y73" s="89"/>
      <c r="Z73" s="89">
        <v>480000</v>
      </c>
      <c r="AA73" s="89"/>
      <c r="AB73" s="89">
        <v>12000</v>
      </c>
      <c r="AC73" s="89"/>
      <c r="AD73" s="89"/>
      <c r="AE73" s="89"/>
      <c r="AF73" s="89"/>
      <c r="AG73" s="91"/>
      <c r="AH73" s="89"/>
      <c r="AI73" s="89"/>
      <c r="AJ73" s="89"/>
      <c r="AK73" s="89"/>
      <c r="AL73" s="91"/>
      <c r="AM73" s="89"/>
      <c r="AN73" s="89"/>
      <c r="AO73" s="89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81"/>
      <c r="BD73" s="81"/>
      <c r="BE73" s="81"/>
      <c r="BF73" s="81"/>
      <c r="BG73" s="81"/>
      <c r="BH73" s="81"/>
      <c r="BI73" s="81"/>
      <c r="BJ73" s="81"/>
      <c r="BK73" s="81"/>
      <c r="BL73" s="81"/>
      <c r="BM73" s="81"/>
      <c r="BN73" s="81"/>
      <c r="BO73" s="81"/>
      <c r="BP73" s="81"/>
      <c r="BQ73" s="81"/>
      <c r="BR73" s="81"/>
      <c r="BS73" s="81"/>
      <c r="BT73" s="81"/>
      <c r="BU73" s="81"/>
      <c r="BV73" s="81"/>
      <c r="BW73" s="81"/>
      <c r="BX73" s="81"/>
      <c r="BY73" s="81"/>
      <c r="BZ73" s="81"/>
      <c r="CA73" s="81"/>
      <c r="CB73" s="81"/>
      <c r="CC73" s="81"/>
      <c r="CD73" s="81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367"/>
        <v>InitUnitState('E211',,,100,,480000,,12000,,,)</v>
      </c>
      <c r="CO73" s="96" t="str">
        <f t="shared" si="368"/>
        <v>InitUnitNormal('E211',,,,,,,,,,)</v>
      </c>
      <c r="CP73" s="96" t="str">
        <f t="shared" si="369"/>
        <v>InitUnitMagic('E211',,,,,,,,,,)</v>
      </c>
      <c r="CQ73" s="96" t="str">
        <f t="shared" si="370"/>
        <v>InitUnitAdd('E211',,,,,,,,,,)</v>
      </c>
      <c r="CR73" s="96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6"/>
      <c r="CT73" s="96"/>
      <c r="CU73" s="98" t="str">
        <f t="shared" si="78"/>
        <v>|n护甲+100|n生命值+480000|n生命回复+12000|n</v>
      </c>
      <c r="CV73" s="71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5">
      <c r="A74" s="73"/>
      <c r="B74" s="74" t="s">
        <v>345</v>
      </c>
      <c r="C74" s="73" t="s">
        <v>346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5"/>
      <c r="Q74" s="105"/>
      <c r="R74" s="105"/>
      <c r="S74" s="106"/>
      <c r="T74" s="107"/>
      <c r="U74" s="88" t="s">
        <v>344</v>
      </c>
      <c r="V74" s="89"/>
      <c r="W74" s="89"/>
      <c r="X74" s="89">
        <v>100</v>
      </c>
      <c r="Y74" s="89"/>
      <c r="Z74" s="89">
        <v>560000</v>
      </c>
      <c r="AA74" s="89"/>
      <c r="AB74" s="89">
        <v>14000</v>
      </c>
      <c r="AC74" s="89"/>
      <c r="AD74" s="89"/>
      <c r="AE74" s="89"/>
      <c r="AF74" s="89"/>
      <c r="AG74" s="91"/>
      <c r="AH74" s="89"/>
      <c r="AI74" s="89"/>
      <c r="AJ74" s="89"/>
      <c r="AK74" s="89"/>
      <c r="AL74" s="91"/>
      <c r="AM74" s="89"/>
      <c r="AN74" s="89"/>
      <c r="AO74" s="89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81"/>
      <c r="BD74" s="81"/>
      <c r="BE74" s="81"/>
      <c r="BF74" s="81"/>
      <c r="BG74" s="81"/>
      <c r="BH74" s="81"/>
      <c r="BI74" s="81"/>
      <c r="BJ74" s="81"/>
      <c r="BK74" s="81"/>
      <c r="BL74" s="81"/>
      <c r="BM74" s="81"/>
      <c r="BN74" s="81"/>
      <c r="BO74" s="81"/>
      <c r="BP74" s="81"/>
      <c r="BQ74" s="81"/>
      <c r="BR74" s="81"/>
      <c r="BS74" s="81"/>
      <c r="BT74" s="81"/>
      <c r="BU74" s="81"/>
      <c r="BV74" s="81"/>
      <c r="BW74" s="81"/>
      <c r="BX74" s="81"/>
      <c r="BY74" s="81"/>
      <c r="BZ74" s="81"/>
      <c r="CA74" s="81"/>
      <c r="CB74" s="81"/>
      <c r="CC74" s="81"/>
      <c r="CD74" s="81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367"/>
        <v>InitUnitState('E212',,,100,,560000,,14000,,,)</v>
      </c>
      <c r="CO74" s="96" t="str">
        <f t="shared" si="368"/>
        <v>InitUnitNormal('E212',,,,,,,,,,)</v>
      </c>
      <c r="CP74" s="96" t="str">
        <f t="shared" si="369"/>
        <v>InitUnitMagic('E212',,,,,,,,,,)</v>
      </c>
      <c r="CQ74" s="96" t="str">
        <f t="shared" si="370"/>
        <v>InitUnitAdd('E212',,,,,,,,,,)</v>
      </c>
      <c r="CR74" s="96" t="str">
        <f t="shared" si="801"/>
        <v>InitEquipData('E212',,"",,E213,6000,80,'','','','','','',"ReplaceableTextures\\CommandButtons\\BTNZ13.blp")</v>
      </c>
      <c r="CS74" s="96"/>
      <c r="CT74" s="96"/>
      <c r="CU74" s="98" t="str">
        <f t="shared" si="78"/>
        <v>|n护甲+100|n生命值+560000|n生命回复+14000|n</v>
      </c>
      <c r="CV74" s="71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5">
      <c r="A75" s="73"/>
      <c r="B75" s="74" t="s">
        <v>347</v>
      </c>
      <c r="C75" s="73" t="s">
        <v>348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5"/>
      <c r="Q75" s="105"/>
      <c r="R75" s="105"/>
      <c r="S75" s="106"/>
      <c r="T75" s="107"/>
      <c r="U75" s="88" t="s">
        <v>344</v>
      </c>
      <c r="V75" s="89"/>
      <c r="W75" s="89"/>
      <c r="X75" s="89">
        <v>100</v>
      </c>
      <c r="Y75" s="89"/>
      <c r="Z75" s="89">
        <v>640000</v>
      </c>
      <c r="AA75" s="89"/>
      <c r="AB75" s="89">
        <v>16000</v>
      </c>
      <c r="AC75" s="89"/>
      <c r="AD75" s="89"/>
      <c r="AE75" s="89"/>
      <c r="AF75" s="89"/>
      <c r="AG75" s="91"/>
      <c r="AH75" s="89"/>
      <c r="AI75" s="89"/>
      <c r="AJ75" s="89"/>
      <c r="AK75" s="89"/>
      <c r="AL75" s="91"/>
      <c r="AM75" s="89"/>
      <c r="AN75" s="89"/>
      <c r="AO75" s="89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81"/>
      <c r="BD75" s="81"/>
      <c r="BE75" s="81"/>
      <c r="BF75" s="81"/>
      <c r="BG75" s="81"/>
      <c r="BH75" s="81"/>
      <c r="BI75" s="81"/>
      <c r="BJ75" s="81"/>
      <c r="BK75" s="81"/>
      <c r="BL75" s="81"/>
      <c r="BM75" s="81"/>
      <c r="BN75" s="81"/>
      <c r="BO75" s="81"/>
      <c r="BP75" s="81"/>
      <c r="BQ75" s="81"/>
      <c r="BR75" s="81"/>
      <c r="BS75" s="81"/>
      <c r="BT75" s="81"/>
      <c r="BU75" s="81"/>
      <c r="BV75" s="81"/>
      <c r="BW75" s="81"/>
      <c r="BX75" s="81"/>
      <c r="BY75" s="81"/>
      <c r="BZ75" s="81"/>
      <c r="CA75" s="81"/>
      <c r="CB75" s="81"/>
      <c r="CC75" s="81"/>
      <c r="CD75" s="81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367"/>
        <v>InitUnitState('E213',,,100,,640000,,16000,,,)</v>
      </c>
      <c r="CO75" s="96" t="str">
        <f t="shared" si="368"/>
        <v>InitUnitNormal('E213',,,,,,,,,,)</v>
      </c>
      <c r="CP75" s="96" t="str">
        <f t="shared" si="369"/>
        <v>InitUnitMagic('E213',,,,,,,,,,)</v>
      </c>
      <c r="CQ75" s="96" t="str">
        <f t="shared" si="370"/>
        <v>InitUnitAdd('E213',,,,,,,,,,)</v>
      </c>
      <c r="CR75" s="96" t="str">
        <f t="shared" si="801"/>
        <v>InitEquipData('E213',,"",,E214,6000,80,'','','','','','',"ReplaceableTextures\\CommandButtons\\BTNZ13.blp")</v>
      </c>
      <c r="CS75" s="96"/>
      <c r="CT75" s="96"/>
      <c r="CU75" s="98" t="str">
        <f t="shared" si="78"/>
        <v>|n护甲+100|n生命值+640000|n生命回复+16000|n</v>
      </c>
      <c r="CV75" s="71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5">
      <c r="A76" s="73"/>
      <c r="B76" s="74" t="s">
        <v>349</v>
      </c>
      <c r="C76" s="73" t="s">
        <v>350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5"/>
      <c r="Q76" s="105"/>
      <c r="R76" s="105"/>
      <c r="S76" s="106"/>
      <c r="T76" s="107"/>
      <c r="U76" s="88" t="s">
        <v>344</v>
      </c>
      <c r="V76" s="89"/>
      <c r="W76" s="89"/>
      <c r="X76" s="89">
        <v>100</v>
      </c>
      <c r="Y76" s="89"/>
      <c r="Z76" s="89">
        <v>800000</v>
      </c>
      <c r="AA76" s="89"/>
      <c r="AB76" s="89">
        <v>20000</v>
      </c>
      <c r="AC76" s="89"/>
      <c r="AD76" s="89"/>
      <c r="AE76" s="89"/>
      <c r="AF76" s="89"/>
      <c r="AG76" s="91"/>
      <c r="AH76" s="89"/>
      <c r="AI76" s="89"/>
      <c r="AJ76" s="89"/>
      <c r="AK76" s="89"/>
      <c r="AL76" s="91"/>
      <c r="AM76" s="89"/>
      <c r="AN76" s="89"/>
      <c r="AO76" s="89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81"/>
      <c r="BD76" s="81"/>
      <c r="BE76" s="81"/>
      <c r="BF76" s="81"/>
      <c r="BG76" s="81"/>
      <c r="BH76" s="81"/>
      <c r="BI76" s="81"/>
      <c r="BJ76" s="81"/>
      <c r="BK76" s="81"/>
      <c r="BL76" s="81"/>
      <c r="BM76" s="81"/>
      <c r="BN76" s="81"/>
      <c r="BO76" s="81"/>
      <c r="BP76" s="81"/>
      <c r="BQ76" s="81"/>
      <c r="BR76" s="81"/>
      <c r="BS76" s="81"/>
      <c r="BT76" s="81"/>
      <c r="BU76" s="81"/>
      <c r="BV76" s="81"/>
      <c r="BW76" s="81"/>
      <c r="BX76" s="81"/>
      <c r="BY76" s="81"/>
      <c r="BZ76" s="81"/>
      <c r="CA76" s="81"/>
      <c r="CB76" s="81"/>
      <c r="CC76" s="81"/>
      <c r="CD76" s="81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367"/>
        <v>InitUnitState('E214',,,100,,800000,,20000,,,)</v>
      </c>
      <c r="CO76" s="96" t="str">
        <f t="shared" si="368"/>
        <v>InitUnitNormal('E214',,,,,,,,,,)</v>
      </c>
      <c r="CP76" s="96" t="str">
        <f t="shared" si="369"/>
        <v>InitUnitMagic('E214',,,,,,,,,,)</v>
      </c>
      <c r="CQ76" s="96" t="str">
        <f t="shared" si="370"/>
        <v>InitUnitAdd('E214',,,,,,,,,,)</v>
      </c>
      <c r="CR76" s="96" t="str">
        <f t="shared" si="801"/>
        <v>InitEquipData('E214',,"",,E215,6000,80,'','','','','','',"ReplaceableTextures\\CommandButtons\\BTNZ13.blp")</v>
      </c>
      <c r="CS76" s="96"/>
      <c r="CT76" s="96"/>
      <c r="CU76" s="98" t="str">
        <f t="shared" si="78"/>
        <v>|n护甲+100|n生命值+800000|n生命回复+20000|n</v>
      </c>
      <c r="CV76" s="71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5">
      <c r="A77" s="73"/>
      <c r="B77" s="74" t="s">
        <v>351</v>
      </c>
      <c r="C77" s="73" t="s">
        <v>352</v>
      </c>
      <c r="D77" s="75"/>
      <c r="E77" s="76"/>
      <c r="F77" s="77">
        <v>20000</v>
      </c>
      <c r="G77" s="78">
        <v>100</v>
      </c>
      <c r="H77" s="79" t="s">
        <v>353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5"/>
      <c r="Q77" s="105"/>
      <c r="R77" s="105"/>
      <c r="S77" s="106"/>
      <c r="T77" s="107"/>
      <c r="U77" s="88" t="s">
        <v>344</v>
      </c>
      <c r="V77" s="89"/>
      <c r="W77" s="89"/>
      <c r="X77" s="89">
        <v>100</v>
      </c>
      <c r="Y77" s="89"/>
      <c r="Z77" s="89">
        <v>960000</v>
      </c>
      <c r="AA77" s="89"/>
      <c r="AB77" s="89">
        <v>24000</v>
      </c>
      <c r="AC77" s="89"/>
      <c r="AD77" s="89"/>
      <c r="AE77" s="89"/>
      <c r="AF77" s="89"/>
      <c r="AG77" s="91"/>
      <c r="AH77" s="89"/>
      <c r="AI77" s="89"/>
      <c r="AJ77" s="89"/>
      <c r="AK77" s="89"/>
      <c r="AL77" s="91"/>
      <c r="AM77" s="89"/>
      <c r="AN77" s="89"/>
      <c r="AO77" s="89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81"/>
      <c r="BD77" s="81"/>
      <c r="BE77" s="81"/>
      <c r="BF77" s="81"/>
      <c r="BG77" s="81"/>
      <c r="BH77" s="81"/>
      <c r="BI77" s="81"/>
      <c r="BJ77" s="81"/>
      <c r="BK77" s="81"/>
      <c r="BL77" s="81"/>
      <c r="BM77" s="81"/>
      <c r="BN77" s="81"/>
      <c r="BO77" s="81"/>
      <c r="BP77" s="81"/>
      <c r="BQ77" s="81"/>
      <c r="BR77" s="81"/>
      <c r="BS77" s="81"/>
      <c r="BT77" s="81"/>
      <c r="BU77" s="81"/>
      <c r="BV77" s="81"/>
      <c r="BW77" s="81"/>
      <c r="BX77" s="81"/>
      <c r="BY77" s="81"/>
      <c r="BZ77" s="81"/>
      <c r="CA77" s="81"/>
      <c r="CB77" s="81"/>
      <c r="CC77" s="81"/>
      <c r="CD77" s="81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6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6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6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6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6"/>
      <c r="CT77" s="96"/>
      <c r="CU77" s="98" t="str">
        <f t="shared" si="78"/>
        <v>|n护甲+100|n生命值+960000|n生命回复+24000|n</v>
      </c>
      <c r="CV77" s="71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5">
      <c r="A78" s="73"/>
      <c r="B78" s="74" t="s">
        <v>354</v>
      </c>
      <c r="C78" s="73" t="s">
        <v>355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5"/>
      <c r="Q78" s="105"/>
      <c r="R78" s="105"/>
      <c r="S78" s="106"/>
      <c r="T78" s="107"/>
      <c r="U78" s="88" t="s">
        <v>1031</v>
      </c>
      <c r="V78" s="89"/>
      <c r="W78" s="89"/>
      <c r="X78" s="89">
        <v>150</v>
      </c>
      <c r="Y78" s="89"/>
      <c r="Z78" s="89">
        <v>1440000</v>
      </c>
      <c r="AA78" s="89"/>
      <c r="AB78" s="89">
        <v>36000</v>
      </c>
      <c r="AC78" s="89"/>
      <c r="AD78" s="89"/>
      <c r="AE78" s="89"/>
      <c r="AF78" s="89"/>
      <c r="AG78" s="91"/>
      <c r="AH78" s="89"/>
      <c r="AI78" s="89"/>
      <c r="AJ78" s="89"/>
      <c r="AK78" s="89"/>
      <c r="AL78" s="91"/>
      <c r="AM78" s="89"/>
      <c r="AN78" s="89"/>
      <c r="AO78" s="89"/>
      <c r="AP78" s="93"/>
      <c r="AQ78" s="93"/>
      <c r="AR78" s="94"/>
      <c r="AS78" s="94"/>
      <c r="AT78" s="93"/>
      <c r="AU78" s="93"/>
      <c r="AV78" s="93"/>
      <c r="AW78" s="93"/>
      <c r="AX78" s="93"/>
      <c r="AY78" s="93"/>
      <c r="AZ78" s="93"/>
      <c r="BA78" s="93"/>
      <c r="BB78" s="93"/>
      <c r="BC78" s="81"/>
      <c r="BD78" s="81"/>
      <c r="BE78" s="81"/>
      <c r="BF78" s="81"/>
      <c r="BG78" s="81"/>
      <c r="BH78" s="81"/>
      <c r="BI78" s="81"/>
      <c r="BJ78" s="81"/>
      <c r="BK78" s="81"/>
      <c r="BL78" s="81"/>
      <c r="BM78" s="81"/>
      <c r="BN78" s="81"/>
      <c r="BO78" s="81"/>
      <c r="BP78" s="81"/>
      <c r="BQ78" s="81"/>
      <c r="BR78" s="81"/>
      <c r="BS78" s="81"/>
      <c r="BT78" s="81"/>
      <c r="BU78" s="81"/>
      <c r="BV78" s="81"/>
      <c r="BW78" s="81"/>
      <c r="BX78" s="81"/>
      <c r="BY78" s="81"/>
      <c r="BZ78" s="81"/>
      <c r="CA78" s="81"/>
      <c r="CB78" s="81"/>
      <c r="CC78" s="81"/>
      <c r="CD78" s="81"/>
      <c r="CE78" s="93"/>
      <c r="CF78" s="93"/>
      <c r="CG78" s="93"/>
      <c r="CH78" s="93"/>
      <c r="CI78" s="93"/>
      <c r="CJ78" s="93"/>
      <c r="CK78" s="93"/>
      <c r="CL78" s="93"/>
      <c r="CM78" s="93"/>
      <c r="CN78" s="96" t="str">
        <f t="shared" si="1012"/>
        <v>InitUnitState('E216',,,150,,1440000,,36000,,,)</v>
      </c>
      <c r="CO78" s="96" t="str">
        <f t="shared" si="1013"/>
        <v>InitUnitNormal('E216',,,,,,,,,,)</v>
      </c>
      <c r="CP78" s="96" t="str">
        <f t="shared" si="1014"/>
        <v>InitUnitMagic('E216',,,,,,,,,,)</v>
      </c>
      <c r="CQ78" s="96" t="str">
        <f t="shared" si="1015"/>
        <v>InitUnitAdd('E216',,,,,,,,,,)</v>
      </c>
      <c r="CR78" s="96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6"/>
      <c r="CT78" s="96"/>
      <c r="CU78" s="98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71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5">
      <c r="A79" s="73"/>
      <c r="B79" s="74" t="s">
        <v>356</v>
      </c>
      <c r="C79" s="73" t="s">
        <v>357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5"/>
      <c r="Q79" s="105"/>
      <c r="R79" s="105"/>
      <c r="S79" s="106"/>
      <c r="T79" s="107"/>
      <c r="U79" s="88" t="s">
        <v>1031</v>
      </c>
      <c r="V79" s="89"/>
      <c r="W79" s="89"/>
      <c r="X79" s="89">
        <v>150</v>
      </c>
      <c r="Y79" s="89"/>
      <c r="Z79" s="89">
        <v>1680000</v>
      </c>
      <c r="AA79" s="89"/>
      <c r="AB79" s="89">
        <v>42000</v>
      </c>
      <c r="AC79" s="89"/>
      <c r="AD79" s="89"/>
      <c r="AE79" s="89"/>
      <c r="AF79" s="89"/>
      <c r="AG79" s="91"/>
      <c r="AH79" s="89"/>
      <c r="AI79" s="89"/>
      <c r="AJ79" s="89"/>
      <c r="AK79" s="89"/>
      <c r="AL79" s="91"/>
      <c r="AM79" s="89"/>
      <c r="AN79" s="89"/>
      <c r="AO79" s="89"/>
      <c r="AP79" s="93"/>
      <c r="AQ79" s="93"/>
      <c r="AR79" s="94"/>
      <c r="AS79" s="94"/>
      <c r="AT79" s="93"/>
      <c r="AU79" s="93"/>
      <c r="AV79" s="93"/>
      <c r="AW79" s="93"/>
      <c r="AX79" s="93"/>
      <c r="AY79" s="93"/>
      <c r="AZ79" s="93"/>
      <c r="BA79" s="93"/>
      <c r="BB79" s="93"/>
      <c r="BC79" s="81"/>
      <c r="BD79" s="81"/>
      <c r="BE79" s="81"/>
      <c r="BF79" s="81"/>
      <c r="BG79" s="81"/>
      <c r="BH79" s="81"/>
      <c r="BI79" s="81"/>
      <c r="BJ79" s="81"/>
      <c r="BK79" s="81"/>
      <c r="BL79" s="81"/>
      <c r="BM79" s="81"/>
      <c r="BN79" s="81"/>
      <c r="BO79" s="81"/>
      <c r="BP79" s="81"/>
      <c r="BQ79" s="81"/>
      <c r="BR79" s="81"/>
      <c r="BS79" s="81"/>
      <c r="BT79" s="81"/>
      <c r="BU79" s="81"/>
      <c r="BV79" s="81"/>
      <c r="BW79" s="81"/>
      <c r="BX79" s="81"/>
      <c r="BY79" s="81"/>
      <c r="BZ79" s="81"/>
      <c r="CA79" s="81"/>
      <c r="CB79" s="81"/>
      <c r="CC79" s="81"/>
      <c r="CD79" s="81"/>
      <c r="CE79" s="93"/>
      <c r="CF79" s="93"/>
      <c r="CG79" s="93"/>
      <c r="CH79" s="93"/>
      <c r="CI79" s="93"/>
      <c r="CJ79" s="93"/>
      <c r="CK79" s="93"/>
      <c r="CL79" s="93"/>
      <c r="CM79" s="93"/>
      <c r="CN79" s="96" t="str">
        <f t="shared" si="1012"/>
        <v>InitUnitState('E217',,,150,,1680000,,42000,,,)</v>
      </c>
      <c r="CO79" s="96" t="str">
        <f t="shared" si="1013"/>
        <v>InitUnitNormal('E217',,,,,,,,,,)</v>
      </c>
      <c r="CP79" s="96" t="str">
        <f t="shared" si="1014"/>
        <v>InitUnitMagic('E217',,,,,,,,,,)</v>
      </c>
      <c r="CQ79" s="96" t="str">
        <f t="shared" si="1015"/>
        <v>InitUnitAdd('E217',,,,,,,,,,)</v>
      </c>
      <c r="CR79" s="96" t="str">
        <f t="shared" si="1016"/>
        <v>InitEquipData('E217',,"",,E218,10000,70,'','','','','','',"ReplaceableTextures\\CommandButtons\\BTNZ23.blp")</v>
      </c>
      <c r="CS79" s="96"/>
      <c r="CT79" s="96"/>
      <c r="CU79" s="98" t="str">
        <f t="shared" si="1017"/>
        <v>|n护甲+150|n生命值+1680000|n生命回复+42000|n</v>
      </c>
      <c r="CV79" s="71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5">
      <c r="A80" s="73"/>
      <c r="B80" s="74" t="s">
        <v>358</v>
      </c>
      <c r="C80" s="73" t="s">
        <v>359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5"/>
      <c r="Q80" s="105"/>
      <c r="R80" s="105"/>
      <c r="S80" s="106"/>
      <c r="T80" s="107"/>
      <c r="U80" s="88" t="s">
        <v>1031</v>
      </c>
      <c r="V80" s="89"/>
      <c r="W80" s="89"/>
      <c r="X80" s="89">
        <v>150</v>
      </c>
      <c r="Y80" s="89"/>
      <c r="Z80" s="89">
        <v>1920000</v>
      </c>
      <c r="AA80" s="89"/>
      <c r="AB80" s="89">
        <v>48000</v>
      </c>
      <c r="AC80" s="89"/>
      <c r="AD80" s="89"/>
      <c r="AE80" s="89"/>
      <c r="AF80" s="89"/>
      <c r="AG80" s="91"/>
      <c r="AH80" s="89"/>
      <c r="AI80" s="89"/>
      <c r="AJ80" s="89"/>
      <c r="AK80" s="89"/>
      <c r="AL80" s="91"/>
      <c r="AM80" s="89"/>
      <c r="AN80" s="89"/>
      <c r="AO80" s="89"/>
      <c r="AP80" s="93"/>
      <c r="AQ80" s="93"/>
      <c r="AR80" s="94"/>
      <c r="AS80" s="94"/>
      <c r="AT80" s="93"/>
      <c r="AU80" s="93"/>
      <c r="AV80" s="93"/>
      <c r="AW80" s="93"/>
      <c r="AX80" s="93"/>
      <c r="AY80" s="93"/>
      <c r="AZ80" s="93"/>
      <c r="BA80" s="93"/>
      <c r="BB80" s="93"/>
      <c r="BC80" s="81"/>
      <c r="BD80" s="81"/>
      <c r="BE80" s="81"/>
      <c r="BF80" s="81"/>
      <c r="BG80" s="81"/>
      <c r="BH80" s="81"/>
      <c r="BI80" s="81"/>
      <c r="BJ80" s="81"/>
      <c r="BK80" s="81"/>
      <c r="BL80" s="81"/>
      <c r="BM80" s="81"/>
      <c r="BN80" s="81"/>
      <c r="BO80" s="81"/>
      <c r="BP80" s="81"/>
      <c r="BQ80" s="81"/>
      <c r="BR80" s="81"/>
      <c r="BS80" s="81"/>
      <c r="BT80" s="81"/>
      <c r="BU80" s="81"/>
      <c r="BV80" s="81"/>
      <c r="BW80" s="81"/>
      <c r="BX80" s="81"/>
      <c r="BY80" s="81"/>
      <c r="BZ80" s="81"/>
      <c r="CA80" s="81"/>
      <c r="CB80" s="81"/>
      <c r="CC80" s="81"/>
      <c r="CD80" s="81"/>
      <c r="CE80" s="93"/>
      <c r="CF80" s="93"/>
      <c r="CG80" s="93"/>
      <c r="CH80" s="93"/>
      <c r="CI80" s="93"/>
      <c r="CJ80" s="93"/>
      <c r="CK80" s="93"/>
      <c r="CL80" s="93"/>
      <c r="CM80" s="93"/>
      <c r="CN80" s="96" t="str">
        <f t="shared" si="1012"/>
        <v>InitUnitState('E218',,,150,,1920000,,48000,,,)</v>
      </c>
      <c r="CO80" s="96" t="str">
        <f t="shared" si="1013"/>
        <v>InitUnitNormal('E218',,,,,,,,,,)</v>
      </c>
      <c r="CP80" s="96" t="str">
        <f t="shared" si="1014"/>
        <v>InitUnitMagic('E218',,,,,,,,,,)</v>
      </c>
      <c r="CQ80" s="96" t="str">
        <f t="shared" si="1015"/>
        <v>InitUnitAdd('E218',,,,,,,,,,)</v>
      </c>
      <c r="CR80" s="96" t="str">
        <f t="shared" si="1016"/>
        <v>InitEquipData('E218',,"",,E219,10000,70,'','','','','','',"ReplaceableTextures\\CommandButtons\\BTNZ23.blp")</v>
      </c>
      <c r="CS80" s="96"/>
      <c r="CT80" s="96"/>
      <c r="CU80" s="98" t="str">
        <f t="shared" si="1017"/>
        <v>|n护甲+150|n生命值+1920000|n生命回复+48000|n</v>
      </c>
      <c r="CV80" s="71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5">
      <c r="A81" s="73"/>
      <c r="B81" s="74" t="s">
        <v>360</v>
      </c>
      <c r="C81" s="73" t="s">
        <v>361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5"/>
      <c r="Q81" s="105"/>
      <c r="R81" s="105"/>
      <c r="S81" s="106"/>
      <c r="T81" s="107"/>
      <c r="U81" s="88" t="s">
        <v>1031</v>
      </c>
      <c r="V81" s="89"/>
      <c r="W81" s="89"/>
      <c r="X81" s="89">
        <v>150</v>
      </c>
      <c r="Y81" s="89"/>
      <c r="Z81" s="89">
        <v>2160000</v>
      </c>
      <c r="AA81" s="89"/>
      <c r="AB81" s="89">
        <v>54000</v>
      </c>
      <c r="AC81" s="89"/>
      <c r="AD81" s="89"/>
      <c r="AE81" s="89"/>
      <c r="AF81" s="89"/>
      <c r="AG81" s="91"/>
      <c r="AH81" s="89"/>
      <c r="AI81" s="89"/>
      <c r="AJ81" s="89"/>
      <c r="AK81" s="89"/>
      <c r="AL81" s="91"/>
      <c r="AM81" s="89"/>
      <c r="AN81" s="89"/>
      <c r="AO81" s="89"/>
      <c r="AP81" s="93"/>
      <c r="AQ81" s="93"/>
      <c r="AR81" s="94"/>
      <c r="AS81" s="94"/>
      <c r="AT81" s="93"/>
      <c r="AU81" s="93"/>
      <c r="AV81" s="93"/>
      <c r="AW81" s="93"/>
      <c r="AX81" s="93"/>
      <c r="AY81" s="93"/>
      <c r="AZ81" s="93"/>
      <c r="BA81" s="93"/>
      <c r="BB81" s="93"/>
      <c r="BC81" s="81"/>
      <c r="BD81" s="81"/>
      <c r="BE81" s="81"/>
      <c r="BF81" s="81"/>
      <c r="BG81" s="81"/>
      <c r="BH81" s="81"/>
      <c r="BI81" s="81"/>
      <c r="BJ81" s="81"/>
      <c r="BK81" s="81"/>
      <c r="BL81" s="81"/>
      <c r="BM81" s="81"/>
      <c r="BN81" s="81"/>
      <c r="BO81" s="81"/>
      <c r="BP81" s="81"/>
      <c r="BQ81" s="81"/>
      <c r="BR81" s="81"/>
      <c r="BS81" s="81"/>
      <c r="BT81" s="81"/>
      <c r="BU81" s="81"/>
      <c r="BV81" s="81"/>
      <c r="BW81" s="81"/>
      <c r="BX81" s="81"/>
      <c r="BY81" s="81"/>
      <c r="BZ81" s="81"/>
      <c r="CA81" s="81"/>
      <c r="CB81" s="81"/>
      <c r="CC81" s="81"/>
      <c r="CD81" s="81"/>
      <c r="CE81" s="93"/>
      <c r="CF81" s="93"/>
      <c r="CG81" s="93"/>
      <c r="CH81" s="93"/>
      <c r="CI81" s="93"/>
      <c r="CJ81" s="93"/>
      <c r="CK81" s="93"/>
      <c r="CL81" s="93"/>
      <c r="CM81" s="93"/>
      <c r="CN81" s="96" t="str">
        <f t="shared" si="1012"/>
        <v>InitUnitState('E219',,,150,,2160000,,54000,,,)</v>
      </c>
      <c r="CO81" s="96" t="str">
        <f t="shared" si="1013"/>
        <v>InitUnitNormal('E219',,,,,,,,,,)</v>
      </c>
      <c r="CP81" s="96" t="str">
        <f t="shared" si="1014"/>
        <v>InitUnitMagic('E219',,,,,,,,,,)</v>
      </c>
      <c r="CQ81" s="96" t="str">
        <f t="shared" si="1015"/>
        <v>InitUnitAdd('E219',,,,,,,,,,)</v>
      </c>
      <c r="CR81" s="96" t="str">
        <f t="shared" si="1016"/>
        <v>InitEquipData('E219',,"",,E220,10000,70,'','','','','','',"ReplaceableTextures\\CommandButtons\\BTNZ23.blp")</v>
      </c>
      <c r="CS81" s="96"/>
      <c r="CT81" s="96"/>
      <c r="CU81" s="98" t="str">
        <f t="shared" si="1017"/>
        <v>|n护甲+150|n生命值+2160000|n生命回复+54000|n</v>
      </c>
      <c r="CV81" s="71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5">
      <c r="A82" s="73"/>
      <c r="B82" s="74" t="s">
        <v>362</v>
      </c>
      <c r="C82" s="73" t="s">
        <v>363</v>
      </c>
      <c r="D82" s="75"/>
      <c r="E82" s="76"/>
      <c r="F82" s="77">
        <v>30000</v>
      </c>
      <c r="G82" s="78">
        <v>100</v>
      </c>
      <c r="H82" s="80" t="s">
        <v>364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5"/>
      <c r="Q82" s="105"/>
      <c r="R82" s="105"/>
      <c r="S82" s="106"/>
      <c r="T82" s="107"/>
      <c r="U82" s="88" t="s">
        <v>1031</v>
      </c>
      <c r="V82" s="89"/>
      <c r="W82" s="89"/>
      <c r="X82" s="89">
        <v>150</v>
      </c>
      <c r="Y82" s="89"/>
      <c r="Z82" s="89">
        <v>2400000</v>
      </c>
      <c r="AA82" s="89"/>
      <c r="AB82" s="89">
        <v>60000</v>
      </c>
      <c r="AC82" s="89"/>
      <c r="AD82" s="89"/>
      <c r="AE82" s="89"/>
      <c r="AF82" s="89"/>
      <c r="AG82" s="91"/>
      <c r="AH82" s="89"/>
      <c r="AI82" s="89"/>
      <c r="AJ82" s="89"/>
      <c r="AK82" s="89"/>
      <c r="AL82" s="91"/>
      <c r="AM82" s="89"/>
      <c r="AN82" s="89"/>
      <c r="AO82" s="89"/>
      <c r="AP82" s="93"/>
      <c r="AQ82" s="93"/>
      <c r="AR82" s="94"/>
      <c r="AS82" s="94"/>
      <c r="AT82" s="93"/>
      <c r="AU82" s="93"/>
      <c r="AV82" s="93"/>
      <c r="AW82" s="93"/>
      <c r="AX82" s="93"/>
      <c r="AY82" s="93"/>
      <c r="AZ82" s="93"/>
      <c r="BA82" s="93"/>
      <c r="BB82" s="93"/>
      <c r="BC82" s="81"/>
      <c r="BD82" s="81"/>
      <c r="BE82" s="81"/>
      <c r="BF82" s="81"/>
      <c r="BG82" s="81"/>
      <c r="BH82" s="81"/>
      <c r="BI82" s="81"/>
      <c r="BJ82" s="81"/>
      <c r="BK82" s="81"/>
      <c r="BL82" s="81"/>
      <c r="BM82" s="81"/>
      <c r="BN82" s="81"/>
      <c r="BO82" s="81"/>
      <c r="BP82" s="81"/>
      <c r="BQ82" s="81"/>
      <c r="BR82" s="81"/>
      <c r="BS82" s="81"/>
      <c r="BT82" s="81"/>
      <c r="BU82" s="81"/>
      <c r="BV82" s="81"/>
      <c r="BW82" s="81"/>
      <c r="BX82" s="81"/>
      <c r="BY82" s="81"/>
      <c r="BZ82" s="81"/>
      <c r="CA82" s="81"/>
      <c r="CB82" s="81"/>
      <c r="CC82" s="81"/>
      <c r="CD82" s="81"/>
      <c r="CE82" s="93"/>
      <c r="CF82" s="93"/>
      <c r="CG82" s="93"/>
      <c r="CH82" s="93"/>
      <c r="CI82" s="93"/>
      <c r="CJ82" s="93"/>
      <c r="CK82" s="93"/>
      <c r="CL82" s="93"/>
      <c r="CM82" s="93"/>
      <c r="CN82" s="96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6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6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6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6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6"/>
      <c r="CT82" s="96"/>
      <c r="CU82" s="98" t="str">
        <f t="shared" si="1017"/>
        <v>|n护甲+150|n生命值+2400000|n生命回复+60000|n</v>
      </c>
      <c r="CV82" s="71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5">
      <c r="A83" s="73"/>
      <c r="B83" s="74" t="s">
        <v>365</v>
      </c>
      <c r="C83" s="73" t="s">
        <v>366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5"/>
      <c r="Q83" s="105"/>
      <c r="R83" s="105"/>
      <c r="S83" s="106"/>
      <c r="T83" s="107"/>
      <c r="U83" s="88" t="s">
        <v>367</v>
      </c>
      <c r="V83" s="89"/>
      <c r="W83" s="89"/>
      <c r="X83" s="89">
        <v>200</v>
      </c>
      <c r="Y83" s="89"/>
      <c r="Z83" s="89">
        <v>3200000</v>
      </c>
      <c r="AA83" s="89"/>
      <c r="AB83" s="89">
        <v>80000</v>
      </c>
      <c r="AC83" s="89"/>
      <c r="AD83" s="89"/>
      <c r="AE83" s="89"/>
      <c r="AF83" s="89"/>
      <c r="AG83" s="91"/>
      <c r="AH83" s="89"/>
      <c r="AI83" s="89"/>
      <c r="AJ83" s="89"/>
      <c r="AK83" s="89"/>
      <c r="AL83" s="91"/>
      <c r="AM83" s="89"/>
      <c r="AN83" s="89"/>
      <c r="AO83" s="89"/>
      <c r="AP83" s="93"/>
      <c r="AQ83" s="93"/>
      <c r="AR83" s="94"/>
      <c r="AS83" s="94"/>
      <c r="AT83" s="93"/>
      <c r="AU83" s="93"/>
      <c r="AV83" s="93"/>
      <c r="AW83" s="93"/>
      <c r="AX83" s="93"/>
      <c r="AY83" s="93"/>
      <c r="AZ83" s="93"/>
      <c r="BA83" s="93"/>
      <c r="BB83" s="93"/>
      <c r="BC83" s="81"/>
      <c r="BD83" s="81"/>
      <c r="BE83" s="81"/>
      <c r="BF83" s="81"/>
      <c r="BG83" s="81"/>
      <c r="BH83" s="81"/>
      <c r="BI83" s="81"/>
      <c r="BJ83" s="81"/>
      <c r="BK83" s="81"/>
      <c r="BL83" s="81"/>
      <c r="BM83" s="81"/>
      <c r="BN83" s="81"/>
      <c r="BO83" s="81"/>
      <c r="BP83" s="81"/>
      <c r="BQ83" s="81"/>
      <c r="BR83" s="81"/>
      <c r="BS83" s="81"/>
      <c r="BT83" s="81"/>
      <c r="BU83" s="81"/>
      <c r="BV83" s="81"/>
      <c r="BW83" s="81"/>
      <c r="BX83" s="81"/>
      <c r="BY83" s="81"/>
      <c r="BZ83" s="81"/>
      <c r="CA83" s="81"/>
      <c r="CB83" s="81"/>
      <c r="CC83" s="81"/>
      <c r="CD83" s="81"/>
      <c r="CE83" s="93"/>
      <c r="CF83" s="93"/>
      <c r="CG83" s="93"/>
      <c r="CH83" s="93"/>
      <c r="CI83" s="93"/>
      <c r="CJ83" s="93"/>
      <c r="CK83" s="93"/>
      <c r="CL83" s="93"/>
      <c r="CM83" s="93"/>
      <c r="CN83" s="96" t="str">
        <f t="shared" si="1012"/>
        <v>InitUnitState('E221',,,200,,3200000,,80000,,,)</v>
      </c>
      <c r="CO83" s="96" t="str">
        <f t="shared" si="1013"/>
        <v>InitUnitNormal('E221',,,,,,,,,,)</v>
      </c>
      <c r="CP83" s="96" t="str">
        <f t="shared" si="1014"/>
        <v>InitUnitMagic('E221',,,,,,,,,,)</v>
      </c>
      <c r="CQ83" s="96" t="str">
        <f t="shared" si="1015"/>
        <v>InitUnitAdd('E221',,,,,,,,,,)</v>
      </c>
      <c r="CR83" s="96" t="str">
        <f t="shared" si="801"/>
        <v>InitEquipData('E221',,"",,E222,20000,60,'','','','','','',"ReplaceableTextures\\CommandButtons\\BTNZ14.blp")</v>
      </c>
      <c r="CS83" s="96"/>
      <c r="CT83" s="96"/>
      <c r="CU83" s="98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71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5">
      <c r="A84" s="73"/>
      <c r="B84" s="74" t="s">
        <v>368</v>
      </c>
      <c r="C84" s="73" t="s">
        <v>369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5"/>
      <c r="Q84" s="105"/>
      <c r="R84" s="105"/>
      <c r="S84" s="106"/>
      <c r="T84" s="107"/>
      <c r="U84" s="88" t="s">
        <v>367</v>
      </c>
      <c r="V84" s="89"/>
      <c r="W84" s="89"/>
      <c r="X84" s="89">
        <v>200</v>
      </c>
      <c r="Y84" s="89"/>
      <c r="Z84" s="89">
        <v>3600000</v>
      </c>
      <c r="AA84" s="89"/>
      <c r="AB84" s="89">
        <v>90000</v>
      </c>
      <c r="AC84" s="89"/>
      <c r="AD84" s="89"/>
      <c r="AE84" s="89"/>
      <c r="AF84" s="89"/>
      <c r="AG84" s="91"/>
      <c r="AH84" s="89"/>
      <c r="AI84" s="89"/>
      <c r="AJ84" s="89"/>
      <c r="AK84" s="89"/>
      <c r="AL84" s="91"/>
      <c r="AM84" s="89"/>
      <c r="AN84" s="89"/>
      <c r="AO84" s="89"/>
      <c r="AP84" s="93"/>
      <c r="AQ84" s="93"/>
      <c r="AR84" s="94"/>
      <c r="AS84" s="94"/>
      <c r="AT84" s="93"/>
      <c r="AU84" s="93"/>
      <c r="AV84" s="93"/>
      <c r="AW84" s="93"/>
      <c r="AX84" s="93"/>
      <c r="AY84" s="93"/>
      <c r="AZ84" s="93"/>
      <c r="BA84" s="93"/>
      <c r="BB84" s="93"/>
      <c r="BC84" s="81"/>
      <c r="BD84" s="81"/>
      <c r="BE84" s="81"/>
      <c r="BF84" s="81"/>
      <c r="BG84" s="81"/>
      <c r="BH84" s="81"/>
      <c r="BI84" s="81"/>
      <c r="BJ84" s="81"/>
      <c r="BK84" s="81"/>
      <c r="BL84" s="81"/>
      <c r="BM84" s="81"/>
      <c r="BN84" s="81"/>
      <c r="BO84" s="81"/>
      <c r="BP84" s="81"/>
      <c r="BQ84" s="81"/>
      <c r="BR84" s="81"/>
      <c r="BS84" s="81"/>
      <c r="BT84" s="81"/>
      <c r="BU84" s="81"/>
      <c r="BV84" s="81"/>
      <c r="BW84" s="81"/>
      <c r="BX84" s="81"/>
      <c r="BY84" s="81"/>
      <c r="BZ84" s="81"/>
      <c r="CA84" s="81"/>
      <c r="CB84" s="81"/>
      <c r="CC84" s="81"/>
      <c r="CD84" s="81"/>
      <c r="CE84" s="93"/>
      <c r="CF84" s="93"/>
      <c r="CG84" s="93"/>
      <c r="CH84" s="93"/>
      <c r="CI84" s="93"/>
      <c r="CJ84" s="93"/>
      <c r="CK84" s="93"/>
      <c r="CL84" s="93"/>
      <c r="CM84" s="93"/>
      <c r="CN84" s="96" t="str">
        <f t="shared" si="1012"/>
        <v>InitUnitState('E222',,,200,,3600000,,90000,,,)</v>
      </c>
      <c r="CO84" s="96" t="str">
        <f t="shared" si="1013"/>
        <v>InitUnitNormal('E222',,,,,,,,,,)</v>
      </c>
      <c r="CP84" s="96" t="str">
        <f t="shared" si="1014"/>
        <v>InitUnitMagic('E222',,,,,,,,,,)</v>
      </c>
      <c r="CQ84" s="96" t="str">
        <f t="shared" si="1015"/>
        <v>InitUnitAdd('E222',,,,,,,,,,)</v>
      </c>
      <c r="CR84" s="96" t="str">
        <f t="shared" si="801"/>
        <v>InitEquipData('E222',,"",,E223,20000,60,'','','','','','',"ReplaceableTextures\\CommandButtons\\BTNZ14.blp")</v>
      </c>
      <c r="CS84" s="96"/>
      <c r="CT84" s="96"/>
      <c r="CU84" s="98" t="str">
        <f t="shared" si="1092"/>
        <v>|n护甲+200|n生命值+3600000|n生命回复+90000|n</v>
      </c>
      <c r="CV84" s="71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5">
      <c r="A85" s="73"/>
      <c r="B85" s="74" t="s">
        <v>370</v>
      </c>
      <c r="C85" s="73" t="s">
        <v>371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5"/>
      <c r="Q85" s="105"/>
      <c r="R85" s="105"/>
      <c r="S85" s="106"/>
      <c r="T85" s="107"/>
      <c r="U85" s="88" t="s">
        <v>367</v>
      </c>
      <c r="V85" s="89"/>
      <c r="W85" s="89"/>
      <c r="X85" s="89">
        <v>200</v>
      </c>
      <c r="Y85" s="89"/>
      <c r="Z85" s="89">
        <v>4000000</v>
      </c>
      <c r="AA85" s="89"/>
      <c r="AB85" s="89">
        <v>100000</v>
      </c>
      <c r="AC85" s="89"/>
      <c r="AD85" s="89"/>
      <c r="AE85" s="89"/>
      <c r="AF85" s="89"/>
      <c r="AG85" s="91"/>
      <c r="AH85" s="89"/>
      <c r="AI85" s="89"/>
      <c r="AJ85" s="89"/>
      <c r="AK85" s="89"/>
      <c r="AL85" s="91"/>
      <c r="AM85" s="89"/>
      <c r="AN85" s="89"/>
      <c r="AO85" s="89"/>
      <c r="AP85" s="93"/>
      <c r="AQ85" s="93"/>
      <c r="AR85" s="94"/>
      <c r="AS85" s="94"/>
      <c r="AT85" s="93"/>
      <c r="AU85" s="93"/>
      <c r="AV85" s="93"/>
      <c r="AW85" s="93"/>
      <c r="AX85" s="93"/>
      <c r="AY85" s="93"/>
      <c r="AZ85" s="93"/>
      <c r="BA85" s="93"/>
      <c r="BB85" s="93"/>
      <c r="BC85" s="81"/>
      <c r="BD85" s="81"/>
      <c r="BE85" s="81"/>
      <c r="BF85" s="81"/>
      <c r="BG85" s="81"/>
      <c r="BH85" s="81"/>
      <c r="BI85" s="81"/>
      <c r="BJ85" s="81"/>
      <c r="BK85" s="81"/>
      <c r="BL85" s="81"/>
      <c r="BM85" s="81"/>
      <c r="BN85" s="81"/>
      <c r="BO85" s="81"/>
      <c r="BP85" s="81"/>
      <c r="BQ85" s="81"/>
      <c r="BR85" s="81"/>
      <c r="BS85" s="81"/>
      <c r="BT85" s="81"/>
      <c r="BU85" s="81"/>
      <c r="BV85" s="81"/>
      <c r="BW85" s="81"/>
      <c r="BX85" s="81"/>
      <c r="BY85" s="81"/>
      <c r="BZ85" s="81"/>
      <c r="CA85" s="81"/>
      <c r="CB85" s="81"/>
      <c r="CC85" s="81"/>
      <c r="CD85" s="81"/>
      <c r="CE85" s="93"/>
      <c r="CF85" s="93"/>
      <c r="CG85" s="93"/>
      <c r="CH85" s="93"/>
      <c r="CI85" s="93"/>
      <c r="CJ85" s="93"/>
      <c r="CK85" s="93"/>
      <c r="CL85" s="93"/>
      <c r="CM85" s="93"/>
      <c r="CN85" s="96" t="str">
        <f t="shared" si="1012"/>
        <v>InitUnitState('E223',,,200,,4000000,,100000,,,)</v>
      </c>
      <c r="CO85" s="96" t="str">
        <f t="shared" si="1013"/>
        <v>InitUnitNormal('E223',,,,,,,,,,)</v>
      </c>
      <c r="CP85" s="96" t="str">
        <f t="shared" si="1014"/>
        <v>InitUnitMagic('E223',,,,,,,,,,)</v>
      </c>
      <c r="CQ85" s="96" t="str">
        <f t="shared" si="1015"/>
        <v>InitUnitAdd('E223',,,,,,,,,,)</v>
      </c>
      <c r="CR85" s="96" t="str">
        <f t="shared" si="801"/>
        <v>InitEquipData('E223',,"",,E224,20000,60,'','','','','','',"ReplaceableTextures\\CommandButtons\\BTNZ14.blp")</v>
      </c>
      <c r="CS85" s="96"/>
      <c r="CT85" s="96"/>
      <c r="CU85" s="98" t="str">
        <f t="shared" si="1092"/>
        <v>|n护甲+200|n生命值+4000000|n生命回复+100000|n</v>
      </c>
      <c r="CV85" s="71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5">
      <c r="A86" s="73"/>
      <c r="B86" s="74" t="s">
        <v>372</v>
      </c>
      <c r="C86" s="73" t="s">
        <v>373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5"/>
      <c r="Q86" s="105"/>
      <c r="R86" s="105"/>
      <c r="S86" s="106"/>
      <c r="T86" s="107"/>
      <c r="U86" s="88" t="s">
        <v>367</v>
      </c>
      <c r="V86" s="89"/>
      <c r="W86" s="89"/>
      <c r="X86" s="89">
        <v>200</v>
      </c>
      <c r="Y86" s="89"/>
      <c r="Z86" s="89">
        <v>4400000</v>
      </c>
      <c r="AA86" s="89"/>
      <c r="AB86" s="89">
        <v>110000</v>
      </c>
      <c r="AC86" s="89"/>
      <c r="AD86" s="89"/>
      <c r="AE86" s="89"/>
      <c r="AF86" s="89"/>
      <c r="AG86" s="91"/>
      <c r="AH86" s="89"/>
      <c r="AI86" s="89"/>
      <c r="AJ86" s="89"/>
      <c r="AK86" s="89"/>
      <c r="AL86" s="91"/>
      <c r="AM86" s="89"/>
      <c r="AN86" s="89"/>
      <c r="AO86" s="89"/>
      <c r="AP86" s="93"/>
      <c r="AQ86" s="93"/>
      <c r="AR86" s="94"/>
      <c r="AS86" s="94"/>
      <c r="AT86" s="93"/>
      <c r="AU86" s="93"/>
      <c r="AV86" s="93"/>
      <c r="AW86" s="93"/>
      <c r="AX86" s="93"/>
      <c r="AY86" s="93"/>
      <c r="AZ86" s="93"/>
      <c r="BA86" s="93"/>
      <c r="BB86" s="93"/>
      <c r="BC86" s="81"/>
      <c r="BD86" s="81"/>
      <c r="BE86" s="81"/>
      <c r="BF86" s="81"/>
      <c r="BG86" s="81"/>
      <c r="BH86" s="81"/>
      <c r="BI86" s="81"/>
      <c r="BJ86" s="81"/>
      <c r="BK86" s="81"/>
      <c r="BL86" s="81"/>
      <c r="BM86" s="81"/>
      <c r="BN86" s="81"/>
      <c r="BO86" s="81"/>
      <c r="BP86" s="81"/>
      <c r="BQ86" s="81"/>
      <c r="BR86" s="81"/>
      <c r="BS86" s="81"/>
      <c r="BT86" s="81"/>
      <c r="BU86" s="81"/>
      <c r="BV86" s="81"/>
      <c r="BW86" s="81"/>
      <c r="BX86" s="81"/>
      <c r="BY86" s="81"/>
      <c r="BZ86" s="81"/>
      <c r="CA86" s="81"/>
      <c r="CB86" s="81"/>
      <c r="CC86" s="81"/>
      <c r="CD86" s="81"/>
      <c r="CE86" s="93"/>
      <c r="CF86" s="93"/>
      <c r="CG86" s="93"/>
      <c r="CH86" s="93"/>
      <c r="CI86" s="93"/>
      <c r="CJ86" s="93"/>
      <c r="CK86" s="93"/>
      <c r="CL86" s="93"/>
      <c r="CM86" s="93"/>
      <c r="CN86" s="96" t="str">
        <f t="shared" si="1012"/>
        <v>InitUnitState('E224',,,200,,4400000,,110000,,,)</v>
      </c>
      <c r="CO86" s="96" t="str">
        <f t="shared" si="1013"/>
        <v>InitUnitNormal('E224',,,,,,,,,,)</v>
      </c>
      <c r="CP86" s="96" t="str">
        <f t="shared" si="1014"/>
        <v>InitUnitMagic('E224',,,,,,,,,,)</v>
      </c>
      <c r="CQ86" s="96" t="str">
        <f t="shared" si="1015"/>
        <v>InitUnitAdd('E224',,,,,,,,,,)</v>
      </c>
      <c r="CR86" s="96" t="str">
        <f t="shared" si="801"/>
        <v>InitEquipData('E224',,"",,E225,20000,60,'','','','','','',"ReplaceableTextures\\CommandButtons\\BTNZ14.blp")</v>
      </c>
      <c r="CS86" s="96"/>
      <c r="CT86" s="96"/>
      <c r="CU86" s="98" t="str">
        <f t="shared" si="1092"/>
        <v>|n护甲+200|n生命值+4400000|n生命回复+110000|n</v>
      </c>
      <c r="CV86" s="71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5">
      <c r="A87" s="73"/>
      <c r="B87" s="74" t="s">
        <v>374</v>
      </c>
      <c r="C87" s="73" t="s">
        <v>375</v>
      </c>
      <c r="D87" s="75"/>
      <c r="E87" s="76"/>
      <c r="F87" s="77">
        <v>50000</v>
      </c>
      <c r="G87" s="78">
        <v>100</v>
      </c>
      <c r="H87" s="80" t="s">
        <v>376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5"/>
      <c r="Q87" s="105"/>
      <c r="R87" s="105"/>
      <c r="S87" s="106"/>
      <c r="T87" s="107"/>
      <c r="U87" s="88" t="s">
        <v>367</v>
      </c>
      <c r="V87" s="89"/>
      <c r="W87" s="89"/>
      <c r="X87" s="89">
        <v>200</v>
      </c>
      <c r="Y87" s="89"/>
      <c r="Z87" s="89">
        <v>4800000</v>
      </c>
      <c r="AA87" s="89"/>
      <c r="AB87" s="89">
        <v>120000</v>
      </c>
      <c r="AC87" s="89"/>
      <c r="AD87" s="89"/>
      <c r="AE87" s="89"/>
      <c r="AF87" s="89"/>
      <c r="AG87" s="91"/>
      <c r="AH87" s="89"/>
      <c r="AI87" s="89"/>
      <c r="AJ87" s="89"/>
      <c r="AK87" s="89"/>
      <c r="AL87" s="91"/>
      <c r="AM87" s="89"/>
      <c r="AN87" s="89"/>
      <c r="AO87" s="89"/>
      <c r="AP87" s="93"/>
      <c r="AQ87" s="93"/>
      <c r="AR87" s="94"/>
      <c r="AS87" s="94"/>
      <c r="AT87" s="93"/>
      <c r="AU87" s="93"/>
      <c r="AV87" s="93"/>
      <c r="AW87" s="93"/>
      <c r="AX87" s="93"/>
      <c r="AY87" s="93"/>
      <c r="AZ87" s="93"/>
      <c r="BA87" s="93"/>
      <c r="BB87" s="93"/>
      <c r="BC87" s="81"/>
      <c r="BD87" s="81"/>
      <c r="BE87" s="81"/>
      <c r="BF87" s="81"/>
      <c r="BG87" s="81"/>
      <c r="BH87" s="81"/>
      <c r="BI87" s="81"/>
      <c r="BJ87" s="81"/>
      <c r="BK87" s="81"/>
      <c r="BL87" s="81"/>
      <c r="BM87" s="81"/>
      <c r="BN87" s="81"/>
      <c r="BO87" s="81"/>
      <c r="BP87" s="81"/>
      <c r="BQ87" s="81"/>
      <c r="BR87" s="81"/>
      <c r="BS87" s="81"/>
      <c r="BT87" s="81"/>
      <c r="BU87" s="81"/>
      <c r="BV87" s="81"/>
      <c r="BW87" s="81"/>
      <c r="BX87" s="81"/>
      <c r="BY87" s="81"/>
      <c r="BZ87" s="81"/>
      <c r="CA87" s="81"/>
      <c r="CB87" s="81"/>
      <c r="CC87" s="81"/>
      <c r="CD87" s="81"/>
      <c r="CE87" s="93"/>
      <c r="CF87" s="93"/>
      <c r="CG87" s="93"/>
      <c r="CH87" s="93"/>
      <c r="CI87" s="93"/>
      <c r="CJ87" s="93"/>
      <c r="CK87" s="93"/>
      <c r="CL87" s="93"/>
      <c r="CM87" s="93"/>
      <c r="CN87" s="96" t="str">
        <f t="shared" si="1012"/>
        <v>InitUnitState('E225',,,200,,4800000,,120000,,,)</v>
      </c>
      <c r="CO87" s="96" t="str">
        <f t="shared" si="1013"/>
        <v>InitUnitNormal('E225',,,,,,,,,,)</v>
      </c>
      <c r="CP87" s="96" t="str">
        <f t="shared" si="1014"/>
        <v>InitUnitMagic('E225',,,,,,,,,,)</v>
      </c>
      <c r="CQ87" s="96" t="str">
        <f t="shared" si="1015"/>
        <v>InitUnitAdd('E225',,,,,,,,,,)</v>
      </c>
      <c r="CR87" s="96" t="str">
        <f t="shared" si="801"/>
        <v>InitEquipData('E225',,"",,E226,50000,100,'','','','','','',"ReplaceableTextures\\CommandButtons\\BTNZ15.blp")</v>
      </c>
      <c r="CS87" s="96"/>
      <c r="CT87" s="96"/>
      <c r="CU87" s="98" t="str">
        <f t="shared" si="1092"/>
        <v>|n护甲+200|n生命值+4800000|n生命回复+120000|n</v>
      </c>
      <c r="CV87" s="71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5">
      <c r="A88" s="73"/>
      <c r="B88" s="74" t="s">
        <v>377</v>
      </c>
      <c r="C88" s="73" t="s">
        <v>378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5"/>
      <c r="Q88" s="105"/>
      <c r="R88" s="105"/>
      <c r="S88" s="106"/>
      <c r="T88" s="107"/>
      <c r="U88" s="88" t="s">
        <v>379</v>
      </c>
      <c r="V88" s="89"/>
      <c r="W88" s="89"/>
      <c r="X88" s="89">
        <v>300</v>
      </c>
      <c r="Y88" s="89"/>
      <c r="Z88" s="89">
        <v>7200000</v>
      </c>
      <c r="AA88" s="89"/>
      <c r="AB88" s="89">
        <v>180000</v>
      </c>
      <c r="AC88" s="89"/>
      <c r="AD88" s="89"/>
      <c r="AE88" s="89"/>
      <c r="AF88" s="89"/>
      <c r="AG88" s="91"/>
      <c r="AH88" s="89"/>
      <c r="AI88" s="89"/>
      <c r="AJ88" s="89"/>
      <c r="AK88" s="89"/>
      <c r="AL88" s="91"/>
      <c r="AM88" s="89"/>
      <c r="AN88" s="89"/>
      <c r="AO88" s="89"/>
      <c r="AP88" s="93"/>
      <c r="AQ88" s="93"/>
      <c r="AR88" s="94"/>
      <c r="AS88" s="94"/>
      <c r="AT88" s="93"/>
      <c r="AU88" s="93"/>
      <c r="AV88" s="93"/>
      <c r="AW88" s="93"/>
      <c r="AX88" s="93"/>
      <c r="AY88" s="93"/>
      <c r="AZ88" s="93"/>
      <c r="BA88" s="93"/>
      <c r="BB88" s="93"/>
      <c r="BC88" s="81"/>
      <c r="BD88" s="81"/>
      <c r="BE88" s="81"/>
      <c r="BF88" s="81"/>
      <c r="BG88" s="81"/>
      <c r="BH88" s="81"/>
      <c r="BI88" s="81"/>
      <c r="BJ88" s="81"/>
      <c r="BK88" s="81"/>
      <c r="BL88" s="81"/>
      <c r="BM88" s="81"/>
      <c r="BN88" s="81"/>
      <c r="BO88" s="81"/>
      <c r="BP88" s="81"/>
      <c r="BQ88" s="81"/>
      <c r="BR88" s="81"/>
      <c r="BS88" s="81"/>
      <c r="BT88" s="81"/>
      <c r="BU88" s="81"/>
      <c r="BV88" s="81"/>
      <c r="BW88" s="81"/>
      <c r="BX88" s="81"/>
      <c r="BY88" s="81"/>
      <c r="BZ88" s="81"/>
      <c r="CA88" s="81"/>
      <c r="CB88" s="81"/>
      <c r="CC88" s="81"/>
      <c r="CD88" s="81"/>
      <c r="CE88" s="93"/>
      <c r="CF88" s="93"/>
      <c r="CG88" s="93"/>
      <c r="CH88" s="93"/>
      <c r="CI88" s="93"/>
      <c r="CJ88" s="93"/>
      <c r="CK88" s="93"/>
      <c r="CL88" s="93"/>
      <c r="CM88" s="93"/>
      <c r="CN88" s="96" t="str">
        <f t="shared" si="1012"/>
        <v>InitUnitState('E226',,,300,,7200000,,180000,,,)</v>
      </c>
      <c r="CO88" s="96" t="str">
        <f t="shared" si="1013"/>
        <v>InitUnitNormal('E226',,,,,,,,,,)</v>
      </c>
      <c r="CP88" s="96" t="str">
        <f t="shared" si="1014"/>
        <v>InitUnitMagic('E226',,,,,,,,,,)</v>
      </c>
      <c r="CQ88" s="96" t="str">
        <f t="shared" si="1015"/>
        <v>InitUnitAdd('E226',,,,,,,,,,)</v>
      </c>
      <c r="CR88" s="96" t="str">
        <f t="shared" si="801"/>
        <v>InitEquipData('E226',,"",,E227,30000,50,'','','','','','',"ReplaceableTextures\\CommandButtons\\BTNZ15.blp")</v>
      </c>
      <c r="CS88" s="96"/>
      <c r="CT88" s="96"/>
      <c r="CU88" s="98" t="str">
        <f t="shared" si="1092"/>
        <v>|n护甲+300|n生命值+7200000|n生命回复+180000|n</v>
      </c>
      <c r="CV88" s="71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5">
      <c r="A89" s="73"/>
      <c r="B89" s="74" t="s">
        <v>380</v>
      </c>
      <c r="C89" s="73" t="s">
        <v>381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5"/>
      <c r="Q89" s="105"/>
      <c r="R89" s="105"/>
      <c r="S89" s="106"/>
      <c r="T89" s="107"/>
      <c r="U89" s="88" t="s">
        <v>379</v>
      </c>
      <c r="V89" s="89"/>
      <c r="W89" s="89"/>
      <c r="X89" s="89">
        <v>300</v>
      </c>
      <c r="Y89" s="89"/>
      <c r="Z89" s="89">
        <v>8400000</v>
      </c>
      <c r="AA89" s="89"/>
      <c r="AB89" s="89">
        <v>210000</v>
      </c>
      <c r="AC89" s="89"/>
      <c r="AD89" s="89"/>
      <c r="AE89" s="89"/>
      <c r="AF89" s="89"/>
      <c r="AG89" s="91"/>
      <c r="AH89" s="89"/>
      <c r="AI89" s="89"/>
      <c r="AJ89" s="89"/>
      <c r="AK89" s="89"/>
      <c r="AL89" s="91"/>
      <c r="AM89" s="89"/>
      <c r="AN89" s="89"/>
      <c r="AO89" s="89"/>
      <c r="AP89" s="93"/>
      <c r="AQ89" s="93"/>
      <c r="AR89" s="94"/>
      <c r="AS89" s="94"/>
      <c r="AT89" s="93"/>
      <c r="AU89" s="93"/>
      <c r="AV89" s="93"/>
      <c r="AW89" s="93"/>
      <c r="AX89" s="93"/>
      <c r="AY89" s="93"/>
      <c r="AZ89" s="93"/>
      <c r="BA89" s="93"/>
      <c r="BB89" s="93"/>
      <c r="BC89" s="81"/>
      <c r="BD89" s="81"/>
      <c r="BE89" s="81"/>
      <c r="BF89" s="81"/>
      <c r="BG89" s="81"/>
      <c r="BH89" s="81"/>
      <c r="BI89" s="81"/>
      <c r="BJ89" s="81"/>
      <c r="BK89" s="81"/>
      <c r="BL89" s="81"/>
      <c r="BM89" s="81"/>
      <c r="BN89" s="81"/>
      <c r="BO89" s="81"/>
      <c r="BP89" s="81"/>
      <c r="BQ89" s="81"/>
      <c r="BR89" s="81"/>
      <c r="BS89" s="81"/>
      <c r="BT89" s="81"/>
      <c r="BU89" s="81"/>
      <c r="BV89" s="81"/>
      <c r="BW89" s="81"/>
      <c r="BX89" s="81"/>
      <c r="BY89" s="81"/>
      <c r="BZ89" s="81"/>
      <c r="CA89" s="81"/>
      <c r="CB89" s="81"/>
      <c r="CC89" s="81"/>
      <c r="CD89" s="81"/>
      <c r="CE89" s="93"/>
      <c r="CF89" s="93"/>
      <c r="CG89" s="93"/>
      <c r="CH89" s="93"/>
      <c r="CI89" s="93"/>
      <c r="CJ89" s="93"/>
      <c r="CK89" s="93"/>
      <c r="CL89" s="93"/>
      <c r="CM89" s="93"/>
      <c r="CN89" s="96" t="str">
        <f t="shared" si="1012"/>
        <v>InitUnitState('E227',,,300,,8400000,,210000,,,)</v>
      </c>
      <c r="CO89" s="96" t="str">
        <f t="shared" si="1013"/>
        <v>InitUnitNormal('E227',,,,,,,,,,)</v>
      </c>
      <c r="CP89" s="96" t="str">
        <f t="shared" si="1014"/>
        <v>InitUnitMagic('E227',,,,,,,,,,)</v>
      </c>
      <c r="CQ89" s="96" t="str">
        <f t="shared" si="1015"/>
        <v>InitUnitAdd('E227',,,,,,,,,,)</v>
      </c>
      <c r="CR89" s="96" t="str">
        <f t="shared" si="801"/>
        <v>InitEquipData('E227',,"",,E228,30000,50,'','','','','','',"ReplaceableTextures\\CommandButtons\\BTNZ15.blp")</v>
      </c>
      <c r="CS89" s="96"/>
      <c r="CT89" s="96"/>
      <c r="CU89" s="98" t="str">
        <f t="shared" si="1092"/>
        <v>|n护甲+300|n生命值+8400000|n生命回复+210000|n</v>
      </c>
      <c r="CV89" s="71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5">
      <c r="A90" s="73"/>
      <c r="B90" s="74" t="s">
        <v>382</v>
      </c>
      <c r="C90" s="73" t="s">
        <v>383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5"/>
      <c r="Q90" s="105"/>
      <c r="R90" s="105"/>
      <c r="S90" s="106"/>
      <c r="T90" s="107"/>
      <c r="U90" s="88" t="s">
        <v>379</v>
      </c>
      <c r="V90" s="89"/>
      <c r="W90" s="89"/>
      <c r="X90" s="89">
        <v>300</v>
      </c>
      <c r="Y90" s="89"/>
      <c r="Z90" s="89">
        <v>9600000</v>
      </c>
      <c r="AA90" s="89"/>
      <c r="AB90" s="89">
        <v>240000</v>
      </c>
      <c r="AC90" s="89"/>
      <c r="AD90" s="89"/>
      <c r="AE90" s="89"/>
      <c r="AF90" s="89"/>
      <c r="AG90" s="91"/>
      <c r="AH90" s="89"/>
      <c r="AI90" s="89"/>
      <c r="AJ90" s="89"/>
      <c r="AK90" s="89"/>
      <c r="AL90" s="91"/>
      <c r="AM90" s="89"/>
      <c r="AN90" s="89"/>
      <c r="AO90" s="89"/>
      <c r="AP90" s="93"/>
      <c r="AQ90" s="93"/>
      <c r="AR90" s="94"/>
      <c r="AS90" s="94"/>
      <c r="AT90" s="93"/>
      <c r="AU90" s="93"/>
      <c r="AV90" s="93"/>
      <c r="AW90" s="93"/>
      <c r="AX90" s="93"/>
      <c r="AY90" s="93"/>
      <c r="AZ90" s="93"/>
      <c r="BA90" s="93"/>
      <c r="BB90" s="93"/>
      <c r="BC90" s="81"/>
      <c r="BD90" s="81"/>
      <c r="BE90" s="81"/>
      <c r="BF90" s="81"/>
      <c r="BG90" s="81"/>
      <c r="BH90" s="81"/>
      <c r="BI90" s="81"/>
      <c r="BJ90" s="81"/>
      <c r="BK90" s="81"/>
      <c r="BL90" s="81"/>
      <c r="BM90" s="81"/>
      <c r="BN90" s="81"/>
      <c r="BO90" s="81"/>
      <c r="BP90" s="81"/>
      <c r="BQ90" s="81"/>
      <c r="BR90" s="81"/>
      <c r="BS90" s="81"/>
      <c r="BT90" s="81"/>
      <c r="BU90" s="81"/>
      <c r="BV90" s="81"/>
      <c r="BW90" s="81"/>
      <c r="BX90" s="81"/>
      <c r="BY90" s="81"/>
      <c r="BZ90" s="81"/>
      <c r="CA90" s="81"/>
      <c r="CB90" s="81"/>
      <c r="CC90" s="81"/>
      <c r="CD90" s="81"/>
      <c r="CE90" s="93"/>
      <c r="CF90" s="93"/>
      <c r="CG90" s="93"/>
      <c r="CH90" s="93"/>
      <c r="CI90" s="93"/>
      <c r="CJ90" s="93"/>
      <c r="CK90" s="93"/>
      <c r="CL90" s="93"/>
      <c r="CM90" s="93"/>
      <c r="CN90" s="96" t="str">
        <f t="shared" si="1012"/>
        <v>InitUnitState('E228',,,300,,9600000,,240000,,,)</v>
      </c>
      <c r="CO90" s="96" t="str">
        <f t="shared" si="1013"/>
        <v>InitUnitNormal('E228',,,,,,,,,,)</v>
      </c>
      <c r="CP90" s="96" t="str">
        <f t="shared" si="1014"/>
        <v>InitUnitMagic('E228',,,,,,,,,,)</v>
      </c>
      <c r="CQ90" s="96" t="str">
        <f t="shared" si="1015"/>
        <v>InitUnitAdd('E228',,,,,,,,,,)</v>
      </c>
      <c r="CR90" s="96" t="str">
        <f t="shared" si="801"/>
        <v>InitEquipData('E228',,"",,E229,30000,50,'','','','','','',"ReplaceableTextures\\CommandButtons\\BTNZ15.blp")</v>
      </c>
      <c r="CS90" s="96"/>
      <c r="CT90" s="96"/>
      <c r="CU90" s="98" t="str">
        <f t="shared" si="1092"/>
        <v>|n护甲+300|n生命值+9600000|n生命回复+240000|n</v>
      </c>
      <c r="CV90" s="71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5">
      <c r="A91" s="73"/>
      <c r="B91" s="74" t="s">
        <v>384</v>
      </c>
      <c r="C91" s="73" t="s">
        <v>385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5"/>
      <c r="Q91" s="105"/>
      <c r="R91" s="105"/>
      <c r="S91" s="106"/>
      <c r="T91" s="107"/>
      <c r="U91" s="88" t="s">
        <v>379</v>
      </c>
      <c r="V91" s="89"/>
      <c r="W91" s="89"/>
      <c r="X91" s="89">
        <v>300</v>
      </c>
      <c r="Y91" s="89"/>
      <c r="Z91" s="89">
        <v>10800000</v>
      </c>
      <c r="AA91" s="89"/>
      <c r="AB91" s="89">
        <v>270000</v>
      </c>
      <c r="AC91" s="89"/>
      <c r="AD91" s="89"/>
      <c r="AE91" s="89"/>
      <c r="AF91" s="89"/>
      <c r="AG91" s="91"/>
      <c r="AH91" s="89"/>
      <c r="AI91" s="89"/>
      <c r="AJ91" s="89"/>
      <c r="AK91" s="89"/>
      <c r="AL91" s="91"/>
      <c r="AM91" s="89"/>
      <c r="AN91" s="89"/>
      <c r="AO91" s="89"/>
      <c r="AP91" s="93"/>
      <c r="AQ91" s="93"/>
      <c r="AR91" s="94"/>
      <c r="AS91" s="94"/>
      <c r="AT91" s="93"/>
      <c r="AU91" s="93"/>
      <c r="AV91" s="93"/>
      <c r="AW91" s="93"/>
      <c r="AX91" s="93"/>
      <c r="AY91" s="93"/>
      <c r="AZ91" s="93"/>
      <c r="BA91" s="93"/>
      <c r="BB91" s="93"/>
      <c r="BC91" s="81"/>
      <c r="BD91" s="81"/>
      <c r="BE91" s="81"/>
      <c r="BF91" s="81"/>
      <c r="BG91" s="81"/>
      <c r="BH91" s="81"/>
      <c r="BI91" s="81"/>
      <c r="BJ91" s="81"/>
      <c r="BK91" s="81"/>
      <c r="BL91" s="81"/>
      <c r="BM91" s="81"/>
      <c r="BN91" s="81"/>
      <c r="BO91" s="81"/>
      <c r="BP91" s="81"/>
      <c r="BQ91" s="81"/>
      <c r="BR91" s="81"/>
      <c r="BS91" s="81"/>
      <c r="BT91" s="81"/>
      <c r="BU91" s="81"/>
      <c r="BV91" s="81"/>
      <c r="BW91" s="81"/>
      <c r="BX91" s="81"/>
      <c r="BY91" s="81"/>
      <c r="BZ91" s="81"/>
      <c r="CA91" s="81"/>
      <c r="CB91" s="81"/>
      <c r="CC91" s="81"/>
      <c r="CD91" s="81"/>
      <c r="CE91" s="93"/>
      <c r="CF91" s="93"/>
      <c r="CG91" s="93"/>
      <c r="CH91" s="93"/>
      <c r="CI91" s="93"/>
      <c r="CJ91" s="93"/>
      <c r="CK91" s="93"/>
      <c r="CL91" s="93"/>
      <c r="CM91" s="93"/>
      <c r="CN91" s="96" t="str">
        <f t="shared" si="1012"/>
        <v>InitUnitState('E229',,,300,,10800000,,270000,,,)</v>
      </c>
      <c r="CO91" s="96" t="str">
        <f t="shared" si="1013"/>
        <v>InitUnitNormal('E229',,,,,,,,,,)</v>
      </c>
      <c r="CP91" s="96" t="str">
        <f t="shared" si="1014"/>
        <v>InitUnitMagic('E229',,,,,,,,,,)</v>
      </c>
      <c r="CQ91" s="96" t="str">
        <f t="shared" si="1015"/>
        <v>InitUnitAdd('E229',,,,,,,,,,)</v>
      </c>
      <c r="CR91" s="96" t="str">
        <f t="shared" si="801"/>
        <v>InitEquipData('E229',,"",,E230,30000,50,'','','','','','',"ReplaceableTextures\\CommandButtons\\BTNZ15.blp")</v>
      </c>
      <c r="CS91" s="96"/>
      <c r="CT91" s="96"/>
      <c r="CU91" s="98" t="str">
        <f t="shared" si="1092"/>
        <v>|n护甲+300|n生命值+10800000|n生命回复+270000|n</v>
      </c>
      <c r="CV91" s="71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5">
      <c r="A92" s="73"/>
      <c r="B92" s="74" t="s">
        <v>386</v>
      </c>
      <c r="C92" s="73" t="s">
        <v>387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5"/>
      <c r="Q92" s="105"/>
      <c r="R92" s="105"/>
      <c r="S92" s="106"/>
      <c r="T92" s="107"/>
      <c r="U92" s="88" t="s">
        <v>379</v>
      </c>
      <c r="V92" s="89"/>
      <c r="W92" s="89"/>
      <c r="X92" s="89">
        <v>300</v>
      </c>
      <c r="Y92" s="89"/>
      <c r="Z92" s="89">
        <v>12000000</v>
      </c>
      <c r="AA92" s="89"/>
      <c r="AB92" s="89">
        <v>300000</v>
      </c>
      <c r="AC92" s="89"/>
      <c r="AD92" s="89"/>
      <c r="AE92" s="89"/>
      <c r="AF92" s="89"/>
      <c r="AG92" s="91"/>
      <c r="AH92" s="89"/>
      <c r="AI92" s="89"/>
      <c r="AJ92" s="89"/>
      <c r="AK92" s="89"/>
      <c r="AL92" s="91"/>
      <c r="AM92" s="89"/>
      <c r="AN92" s="89"/>
      <c r="AO92" s="89"/>
      <c r="AP92" s="93"/>
      <c r="AQ92" s="93"/>
      <c r="AR92" s="94"/>
      <c r="AS92" s="94"/>
      <c r="AT92" s="93"/>
      <c r="AU92" s="93"/>
      <c r="AV92" s="93"/>
      <c r="AW92" s="93"/>
      <c r="AX92" s="93"/>
      <c r="AY92" s="93"/>
      <c r="AZ92" s="93"/>
      <c r="BA92" s="93"/>
      <c r="BB92" s="93"/>
      <c r="BC92" s="81"/>
      <c r="BD92" s="81"/>
      <c r="BE92" s="81"/>
      <c r="BF92" s="81"/>
      <c r="BG92" s="81"/>
      <c r="BH92" s="81"/>
      <c r="BI92" s="81"/>
      <c r="BJ92" s="81"/>
      <c r="BK92" s="81"/>
      <c r="BL92" s="81"/>
      <c r="BM92" s="81"/>
      <c r="BN92" s="81"/>
      <c r="BO92" s="81"/>
      <c r="BP92" s="81"/>
      <c r="BQ92" s="81"/>
      <c r="BR92" s="81"/>
      <c r="BS92" s="81"/>
      <c r="BT92" s="81"/>
      <c r="BU92" s="81"/>
      <c r="BV92" s="81"/>
      <c r="BW92" s="81"/>
      <c r="BX92" s="81"/>
      <c r="BY92" s="81"/>
      <c r="BZ92" s="81"/>
      <c r="CA92" s="81"/>
      <c r="CB92" s="81"/>
      <c r="CC92" s="81"/>
      <c r="CD92" s="81"/>
      <c r="CE92" s="93"/>
      <c r="CF92" s="93"/>
      <c r="CG92" s="93"/>
      <c r="CH92" s="93"/>
      <c r="CI92" s="93"/>
      <c r="CJ92" s="93"/>
      <c r="CK92" s="93"/>
      <c r="CL92" s="93"/>
      <c r="CM92" s="93"/>
      <c r="CN92" s="96" t="str">
        <f t="shared" si="1012"/>
        <v>InitUnitState('E230',,,300,,12000000,,300000,,,)</v>
      </c>
      <c r="CO92" s="96" t="str">
        <f t="shared" si="1013"/>
        <v>InitUnitNormal('E230',,,,,,,,,,)</v>
      </c>
      <c r="CP92" s="96" t="str">
        <f t="shared" si="1014"/>
        <v>InitUnitMagic('E230',,,,,,,,,,)</v>
      </c>
      <c r="CQ92" s="96" t="str">
        <f t="shared" si="1015"/>
        <v>InitUnitAdd('E230',,,,,,,,,,)</v>
      </c>
      <c r="CR92" s="96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6"/>
      <c r="CT92" s="96"/>
      <c r="CU92" s="98" t="str">
        <f t="shared" si="1092"/>
        <v>|n护甲+300|n生命值+12000000|n生命回复+300000|n</v>
      </c>
      <c r="CV92" s="71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5">
      <c r="B93" s="74" t="s">
        <v>388</v>
      </c>
      <c r="C93" s="62" t="s">
        <v>389</v>
      </c>
      <c r="E93" s="100"/>
      <c r="U93" s="108" t="s">
        <v>390</v>
      </c>
      <c r="V93" s="12">
        <v>5000</v>
      </c>
      <c r="W93" s="109">
        <v>4000</v>
      </c>
      <c r="X93" s="109"/>
      <c r="Y93" s="109"/>
      <c r="Z93" s="12">
        <v>100000</v>
      </c>
      <c r="AA93" s="109"/>
      <c r="AB93" s="109">
        <v>2000</v>
      </c>
      <c r="AC93" s="109"/>
      <c r="AD93" s="109"/>
      <c r="AE93" s="109"/>
      <c r="AF93" s="109"/>
      <c r="AG93" s="112"/>
      <c r="AH93" s="109"/>
      <c r="AI93" s="109"/>
      <c r="AJ93" s="20">
        <v>9</v>
      </c>
      <c r="AK93" s="20">
        <v>8</v>
      </c>
      <c r="AL93" s="113"/>
      <c r="BC93" s="114"/>
      <c r="BD93" s="114"/>
      <c r="CP93" s="70" t="str">
        <f t="shared" si="1014"/>
        <v>InitUnitMagic('IJ01',,,,,,,,,,)</v>
      </c>
      <c r="CQ93" s="70" t="str">
        <f t="shared" si="1015"/>
        <v>InitUnitAdd('IJ01',,,,,,,,,,)</v>
      </c>
      <c r="CR93" s="70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8" t="str">
        <f t="shared" si="1092"/>
        <v>|n攻击+5000|n业力+4000|n生命值+100000|n生命回复+2000|n攻击伤害+9%|n技能伤害+8%|n</v>
      </c>
      <c r="CV93" s="71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5">
      <c r="B94" s="74" t="s">
        <v>391</v>
      </c>
      <c r="C94" s="62" t="s">
        <v>392</v>
      </c>
      <c r="E94" s="100"/>
      <c r="U94" s="108" t="s">
        <v>393</v>
      </c>
      <c r="V94" s="12">
        <v>7500</v>
      </c>
      <c r="W94" s="109">
        <v>6000</v>
      </c>
      <c r="X94" s="109"/>
      <c r="Y94" s="109"/>
      <c r="Z94" s="12">
        <v>150000</v>
      </c>
      <c r="AA94" s="109"/>
      <c r="AB94" s="109">
        <v>3000</v>
      </c>
      <c r="AC94" s="109"/>
      <c r="AD94" s="109"/>
      <c r="AE94" s="109"/>
      <c r="AF94" s="109"/>
      <c r="AG94" s="112"/>
      <c r="AH94" s="109"/>
      <c r="AI94" s="109"/>
      <c r="AJ94" s="20">
        <v>9</v>
      </c>
      <c r="AK94" s="20">
        <v>8</v>
      </c>
      <c r="AL94" s="113"/>
      <c r="BC94" s="114"/>
      <c r="BD94" s="114"/>
      <c r="CU94" s="98" t="str">
        <f t="shared" si="1092"/>
        <v>|n攻击+7500|n业力+6000|n生命值+150000|n生命回复+3000|n攻击伤害+9%|n技能伤害+8%|n</v>
      </c>
      <c r="CV94" s="71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5">
      <c r="A95" s="101"/>
      <c r="B95" s="74" t="s">
        <v>394</v>
      </c>
      <c r="C95" s="101" t="s">
        <v>395</v>
      </c>
      <c r="E95" s="100"/>
      <c r="S95" s="110"/>
      <c r="U95" s="108" t="s">
        <v>396</v>
      </c>
      <c r="V95" s="12">
        <v>12500</v>
      </c>
      <c r="W95" s="109">
        <v>10000</v>
      </c>
      <c r="X95" s="109"/>
      <c r="Y95" s="109"/>
      <c r="Z95" s="12">
        <v>250000</v>
      </c>
      <c r="AA95" s="109"/>
      <c r="AB95" s="109">
        <v>5000</v>
      </c>
      <c r="AC95" s="109"/>
      <c r="AD95" s="109"/>
      <c r="AE95" s="109"/>
      <c r="AF95" s="109"/>
      <c r="AG95" s="112"/>
      <c r="AH95" s="109"/>
      <c r="AI95" s="109"/>
      <c r="AJ95" s="20">
        <v>9</v>
      </c>
      <c r="AK95" s="20">
        <v>8</v>
      </c>
      <c r="AL95" s="113"/>
      <c r="BC95" s="114"/>
      <c r="BD95" s="114"/>
      <c r="CU95" s="98" t="str">
        <f t="shared" si="1092"/>
        <v>|n攻击+12500|n业力+10000|n生命值+250000|n生命回复+5000|n攻击伤害+9%|n技能伤害+8%|n</v>
      </c>
      <c r="CV95" s="71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5">
      <c r="A96" s="101"/>
      <c r="B96" s="74" t="s">
        <v>397</v>
      </c>
      <c r="C96" s="101" t="s">
        <v>398</v>
      </c>
      <c r="E96" s="100"/>
      <c r="S96" s="110"/>
      <c r="U96" s="108" t="s">
        <v>399</v>
      </c>
      <c r="V96" s="12">
        <v>21250</v>
      </c>
      <c r="W96" s="109">
        <v>17000</v>
      </c>
      <c r="X96" s="109"/>
      <c r="Y96" s="109"/>
      <c r="Z96" s="12">
        <v>425000</v>
      </c>
      <c r="AA96" s="109"/>
      <c r="AB96" s="109">
        <v>8500</v>
      </c>
      <c r="AC96" s="109"/>
      <c r="AD96" s="109"/>
      <c r="AE96" s="109"/>
      <c r="AF96" s="109"/>
      <c r="AG96" s="112"/>
      <c r="AH96" s="109"/>
      <c r="AI96" s="109"/>
      <c r="AJ96" s="109">
        <v>18</v>
      </c>
      <c r="AK96" s="109">
        <v>15</v>
      </c>
      <c r="AL96" s="113"/>
      <c r="BC96" s="114"/>
      <c r="BD96" s="114"/>
      <c r="CU96" s="98" t="str">
        <f t="shared" si="1092"/>
        <v>|n攻击+21250|n业力+17000|n生命值+425000|n生命回复+8500|n攻击伤害+18%|n技能伤害+15%|n</v>
      </c>
      <c r="CV96" s="71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5">
      <c r="A97" s="101"/>
      <c r="B97" s="74" t="s">
        <v>400</v>
      </c>
      <c r="C97" s="101" t="s">
        <v>401</v>
      </c>
      <c r="E97" s="100"/>
      <c r="S97" s="110"/>
      <c r="U97" s="108" t="s">
        <v>402</v>
      </c>
      <c r="V97" s="12">
        <v>33750</v>
      </c>
      <c r="W97" s="109">
        <v>27000</v>
      </c>
      <c r="X97" s="109"/>
      <c r="Y97" s="109"/>
      <c r="Z97" s="12">
        <v>675000</v>
      </c>
      <c r="AA97" s="109"/>
      <c r="AB97" s="109">
        <v>13500</v>
      </c>
      <c r="AC97" s="109"/>
      <c r="AD97" s="109"/>
      <c r="AE97" s="109"/>
      <c r="AF97" s="109"/>
      <c r="AG97" s="112"/>
      <c r="AH97" s="109"/>
      <c r="AI97" s="109"/>
      <c r="AJ97" s="109">
        <v>18</v>
      </c>
      <c r="AK97" s="109">
        <v>15</v>
      </c>
      <c r="AL97" s="113"/>
      <c r="BC97" s="114"/>
      <c r="BD97" s="114"/>
      <c r="CU97" s="98" t="str">
        <f t="shared" si="1092"/>
        <v>|n攻击+33750|n业力+27000|n生命值+675000|n生命回复+13500|n攻击伤害+18%|n技能伤害+15%|n</v>
      </c>
      <c r="CV97" s="71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5">
      <c r="A98" s="73"/>
      <c r="B98" s="74" t="s">
        <v>403</v>
      </c>
      <c r="C98" s="73" t="s">
        <v>404</v>
      </c>
      <c r="E98" s="100"/>
      <c r="F98" s="102"/>
      <c r="S98" s="110"/>
      <c r="U98" s="108" t="s">
        <v>405</v>
      </c>
      <c r="V98" s="12">
        <v>50000</v>
      </c>
      <c r="W98" s="109">
        <v>40000</v>
      </c>
      <c r="X98" s="109"/>
      <c r="Y98" s="109"/>
      <c r="Z98" s="12">
        <v>1000000</v>
      </c>
      <c r="AA98" s="109"/>
      <c r="AB98" s="109">
        <v>20000</v>
      </c>
      <c r="AC98" s="109"/>
      <c r="AD98" s="109"/>
      <c r="AE98" s="109"/>
      <c r="AF98" s="109"/>
      <c r="AG98" s="112"/>
      <c r="AH98" s="109"/>
      <c r="AI98" s="109"/>
      <c r="AJ98" s="109">
        <v>18</v>
      </c>
      <c r="AK98" s="109">
        <v>15</v>
      </c>
      <c r="AL98" s="113"/>
      <c r="BC98" s="114"/>
      <c r="BD98" s="114"/>
      <c r="CU98" s="98" t="str">
        <f t="shared" si="1092"/>
        <v>|n攻击+50000|n业力+40000|n生命值+1000000|n生命回复+20000|n攻击伤害+18%|n技能伤害+15%|n</v>
      </c>
      <c r="CV98" s="71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5">
      <c r="A99" s="73"/>
      <c r="B99" s="74" t="s">
        <v>406</v>
      </c>
      <c r="C99" s="73" t="s">
        <v>407</v>
      </c>
      <c r="E99" s="100"/>
      <c r="F99" s="102"/>
      <c r="S99" s="110"/>
      <c r="U99" s="108" t="s">
        <v>408</v>
      </c>
      <c r="V99" s="12">
        <v>72500</v>
      </c>
      <c r="W99" s="109">
        <v>58000</v>
      </c>
      <c r="X99" s="109"/>
      <c r="Y99" s="109"/>
      <c r="Z99" s="12">
        <v>1450000</v>
      </c>
      <c r="AA99" s="109"/>
      <c r="AB99" s="109">
        <v>29000</v>
      </c>
      <c r="AC99" s="109"/>
      <c r="AD99" s="109"/>
      <c r="AE99" s="109"/>
      <c r="AF99" s="109"/>
      <c r="AG99" s="112"/>
      <c r="AH99" s="109"/>
      <c r="AI99" s="109"/>
      <c r="AJ99" s="109">
        <v>24</v>
      </c>
      <c r="AK99" s="109">
        <v>20</v>
      </c>
      <c r="AL99" s="113"/>
      <c r="BC99" s="114"/>
      <c r="BD99" s="114"/>
      <c r="CU99" s="98" t="str">
        <f t="shared" si="1092"/>
        <v>|n攻击+72500|n业力+58000|n生命值+1450000|n生命回复+29000|n攻击伤害+24%|n技能伤害+20%|n</v>
      </c>
      <c r="CV99" s="71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5">
      <c r="A100" s="73"/>
      <c r="B100" s="74" t="s">
        <v>409</v>
      </c>
      <c r="C100" s="73" t="s">
        <v>410</v>
      </c>
      <c r="E100" s="103"/>
      <c r="F100" s="102"/>
      <c r="S100" s="110"/>
      <c r="U100" s="108" t="s">
        <v>411</v>
      </c>
      <c r="V100" s="12">
        <v>102500</v>
      </c>
      <c r="W100" s="109">
        <v>82000</v>
      </c>
      <c r="X100" s="109"/>
      <c r="Y100" s="109"/>
      <c r="Z100" s="12">
        <v>2050000</v>
      </c>
      <c r="AA100" s="109"/>
      <c r="AB100" s="109">
        <v>41000</v>
      </c>
      <c r="AC100" s="109"/>
      <c r="AD100" s="109"/>
      <c r="AE100" s="109"/>
      <c r="AF100" s="109"/>
      <c r="AG100" s="112"/>
      <c r="AH100" s="109"/>
      <c r="AI100" s="109"/>
      <c r="AJ100" s="109">
        <v>24</v>
      </c>
      <c r="AK100" s="109">
        <v>20</v>
      </c>
      <c r="AL100" s="113"/>
      <c r="BC100" s="114"/>
      <c r="BD100" s="114"/>
      <c r="CU100" s="98" t="str">
        <f t="shared" si="1092"/>
        <v>|n攻击+102500|n业力+82000|n生命值+2050000|n生命回复+41000|n攻击伤害+24%|n技能伤害+20%|n</v>
      </c>
      <c r="CV100" s="71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5">
      <c r="A101" s="73"/>
      <c r="B101" s="74" t="s">
        <v>412</v>
      </c>
      <c r="C101" s="73" t="s">
        <v>413</v>
      </c>
      <c r="E101" s="103"/>
      <c r="F101" s="102"/>
      <c r="S101" s="110"/>
      <c r="U101" s="108" t="s">
        <v>414</v>
      </c>
      <c r="V101" s="12">
        <v>141250</v>
      </c>
      <c r="W101" s="109">
        <v>113000</v>
      </c>
      <c r="X101" s="109"/>
      <c r="Y101" s="109"/>
      <c r="Z101" s="12">
        <v>2825000</v>
      </c>
      <c r="AA101" s="109"/>
      <c r="AB101" s="109">
        <v>56500</v>
      </c>
      <c r="AC101" s="109"/>
      <c r="AD101" s="109"/>
      <c r="AE101" s="109"/>
      <c r="AF101" s="109"/>
      <c r="AG101" s="112"/>
      <c r="AH101" s="109"/>
      <c r="AI101" s="109"/>
      <c r="AJ101" s="109">
        <v>24</v>
      </c>
      <c r="AK101" s="109">
        <v>20</v>
      </c>
      <c r="AL101" s="113"/>
      <c r="BC101" s="114"/>
      <c r="BD101" s="114"/>
      <c r="CU101" s="98" t="str">
        <f t="shared" si="1092"/>
        <v>|n攻击+141250|n业力+113000|n生命值+2825000|n生命回复+56500|n攻击伤害+24%|n技能伤害+20%|n</v>
      </c>
      <c r="CV101" s="71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5">
      <c r="A102" s="73"/>
      <c r="B102" s="74" t="s">
        <v>415</v>
      </c>
      <c r="C102" s="73" t="s">
        <v>416</v>
      </c>
      <c r="E102" s="103"/>
      <c r="F102" s="102"/>
      <c r="S102" s="110"/>
      <c r="U102" s="108" t="s">
        <v>417</v>
      </c>
      <c r="V102" s="12">
        <v>191250</v>
      </c>
      <c r="W102" s="109">
        <v>153000</v>
      </c>
      <c r="X102" s="109"/>
      <c r="Y102" s="109"/>
      <c r="Z102" s="12">
        <v>3825000</v>
      </c>
      <c r="AA102" s="109"/>
      <c r="AB102" s="109">
        <v>76500</v>
      </c>
      <c r="AC102" s="109"/>
      <c r="AD102" s="109"/>
      <c r="AE102" s="109"/>
      <c r="AF102" s="109"/>
      <c r="AG102" s="112"/>
      <c r="AH102" s="109"/>
      <c r="AI102" s="109"/>
      <c r="AJ102" s="109">
        <v>36</v>
      </c>
      <c r="AK102" s="109">
        <v>30</v>
      </c>
      <c r="AL102" s="113"/>
      <c r="BC102" s="114"/>
      <c r="BD102" s="114"/>
      <c r="CU102" s="98" t="str">
        <f t="shared" si="1092"/>
        <v>|n攻击+191250|n业力+153000|n生命值+3825000|n生命回复+76500|n攻击伤害+36%|n技能伤害+30%|n</v>
      </c>
      <c r="CV102" s="71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5">
      <c r="A103" s="104"/>
      <c r="B103" s="104" t="s">
        <v>418</v>
      </c>
      <c r="C103" s="62" t="s">
        <v>419</v>
      </c>
      <c r="T103" s="104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8" t="s">
        <v>420</v>
      </c>
      <c r="CN103" s="70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0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0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0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0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8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71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5">
      <c r="A104" s="104"/>
      <c r="B104" s="104" t="s">
        <v>421</v>
      </c>
      <c r="C104" s="62" t="s">
        <v>422</v>
      </c>
      <c r="T104" s="104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8" t="s">
        <v>423</v>
      </c>
      <c r="CN104" s="70" t="str">
        <f t="shared" si="1163"/>
        <v>InitUnitState('ID02',,,,,,,,,,)</v>
      </c>
      <c r="CO104" s="70" t="str">
        <f t="shared" si="1164"/>
        <v>InitUnitNormal('ID02',,,,,,,,,,)</v>
      </c>
      <c r="CP104" s="70" t="str">
        <f t="shared" si="1165"/>
        <v>InitUnitMagic('ID02',,,,,,,,,,)</v>
      </c>
      <c r="CQ104" s="70" t="str">
        <f t="shared" si="1166"/>
        <v>InitUnitAdd('ID02',,,,,,,,,,)</v>
      </c>
      <c r="CR104" s="70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8" t="str">
        <f t="shared" si="1167"/>
        <v>|n</v>
      </c>
      <c r="CV104" s="71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5">
      <c r="A105" s="104"/>
      <c r="B105" s="104" t="s">
        <v>424</v>
      </c>
      <c r="C105" s="101" t="s">
        <v>425</v>
      </c>
      <c r="T105" s="104" t="str">
        <f t="shared" si="1239"/>
        <v>|CffCCCCCC道果属性：|r|n攻击+12500|n业力+10000|n生命值+250000|n生命回复+5000|n攻击伤害+9%|n技能伤害+8%|n|n|Cff00FF7F点击吸收道果，强行突破境界。|r</v>
      </c>
      <c r="U105" s="88" t="s">
        <v>426</v>
      </c>
      <c r="CN105" s="70" t="str">
        <f t="shared" si="1163"/>
        <v>InitUnitState('ID03',,,,,,,,,,)</v>
      </c>
      <c r="CO105" s="70" t="str">
        <f t="shared" si="1164"/>
        <v>InitUnitNormal('ID03',,,,,,,,,,)</v>
      </c>
      <c r="CP105" s="70" t="str">
        <f t="shared" si="1165"/>
        <v>InitUnitMagic('ID03',,,,,,,,,,)</v>
      </c>
      <c r="CQ105" s="70" t="str">
        <f t="shared" si="1166"/>
        <v>InitUnitAdd('ID03',,,,,,,,,,)</v>
      </c>
      <c r="CR105" s="70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8" t="str">
        <f t="shared" si="1167"/>
        <v>|n</v>
      </c>
      <c r="CV105" s="71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5">
      <c r="A106" s="104"/>
      <c r="B106" s="104" t="s">
        <v>427</v>
      </c>
      <c r="C106" s="101" t="s">
        <v>428</v>
      </c>
      <c r="T106" s="104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8" t="s">
        <v>429</v>
      </c>
      <c r="CN106" s="70" t="str">
        <f t="shared" si="1163"/>
        <v>InitUnitState('ID04',,,,,,,,,,)</v>
      </c>
      <c r="CO106" s="70" t="str">
        <f t="shared" si="1164"/>
        <v>InitUnitNormal('ID04',,,,,,,,,,)</v>
      </c>
      <c r="CP106" s="70" t="str">
        <f t="shared" si="1165"/>
        <v>InitUnitMagic('ID04',,,,,,,,,,)</v>
      </c>
      <c r="CQ106" s="70" t="str">
        <f t="shared" si="1166"/>
        <v>InitUnitAdd('ID04',,,,,,,,,,)</v>
      </c>
      <c r="CR106" s="70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8" t="str">
        <f t="shared" si="1167"/>
        <v>|n</v>
      </c>
      <c r="CV106" s="71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5">
      <c r="A107" s="104"/>
      <c r="B107" s="104" t="s">
        <v>430</v>
      </c>
      <c r="C107" s="101" t="s">
        <v>431</v>
      </c>
      <c r="T107" s="104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8" t="s">
        <v>432</v>
      </c>
      <c r="CN107" s="70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0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0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0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0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8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1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5">
      <c r="A108" s="104"/>
      <c r="B108" s="104" t="s">
        <v>433</v>
      </c>
      <c r="C108" s="73" t="s">
        <v>434</v>
      </c>
      <c r="T108" s="104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8" t="s">
        <v>435</v>
      </c>
      <c r="CN108" s="70" t="str">
        <f t="shared" si="1240"/>
        <v>InitUnitState('ID06',,,,,,,,,,)</v>
      </c>
      <c r="CO108" s="70" t="str">
        <f t="shared" si="1241"/>
        <v>InitUnitNormal('ID06',,,,,,,,,,)</v>
      </c>
      <c r="CP108" s="70" t="str">
        <f t="shared" si="1242"/>
        <v>InitUnitMagic('ID06',,,,,,,,,,)</v>
      </c>
      <c r="CQ108" s="70" t="str">
        <f t="shared" si="1243"/>
        <v>InitUnitAdd('ID06',,,,,,,,,,)</v>
      </c>
      <c r="CR108" s="70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8" t="str">
        <f t="shared" si="1244"/>
        <v>|n</v>
      </c>
      <c r="CV108" s="71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5">
      <c r="A109" s="104"/>
      <c r="B109" s="104" t="s">
        <v>436</v>
      </c>
      <c r="C109" s="73" t="s">
        <v>437</v>
      </c>
      <c r="T109" s="104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8" t="s">
        <v>438</v>
      </c>
      <c r="CN109" s="70" t="str">
        <f t="shared" si="1240"/>
        <v>InitUnitState('ID07',,,,,,,,,,)</v>
      </c>
      <c r="CO109" s="70" t="str">
        <f t="shared" si="1241"/>
        <v>InitUnitNormal('ID07',,,,,,,,,,)</v>
      </c>
      <c r="CP109" s="70" t="str">
        <f t="shared" si="1242"/>
        <v>InitUnitMagic('ID07',,,,,,,,,,)</v>
      </c>
      <c r="CQ109" s="70" t="str">
        <f t="shared" si="1243"/>
        <v>InitUnitAdd('ID07',,,,,,,,,,)</v>
      </c>
      <c r="CR109" s="70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8" t="str">
        <f t="shared" si="1244"/>
        <v>|n</v>
      </c>
      <c r="CV109" s="71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5">
      <c r="A110" s="104"/>
      <c r="B110" s="104" t="s">
        <v>439</v>
      </c>
      <c r="C110" s="73" t="s">
        <v>440</v>
      </c>
      <c r="T110" s="104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8" t="s">
        <v>441</v>
      </c>
      <c r="CN110" s="70" t="str">
        <f t="shared" si="1240"/>
        <v>InitUnitState('ID08',,,,,,,,,,)</v>
      </c>
      <c r="CO110" s="70" t="str">
        <f t="shared" si="1241"/>
        <v>InitUnitNormal('ID08',,,,,,,,,,)</v>
      </c>
      <c r="CP110" s="70" t="str">
        <f t="shared" si="1242"/>
        <v>InitUnitMagic('ID08',,,,,,,,,,)</v>
      </c>
      <c r="CQ110" s="70" t="str">
        <f t="shared" si="1243"/>
        <v>InitUnitAdd('ID08',,,,,,,,,,)</v>
      </c>
      <c r="CR110" s="70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8" t="str">
        <f t="shared" si="1244"/>
        <v>|n</v>
      </c>
      <c r="CV110" s="71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5">
      <c r="A111" s="104"/>
      <c r="B111" s="104" t="s">
        <v>442</v>
      </c>
      <c r="C111" s="73" t="s">
        <v>443</v>
      </c>
      <c r="T111" s="104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8" t="s">
        <v>444</v>
      </c>
      <c r="CN111" s="70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0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0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0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0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8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71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5">
      <c r="A112" s="104"/>
      <c r="B112" s="104" t="s">
        <v>445</v>
      </c>
      <c r="C112" s="73" t="s">
        <v>446</v>
      </c>
      <c r="T112" s="104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8" t="s">
        <v>447</v>
      </c>
      <c r="CN112" s="70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0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0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0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0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128&amp;CR$1&amp;")"</f>
        <v>InitEquipData('ID10',,"",,,,,'','','','','','',"ReplaceableTextures\\CommandButtons\\BTNIN05.blp")</v>
      </c>
      <c r="CU112" s="98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71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5">
      <c r="A113" s="104"/>
      <c r="B113" s="104" t="s">
        <v>448</v>
      </c>
      <c r="C113" s="62" t="s">
        <v>449</v>
      </c>
      <c r="T113" s="104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8" t="s">
        <v>450</v>
      </c>
      <c r="CN113" s="70" t="str">
        <f t="shared" si="1462"/>
        <v>InitUnitState('ID11',,,,,,,,,,)</v>
      </c>
      <c r="CO113" s="70" t="str">
        <f t="shared" si="1463"/>
        <v>InitUnitNormal('ID11',,,,,,,,,,)</v>
      </c>
      <c r="CP113" s="70" t="str">
        <f t="shared" si="1464"/>
        <v>InitUnitMagic('ID11',,,,,,,,,,)</v>
      </c>
      <c r="CQ113" s="70" t="str">
        <f t="shared" si="1465"/>
        <v>InitUnitAdd('ID11',,,,,,,,,,)</v>
      </c>
      <c r="CR113" s="70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8" t="str">
        <f t="shared" si="1466"/>
        <v>|n</v>
      </c>
      <c r="CV113" s="71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5">
      <c r="A114" s="104"/>
      <c r="B114" s="104" t="s">
        <v>451</v>
      </c>
      <c r="C114" s="62" t="s">
        <v>452</v>
      </c>
      <c r="T114" s="104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8" t="s">
        <v>453</v>
      </c>
      <c r="CN114" s="70" t="str">
        <f t="shared" si="1462"/>
        <v>InitUnitState('ID12',,,,,,,,,,)</v>
      </c>
      <c r="CO114" s="70" t="str">
        <f t="shared" si="1463"/>
        <v>InitUnitNormal('ID12',,,,,,,,,,)</v>
      </c>
      <c r="CP114" s="70" t="str">
        <f t="shared" si="1464"/>
        <v>InitUnitMagic('ID12',,,,,,,,,,)</v>
      </c>
      <c r="CQ114" s="70" t="str">
        <f t="shared" si="1465"/>
        <v>InitUnitAdd('ID12',,,,,,,,,,)</v>
      </c>
      <c r="CR114" s="70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8" t="str">
        <f t="shared" si="1466"/>
        <v>|n</v>
      </c>
      <c r="CV114" s="71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5">
      <c r="A115" s="104"/>
      <c r="B115" s="104" t="s">
        <v>454</v>
      </c>
      <c r="C115" s="101" t="s">
        <v>455</v>
      </c>
      <c r="T115" s="104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8" t="s">
        <v>456</v>
      </c>
      <c r="CN115" s="70" t="str">
        <f t="shared" si="1462"/>
        <v>InitUnitState('ID13',,,,,,,,,,)</v>
      </c>
      <c r="CO115" s="70" t="str">
        <f t="shared" si="1463"/>
        <v>InitUnitNormal('ID13',,,,,,,,,,)</v>
      </c>
      <c r="CP115" s="70" t="str">
        <f t="shared" si="1464"/>
        <v>InitUnitMagic('ID13',,,,,,,,,,)</v>
      </c>
      <c r="CQ115" s="70" t="str">
        <f t="shared" si="1465"/>
        <v>InitUnitAdd('ID13',,,,,,,,,,)</v>
      </c>
      <c r="CR115" s="70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8" t="str">
        <f t="shared" si="1466"/>
        <v>|n</v>
      </c>
      <c r="CV115" s="71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5">
      <c r="A116" s="104"/>
      <c r="B116" s="104" t="s">
        <v>457</v>
      </c>
      <c r="C116" s="101" t="s">
        <v>458</v>
      </c>
      <c r="T116" s="104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8" t="s">
        <v>459</v>
      </c>
      <c r="CN116" s="70" t="str">
        <f t="shared" si="1462"/>
        <v>InitUnitState('ID14',,,,,,,,,,)</v>
      </c>
      <c r="CO116" s="70" t="str">
        <f t="shared" si="1463"/>
        <v>InitUnitNormal('ID14',,,,,,,,,,)</v>
      </c>
      <c r="CP116" s="70" t="str">
        <f t="shared" si="1464"/>
        <v>InitUnitMagic('ID14',,,,,,,,,,)</v>
      </c>
      <c r="CQ116" s="70" t="str">
        <f t="shared" si="1465"/>
        <v>InitUnitAdd('ID14',,,,,,,,,,)</v>
      </c>
      <c r="CR116" s="70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8" t="str">
        <f t="shared" si="1466"/>
        <v>|n</v>
      </c>
      <c r="CV116" s="71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5">
      <c r="A117" s="104"/>
      <c r="B117" s="104" t="s">
        <v>460</v>
      </c>
      <c r="C117" s="101" t="s">
        <v>461</v>
      </c>
      <c r="T117" s="104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8" t="s">
        <v>462</v>
      </c>
      <c r="CN117" s="70" t="str">
        <f t="shared" si="1462"/>
        <v>InitUnitState('ID15',,,,,,,,,,)</v>
      </c>
      <c r="CO117" s="70" t="str">
        <f t="shared" si="1463"/>
        <v>InitUnitNormal('ID15',,,,,,,,,,)</v>
      </c>
      <c r="CP117" s="70" t="str">
        <f t="shared" si="1464"/>
        <v>InitUnitMagic('ID15',,,,,,,,,,)</v>
      </c>
      <c r="CQ117" s="70" t="str">
        <f t="shared" si="1465"/>
        <v>InitUnitAdd('ID15',,,,,,,,,,)</v>
      </c>
      <c r="CR117" s="70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8" t="str">
        <f t="shared" si="1466"/>
        <v>|n</v>
      </c>
      <c r="CV117" s="71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27" si="1469">IF(V117="","","|n"&amp;DB$2&amp;"+"&amp;V117&amp;DB$1)</f>
        <v/>
      </c>
      <c r="DC117" s="72" t="str">
        <f t="shared" ref="DC117:DC127" si="1470">IF(W117="","","|n"&amp;DC$2&amp;"+"&amp;W117&amp;DC$1)</f>
        <v/>
      </c>
      <c r="DD117" s="72" t="str">
        <f t="shared" ref="DD117:DD127" si="1471">IF(X117="","","|n"&amp;DD$2&amp;"+"&amp;X117&amp;DD$1)</f>
        <v/>
      </c>
      <c r="DE117" s="72" t="str">
        <f t="shared" ref="DE117:DE127" si="1472">IF(Y117="","","|n"&amp;DE$2&amp;"+"&amp;Y117&amp;DE$1)</f>
        <v/>
      </c>
      <c r="DF117" s="72" t="str">
        <f t="shared" ref="DF117:DF127" si="1473">IF(Z117="","","|n"&amp;DF$2&amp;"+"&amp;Z117&amp;DF$1)</f>
        <v/>
      </c>
      <c r="DG117" s="72" t="str">
        <f t="shared" ref="DG117:DG127" si="1474">IF(AA117="","","|n"&amp;DG$2&amp;"+"&amp;AA117&amp;DG$1)</f>
        <v/>
      </c>
      <c r="DH117" s="72" t="str">
        <f t="shared" ref="DH117:DH127" si="1475">IF(AB117="","","|n"&amp;DH$2&amp;"+"&amp;AB117&amp;DH$1)</f>
        <v/>
      </c>
      <c r="DI117" s="72" t="str">
        <f t="shared" ref="DI117:DI127" si="1476">IF(AC117="","","|n"&amp;DI$2&amp;"+"&amp;AC117&amp;DI$1)</f>
        <v/>
      </c>
      <c r="DJ117" s="72" t="str">
        <f t="shared" ref="DJ117:DJ127" si="1477">IF(AD117="","","|n"&amp;DJ$2&amp;"+"&amp;AD117&amp;DJ$1)</f>
        <v/>
      </c>
      <c r="DK117" s="72" t="str">
        <f t="shared" ref="DK117:DK127" si="1478">IF(AE117="","","|n"&amp;DK$2&amp;"+"&amp;AE117&amp;DK$1)</f>
        <v/>
      </c>
      <c r="DL117" s="72" t="str">
        <f t="shared" ref="DL117:DL127" si="1479">IF(AF117="","","|n"&amp;DL$2&amp;"+"&amp;AF117&amp;DL$1)</f>
        <v/>
      </c>
      <c r="DM117" s="72" t="str">
        <f t="shared" ref="DM117:DM127" si="1480">IF(AG117="","","|n"&amp;DM$2&amp;"+"&amp;AG117&amp;DM$1)</f>
        <v/>
      </c>
      <c r="DN117" s="72" t="str">
        <f t="shared" ref="DN117:DN127" si="1481">IF(AH117="","","|n"&amp;DN$2&amp;"+"&amp;AH117&amp;DN$1)</f>
        <v/>
      </c>
      <c r="DO117" s="72" t="str">
        <f t="shared" ref="DO117:DO127" si="1482">IF(AI117="","","|n"&amp;DO$2&amp;"+"&amp;AI117&amp;DO$1)</f>
        <v/>
      </c>
      <c r="DP117" s="72" t="str">
        <f t="shared" ref="DP117:DP127" si="1483">IF(AJ117="","","|n"&amp;DP$2&amp;"+"&amp;AJ117&amp;DP$1)</f>
        <v/>
      </c>
      <c r="DQ117" s="72" t="str">
        <f t="shared" ref="DQ117:DQ127" si="1484">IF(AK117="","","|n"&amp;DQ$2&amp;"+"&amp;AK117&amp;DQ$1)</f>
        <v/>
      </c>
      <c r="DR117" s="72" t="str">
        <f t="shared" ref="DR117:DR127" si="1485">IF(AL117="","","|n"&amp;DR$2&amp;"+"&amp;AL117&amp;DR$1)</f>
        <v/>
      </c>
      <c r="DS117" s="72" t="str">
        <f t="shared" ref="DS117:DS127" si="1486">IF(AM117="","","|n"&amp;DS$2&amp;"+"&amp;AM117&amp;DS$1)</f>
        <v/>
      </c>
      <c r="DT117" s="72" t="str">
        <f t="shared" ref="DT117:DT127" si="1487">IF(AN117="","","|n"&amp;DT$2&amp;"+"&amp;AN117&amp;DT$1)</f>
        <v/>
      </c>
      <c r="DU117" s="72" t="str">
        <f t="shared" ref="DU117:DU127" si="1488">IF(AO117="","","|n"&amp;DU$2&amp;"+"&amp;AO117&amp;DU$1)</f>
        <v/>
      </c>
      <c r="DV117" s="72" t="str">
        <f t="shared" ref="DV117:DV127" si="1489">IF(AP117="","","|n"&amp;DV$2&amp;"+"&amp;AP117&amp;DV$1)</f>
        <v/>
      </c>
      <c r="DW117" s="72" t="str">
        <f t="shared" ref="DW117:DW127" si="1490">IF(AQ117="","","|n"&amp;DW$2&amp;"+"&amp;AQ117&amp;DW$1)</f>
        <v/>
      </c>
      <c r="DX117" s="72" t="str">
        <f t="shared" ref="DX117:DX127" si="1491">IF(AR117="","","|n"&amp;DX$2&amp;"+"&amp;AR117&amp;DX$1)</f>
        <v/>
      </c>
      <c r="DY117" s="72" t="str">
        <f t="shared" ref="DY117:DY127" si="1492">IF(AS117="","","|n"&amp;DY$2&amp;"+"&amp;AS117&amp;DY$1)</f>
        <v/>
      </c>
      <c r="DZ117" s="72" t="str">
        <f t="shared" ref="DZ117:DZ127" si="1493">IF(AT117="","","|n"&amp;DZ$2&amp;"+"&amp;AT117&amp;DZ$1)</f>
        <v/>
      </c>
      <c r="EA117" s="72" t="str">
        <f t="shared" ref="EA117:EA127" si="1494">IF(AU117="","","|n"&amp;EA$2&amp;"+"&amp;AU117&amp;EA$1)</f>
        <v/>
      </c>
      <c r="EB117" s="72" t="str">
        <f t="shared" ref="EB117:EB127" si="1495">IF(AV117="","","|n"&amp;EB$2&amp;"+"&amp;AV117&amp;EB$1)</f>
        <v/>
      </c>
      <c r="EC117" s="72" t="str">
        <f t="shared" ref="EC117:EC127" si="1496">IF(AW117="","","|n"&amp;EC$2&amp;"+"&amp;AW117&amp;EC$1)</f>
        <v/>
      </c>
      <c r="ED117" s="72" t="str">
        <f t="shared" ref="ED117:ED127" si="1497">IF(AX117="","","|n"&amp;ED$2&amp;"+"&amp;AX117&amp;ED$1)</f>
        <v/>
      </c>
      <c r="EE117" s="72" t="str">
        <f t="shared" ref="EE117:EE127" si="1498">IF(AY117="","","|n"&amp;EE$2&amp;"+"&amp;AY117&amp;EE$1)</f>
        <v/>
      </c>
      <c r="EF117" s="72" t="str">
        <f t="shared" ref="EF117:EF127" si="1499">IF(AZ117="","","|n"&amp;EF$2&amp;"+"&amp;AZ117&amp;EF$1)</f>
        <v/>
      </c>
      <c r="EG117" s="72" t="str">
        <f t="shared" ref="EG117:EG127" si="1500">IF(BA117="","","|n"&amp;EG$2&amp;"+"&amp;BA117&amp;EG$1)</f>
        <v/>
      </c>
      <c r="EH117" s="72" t="str">
        <f t="shared" ref="EH117:EH127" si="1501">IF(BB117="","","|n"&amp;EH$2&amp;"+"&amp;BB117&amp;EH$1)</f>
        <v/>
      </c>
      <c r="EI117" s="72" t="str">
        <f t="shared" ref="EI117:EI127" si="1502">IF(BC117="","","|n"&amp;EI$2&amp;"+"&amp;BC117&amp;EI$1)</f>
        <v/>
      </c>
      <c r="EJ117" s="72" t="str">
        <f t="shared" ref="EJ117:EJ127" si="1503">IF(BD117="","","|n"&amp;EJ$2&amp;"+"&amp;BD117&amp;EJ$1)</f>
        <v/>
      </c>
      <c r="EK117" s="72" t="str">
        <f t="shared" ref="EK117:EK127" si="1504">IF(BE117="","","|n"&amp;EK$2&amp;"+"&amp;BE117&amp;EK$1)</f>
        <v/>
      </c>
      <c r="EL117" s="72" t="str">
        <f t="shared" ref="EL117:EL127" si="1505">IF(BF117="","","|n"&amp;EL$2&amp;"+"&amp;BF117&amp;EL$1)</f>
        <v/>
      </c>
      <c r="EM117" s="72" t="str">
        <f t="shared" ref="EM117:EM127" si="1506">IF(BG117="","","|n"&amp;EM$2&amp;"+"&amp;BG117&amp;EM$1)</f>
        <v/>
      </c>
      <c r="EN117" s="72" t="str">
        <f t="shared" ref="EN117:EN127" si="1507">IF(BH117="","","|n"&amp;EN$2&amp;"+"&amp;BH117&amp;EN$1)</f>
        <v/>
      </c>
      <c r="EO117" s="72" t="str">
        <f t="shared" ref="EO117:EO127" si="1508">IF(BI117="","","|n"&amp;EO$2&amp;"+"&amp;BI117&amp;EO$1)</f>
        <v/>
      </c>
      <c r="EP117" s="72" t="str">
        <f t="shared" ref="EP117:EP127" si="1509">IF(BJ117="","","|n"&amp;EP$2&amp;"+"&amp;BJ117&amp;EP$1)</f>
        <v/>
      </c>
      <c r="EQ117" s="72" t="str">
        <f t="shared" ref="EQ117:EQ127" si="1510">IF(BK117="","","|n"&amp;EQ$2&amp;"+"&amp;BK117&amp;EQ$1)</f>
        <v/>
      </c>
      <c r="ER117" s="72" t="str">
        <f t="shared" ref="ER117:ER127" si="1511">IF(BL117="","","|n"&amp;ER$2&amp;"+"&amp;BL117&amp;ER$1)</f>
        <v/>
      </c>
      <c r="ES117" s="72" t="str">
        <f t="shared" ref="ES117:ES127" si="1512">IF(BM117="","","|n"&amp;ES$2&amp;"+"&amp;BM117&amp;ES$1)</f>
        <v/>
      </c>
      <c r="ET117" s="72" t="str">
        <f t="shared" ref="ET117:ET127" si="1513">IF(BN117="","","|n"&amp;ET$2&amp;"+"&amp;BN117&amp;ET$1)</f>
        <v/>
      </c>
      <c r="EU117" s="72" t="str">
        <f t="shared" ref="EU117:EU127" si="1514">IF(BO117="","","|n"&amp;EU$2&amp;"+"&amp;BO117&amp;EU$1)</f>
        <v/>
      </c>
      <c r="EV117" s="72" t="str">
        <f t="shared" ref="EV117:EV127" si="1515">IF(BP117="","","|n"&amp;EV$2&amp;"+"&amp;BP117&amp;EV$1)</f>
        <v/>
      </c>
      <c r="EW117" s="72" t="str">
        <f t="shared" ref="EW117:EW127" si="1516">IF(BQ117="","","|n"&amp;EW$2&amp;"+"&amp;BQ117&amp;EW$1)</f>
        <v/>
      </c>
      <c r="EX117" s="72" t="str">
        <f t="shared" ref="EX117:EX127" si="1517">IF(BR117="","","|n"&amp;EX$2&amp;"+"&amp;BR117&amp;EX$1)</f>
        <v/>
      </c>
      <c r="EY117" s="72" t="str">
        <f t="shared" ref="EY117:EY127" si="1518">IF(BS117="","","|n"&amp;EY$2&amp;"+"&amp;BS117&amp;EY$1)</f>
        <v/>
      </c>
      <c r="EZ117" s="72" t="str">
        <f t="shared" ref="EZ117:EZ127" si="1519">IF(BT117="","","|n"&amp;EZ$2&amp;"+"&amp;BT117&amp;EZ$1)</f>
        <v/>
      </c>
      <c r="FA117" s="72" t="str">
        <f t="shared" ref="FA117:FA127" si="1520">IF(BU117="","","|n"&amp;FA$2&amp;"+"&amp;BU117&amp;FA$1)</f>
        <v/>
      </c>
      <c r="FB117" s="72" t="str">
        <f t="shared" ref="FB117:FB127" si="1521">IF(BV117="","","|n"&amp;FB$2&amp;"+"&amp;BV117&amp;FB$1)</f>
        <v/>
      </c>
      <c r="FC117" s="72" t="str">
        <f t="shared" ref="FC117:FC127" si="1522">IF(BW117="","","|n"&amp;FC$2&amp;"+"&amp;BW117&amp;FC$1)</f>
        <v/>
      </c>
      <c r="FD117" s="72" t="str">
        <f t="shared" ref="FD117:FD127" si="1523">IF(BX117="","","|n"&amp;FD$2&amp;"+"&amp;BX117&amp;FD$1)</f>
        <v/>
      </c>
      <c r="FE117" s="72" t="str">
        <f t="shared" ref="FE117:FE127" si="1524">IF(BY117="","","|n"&amp;FE$2&amp;"+"&amp;BY117&amp;FE$1)</f>
        <v/>
      </c>
      <c r="FF117" s="72" t="str">
        <f t="shared" ref="FF117:FF127" si="1525">IF(BZ117="","","|n"&amp;FF$2&amp;"+"&amp;BZ117&amp;FF$1)</f>
        <v/>
      </c>
      <c r="FG117" s="72" t="str">
        <f t="shared" ref="FG117:FG127" si="1526">IF(CA117="","","|n"&amp;FG$2&amp;"+"&amp;CA117&amp;FG$1)</f>
        <v/>
      </c>
      <c r="FH117" s="72" t="str">
        <f t="shared" ref="FH117:FH127" si="1527">IF(CB117="","","|n"&amp;FH$2&amp;"+"&amp;CB117&amp;FH$1)</f>
        <v/>
      </c>
      <c r="FI117" s="72" t="str">
        <f t="shared" ref="FI117:FI127" si="1528">IF(CC117="","","|n"&amp;FI$2&amp;"+"&amp;CC117&amp;FI$1)</f>
        <v/>
      </c>
      <c r="FJ117" s="72" t="str">
        <f t="shared" ref="FJ117:FJ127" si="1529">IF(CD117="","","|n"&amp;FJ$2&amp;"+"&amp;CD117&amp;FJ$1)</f>
        <v/>
      </c>
      <c r="FK117" s="72" t="str">
        <f t="shared" ref="FK117:FK127" si="1530">IF(CE117="","","|n"&amp;FK$2&amp;"+"&amp;CE117&amp;FK$1)</f>
        <v/>
      </c>
      <c r="FL117" s="72" t="str">
        <f t="shared" ref="FL117:FL127" si="1531">IF(CF117="","","|n"&amp;FL$2&amp;"+"&amp;CF117&amp;FL$1)</f>
        <v/>
      </c>
      <c r="FM117" s="72" t="str">
        <f t="shared" ref="FM117:FM127" si="1532">IF(CG117="","","|n"&amp;FM$2&amp;"+"&amp;CG117&amp;FM$1)</f>
        <v/>
      </c>
      <c r="FN117" s="72" t="str">
        <f t="shared" ref="FN117:FN127" si="1533">IF(CH117="","","|n"&amp;FN$2&amp;"+"&amp;CH117&amp;FN$1)</f>
        <v/>
      </c>
      <c r="FO117" s="72" t="str">
        <f t="shared" ref="FO117:FO127" si="1534">IF(CI117="","","|n"&amp;FO$2&amp;"+"&amp;CI117&amp;FO$1)</f>
        <v/>
      </c>
      <c r="FP117" s="72" t="str">
        <f t="shared" ref="FP117:FP127" si="1535">IF(CJ117="","","|n"&amp;FP$2&amp;"+"&amp;CJ117&amp;FP$1)</f>
        <v/>
      </c>
      <c r="FQ117" s="72" t="str">
        <f t="shared" ref="FQ117:FQ127" si="1536">IF(CK117="","","|n"&amp;FQ$2&amp;"+"&amp;CK117&amp;FQ$1)</f>
        <v/>
      </c>
      <c r="FR117" s="72" t="str">
        <f t="shared" ref="FR117:FR127" si="1537">IF(CL117="","","|n"&amp;FR$2&amp;"+"&amp;CL117&amp;FR$1)</f>
        <v/>
      </c>
      <c r="FS117" s="72" t="str">
        <f t="shared" ref="FS117:FS127" si="1538">IF(CM117="","","|n"&amp;FS$2&amp;"+"&amp;CM117&amp;FS$1)</f>
        <v/>
      </c>
    </row>
    <row r="118" spans="1:175" ht="15">
      <c r="A118" s="104"/>
      <c r="B118" s="104" t="s">
        <v>463</v>
      </c>
      <c r="C118" s="73" t="s">
        <v>464</v>
      </c>
      <c r="T118" s="104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8" t="s">
        <v>465</v>
      </c>
      <c r="CN118" s="70" t="str">
        <f t="shared" si="1462"/>
        <v>InitUnitState('ID16',,,,,,,,,,)</v>
      </c>
      <c r="CO118" s="70" t="str">
        <f t="shared" si="1463"/>
        <v>InitUnitNormal('ID16',,,,,,,,,,)</v>
      </c>
      <c r="CP118" s="70" t="str">
        <f t="shared" si="1464"/>
        <v>InitUnitMagic('ID16',,,,,,,,,,)</v>
      </c>
      <c r="CQ118" s="70" t="str">
        <f t="shared" si="1465"/>
        <v>InitUnitAdd('ID16',,,,,,,,,,)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8" t="str">
        <f t="shared" si="1466"/>
        <v>|n</v>
      </c>
      <c r="CV118" s="71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5">
      <c r="A119" s="104"/>
      <c r="B119" s="104" t="s">
        <v>466</v>
      </c>
      <c r="C119" s="73" t="s">
        <v>467</v>
      </c>
      <c r="T119" s="104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8" t="s">
        <v>468</v>
      </c>
      <c r="CN119" s="70" t="str">
        <f t="shared" si="1462"/>
        <v>InitUnitState('ID17',,,,,,,,,,)</v>
      </c>
      <c r="CO119" s="70" t="str">
        <f t="shared" si="1463"/>
        <v>InitUnitNormal('ID17',,,,,,,,,,)</v>
      </c>
      <c r="CP119" s="70" t="str">
        <f t="shared" si="1464"/>
        <v>InitUnitMagic('ID17',,,,,,,,,,)</v>
      </c>
      <c r="CQ119" s="70" t="str">
        <f t="shared" si="1465"/>
        <v>InitUnitAdd('ID17',,,,,,,,,,)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8" t="str">
        <f t="shared" si="1466"/>
        <v>|n</v>
      </c>
      <c r="CV119" s="71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5">
      <c r="A120" s="104"/>
      <c r="B120" s="104" t="s">
        <v>469</v>
      </c>
      <c r="C120" s="73" t="s">
        <v>470</v>
      </c>
      <c r="T120" s="104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8" t="s">
        <v>471</v>
      </c>
      <c r="CN120" s="70" t="str">
        <f t="shared" si="1462"/>
        <v>InitUnitState('ID18',,,,,,,,,,)</v>
      </c>
      <c r="CO120" s="70" t="str">
        <f t="shared" si="1463"/>
        <v>InitUnitNormal('ID18',,,,,,,,,,)</v>
      </c>
      <c r="CP120" s="70" t="str">
        <f t="shared" si="1464"/>
        <v>InitUnitMagic('ID18',,,,,,,,,,)</v>
      </c>
      <c r="CQ120" s="70" t="str">
        <f t="shared" si="1465"/>
        <v>InitUnitAdd('ID18',,,,,,,,,,)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8" t="str">
        <f t="shared" si="1466"/>
        <v>|n</v>
      </c>
      <c r="CV120" s="71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5">
      <c r="A121" s="104"/>
      <c r="B121" s="104" t="s">
        <v>472</v>
      </c>
      <c r="C121" s="73" t="s">
        <v>473</v>
      </c>
      <c r="T121" s="104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8" t="s">
        <v>474</v>
      </c>
      <c r="CN121" s="70" t="str">
        <f t="shared" si="1462"/>
        <v>InitUnitState('ID19',,,,,,,,,,)</v>
      </c>
      <c r="CO121" s="70" t="str">
        <f t="shared" si="1463"/>
        <v>InitUnitNormal('ID19',,,,,,,,,,)</v>
      </c>
      <c r="CP121" s="70" t="str">
        <f t="shared" si="1464"/>
        <v>InitUnitMagic('ID19',,,,,,,,,,)</v>
      </c>
      <c r="CQ121" s="70" t="str">
        <f t="shared" si="1465"/>
        <v>InitUnitAdd('ID19',,,,,,,,,,)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8" t="str">
        <f t="shared" si="1466"/>
        <v>|n</v>
      </c>
      <c r="CV121" s="71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5">
      <c r="A122" s="104"/>
      <c r="B122" s="104" t="s">
        <v>475</v>
      </c>
      <c r="C122" s="73" t="s">
        <v>476</v>
      </c>
      <c r="T122" s="104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8" t="s">
        <v>477</v>
      </c>
      <c r="CN122" s="70" t="str">
        <f t="shared" ref="CN122:CN127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0" t="str">
        <f t="shared" ref="CO122:CO127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0" t="str">
        <f t="shared" ref="CP122:CP127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0" t="str">
        <f t="shared" ref="CQ122:CQ127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139&amp;CR$1&amp;")"</f>
        <v>InitEquipData('ID20',,"",,,,,'','','','','','',"ReplaceableTextures\\CommandButtons\\BTNZHP1.blp")</v>
      </c>
      <c r="CU122" s="98" t="str">
        <f t="shared" ref="CU122:CU127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1" t="str">
        <f t="shared" ref="CV122:CV127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5">
      <c r="A123" s="104"/>
      <c r="B123" s="104" t="s">
        <v>478</v>
      </c>
      <c r="C123" s="104" t="s">
        <v>479</v>
      </c>
      <c r="T123" s="104" t="s">
        <v>480</v>
      </c>
      <c r="U123" s="88" t="s">
        <v>481</v>
      </c>
      <c r="CN123" s="70" t="str">
        <f t="shared" si="1539"/>
        <v>InitUnitState('CS01',,,,,,,,,,)</v>
      </c>
      <c r="CO123" s="70" t="str">
        <f t="shared" si="1540"/>
        <v>InitUnitNormal('CS01',,,,,,,,,,)</v>
      </c>
      <c r="CP123" s="70" t="str">
        <f t="shared" si="1541"/>
        <v>InitUnitMagic('CS01',,,,,,,,,,)</v>
      </c>
      <c r="CQ123" s="70" t="str">
        <f t="shared" si="1542"/>
        <v>InitUnitAdd('CS01',,,,,,,,,,)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128&amp;CR$1&amp;")"</f>
        <v>InitEquipData('CS01',,"",,,,,'','','','','','',"ReplaceableTextures\\CommandButtons\\BTNIN05.blp")</v>
      </c>
      <c r="CU123" s="98" t="str">
        <f t="shared" si="1543"/>
        <v>|n</v>
      </c>
      <c r="CV123" s="71" t="str">
        <f t="shared" si="1544"/>
        <v>随机获得|Cffffd24d1|r个|Cffffd24dQ技能|r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5">
      <c r="A124" s="104"/>
      <c r="B124" s="104" t="s">
        <v>482</v>
      </c>
      <c r="C124" s="104" t="s">
        <v>483</v>
      </c>
      <c r="T124" s="104" t="s">
        <v>484</v>
      </c>
      <c r="U124" s="88" t="s">
        <v>485</v>
      </c>
      <c r="CN124" s="70" t="str">
        <f t="shared" si="1539"/>
        <v>InitUnitState('I021',,,,,,,,,,)</v>
      </c>
      <c r="CO124" s="70" t="str">
        <f t="shared" si="1540"/>
        <v>InitUnitNormal('I021',,,,,,,,,,)</v>
      </c>
      <c r="CP124" s="70" t="str">
        <f t="shared" si="1541"/>
        <v>InitUnitMagic('I021',,,,,,,,,,)</v>
      </c>
      <c r="CQ124" s="70" t="str">
        <f t="shared" si="1542"/>
        <v>InitUnitAdd('I021',,,,,,,,,,)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InitEquipData('I021',,"",,,,,'','','','','','',"ReplaceableTextures\\CommandButtons\\BTNIN04.blp")</v>
      </c>
      <c r="CU124" s="98" t="str">
        <f t="shared" si="1543"/>
        <v>|n</v>
      </c>
      <c r="CV124" s="71" t="str">
        <f t="shared" si="1544"/>
        <v>|CffFFC926100%概率|r提升指定技能的|Cffffc926品质|r。|n|n|Cffffc926价格：|n|r玄铁x20|n|n|Cff00ff7f只能对A级|r|Cffffc926及以|r|Cff00ff7f下的技能使用。|r</v>
      </c>
      <c r="CW124" s="61"/>
      <c r="CX124" s="61"/>
      <c r="CY124" s="61"/>
      <c r="CZ124" s="61"/>
      <c r="DA124" s="61"/>
      <c r="DB124" s="72" t="str">
        <f t="shared" si="1469"/>
        <v/>
      </c>
      <c r="DC124" s="72" t="str">
        <f t="shared" si="1470"/>
        <v/>
      </c>
      <c r="DD124" s="72" t="str">
        <f t="shared" si="1471"/>
        <v/>
      </c>
      <c r="DE124" s="72" t="str">
        <f t="shared" si="1472"/>
        <v/>
      </c>
      <c r="DF124" s="72" t="str">
        <f t="shared" si="1473"/>
        <v/>
      </c>
      <c r="DG124" s="72" t="str">
        <f t="shared" si="1474"/>
        <v/>
      </c>
      <c r="DH124" s="72" t="str">
        <f t="shared" si="1475"/>
        <v/>
      </c>
      <c r="DI124" s="72" t="str">
        <f t="shared" si="1476"/>
        <v/>
      </c>
      <c r="DJ124" s="72" t="str">
        <f t="shared" si="1477"/>
        <v/>
      </c>
      <c r="DK124" s="72" t="str">
        <f t="shared" si="1478"/>
        <v/>
      </c>
      <c r="DL124" s="72" t="str">
        <f t="shared" si="1479"/>
        <v/>
      </c>
      <c r="DM124" s="72" t="str">
        <f t="shared" si="1480"/>
        <v/>
      </c>
      <c r="DN124" s="72" t="str">
        <f t="shared" si="1481"/>
        <v/>
      </c>
      <c r="DO124" s="72" t="str">
        <f t="shared" si="1482"/>
        <v/>
      </c>
      <c r="DP124" s="72" t="str">
        <f t="shared" si="1483"/>
        <v/>
      </c>
      <c r="DQ124" s="72" t="str">
        <f t="shared" si="1484"/>
        <v/>
      </c>
      <c r="DR124" s="72" t="str">
        <f t="shared" si="1485"/>
        <v/>
      </c>
      <c r="DS124" s="72" t="str">
        <f t="shared" si="1486"/>
        <v/>
      </c>
      <c r="DT124" s="72" t="str">
        <f t="shared" si="1487"/>
        <v/>
      </c>
      <c r="DU124" s="72" t="str">
        <f t="shared" si="1488"/>
        <v/>
      </c>
      <c r="DV124" s="72" t="str">
        <f t="shared" si="1489"/>
        <v/>
      </c>
      <c r="DW124" s="72" t="str">
        <f t="shared" si="1490"/>
        <v/>
      </c>
      <c r="DX124" s="72" t="str">
        <f t="shared" si="1491"/>
        <v/>
      </c>
      <c r="DY124" s="72" t="str">
        <f t="shared" si="1492"/>
        <v/>
      </c>
      <c r="DZ124" s="72" t="str">
        <f t="shared" si="1493"/>
        <v/>
      </c>
      <c r="EA124" s="72" t="str">
        <f t="shared" si="1494"/>
        <v/>
      </c>
      <c r="EB124" s="72" t="str">
        <f t="shared" si="1495"/>
        <v/>
      </c>
      <c r="EC124" s="72" t="str">
        <f t="shared" si="1496"/>
        <v/>
      </c>
      <c r="ED124" s="72" t="str">
        <f t="shared" si="1497"/>
        <v/>
      </c>
      <c r="EE124" s="72" t="str">
        <f t="shared" si="1498"/>
        <v/>
      </c>
      <c r="EF124" s="72" t="str">
        <f t="shared" si="1499"/>
        <v/>
      </c>
      <c r="EG124" s="72" t="str">
        <f t="shared" si="1500"/>
        <v/>
      </c>
      <c r="EH124" s="72" t="str">
        <f t="shared" si="1501"/>
        <v/>
      </c>
      <c r="EI124" s="72" t="str">
        <f t="shared" si="1502"/>
        <v/>
      </c>
      <c r="EJ124" s="72" t="str">
        <f t="shared" si="1503"/>
        <v/>
      </c>
      <c r="EK124" s="72" t="str">
        <f t="shared" si="1504"/>
        <v/>
      </c>
      <c r="EL124" s="72" t="str">
        <f t="shared" si="1505"/>
        <v/>
      </c>
      <c r="EM124" s="72" t="str">
        <f t="shared" si="1506"/>
        <v/>
      </c>
      <c r="EN124" s="72" t="str">
        <f t="shared" si="1507"/>
        <v/>
      </c>
      <c r="EO124" s="72" t="str">
        <f t="shared" si="1508"/>
        <v/>
      </c>
      <c r="EP124" s="72" t="str">
        <f t="shared" si="1509"/>
        <v/>
      </c>
      <c r="EQ124" s="72" t="str">
        <f t="shared" si="1510"/>
        <v/>
      </c>
      <c r="ER124" s="72" t="str">
        <f t="shared" si="1511"/>
        <v/>
      </c>
      <c r="ES124" s="72" t="str">
        <f t="shared" si="1512"/>
        <v/>
      </c>
      <c r="ET124" s="72" t="str">
        <f t="shared" si="1513"/>
        <v/>
      </c>
      <c r="EU124" s="72" t="str">
        <f t="shared" si="1514"/>
        <v/>
      </c>
      <c r="EV124" s="72" t="str">
        <f t="shared" si="1515"/>
        <v/>
      </c>
      <c r="EW124" s="72" t="str">
        <f t="shared" si="1516"/>
        <v/>
      </c>
      <c r="EX124" s="72" t="str">
        <f t="shared" si="1517"/>
        <v/>
      </c>
      <c r="EY124" s="72" t="str">
        <f t="shared" si="1518"/>
        <v/>
      </c>
      <c r="EZ124" s="72" t="str">
        <f t="shared" si="1519"/>
        <v/>
      </c>
      <c r="FA124" s="72" t="str">
        <f t="shared" si="1520"/>
        <v/>
      </c>
      <c r="FB124" s="72" t="str">
        <f t="shared" si="1521"/>
        <v/>
      </c>
      <c r="FC124" s="72" t="str">
        <f t="shared" si="1522"/>
        <v/>
      </c>
      <c r="FD124" s="72" t="str">
        <f t="shared" si="1523"/>
        <v/>
      </c>
      <c r="FE124" s="72" t="str">
        <f t="shared" si="1524"/>
        <v/>
      </c>
      <c r="FF124" s="72" t="str">
        <f t="shared" si="1525"/>
        <v/>
      </c>
      <c r="FG124" s="72" t="str">
        <f t="shared" si="1526"/>
        <v/>
      </c>
      <c r="FH124" s="72" t="str">
        <f t="shared" si="1527"/>
        <v/>
      </c>
      <c r="FI124" s="72" t="str">
        <f t="shared" si="1528"/>
        <v/>
      </c>
      <c r="FJ124" s="72" t="str">
        <f t="shared" si="1529"/>
        <v/>
      </c>
      <c r="FK124" s="72" t="str">
        <f t="shared" si="1530"/>
        <v/>
      </c>
      <c r="FL124" s="72" t="str">
        <f t="shared" si="1531"/>
        <v/>
      </c>
      <c r="FM124" s="72" t="str">
        <f t="shared" si="1532"/>
        <v/>
      </c>
      <c r="FN124" s="72" t="str">
        <f t="shared" si="1533"/>
        <v/>
      </c>
      <c r="FO124" s="72" t="str">
        <f t="shared" si="1534"/>
        <v/>
      </c>
      <c r="FP124" s="72" t="str">
        <f t="shared" si="1535"/>
        <v/>
      </c>
      <c r="FQ124" s="72" t="str">
        <f t="shared" si="1536"/>
        <v/>
      </c>
      <c r="FR124" s="72" t="str">
        <f t="shared" si="1537"/>
        <v/>
      </c>
      <c r="FS124" s="72" t="str">
        <f t="shared" si="1538"/>
        <v/>
      </c>
    </row>
    <row r="125" spans="1:175" ht="15">
      <c r="A125" s="104"/>
      <c r="B125" s="104" t="s">
        <v>486</v>
      </c>
      <c r="C125" s="104" t="s">
        <v>487</v>
      </c>
      <c r="T125" s="104" t="s">
        <v>488</v>
      </c>
      <c r="U125" s="88" t="s">
        <v>489</v>
      </c>
      <c r="CN125" s="70" t="str">
        <f t="shared" si="1539"/>
        <v>InitUnitState('I022',,,,,,,,,,)</v>
      </c>
      <c r="CO125" s="70" t="str">
        <f t="shared" si="1540"/>
        <v>InitUnitNormal('I022',,,,,,,,,,)</v>
      </c>
      <c r="CP125" s="70" t="str">
        <f t="shared" si="1541"/>
        <v>InitUnitMagic('I022',,,,,,,,,,)</v>
      </c>
      <c r="CQ125" s="70" t="str">
        <f t="shared" si="1542"/>
        <v>InitUnitAdd('I022',,,,,,,,,,)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128&amp;CR$1&amp;")"</f>
        <v>InitEquipData('I022',,"",,,,,'','','','','','',"ReplaceableTextures\\CommandButtons\\BTNIN05.blp")</v>
      </c>
      <c r="CU125" s="98" t="str">
        <f t="shared" si="1543"/>
        <v>|n</v>
      </c>
      <c r="CV125" s="71" t="str">
        <f t="shared" si="1544"/>
        <v>购买需求：灵力x20|n|n使用后为指定技能增加1点品质潜力</v>
      </c>
      <c r="CW125" s="61"/>
      <c r="CX125" s="61"/>
      <c r="CY125" s="61"/>
      <c r="CZ125" s="61"/>
      <c r="DA125" s="61"/>
      <c r="DB125" s="72" t="str">
        <f t="shared" si="1469"/>
        <v/>
      </c>
      <c r="DC125" s="72" t="str">
        <f t="shared" si="1470"/>
        <v/>
      </c>
      <c r="DD125" s="72" t="str">
        <f t="shared" si="1471"/>
        <v/>
      </c>
      <c r="DE125" s="72" t="str">
        <f t="shared" si="1472"/>
        <v/>
      </c>
      <c r="DF125" s="72" t="str">
        <f t="shared" si="1473"/>
        <v/>
      </c>
      <c r="DG125" s="72" t="str">
        <f t="shared" si="1474"/>
        <v/>
      </c>
      <c r="DH125" s="72" t="str">
        <f t="shared" si="1475"/>
        <v/>
      </c>
      <c r="DI125" s="72" t="str">
        <f t="shared" si="1476"/>
        <v/>
      </c>
      <c r="DJ125" s="72" t="str">
        <f t="shared" si="1477"/>
        <v/>
      </c>
      <c r="DK125" s="72" t="str">
        <f t="shared" si="1478"/>
        <v/>
      </c>
      <c r="DL125" s="72" t="str">
        <f t="shared" si="1479"/>
        <v/>
      </c>
      <c r="DM125" s="72" t="str">
        <f t="shared" si="1480"/>
        <v/>
      </c>
      <c r="DN125" s="72" t="str">
        <f t="shared" si="1481"/>
        <v/>
      </c>
      <c r="DO125" s="72" t="str">
        <f t="shared" si="1482"/>
        <v/>
      </c>
      <c r="DP125" s="72" t="str">
        <f t="shared" si="1483"/>
        <v/>
      </c>
      <c r="DQ125" s="72" t="str">
        <f t="shared" si="1484"/>
        <v/>
      </c>
      <c r="DR125" s="72" t="str">
        <f t="shared" si="1485"/>
        <v/>
      </c>
      <c r="DS125" s="72" t="str">
        <f t="shared" si="1486"/>
        <v/>
      </c>
      <c r="DT125" s="72" t="str">
        <f t="shared" si="1487"/>
        <v/>
      </c>
      <c r="DU125" s="72" t="str">
        <f t="shared" si="1488"/>
        <v/>
      </c>
      <c r="DV125" s="72" t="str">
        <f t="shared" si="1489"/>
        <v/>
      </c>
      <c r="DW125" s="72" t="str">
        <f t="shared" si="1490"/>
        <v/>
      </c>
      <c r="DX125" s="72" t="str">
        <f t="shared" si="1491"/>
        <v/>
      </c>
      <c r="DY125" s="72" t="str">
        <f t="shared" si="1492"/>
        <v/>
      </c>
      <c r="DZ125" s="72" t="str">
        <f t="shared" si="1493"/>
        <v/>
      </c>
      <c r="EA125" s="72" t="str">
        <f t="shared" si="1494"/>
        <v/>
      </c>
      <c r="EB125" s="72" t="str">
        <f t="shared" si="1495"/>
        <v/>
      </c>
      <c r="EC125" s="72" t="str">
        <f t="shared" si="1496"/>
        <v/>
      </c>
      <c r="ED125" s="72" t="str">
        <f t="shared" si="1497"/>
        <v/>
      </c>
      <c r="EE125" s="72" t="str">
        <f t="shared" si="1498"/>
        <v/>
      </c>
      <c r="EF125" s="72" t="str">
        <f t="shared" si="1499"/>
        <v/>
      </c>
      <c r="EG125" s="72" t="str">
        <f t="shared" si="1500"/>
        <v/>
      </c>
      <c r="EH125" s="72" t="str">
        <f t="shared" si="1501"/>
        <v/>
      </c>
      <c r="EI125" s="72" t="str">
        <f t="shared" si="1502"/>
        <v/>
      </c>
      <c r="EJ125" s="72" t="str">
        <f t="shared" si="1503"/>
        <v/>
      </c>
      <c r="EK125" s="72" t="str">
        <f t="shared" si="1504"/>
        <v/>
      </c>
      <c r="EL125" s="72" t="str">
        <f t="shared" si="1505"/>
        <v/>
      </c>
      <c r="EM125" s="72" t="str">
        <f t="shared" si="1506"/>
        <v/>
      </c>
      <c r="EN125" s="72" t="str">
        <f t="shared" si="1507"/>
        <v/>
      </c>
      <c r="EO125" s="72" t="str">
        <f t="shared" si="1508"/>
        <v/>
      </c>
      <c r="EP125" s="72" t="str">
        <f t="shared" si="1509"/>
        <v/>
      </c>
      <c r="EQ125" s="72" t="str">
        <f t="shared" si="1510"/>
        <v/>
      </c>
      <c r="ER125" s="72" t="str">
        <f t="shared" si="1511"/>
        <v/>
      </c>
      <c r="ES125" s="72" t="str">
        <f t="shared" si="1512"/>
        <v/>
      </c>
      <c r="ET125" s="72" t="str">
        <f t="shared" si="1513"/>
        <v/>
      </c>
      <c r="EU125" s="72" t="str">
        <f t="shared" si="1514"/>
        <v/>
      </c>
      <c r="EV125" s="72" t="str">
        <f t="shared" si="1515"/>
        <v/>
      </c>
      <c r="EW125" s="72" t="str">
        <f t="shared" si="1516"/>
        <v/>
      </c>
      <c r="EX125" s="72" t="str">
        <f t="shared" si="1517"/>
        <v/>
      </c>
      <c r="EY125" s="72" t="str">
        <f t="shared" si="1518"/>
        <v/>
      </c>
      <c r="EZ125" s="72" t="str">
        <f t="shared" si="1519"/>
        <v/>
      </c>
      <c r="FA125" s="72" t="str">
        <f t="shared" si="1520"/>
        <v/>
      </c>
      <c r="FB125" s="72" t="str">
        <f t="shared" si="1521"/>
        <v/>
      </c>
      <c r="FC125" s="72" t="str">
        <f t="shared" si="1522"/>
        <v/>
      </c>
      <c r="FD125" s="72" t="str">
        <f t="shared" si="1523"/>
        <v/>
      </c>
      <c r="FE125" s="72" t="str">
        <f t="shared" si="1524"/>
        <v/>
      </c>
      <c r="FF125" s="72" t="str">
        <f t="shared" si="1525"/>
        <v/>
      </c>
      <c r="FG125" s="72" t="str">
        <f t="shared" si="1526"/>
        <v/>
      </c>
      <c r="FH125" s="72" t="str">
        <f t="shared" si="1527"/>
        <v/>
      </c>
      <c r="FI125" s="72" t="str">
        <f t="shared" si="1528"/>
        <v/>
      </c>
      <c r="FJ125" s="72" t="str">
        <f t="shared" si="1529"/>
        <v/>
      </c>
      <c r="FK125" s="72" t="str">
        <f t="shared" si="1530"/>
        <v/>
      </c>
      <c r="FL125" s="72" t="str">
        <f t="shared" si="1531"/>
        <v/>
      </c>
      <c r="FM125" s="72" t="str">
        <f t="shared" si="1532"/>
        <v/>
      </c>
      <c r="FN125" s="72" t="str">
        <f t="shared" si="1533"/>
        <v/>
      </c>
      <c r="FO125" s="72" t="str">
        <f t="shared" si="1534"/>
        <v/>
      </c>
      <c r="FP125" s="72" t="str">
        <f t="shared" si="1535"/>
        <v/>
      </c>
      <c r="FQ125" s="72" t="str">
        <f t="shared" si="1536"/>
        <v/>
      </c>
      <c r="FR125" s="72" t="str">
        <f t="shared" si="1537"/>
        <v/>
      </c>
      <c r="FS125" s="72" t="str">
        <f t="shared" si="1538"/>
        <v/>
      </c>
    </row>
    <row r="126" spans="1:175" ht="15">
      <c r="A126" s="104"/>
      <c r="B126" s="104" t="s">
        <v>490</v>
      </c>
      <c r="C126" s="104" t="s">
        <v>491</v>
      </c>
      <c r="T126" s="104" t="s">
        <v>492</v>
      </c>
      <c r="U126" s="111" t="s">
        <v>493</v>
      </c>
      <c r="CN126" s="70" t="str">
        <f t="shared" si="1539"/>
        <v>InitUnitState('I023',,,,,,,,,,)</v>
      </c>
      <c r="CO126" s="70" t="str">
        <f t="shared" si="1540"/>
        <v>InitUnitNormal('I023',,,,,,,,,,)</v>
      </c>
      <c r="CP126" s="70" t="str">
        <f t="shared" si="1541"/>
        <v>InitUnitMagic('I023',,,,,,,,,,)</v>
      </c>
      <c r="CQ126" s="70" t="str">
        <f t="shared" si="1542"/>
        <v>InitUnitAdd('I023',,,,,,,,,,)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129&amp;CR$1&amp;")"</f>
        <v>InitEquipData('I023',,"",,,,,'','','','','','',"ReplaceableTextures\\CommandButtons\\BTNIN04.blp")</v>
      </c>
      <c r="CU126" s="98" t="str">
        <f t="shared" si="1543"/>
        <v>|n</v>
      </c>
      <c r="CV126" s="71" t="str">
        <f t="shared" si="1544"/>
        <v>|CffFFC92650%概率|r提升指定技能的|Cffffc926品质|r。|n|n|Cffffc926价格：|n|r玄铁x10|n|n|Cff00ff7f只能对A级|r|Cffffc926及以|r|Cff00ff7f下的技能使用。|r</v>
      </c>
      <c r="CW126" s="61"/>
      <c r="CX126" s="61"/>
      <c r="CY126" s="61"/>
      <c r="CZ126" s="61"/>
      <c r="DA126" s="61"/>
      <c r="DB126" s="72" t="str">
        <f t="shared" si="1469"/>
        <v/>
      </c>
      <c r="DC126" s="72" t="str">
        <f t="shared" si="1470"/>
        <v/>
      </c>
      <c r="DD126" s="72" t="str">
        <f t="shared" si="1471"/>
        <v/>
      </c>
      <c r="DE126" s="72" t="str">
        <f t="shared" si="1472"/>
        <v/>
      </c>
      <c r="DF126" s="72" t="str">
        <f t="shared" si="1473"/>
        <v/>
      </c>
      <c r="DG126" s="72" t="str">
        <f t="shared" si="1474"/>
        <v/>
      </c>
      <c r="DH126" s="72" t="str">
        <f t="shared" si="1475"/>
        <v/>
      </c>
      <c r="DI126" s="72" t="str">
        <f t="shared" si="1476"/>
        <v/>
      </c>
      <c r="DJ126" s="72" t="str">
        <f t="shared" si="1477"/>
        <v/>
      </c>
      <c r="DK126" s="72" t="str">
        <f t="shared" si="1478"/>
        <v/>
      </c>
      <c r="DL126" s="72" t="str">
        <f t="shared" si="1479"/>
        <v/>
      </c>
      <c r="DM126" s="72" t="str">
        <f t="shared" si="1480"/>
        <v/>
      </c>
      <c r="DN126" s="72" t="str">
        <f t="shared" si="1481"/>
        <v/>
      </c>
      <c r="DO126" s="72" t="str">
        <f t="shared" si="1482"/>
        <v/>
      </c>
      <c r="DP126" s="72" t="str">
        <f t="shared" si="1483"/>
        <v/>
      </c>
      <c r="DQ126" s="72" t="str">
        <f t="shared" si="1484"/>
        <v/>
      </c>
      <c r="DR126" s="72" t="str">
        <f t="shared" si="1485"/>
        <v/>
      </c>
      <c r="DS126" s="72" t="str">
        <f t="shared" si="1486"/>
        <v/>
      </c>
      <c r="DT126" s="72" t="str">
        <f t="shared" si="1487"/>
        <v/>
      </c>
      <c r="DU126" s="72" t="str">
        <f t="shared" si="1488"/>
        <v/>
      </c>
      <c r="DV126" s="72" t="str">
        <f t="shared" si="1489"/>
        <v/>
      </c>
      <c r="DW126" s="72" t="str">
        <f t="shared" si="1490"/>
        <v/>
      </c>
      <c r="DX126" s="72" t="str">
        <f t="shared" si="1491"/>
        <v/>
      </c>
      <c r="DY126" s="72" t="str">
        <f t="shared" si="1492"/>
        <v/>
      </c>
      <c r="DZ126" s="72" t="str">
        <f t="shared" si="1493"/>
        <v/>
      </c>
      <c r="EA126" s="72" t="str">
        <f t="shared" si="1494"/>
        <v/>
      </c>
      <c r="EB126" s="72" t="str">
        <f t="shared" si="1495"/>
        <v/>
      </c>
      <c r="EC126" s="72" t="str">
        <f t="shared" si="1496"/>
        <v/>
      </c>
      <c r="ED126" s="72" t="str">
        <f t="shared" si="1497"/>
        <v/>
      </c>
      <c r="EE126" s="72" t="str">
        <f t="shared" si="1498"/>
        <v/>
      </c>
      <c r="EF126" s="72" t="str">
        <f t="shared" si="1499"/>
        <v/>
      </c>
      <c r="EG126" s="72" t="str">
        <f t="shared" si="1500"/>
        <v/>
      </c>
      <c r="EH126" s="72" t="str">
        <f t="shared" si="1501"/>
        <v/>
      </c>
      <c r="EI126" s="72" t="str">
        <f t="shared" si="1502"/>
        <v/>
      </c>
      <c r="EJ126" s="72" t="str">
        <f t="shared" si="1503"/>
        <v/>
      </c>
      <c r="EK126" s="72" t="str">
        <f t="shared" si="1504"/>
        <v/>
      </c>
      <c r="EL126" s="72" t="str">
        <f t="shared" si="1505"/>
        <v/>
      </c>
      <c r="EM126" s="72" t="str">
        <f t="shared" si="1506"/>
        <v/>
      </c>
      <c r="EN126" s="72" t="str">
        <f t="shared" si="1507"/>
        <v/>
      </c>
      <c r="EO126" s="72" t="str">
        <f t="shared" si="1508"/>
        <v/>
      </c>
      <c r="EP126" s="72" t="str">
        <f t="shared" si="1509"/>
        <v/>
      </c>
      <c r="EQ126" s="72" t="str">
        <f t="shared" si="1510"/>
        <v/>
      </c>
      <c r="ER126" s="72" t="str">
        <f t="shared" si="1511"/>
        <v/>
      </c>
      <c r="ES126" s="72" t="str">
        <f t="shared" si="1512"/>
        <v/>
      </c>
      <c r="ET126" s="72" t="str">
        <f t="shared" si="1513"/>
        <v/>
      </c>
      <c r="EU126" s="72" t="str">
        <f t="shared" si="1514"/>
        <v/>
      </c>
      <c r="EV126" s="72" t="str">
        <f t="shared" si="1515"/>
        <v/>
      </c>
      <c r="EW126" s="72" t="str">
        <f t="shared" si="1516"/>
        <v/>
      </c>
      <c r="EX126" s="72" t="str">
        <f t="shared" si="1517"/>
        <v/>
      </c>
      <c r="EY126" s="72" t="str">
        <f t="shared" si="1518"/>
        <v/>
      </c>
      <c r="EZ126" s="72" t="str">
        <f t="shared" si="1519"/>
        <v/>
      </c>
      <c r="FA126" s="72" t="str">
        <f t="shared" si="1520"/>
        <v/>
      </c>
      <c r="FB126" s="72" t="str">
        <f t="shared" si="1521"/>
        <v/>
      </c>
      <c r="FC126" s="72" t="str">
        <f t="shared" si="1522"/>
        <v/>
      </c>
      <c r="FD126" s="72" t="str">
        <f t="shared" si="1523"/>
        <v/>
      </c>
      <c r="FE126" s="72" t="str">
        <f t="shared" si="1524"/>
        <v/>
      </c>
      <c r="FF126" s="72" t="str">
        <f t="shared" si="1525"/>
        <v/>
      </c>
      <c r="FG126" s="72" t="str">
        <f t="shared" si="1526"/>
        <v/>
      </c>
      <c r="FH126" s="72" t="str">
        <f t="shared" si="1527"/>
        <v/>
      </c>
      <c r="FI126" s="72" t="str">
        <f t="shared" si="1528"/>
        <v/>
      </c>
      <c r="FJ126" s="72" t="str">
        <f t="shared" si="1529"/>
        <v/>
      </c>
      <c r="FK126" s="72" t="str">
        <f t="shared" si="1530"/>
        <v/>
      </c>
      <c r="FL126" s="72" t="str">
        <f t="shared" si="1531"/>
        <v/>
      </c>
      <c r="FM126" s="72" t="str">
        <f t="shared" si="1532"/>
        <v/>
      </c>
      <c r="FN126" s="72" t="str">
        <f t="shared" si="1533"/>
        <v/>
      </c>
      <c r="FO126" s="72" t="str">
        <f t="shared" si="1534"/>
        <v/>
      </c>
      <c r="FP126" s="72" t="str">
        <f t="shared" si="1535"/>
        <v/>
      </c>
      <c r="FQ126" s="72" t="str">
        <f t="shared" si="1536"/>
        <v/>
      </c>
      <c r="FR126" s="72" t="str">
        <f t="shared" si="1537"/>
        <v/>
      </c>
      <c r="FS126" s="72" t="str">
        <f t="shared" si="1538"/>
        <v/>
      </c>
    </row>
    <row r="127" spans="1:175" ht="15">
      <c r="A127" s="104"/>
      <c r="B127" s="104" t="s">
        <v>494</v>
      </c>
      <c r="C127" s="104" t="s">
        <v>495</v>
      </c>
      <c r="T127" s="104"/>
      <c r="U127" s="88" t="s">
        <v>489</v>
      </c>
      <c r="CN127" s="70" t="str">
        <f t="shared" si="1539"/>
        <v>InitUnitState('I024',,,,,,,,,,)</v>
      </c>
      <c r="CO127" s="70" t="str">
        <f t="shared" si="1540"/>
        <v>InitUnitNormal('I024',,,,,,,,,,)</v>
      </c>
      <c r="CP127" s="70" t="str">
        <f t="shared" si="1541"/>
        <v>InitUnitMagic('I024',,,,,,,,,,)</v>
      </c>
      <c r="CQ127" s="70" t="str">
        <f t="shared" si="1542"/>
        <v>InitUnitAdd('I024',,,,,,,,,,)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130&amp;CR$1&amp;")"</f>
        <v>InitEquipData('I024',,"",,,,,'','','','','','',"ReplaceableTextures\\CommandButtons\\BTNIN06.blp")</v>
      </c>
      <c r="CU127" s="98" t="str">
        <f t="shared" si="1543"/>
        <v>|n</v>
      </c>
      <c r="CV127" s="71">
        <f t="shared" si="1544"/>
        <v>0</v>
      </c>
      <c r="CW127" s="61"/>
      <c r="CX127" s="61"/>
      <c r="CY127" s="61"/>
      <c r="CZ127" s="61"/>
      <c r="DA127" s="61"/>
      <c r="DB127" s="72" t="str">
        <f t="shared" si="1469"/>
        <v/>
      </c>
      <c r="DC127" s="72" t="str">
        <f t="shared" si="1470"/>
        <v/>
      </c>
      <c r="DD127" s="72" t="str">
        <f t="shared" si="1471"/>
        <v/>
      </c>
      <c r="DE127" s="72" t="str">
        <f t="shared" si="1472"/>
        <v/>
      </c>
      <c r="DF127" s="72" t="str">
        <f t="shared" si="1473"/>
        <v/>
      </c>
      <c r="DG127" s="72" t="str">
        <f t="shared" si="1474"/>
        <v/>
      </c>
      <c r="DH127" s="72" t="str">
        <f t="shared" si="1475"/>
        <v/>
      </c>
      <c r="DI127" s="72" t="str">
        <f t="shared" si="1476"/>
        <v/>
      </c>
      <c r="DJ127" s="72" t="str">
        <f t="shared" si="1477"/>
        <v/>
      </c>
      <c r="DK127" s="72" t="str">
        <f t="shared" si="1478"/>
        <v/>
      </c>
      <c r="DL127" s="72" t="str">
        <f t="shared" si="1479"/>
        <v/>
      </c>
      <c r="DM127" s="72" t="str">
        <f t="shared" si="1480"/>
        <v/>
      </c>
      <c r="DN127" s="72" t="str">
        <f t="shared" si="1481"/>
        <v/>
      </c>
      <c r="DO127" s="72" t="str">
        <f t="shared" si="1482"/>
        <v/>
      </c>
      <c r="DP127" s="72" t="str">
        <f t="shared" si="1483"/>
        <v/>
      </c>
      <c r="DQ127" s="72" t="str">
        <f t="shared" si="1484"/>
        <v/>
      </c>
      <c r="DR127" s="72" t="str">
        <f t="shared" si="1485"/>
        <v/>
      </c>
      <c r="DS127" s="72" t="str">
        <f t="shared" si="1486"/>
        <v/>
      </c>
      <c r="DT127" s="72" t="str">
        <f t="shared" si="1487"/>
        <v/>
      </c>
      <c r="DU127" s="72" t="str">
        <f t="shared" si="1488"/>
        <v/>
      </c>
      <c r="DV127" s="72" t="str">
        <f t="shared" si="1489"/>
        <v/>
      </c>
      <c r="DW127" s="72" t="str">
        <f t="shared" si="1490"/>
        <v/>
      </c>
      <c r="DX127" s="72" t="str">
        <f t="shared" si="1491"/>
        <v/>
      </c>
      <c r="DY127" s="72" t="str">
        <f t="shared" si="1492"/>
        <v/>
      </c>
      <c r="DZ127" s="72" t="str">
        <f t="shared" si="1493"/>
        <v/>
      </c>
      <c r="EA127" s="72" t="str">
        <f t="shared" si="1494"/>
        <v/>
      </c>
      <c r="EB127" s="72" t="str">
        <f t="shared" si="1495"/>
        <v/>
      </c>
      <c r="EC127" s="72" t="str">
        <f t="shared" si="1496"/>
        <v/>
      </c>
      <c r="ED127" s="72" t="str">
        <f t="shared" si="1497"/>
        <v/>
      </c>
      <c r="EE127" s="72" t="str">
        <f t="shared" si="1498"/>
        <v/>
      </c>
      <c r="EF127" s="72" t="str">
        <f t="shared" si="1499"/>
        <v/>
      </c>
      <c r="EG127" s="72" t="str">
        <f t="shared" si="1500"/>
        <v/>
      </c>
      <c r="EH127" s="72" t="str">
        <f t="shared" si="1501"/>
        <v/>
      </c>
      <c r="EI127" s="72" t="str">
        <f t="shared" si="1502"/>
        <v/>
      </c>
      <c r="EJ127" s="72" t="str">
        <f t="shared" si="1503"/>
        <v/>
      </c>
      <c r="EK127" s="72" t="str">
        <f t="shared" si="1504"/>
        <v/>
      </c>
      <c r="EL127" s="72" t="str">
        <f t="shared" si="1505"/>
        <v/>
      </c>
      <c r="EM127" s="72" t="str">
        <f t="shared" si="1506"/>
        <v/>
      </c>
      <c r="EN127" s="72" t="str">
        <f t="shared" si="1507"/>
        <v/>
      </c>
      <c r="EO127" s="72" t="str">
        <f t="shared" si="1508"/>
        <v/>
      </c>
      <c r="EP127" s="72" t="str">
        <f t="shared" si="1509"/>
        <v/>
      </c>
      <c r="EQ127" s="72" t="str">
        <f t="shared" si="1510"/>
        <v/>
      </c>
      <c r="ER127" s="72" t="str">
        <f t="shared" si="1511"/>
        <v/>
      </c>
      <c r="ES127" s="72" t="str">
        <f t="shared" si="1512"/>
        <v/>
      </c>
      <c r="ET127" s="72" t="str">
        <f t="shared" si="1513"/>
        <v/>
      </c>
      <c r="EU127" s="72" t="str">
        <f t="shared" si="1514"/>
        <v/>
      </c>
      <c r="EV127" s="72" t="str">
        <f t="shared" si="1515"/>
        <v/>
      </c>
      <c r="EW127" s="72" t="str">
        <f t="shared" si="1516"/>
        <v/>
      </c>
      <c r="EX127" s="72" t="str">
        <f t="shared" si="1517"/>
        <v/>
      </c>
      <c r="EY127" s="72" t="str">
        <f t="shared" si="1518"/>
        <v/>
      </c>
      <c r="EZ127" s="72" t="str">
        <f t="shared" si="1519"/>
        <v/>
      </c>
      <c r="FA127" s="72" t="str">
        <f t="shared" si="1520"/>
        <v/>
      </c>
      <c r="FB127" s="72" t="str">
        <f t="shared" si="1521"/>
        <v/>
      </c>
      <c r="FC127" s="72" t="str">
        <f t="shared" si="1522"/>
        <v/>
      </c>
      <c r="FD127" s="72" t="str">
        <f t="shared" si="1523"/>
        <v/>
      </c>
      <c r="FE127" s="72" t="str">
        <f t="shared" si="1524"/>
        <v/>
      </c>
      <c r="FF127" s="72" t="str">
        <f t="shared" si="1525"/>
        <v/>
      </c>
      <c r="FG127" s="72" t="str">
        <f t="shared" si="1526"/>
        <v/>
      </c>
      <c r="FH127" s="72" t="str">
        <f t="shared" si="1527"/>
        <v/>
      </c>
      <c r="FI127" s="72" t="str">
        <f t="shared" si="1528"/>
        <v/>
      </c>
      <c r="FJ127" s="72" t="str">
        <f t="shared" si="1529"/>
        <v/>
      </c>
      <c r="FK127" s="72" t="str">
        <f t="shared" si="1530"/>
        <v/>
      </c>
      <c r="FL127" s="72" t="str">
        <f t="shared" si="1531"/>
        <v/>
      </c>
      <c r="FM127" s="72" t="str">
        <f t="shared" si="1532"/>
        <v/>
      </c>
      <c r="FN127" s="72" t="str">
        <f t="shared" si="1533"/>
        <v/>
      </c>
      <c r="FO127" s="72" t="str">
        <f t="shared" si="1534"/>
        <v/>
      </c>
      <c r="FP127" s="72" t="str">
        <f t="shared" si="1535"/>
        <v/>
      </c>
      <c r="FQ127" s="72" t="str">
        <f t="shared" si="1536"/>
        <v/>
      </c>
      <c r="FR127" s="72" t="str">
        <f t="shared" si="1537"/>
        <v/>
      </c>
      <c r="FS127" s="72" t="str">
        <f t="shared" si="1538"/>
        <v/>
      </c>
    </row>
    <row r="128" spans="1:175" ht="15">
      <c r="A128" s="104"/>
      <c r="B128" s="104" t="s">
        <v>496</v>
      </c>
      <c r="C128" s="104" t="s">
        <v>483</v>
      </c>
      <c r="T128" s="104" t="s">
        <v>497</v>
      </c>
      <c r="U128" s="88" t="s">
        <v>485</v>
      </c>
      <c r="CN128" s="70" t="str">
        <f t="shared" ref="CN128:CN129" si="1545">"InitUnitState('"&amp;B128&amp;"',"&amp;V128&amp;","&amp;W128&amp;","&amp;X128&amp;","&amp;Y128&amp;","&amp;Z128&amp;","&amp;AA128&amp;","&amp;AB128&amp;","&amp;AC128&amp;","&amp;AD128&amp;","&amp;AE128&amp;")"</f>
        <v>InitUnitState('CS21',,,,,,,,,,)</v>
      </c>
      <c r="CO128" s="70" t="str">
        <f t="shared" ref="CO128:CO129" si="1546">"InitUnitNormal('"&amp;B128&amp;"',"&amp;AF128&amp;","&amp;AG128&amp;","&amp;AH128&amp;","&amp;AI128&amp;","&amp;AJ128&amp;","&amp;AK128&amp;","&amp;AL128&amp;","&amp;AM128&amp;","&amp;AN128&amp;","&amp;AO128&amp;")"</f>
        <v>InitUnitNormal('CS21',,,,,,,,,,)</v>
      </c>
      <c r="CP128" s="70" t="str">
        <f t="shared" ref="CP128:CP129" si="1547">"InitUnitMagic('"&amp;B128&amp;"',"&amp;AP128&amp;","&amp;AQ128&amp;","&amp;AR128&amp;","&amp;AS128&amp;","&amp;AT128&amp;","&amp;AU128&amp;","&amp;AV128&amp;","&amp;AW128&amp;","&amp;BI128&amp;","&amp;BJ128&amp;")"</f>
        <v>InitUnitMagic('CS21',,,,,,,,,,)</v>
      </c>
      <c r="CQ128" s="70" t="str">
        <f t="shared" ref="CQ128:CQ129" si="1548">"InitUnitAdd('"&amp;B128&amp;"',"&amp;BK128&amp;","&amp;BL128&amp;","&amp;BM128&amp;","&amp;BN128&amp;","&amp;BO128&amp;","&amp;BP128&amp;","&amp;BQ128&amp;","&amp;BR128&amp;","&amp;BS128&amp;","&amp;BT128&amp;")"</f>
        <v>InitUnitAdd('CS21',,,,,,,,,,)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InitEquipData('CS21',,"",,,,,'','','','','','',"ReplaceableTextures\\CommandButtons\\BTNIN04.blp")</v>
      </c>
      <c r="CU128" s="98" t="str">
        <f t="shared" ref="CU128:CU129" si="1549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71" t="str">
        <f t="shared" ref="CV128:CV129" si="1550">T128</f>
        <v>|CffFFC926100%概率|r提升指定技能的|Cffffc926品质|r。|n|n|Cff00ff7f只能对|r|Cffffc926A级|r|Cff00ff7f及以下的技能使用。|r</v>
      </c>
      <c r="CW128" s="61"/>
      <c r="CX128" s="61"/>
      <c r="CY128" s="61"/>
      <c r="CZ128" s="61"/>
      <c r="DA128" s="61"/>
      <c r="DB128" s="72" t="str">
        <f t="shared" ref="DB128:DB129" si="1551">IF(V128="","","|n"&amp;DB$2&amp;"+"&amp;V128&amp;DB$1)</f>
        <v/>
      </c>
      <c r="DC128" s="72" t="str">
        <f t="shared" ref="DC128:DC129" si="1552">IF(W128="","","|n"&amp;DC$2&amp;"+"&amp;W128&amp;DC$1)</f>
        <v/>
      </c>
      <c r="DD128" s="72" t="str">
        <f t="shared" ref="DD128:DD129" si="1553">IF(X128="","","|n"&amp;DD$2&amp;"+"&amp;X128&amp;DD$1)</f>
        <v/>
      </c>
      <c r="DE128" s="72" t="str">
        <f t="shared" ref="DE128:DE129" si="1554">IF(Y128="","","|n"&amp;DE$2&amp;"+"&amp;Y128&amp;DE$1)</f>
        <v/>
      </c>
      <c r="DF128" s="72" t="str">
        <f t="shared" ref="DF128:DF129" si="1555">IF(Z128="","","|n"&amp;DF$2&amp;"+"&amp;Z128&amp;DF$1)</f>
        <v/>
      </c>
      <c r="DG128" s="72" t="str">
        <f t="shared" ref="DG128:DG129" si="1556">IF(AA128="","","|n"&amp;DG$2&amp;"+"&amp;AA128&amp;DG$1)</f>
        <v/>
      </c>
      <c r="DH128" s="72" t="str">
        <f t="shared" ref="DH128:DH129" si="1557">IF(AB128="","","|n"&amp;DH$2&amp;"+"&amp;AB128&amp;DH$1)</f>
        <v/>
      </c>
      <c r="DI128" s="72" t="str">
        <f t="shared" ref="DI128:DI129" si="1558">IF(AC128="","","|n"&amp;DI$2&amp;"+"&amp;AC128&amp;DI$1)</f>
        <v/>
      </c>
      <c r="DJ128" s="72" t="str">
        <f t="shared" ref="DJ128:DJ129" si="1559">IF(AD128="","","|n"&amp;DJ$2&amp;"+"&amp;AD128&amp;DJ$1)</f>
        <v/>
      </c>
      <c r="DK128" s="72" t="str">
        <f t="shared" ref="DK128:DK129" si="1560">IF(AE128="","","|n"&amp;DK$2&amp;"+"&amp;AE128&amp;DK$1)</f>
        <v/>
      </c>
      <c r="DL128" s="72" t="str">
        <f t="shared" ref="DL128:DL129" si="1561">IF(AF128="","","|n"&amp;DL$2&amp;"+"&amp;AF128&amp;DL$1)</f>
        <v/>
      </c>
      <c r="DM128" s="72" t="str">
        <f t="shared" ref="DM128:DM129" si="1562">IF(AG128="","","|n"&amp;DM$2&amp;"+"&amp;AG128&amp;DM$1)</f>
        <v/>
      </c>
      <c r="DN128" s="72" t="str">
        <f t="shared" ref="DN128:DN129" si="1563">IF(AH128="","","|n"&amp;DN$2&amp;"+"&amp;AH128&amp;DN$1)</f>
        <v/>
      </c>
      <c r="DO128" s="72" t="str">
        <f t="shared" ref="DO128:DO129" si="1564">IF(AI128="","","|n"&amp;DO$2&amp;"+"&amp;AI128&amp;DO$1)</f>
        <v/>
      </c>
      <c r="DP128" s="72" t="str">
        <f t="shared" ref="DP128:DP129" si="1565">IF(AJ128="","","|n"&amp;DP$2&amp;"+"&amp;AJ128&amp;DP$1)</f>
        <v/>
      </c>
      <c r="DQ128" s="72" t="str">
        <f t="shared" ref="DQ128:DQ129" si="1566">IF(AK128="","","|n"&amp;DQ$2&amp;"+"&amp;AK128&amp;DQ$1)</f>
        <v/>
      </c>
      <c r="DR128" s="72" t="str">
        <f t="shared" ref="DR128:DR129" si="1567">IF(AL128="","","|n"&amp;DR$2&amp;"+"&amp;AL128&amp;DR$1)</f>
        <v/>
      </c>
      <c r="DS128" s="72" t="str">
        <f t="shared" ref="DS128:DS129" si="1568">IF(AM128="","","|n"&amp;DS$2&amp;"+"&amp;AM128&amp;DS$1)</f>
        <v/>
      </c>
      <c r="DT128" s="72" t="str">
        <f t="shared" ref="DT128:DT129" si="1569">IF(AN128="","","|n"&amp;DT$2&amp;"+"&amp;AN128&amp;DT$1)</f>
        <v/>
      </c>
      <c r="DU128" s="72" t="str">
        <f t="shared" ref="DU128:DU129" si="1570">IF(AO128="","","|n"&amp;DU$2&amp;"+"&amp;AO128&amp;DU$1)</f>
        <v/>
      </c>
      <c r="DV128" s="72" t="str">
        <f t="shared" ref="DV128:DV129" si="1571">IF(AP128="","","|n"&amp;DV$2&amp;"+"&amp;AP128&amp;DV$1)</f>
        <v/>
      </c>
      <c r="DW128" s="72" t="str">
        <f t="shared" ref="DW128:DW129" si="1572">IF(AQ128="","","|n"&amp;DW$2&amp;"+"&amp;AQ128&amp;DW$1)</f>
        <v/>
      </c>
      <c r="DX128" s="72" t="str">
        <f t="shared" ref="DX128:DX129" si="1573">IF(AR128="","","|n"&amp;DX$2&amp;"+"&amp;AR128&amp;DX$1)</f>
        <v/>
      </c>
      <c r="DY128" s="72" t="str">
        <f t="shared" ref="DY128:DY129" si="1574">IF(AS128="","","|n"&amp;DY$2&amp;"+"&amp;AS128&amp;DY$1)</f>
        <v/>
      </c>
      <c r="DZ128" s="72" t="str">
        <f t="shared" ref="DZ128:DZ129" si="1575">IF(AT128="","","|n"&amp;DZ$2&amp;"+"&amp;AT128&amp;DZ$1)</f>
        <v/>
      </c>
      <c r="EA128" s="72" t="str">
        <f t="shared" ref="EA128:EA129" si="1576">IF(AU128="","","|n"&amp;EA$2&amp;"+"&amp;AU128&amp;EA$1)</f>
        <v/>
      </c>
      <c r="EB128" s="72" t="str">
        <f t="shared" ref="EB128:EB129" si="1577">IF(AV128="","","|n"&amp;EB$2&amp;"+"&amp;AV128&amp;EB$1)</f>
        <v/>
      </c>
      <c r="EC128" s="72" t="str">
        <f t="shared" ref="EC128:EC129" si="1578">IF(AW128="","","|n"&amp;EC$2&amp;"+"&amp;AW128&amp;EC$1)</f>
        <v/>
      </c>
      <c r="ED128" s="72" t="str">
        <f t="shared" ref="ED128:ED129" si="1579">IF(AX128="","","|n"&amp;ED$2&amp;"+"&amp;AX128&amp;ED$1)</f>
        <v/>
      </c>
      <c r="EE128" s="72" t="str">
        <f t="shared" ref="EE128:EE129" si="1580">IF(AY128="","","|n"&amp;EE$2&amp;"+"&amp;AY128&amp;EE$1)</f>
        <v/>
      </c>
      <c r="EF128" s="72" t="str">
        <f t="shared" ref="EF128:EF129" si="1581">IF(AZ128="","","|n"&amp;EF$2&amp;"+"&amp;AZ128&amp;EF$1)</f>
        <v/>
      </c>
      <c r="EG128" s="72" t="str">
        <f t="shared" ref="EG128:EG129" si="1582">IF(BA128="","","|n"&amp;EG$2&amp;"+"&amp;BA128&amp;EG$1)</f>
        <v/>
      </c>
      <c r="EH128" s="72" t="str">
        <f t="shared" ref="EH128:EH129" si="1583">IF(BB128="","","|n"&amp;EH$2&amp;"+"&amp;BB128&amp;EH$1)</f>
        <v/>
      </c>
      <c r="EI128" s="72" t="str">
        <f t="shared" ref="EI128:EI129" si="1584">IF(BC128="","","|n"&amp;EI$2&amp;"+"&amp;BC128&amp;EI$1)</f>
        <v/>
      </c>
      <c r="EJ128" s="72" t="str">
        <f t="shared" ref="EJ128:EJ129" si="1585">IF(BD128="","","|n"&amp;EJ$2&amp;"+"&amp;BD128&amp;EJ$1)</f>
        <v/>
      </c>
      <c r="EK128" s="72" t="str">
        <f t="shared" ref="EK128:EK129" si="1586">IF(BE128="","","|n"&amp;EK$2&amp;"+"&amp;BE128&amp;EK$1)</f>
        <v/>
      </c>
      <c r="EL128" s="72" t="str">
        <f t="shared" ref="EL128:EL129" si="1587">IF(BF128="","","|n"&amp;EL$2&amp;"+"&amp;BF128&amp;EL$1)</f>
        <v/>
      </c>
      <c r="EM128" s="72" t="str">
        <f t="shared" ref="EM128:EM129" si="1588">IF(BG128="","","|n"&amp;EM$2&amp;"+"&amp;BG128&amp;EM$1)</f>
        <v/>
      </c>
      <c r="EN128" s="72" t="str">
        <f t="shared" ref="EN128:EN129" si="1589">IF(BH128="","","|n"&amp;EN$2&amp;"+"&amp;BH128&amp;EN$1)</f>
        <v/>
      </c>
      <c r="EO128" s="72" t="str">
        <f t="shared" ref="EO128:EO129" si="1590">IF(BI128="","","|n"&amp;EO$2&amp;"+"&amp;BI128&amp;EO$1)</f>
        <v/>
      </c>
      <c r="EP128" s="72" t="str">
        <f t="shared" ref="EP128:EP129" si="1591">IF(BJ128="","","|n"&amp;EP$2&amp;"+"&amp;BJ128&amp;EP$1)</f>
        <v/>
      </c>
      <c r="EQ128" s="72" t="str">
        <f t="shared" ref="EQ128:EQ129" si="1592">IF(BK128="","","|n"&amp;EQ$2&amp;"+"&amp;BK128&amp;EQ$1)</f>
        <v/>
      </c>
      <c r="ER128" s="72" t="str">
        <f t="shared" ref="ER128:ER129" si="1593">IF(BL128="","","|n"&amp;ER$2&amp;"+"&amp;BL128&amp;ER$1)</f>
        <v/>
      </c>
      <c r="ES128" s="72" t="str">
        <f t="shared" ref="ES128:ES129" si="1594">IF(BM128="","","|n"&amp;ES$2&amp;"+"&amp;BM128&amp;ES$1)</f>
        <v/>
      </c>
      <c r="ET128" s="72" t="str">
        <f t="shared" ref="ET128:ET129" si="1595">IF(BN128="","","|n"&amp;ET$2&amp;"+"&amp;BN128&amp;ET$1)</f>
        <v/>
      </c>
      <c r="EU128" s="72" t="str">
        <f t="shared" ref="EU128:EU129" si="1596">IF(BO128="","","|n"&amp;EU$2&amp;"+"&amp;BO128&amp;EU$1)</f>
        <v/>
      </c>
      <c r="EV128" s="72" t="str">
        <f t="shared" ref="EV128:EV129" si="1597">IF(BP128="","","|n"&amp;EV$2&amp;"+"&amp;BP128&amp;EV$1)</f>
        <v/>
      </c>
      <c r="EW128" s="72" t="str">
        <f t="shared" ref="EW128:EW129" si="1598">IF(BQ128="","","|n"&amp;EW$2&amp;"+"&amp;BQ128&amp;EW$1)</f>
        <v/>
      </c>
      <c r="EX128" s="72" t="str">
        <f t="shared" ref="EX128:EX129" si="1599">IF(BR128="","","|n"&amp;EX$2&amp;"+"&amp;BR128&amp;EX$1)</f>
        <v/>
      </c>
      <c r="EY128" s="72" t="str">
        <f t="shared" ref="EY128:EY129" si="1600">IF(BS128="","","|n"&amp;EY$2&amp;"+"&amp;BS128&amp;EY$1)</f>
        <v/>
      </c>
      <c r="EZ128" s="72" t="str">
        <f t="shared" ref="EZ128:EZ129" si="1601">IF(BT128="","","|n"&amp;EZ$2&amp;"+"&amp;BT128&amp;EZ$1)</f>
        <v/>
      </c>
      <c r="FA128" s="72" t="str">
        <f t="shared" ref="FA128:FA129" si="1602">IF(BU128="","","|n"&amp;FA$2&amp;"+"&amp;BU128&amp;FA$1)</f>
        <v/>
      </c>
      <c r="FB128" s="72" t="str">
        <f t="shared" ref="FB128:FB129" si="1603">IF(BV128="","","|n"&amp;FB$2&amp;"+"&amp;BV128&amp;FB$1)</f>
        <v/>
      </c>
      <c r="FC128" s="72" t="str">
        <f t="shared" ref="FC128:FC129" si="1604">IF(BW128="","","|n"&amp;FC$2&amp;"+"&amp;BW128&amp;FC$1)</f>
        <v/>
      </c>
      <c r="FD128" s="72" t="str">
        <f t="shared" ref="FD128:FD129" si="1605">IF(BX128="","","|n"&amp;FD$2&amp;"+"&amp;BX128&amp;FD$1)</f>
        <v/>
      </c>
      <c r="FE128" s="72" t="str">
        <f t="shared" ref="FE128:FE129" si="1606">IF(BY128="","","|n"&amp;FE$2&amp;"+"&amp;BY128&amp;FE$1)</f>
        <v/>
      </c>
      <c r="FF128" s="72" t="str">
        <f t="shared" ref="FF128:FF129" si="1607">IF(BZ128="","","|n"&amp;FF$2&amp;"+"&amp;BZ128&amp;FF$1)</f>
        <v/>
      </c>
      <c r="FG128" s="72" t="str">
        <f t="shared" ref="FG128:FG129" si="1608">IF(CA128="","","|n"&amp;FG$2&amp;"+"&amp;CA128&amp;FG$1)</f>
        <v/>
      </c>
      <c r="FH128" s="72" t="str">
        <f t="shared" ref="FH128:FH129" si="1609">IF(CB128="","","|n"&amp;FH$2&amp;"+"&amp;CB128&amp;FH$1)</f>
        <v/>
      </c>
      <c r="FI128" s="72" t="str">
        <f t="shared" ref="FI128:FI129" si="1610">IF(CC128="","","|n"&amp;FI$2&amp;"+"&amp;CC128&amp;FI$1)</f>
        <v/>
      </c>
      <c r="FJ128" s="72" t="str">
        <f t="shared" ref="FJ128:FJ129" si="1611">IF(CD128="","","|n"&amp;FJ$2&amp;"+"&amp;CD128&amp;FJ$1)</f>
        <v/>
      </c>
      <c r="FK128" s="72" t="str">
        <f t="shared" ref="FK128:FK129" si="1612">IF(CE128="","","|n"&amp;FK$2&amp;"+"&amp;CE128&amp;FK$1)</f>
        <v/>
      </c>
      <c r="FL128" s="72" t="str">
        <f t="shared" ref="FL128:FL129" si="1613">IF(CF128="","","|n"&amp;FL$2&amp;"+"&amp;CF128&amp;FL$1)</f>
        <v/>
      </c>
      <c r="FM128" s="72" t="str">
        <f t="shared" ref="FM128:FM129" si="1614">IF(CG128="","","|n"&amp;FM$2&amp;"+"&amp;CG128&amp;FM$1)</f>
        <v/>
      </c>
      <c r="FN128" s="72" t="str">
        <f t="shared" ref="FN128:FN129" si="1615">IF(CH128="","","|n"&amp;FN$2&amp;"+"&amp;CH128&amp;FN$1)</f>
        <v/>
      </c>
      <c r="FO128" s="72" t="str">
        <f t="shared" ref="FO128:FO129" si="1616">IF(CI128="","","|n"&amp;FO$2&amp;"+"&amp;CI128&amp;FO$1)</f>
        <v/>
      </c>
      <c r="FP128" s="72" t="str">
        <f t="shared" ref="FP128:FP129" si="1617">IF(CJ128="","","|n"&amp;FP$2&amp;"+"&amp;CJ128&amp;FP$1)</f>
        <v/>
      </c>
      <c r="FQ128" s="72" t="str">
        <f t="shared" ref="FQ128:FQ129" si="1618">IF(CK128="","","|n"&amp;FQ$2&amp;"+"&amp;CK128&amp;FQ$1)</f>
        <v/>
      </c>
      <c r="FR128" s="72" t="str">
        <f t="shared" ref="FR128:FR129" si="1619">IF(CL128="","","|n"&amp;FR$2&amp;"+"&amp;CL128&amp;FR$1)</f>
        <v/>
      </c>
      <c r="FS128" s="72" t="str">
        <f t="shared" ref="FS128:FS129" si="1620">IF(CM128="","","|n"&amp;FS$2&amp;"+"&amp;CM128&amp;FS$1)</f>
        <v/>
      </c>
    </row>
    <row r="129" spans="1:175" ht="15">
      <c r="A129" s="104"/>
      <c r="B129" s="104" t="s">
        <v>498</v>
      </c>
      <c r="C129" s="115" t="s">
        <v>499</v>
      </c>
      <c r="T129" s="115" t="s">
        <v>500</v>
      </c>
      <c r="U129" s="88" t="s">
        <v>489</v>
      </c>
      <c r="CN129" s="70" t="str">
        <f t="shared" si="1545"/>
        <v>InitUnitState('CS22',,,,,,,,,,)</v>
      </c>
      <c r="CO129" s="70" t="str">
        <f t="shared" si="1546"/>
        <v>InitUnitNormal('CS22',,,,,,,,,,)</v>
      </c>
      <c r="CP129" s="70" t="str">
        <f t="shared" si="1547"/>
        <v>InitUnitMagic('CS22',,,,,,,,,,)</v>
      </c>
      <c r="CQ129" s="70" t="str">
        <f t="shared" si="1548"/>
        <v>InitUnitAdd('CS22',,,,,,,,,,)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132&amp;CR$1&amp;")"</f>
        <v>InitEquipData('CS22',,"",,,,,'','','','','','',"ReplaceableTextures\\CommandButtons\\BTNCF01.blp")</v>
      </c>
      <c r="CU129" s="98" t="str">
        <f t="shared" si="1549"/>
        <v>|n</v>
      </c>
      <c r="CV129" s="71" t="str">
        <f t="shared" si="1550"/>
        <v>使指定的|Cffffc926A级|r技能进化为|Cffff0000S级|r。</v>
      </c>
      <c r="CW129" s="61"/>
      <c r="CX129" s="61"/>
      <c r="CY129" s="61"/>
      <c r="CZ129" s="61"/>
      <c r="DA129" s="61"/>
      <c r="DB129" s="72" t="str">
        <f t="shared" si="1551"/>
        <v/>
      </c>
      <c r="DC129" s="72" t="str">
        <f t="shared" si="1552"/>
        <v/>
      </c>
      <c r="DD129" s="72" t="str">
        <f t="shared" si="1553"/>
        <v/>
      </c>
      <c r="DE129" s="72" t="str">
        <f t="shared" si="1554"/>
        <v/>
      </c>
      <c r="DF129" s="72" t="str">
        <f t="shared" si="1555"/>
        <v/>
      </c>
      <c r="DG129" s="72" t="str">
        <f t="shared" si="1556"/>
        <v/>
      </c>
      <c r="DH129" s="72" t="str">
        <f t="shared" si="1557"/>
        <v/>
      </c>
      <c r="DI129" s="72" t="str">
        <f t="shared" si="1558"/>
        <v/>
      </c>
      <c r="DJ129" s="72" t="str">
        <f t="shared" si="1559"/>
        <v/>
      </c>
      <c r="DK129" s="72" t="str">
        <f t="shared" si="1560"/>
        <v/>
      </c>
      <c r="DL129" s="72" t="str">
        <f t="shared" si="1561"/>
        <v/>
      </c>
      <c r="DM129" s="72" t="str">
        <f t="shared" si="1562"/>
        <v/>
      </c>
      <c r="DN129" s="72" t="str">
        <f t="shared" si="1563"/>
        <v/>
      </c>
      <c r="DO129" s="72" t="str">
        <f t="shared" si="1564"/>
        <v/>
      </c>
      <c r="DP129" s="72" t="str">
        <f t="shared" si="1565"/>
        <v/>
      </c>
      <c r="DQ129" s="72" t="str">
        <f t="shared" si="1566"/>
        <v/>
      </c>
      <c r="DR129" s="72" t="str">
        <f t="shared" si="1567"/>
        <v/>
      </c>
      <c r="DS129" s="72" t="str">
        <f t="shared" si="1568"/>
        <v/>
      </c>
      <c r="DT129" s="72" t="str">
        <f t="shared" si="1569"/>
        <v/>
      </c>
      <c r="DU129" s="72" t="str">
        <f t="shared" si="1570"/>
        <v/>
      </c>
      <c r="DV129" s="72" t="str">
        <f t="shared" si="1571"/>
        <v/>
      </c>
      <c r="DW129" s="72" t="str">
        <f t="shared" si="1572"/>
        <v/>
      </c>
      <c r="DX129" s="72" t="str">
        <f t="shared" si="1573"/>
        <v/>
      </c>
      <c r="DY129" s="72" t="str">
        <f t="shared" si="1574"/>
        <v/>
      </c>
      <c r="DZ129" s="72" t="str">
        <f t="shared" si="1575"/>
        <v/>
      </c>
      <c r="EA129" s="72" t="str">
        <f t="shared" si="1576"/>
        <v/>
      </c>
      <c r="EB129" s="72" t="str">
        <f t="shared" si="1577"/>
        <v/>
      </c>
      <c r="EC129" s="72" t="str">
        <f t="shared" si="1578"/>
        <v/>
      </c>
      <c r="ED129" s="72" t="str">
        <f t="shared" si="1579"/>
        <v/>
      </c>
      <c r="EE129" s="72" t="str">
        <f t="shared" si="1580"/>
        <v/>
      </c>
      <c r="EF129" s="72" t="str">
        <f t="shared" si="1581"/>
        <v/>
      </c>
      <c r="EG129" s="72" t="str">
        <f t="shared" si="1582"/>
        <v/>
      </c>
      <c r="EH129" s="72" t="str">
        <f t="shared" si="1583"/>
        <v/>
      </c>
      <c r="EI129" s="72" t="str">
        <f t="shared" si="1584"/>
        <v/>
      </c>
      <c r="EJ129" s="72" t="str">
        <f t="shared" si="1585"/>
        <v/>
      </c>
      <c r="EK129" s="72" t="str">
        <f t="shared" si="1586"/>
        <v/>
      </c>
      <c r="EL129" s="72" t="str">
        <f t="shared" si="1587"/>
        <v/>
      </c>
      <c r="EM129" s="72" t="str">
        <f t="shared" si="1588"/>
        <v/>
      </c>
      <c r="EN129" s="72" t="str">
        <f t="shared" si="1589"/>
        <v/>
      </c>
      <c r="EO129" s="72" t="str">
        <f t="shared" si="1590"/>
        <v/>
      </c>
      <c r="EP129" s="72" t="str">
        <f t="shared" si="1591"/>
        <v/>
      </c>
      <c r="EQ129" s="72" t="str">
        <f t="shared" si="1592"/>
        <v/>
      </c>
      <c r="ER129" s="72" t="str">
        <f t="shared" si="1593"/>
        <v/>
      </c>
      <c r="ES129" s="72" t="str">
        <f t="shared" si="1594"/>
        <v/>
      </c>
      <c r="ET129" s="72" t="str">
        <f t="shared" si="1595"/>
        <v/>
      </c>
      <c r="EU129" s="72" t="str">
        <f t="shared" si="1596"/>
        <v/>
      </c>
      <c r="EV129" s="72" t="str">
        <f t="shared" si="1597"/>
        <v/>
      </c>
      <c r="EW129" s="72" t="str">
        <f t="shared" si="1598"/>
        <v/>
      </c>
      <c r="EX129" s="72" t="str">
        <f t="shared" si="1599"/>
        <v/>
      </c>
      <c r="EY129" s="72" t="str">
        <f t="shared" si="1600"/>
        <v/>
      </c>
      <c r="EZ129" s="72" t="str">
        <f t="shared" si="1601"/>
        <v/>
      </c>
      <c r="FA129" s="72" t="str">
        <f t="shared" si="1602"/>
        <v/>
      </c>
      <c r="FB129" s="72" t="str">
        <f t="shared" si="1603"/>
        <v/>
      </c>
      <c r="FC129" s="72" t="str">
        <f t="shared" si="1604"/>
        <v/>
      </c>
      <c r="FD129" s="72" t="str">
        <f t="shared" si="1605"/>
        <v/>
      </c>
      <c r="FE129" s="72" t="str">
        <f t="shared" si="1606"/>
        <v/>
      </c>
      <c r="FF129" s="72" t="str">
        <f t="shared" si="1607"/>
        <v/>
      </c>
      <c r="FG129" s="72" t="str">
        <f t="shared" si="1608"/>
        <v/>
      </c>
      <c r="FH129" s="72" t="str">
        <f t="shared" si="1609"/>
        <v/>
      </c>
      <c r="FI129" s="72" t="str">
        <f t="shared" si="1610"/>
        <v/>
      </c>
      <c r="FJ129" s="72" t="str">
        <f t="shared" si="1611"/>
        <v/>
      </c>
      <c r="FK129" s="72" t="str">
        <f t="shared" si="1612"/>
        <v/>
      </c>
      <c r="FL129" s="72" t="str">
        <f t="shared" si="1613"/>
        <v/>
      </c>
      <c r="FM129" s="72" t="str">
        <f t="shared" si="1614"/>
        <v/>
      </c>
      <c r="FN129" s="72" t="str">
        <f t="shared" si="1615"/>
        <v/>
      </c>
      <c r="FO129" s="72" t="str">
        <f t="shared" si="1616"/>
        <v/>
      </c>
      <c r="FP129" s="72" t="str">
        <f t="shared" si="1617"/>
        <v/>
      </c>
      <c r="FQ129" s="72" t="str">
        <f t="shared" si="1618"/>
        <v/>
      </c>
      <c r="FR129" s="72" t="str">
        <f t="shared" si="1619"/>
        <v/>
      </c>
      <c r="FS129" s="72" t="str">
        <f t="shared" si="1620"/>
        <v/>
      </c>
    </row>
    <row r="130" spans="1:175" ht="15">
      <c r="A130" s="104"/>
      <c r="B130" s="104" t="s">
        <v>501</v>
      </c>
      <c r="C130" s="104" t="s">
        <v>491</v>
      </c>
      <c r="T130" s="104" t="s">
        <v>502</v>
      </c>
      <c r="U130" s="111" t="s">
        <v>493</v>
      </c>
      <c r="CN130" s="70" t="str">
        <f t="shared" ref="CN130" si="1621">"InitUnitState('"&amp;B130&amp;"',"&amp;V130&amp;","&amp;W130&amp;","&amp;X130&amp;","&amp;Y130&amp;","&amp;Z130&amp;","&amp;AA130&amp;","&amp;AB130&amp;","&amp;AC130&amp;","&amp;AD130&amp;","&amp;AE130&amp;")"</f>
        <v>InitUnitState('CS23',,,,,,,,,,)</v>
      </c>
      <c r="CO130" s="70" t="str">
        <f t="shared" ref="CO130" si="1622">"InitUnitNormal('"&amp;B130&amp;"',"&amp;AF130&amp;","&amp;AG130&amp;","&amp;AH130&amp;","&amp;AI130&amp;","&amp;AJ130&amp;","&amp;AK130&amp;","&amp;AL130&amp;","&amp;AM130&amp;","&amp;AN130&amp;","&amp;AO130&amp;")"</f>
        <v>InitUnitNormal('CS23',,,,,,,,,,)</v>
      </c>
      <c r="CP130" s="70" t="str">
        <f t="shared" ref="CP130" si="1623">"InitUnitMagic('"&amp;B130&amp;"',"&amp;AP130&amp;","&amp;AQ130&amp;","&amp;AR130&amp;","&amp;AS130&amp;","&amp;AT130&amp;","&amp;AU130&amp;","&amp;AV130&amp;","&amp;AW130&amp;","&amp;BI130&amp;","&amp;BJ130&amp;")"</f>
        <v>InitUnitMagic('CS23',,,,,,,,,,)</v>
      </c>
      <c r="CQ130" s="70" t="str">
        <f t="shared" ref="CQ130" si="1624">"InitUnitAdd('"&amp;B130&amp;"',"&amp;BK130&amp;","&amp;BL130&amp;","&amp;BM130&amp;","&amp;BN130&amp;","&amp;BO130&amp;","&amp;BP130&amp;","&amp;BQ130&amp;","&amp;BR130&amp;","&amp;BS130&amp;","&amp;BT130&amp;")"</f>
        <v>InitUnitAdd('CS23',,,,,,,,,,)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InitEquipData('CS23',,"",,,,,'','','','','','',"ReplaceableTextures\\CommandButtons\\BTNI001.blp")</v>
      </c>
      <c r="CU130" s="98" t="str">
        <f t="shared" ref="CU130" si="1625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1" t="str">
        <f t="shared" ref="CV130" si="1626">T130</f>
        <v>|CffFFC92650%概率|r提升指定技能的|Cffffc926品质|r。|n|n|Cff00ff7f只能对|r|Cffffc926A级|r|Cff00ff7f及以下的技能使用。|r</v>
      </c>
      <c r="CW130" s="61"/>
      <c r="CX130" s="61"/>
      <c r="CY130" s="61"/>
      <c r="CZ130" s="61"/>
      <c r="DA130" s="61"/>
      <c r="DB130" s="72" t="str">
        <f t="shared" ref="DB130" si="1627">IF(V130="","","|n"&amp;DB$2&amp;"+"&amp;V130&amp;DB$1)</f>
        <v/>
      </c>
      <c r="DC130" s="72" t="str">
        <f t="shared" ref="DC130" si="1628">IF(W130="","","|n"&amp;DC$2&amp;"+"&amp;W130&amp;DC$1)</f>
        <v/>
      </c>
      <c r="DD130" s="72" t="str">
        <f t="shared" ref="DD130" si="1629">IF(X130="","","|n"&amp;DD$2&amp;"+"&amp;X130&amp;DD$1)</f>
        <v/>
      </c>
      <c r="DE130" s="72" t="str">
        <f t="shared" ref="DE130" si="1630">IF(Y130="","","|n"&amp;DE$2&amp;"+"&amp;Y130&amp;DE$1)</f>
        <v/>
      </c>
      <c r="DF130" s="72" t="str">
        <f t="shared" ref="DF130" si="1631">IF(Z130="","","|n"&amp;DF$2&amp;"+"&amp;Z130&amp;DF$1)</f>
        <v/>
      </c>
      <c r="DG130" s="72" t="str">
        <f t="shared" ref="DG130" si="1632">IF(AA130="","","|n"&amp;DG$2&amp;"+"&amp;AA130&amp;DG$1)</f>
        <v/>
      </c>
      <c r="DH130" s="72" t="str">
        <f t="shared" ref="DH130" si="1633">IF(AB130="","","|n"&amp;DH$2&amp;"+"&amp;AB130&amp;DH$1)</f>
        <v/>
      </c>
      <c r="DI130" s="72" t="str">
        <f t="shared" ref="DI130" si="1634">IF(AC130="","","|n"&amp;DI$2&amp;"+"&amp;AC130&amp;DI$1)</f>
        <v/>
      </c>
      <c r="DJ130" s="72" t="str">
        <f t="shared" ref="DJ130" si="1635">IF(AD130="","","|n"&amp;DJ$2&amp;"+"&amp;AD130&amp;DJ$1)</f>
        <v/>
      </c>
      <c r="DK130" s="72" t="str">
        <f t="shared" ref="DK130" si="1636">IF(AE130="","","|n"&amp;DK$2&amp;"+"&amp;AE130&amp;DK$1)</f>
        <v/>
      </c>
      <c r="DL130" s="72" t="str">
        <f t="shared" ref="DL130" si="1637">IF(AF130="","","|n"&amp;DL$2&amp;"+"&amp;AF130&amp;DL$1)</f>
        <v/>
      </c>
      <c r="DM130" s="72" t="str">
        <f t="shared" ref="DM130" si="1638">IF(AG130="","","|n"&amp;DM$2&amp;"+"&amp;AG130&amp;DM$1)</f>
        <v/>
      </c>
      <c r="DN130" s="72" t="str">
        <f t="shared" ref="DN130" si="1639">IF(AH130="","","|n"&amp;DN$2&amp;"+"&amp;AH130&amp;DN$1)</f>
        <v/>
      </c>
      <c r="DO130" s="72" t="str">
        <f t="shared" ref="DO130" si="1640">IF(AI130="","","|n"&amp;DO$2&amp;"+"&amp;AI130&amp;DO$1)</f>
        <v/>
      </c>
      <c r="DP130" s="72" t="str">
        <f t="shared" ref="DP130" si="1641">IF(AJ130="","","|n"&amp;DP$2&amp;"+"&amp;AJ130&amp;DP$1)</f>
        <v/>
      </c>
      <c r="DQ130" s="72" t="str">
        <f t="shared" ref="DQ130" si="1642">IF(AK130="","","|n"&amp;DQ$2&amp;"+"&amp;AK130&amp;DQ$1)</f>
        <v/>
      </c>
      <c r="DR130" s="72" t="str">
        <f t="shared" ref="DR130" si="1643">IF(AL130="","","|n"&amp;DR$2&amp;"+"&amp;AL130&amp;DR$1)</f>
        <v/>
      </c>
      <c r="DS130" s="72" t="str">
        <f t="shared" ref="DS130" si="1644">IF(AM130="","","|n"&amp;DS$2&amp;"+"&amp;AM130&amp;DS$1)</f>
        <v/>
      </c>
      <c r="DT130" s="72" t="str">
        <f t="shared" ref="DT130" si="1645">IF(AN130="","","|n"&amp;DT$2&amp;"+"&amp;AN130&amp;DT$1)</f>
        <v/>
      </c>
      <c r="DU130" s="72" t="str">
        <f t="shared" ref="DU130" si="1646">IF(AO130="","","|n"&amp;DU$2&amp;"+"&amp;AO130&amp;DU$1)</f>
        <v/>
      </c>
      <c r="DV130" s="72" t="str">
        <f t="shared" ref="DV130" si="1647">IF(AP130="","","|n"&amp;DV$2&amp;"+"&amp;AP130&amp;DV$1)</f>
        <v/>
      </c>
      <c r="DW130" s="72" t="str">
        <f t="shared" ref="DW130" si="1648">IF(AQ130="","","|n"&amp;DW$2&amp;"+"&amp;AQ130&amp;DW$1)</f>
        <v/>
      </c>
      <c r="DX130" s="72" t="str">
        <f t="shared" ref="DX130" si="1649">IF(AR130="","","|n"&amp;DX$2&amp;"+"&amp;AR130&amp;DX$1)</f>
        <v/>
      </c>
      <c r="DY130" s="72" t="str">
        <f t="shared" ref="DY130" si="1650">IF(AS130="","","|n"&amp;DY$2&amp;"+"&amp;AS130&amp;DY$1)</f>
        <v/>
      </c>
      <c r="DZ130" s="72" t="str">
        <f t="shared" ref="DZ130" si="1651">IF(AT130="","","|n"&amp;DZ$2&amp;"+"&amp;AT130&amp;DZ$1)</f>
        <v/>
      </c>
      <c r="EA130" s="72" t="str">
        <f t="shared" ref="EA130" si="1652">IF(AU130="","","|n"&amp;EA$2&amp;"+"&amp;AU130&amp;EA$1)</f>
        <v/>
      </c>
      <c r="EB130" s="72" t="str">
        <f t="shared" ref="EB130" si="1653">IF(AV130="","","|n"&amp;EB$2&amp;"+"&amp;AV130&amp;EB$1)</f>
        <v/>
      </c>
      <c r="EC130" s="72" t="str">
        <f t="shared" ref="EC130" si="1654">IF(AW130="","","|n"&amp;EC$2&amp;"+"&amp;AW130&amp;EC$1)</f>
        <v/>
      </c>
      <c r="ED130" s="72" t="str">
        <f t="shared" ref="ED130" si="1655">IF(AX130="","","|n"&amp;ED$2&amp;"+"&amp;AX130&amp;ED$1)</f>
        <v/>
      </c>
      <c r="EE130" s="72" t="str">
        <f t="shared" ref="EE130" si="1656">IF(AY130="","","|n"&amp;EE$2&amp;"+"&amp;AY130&amp;EE$1)</f>
        <v/>
      </c>
      <c r="EF130" s="72" t="str">
        <f t="shared" ref="EF130" si="1657">IF(AZ130="","","|n"&amp;EF$2&amp;"+"&amp;AZ130&amp;EF$1)</f>
        <v/>
      </c>
      <c r="EG130" s="72" t="str">
        <f t="shared" ref="EG130" si="1658">IF(BA130="","","|n"&amp;EG$2&amp;"+"&amp;BA130&amp;EG$1)</f>
        <v/>
      </c>
      <c r="EH130" s="72" t="str">
        <f t="shared" ref="EH130" si="1659">IF(BB130="","","|n"&amp;EH$2&amp;"+"&amp;BB130&amp;EH$1)</f>
        <v/>
      </c>
      <c r="EI130" s="72" t="str">
        <f t="shared" ref="EI130" si="1660">IF(BC130="","","|n"&amp;EI$2&amp;"+"&amp;BC130&amp;EI$1)</f>
        <v/>
      </c>
      <c r="EJ130" s="72" t="str">
        <f t="shared" ref="EJ130" si="1661">IF(BD130="","","|n"&amp;EJ$2&amp;"+"&amp;BD130&amp;EJ$1)</f>
        <v/>
      </c>
      <c r="EK130" s="72" t="str">
        <f t="shared" ref="EK130" si="1662">IF(BE130="","","|n"&amp;EK$2&amp;"+"&amp;BE130&amp;EK$1)</f>
        <v/>
      </c>
      <c r="EL130" s="72" t="str">
        <f t="shared" ref="EL130" si="1663">IF(BF130="","","|n"&amp;EL$2&amp;"+"&amp;BF130&amp;EL$1)</f>
        <v/>
      </c>
      <c r="EM130" s="72" t="str">
        <f t="shared" ref="EM130" si="1664">IF(BG130="","","|n"&amp;EM$2&amp;"+"&amp;BG130&amp;EM$1)</f>
        <v/>
      </c>
      <c r="EN130" s="72" t="str">
        <f t="shared" ref="EN130" si="1665">IF(BH130="","","|n"&amp;EN$2&amp;"+"&amp;BH130&amp;EN$1)</f>
        <v/>
      </c>
      <c r="EO130" s="72" t="str">
        <f t="shared" ref="EO130" si="1666">IF(BI130="","","|n"&amp;EO$2&amp;"+"&amp;BI130&amp;EO$1)</f>
        <v/>
      </c>
      <c r="EP130" s="72" t="str">
        <f t="shared" ref="EP130" si="1667">IF(BJ130="","","|n"&amp;EP$2&amp;"+"&amp;BJ130&amp;EP$1)</f>
        <v/>
      </c>
      <c r="EQ130" s="72" t="str">
        <f t="shared" ref="EQ130" si="1668">IF(BK130="","","|n"&amp;EQ$2&amp;"+"&amp;BK130&amp;EQ$1)</f>
        <v/>
      </c>
      <c r="ER130" s="72" t="str">
        <f t="shared" ref="ER130" si="1669">IF(BL130="","","|n"&amp;ER$2&amp;"+"&amp;BL130&amp;ER$1)</f>
        <v/>
      </c>
      <c r="ES130" s="72" t="str">
        <f t="shared" ref="ES130" si="1670">IF(BM130="","","|n"&amp;ES$2&amp;"+"&amp;BM130&amp;ES$1)</f>
        <v/>
      </c>
      <c r="ET130" s="72" t="str">
        <f t="shared" ref="ET130" si="1671">IF(BN130="","","|n"&amp;ET$2&amp;"+"&amp;BN130&amp;ET$1)</f>
        <v/>
      </c>
      <c r="EU130" s="72" t="str">
        <f t="shared" ref="EU130" si="1672">IF(BO130="","","|n"&amp;EU$2&amp;"+"&amp;BO130&amp;EU$1)</f>
        <v/>
      </c>
      <c r="EV130" s="72" t="str">
        <f t="shared" ref="EV130" si="1673">IF(BP130="","","|n"&amp;EV$2&amp;"+"&amp;BP130&amp;EV$1)</f>
        <v/>
      </c>
      <c r="EW130" s="72" t="str">
        <f t="shared" ref="EW130" si="1674">IF(BQ130="","","|n"&amp;EW$2&amp;"+"&amp;BQ130&amp;EW$1)</f>
        <v/>
      </c>
      <c r="EX130" s="72" t="str">
        <f t="shared" ref="EX130" si="1675">IF(BR130="","","|n"&amp;EX$2&amp;"+"&amp;BR130&amp;EX$1)</f>
        <v/>
      </c>
      <c r="EY130" s="72" t="str">
        <f t="shared" ref="EY130" si="1676">IF(BS130="","","|n"&amp;EY$2&amp;"+"&amp;BS130&amp;EY$1)</f>
        <v/>
      </c>
      <c r="EZ130" s="72" t="str">
        <f t="shared" ref="EZ130" si="1677">IF(BT130="","","|n"&amp;EZ$2&amp;"+"&amp;BT130&amp;EZ$1)</f>
        <v/>
      </c>
      <c r="FA130" s="72" t="str">
        <f t="shared" ref="FA130" si="1678">IF(BU130="","","|n"&amp;FA$2&amp;"+"&amp;BU130&amp;FA$1)</f>
        <v/>
      </c>
      <c r="FB130" s="72" t="str">
        <f t="shared" ref="FB130" si="1679">IF(BV130="","","|n"&amp;FB$2&amp;"+"&amp;BV130&amp;FB$1)</f>
        <v/>
      </c>
      <c r="FC130" s="72" t="str">
        <f t="shared" ref="FC130" si="1680">IF(BW130="","","|n"&amp;FC$2&amp;"+"&amp;BW130&amp;FC$1)</f>
        <v/>
      </c>
      <c r="FD130" s="72" t="str">
        <f t="shared" ref="FD130" si="1681">IF(BX130="","","|n"&amp;FD$2&amp;"+"&amp;BX130&amp;FD$1)</f>
        <v/>
      </c>
      <c r="FE130" s="72" t="str">
        <f t="shared" ref="FE130" si="1682">IF(BY130="","","|n"&amp;FE$2&amp;"+"&amp;BY130&amp;FE$1)</f>
        <v/>
      </c>
      <c r="FF130" s="72" t="str">
        <f t="shared" ref="FF130" si="1683">IF(BZ130="","","|n"&amp;FF$2&amp;"+"&amp;BZ130&amp;FF$1)</f>
        <v/>
      </c>
      <c r="FG130" s="72" t="str">
        <f t="shared" ref="FG130" si="1684">IF(CA130="","","|n"&amp;FG$2&amp;"+"&amp;CA130&amp;FG$1)</f>
        <v/>
      </c>
      <c r="FH130" s="72" t="str">
        <f t="shared" ref="FH130" si="1685">IF(CB130="","","|n"&amp;FH$2&amp;"+"&amp;CB130&amp;FH$1)</f>
        <v/>
      </c>
      <c r="FI130" s="72" t="str">
        <f t="shared" ref="FI130" si="1686">IF(CC130="","","|n"&amp;FI$2&amp;"+"&amp;CC130&amp;FI$1)</f>
        <v/>
      </c>
      <c r="FJ130" s="72" t="str">
        <f t="shared" ref="FJ130" si="1687">IF(CD130="","","|n"&amp;FJ$2&amp;"+"&amp;CD130&amp;FJ$1)</f>
        <v/>
      </c>
      <c r="FK130" s="72" t="str">
        <f t="shared" ref="FK130" si="1688">IF(CE130="","","|n"&amp;FK$2&amp;"+"&amp;CE130&amp;FK$1)</f>
        <v/>
      </c>
      <c r="FL130" s="72" t="str">
        <f t="shared" ref="FL130" si="1689">IF(CF130="","","|n"&amp;FL$2&amp;"+"&amp;CF130&amp;FL$1)</f>
        <v/>
      </c>
      <c r="FM130" s="72" t="str">
        <f t="shared" ref="FM130" si="1690">IF(CG130="","","|n"&amp;FM$2&amp;"+"&amp;CG130&amp;FM$1)</f>
        <v/>
      </c>
      <c r="FN130" s="72" t="str">
        <f t="shared" ref="FN130" si="1691">IF(CH130="","","|n"&amp;FN$2&amp;"+"&amp;CH130&amp;FN$1)</f>
        <v/>
      </c>
      <c r="FO130" s="72" t="str">
        <f t="shared" ref="FO130" si="1692">IF(CI130="","","|n"&amp;FO$2&amp;"+"&amp;CI130&amp;FO$1)</f>
        <v/>
      </c>
      <c r="FP130" s="72" t="str">
        <f t="shared" ref="FP130" si="1693">IF(CJ130="","","|n"&amp;FP$2&amp;"+"&amp;CJ130&amp;FP$1)</f>
        <v/>
      </c>
      <c r="FQ130" s="72" t="str">
        <f t="shared" ref="FQ130" si="1694">IF(CK130="","","|n"&amp;FQ$2&amp;"+"&amp;CK130&amp;FQ$1)</f>
        <v/>
      </c>
      <c r="FR130" s="72" t="str">
        <f t="shared" ref="FR130" si="1695">IF(CL130="","","|n"&amp;FR$2&amp;"+"&amp;CL130&amp;FR$1)</f>
        <v/>
      </c>
      <c r="FS130" s="72" t="str">
        <f t="shared" ref="FS130" si="1696">IF(CM130="","","|n"&amp;FS$2&amp;"+"&amp;CM130&amp;FS$1)</f>
        <v/>
      </c>
    </row>
    <row r="131" spans="1:175" ht="15">
      <c r="A131" s="104"/>
      <c r="B131" s="104" t="s">
        <v>503</v>
      </c>
      <c r="C131" s="104" t="s">
        <v>495</v>
      </c>
      <c r="T131" s="104"/>
      <c r="U131" s="88" t="s">
        <v>489</v>
      </c>
      <c r="CN131" s="70" t="str">
        <f t="shared" ref="CN131" si="1697">"InitUnitState('"&amp;B131&amp;"',"&amp;V131&amp;","&amp;W131&amp;","&amp;X131&amp;","&amp;Y131&amp;","&amp;Z131&amp;","&amp;AA131&amp;","&amp;AB131&amp;","&amp;AC131&amp;","&amp;AD131&amp;","&amp;AE131&amp;")"</f>
        <v>InitUnitState('CS24',,,,,,,,,,)</v>
      </c>
      <c r="CO131" s="70" t="str">
        <f t="shared" ref="CO131" si="1698">"InitUnitNormal('"&amp;B131&amp;"',"&amp;AF131&amp;","&amp;AG131&amp;","&amp;AH131&amp;","&amp;AI131&amp;","&amp;AJ131&amp;","&amp;AK131&amp;","&amp;AL131&amp;","&amp;AM131&amp;","&amp;AN131&amp;","&amp;AO131&amp;")"</f>
        <v>InitUnitNormal('CS24',,,,,,,,,,)</v>
      </c>
      <c r="CP131" s="70" t="str">
        <f t="shared" ref="CP131" si="1699">"InitUnitMagic('"&amp;B131&amp;"',"&amp;AP131&amp;","&amp;AQ131&amp;","&amp;AR131&amp;","&amp;AS131&amp;","&amp;AT131&amp;","&amp;AU131&amp;","&amp;AV131&amp;","&amp;AW131&amp;","&amp;BI131&amp;","&amp;BJ131&amp;")"</f>
        <v>InitUnitMagic('CS24',,,,,,,,,,)</v>
      </c>
      <c r="CQ131" s="70" t="str">
        <f t="shared" ref="CQ131" si="1700">"InitUnitAdd('"&amp;B131&amp;"',"&amp;BK131&amp;","&amp;BL131&amp;","&amp;BM131&amp;","&amp;BN131&amp;","&amp;BO131&amp;","&amp;BP131&amp;","&amp;BQ131&amp;","&amp;BR131&amp;","&amp;BS131&amp;","&amp;BT131&amp;")"</f>
        <v>InitUnitAdd('CS24',,,,,,,,,,)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InitEquipData('CS24',,"",,,,,'','','','','','',"ReplaceableTextures\\CommandButtons\\BTNI002.blp")</v>
      </c>
      <c r="CU131" s="98" t="str">
        <f t="shared" ref="CU131" si="1701">CONCATENATE(DB131,DC131,DD131,DE131,DF131,DG131,DH131,DI131,DJ131,DK131,DL131,DM131,DN131,DO131,DP131,DQ131,DR131,DS131,DT131,DU131,DV131,DW131,DX131,DY131,DZ131,EA131,EB131,EC131,ED131,EE131,EF131,EG131,EH131,EI131,EJ131,EK131,EL131,EM131,EN131,EO131,EP131&amp;"|n")</f>
        <v>|n</v>
      </c>
      <c r="CV131" s="71">
        <f t="shared" ref="CV131" si="1702">T131</f>
        <v>0</v>
      </c>
      <c r="CW131" s="61"/>
      <c r="CX131" s="61"/>
      <c r="CY131" s="61"/>
      <c r="CZ131" s="61"/>
      <c r="DA131" s="61"/>
      <c r="DB131" s="72" t="str">
        <f t="shared" ref="DB131" si="1703">IF(V131="","","|n"&amp;DB$2&amp;"+"&amp;V131&amp;DB$1)</f>
        <v/>
      </c>
      <c r="DC131" s="72" t="str">
        <f t="shared" ref="DC131" si="1704">IF(W131="","","|n"&amp;DC$2&amp;"+"&amp;W131&amp;DC$1)</f>
        <v/>
      </c>
      <c r="DD131" s="72" t="str">
        <f t="shared" ref="DD131" si="1705">IF(X131="","","|n"&amp;DD$2&amp;"+"&amp;X131&amp;DD$1)</f>
        <v/>
      </c>
      <c r="DE131" s="72" t="str">
        <f t="shared" ref="DE131" si="1706">IF(Y131="","","|n"&amp;DE$2&amp;"+"&amp;Y131&amp;DE$1)</f>
        <v/>
      </c>
      <c r="DF131" s="72" t="str">
        <f t="shared" ref="DF131" si="1707">IF(Z131="","","|n"&amp;DF$2&amp;"+"&amp;Z131&amp;DF$1)</f>
        <v/>
      </c>
      <c r="DG131" s="72" t="str">
        <f t="shared" ref="DG131" si="1708">IF(AA131="","","|n"&amp;DG$2&amp;"+"&amp;AA131&amp;DG$1)</f>
        <v/>
      </c>
      <c r="DH131" s="72" t="str">
        <f t="shared" ref="DH131" si="1709">IF(AB131="","","|n"&amp;DH$2&amp;"+"&amp;AB131&amp;DH$1)</f>
        <v/>
      </c>
      <c r="DI131" s="72" t="str">
        <f t="shared" ref="DI131" si="1710">IF(AC131="","","|n"&amp;DI$2&amp;"+"&amp;AC131&amp;DI$1)</f>
        <v/>
      </c>
      <c r="DJ131" s="72" t="str">
        <f t="shared" ref="DJ131" si="1711">IF(AD131="","","|n"&amp;DJ$2&amp;"+"&amp;AD131&amp;DJ$1)</f>
        <v/>
      </c>
      <c r="DK131" s="72" t="str">
        <f t="shared" ref="DK131" si="1712">IF(AE131="","","|n"&amp;DK$2&amp;"+"&amp;AE131&amp;DK$1)</f>
        <v/>
      </c>
      <c r="DL131" s="72" t="str">
        <f t="shared" ref="DL131" si="1713">IF(AF131="","","|n"&amp;DL$2&amp;"+"&amp;AF131&amp;DL$1)</f>
        <v/>
      </c>
      <c r="DM131" s="72" t="str">
        <f t="shared" ref="DM131" si="1714">IF(AG131="","","|n"&amp;DM$2&amp;"+"&amp;AG131&amp;DM$1)</f>
        <v/>
      </c>
      <c r="DN131" s="72" t="str">
        <f t="shared" ref="DN131" si="1715">IF(AH131="","","|n"&amp;DN$2&amp;"+"&amp;AH131&amp;DN$1)</f>
        <v/>
      </c>
      <c r="DO131" s="72" t="str">
        <f t="shared" ref="DO131" si="1716">IF(AI131="","","|n"&amp;DO$2&amp;"+"&amp;AI131&amp;DO$1)</f>
        <v/>
      </c>
      <c r="DP131" s="72" t="str">
        <f t="shared" ref="DP131" si="1717">IF(AJ131="","","|n"&amp;DP$2&amp;"+"&amp;AJ131&amp;DP$1)</f>
        <v/>
      </c>
      <c r="DQ131" s="72" t="str">
        <f t="shared" ref="DQ131" si="1718">IF(AK131="","","|n"&amp;DQ$2&amp;"+"&amp;AK131&amp;DQ$1)</f>
        <v/>
      </c>
      <c r="DR131" s="72" t="str">
        <f t="shared" ref="DR131" si="1719">IF(AL131="","","|n"&amp;DR$2&amp;"+"&amp;AL131&amp;DR$1)</f>
        <v/>
      </c>
      <c r="DS131" s="72" t="str">
        <f t="shared" ref="DS131" si="1720">IF(AM131="","","|n"&amp;DS$2&amp;"+"&amp;AM131&amp;DS$1)</f>
        <v/>
      </c>
      <c r="DT131" s="72" t="str">
        <f t="shared" ref="DT131" si="1721">IF(AN131="","","|n"&amp;DT$2&amp;"+"&amp;AN131&amp;DT$1)</f>
        <v/>
      </c>
      <c r="DU131" s="72" t="str">
        <f t="shared" ref="DU131" si="1722">IF(AO131="","","|n"&amp;DU$2&amp;"+"&amp;AO131&amp;DU$1)</f>
        <v/>
      </c>
      <c r="DV131" s="72" t="str">
        <f t="shared" ref="DV131" si="1723">IF(AP131="","","|n"&amp;DV$2&amp;"+"&amp;AP131&amp;DV$1)</f>
        <v/>
      </c>
      <c r="DW131" s="72" t="str">
        <f t="shared" ref="DW131" si="1724">IF(AQ131="","","|n"&amp;DW$2&amp;"+"&amp;AQ131&amp;DW$1)</f>
        <v/>
      </c>
      <c r="DX131" s="72" t="str">
        <f t="shared" ref="DX131" si="1725">IF(AR131="","","|n"&amp;DX$2&amp;"+"&amp;AR131&amp;DX$1)</f>
        <v/>
      </c>
      <c r="DY131" s="72" t="str">
        <f t="shared" ref="DY131" si="1726">IF(AS131="","","|n"&amp;DY$2&amp;"+"&amp;AS131&amp;DY$1)</f>
        <v/>
      </c>
      <c r="DZ131" s="72" t="str">
        <f t="shared" ref="DZ131" si="1727">IF(AT131="","","|n"&amp;DZ$2&amp;"+"&amp;AT131&amp;DZ$1)</f>
        <v/>
      </c>
      <c r="EA131" s="72" t="str">
        <f t="shared" ref="EA131" si="1728">IF(AU131="","","|n"&amp;EA$2&amp;"+"&amp;AU131&amp;EA$1)</f>
        <v/>
      </c>
      <c r="EB131" s="72" t="str">
        <f t="shared" ref="EB131" si="1729">IF(AV131="","","|n"&amp;EB$2&amp;"+"&amp;AV131&amp;EB$1)</f>
        <v/>
      </c>
      <c r="EC131" s="72" t="str">
        <f t="shared" ref="EC131" si="1730">IF(AW131="","","|n"&amp;EC$2&amp;"+"&amp;AW131&amp;EC$1)</f>
        <v/>
      </c>
      <c r="ED131" s="72" t="str">
        <f t="shared" ref="ED131" si="1731">IF(AX131="","","|n"&amp;ED$2&amp;"+"&amp;AX131&amp;ED$1)</f>
        <v/>
      </c>
      <c r="EE131" s="72" t="str">
        <f t="shared" ref="EE131" si="1732">IF(AY131="","","|n"&amp;EE$2&amp;"+"&amp;AY131&amp;EE$1)</f>
        <v/>
      </c>
      <c r="EF131" s="72" t="str">
        <f t="shared" ref="EF131" si="1733">IF(AZ131="","","|n"&amp;EF$2&amp;"+"&amp;AZ131&amp;EF$1)</f>
        <v/>
      </c>
      <c r="EG131" s="72" t="str">
        <f t="shared" ref="EG131" si="1734">IF(BA131="","","|n"&amp;EG$2&amp;"+"&amp;BA131&amp;EG$1)</f>
        <v/>
      </c>
      <c r="EH131" s="72" t="str">
        <f t="shared" ref="EH131" si="1735">IF(BB131="","","|n"&amp;EH$2&amp;"+"&amp;BB131&amp;EH$1)</f>
        <v/>
      </c>
      <c r="EI131" s="72" t="str">
        <f t="shared" ref="EI131" si="1736">IF(BC131="","","|n"&amp;EI$2&amp;"+"&amp;BC131&amp;EI$1)</f>
        <v/>
      </c>
      <c r="EJ131" s="72" t="str">
        <f t="shared" ref="EJ131" si="1737">IF(BD131="","","|n"&amp;EJ$2&amp;"+"&amp;BD131&amp;EJ$1)</f>
        <v/>
      </c>
      <c r="EK131" s="72" t="str">
        <f t="shared" ref="EK131" si="1738">IF(BE131="","","|n"&amp;EK$2&amp;"+"&amp;BE131&amp;EK$1)</f>
        <v/>
      </c>
      <c r="EL131" s="72" t="str">
        <f t="shared" ref="EL131" si="1739">IF(BF131="","","|n"&amp;EL$2&amp;"+"&amp;BF131&amp;EL$1)</f>
        <v/>
      </c>
      <c r="EM131" s="72" t="str">
        <f t="shared" ref="EM131" si="1740">IF(BG131="","","|n"&amp;EM$2&amp;"+"&amp;BG131&amp;EM$1)</f>
        <v/>
      </c>
      <c r="EN131" s="72" t="str">
        <f t="shared" ref="EN131" si="1741">IF(BH131="","","|n"&amp;EN$2&amp;"+"&amp;BH131&amp;EN$1)</f>
        <v/>
      </c>
      <c r="EO131" s="72" t="str">
        <f t="shared" ref="EO131" si="1742">IF(BI131="","","|n"&amp;EO$2&amp;"+"&amp;BI131&amp;EO$1)</f>
        <v/>
      </c>
      <c r="EP131" s="72" t="str">
        <f t="shared" ref="EP131" si="1743">IF(BJ131="","","|n"&amp;EP$2&amp;"+"&amp;BJ131&amp;EP$1)</f>
        <v/>
      </c>
      <c r="EQ131" s="72" t="str">
        <f t="shared" ref="EQ131" si="1744">IF(BK131="","","|n"&amp;EQ$2&amp;"+"&amp;BK131&amp;EQ$1)</f>
        <v/>
      </c>
      <c r="ER131" s="72" t="str">
        <f t="shared" ref="ER131" si="1745">IF(BL131="","","|n"&amp;ER$2&amp;"+"&amp;BL131&amp;ER$1)</f>
        <v/>
      </c>
      <c r="ES131" s="72" t="str">
        <f t="shared" ref="ES131" si="1746">IF(BM131="","","|n"&amp;ES$2&amp;"+"&amp;BM131&amp;ES$1)</f>
        <v/>
      </c>
      <c r="ET131" s="72" t="str">
        <f t="shared" ref="ET131" si="1747">IF(BN131="","","|n"&amp;ET$2&amp;"+"&amp;BN131&amp;ET$1)</f>
        <v/>
      </c>
      <c r="EU131" s="72" t="str">
        <f t="shared" ref="EU131" si="1748">IF(BO131="","","|n"&amp;EU$2&amp;"+"&amp;BO131&amp;EU$1)</f>
        <v/>
      </c>
      <c r="EV131" s="72" t="str">
        <f t="shared" ref="EV131" si="1749">IF(BP131="","","|n"&amp;EV$2&amp;"+"&amp;BP131&amp;EV$1)</f>
        <v/>
      </c>
      <c r="EW131" s="72" t="str">
        <f t="shared" ref="EW131" si="1750">IF(BQ131="","","|n"&amp;EW$2&amp;"+"&amp;BQ131&amp;EW$1)</f>
        <v/>
      </c>
      <c r="EX131" s="72" t="str">
        <f t="shared" ref="EX131" si="1751">IF(BR131="","","|n"&amp;EX$2&amp;"+"&amp;BR131&amp;EX$1)</f>
        <v/>
      </c>
      <c r="EY131" s="72" t="str">
        <f t="shared" ref="EY131" si="1752">IF(BS131="","","|n"&amp;EY$2&amp;"+"&amp;BS131&amp;EY$1)</f>
        <v/>
      </c>
      <c r="EZ131" s="72" t="str">
        <f t="shared" ref="EZ131" si="1753">IF(BT131="","","|n"&amp;EZ$2&amp;"+"&amp;BT131&amp;EZ$1)</f>
        <v/>
      </c>
      <c r="FA131" s="72" t="str">
        <f t="shared" ref="FA131" si="1754">IF(BU131="","","|n"&amp;FA$2&amp;"+"&amp;BU131&amp;FA$1)</f>
        <v/>
      </c>
      <c r="FB131" s="72" t="str">
        <f t="shared" ref="FB131" si="1755">IF(BV131="","","|n"&amp;FB$2&amp;"+"&amp;BV131&amp;FB$1)</f>
        <v/>
      </c>
      <c r="FC131" s="72" t="str">
        <f t="shared" ref="FC131" si="1756">IF(BW131="","","|n"&amp;FC$2&amp;"+"&amp;BW131&amp;FC$1)</f>
        <v/>
      </c>
      <c r="FD131" s="72" t="str">
        <f t="shared" ref="FD131" si="1757">IF(BX131="","","|n"&amp;FD$2&amp;"+"&amp;BX131&amp;FD$1)</f>
        <v/>
      </c>
      <c r="FE131" s="72" t="str">
        <f t="shared" ref="FE131" si="1758">IF(BY131="","","|n"&amp;FE$2&amp;"+"&amp;BY131&amp;FE$1)</f>
        <v/>
      </c>
      <c r="FF131" s="72" t="str">
        <f t="shared" ref="FF131" si="1759">IF(BZ131="","","|n"&amp;FF$2&amp;"+"&amp;BZ131&amp;FF$1)</f>
        <v/>
      </c>
      <c r="FG131" s="72" t="str">
        <f t="shared" ref="FG131" si="1760">IF(CA131="","","|n"&amp;FG$2&amp;"+"&amp;CA131&amp;FG$1)</f>
        <v/>
      </c>
      <c r="FH131" s="72" t="str">
        <f t="shared" ref="FH131" si="1761">IF(CB131="","","|n"&amp;FH$2&amp;"+"&amp;CB131&amp;FH$1)</f>
        <v/>
      </c>
      <c r="FI131" s="72" t="str">
        <f t="shared" ref="FI131" si="1762">IF(CC131="","","|n"&amp;FI$2&amp;"+"&amp;CC131&amp;FI$1)</f>
        <v/>
      </c>
      <c r="FJ131" s="72" t="str">
        <f t="shared" ref="FJ131" si="1763">IF(CD131="","","|n"&amp;FJ$2&amp;"+"&amp;CD131&amp;FJ$1)</f>
        <v/>
      </c>
      <c r="FK131" s="72" t="str">
        <f t="shared" ref="FK131" si="1764">IF(CE131="","","|n"&amp;FK$2&amp;"+"&amp;CE131&amp;FK$1)</f>
        <v/>
      </c>
      <c r="FL131" s="72" t="str">
        <f t="shared" ref="FL131" si="1765">IF(CF131="","","|n"&amp;FL$2&amp;"+"&amp;CF131&amp;FL$1)</f>
        <v/>
      </c>
      <c r="FM131" s="72" t="str">
        <f t="shared" ref="FM131" si="1766">IF(CG131="","","|n"&amp;FM$2&amp;"+"&amp;CG131&amp;FM$1)</f>
        <v/>
      </c>
      <c r="FN131" s="72" t="str">
        <f t="shared" ref="FN131" si="1767">IF(CH131="","","|n"&amp;FN$2&amp;"+"&amp;CH131&amp;FN$1)</f>
        <v/>
      </c>
      <c r="FO131" s="72" t="str">
        <f t="shared" ref="FO131" si="1768">IF(CI131="","","|n"&amp;FO$2&amp;"+"&amp;CI131&amp;FO$1)</f>
        <v/>
      </c>
      <c r="FP131" s="72" t="str">
        <f t="shared" ref="FP131" si="1769">IF(CJ131="","","|n"&amp;FP$2&amp;"+"&amp;CJ131&amp;FP$1)</f>
        <v/>
      </c>
      <c r="FQ131" s="72" t="str">
        <f t="shared" ref="FQ131" si="1770">IF(CK131="","","|n"&amp;FQ$2&amp;"+"&amp;CK131&amp;FQ$1)</f>
        <v/>
      </c>
      <c r="FR131" s="72" t="str">
        <f t="shared" ref="FR131" si="1771">IF(CL131="","","|n"&amp;FR$2&amp;"+"&amp;CL131&amp;FR$1)</f>
        <v/>
      </c>
      <c r="FS131" s="72" t="str">
        <f t="shared" ref="FS131" si="1772">IF(CM131="","","|n"&amp;FS$2&amp;"+"&amp;CM131&amp;FS$1)</f>
        <v/>
      </c>
    </row>
    <row r="132" spans="1:175" ht="15">
      <c r="A132" s="116"/>
      <c r="B132" s="104" t="s">
        <v>504</v>
      </c>
      <c r="C132" s="116" t="s">
        <v>505</v>
      </c>
      <c r="T132" s="120" t="s">
        <v>506</v>
      </c>
      <c r="U132" s="88" t="str">
        <f t="shared" ref="U132:U156" si="1773">"ReplaceableTextures\\CommandButtons\\BTN"&amp;B132&amp;".blp"</f>
        <v>ReplaceableTextures\\CommandButtons\\BTNCF01.blp</v>
      </c>
      <c r="CN132" s="70" t="str">
        <f t="shared" ref="CN132:CN142" si="1774">"InitUnitState('"&amp;B132&amp;"',"&amp;V132&amp;","&amp;W132&amp;","&amp;X132&amp;","&amp;Y132&amp;","&amp;Z132&amp;","&amp;AA132&amp;","&amp;AB132&amp;","&amp;AC132&amp;","&amp;AD132&amp;","&amp;AE132&amp;")"</f>
        <v>InitUnitState('CF01',,,,,,,,,,)</v>
      </c>
      <c r="CO132" s="70" t="str">
        <f t="shared" ref="CO132:CO142" si="1775">"InitUnitNormal('"&amp;B132&amp;"',"&amp;AF132&amp;","&amp;AG132&amp;","&amp;AH132&amp;","&amp;AI132&amp;","&amp;AJ132&amp;","&amp;AK132&amp;","&amp;AL132&amp;","&amp;AM132&amp;","&amp;AN132&amp;","&amp;AO132&amp;")"</f>
        <v>InitUnitNormal('CF01',,,,,,,,,,)</v>
      </c>
      <c r="CP132" s="70" t="str">
        <f t="shared" ref="CP132:CP142" si="1776">"InitUnitMagic('"&amp;B132&amp;"',"&amp;AP132&amp;","&amp;AQ132&amp;","&amp;AR132&amp;","&amp;AS132&amp;","&amp;AT132&amp;","&amp;AU132&amp;","&amp;AV132&amp;","&amp;AW132&amp;","&amp;BI132&amp;","&amp;BJ132&amp;")"</f>
        <v>InitUnitMagic('CF01',,,,,,,,,,)</v>
      </c>
      <c r="CQ132" s="70" t="str">
        <f t="shared" ref="CQ132:CQ142" si="1777">"InitUnitAdd('"&amp;B132&amp;"',"&amp;BK132&amp;","&amp;BL132&amp;","&amp;BM132&amp;","&amp;BN132&amp;","&amp;BO132&amp;","&amp;BP132&amp;","&amp;BQ132&amp;","&amp;BR132&amp;","&amp;BS132&amp;","&amp;BT132&amp;")"</f>
        <v>InitUnitAdd('CF01',,,,,,,,,,)</v>
      </c>
      <c r="CR132" s="70" t="e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#REF!&amp;CR$1&amp;")"</f>
        <v>#REF!</v>
      </c>
      <c r="CU132" s="98" t="str">
        <f t="shared" ref="CU132:CU133" si="1778">CONCATENATE(DB132,DC132,DD132,DE132,DF132,DG132,DH132,DI132,DJ132,DK132,DL132,DM132,DN132,DO132,DP132,DQ132,DR132,DS132,DT132,DU132,DV132,DW132,DX132,DY132,DZ132,EA132,EB132,EC132,ED132,EE132,EF132,EG132,EH132,EI132,EJ132,EK132,EL132,EM132,EN132,EO132,EP132&amp;"|n")</f>
        <v>|n</v>
      </c>
      <c r="CV132" s="71" t="str">
        <f t="shared" ref="CV132:CV133" si="1779">T132</f>
        <v>获得一个随机品质的|Cffffc926法宝|r。</v>
      </c>
      <c r="CW132" s="61"/>
      <c r="CX132" s="61"/>
      <c r="CY132" s="61"/>
      <c r="CZ132" s="61"/>
      <c r="DA132" s="61"/>
      <c r="DB132" s="72" t="str">
        <f t="shared" ref="DB132:DB133" si="1780">IF(V132="","","|n"&amp;DB$2&amp;"+"&amp;V132&amp;DB$1)</f>
        <v/>
      </c>
      <c r="DC132" s="72" t="str">
        <f t="shared" ref="DC132:DC133" si="1781">IF(W132="","","|n"&amp;DC$2&amp;"+"&amp;W132&amp;DC$1)</f>
        <v/>
      </c>
      <c r="DD132" s="72" t="str">
        <f t="shared" ref="DD132:DD133" si="1782">IF(X132="","","|n"&amp;DD$2&amp;"+"&amp;X132&amp;DD$1)</f>
        <v/>
      </c>
      <c r="DE132" s="72" t="str">
        <f t="shared" ref="DE132:DE133" si="1783">IF(Y132="","","|n"&amp;DE$2&amp;"+"&amp;Y132&amp;DE$1)</f>
        <v/>
      </c>
      <c r="DF132" s="72" t="str">
        <f t="shared" ref="DF132:DF133" si="1784">IF(Z132="","","|n"&amp;DF$2&amp;"+"&amp;Z132&amp;DF$1)</f>
        <v/>
      </c>
      <c r="DG132" s="72" t="str">
        <f t="shared" ref="DG132:DG133" si="1785">IF(AA132="","","|n"&amp;DG$2&amp;"+"&amp;AA132&amp;DG$1)</f>
        <v/>
      </c>
      <c r="DH132" s="72" t="str">
        <f t="shared" ref="DH132:DH133" si="1786">IF(AB132="","","|n"&amp;DH$2&amp;"+"&amp;AB132&amp;DH$1)</f>
        <v/>
      </c>
      <c r="DI132" s="72" t="str">
        <f t="shared" ref="DI132:DI133" si="1787">IF(AC132="","","|n"&amp;DI$2&amp;"+"&amp;AC132&amp;DI$1)</f>
        <v/>
      </c>
      <c r="DJ132" s="72" t="str">
        <f t="shared" ref="DJ132:DJ133" si="1788">IF(AD132="","","|n"&amp;DJ$2&amp;"+"&amp;AD132&amp;DJ$1)</f>
        <v/>
      </c>
      <c r="DK132" s="72" t="str">
        <f t="shared" ref="DK132:DK133" si="1789">IF(AE132="","","|n"&amp;DK$2&amp;"+"&amp;AE132&amp;DK$1)</f>
        <v/>
      </c>
      <c r="DL132" s="72" t="str">
        <f t="shared" ref="DL132:DL133" si="1790">IF(AF132="","","|n"&amp;DL$2&amp;"+"&amp;AF132&amp;DL$1)</f>
        <v/>
      </c>
      <c r="DM132" s="72" t="str">
        <f t="shared" ref="DM132:DM133" si="1791">IF(AG132="","","|n"&amp;DM$2&amp;"+"&amp;AG132&amp;DM$1)</f>
        <v/>
      </c>
      <c r="DN132" s="72" t="str">
        <f t="shared" ref="DN132:DN133" si="1792">IF(AH132="","","|n"&amp;DN$2&amp;"+"&amp;AH132&amp;DN$1)</f>
        <v/>
      </c>
      <c r="DO132" s="72" t="str">
        <f t="shared" ref="DO132:DO133" si="1793">IF(AI132="","","|n"&amp;DO$2&amp;"+"&amp;AI132&amp;DO$1)</f>
        <v/>
      </c>
      <c r="DP132" s="72" t="str">
        <f t="shared" ref="DP132:DP133" si="1794">IF(AJ132="","","|n"&amp;DP$2&amp;"+"&amp;AJ132&amp;DP$1)</f>
        <v/>
      </c>
      <c r="DQ132" s="72" t="str">
        <f t="shared" ref="DQ132:DQ133" si="1795">IF(AK132="","","|n"&amp;DQ$2&amp;"+"&amp;AK132&amp;DQ$1)</f>
        <v/>
      </c>
      <c r="DR132" s="72" t="str">
        <f t="shared" ref="DR132:DR133" si="1796">IF(AL132="","","|n"&amp;DR$2&amp;"+"&amp;AL132&amp;DR$1)</f>
        <v/>
      </c>
      <c r="DS132" s="72" t="str">
        <f t="shared" ref="DS132:DS133" si="1797">IF(AM132="","","|n"&amp;DS$2&amp;"+"&amp;AM132&amp;DS$1)</f>
        <v/>
      </c>
      <c r="DT132" s="72" t="str">
        <f t="shared" ref="DT132:DT133" si="1798">IF(AN132="","","|n"&amp;DT$2&amp;"+"&amp;AN132&amp;DT$1)</f>
        <v/>
      </c>
      <c r="DU132" s="72" t="str">
        <f t="shared" ref="DU132:DU133" si="1799">IF(AO132="","","|n"&amp;DU$2&amp;"+"&amp;AO132&amp;DU$1)</f>
        <v/>
      </c>
      <c r="DV132" s="72" t="str">
        <f t="shared" ref="DV132:DV133" si="1800">IF(AP132="","","|n"&amp;DV$2&amp;"+"&amp;AP132&amp;DV$1)</f>
        <v/>
      </c>
      <c r="DW132" s="72" t="str">
        <f t="shared" ref="DW132:DW133" si="1801">IF(AQ132="","","|n"&amp;DW$2&amp;"+"&amp;AQ132&amp;DW$1)</f>
        <v/>
      </c>
      <c r="DX132" s="72" t="str">
        <f t="shared" ref="DX132:DX133" si="1802">IF(AR132="","","|n"&amp;DX$2&amp;"+"&amp;AR132&amp;DX$1)</f>
        <v/>
      </c>
      <c r="DY132" s="72" t="str">
        <f t="shared" ref="DY132:DY133" si="1803">IF(AS132="","","|n"&amp;DY$2&amp;"+"&amp;AS132&amp;DY$1)</f>
        <v/>
      </c>
      <c r="DZ132" s="72" t="str">
        <f t="shared" ref="DZ132:DZ133" si="1804">IF(AT132="","","|n"&amp;DZ$2&amp;"+"&amp;AT132&amp;DZ$1)</f>
        <v/>
      </c>
      <c r="EA132" s="72" t="str">
        <f t="shared" ref="EA132:EA133" si="1805">IF(AU132="","","|n"&amp;EA$2&amp;"+"&amp;AU132&amp;EA$1)</f>
        <v/>
      </c>
      <c r="EB132" s="72" t="str">
        <f t="shared" ref="EB132:EB133" si="1806">IF(AV132="","","|n"&amp;EB$2&amp;"+"&amp;AV132&amp;EB$1)</f>
        <v/>
      </c>
      <c r="EC132" s="72" t="str">
        <f t="shared" ref="EC132:EC133" si="1807">IF(AW132="","","|n"&amp;EC$2&amp;"+"&amp;AW132&amp;EC$1)</f>
        <v/>
      </c>
      <c r="ED132" s="72" t="str">
        <f t="shared" ref="ED132:ED133" si="1808">IF(AX132="","","|n"&amp;ED$2&amp;"+"&amp;AX132&amp;ED$1)</f>
        <v/>
      </c>
      <c r="EE132" s="72" t="str">
        <f t="shared" ref="EE132:EE133" si="1809">IF(AY132="","","|n"&amp;EE$2&amp;"+"&amp;AY132&amp;EE$1)</f>
        <v/>
      </c>
      <c r="EF132" s="72" t="str">
        <f t="shared" ref="EF132:EF133" si="1810">IF(AZ132="","","|n"&amp;EF$2&amp;"+"&amp;AZ132&amp;EF$1)</f>
        <v/>
      </c>
      <c r="EG132" s="72" t="str">
        <f t="shared" ref="EG132:EG133" si="1811">IF(BA132="","","|n"&amp;EG$2&amp;"+"&amp;BA132&amp;EG$1)</f>
        <v/>
      </c>
      <c r="EH132" s="72" t="str">
        <f t="shared" ref="EH132:EH133" si="1812">IF(BB132="","","|n"&amp;EH$2&amp;"+"&amp;BB132&amp;EH$1)</f>
        <v/>
      </c>
      <c r="EI132" s="72" t="str">
        <f t="shared" ref="EI132:EI133" si="1813">IF(BC132="","","|n"&amp;EI$2&amp;"+"&amp;BC132&amp;EI$1)</f>
        <v/>
      </c>
      <c r="EJ132" s="72" t="str">
        <f t="shared" ref="EJ132:EJ133" si="1814">IF(BD132="","","|n"&amp;EJ$2&amp;"+"&amp;BD132&amp;EJ$1)</f>
        <v/>
      </c>
      <c r="EK132" s="72" t="str">
        <f t="shared" ref="EK132:EK133" si="1815">IF(BE132="","","|n"&amp;EK$2&amp;"+"&amp;BE132&amp;EK$1)</f>
        <v/>
      </c>
      <c r="EL132" s="72" t="str">
        <f t="shared" ref="EL132:EL133" si="1816">IF(BF132="","","|n"&amp;EL$2&amp;"+"&amp;BF132&amp;EL$1)</f>
        <v/>
      </c>
      <c r="EM132" s="72" t="str">
        <f t="shared" ref="EM132:EM133" si="1817">IF(BG132="","","|n"&amp;EM$2&amp;"+"&amp;BG132&amp;EM$1)</f>
        <v/>
      </c>
      <c r="EN132" s="72" t="str">
        <f t="shared" ref="EN132:EN133" si="1818">IF(BH132="","","|n"&amp;EN$2&amp;"+"&amp;BH132&amp;EN$1)</f>
        <v/>
      </c>
      <c r="EO132" s="72" t="str">
        <f t="shared" ref="EO132:EO133" si="1819">IF(BI132="","","|n"&amp;EO$2&amp;"+"&amp;BI132&amp;EO$1)</f>
        <v/>
      </c>
      <c r="EP132" s="72" t="str">
        <f t="shared" ref="EP132:EP133" si="1820">IF(BJ132="","","|n"&amp;EP$2&amp;"+"&amp;BJ132&amp;EP$1)</f>
        <v/>
      </c>
      <c r="EQ132" s="72" t="str">
        <f t="shared" ref="EQ132:EQ133" si="1821">IF(BK132="","","|n"&amp;EQ$2&amp;"+"&amp;BK132&amp;EQ$1)</f>
        <v/>
      </c>
      <c r="ER132" s="72" t="str">
        <f t="shared" ref="ER132:ER133" si="1822">IF(BL132="","","|n"&amp;ER$2&amp;"+"&amp;BL132&amp;ER$1)</f>
        <v/>
      </c>
      <c r="ES132" s="72" t="str">
        <f t="shared" ref="ES132:ES133" si="1823">IF(BM132="","","|n"&amp;ES$2&amp;"+"&amp;BM132&amp;ES$1)</f>
        <v/>
      </c>
      <c r="ET132" s="72" t="str">
        <f t="shared" ref="ET132:ET133" si="1824">IF(BN132="","","|n"&amp;ET$2&amp;"+"&amp;BN132&amp;ET$1)</f>
        <v/>
      </c>
      <c r="EU132" s="72" t="str">
        <f t="shared" ref="EU132:EU133" si="1825">IF(BO132="","","|n"&amp;EU$2&amp;"+"&amp;BO132&amp;EU$1)</f>
        <v/>
      </c>
      <c r="EV132" s="72" t="str">
        <f t="shared" ref="EV132:EV133" si="1826">IF(BP132="","","|n"&amp;EV$2&amp;"+"&amp;BP132&amp;EV$1)</f>
        <v/>
      </c>
      <c r="EW132" s="72" t="str">
        <f t="shared" ref="EW132:EW133" si="1827">IF(BQ132="","","|n"&amp;EW$2&amp;"+"&amp;BQ132&amp;EW$1)</f>
        <v/>
      </c>
      <c r="EX132" s="72" t="str">
        <f t="shared" ref="EX132:EX133" si="1828">IF(BR132="","","|n"&amp;EX$2&amp;"+"&amp;BR132&amp;EX$1)</f>
        <v/>
      </c>
      <c r="EY132" s="72" t="str">
        <f t="shared" ref="EY132:EY133" si="1829">IF(BS132="","","|n"&amp;EY$2&amp;"+"&amp;BS132&amp;EY$1)</f>
        <v/>
      </c>
      <c r="EZ132" s="72" t="str">
        <f t="shared" ref="EZ132:EZ133" si="1830">IF(BT132="","","|n"&amp;EZ$2&amp;"+"&amp;BT132&amp;EZ$1)</f>
        <v/>
      </c>
      <c r="FA132" s="72" t="str">
        <f t="shared" ref="FA132:FA133" si="1831">IF(BU132="","","|n"&amp;FA$2&amp;"+"&amp;BU132&amp;FA$1)</f>
        <v/>
      </c>
      <c r="FB132" s="72" t="str">
        <f t="shared" ref="FB132:FB133" si="1832">IF(BV132="","","|n"&amp;FB$2&amp;"+"&amp;BV132&amp;FB$1)</f>
        <v/>
      </c>
      <c r="FC132" s="72" t="str">
        <f t="shared" ref="FC132:FC133" si="1833">IF(BW132="","","|n"&amp;FC$2&amp;"+"&amp;BW132&amp;FC$1)</f>
        <v/>
      </c>
      <c r="FD132" s="72" t="str">
        <f t="shared" ref="FD132:FD133" si="1834">IF(BX132="","","|n"&amp;FD$2&amp;"+"&amp;BX132&amp;FD$1)</f>
        <v/>
      </c>
      <c r="FE132" s="72" t="str">
        <f t="shared" ref="FE132:FE133" si="1835">IF(BY132="","","|n"&amp;FE$2&amp;"+"&amp;BY132&amp;FE$1)</f>
        <v/>
      </c>
      <c r="FF132" s="72" t="str">
        <f t="shared" ref="FF132:FF133" si="1836">IF(BZ132="","","|n"&amp;FF$2&amp;"+"&amp;BZ132&amp;FF$1)</f>
        <v/>
      </c>
      <c r="FG132" s="72" t="str">
        <f t="shared" ref="FG132:FG133" si="1837">IF(CA132="","","|n"&amp;FG$2&amp;"+"&amp;CA132&amp;FG$1)</f>
        <v/>
      </c>
      <c r="FH132" s="72" t="str">
        <f t="shared" ref="FH132:FH133" si="1838">IF(CB132="","","|n"&amp;FH$2&amp;"+"&amp;CB132&amp;FH$1)</f>
        <v/>
      </c>
      <c r="FI132" s="72" t="str">
        <f t="shared" ref="FI132:FI133" si="1839">IF(CC132="","","|n"&amp;FI$2&amp;"+"&amp;CC132&amp;FI$1)</f>
        <v/>
      </c>
      <c r="FJ132" s="72" t="str">
        <f t="shared" ref="FJ132:FJ133" si="1840">IF(CD132="","","|n"&amp;FJ$2&amp;"+"&amp;CD132&amp;FJ$1)</f>
        <v/>
      </c>
      <c r="FK132" s="72" t="str">
        <f t="shared" ref="FK132:FK133" si="1841">IF(CE132="","","|n"&amp;FK$2&amp;"+"&amp;CE132&amp;FK$1)</f>
        <v/>
      </c>
      <c r="FL132" s="72" t="str">
        <f t="shared" ref="FL132:FL133" si="1842">IF(CF132="","","|n"&amp;FL$2&amp;"+"&amp;CF132&amp;FL$1)</f>
        <v/>
      </c>
      <c r="FM132" s="72" t="str">
        <f t="shared" ref="FM132:FM133" si="1843">IF(CG132="","","|n"&amp;FM$2&amp;"+"&amp;CG132&amp;FM$1)</f>
        <v/>
      </c>
      <c r="FN132" s="72" t="str">
        <f t="shared" ref="FN132:FN133" si="1844">IF(CH132="","","|n"&amp;FN$2&amp;"+"&amp;CH132&amp;FN$1)</f>
        <v/>
      </c>
      <c r="FO132" s="72" t="str">
        <f t="shared" ref="FO132:FO133" si="1845">IF(CI132="","","|n"&amp;FO$2&amp;"+"&amp;CI132&amp;FO$1)</f>
        <v/>
      </c>
      <c r="FP132" s="72" t="str">
        <f t="shared" ref="FP132:FP133" si="1846">IF(CJ132="","","|n"&amp;FP$2&amp;"+"&amp;CJ132&amp;FP$1)</f>
        <v/>
      </c>
      <c r="FQ132" s="72" t="str">
        <f t="shared" ref="FQ132:FQ133" si="1847">IF(CK132="","","|n"&amp;FQ$2&amp;"+"&amp;CK132&amp;FQ$1)</f>
        <v/>
      </c>
      <c r="FR132" s="72" t="str">
        <f t="shared" ref="FR132:FR133" si="1848">IF(CL132="","","|n"&amp;FR$2&amp;"+"&amp;CL132&amp;FR$1)</f>
        <v/>
      </c>
      <c r="FS132" s="72" t="str">
        <f t="shared" ref="FS132:FS133" si="1849">IF(CM132="","","|n"&amp;FS$2&amp;"+"&amp;CM132&amp;FS$1)</f>
        <v/>
      </c>
    </row>
    <row r="133" spans="1:175" ht="15">
      <c r="A133" s="104"/>
      <c r="B133" s="104" t="s">
        <v>507</v>
      </c>
      <c r="C133" s="104" t="s">
        <v>508</v>
      </c>
      <c r="T133" s="121" t="s">
        <v>509</v>
      </c>
      <c r="U133" s="88" t="str">
        <f t="shared" si="1773"/>
        <v>ReplaceableTextures\\CommandButtons\\BTNI001.blp</v>
      </c>
      <c r="CN133" s="70" t="str">
        <f t="shared" si="1774"/>
        <v>InitUnitState('I001',,,,,,,,,,)</v>
      </c>
      <c r="CO133" s="70" t="str">
        <f t="shared" si="1775"/>
        <v>InitUnitNormal('I001',,,,,,,,,,)</v>
      </c>
      <c r="CP133" s="70" t="str">
        <f t="shared" si="1776"/>
        <v>InitUnitMagic('I001',,,,,,,,,,)</v>
      </c>
      <c r="CQ133" s="70" t="str">
        <f t="shared" si="1777"/>
        <v>InitUnitAdd('I001',,,,,,,,,,)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179&amp;CR$1&amp;")"</f>
        <v>InitEquipData('I001',,"",,,,,'','','','','','',"ReplaceableTextures\\CommandButtons\\BTNIP01.blp")</v>
      </c>
      <c r="CU133" s="98" t="str">
        <f t="shared" si="1778"/>
        <v>|n</v>
      </c>
      <c r="CV133" s="71" t="str">
        <f t="shared" si="1779"/>
        <v>回复|Cffffd24d80%|r生命，|Cff00ff7f解除|r异常状态</v>
      </c>
      <c r="CW133" s="61"/>
      <c r="CX133" s="61"/>
      <c r="CY133" s="61"/>
      <c r="CZ133" s="61"/>
      <c r="DA133" s="61"/>
      <c r="DB133" s="72" t="str">
        <f t="shared" si="1780"/>
        <v/>
      </c>
      <c r="DC133" s="72" t="str">
        <f t="shared" si="1781"/>
        <v/>
      </c>
      <c r="DD133" s="72" t="str">
        <f t="shared" si="1782"/>
        <v/>
      </c>
      <c r="DE133" s="72" t="str">
        <f t="shared" si="1783"/>
        <v/>
      </c>
      <c r="DF133" s="72" t="str">
        <f t="shared" si="1784"/>
        <v/>
      </c>
      <c r="DG133" s="72" t="str">
        <f t="shared" si="1785"/>
        <v/>
      </c>
      <c r="DH133" s="72" t="str">
        <f t="shared" si="1786"/>
        <v/>
      </c>
      <c r="DI133" s="72" t="str">
        <f t="shared" si="1787"/>
        <v/>
      </c>
      <c r="DJ133" s="72" t="str">
        <f t="shared" si="1788"/>
        <v/>
      </c>
      <c r="DK133" s="72" t="str">
        <f t="shared" si="1789"/>
        <v/>
      </c>
      <c r="DL133" s="72" t="str">
        <f t="shared" si="1790"/>
        <v/>
      </c>
      <c r="DM133" s="72" t="str">
        <f t="shared" si="1791"/>
        <v/>
      </c>
      <c r="DN133" s="72" t="str">
        <f t="shared" si="1792"/>
        <v/>
      </c>
      <c r="DO133" s="72" t="str">
        <f t="shared" si="1793"/>
        <v/>
      </c>
      <c r="DP133" s="72" t="str">
        <f t="shared" si="1794"/>
        <v/>
      </c>
      <c r="DQ133" s="72" t="str">
        <f t="shared" si="1795"/>
        <v/>
      </c>
      <c r="DR133" s="72" t="str">
        <f t="shared" si="1796"/>
        <v/>
      </c>
      <c r="DS133" s="72" t="str">
        <f t="shared" si="1797"/>
        <v/>
      </c>
      <c r="DT133" s="72" t="str">
        <f t="shared" si="1798"/>
        <v/>
      </c>
      <c r="DU133" s="72" t="str">
        <f t="shared" si="1799"/>
        <v/>
      </c>
      <c r="DV133" s="72" t="str">
        <f t="shared" si="1800"/>
        <v/>
      </c>
      <c r="DW133" s="72" t="str">
        <f t="shared" si="1801"/>
        <v/>
      </c>
      <c r="DX133" s="72" t="str">
        <f t="shared" si="1802"/>
        <v/>
      </c>
      <c r="DY133" s="72" t="str">
        <f t="shared" si="1803"/>
        <v/>
      </c>
      <c r="DZ133" s="72" t="str">
        <f t="shared" si="1804"/>
        <v/>
      </c>
      <c r="EA133" s="72" t="str">
        <f t="shared" si="1805"/>
        <v/>
      </c>
      <c r="EB133" s="72" t="str">
        <f t="shared" si="1806"/>
        <v/>
      </c>
      <c r="EC133" s="72" t="str">
        <f t="shared" si="1807"/>
        <v/>
      </c>
      <c r="ED133" s="72" t="str">
        <f t="shared" si="1808"/>
        <v/>
      </c>
      <c r="EE133" s="72" t="str">
        <f t="shared" si="1809"/>
        <v/>
      </c>
      <c r="EF133" s="72" t="str">
        <f t="shared" si="1810"/>
        <v/>
      </c>
      <c r="EG133" s="72" t="str">
        <f t="shared" si="1811"/>
        <v/>
      </c>
      <c r="EH133" s="72" t="str">
        <f t="shared" si="1812"/>
        <v/>
      </c>
      <c r="EI133" s="72" t="str">
        <f t="shared" si="1813"/>
        <v/>
      </c>
      <c r="EJ133" s="72" t="str">
        <f t="shared" si="1814"/>
        <v/>
      </c>
      <c r="EK133" s="72" t="str">
        <f t="shared" si="1815"/>
        <v/>
      </c>
      <c r="EL133" s="72" t="str">
        <f t="shared" si="1816"/>
        <v/>
      </c>
      <c r="EM133" s="72" t="str">
        <f t="shared" si="1817"/>
        <v/>
      </c>
      <c r="EN133" s="72" t="str">
        <f t="shared" si="1818"/>
        <v/>
      </c>
      <c r="EO133" s="72" t="str">
        <f t="shared" si="1819"/>
        <v/>
      </c>
      <c r="EP133" s="72" t="str">
        <f t="shared" si="1820"/>
        <v/>
      </c>
      <c r="EQ133" s="72" t="str">
        <f t="shared" si="1821"/>
        <v/>
      </c>
      <c r="ER133" s="72" t="str">
        <f t="shared" si="1822"/>
        <v/>
      </c>
      <c r="ES133" s="72" t="str">
        <f t="shared" si="1823"/>
        <v/>
      </c>
      <c r="ET133" s="72" t="str">
        <f t="shared" si="1824"/>
        <v/>
      </c>
      <c r="EU133" s="72" t="str">
        <f t="shared" si="1825"/>
        <v/>
      </c>
      <c r="EV133" s="72" t="str">
        <f t="shared" si="1826"/>
        <v/>
      </c>
      <c r="EW133" s="72" t="str">
        <f t="shared" si="1827"/>
        <v/>
      </c>
      <c r="EX133" s="72" t="str">
        <f t="shared" si="1828"/>
        <v/>
      </c>
      <c r="EY133" s="72" t="str">
        <f t="shared" si="1829"/>
        <v/>
      </c>
      <c r="EZ133" s="72" t="str">
        <f t="shared" si="1830"/>
        <v/>
      </c>
      <c r="FA133" s="72" t="str">
        <f t="shared" si="1831"/>
        <v/>
      </c>
      <c r="FB133" s="72" t="str">
        <f t="shared" si="1832"/>
        <v/>
      </c>
      <c r="FC133" s="72" t="str">
        <f t="shared" si="1833"/>
        <v/>
      </c>
      <c r="FD133" s="72" t="str">
        <f t="shared" si="1834"/>
        <v/>
      </c>
      <c r="FE133" s="72" t="str">
        <f t="shared" si="1835"/>
        <v/>
      </c>
      <c r="FF133" s="72" t="str">
        <f t="shared" si="1836"/>
        <v/>
      </c>
      <c r="FG133" s="72" t="str">
        <f t="shared" si="1837"/>
        <v/>
      </c>
      <c r="FH133" s="72" t="str">
        <f t="shared" si="1838"/>
        <v/>
      </c>
      <c r="FI133" s="72" t="str">
        <f t="shared" si="1839"/>
        <v/>
      </c>
      <c r="FJ133" s="72" t="str">
        <f t="shared" si="1840"/>
        <v/>
      </c>
      <c r="FK133" s="72" t="str">
        <f t="shared" si="1841"/>
        <v/>
      </c>
      <c r="FL133" s="72" t="str">
        <f t="shared" si="1842"/>
        <v/>
      </c>
      <c r="FM133" s="72" t="str">
        <f t="shared" si="1843"/>
        <v/>
      </c>
      <c r="FN133" s="72" t="str">
        <f t="shared" si="1844"/>
        <v/>
      </c>
      <c r="FO133" s="72" t="str">
        <f t="shared" si="1845"/>
        <v/>
      </c>
      <c r="FP133" s="72" t="str">
        <f t="shared" si="1846"/>
        <v/>
      </c>
      <c r="FQ133" s="72" t="str">
        <f t="shared" si="1847"/>
        <v/>
      </c>
      <c r="FR133" s="72" t="str">
        <f t="shared" si="1848"/>
        <v/>
      </c>
      <c r="FS133" s="72" t="str">
        <f t="shared" si="1849"/>
        <v/>
      </c>
    </row>
    <row r="134" spans="1:175" ht="15">
      <c r="A134" s="104"/>
      <c r="B134" s="104" t="s">
        <v>510</v>
      </c>
      <c r="C134" s="104" t="s">
        <v>511</v>
      </c>
      <c r="T134" s="121" t="s">
        <v>512</v>
      </c>
      <c r="U134" s="88" t="str">
        <f t="shared" si="1773"/>
        <v>ReplaceableTextures\\CommandButtons\\BTNI002.blp</v>
      </c>
      <c r="CN134" s="70" t="str">
        <f t="shared" si="1774"/>
        <v>InitUnitState('I002',,,,,,,,,,)</v>
      </c>
      <c r="CO134" s="70" t="str">
        <f t="shared" si="1775"/>
        <v>InitUnitNormal('I002',,,,,,,,,,)</v>
      </c>
      <c r="CP134" s="70" t="str">
        <f t="shared" si="1776"/>
        <v>InitUnitMagic('I002',,,,,,,,,,)</v>
      </c>
      <c r="CQ134" s="70" t="str">
        <f t="shared" si="1777"/>
        <v>InitUnitAdd('I002',,,,,,,,,,)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180&amp;CR$1&amp;")"</f>
        <v>InitEquipData('I002',,"",,,,,'','','','','','',"ReplaceableTextures\\CommandButtons\\BTNIP02.blp")</v>
      </c>
      <c r="CU134" s="98" t="str">
        <f t="shared" ref="CU134:CU135" si="1850">CONCATENATE(DB134,DC134,DD134,DE134,DF134,DG134,DH134,DI134,DJ134,DK134,DL134,DM134,DN134,DO134,DP134,DQ134,DR134,DS134,DT134,DU134,DV134,DW134,DX134,DY134,DZ134,EA134,EB134,EC134,ED134,EE134,EF134,EG134,EH134,EI134,EJ134,EK134,EL134,EM134,EN134,EO134,EP134&amp;"|n")</f>
        <v>|n</v>
      </c>
      <c r="CV134" s="71" t="str">
        <f t="shared" ref="CV134:CV135" si="1851">T134</f>
        <v>暴击|Cffff0000+10%|n|n|r|Cff00ff7f效果持续15秒。|r</v>
      </c>
      <c r="CW134" s="61"/>
      <c r="CX134" s="61"/>
      <c r="CY134" s="61"/>
      <c r="CZ134" s="61"/>
      <c r="DA134" s="61"/>
      <c r="DB134" s="72" t="str">
        <f t="shared" ref="DB134:DB135" si="1852">IF(V134="","","|n"&amp;DB$2&amp;"+"&amp;V134&amp;DB$1)</f>
        <v/>
      </c>
      <c r="DC134" s="72" t="str">
        <f t="shared" ref="DC134:DC135" si="1853">IF(W134="","","|n"&amp;DC$2&amp;"+"&amp;W134&amp;DC$1)</f>
        <v/>
      </c>
      <c r="DD134" s="72" t="str">
        <f t="shared" ref="DD134:DD135" si="1854">IF(X134="","","|n"&amp;DD$2&amp;"+"&amp;X134&amp;DD$1)</f>
        <v/>
      </c>
      <c r="DE134" s="72" t="str">
        <f t="shared" ref="DE134:DE135" si="1855">IF(Y134="","","|n"&amp;DE$2&amp;"+"&amp;Y134&amp;DE$1)</f>
        <v/>
      </c>
      <c r="DF134" s="72" t="str">
        <f t="shared" ref="DF134:DF135" si="1856">IF(Z134="","","|n"&amp;DF$2&amp;"+"&amp;Z134&amp;DF$1)</f>
        <v/>
      </c>
      <c r="DG134" s="72" t="str">
        <f t="shared" ref="DG134:DG135" si="1857">IF(AA134="","","|n"&amp;DG$2&amp;"+"&amp;AA134&amp;DG$1)</f>
        <v/>
      </c>
      <c r="DH134" s="72" t="str">
        <f t="shared" ref="DH134:DH135" si="1858">IF(AB134="","","|n"&amp;DH$2&amp;"+"&amp;AB134&amp;DH$1)</f>
        <v/>
      </c>
      <c r="DI134" s="72" t="str">
        <f t="shared" ref="DI134:DI135" si="1859">IF(AC134="","","|n"&amp;DI$2&amp;"+"&amp;AC134&amp;DI$1)</f>
        <v/>
      </c>
      <c r="DJ134" s="72" t="str">
        <f t="shared" ref="DJ134:DJ135" si="1860">IF(AD134="","","|n"&amp;DJ$2&amp;"+"&amp;AD134&amp;DJ$1)</f>
        <v/>
      </c>
      <c r="DK134" s="72" t="str">
        <f t="shared" ref="DK134:DK135" si="1861">IF(AE134="","","|n"&amp;DK$2&amp;"+"&amp;AE134&amp;DK$1)</f>
        <v/>
      </c>
      <c r="DL134" s="72" t="str">
        <f t="shared" ref="DL134:DL135" si="1862">IF(AF134="","","|n"&amp;DL$2&amp;"+"&amp;AF134&amp;DL$1)</f>
        <v/>
      </c>
      <c r="DM134" s="72" t="str">
        <f t="shared" ref="DM134:DM135" si="1863">IF(AG134="","","|n"&amp;DM$2&amp;"+"&amp;AG134&amp;DM$1)</f>
        <v/>
      </c>
      <c r="DN134" s="72" t="str">
        <f t="shared" ref="DN134:DN135" si="1864">IF(AH134="","","|n"&amp;DN$2&amp;"+"&amp;AH134&amp;DN$1)</f>
        <v/>
      </c>
      <c r="DO134" s="72" t="str">
        <f t="shared" ref="DO134:DO135" si="1865">IF(AI134="","","|n"&amp;DO$2&amp;"+"&amp;AI134&amp;DO$1)</f>
        <v/>
      </c>
      <c r="DP134" s="72" t="str">
        <f t="shared" ref="DP134:DP135" si="1866">IF(AJ134="","","|n"&amp;DP$2&amp;"+"&amp;AJ134&amp;DP$1)</f>
        <v/>
      </c>
      <c r="DQ134" s="72" t="str">
        <f t="shared" ref="DQ134:DQ135" si="1867">IF(AK134="","","|n"&amp;DQ$2&amp;"+"&amp;AK134&amp;DQ$1)</f>
        <v/>
      </c>
      <c r="DR134" s="72" t="str">
        <f t="shared" ref="DR134:DR135" si="1868">IF(AL134="","","|n"&amp;DR$2&amp;"+"&amp;AL134&amp;DR$1)</f>
        <v/>
      </c>
      <c r="DS134" s="72" t="str">
        <f t="shared" ref="DS134:DS135" si="1869">IF(AM134="","","|n"&amp;DS$2&amp;"+"&amp;AM134&amp;DS$1)</f>
        <v/>
      </c>
      <c r="DT134" s="72" t="str">
        <f t="shared" ref="DT134:DT135" si="1870">IF(AN134="","","|n"&amp;DT$2&amp;"+"&amp;AN134&amp;DT$1)</f>
        <v/>
      </c>
      <c r="DU134" s="72" t="str">
        <f t="shared" ref="DU134:DU135" si="1871">IF(AO134="","","|n"&amp;DU$2&amp;"+"&amp;AO134&amp;DU$1)</f>
        <v/>
      </c>
      <c r="DV134" s="72" t="str">
        <f t="shared" ref="DV134:DV135" si="1872">IF(AP134="","","|n"&amp;DV$2&amp;"+"&amp;AP134&amp;DV$1)</f>
        <v/>
      </c>
      <c r="DW134" s="72" t="str">
        <f t="shared" ref="DW134:DW135" si="1873">IF(AQ134="","","|n"&amp;DW$2&amp;"+"&amp;AQ134&amp;DW$1)</f>
        <v/>
      </c>
      <c r="DX134" s="72" t="str">
        <f t="shared" ref="DX134:DX135" si="1874">IF(AR134="","","|n"&amp;DX$2&amp;"+"&amp;AR134&amp;DX$1)</f>
        <v/>
      </c>
      <c r="DY134" s="72" t="str">
        <f t="shared" ref="DY134:DY135" si="1875">IF(AS134="","","|n"&amp;DY$2&amp;"+"&amp;AS134&amp;DY$1)</f>
        <v/>
      </c>
      <c r="DZ134" s="72" t="str">
        <f t="shared" ref="DZ134:DZ135" si="1876">IF(AT134="","","|n"&amp;DZ$2&amp;"+"&amp;AT134&amp;DZ$1)</f>
        <v/>
      </c>
      <c r="EA134" s="72" t="str">
        <f t="shared" ref="EA134:EA135" si="1877">IF(AU134="","","|n"&amp;EA$2&amp;"+"&amp;AU134&amp;EA$1)</f>
        <v/>
      </c>
      <c r="EB134" s="72" t="str">
        <f t="shared" ref="EB134:EB135" si="1878">IF(AV134="","","|n"&amp;EB$2&amp;"+"&amp;AV134&amp;EB$1)</f>
        <v/>
      </c>
      <c r="EC134" s="72" t="str">
        <f t="shared" ref="EC134:EC135" si="1879">IF(AW134="","","|n"&amp;EC$2&amp;"+"&amp;AW134&amp;EC$1)</f>
        <v/>
      </c>
      <c r="ED134" s="72" t="str">
        <f t="shared" ref="ED134:ED135" si="1880">IF(AX134="","","|n"&amp;ED$2&amp;"+"&amp;AX134&amp;ED$1)</f>
        <v/>
      </c>
      <c r="EE134" s="72" t="str">
        <f t="shared" ref="EE134:EE135" si="1881">IF(AY134="","","|n"&amp;EE$2&amp;"+"&amp;AY134&amp;EE$1)</f>
        <v/>
      </c>
      <c r="EF134" s="72" t="str">
        <f t="shared" ref="EF134:EF135" si="1882">IF(AZ134="","","|n"&amp;EF$2&amp;"+"&amp;AZ134&amp;EF$1)</f>
        <v/>
      </c>
      <c r="EG134" s="72" t="str">
        <f t="shared" ref="EG134:EG135" si="1883">IF(BA134="","","|n"&amp;EG$2&amp;"+"&amp;BA134&amp;EG$1)</f>
        <v/>
      </c>
      <c r="EH134" s="72" t="str">
        <f t="shared" ref="EH134:EH135" si="1884">IF(BB134="","","|n"&amp;EH$2&amp;"+"&amp;BB134&amp;EH$1)</f>
        <v/>
      </c>
      <c r="EI134" s="72" t="str">
        <f t="shared" ref="EI134:EI135" si="1885">IF(BC134="","","|n"&amp;EI$2&amp;"+"&amp;BC134&amp;EI$1)</f>
        <v/>
      </c>
      <c r="EJ134" s="72" t="str">
        <f t="shared" ref="EJ134:EJ135" si="1886">IF(BD134="","","|n"&amp;EJ$2&amp;"+"&amp;BD134&amp;EJ$1)</f>
        <v/>
      </c>
      <c r="EK134" s="72" t="str">
        <f t="shared" ref="EK134:EK135" si="1887">IF(BE134="","","|n"&amp;EK$2&amp;"+"&amp;BE134&amp;EK$1)</f>
        <v/>
      </c>
      <c r="EL134" s="72" t="str">
        <f t="shared" ref="EL134:EL135" si="1888">IF(BF134="","","|n"&amp;EL$2&amp;"+"&amp;BF134&amp;EL$1)</f>
        <v/>
      </c>
      <c r="EM134" s="72" t="str">
        <f t="shared" ref="EM134:EM135" si="1889">IF(BG134="","","|n"&amp;EM$2&amp;"+"&amp;BG134&amp;EM$1)</f>
        <v/>
      </c>
      <c r="EN134" s="72" t="str">
        <f t="shared" ref="EN134:EN135" si="1890">IF(BH134="","","|n"&amp;EN$2&amp;"+"&amp;BH134&amp;EN$1)</f>
        <v/>
      </c>
      <c r="EO134" s="72" t="str">
        <f t="shared" ref="EO134:EO135" si="1891">IF(BI134="","","|n"&amp;EO$2&amp;"+"&amp;BI134&amp;EO$1)</f>
        <v/>
      </c>
      <c r="EP134" s="72" t="str">
        <f t="shared" ref="EP134:EP135" si="1892">IF(BJ134="","","|n"&amp;EP$2&amp;"+"&amp;BJ134&amp;EP$1)</f>
        <v/>
      </c>
      <c r="EQ134" s="72" t="str">
        <f t="shared" ref="EQ134:EQ135" si="1893">IF(BK134="","","|n"&amp;EQ$2&amp;"+"&amp;BK134&amp;EQ$1)</f>
        <v/>
      </c>
      <c r="ER134" s="72" t="str">
        <f t="shared" ref="ER134:ER135" si="1894">IF(BL134="","","|n"&amp;ER$2&amp;"+"&amp;BL134&amp;ER$1)</f>
        <v/>
      </c>
      <c r="ES134" s="72" t="str">
        <f t="shared" ref="ES134:ES135" si="1895">IF(BM134="","","|n"&amp;ES$2&amp;"+"&amp;BM134&amp;ES$1)</f>
        <v/>
      </c>
      <c r="ET134" s="72" t="str">
        <f t="shared" ref="ET134:ET135" si="1896">IF(BN134="","","|n"&amp;ET$2&amp;"+"&amp;BN134&amp;ET$1)</f>
        <v/>
      </c>
      <c r="EU134" s="72" t="str">
        <f t="shared" ref="EU134:EU135" si="1897">IF(BO134="","","|n"&amp;EU$2&amp;"+"&amp;BO134&amp;EU$1)</f>
        <v/>
      </c>
      <c r="EV134" s="72" t="str">
        <f t="shared" ref="EV134:EV135" si="1898">IF(BP134="","","|n"&amp;EV$2&amp;"+"&amp;BP134&amp;EV$1)</f>
        <v/>
      </c>
      <c r="EW134" s="72" t="str">
        <f t="shared" ref="EW134:EW135" si="1899">IF(BQ134="","","|n"&amp;EW$2&amp;"+"&amp;BQ134&amp;EW$1)</f>
        <v/>
      </c>
      <c r="EX134" s="72" t="str">
        <f t="shared" ref="EX134:EX135" si="1900">IF(BR134="","","|n"&amp;EX$2&amp;"+"&amp;BR134&amp;EX$1)</f>
        <v/>
      </c>
      <c r="EY134" s="72" t="str">
        <f t="shared" ref="EY134:EY135" si="1901">IF(BS134="","","|n"&amp;EY$2&amp;"+"&amp;BS134&amp;EY$1)</f>
        <v/>
      </c>
      <c r="EZ134" s="72" t="str">
        <f t="shared" ref="EZ134:EZ135" si="1902">IF(BT134="","","|n"&amp;EZ$2&amp;"+"&amp;BT134&amp;EZ$1)</f>
        <v/>
      </c>
      <c r="FA134" s="72" t="str">
        <f t="shared" ref="FA134:FA135" si="1903">IF(BU134="","","|n"&amp;FA$2&amp;"+"&amp;BU134&amp;FA$1)</f>
        <v/>
      </c>
      <c r="FB134" s="72" t="str">
        <f t="shared" ref="FB134:FB135" si="1904">IF(BV134="","","|n"&amp;FB$2&amp;"+"&amp;BV134&amp;FB$1)</f>
        <v/>
      </c>
      <c r="FC134" s="72" t="str">
        <f t="shared" ref="FC134:FC135" si="1905">IF(BW134="","","|n"&amp;FC$2&amp;"+"&amp;BW134&amp;FC$1)</f>
        <v/>
      </c>
      <c r="FD134" s="72" t="str">
        <f t="shared" ref="FD134:FD135" si="1906">IF(BX134="","","|n"&amp;FD$2&amp;"+"&amp;BX134&amp;FD$1)</f>
        <v/>
      </c>
      <c r="FE134" s="72" t="str">
        <f t="shared" ref="FE134:FE135" si="1907">IF(BY134="","","|n"&amp;FE$2&amp;"+"&amp;BY134&amp;FE$1)</f>
        <v/>
      </c>
      <c r="FF134" s="72" t="str">
        <f t="shared" ref="FF134:FF135" si="1908">IF(BZ134="","","|n"&amp;FF$2&amp;"+"&amp;BZ134&amp;FF$1)</f>
        <v/>
      </c>
      <c r="FG134" s="72" t="str">
        <f t="shared" ref="FG134:FG135" si="1909">IF(CA134="","","|n"&amp;FG$2&amp;"+"&amp;CA134&amp;FG$1)</f>
        <v/>
      </c>
      <c r="FH134" s="72" t="str">
        <f t="shared" ref="FH134:FH135" si="1910">IF(CB134="","","|n"&amp;FH$2&amp;"+"&amp;CB134&amp;FH$1)</f>
        <v/>
      </c>
      <c r="FI134" s="72" t="str">
        <f t="shared" ref="FI134:FI135" si="1911">IF(CC134="","","|n"&amp;FI$2&amp;"+"&amp;CC134&amp;FI$1)</f>
        <v/>
      </c>
      <c r="FJ134" s="72" t="str">
        <f t="shared" ref="FJ134:FJ135" si="1912">IF(CD134="","","|n"&amp;FJ$2&amp;"+"&amp;CD134&amp;FJ$1)</f>
        <v/>
      </c>
      <c r="FK134" s="72" t="str">
        <f t="shared" ref="FK134:FK135" si="1913">IF(CE134="","","|n"&amp;FK$2&amp;"+"&amp;CE134&amp;FK$1)</f>
        <v/>
      </c>
      <c r="FL134" s="72" t="str">
        <f t="shared" ref="FL134:FL135" si="1914">IF(CF134="","","|n"&amp;FL$2&amp;"+"&amp;CF134&amp;FL$1)</f>
        <v/>
      </c>
      <c r="FM134" s="72" t="str">
        <f t="shared" ref="FM134:FM135" si="1915">IF(CG134="","","|n"&amp;FM$2&amp;"+"&amp;CG134&amp;FM$1)</f>
        <v/>
      </c>
      <c r="FN134" s="72" t="str">
        <f t="shared" ref="FN134:FN135" si="1916">IF(CH134="","","|n"&amp;FN$2&amp;"+"&amp;CH134&amp;FN$1)</f>
        <v/>
      </c>
      <c r="FO134" s="72" t="str">
        <f t="shared" ref="FO134:FO135" si="1917">IF(CI134="","","|n"&amp;FO$2&amp;"+"&amp;CI134&amp;FO$1)</f>
        <v/>
      </c>
      <c r="FP134" s="72" t="str">
        <f t="shared" ref="FP134:FP135" si="1918">IF(CJ134="","","|n"&amp;FP$2&amp;"+"&amp;CJ134&amp;FP$1)</f>
        <v/>
      </c>
      <c r="FQ134" s="72" t="str">
        <f t="shared" ref="FQ134:FQ135" si="1919">IF(CK134="","","|n"&amp;FQ$2&amp;"+"&amp;CK134&amp;FQ$1)</f>
        <v/>
      </c>
      <c r="FR134" s="72" t="str">
        <f t="shared" ref="FR134:FR135" si="1920">IF(CL134="","","|n"&amp;FR$2&amp;"+"&amp;CL134&amp;FR$1)</f>
        <v/>
      </c>
      <c r="FS134" s="72" t="str">
        <f t="shared" ref="FS134:FS135" si="1921">IF(CM134="","","|n"&amp;FS$2&amp;"+"&amp;CM134&amp;FS$1)</f>
        <v/>
      </c>
    </row>
    <row r="135" spans="1:175" ht="15">
      <c r="A135" s="104"/>
      <c r="B135" s="104" t="s">
        <v>513</v>
      </c>
      <c r="C135" s="104" t="s">
        <v>514</v>
      </c>
      <c r="T135" s="121" t="s">
        <v>515</v>
      </c>
      <c r="U135" s="88" t="str">
        <f t="shared" si="1773"/>
        <v>ReplaceableTextures\\CommandButtons\\BTNI003.blp</v>
      </c>
      <c r="CN135" s="70" t="str">
        <f t="shared" si="1774"/>
        <v>InitUnitState('I003',,,,,,,,,,)</v>
      </c>
      <c r="CO135" s="70" t="str">
        <f t="shared" si="1775"/>
        <v>InitUnitNormal('I003',,,,,,,,,,)</v>
      </c>
      <c r="CP135" s="70" t="str">
        <f t="shared" si="1776"/>
        <v>InitUnitMagic('I003',,,,,,,,,,)</v>
      </c>
      <c r="CQ135" s="70" t="str">
        <f t="shared" si="1777"/>
        <v>InitUnitAdd('I003',,,,,,,,,,)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181&amp;CR$1&amp;")"</f>
        <v>InitEquipData('I003',,"",,,,,'','','','','','',"ReplaceableTextures\\CommandButtons\\BTNIP03.blp")</v>
      </c>
      <c r="CU135" s="98" t="str">
        <f t="shared" si="1850"/>
        <v>|n</v>
      </c>
      <c r="CV135" s="71" t="str">
        <f t="shared" si="1851"/>
        <v>攻击速度|Cffffd24d+40%|r。|n|n|Cff00ff7f持续15秒。|r</v>
      </c>
      <c r="CW135" s="61"/>
      <c r="CX135" s="61"/>
      <c r="CY135" s="61"/>
      <c r="CZ135" s="61"/>
      <c r="DA135" s="61"/>
      <c r="DB135" s="72" t="str">
        <f t="shared" si="1852"/>
        <v/>
      </c>
      <c r="DC135" s="72" t="str">
        <f t="shared" si="1853"/>
        <v/>
      </c>
      <c r="DD135" s="72" t="str">
        <f t="shared" si="1854"/>
        <v/>
      </c>
      <c r="DE135" s="72" t="str">
        <f t="shared" si="1855"/>
        <v/>
      </c>
      <c r="DF135" s="72" t="str">
        <f t="shared" si="1856"/>
        <v/>
      </c>
      <c r="DG135" s="72" t="str">
        <f t="shared" si="1857"/>
        <v/>
      </c>
      <c r="DH135" s="72" t="str">
        <f t="shared" si="1858"/>
        <v/>
      </c>
      <c r="DI135" s="72" t="str">
        <f t="shared" si="1859"/>
        <v/>
      </c>
      <c r="DJ135" s="72" t="str">
        <f t="shared" si="1860"/>
        <v/>
      </c>
      <c r="DK135" s="72" t="str">
        <f t="shared" si="1861"/>
        <v/>
      </c>
      <c r="DL135" s="72" t="str">
        <f t="shared" si="1862"/>
        <v/>
      </c>
      <c r="DM135" s="72" t="str">
        <f t="shared" si="1863"/>
        <v/>
      </c>
      <c r="DN135" s="72" t="str">
        <f t="shared" si="1864"/>
        <v/>
      </c>
      <c r="DO135" s="72" t="str">
        <f t="shared" si="1865"/>
        <v/>
      </c>
      <c r="DP135" s="72" t="str">
        <f t="shared" si="1866"/>
        <v/>
      </c>
      <c r="DQ135" s="72" t="str">
        <f t="shared" si="1867"/>
        <v/>
      </c>
      <c r="DR135" s="72" t="str">
        <f t="shared" si="1868"/>
        <v/>
      </c>
      <c r="DS135" s="72" t="str">
        <f t="shared" si="1869"/>
        <v/>
      </c>
      <c r="DT135" s="72" t="str">
        <f t="shared" si="1870"/>
        <v/>
      </c>
      <c r="DU135" s="72" t="str">
        <f t="shared" si="1871"/>
        <v/>
      </c>
      <c r="DV135" s="72" t="str">
        <f t="shared" si="1872"/>
        <v/>
      </c>
      <c r="DW135" s="72" t="str">
        <f t="shared" si="1873"/>
        <v/>
      </c>
      <c r="DX135" s="72" t="str">
        <f t="shared" si="1874"/>
        <v/>
      </c>
      <c r="DY135" s="72" t="str">
        <f t="shared" si="1875"/>
        <v/>
      </c>
      <c r="DZ135" s="72" t="str">
        <f t="shared" si="1876"/>
        <v/>
      </c>
      <c r="EA135" s="72" t="str">
        <f t="shared" si="1877"/>
        <v/>
      </c>
      <c r="EB135" s="72" t="str">
        <f t="shared" si="1878"/>
        <v/>
      </c>
      <c r="EC135" s="72" t="str">
        <f t="shared" si="1879"/>
        <v/>
      </c>
      <c r="ED135" s="72" t="str">
        <f t="shared" si="1880"/>
        <v/>
      </c>
      <c r="EE135" s="72" t="str">
        <f t="shared" si="1881"/>
        <v/>
      </c>
      <c r="EF135" s="72" t="str">
        <f t="shared" si="1882"/>
        <v/>
      </c>
      <c r="EG135" s="72" t="str">
        <f t="shared" si="1883"/>
        <v/>
      </c>
      <c r="EH135" s="72" t="str">
        <f t="shared" si="1884"/>
        <v/>
      </c>
      <c r="EI135" s="72" t="str">
        <f t="shared" si="1885"/>
        <v/>
      </c>
      <c r="EJ135" s="72" t="str">
        <f t="shared" si="1886"/>
        <v/>
      </c>
      <c r="EK135" s="72" t="str">
        <f t="shared" si="1887"/>
        <v/>
      </c>
      <c r="EL135" s="72" t="str">
        <f t="shared" si="1888"/>
        <v/>
      </c>
      <c r="EM135" s="72" t="str">
        <f t="shared" si="1889"/>
        <v/>
      </c>
      <c r="EN135" s="72" t="str">
        <f t="shared" si="1890"/>
        <v/>
      </c>
      <c r="EO135" s="72" t="str">
        <f t="shared" si="1891"/>
        <v/>
      </c>
      <c r="EP135" s="72" t="str">
        <f t="shared" si="1892"/>
        <v/>
      </c>
      <c r="EQ135" s="72" t="str">
        <f t="shared" si="1893"/>
        <v/>
      </c>
      <c r="ER135" s="72" t="str">
        <f t="shared" si="1894"/>
        <v/>
      </c>
      <c r="ES135" s="72" t="str">
        <f t="shared" si="1895"/>
        <v/>
      </c>
      <c r="ET135" s="72" t="str">
        <f t="shared" si="1896"/>
        <v/>
      </c>
      <c r="EU135" s="72" t="str">
        <f t="shared" si="1897"/>
        <v/>
      </c>
      <c r="EV135" s="72" t="str">
        <f t="shared" si="1898"/>
        <v/>
      </c>
      <c r="EW135" s="72" t="str">
        <f t="shared" si="1899"/>
        <v/>
      </c>
      <c r="EX135" s="72" t="str">
        <f t="shared" si="1900"/>
        <v/>
      </c>
      <c r="EY135" s="72" t="str">
        <f t="shared" si="1901"/>
        <v/>
      </c>
      <c r="EZ135" s="72" t="str">
        <f t="shared" si="1902"/>
        <v/>
      </c>
      <c r="FA135" s="72" t="str">
        <f t="shared" si="1903"/>
        <v/>
      </c>
      <c r="FB135" s="72" t="str">
        <f t="shared" si="1904"/>
        <v/>
      </c>
      <c r="FC135" s="72" t="str">
        <f t="shared" si="1905"/>
        <v/>
      </c>
      <c r="FD135" s="72" t="str">
        <f t="shared" si="1906"/>
        <v/>
      </c>
      <c r="FE135" s="72" t="str">
        <f t="shared" si="1907"/>
        <v/>
      </c>
      <c r="FF135" s="72" t="str">
        <f t="shared" si="1908"/>
        <v/>
      </c>
      <c r="FG135" s="72" t="str">
        <f t="shared" si="1909"/>
        <v/>
      </c>
      <c r="FH135" s="72" t="str">
        <f t="shared" si="1910"/>
        <v/>
      </c>
      <c r="FI135" s="72" t="str">
        <f t="shared" si="1911"/>
        <v/>
      </c>
      <c r="FJ135" s="72" t="str">
        <f t="shared" si="1912"/>
        <v/>
      </c>
      <c r="FK135" s="72" t="str">
        <f t="shared" si="1913"/>
        <v/>
      </c>
      <c r="FL135" s="72" t="str">
        <f t="shared" si="1914"/>
        <v/>
      </c>
      <c r="FM135" s="72" t="str">
        <f t="shared" si="1915"/>
        <v/>
      </c>
      <c r="FN135" s="72" t="str">
        <f t="shared" si="1916"/>
        <v/>
      </c>
      <c r="FO135" s="72" t="str">
        <f t="shared" si="1917"/>
        <v/>
      </c>
      <c r="FP135" s="72" t="str">
        <f t="shared" si="1918"/>
        <v/>
      </c>
      <c r="FQ135" s="72" t="str">
        <f t="shared" si="1919"/>
        <v/>
      </c>
      <c r="FR135" s="72" t="str">
        <f t="shared" si="1920"/>
        <v/>
      </c>
      <c r="FS135" s="72" t="str">
        <f t="shared" si="1921"/>
        <v/>
      </c>
    </row>
    <row r="136" spans="1:175" ht="15">
      <c r="A136" s="104"/>
      <c r="B136" s="104" t="s">
        <v>516</v>
      </c>
      <c r="C136" s="104" t="s">
        <v>517</v>
      </c>
      <c r="T136" s="121" t="s">
        <v>518</v>
      </c>
      <c r="U136" s="88" t="str">
        <f t="shared" si="1773"/>
        <v>ReplaceableTextures\\CommandButtons\\BTNI004.blp</v>
      </c>
      <c r="CN136" s="70" t="str">
        <f t="shared" si="1774"/>
        <v>InitUnitState('I004',,,,,,,,,,)</v>
      </c>
      <c r="CO136" s="70" t="str">
        <f t="shared" si="1775"/>
        <v>InitUnitNormal('I004',,,,,,,,,,)</v>
      </c>
      <c r="CP136" s="70" t="str">
        <f t="shared" si="1776"/>
        <v>InitUnitMagic('I004',,,,,,,,,,)</v>
      </c>
      <c r="CQ136" s="70" t="str">
        <f t="shared" si="1777"/>
        <v>InitUnitAdd('I004',,,,,,,,,,)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188&amp;CR$1&amp;")"</f>
        <v>InitEquipData('I004',,"",,,,,'','','','','','',"ReplaceableTextures\\CommandButtons\\BTNIT01.blp")</v>
      </c>
      <c r="CU136" s="98" t="str">
        <f t="shared" ref="CU136:CU139" si="192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71" t="str">
        <f t="shared" ref="CV136:CV139" si="1923">T136</f>
        <v>技能伤害提高|Cffffd24d20%|r|Cfff0f0f0。|n|n|r|Cff00ff7f持续15秒。|r</v>
      </c>
      <c r="CW136" s="61"/>
      <c r="CX136" s="61"/>
      <c r="CY136" s="61"/>
      <c r="CZ136" s="61"/>
      <c r="DA136" s="61"/>
      <c r="DB136" s="72" t="str">
        <f t="shared" ref="DB136:DB139" si="1924">IF(V136="","","|n"&amp;DB$2&amp;"+"&amp;V136&amp;DB$1)</f>
        <v/>
      </c>
      <c r="DC136" s="72" t="str">
        <f t="shared" ref="DC136:DC139" si="1925">IF(W136="","","|n"&amp;DC$2&amp;"+"&amp;W136&amp;DC$1)</f>
        <v/>
      </c>
      <c r="DD136" s="72" t="str">
        <f t="shared" ref="DD136:DD139" si="1926">IF(X136="","","|n"&amp;DD$2&amp;"+"&amp;X136&amp;DD$1)</f>
        <v/>
      </c>
      <c r="DE136" s="72" t="str">
        <f t="shared" ref="DE136:DE139" si="1927">IF(Y136="","","|n"&amp;DE$2&amp;"+"&amp;Y136&amp;DE$1)</f>
        <v/>
      </c>
      <c r="DF136" s="72" t="str">
        <f t="shared" ref="DF136:DF139" si="1928">IF(Z136="","","|n"&amp;DF$2&amp;"+"&amp;Z136&amp;DF$1)</f>
        <v/>
      </c>
      <c r="DG136" s="72" t="str">
        <f t="shared" ref="DG136:DG139" si="1929">IF(AA136="","","|n"&amp;DG$2&amp;"+"&amp;AA136&amp;DG$1)</f>
        <v/>
      </c>
      <c r="DH136" s="72" t="str">
        <f t="shared" ref="DH136:DH139" si="1930">IF(AB136="","","|n"&amp;DH$2&amp;"+"&amp;AB136&amp;DH$1)</f>
        <v/>
      </c>
      <c r="DI136" s="72" t="str">
        <f t="shared" ref="DI136:DI139" si="1931">IF(AC136="","","|n"&amp;DI$2&amp;"+"&amp;AC136&amp;DI$1)</f>
        <v/>
      </c>
      <c r="DJ136" s="72" t="str">
        <f t="shared" ref="DJ136:DJ139" si="1932">IF(AD136="","","|n"&amp;DJ$2&amp;"+"&amp;AD136&amp;DJ$1)</f>
        <v/>
      </c>
      <c r="DK136" s="72" t="str">
        <f t="shared" ref="DK136:DK139" si="1933">IF(AE136="","","|n"&amp;DK$2&amp;"+"&amp;AE136&amp;DK$1)</f>
        <v/>
      </c>
      <c r="DL136" s="72" t="str">
        <f t="shared" ref="DL136:DL139" si="1934">IF(AF136="","","|n"&amp;DL$2&amp;"+"&amp;AF136&amp;DL$1)</f>
        <v/>
      </c>
      <c r="DM136" s="72" t="str">
        <f t="shared" ref="DM136:DM139" si="1935">IF(AG136="","","|n"&amp;DM$2&amp;"+"&amp;AG136&amp;DM$1)</f>
        <v/>
      </c>
      <c r="DN136" s="72" t="str">
        <f t="shared" ref="DN136:DN139" si="1936">IF(AH136="","","|n"&amp;DN$2&amp;"+"&amp;AH136&amp;DN$1)</f>
        <v/>
      </c>
      <c r="DO136" s="72" t="str">
        <f t="shared" ref="DO136:DO139" si="1937">IF(AI136="","","|n"&amp;DO$2&amp;"+"&amp;AI136&amp;DO$1)</f>
        <v/>
      </c>
      <c r="DP136" s="72" t="str">
        <f t="shared" ref="DP136:DP139" si="1938">IF(AJ136="","","|n"&amp;DP$2&amp;"+"&amp;AJ136&amp;DP$1)</f>
        <v/>
      </c>
      <c r="DQ136" s="72" t="str">
        <f t="shared" ref="DQ136:DQ139" si="1939">IF(AK136="","","|n"&amp;DQ$2&amp;"+"&amp;AK136&amp;DQ$1)</f>
        <v/>
      </c>
      <c r="DR136" s="72" t="str">
        <f t="shared" ref="DR136:DR139" si="1940">IF(AL136="","","|n"&amp;DR$2&amp;"+"&amp;AL136&amp;DR$1)</f>
        <v/>
      </c>
      <c r="DS136" s="72" t="str">
        <f t="shared" ref="DS136:DS139" si="1941">IF(AM136="","","|n"&amp;DS$2&amp;"+"&amp;AM136&amp;DS$1)</f>
        <v/>
      </c>
      <c r="DT136" s="72" t="str">
        <f t="shared" ref="DT136:DT139" si="1942">IF(AN136="","","|n"&amp;DT$2&amp;"+"&amp;AN136&amp;DT$1)</f>
        <v/>
      </c>
      <c r="DU136" s="72" t="str">
        <f t="shared" ref="DU136:DU139" si="1943">IF(AO136="","","|n"&amp;DU$2&amp;"+"&amp;AO136&amp;DU$1)</f>
        <v/>
      </c>
      <c r="DV136" s="72" t="str">
        <f t="shared" ref="DV136:DV139" si="1944">IF(AP136="","","|n"&amp;DV$2&amp;"+"&amp;AP136&amp;DV$1)</f>
        <v/>
      </c>
      <c r="DW136" s="72" t="str">
        <f t="shared" ref="DW136:DW139" si="1945">IF(AQ136="","","|n"&amp;DW$2&amp;"+"&amp;AQ136&amp;DW$1)</f>
        <v/>
      </c>
      <c r="DX136" s="72" t="str">
        <f t="shared" ref="DX136:DX139" si="1946">IF(AR136="","","|n"&amp;DX$2&amp;"+"&amp;AR136&amp;DX$1)</f>
        <v/>
      </c>
      <c r="DY136" s="72" t="str">
        <f t="shared" ref="DY136:DY139" si="1947">IF(AS136="","","|n"&amp;DY$2&amp;"+"&amp;AS136&amp;DY$1)</f>
        <v/>
      </c>
      <c r="DZ136" s="72" t="str">
        <f t="shared" ref="DZ136:DZ139" si="1948">IF(AT136="","","|n"&amp;DZ$2&amp;"+"&amp;AT136&amp;DZ$1)</f>
        <v/>
      </c>
      <c r="EA136" s="72" t="str">
        <f t="shared" ref="EA136:EA139" si="1949">IF(AU136="","","|n"&amp;EA$2&amp;"+"&amp;AU136&amp;EA$1)</f>
        <v/>
      </c>
      <c r="EB136" s="72" t="str">
        <f t="shared" ref="EB136:EB139" si="1950">IF(AV136="","","|n"&amp;EB$2&amp;"+"&amp;AV136&amp;EB$1)</f>
        <v/>
      </c>
      <c r="EC136" s="72" t="str">
        <f t="shared" ref="EC136:EC139" si="1951">IF(AW136="","","|n"&amp;EC$2&amp;"+"&amp;AW136&amp;EC$1)</f>
        <v/>
      </c>
      <c r="ED136" s="72" t="str">
        <f t="shared" ref="ED136:ED139" si="1952">IF(AX136="","","|n"&amp;ED$2&amp;"+"&amp;AX136&amp;ED$1)</f>
        <v/>
      </c>
      <c r="EE136" s="72" t="str">
        <f t="shared" ref="EE136:EE139" si="1953">IF(AY136="","","|n"&amp;EE$2&amp;"+"&amp;AY136&amp;EE$1)</f>
        <v/>
      </c>
      <c r="EF136" s="72" t="str">
        <f t="shared" ref="EF136:EF139" si="1954">IF(AZ136="","","|n"&amp;EF$2&amp;"+"&amp;AZ136&amp;EF$1)</f>
        <v/>
      </c>
      <c r="EG136" s="72" t="str">
        <f t="shared" ref="EG136:EG139" si="1955">IF(BA136="","","|n"&amp;EG$2&amp;"+"&amp;BA136&amp;EG$1)</f>
        <v/>
      </c>
      <c r="EH136" s="72" t="str">
        <f t="shared" ref="EH136:EH139" si="1956">IF(BB136="","","|n"&amp;EH$2&amp;"+"&amp;BB136&amp;EH$1)</f>
        <v/>
      </c>
      <c r="EI136" s="72" t="str">
        <f t="shared" ref="EI136:EI139" si="1957">IF(BC136="","","|n"&amp;EI$2&amp;"+"&amp;BC136&amp;EI$1)</f>
        <v/>
      </c>
      <c r="EJ136" s="72" t="str">
        <f t="shared" ref="EJ136:EJ139" si="1958">IF(BD136="","","|n"&amp;EJ$2&amp;"+"&amp;BD136&amp;EJ$1)</f>
        <v/>
      </c>
      <c r="EK136" s="72" t="str">
        <f t="shared" ref="EK136:EK139" si="1959">IF(BE136="","","|n"&amp;EK$2&amp;"+"&amp;BE136&amp;EK$1)</f>
        <v/>
      </c>
      <c r="EL136" s="72" t="str">
        <f t="shared" ref="EL136:EL139" si="1960">IF(BF136="","","|n"&amp;EL$2&amp;"+"&amp;BF136&amp;EL$1)</f>
        <v/>
      </c>
      <c r="EM136" s="72" t="str">
        <f t="shared" ref="EM136:EM139" si="1961">IF(BG136="","","|n"&amp;EM$2&amp;"+"&amp;BG136&amp;EM$1)</f>
        <v/>
      </c>
      <c r="EN136" s="72" t="str">
        <f t="shared" ref="EN136:EN139" si="1962">IF(BH136="","","|n"&amp;EN$2&amp;"+"&amp;BH136&amp;EN$1)</f>
        <v/>
      </c>
      <c r="EO136" s="72" t="str">
        <f t="shared" ref="EO136:EO139" si="1963">IF(BI136="","","|n"&amp;EO$2&amp;"+"&amp;BI136&amp;EO$1)</f>
        <v/>
      </c>
      <c r="EP136" s="72" t="str">
        <f t="shared" ref="EP136:EP139" si="1964">IF(BJ136="","","|n"&amp;EP$2&amp;"+"&amp;BJ136&amp;EP$1)</f>
        <v/>
      </c>
      <c r="EQ136" s="72" t="str">
        <f t="shared" ref="EQ136:EQ139" si="1965">IF(BK136="","","|n"&amp;EQ$2&amp;"+"&amp;BK136&amp;EQ$1)</f>
        <v/>
      </c>
      <c r="ER136" s="72" t="str">
        <f t="shared" ref="ER136:ER139" si="1966">IF(BL136="","","|n"&amp;ER$2&amp;"+"&amp;BL136&amp;ER$1)</f>
        <v/>
      </c>
      <c r="ES136" s="72" t="str">
        <f t="shared" ref="ES136:ES139" si="1967">IF(BM136="","","|n"&amp;ES$2&amp;"+"&amp;BM136&amp;ES$1)</f>
        <v/>
      </c>
      <c r="ET136" s="72" t="str">
        <f t="shared" ref="ET136:ET139" si="1968">IF(BN136="","","|n"&amp;ET$2&amp;"+"&amp;BN136&amp;ET$1)</f>
        <v/>
      </c>
      <c r="EU136" s="72" t="str">
        <f t="shared" ref="EU136:EU139" si="1969">IF(BO136="","","|n"&amp;EU$2&amp;"+"&amp;BO136&amp;EU$1)</f>
        <v/>
      </c>
      <c r="EV136" s="72" t="str">
        <f t="shared" ref="EV136:EV139" si="1970">IF(BP136="","","|n"&amp;EV$2&amp;"+"&amp;BP136&amp;EV$1)</f>
        <v/>
      </c>
      <c r="EW136" s="72" t="str">
        <f t="shared" ref="EW136:EW139" si="1971">IF(BQ136="","","|n"&amp;EW$2&amp;"+"&amp;BQ136&amp;EW$1)</f>
        <v/>
      </c>
      <c r="EX136" s="72" t="str">
        <f t="shared" ref="EX136:EX139" si="1972">IF(BR136="","","|n"&amp;EX$2&amp;"+"&amp;BR136&amp;EX$1)</f>
        <v/>
      </c>
      <c r="EY136" s="72" t="str">
        <f t="shared" ref="EY136:EY139" si="1973">IF(BS136="","","|n"&amp;EY$2&amp;"+"&amp;BS136&amp;EY$1)</f>
        <v/>
      </c>
      <c r="EZ136" s="72" t="str">
        <f t="shared" ref="EZ136:EZ139" si="1974">IF(BT136="","","|n"&amp;EZ$2&amp;"+"&amp;BT136&amp;EZ$1)</f>
        <v/>
      </c>
      <c r="FA136" s="72" t="str">
        <f t="shared" ref="FA136:FA139" si="1975">IF(BU136="","","|n"&amp;FA$2&amp;"+"&amp;BU136&amp;FA$1)</f>
        <v/>
      </c>
      <c r="FB136" s="72" t="str">
        <f t="shared" ref="FB136:FB139" si="1976">IF(BV136="","","|n"&amp;FB$2&amp;"+"&amp;BV136&amp;FB$1)</f>
        <v/>
      </c>
      <c r="FC136" s="72" t="str">
        <f t="shared" ref="FC136:FC139" si="1977">IF(BW136="","","|n"&amp;FC$2&amp;"+"&amp;BW136&amp;FC$1)</f>
        <v/>
      </c>
      <c r="FD136" s="72" t="str">
        <f t="shared" ref="FD136:FD139" si="1978">IF(BX136="","","|n"&amp;FD$2&amp;"+"&amp;BX136&amp;FD$1)</f>
        <v/>
      </c>
      <c r="FE136" s="72" t="str">
        <f t="shared" ref="FE136:FE139" si="1979">IF(BY136="","","|n"&amp;FE$2&amp;"+"&amp;BY136&amp;FE$1)</f>
        <v/>
      </c>
      <c r="FF136" s="72" t="str">
        <f t="shared" ref="FF136:FF139" si="1980">IF(BZ136="","","|n"&amp;FF$2&amp;"+"&amp;BZ136&amp;FF$1)</f>
        <v/>
      </c>
      <c r="FG136" s="72" t="str">
        <f t="shared" ref="FG136:FG139" si="1981">IF(CA136="","","|n"&amp;FG$2&amp;"+"&amp;CA136&amp;FG$1)</f>
        <v/>
      </c>
      <c r="FH136" s="72" t="str">
        <f t="shared" ref="FH136:FH139" si="1982">IF(CB136="","","|n"&amp;FH$2&amp;"+"&amp;CB136&amp;FH$1)</f>
        <v/>
      </c>
      <c r="FI136" s="72" t="str">
        <f t="shared" ref="FI136:FI139" si="1983">IF(CC136="","","|n"&amp;FI$2&amp;"+"&amp;CC136&amp;FI$1)</f>
        <v/>
      </c>
      <c r="FJ136" s="72" t="str">
        <f t="shared" ref="FJ136:FJ139" si="1984">IF(CD136="","","|n"&amp;FJ$2&amp;"+"&amp;CD136&amp;FJ$1)</f>
        <v/>
      </c>
      <c r="FK136" s="72" t="str">
        <f t="shared" ref="FK136:FK139" si="1985">IF(CE136="","","|n"&amp;FK$2&amp;"+"&amp;CE136&amp;FK$1)</f>
        <v/>
      </c>
      <c r="FL136" s="72" t="str">
        <f t="shared" ref="FL136:FL139" si="1986">IF(CF136="","","|n"&amp;FL$2&amp;"+"&amp;CF136&amp;FL$1)</f>
        <v/>
      </c>
      <c r="FM136" s="72" t="str">
        <f t="shared" ref="FM136:FM139" si="1987">IF(CG136="","","|n"&amp;FM$2&amp;"+"&amp;CG136&amp;FM$1)</f>
        <v/>
      </c>
      <c r="FN136" s="72" t="str">
        <f t="shared" ref="FN136:FN139" si="1988">IF(CH136="","","|n"&amp;FN$2&amp;"+"&amp;CH136&amp;FN$1)</f>
        <v/>
      </c>
      <c r="FO136" s="72" t="str">
        <f t="shared" ref="FO136:FO139" si="1989">IF(CI136="","","|n"&amp;FO$2&amp;"+"&amp;CI136&amp;FO$1)</f>
        <v/>
      </c>
      <c r="FP136" s="72" t="str">
        <f t="shared" ref="FP136:FP139" si="1990">IF(CJ136="","","|n"&amp;FP$2&amp;"+"&amp;CJ136&amp;FP$1)</f>
        <v/>
      </c>
      <c r="FQ136" s="72" t="str">
        <f t="shared" ref="FQ136:FQ139" si="1991">IF(CK136="","","|n"&amp;FQ$2&amp;"+"&amp;CK136&amp;FQ$1)</f>
        <v/>
      </c>
      <c r="FR136" s="72" t="str">
        <f t="shared" ref="FR136:FR139" si="1992">IF(CL136="","","|n"&amp;FR$2&amp;"+"&amp;CL136&amp;FR$1)</f>
        <v/>
      </c>
      <c r="FS136" s="72" t="str">
        <f t="shared" ref="FS136:FS139" si="1993">IF(CM136="","","|n"&amp;FS$2&amp;"+"&amp;CM136&amp;FS$1)</f>
        <v/>
      </c>
    </row>
    <row r="137" spans="1:175" ht="15">
      <c r="A137" s="104"/>
      <c r="B137" s="104" t="s">
        <v>519</v>
      </c>
      <c r="C137" s="104" t="s">
        <v>520</v>
      </c>
      <c r="T137" s="121" t="s">
        <v>521</v>
      </c>
      <c r="U137" s="88" t="str">
        <f t="shared" si="1773"/>
        <v>ReplaceableTextures\\CommandButtons\\BTNI005.blp</v>
      </c>
      <c r="CN137" s="70" t="str">
        <f t="shared" si="1774"/>
        <v>InitUnitState('I005',,,,,,,,,,)</v>
      </c>
      <c r="CO137" s="70" t="str">
        <f t="shared" si="1775"/>
        <v>InitUnitNormal('I005',,,,,,,,,,)</v>
      </c>
      <c r="CP137" s="70" t="str">
        <f t="shared" si="1776"/>
        <v>InitUnitMagic('I005',,,,,,,,,,)</v>
      </c>
      <c r="CQ137" s="70" t="str">
        <f t="shared" si="1777"/>
        <v>InitUnitAdd('I005',,,,,,,,,,)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189&amp;CR$1&amp;")"</f>
        <v>InitEquipData('I005',,"",,,,,'','','','','','',"ReplaceableTextures\\CommandButtons\\BTNIT02.blp")</v>
      </c>
      <c r="CU137" s="98" t="str">
        <f t="shared" ref="CU137:CU138" si="199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71" t="str">
        <f t="shared" ref="CV137:CV138" si="1995">T137</f>
        <v>攻击伤害提高|Cffffd24d20%|r。|n|n|Cff00ff7f持续15秒。|r</v>
      </c>
      <c r="CW137" s="61"/>
      <c r="CX137" s="61"/>
      <c r="CY137" s="61"/>
      <c r="CZ137" s="61"/>
      <c r="DA137" s="61"/>
      <c r="DB137" s="72" t="str">
        <f t="shared" ref="DB137:DB138" si="1996">IF(V137="","","|n"&amp;DB$2&amp;"+"&amp;V137&amp;DB$1)</f>
        <v/>
      </c>
      <c r="DC137" s="72" t="str">
        <f t="shared" ref="DC137:DC138" si="1997">IF(W137="","","|n"&amp;DC$2&amp;"+"&amp;W137&amp;DC$1)</f>
        <v/>
      </c>
      <c r="DD137" s="72" t="str">
        <f t="shared" ref="DD137:DD138" si="1998">IF(X137="","","|n"&amp;DD$2&amp;"+"&amp;X137&amp;DD$1)</f>
        <v/>
      </c>
      <c r="DE137" s="72" t="str">
        <f t="shared" ref="DE137:DE138" si="1999">IF(Y137="","","|n"&amp;DE$2&amp;"+"&amp;Y137&amp;DE$1)</f>
        <v/>
      </c>
      <c r="DF137" s="72" t="str">
        <f t="shared" ref="DF137:DF138" si="2000">IF(Z137="","","|n"&amp;DF$2&amp;"+"&amp;Z137&amp;DF$1)</f>
        <v/>
      </c>
      <c r="DG137" s="72" t="str">
        <f t="shared" ref="DG137:DG138" si="2001">IF(AA137="","","|n"&amp;DG$2&amp;"+"&amp;AA137&amp;DG$1)</f>
        <v/>
      </c>
      <c r="DH137" s="72" t="str">
        <f t="shared" ref="DH137:DH138" si="2002">IF(AB137="","","|n"&amp;DH$2&amp;"+"&amp;AB137&amp;DH$1)</f>
        <v/>
      </c>
      <c r="DI137" s="72" t="str">
        <f t="shared" ref="DI137:DI138" si="2003">IF(AC137="","","|n"&amp;DI$2&amp;"+"&amp;AC137&amp;DI$1)</f>
        <v/>
      </c>
      <c r="DJ137" s="72" t="str">
        <f t="shared" ref="DJ137:DJ138" si="2004">IF(AD137="","","|n"&amp;DJ$2&amp;"+"&amp;AD137&amp;DJ$1)</f>
        <v/>
      </c>
      <c r="DK137" s="72" t="str">
        <f t="shared" ref="DK137:DK138" si="2005">IF(AE137="","","|n"&amp;DK$2&amp;"+"&amp;AE137&amp;DK$1)</f>
        <v/>
      </c>
      <c r="DL137" s="72" t="str">
        <f t="shared" ref="DL137:DL138" si="2006">IF(AF137="","","|n"&amp;DL$2&amp;"+"&amp;AF137&amp;DL$1)</f>
        <v/>
      </c>
      <c r="DM137" s="72" t="str">
        <f t="shared" ref="DM137:DM138" si="2007">IF(AG137="","","|n"&amp;DM$2&amp;"+"&amp;AG137&amp;DM$1)</f>
        <v/>
      </c>
      <c r="DN137" s="72" t="str">
        <f t="shared" ref="DN137:DN138" si="2008">IF(AH137="","","|n"&amp;DN$2&amp;"+"&amp;AH137&amp;DN$1)</f>
        <v/>
      </c>
      <c r="DO137" s="72" t="str">
        <f t="shared" ref="DO137:DO138" si="2009">IF(AI137="","","|n"&amp;DO$2&amp;"+"&amp;AI137&amp;DO$1)</f>
        <v/>
      </c>
      <c r="DP137" s="72" t="str">
        <f t="shared" ref="DP137:DP138" si="2010">IF(AJ137="","","|n"&amp;DP$2&amp;"+"&amp;AJ137&amp;DP$1)</f>
        <v/>
      </c>
      <c r="DQ137" s="72" t="str">
        <f t="shared" ref="DQ137:DQ138" si="2011">IF(AK137="","","|n"&amp;DQ$2&amp;"+"&amp;AK137&amp;DQ$1)</f>
        <v/>
      </c>
      <c r="DR137" s="72" t="str">
        <f t="shared" ref="DR137:DR138" si="2012">IF(AL137="","","|n"&amp;DR$2&amp;"+"&amp;AL137&amp;DR$1)</f>
        <v/>
      </c>
      <c r="DS137" s="72" t="str">
        <f t="shared" ref="DS137:DS138" si="2013">IF(AM137="","","|n"&amp;DS$2&amp;"+"&amp;AM137&amp;DS$1)</f>
        <v/>
      </c>
      <c r="DT137" s="72" t="str">
        <f t="shared" ref="DT137:DT138" si="2014">IF(AN137="","","|n"&amp;DT$2&amp;"+"&amp;AN137&amp;DT$1)</f>
        <v/>
      </c>
      <c r="DU137" s="72" t="str">
        <f t="shared" ref="DU137:DU138" si="2015">IF(AO137="","","|n"&amp;DU$2&amp;"+"&amp;AO137&amp;DU$1)</f>
        <v/>
      </c>
      <c r="DV137" s="72" t="str">
        <f t="shared" ref="DV137:DV138" si="2016">IF(AP137="","","|n"&amp;DV$2&amp;"+"&amp;AP137&amp;DV$1)</f>
        <v/>
      </c>
      <c r="DW137" s="72" t="str">
        <f t="shared" ref="DW137:DW138" si="2017">IF(AQ137="","","|n"&amp;DW$2&amp;"+"&amp;AQ137&amp;DW$1)</f>
        <v/>
      </c>
      <c r="DX137" s="72" t="str">
        <f t="shared" ref="DX137:DX138" si="2018">IF(AR137="","","|n"&amp;DX$2&amp;"+"&amp;AR137&amp;DX$1)</f>
        <v/>
      </c>
      <c r="DY137" s="72" t="str">
        <f t="shared" ref="DY137:DY138" si="2019">IF(AS137="","","|n"&amp;DY$2&amp;"+"&amp;AS137&amp;DY$1)</f>
        <v/>
      </c>
      <c r="DZ137" s="72" t="str">
        <f t="shared" ref="DZ137:DZ138" si="2020">IF(AT137="","","|n"&amp;DZ$2&amp;"+"&amp;AT137&amp;DZ$1)</f>
        <v/>
      </c>
      <c r="EA137" s="72" t="str">
        <f t="shared" ref="EA137:EA138" si="2021">IF(AU137="","","|n"&amp;EA$2&amp;"+"&amp;AU137&amp;EA$1)</f>
        <v/>
      </c>
      <c r="EB137" s="72" t="str">
        <f t="shared" ref="EB137:EB138" si="2022">IF(AV137="","","|n"&amp;EB$2&amp;"+"&amp;AV137&amp;EB$1)</f>
        <v/>
      </c>
      <c r="EC137" s="72" t="str">
        <f t="shared" ref="EC137:EC138" si="2023">IF(AW137="","","|n"&amp;EC$2&amp;"+"&amp;AW137&amp;EC$1)</f>
        <v/>
      </c>
      <c r="ED137" s="72" t="str">
        <f t="shared" ref="ED137:ED138" si="2024">IF(AX137="","","|n"&amp;ED$2&amp;"+"&amp;AX137&amp;ED$1)</f>
        <v/>
      </c>
      <c r="EE137" s="72" t="str">
        <f t="shared" ref="EE137:EE138" si="2025">IF(AY137="","","|n"&amp;EE$2&amp;"+"&amp;AY137&amp;EE$1)</f>
        <v/>
      </c>
      <c r="EF137" s="72" t="str">
        <f t="shared" ref="EF137:EF138" si="2026">IF(AZ137="","","|n"&amp;EF$2&amp;"+"&amp;AZ137&amp;EF$1)</f>
        <v/>
      </c>
      <c r="EG137" s="72" t="str">
        <f t="shared" ref="EG137:EG138" si="2027">IF(BA137="","","|n"&amp;EG$2&amp;"+"&amp;BA137&amp;EG$1)</f>
        <v/>
      </c>
      <c r="EH137" s="72" t="str">
        <f t="shared" ref="EH137:EH138" si="2028">IF(BB137="","","|n"&amp;EH$2&amp;"+"&amp;BB137&amp;EH$1)</f>
        <v/>
      </c>
      <c r="EI137" s="72" t="str">
        <f t="shared" ref="EI137:EI138" si="2029">IF(BC137="","","|n"&amp;EI$2&amp;"+"&amp;BC137&amp;EI$1)</f>
        <v/>
      </c>
      <c r="EJ137" s="72" t="str">
        <f t="shared" ref="EJ137:EJ138" si="2030">IF(BD137="","","|n"&amp;EJ$2&amp;"+"&amp;BD137&amp;EJ$1)</f>
        <v/>
      </c>
      <c r="EK137" s="72" t="str">
        <f t="shared" ref="EK137:EK138" si="2031">IF(BE137="","","|n"&amp;EK$2&amp;"+"&amp;BE137&amp;EK$1)</f>
        <v/>
      </c>
      <c r="EL137" s="72" t="str">
        <f t="shared" ref="EL137:EL138" si="2032">IF(BF137="","","|n"&amp;EL$2&amp;"+"&amp;BF137&amp;EL$1)</f>
        <v/>
      </c>
      <c r="EM137" s="72" t="str">
        <f t="shared" ref="EM137:EM138" si="2033">IF(BG137="","","|n"&amp;EM$2&amp;"+"&amp;BG137&amp;EM$1)</f>
        <v/>
      </c>
      <c r="EN137" s="72" t="str">
        <f t="shared" ref="EN137:EN138" si="2034">IF(BH137="","","|n"&amp;EN$2&amp;"+"&amp;BH137&amp;EN$1)</f>
        <v/>
      </c>
      <c r="EO137" s="72" t="str">
        <f t="shared" ref="EO137:EO138" si="2035">IF(BI137="","","|n"&amp;EO$2&amp;"+"&amp;BI137&amp;EO$1)</f>
        <v/>
      </c>
      <c r="EP137" s="72" t="str">
        <f t="shared" ref="EP137:EP138" si="2036">IF(BJ137="","","|n"&amp;EP$2&amp;"+"&amp;BJ137&amp;EP$1)</f>
        <v/>
      </c>
      <c r="EQ137" s="72" t="str">
        <f t="shared" ref="EQ137:EQ138" si="2037">IF(BK137="","","|n"&amp;EQ$2&amp;"+"&amp;BK137&amp;EQ$1)</f>
        <v/>
      </c>
      <c r="ER137" s="72" t="str">
        <f t="shared" ref="ER137:ER138" si="2038">IF(BL137="","","|n"&amp;ER$2&amp;"+"&amp;BL137&amp;ER$1)</f>
        <v/>
      </c>
      <c r="ES137" s="72" t="str">
        <f t="shared" ref="ES137:ES138" si="2039">IF(BM137="","","|n"&amp;ES$2&amp;"+"&amp;BM137&amp;ES$1)</f>
        <v/>
      </c>
      <c r="ET137" s="72" t="str">
        <f t="shared" ref="ET137:ET138" si="2040">IF(BN137="","","|n"&amp;ET$2&amp;"+"&amp;BN137&amp;ET$1)</f>
        <v/>
      </c>
      <c r="EU137" s="72" t="str">
        <f t="shared" ref="EU137:EU138" si="2041">IF(BO137="","","|n"&amp;EU$2&amp;"+"&amp;BO137&amp;EU$1)</f>
        <v/>
      </c>
      <c r="EV137" s="72" t="str">
        <f t="shared" ref="EV137:EV138" si="2042">IF(BP137="","","|n"&amp;EV$2&amp;"+"&amp;BP137&amp;EV$1)</f>
        <v/>
      </c>
      <c r="EW137" s="72" t="str">
        <f t="shared" ref="EW137:EW138" si="2043">IF(BQ137="","","|n"&amp;EW$2&amp;"+"&amp;BQ137&amp;EW$1)</f>
        <v/>
      </c>
      <c r="EX137" s="72" t="str">
        <f t="shared" ref="EX137:EX138" si="2044">IF(BR137="","","|n"&amp;EX$2&amp;"+"&amp;BR137&amp;EX$1)</f>
        <v/>
      </c>
      <c r="EY137" s="72" t="str">
        <f t="shared" ref="EY137:EY138" si="2045">IF(BS137="","","|n"&amp;EY$2&amp;"+"&amp;BS137&amp;EY$1)</f>
        <v/>
      </c>
      <c r="EZ137" s="72" t="str">
        <f t="shared" ref="EZ137:EZ138" si="2046">IF(BT137="","","|n"&amp;EZ$2&amp;"+"&amp;BT137&amp;EZ$1)</f>
        <v/>
      </c>
      <c r="FA137" s="72" t="str">
        <f t="shared" ref="FA137:FA138" si="2047">IF(BU137="","","|n"&amp;FA$2&amp;"+"&amp;BU137&amp;FA$1)</f>
        <v/>
      </c>
      <c r="FB137" s="72" t="str">
        <f t="shared" ref="FB137:FB138" si="2048">IF(BV137="","","|n"&amp;FB$2&amp;"+"&amp;BV137&amp;FB$1)</f>
        <v/>
      </c>
      <c r="FC137" s="72" t="str">
        <f t="shared" ref="FC137:FC138" si="2049">IF(BW137="","","|n"&amp;FC$2&amp;"+"&amp;BW137&amp;FC$1)</f>
        <v/>
      </c>
      <c r="FD137" s="72" t="str">
        <f t="shared" ref="FD137:FD138" si="2050">IF(BX137="","","|n"&amp;FD$2&amp;"+"&amp;BX137&amp;FD$1)</f>
        <v/>
      </c>
      <c r="FE137" s="72" t="str">
        <f t="shared" ref="FE137:FE138" si="2051">IF(BY137="","","|n"&amp;FE$2&amp;"+"&amp;BY137&amp;FE$1)</f>
        <v/>
      </c>
      <c r="FF137" s="72" t="str">
        <f t="shared" ref="FF137:FF138" si="2052">IF(BZ137="","","|n"&amp;FF$2&amp;"+"&amp;BZ137&amp;FF$1)</f>
        <v/>
      </c>
      <c r="FG137" s="72" t="str">
        <f t="shared" ref="FG137:FG138" si="2053">IF(CA137="","","|n"&amp;FG$2&amp;"+"&amp;CA137&amp;FG$1)</f>
        <v/>
      </c>
      <c r="FH137" s="72" t="str">
        <f t="shared" ref="FH137:FH138" si="2054">IF(CB137="","","|n"&amp;FH$2&amp;"+"&amp;CB137&amp;FH$1)</f>
        <v/>
      </c>
      <c r="FI137" s="72" t="str">
        <f t="shared" ref="FI137:FI138" si="2055">IF(CC137="","","|n"&amp;FI$2&amp;"+"&amp;CC137&amp;FI$1)</f>
        <v/>
      </c>
      <c r="FJ137" s="72" t="str">
        <f t="shared" ref="FJ137:FJ138" si="2056">IF(CD137="","","|n"&amp;FJ$2&amp;"+"&amp;CD137&amp;FJ$1)</f>
        <v/>
      </c>
      <c r="FK137" s="72" t="str">
        <f t="shared" ref="FK137:FK138" si="2057">IF(CE137="","","|n"&amp;FK$2&amp;"+"&amp;CE137&amp;FK$1)</f>
        <v/>
      </c>
      <c r="FL137" s="72" t="str">
        <f t="shared" ref="FL137:FL138" si="2058">IF(CF137="","","|n"&amp;FL$2&amp;"+"&amp;CF137&amp;FL$1)</f>
        <v/>
      </c>
      <c r="FM137" s="72" t="str">
        <f t="shared" ref="FM137:FM138" si="2059">IF(CG137="","","|n"&amp;FM$2&amp;"+"&amp;CG137&amp;FM$1)</f>
        <v/>
      </c>
      <c r="FN137" s="72" t="str">
        <f t="shared" ref="FN137:FN138" si="2060">IF(CH137="","","|n"&amp;FN$2&amp;"+"&amp;CH137&amp;FN$1)</f>
        <v/>
      </c>
      <c r="FO137" s="72" t="str">
        <f t="shared" ref="FO137:FO138" si="2061">IF(CI137="","","|n"&amp;FO$2&amp;"+"&amp;CI137&amp;FO$1)</f>
        <v/>
      </c>
      <c r="FP137" s="72" t="str">
        <f t="shared" ref="FP137:FP138" si="2062">IF(CJ137="","","|n"&amp;FP$2&amp;"+"&amp;CJ137&amp;FP$1)</f>
        <v/>
      </c>
      <c r="FQ137" s="72" t="str">
        <f t="shared" ref="FQ137:FQ138" si="2063">IF(CK137="","","|n"&amp;FQ$2&amp;"+"&amp;CK137&amp;FQ$1)</f>
        <v/>
      </c>
      <c r="FR137" s="72" t="str">
        <f t="shared" ref="FR137:FR138" si="2064">IF(CL137="","","|n"&amp;FR$2&amp;"+"&amp;CL137&amp;FR$1)</f>
        <v/>
      </c>
      <c r="FS137" s="72" t="str">
        <f t="shared" ref="FS137:FS138" si="2065">IF(CM137="","","|n"&amp;FS$2&amp;"+"&amp;CM137&amp;FS$1)</f>
        <v/>
      </c>
    </row>
    <row r="138" spans="1:175" ht="15">
      <c r="A138" s="104"/>
      <c r="B138" s="104" t="s">
        <v>522</v>
      </c>
      <c r="C138" s="81" t="s">
        <v>523</v>
      </c>
      <c r="T138" s="115" t="s">
        <v>524</v>
      </c>
      <c r="U138" s="111" t="s">
        <v>525</v>
      </c>
      <c r="V138" s="89"/>
      <c r="W138" s="89"/>
      <c r="X138" s="89">
        <v>5</v>
      </c>
      <c r="Y138" s="89"/>
      <c r="Z138" s="89"/>
      <c r="AA138" s="89"/>
      <c r="AB138" s="89"/>
      <c r="AC138" s="89"/>
      <c r="AD138" s="89"/>
      <c r="AE138" s="89"/>
      <c r="AF138" s="89"/>
      <c r="AG138" s="91"/>
      <c r="AH138" s="89"/>
      <c r="AI138" s="89"/>
      <c r="AJ138" s="89"/>
      <c r="AK138" s="89"/>
      <c r="AL138" s="91"/>
      <c r="AM138" s="89"/>
      <c r="AN138" s="89"/>
      <c r="AO138" s="89"/>
      <c r="AP138" s="89"/>
      <c r="AQ138" s="89"/>
      <c r="AR138" s="91"/>
      <c r="AS138" s="91"/>
      <c r="AT138" s="89"/>
      <c r="AU138" s="89"/>
      <c r="AV138" s="89"/>
      <c r="AW138" s="89"/>
      <c r="AX138" s="89"/>
      <c r="AY138" s="89"/>
      <c r="AZ138" s="89"/>
      <c r="BA138" s="89"/>
      <c r="BB138" s="89"/>
      <c r="BC138" s="89"/>
      <c r="BD138" s="89"/>
      <c r="BE138" s="89"/>
      <c r="BF138" s="89"/>
      <c r="BG138" s="89"/>
      <c r="BH138" s="89"/>
      <c r="BI138" s="89"/>
      <c r="BJ138" s="89">
        <v>10</v>
      </c>
      <c r="CN138" s="70" t="str">
        <f t="shared" ref="CN138" si="2066">"InitUnitState('"&amp;B138&amp;"',"&amp;V138&amp;","&amp;W138&amp;","&amp;X138&amp;","&amp;Y138&amp;","&amp;Z138&amp;","&amp;AA138&amp;","&amp;AB138&amp;","&amp;AC138&amp;","&amp;AD138&amp;","&amp;AE138&amp;")"</f>
        <v>InitUnitState('I010',,,5,,,,,,,)</v>
      </c>
      <c r="CO138" s="70" t="str">
        <f t="shared" ref="CO138" si="2067">"InitUnitNormal('"&amp;B138&amp;"',"&amp;AF138&amp;","&amp;AG138&amp;","&amp;AH138&amp;","&amp;AI138&amp;","&amp;AJ138&amp;","&amp;AK138&amp;","&amp;AL138&amp;","&amp;AM138&amp;","&amp;AN138&amp;","&amp;AO138&amp;")"</f>
        <v>InitUnitNormal('I010',,,,,,,,,,)</v>
      </c>
      <c r="CP138" s="70" t="str">
        <f t="shared" ref="CP138" si="2068">"InitUnitMagic('"&amp;B138&amp;"',"&amp;AP138&amp;","&amp;AQ138&amp;","&amp;AR138&amp;","&amp;AS138&amp;","&amp;AT138&amp;","&amp;AU138&amp;","&amp;AV138&amp;","&amp;AW138&amp;","&amp;BI138&amp;","&amp;BJ138&amp;")"</f>
        <v>InitUnitMagic('I010',,,,,,,,,,10)</v>
      </c>
      <c r="CQ138" s="70" t="str">
        <f t="shared" ref="CQ138" si="2069">"InitUnitAdd('"&amp;B138&amp;"',"&amp;BK138&amp;","&amp;BL138&amp;","&amp;BM138&amp;","&amp;BN138&amp;","&amp;BO138&amp;","&amp;BP138&amp;","&amp;BQ138&amp;","&amp;BR138&amp;","&amp;BS138&amp;","&amp;BT138&amp;")"</f>
        <v>InitUnitAdd('I010',,,,,,,,,,)</v>
      </c>
      <c r="CR138" s="70" t="str">
        <f t="shared" ref="CR138:CR143" si="2070"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188&amp;CR$1&amp;")"</f>
        <v>InitEquipData('I010',,"",,,,,'','','','','','',"ReplaceableTextures\\CommandButtons\\BTNIT01.blp")</v>
      </c>
      <c r="CU138" s="98" t="str">
        <f t="shared" si="1994"/>
        <v>|n护甲+5|n金币加成+10|n</v>
      </c>
      <c r="CV138" s="71" t="str">
        <f t="shared" si="1995"/>
        <v>击杀|Cff00ff7f300个|r敌人后奖励：|n金币|Cffffc926+3000~6000|r|n|n|Cff00ff7f同时只能携带一个招魂幡|r</v>
      </c>
      <c r="CW138" s="61"/>
      <c r="CX138" s="61"/>
      <c r="CY138" s="61"/>
      <c r="CZ138" s="61"/>
      <c r="DA138" s="61"/>
      <c r="DB138" s="72" t="str">
        <f t="shared" si="1996"/>
        <v/>
      </c>
      <c r="DC138" s="72" t="str">
        <f t="shared" si="1997"/>
        <v/>
      </c>
      <c r="DD138" s="72" t="str">
        <f t="shared" si="1998"/>
        <v>|n护甲+5</v>
      </c>
      <c r="DE138" s="72" t="str">
        <f t="shared" si="1999"/>
        <v/>
      </c>
      <c r="DF138" s="72" t="str">
        <f t="shared" si="2000"/>
        <v/>
      </c>
      <c r="DG138" s="72" t="str">
        <f t="shared" si="2001"/>
        <v/>
      </c>
      <c r="DH138" s="72" t="str">
        <f t="shared" si="2002"/>
        <v/>
      </c>
      <c r="DI138" s="72" t="str">
        <f t="shared" si="2003"/>
        <v/>
      </c>
      <c r="DJ138" s="72" t="str">
        <f t="shared" si="2004"/>
        <v/>
      </c>
      <c r="DK138" s="72" t="str">
        <f t="shared" si="2005"/>
        <v/>
      </c>
      <c r="DL138" s="72" t="str">
        <f t="shared" si="2006"/>
        <v/>
      </c>
      <c r="DM138" s="72" t="str">
        <f t="shared" si="2007"/>
        <v/>
      </c>
      <c r="DN138" s="72" t="str">
        <f t="shared" si="2008"/>
        <v/>
      </c>
      <c r="DO138" s="72" t="str">
        <f t="shared" si="2009"/>
        <v/>
      </c>
      <c r="DP138" s="72" t="str">
        <f t="shared" si="2010"/>
        <v/>
      </c>
      <c r="DQ138" s="72" t="str">
        <f t="shared" si="2011"/>
        <v/>
      </c>
      <c r="DR138" s="72" t="str">
        <f t="shared" si="2012"/>
        <v/>
      </c>
      <c r="DS138" s="72" t="str">
        <f t="shared" si="2013"/>
        <v/>
      </c>
      <c r="DT138" s="72" t="str">
        <f t="shared" si="2014"/>
        <v/>
      </c>
      <c r="DU138" s="72" t="str">
        <f t="shared" si="2015"/>
        <v/>
      </c>
      <c r="DV138" s="72" t="str">
        <f t="shared" si="2016"/>
        <v/>
      </c>
      <c r="DW138" s="72" t="str">
        <f t="shared" si="2017"/>
        <v/>
      </c>
      <c r="DX138" s="72" t="str">
        <f t="shared" si="2018"/>
        <v/>
      </c>
      <c r="DY138" s="72" t="str">
        <f t="shared" si="2019"/>
        <v/>
      </c>
      <c r="DZ138" s="72" t="str">
        <f t="shared" si="2020"/>
        <v/>
      </c>
      <c r="EA138" s="72" t="str">
        <f t="shared" si="2021"/>
        <v/>
      </c>
      <c r="EB138" s="72" t="str">
        <f t="shared" si="2022"/>
        <v/>
      </c>
      <c r="EC138" s="72" t="str">
        <f t="shared" si="2023"/>
        <v/>
      </c>
      <c r="ED138" s="72" t="str">
        <f t="shared" si="2024"/>
        <v/>
      </c>
      <c r="EE138" s="72" t="str">
        <f t="shared" si="2025"/>
        <v/>
      </c>
      <c r="EF138" s="72" t="str">
        <f t="shared" si="2026"/>
        <v/>
      </c>
      <c r="EG138" s="72" t="str">
        <f t="shared" si="2027"/>
        <v/>
      </c>
      <c r="EH138" s="72" t="str">
        <f t="shared" si="2028"/>
        <v/>
      </c>
      <c r="EI138" s="72" t="str">
        <f t="shared" si="2029"/>
        <v/>
      </c>
      <c r="EJ138" s="72" t="str">
        <f t="shared" si="2030"/>
        <v/>
      </c>
      <c r="EK138" s="72" t="str">
        <f t="shared" si="2031"/>
        <v/>
      </c>
      <c r="EL138" s="72" t="str">
        <f t="shared" si="2032"/>
        <v/>
      </c>
      <c r="EM138" s="72" t="str">
        <f t="shared" si="2033"/>
        <v/>
      </c>
      <c r="EN138" s="72" t="str">
        <f t="shared" si="2034"/>
        <v/>
      </c>
      <c r="EO138" s="72" t="str">
        <f t="shared" si="2035"/>
        <v/>
      </c>
      <c r="EP138" s="72" t="str">
        <f t="shared" si="2036"/>
        <v>|n金币加成+10</v>
      </c>
      <c r="EQ138" s="72" t="str">
        <f t="shared" si="2037"/>
        <v/>
      </c>
      <c r="ER138" s="72" t="str">
        <f t="shared" si="2038"/>
        <v/>
      </c>
      <c r="ES138" s="72" t="str">
        <f t="shared" si="2039"/>
        <v/>
      </c>
      <c r="ET138" s="72" t="str">
        <f t="shared" si="2040"/>
        <v/>
      </c>
      <c r="EU138" s="72" t="str">
        <f t="shared" si="2041"/>
        <v/>
      </c>
      <c r="EV138" s="72" t="str">
        <f t="shared" si="2042"/>
        <v/>
      </c>
      <c r="EW138" s="72" t="str">
        <f t="shared" si="2043"/>
        <v/>
      </c>
      <c r="EX138" s="72" t="str">
        <f t="shared" si="2044"/>
        <v/>
      </c>
      <c r="EY138" s="72" t="str">
        <f t="shared" si="2045"/>
        <v/>
      </c>
      <c r="EZ138" s="72" t="str">
        <f t="shared" si="2046"/>
        <v/>
      </c>
      <c r="FA138" s="72" t="str">
        <f t="shared" si="2047"/>
        <v/>
      </c>
      <c r="FB138" s="72" t="str">
        <f t="shared" si="2048"/>
        <v/>
      </c>
      <c r="FC138" s="72" t="str">
        <f t="shared" si="2049"/>
        <v/>
      </c>
      <c r="FD138" s="72" t="str">
        <f t="shared" si="2050"/>
        <v/>
      </c>
      <c r="FE138" s="72" t="str">
        <f t="shared" si="2051"/>
        <v/>
      </c>
      <c r="FF138" s="72" t="str">
        <f t="shared" si="2052"/>
        <v/>
      </c>
      <c r="FG138" s="72" t="str">
        <f t="shared" si="2053"/>
        <v/>
      </c>
      <c r="FH138" s="72" t="str">
        <f t="shared" si="2054"/>
        <v/>
      </c>
      <c r="FI138" s="72" t="str">
        <f t="shared" si="2055"/>
        <v/>
      </c>
      <c r="FJ138" s="72" t="str">
        <f t="shared" si="2056"/>
        <v/>
      </c>
      <c r="FK138" s="72" t="str">
        <f t="shared" si="2057"/>
        <v/>
      </c>
      <c r="FL138" s="72" t="str">
        <f t="shared" si="2058"/>
        <v/>
      </c>
      <c r="FM138" s="72" t="str">
        <f t="shared" si="2059"/>
        <v/>
      </c>
      <c r="FN138" s="72" t="str">
        <f t="shared" si="2060"/>
        <v/>
      </c>
      <c r="FO138" s="72" t="str">
        <f t="shared" si="2061"/>
        <v/>
      </c>
      <c r="FP138" s="72" t="str">
        <f t="shared" si="2062"/>
        <v/>
      </c>
      <c r="FQ138" s="72" t="str">
        <f t="shared" si="2063"/>
        <v/>
      </c>
      <c r="FR138" s="72" t="str">
        <f t="shared" si="2064"/>
        <v/>
      </c>
      <c r="FS138" s="72" t="str">
        <f t="shared" si="2065"/>
        <v/>
      </c>
    </row>
    <row r="139" spans="1:175" ht="15">
      <c r="A139" s="104"/>
      <c r="B139" s="104" t="s">
        <v>526</v>
      </c>
      <c r="C139" s="81" t="s">
        <v>527</v>
      </c>
      <c r="T139" s="115" t="s">
        <v>528</v>
      </c>
      <c r="U139" s="111" t="s">
        <v>525</v>
      </c>
      <c r="V139" s="89"/>
      <c r="W139" s="89"/>
      <c r="X139" s="89">
        <v>10</v>
      </c>
      <c r="Y139" s="89"/>
      <c r="Z139" s="89"/>
      <c r="AA139" s="89"/>
      <c r="AB139" s="89"/>
      <c r="AC139" s="89"/>
      <c r="AD139" s="89"/>
      <c r="AE139" s="89"/>
      <c r="AF139" s="89"/>
      <c r="AG139" s="91"/>
      <c r="AH139" s="89"/>
      <c r="AI139" s="89"/>
      <c r="AJ139" s="89"/>
      <c r="AK139" s="89"/>
      <c r="AL139" s="91"/>
      <c r="AM139" s="89"/>
      <c r="AN139" s="89"/>
      <c r="AO139" s="89"/>
      <c r="AP139" s="89"/>
      <c r="AQ139" s="89"/>
      <c r="AR139" s="91"/>
      <c r="AS139" s="91"/>
      <c r="AT139" s="89"/>
      <c r="AU139" s="89"/>
      <c r="AV139" s="89"/>
      <c r="AW139" s="89"/>
      <c r="AX139" s="89"/>
      <c r="AY139" s="89"/>
      <c r="AZ139" s="89"/>
      <c r="BA139" s="89"/>
      <c r="BB139" s="89"/>
      <c r="BC139" s="89"/>
      <c r="BD139" s="89"/>
      <c r="BE139" s="89"/>
      <c r="BF139" s="89"/>
      <c r="BG139" s="89"/>
      <c r="BH139" s="89"/>
      <c r="BI139" s="89"/>
      <c r="BJ139" s="89">
        <v>15</v>
      </c>
      <c r="CN139" s="70" t="str">
        <f t="shared" si="1774"/>
        <v>InitUnitState('I011',,,10,,,,,,,)</v>
      </c>
      <c r="CO139" s="70" t="str">
        <f t="shared" si="1775"/>
        <v>InitUnitNormal('I011',,,,,,,,,,)</v>
      </c>
      <c r="CP139" s="70" t="str">
        <f t="shared" si="1776"/>
        <v>InitUnitMagic('I011',,,,,,,,,,15)</v>
      </c>
      <c r="CQ139" s="70" t="str">
        <f t="shared" si="1777"/>
        <v>InitUnitAdd('I011',,,,,,,,,,)</v>
      </c>
      <c r="CR139" s="70" t="str">
        <f t="shared" si="2070"/>
        <v>InitEquipData('I011',,"",,,,,'','','','','','',"ReplaceableTextures\\CommandButtons\\BTNIT02.blp")</v>
      </c>
      <c r="CU139" s="98" t="str">
        <f t="shared" si="1922"/>
        <v>|n护甲+10|n金币加成+15|n</v>
      </c>
      <c r="CV139" s="71" t="str">
        <f t="shared" si="1923"/>
        <v>击杀|Cff00ff7f1000|r个敌人后奖励：|n金币|Cffffc926+7000~12000|r|n经验|Cffffc926+1000|r|n|n|Cff00ff7f同时只能携带一个招魂幡|r</v>
      </c>
      <c r="CW139" s="61"/>
      <c r="CX139" s="61"/>
      <c r="CY139" s="61"/>
      <c r="CZ139" s="61"/>
      <c r="DA139" s="61"/>
      <c r="DB139" s="72" t="str">
        <f t="shared" si="1924"/>
        <v/>
      </c>
      <c r="DC139" s="72" t="str">
        <f t="shared" si="1925"/>
        <v/>
      </c>
      <c r="DD139" s="72" t="str">
        <f t="shared" si="1926"/>
        <v>|n护甲+10</v>
      </c>
      <c r="DE139" s="72" t="str">
        <f t="shared" si="1927"/>
        <v/>
      </c>
      <c r="DF139" s="72" t="str">
        <f t="shared" si="1928"/>
        <v/>
      </c>
      <c r="DG139" s="72" t="str">
        <f t="shared" si="1929"/>
        <v/>
      </c>
      <c r="DH139" s="72" t="str">
        <f t="shared" si="1930"/>
        <v/>
      </c>
      <c r="DI139" s="72" t="str">
        <f t="shared" si="1931"/>
        <v/>
      </c>
      <c r="DJ139" s="72" t="str">
        <f t="shared" si="1932"/>
        <v/>
      </c>
      <c r="DK139" s="72" t="str">
        <f t="shared" si="1933"/>
        <v/>
      </c>
      <c r="DL139" s="72" t="str">
        <f t="shared" si="1934"/>
        <v/>
      </c>
      <c r="DM139" s="72" t="str">
        <f t="shared" si="1935"/>
        <v/>
      </c>
      <c r="DN139" s="72" t="str">
        <f t="shared" si="1936"/>
        <v/>
      </c>
      <c r="DO139" s="72" t="str">
        <f t="shared" si="1937"/>
        <v/>
      </c>
      <c r="DP139" s="72" t="str">
        <f t="shared" si="1938"/>
        <v/>
      </c>
      <c r="DQ139" s="72" t="str">
        <f t="shared" si="1939"/>
        <v/>
      </c>
      <c r="DR139" s="72" t="str">
        <f t="shared" si="1940"/>
        <v/>
      </c>
      <c r="DS139" s="72" t="str">
        <f t="shared" si="1941"/>
        <v/>
      </c>
      <c r="DT139" s="72" t="str">
        <f t="shared" si="1942"/>
        <v/>
      </c>
      <c r="DU139" s="72" t="str">
        <f t="shared" si="1943"/>
        <v/>
      </c>
      <c r="DV139" s="72" t="str">
        <f t="shared" si="1944"/>
        <v/>
      </c>
      <c r="DW139" s="72" t="str">
        <f t="shared" si="1945"/>
        <v/>
      </c>
      <c r="DX139" s="72" t="str">
        <f t="shared" si="1946"/>
        <v/>
      </c>
      <c r="DY139" s="72" t="str">
        <f t="shared" si="1947"/>
        <v/>
      </c>
      <c r="DZ139" s="72" t="str">
        <f t="shared" si="1948"/>
        <v/>
      </c>
      <c r="EA139" s="72" t="str">
        <f t="shared" si="1949"/>
        <v/>
      </c>
      <c r="EB139" s="72" t="str">
        <f t="shared" si="1950"/>
        <v/>
      </c>
      <c r="EC139" s="72" t="str">
        <f t="shared" si="1951"/>
        <v/>
      </c>
      <c r="ED139" s="72" t="str">
        <f t="shared" si="1952"/>
        <v/>
      </c>
      <c r="EE139" s="72" t="str">
        <f t="shared" si="1953"/>
        <v/>
      </c>
      <c r="EF139" s="72" t="str">
        <f t="shared" si="1954"/>
        <v/>
      </c>
      <c r="EG139" s="72" t="str">
        <f t="shared" si="1955"/>
        <v/>
      </c>
      <c r="EH139" s="72" t="str">
        <f t="shared" si="1956"/>
        <v/>
      </c>
      <c r="EI139" s="72" t="str">
        <f t="shared" si="1957"/>
        <v/>
      </c>
      <c r="EJ139" s="72" t="str">
        <f t="shared" si="1958"/>
        <v/>
      </c>
      <c r="EK139" s="72" t="str">
        <f t="shared" si="1959"/>
        <v/>
      </c>
      <c r="EL139" s="72" t="str">
        <f t="shared" si="1960"/>
        <v/>
      </c>
      <c r="EM139" s="72" t="str">
        <f t="shared" si="1961"/>
        <v/>
      </c>
      <c r="EN139" s="72" t="str">
        <f t="shared" si="1962"/>
        <v/>
      </c>
      <c r="EO139" s="72" t="str">
        <f t="shared" si="1963"/>
        <v/>
      </c>
      <c r="EP139" s="72" t="str">
        <f t="shared" si="1964"/>
        <v>|n金币加成+15</v>
      </c>
      <c r="EQ139" s="72" t="str">
        <f t="shared" si="1965"/>
        <v/>
      </c>
      <c r="ER139" s="72" t="str">
        <f t="shared" si="1966"/>
        <v/>
      </c>
      <c r="ES139" s="72" t="str">
        <f t="shared" si="1967"/>
        <v/>
      </c>
      <c r="ET139" s="72" t="str">
        <f t="shared" si="1968"/>
        <v/>
      </c>
      <c r="EU139" s="72" t="str">
        <f t="shared" si="1969"/>
        <v/>
      </c>
      <c r="EV139" s="72" t="str">
        <f t="shared" si="1970"/>
        <v/>
      </c>
      <c r="EW139" s="72" t="str">
        <f t="shared" si="1971"/>
        <v/>
      </c>
      <c r="EX139" s="72" t="str">
        <f t="shared" si="1972"/>
        <v/>
      </c>
      <c r="EY139" s="72" t="str">
        <f t="shared" si="1973"/>
        <v/>
      </c>
      <c r="EZ139" s="72" t="str">
        <f t="shared" si="1974"/>
        <v/>
      </c>
      <c r="FA139" s="72" t="str">
        <f t="shared" si="1975"/>
        <v/>
      </c>
      <c r="FB139" s="72" t="str">
        <f t="shared" si="1976"/>
        <v/>
      </c>
      <c r="FC139" s="72" t="str">
        <f t="shared" si="1977"/>
        <v/>
      </c>
      <c r="FD139" s="72" t="str">
        <f t="shared" si="1978"/>
        <v/>
      </c>
      <c r="FE139" s="72" t="str">
        <f t="shared" si="1979"/>
        <v/>
      </c>
      <c r="FF139" s="72" t="str">
        <f t="shared" si="1980"/>
        <v/>
      </c>
      <c r="FG139" s="72" t="str">
        <f t="shared" si="1981"/>
        <v/>
      </c>
      <c r="FH139" s="72" t="str">
        <f t="shared" si="1982"/>
        <v/>
      </c>
      <c r="FI139" s="72" t="str">
        <f t="shared" si="1983"/>
        <v/>
      </c>
      <c r="FJ139" s="72" t="str">
        <f t="shared" si="1984"/>
        <v/>
      </c>
      <c r="FK139" s="72" t="str">
        <f t="shared" si="1985"/>
        <v/>
      </c>
      <c r="FL139" s="72" t="str">
        <f t="shared" si="1986"/>
        <v/>
      </c>
      <c r="FM139" s="72" t="str">
        <f t="shared" si="1987"/>
        <v/>
      </c>
      <c r="FN139" s="72" t="str">
        <f t="shared" si="1988"/>
        <v/>
      </c>
      <c r="FO139" s="72" t="str">
        <f t="shared" si="1989"/>
        <v/>
      </c>
      <c r="FP139" s="72" t="str">
        <f t="shared" si="1990"/>
        <v/>
      </c>
      <c r="FQ139" s="72" t="str">
        <f t="shared" si="1991"/>
        <v/>
      </c>
      <c r="FR139" s="72" t="str">
        <f t="shared" si="1992"/>
        <v/>
      </c>
      <c r="FS139" s="72" t="str">
        <f t="shared" si="1993"/>
        <v/>
      </c>
    </row>
    <row r="140" spans="1:175" ht="15">
      <c r="A140" s="104"/>
      <c r="B140" s="104" t="s">
        <v>529</v>
      </c>
      <c r="C140" s="117" t="s">
        <v>530</v>
      </c>
      <c r="T140" s="115" t="s">
        <v>531</v>
      </c>
      <c r="U140" s="111" t="s">
        <v>532</v>
      </c>
      <c r="V140" s="89"/>
      <c r="W140" s="89"/>
      <c r="X140" s="89">
        <v>20</v>
      </c>
      <c r="Y140" s="89"/>
      <c r="Z140" s="89"/>
      <c r="AA140" s="89"/>
      <c r="AB140" s="89"/>
      <c r="AC140" s="89"/>
      <c r="AD140" s="89"/>
      <c r="AE140" s="89"/>
      <c r="AF140" s="89"/>
      <c r="AG140" s="91"/>
      <c r="AH140" s="89"/>
      <c r="AI140" s="89"/>
      <c r="AJ140" s="89"/>
      <c r="AK140" s="89"/>
      <c r="AL140" s="91"/>
      <c r="AM140" s="89"/>
      <c r="AN140" s="89"/>
      <c r="AO140" s="89"/>
      <c r="AP140" s="89"/>
      <c r="AQ140" s="89"/>
      <c r="AR140" s="91"/>
      <c r="AS140" s="91"/>
      <c r="AT140" s="89"/>
      <c r="AU140" s="89"/>
      <c r="AV140" s="89"/>
      <c r="AW140" s="89"/>
      <c r="AX140" s="89"/>
      <c r="AY140" s="89"/>
      <c r="AZ140" s="89"/>
      <c r="BA140" s="89"/>
      <c r="BB140" s="89"/>
      <c r="BC140" s="89"/>
      <c r="BD140" s="89"/>
      <c r="BE140" s="89"/>
      <c r="BF140" s="89"/>
      <c r="BG140" s="89"/>
      <c r="BH140" s="89"/>
      <c r="BI140" s="89"/>
      <c r="BJ140" s="89">
        <v>20</v>
      </c>
      <c r="CN140" s="70" t="str">
        <f t="shared" si="1774"/>
        <v>InitUnitState('I012',,,20,,,,,,,)</v>
      </c>
      <c r="CO140" s="70" t="str">
        <f t="shared" si="1775"/>
        <v>InitUnitNormal('I012',,,,,,,,,,)</v>
      </c>
      <c r="CP140" s="70" t="str">
        <f t="shared" si="1776"/>
        <v>InitUnitMagic('I012',,,,,,,,,,20)</v>
      </c>
      <c r="CQ140" s="70" t="str">
        <f t="shared" si="1777"/>
        <v>InitUnitAdd('I012',,,,,,,,,,)</v>
      </c>
      <c r="CR140" s="70" t="str">
        <f t="shared" si="2070"/>
        <v>InitEquipData('I012',,"",,,,,'','','','','','',"ReplaceableTextures\\CommandButtons\\BTNIT03.blp")</v>
      </c>
      <c r="CU140" s="98" t="str">
        <f t="shared" ref="CU140:CU141" si="2071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|n护甲+20|n金币加成+20|n</v>
      </c>
      <c r="CV140" s="71" t="str">
        <f t="shared" ref="CV140:CV141" si="2072">T140</f>
        <v>金币加成|Cffffc926+5%|r|n|n击杀|Cff00ff7f1000个|r敌人后奖励：|n金币|Cffffc926+8000~13000|r|n经验|Cffffc926+2000|r|n|n|Cff00ff7f同时只能携带一个招魂幡|r</v>
      </c>
      <c r="CW140" s="61"/>
      <c r="CX140" s="61"/>
      <c r="CY140" s="61"/>
      <c r="CZ140" s="61"/>
      <c r="DA140" s="61"/>
      <c r="DB140" s="72" t="str">
        <f t="shared" ref="DB140:DB141" si="2073">IF(V140="","","|n"&amp;DB$2&amp;"+"&amp;V140&amp;DB$1)</f>
        <v/>
      </c>
      <c r="DC140" s="72" t="str">
        <f t="shared" ref="DC140:DC141" si="2074">IF(W140="","","|n"&amp;DC$2&amp;"+"&amp;W140&amp;DC$1)</f>
        <v/>
      </c>
      <c r="DD140" s="72" t="str">
        <f t="shared" ref="DD140:DD141" si="2075">IF(X140="","","|n"&amp;DD$2&amp;"+"&amp;X140&amp;DD$1)</f>
        <v>|n护甲+20</v>
      </c>
      <c r="DE140" s="72" t="str">
        <f t="shared" ref="DE140:DE141" si="2076">IF(Y140="","","|n"&amp;DE$2&amp;"+"&amp;Y140&amp;DE$1)</f>
        <v/>
      </c>
      <c r="DF140" s="72" t="str">
        <f t="shared" ref="DF140:DF141" si="2077">IF(Z140="","","|n"&amp;DF$2&amp;"+"&amp;Z140&amp;DF$1)</f>
        <v/>
      </c>
      <c r="DG140" s="72" t="str">
        <f t="shared" ref="DG140:DG141" si="2078">IF(AA140="","","|n"&amp;DG$2&amp;"+"&amp;AA140&amp;DG$1)</f>
        <v/>
      </c>
      <c r="DH140" s="72" t="str">
        <f t="shared" ref="DH140:DH141" si="2079">IF(AB140="","","|n"&amp;DH$2&amp;"+"&amp;AB140&amp;DH$1)</f>
        <v/>
      </c>
      <c r="DI140" s="72" t="str">
        <f t="shared" ref="DI140:DI141" si="2080">IF(AC140="","","|n"&amp;DI$2&amp;"+"&amp;AC140&amp;DI$1)</f>
        <v/>
      </c>
      <c r="DJ140" s="72" t="str">
        <f t="shared" ref="DJ140:DJ141" si="2081">IF(AD140="","","|n"&amp;DJ$2&amp;"+"&amp;AD140&amp;DJ$1)</f>
        <v/>
      </c>
      <c r="DK140" s="72" t="str">
        <f t="shared" ref="DK140:DK141" si="2082">IF(AE140="","","|n"&amp;DK$2&amp;"+"&amp;AE140&amp;DK$1)</f>
        <v/>
      </c>
      <c r="DL140" s="72" t="str">
        <f t="shared" ref="DL140:DL141" si="2083">IF(AF140="","","|n"&amp;DL$2&amp;"+"&amp;AF140&amp;DL$1)</f>
        <v/>
      </c>
      <c r="DM140" s="72" t="str">
        <f t="shared" ref="DM140:DM141" si="2084">IF(AG140="","","|n"&amp;DM$2&amp;"+"&amp;AG140&amp;DM$1)</f>
        <v/>
      </c>
      <c r="DN140" s="72" t="str">
        <f t="shared" ref="DN140:DN141" si="2085">IF(AH140="","","|n"&amp;DN$2&amp;"+"&amp;AH140&amp;DN$1)</f>
        <v/>
      </c>
      <c r="DO140" s="72" t="str">
        <f t="shared" ref="DO140:DO141" si="2086">IF(AI140="","","|n"&amp;DO$2&amp;"+"&amp;AI140&amp;DO$1)</f>
        <v/>
      </c>
      <c r="DP140" s="72" t="str">
        <f t="shared" ref="DP140:DP141" si="2087">IF(AJ140="","","|n"&amp;DP$2&amp;"+"&amp;AJ140&amp;DP$1)</f>
        <v/>
      </c>
      <c r="DQ140" s="72" t="str">
        <f t="shared" ref="DQ140:DQ141" si="2088">IF(AK140="","","|n"&amp;DQ$2&amp;"+"&amp;AK140&amp;DQ$1)</f>
        <v/>
      </c>
      <c r="DR140" s="72" t="str">
        <f t="shared" ref="DR140:DR141" si="2089">IF(AL140="","","|n"&amp;DR$2&amp;"+"&amp;AL140&amp;DR$1)</f>
        <v/>
      </c>
      <c r="DS140" s="72" t="str">
        <f t="shared" ref="DS140:DS141" si="2090">IF(AM140="","","|n"&amp;DS$2&amp;"+"&amp;AM140&amp;DS$1)</f>
        <v/>
      </c>
      <c r="DT140" s="72" t="str">
        <f t="shared" ref="DT140:DT141" si="2091">IF(AN140="","","|n"&amp;DT$2&amp;"+"&amp;AN140&amp;DT$1)</f>
        <v/>
      </c>
      <c r="DU140" s="72" t="str">
        <f t="shared" ref="DU140:DU141" si="2092">IF(AO140="","","|n"&amp;DU$2&amp;"+"&amp;AO140&amp;DU$1)</f>
        <v/>
      </c>
      <c r="DV140" s="72" t="str">
        <f t="shared" ref="DV140:DV141" si="2093">IF(AP140="","","|n"&amp;DV$2&amp;"+"&amp;AP140&amp;DV$1)</f>
        <v/>
      </c>
      <c r="DW140" s="72" t="str">
        <f t="shared" ref="DW140:DW141" si="2094">IF(AQ140="","","|n"&amp;DW$2&amp;"+"&amp;AQ140&amp;DW$1)</f>
        <v/>
      </c>
      <c r="DX140" s="72" t="str">
        <f t="shared" ref="DX140:DX141" si="2095">IF(AR140="","","|n"&amp;DX$2&amp;"+"&amp;AR140&amp;DX$1)</f>
        <v/>
      </c>
      <c r="DY140" s="72" t="str">
        <f t="shared" ref="DY140:DY141" si="2096">IF(AS140="","","|n"&amp;DY$2&amp;"+"&amp;AS140&amp;DY$1)</f>
        <v/>
      </c>
      <c r="DZ140" s="72" t="str">
        <f t="shared" ref="DZ140:DZ141" si="2097">IF(AT140="","","|n"&amp;DZ$2&amp;"+"&amp;AT140&amp;DZ$1)</f>
        <v/>
      </c>
      <c r="EA140" s="72" t="str">
        <f t="shared" ref="EA140:EA141" si="2098">IF(AU140="","","|n"&amp;EA$2&amp;"+"&amp;AU140&amp;EA$1)</f>
        <v/>
      </c>
      <c r="EB140" s="72" t="str">
        <f t="shared" ref="EB140:EB141" si="2099">IF(AV140="","","|n"&amp;EB$2&amp;"+"&amp;AV140&amp;EB$1)</f>
        <v/>
      </c>
      <c r="EC140" s="72" t="str">
        <f t="shared" ref="EC140:EC141" si="2100">IF(AW140="","","|n"&amp;EC$2&amp;"+"&amp;AW140&amp;EC$1)</f>
        <v/>
      </c>
      <c r="ED140" s="72" t="str">
        <f t="shared" ref="ED140:ED141" si="2101">IF(AX140="","","|n"&amp;ED$2&amp;"+"&amp;AX140&amp;ED$1)</f>
        <v/>
      </c>
      <c r="EE140" s="72" t="str">
        <f t="shared" ref="EE140:EE141" si="2102">IF(AY140="","","|n"&amp;EE$2&amp;"+"&amp;AY140&amp;EE$1)</f>
        <v/>
      </c>
      <c r="EF140" s="72" t="str">
        <f t="shared" ref="EF140:EF141" si="2103">IF(AZ140="","","|n"&amp;EF$2&amp;"+"&amp;AZ140&amp;EF$1)</f>
        <v/>
      </c>
      <c r="EG140" s="72" t="str">
        <f t="shared" ref="EG140:EG141" si="2104">IF(BA140="","","|n"&amp;EG$2&amp;"+"&amp;BA140&amp;EG$1)</f>
        <v/>
      </c>
      <c r="EH140" s="72" t="str">
        <f t="shared" ref="EH140:EH141" si="2105">IF(BB140="","","|n"&amp;EH$2&amp;"+"&amp;BB140&amp;EH$1)</f>
        <v/>
      </c>
      <c r="EI140" s="72" t="str">
        <f t="shared" ref="EI140:EI141" si="2106">IF(BC140="","","|n"&amp;EI$2&amp;"+"&amp;BC140&amp;EI$1)</f>
        <v/>
      </c>
      <c r="EJ140" s="72" t="str">
        <f t="shared" ref="EJ140:EJ141" si="2107">IF(BD140="","","|n"&amp;EJ$2&amp;"+"&amp;BD140&amp;EJ$1)</f>
        <v/>
      </c>
      <c r="EK140" s="72" t="str">
        <f t="shared" ref="EK140:EK141" si="2108">IF(BE140="","","|n"&amp;EK$2&amp;"+"&amp;BE140&amp;EK$1)</f>
        <v/>
      </c>
      <c r="EL140" s="72" t="str">
        <f t="shared" ref="EL140:EL141" si="2109">IF(BF140="","","|n"&amp;EL$2&amp;"+"&amp;BF140&amp;EL$1)</f>
        <v/>
      </c>
      <c r="EM140" s="72" t="str">
        <f t="shared" ref="EM140:EM141" si="2110">IF(BG140="","","|n"&amp;EM$2&amp;"+"&amp;BG140&amp;EM$1)</f>
        <v/>
      </c>
      <c r="EN140" s="72" t="str">
        <f t="shared" ref="EN140:EN141" si="2111">IF(BH140="","","|n"&amp;EN$2&amp;"+"&amp;BH140&amp;EN$1)</f>
        <v/>
      </c>
      <c r="EO140" s="72" t="str">
        <f t="shared" ref="EO140:EO141" si="2112">IF(BI140="","","|n"&amp;EO$2&amp;"+"&amp;BI140&amp;EO$1)</f>
        <v/>
      </c>
      <c r="EP140" s="72" t="str">
        <f t="shared" ref="EP140:EP141" si="2113">IF(BJ140="","","|n"&amp;EP$2&amp;"+"&amp;BJ140&amp;EP$1)</f>
        <v>|n金币加成+20</v>
      </c>
      <c r="EQ140" s="72" t="str">
        <f t="shared" ref="EQ140:EQ141" si="2114">IF(BK140="","","|n"&amp;EQ$2&amp;"+"&amp;BK140&amp;EQ$1)</f>
        <v/>
      </c>
      <c r="ER140" s="72" t="str">
        <f t="shared" ref="ER140:ER141" si="2115">IF(BL140="","","|n"&amp;ER$2&amp;"+"&amp;BL140&amp;ER$1)</f>
        <v/>
      </c>
      <c r="ES140" s="72" t="str">
        <f t="shared" ref="ES140:ES141" si="2116">IF(BM140="","","|n"&amp;ES$2&amp;"+"&amp;BM140&amp;ES$1)</f>
        <v/>
      </c>
      <c r="ET140" s="72" t="str">
        <f t="shared" ref="ET140:ET141" si="2117">IF(BN140="","","|n"&amp;ET$2&amp;"+"&amp;BN140&amp;ET$1)</f>
        <v/>
      </c>
      <c r="EU140" s="72" t="str">
        <f t="shared" ref="EU140:EU141" si="2118">IF(BO140="","","|n"&amp;EU$2&amp;"+"&amp;BO140&amp;EU$1)</f>
        <v/>
      </c>
      <c r="EV140" s="72" t="str">
        <f t="shared" ref="EV140:EV141" si="2119">IF(BP140="","","|n"&amp;EV$2&amp;"+"&amp;BP140&amp;EV$1)</f>
        <v/>
      </c>
      <c r="EW140" s="72" t="str">
        <f t="shared" ref="EW140:EW141" si="2120">IF(BQ140="","","|n"&amp;EW$2&amp;"+"&amp;BQ140&amp;EW$1)</f>
        <v/>
      </c>
      <c r="EX140" s="72" t="str">
        <f t="shared" ref="EX140:EX141" si="2121">IF(BR140="","","|n"&amp;EX$2&amp;"+"&amp;BR140&amp;EX$1)</f>
        <v/>
      </c>
      <c r="EY140" s="72" t="str">
        <f t="shared" ref="EY140:EY141" si="2122">IF(BS140="","","|n"&amp;EY$2&amp;"+"&amp;BS140&amp;EY$1)</f>
        <v/>
      </c>
      <c r="EZ140" s="72" t="str">
        <f t="shared" ref="EZ140:EZ141" si="2123">IF(BT140="","","|n"&amp;EZ$2&amp;"+"&amp;BT140&amp;EZ$1)</f>
        <v/>
      </c>
      <c r="FA140" s="72" t="str">
        <f t="shared" ref="FA140:FA141" si="2124">IF(BU140="","","|n"&amp;FA$2&amp;"+"&amp;BU140&amp;FA$1)</f>
        <v/>
      </c>
      <c r="FB140" s="72" t="str">
        <f t="shared" ref="FB140:FB141" si="2125">IF(BV140="","","|n"&amp;FB$2&amp;"+"&amp;BV140&amp;FB$1)</f>
        <v/>
      </c>
      <c r="FC140" s="72" t="str">
        <f t="shared" ref="FC140:FC141" si="2126">IF(BW140="","","|n"&amp;FC$2&amp;"+"&amp;BW140&amp;FC$1)</f>
        <v/>
      </c>
      <c r="FD140" s="72" t="str">
        <f t="shared" ref="FD140:FD141" si="2127">IF(BX140="","","|n"&amp;FD$2&amp;"+"&amp;BX140&amp;FD$1)</f>
        <v/>
      </c>
      <c r="FE140" s="72" t="str">
        <f t="shared" ref="FE140:FE141" si="2128">IF(BY140="","","|n"&amp;FE$2&amp;"+"&amp;BY140&amp;FE$1)</f>
        <v/>
      </c>
      <c r="FF140" s="72" t="str">
        <f t="shared" ref="FF140:FF141" si="2129">IF(BZ140="","","|n"&amp;FF$2&amp;"+"&amp;BZ140&amp;FF$1)</f>
        <v/>
      </c>
      <c r="FG140" s="72" t="str">
        <f t="shared" ref="FG140:FG141" si="2130">IF(CA140="","","|n"&amp;FG$2&amp;"+"&amp;CA140&amp;FG$1)</f>
        <v/>
      </c>
      <c r="FH140" s="72" t="str">
        <f t="shared" ref="FH140:FH141" si="2131">IF(CB140="","","|n"&amp;FH$2&amp;"+"&amp;CB140&amp;FH$1)</f>
        <v/>
      </c>
      <c r="FI140" s="72" t="str">
        <f t="shared" ref="FI140:FI141" si="2132">IF(CC140="","","|n"&amp;FI$2&amp;"+"&amp;CC140&amp;FI$1)</f>
        <v/>
      </c>
      <c r="FJ140" s="72" t="str">
        <f t="shared" ref="FJ140:FJ141" si="2133">IF(CD140="","","|n"&amp;FJ$2&amp;"+"&amp;CD140&amp;FJ$1)</f>
        <v/>
      </c>
      <c r="FK140" s="72" t="str">
        <f t="shared" ref="FK140:FK141" si="2134">IF(CE140="","","|n"&amp;FK$2&amp;"+"&amp;CE140&amp;FK$1)</f>
        <v/>
      </c>
      <c r="FL140" s="72" t="str">
        <f t="shared" ref="FL140:FL141" si="2135">IF(CF140="","","|n"&amp;FL$2&amp;"+"&amp;CF140&amp;FL$1)</f>
        <v/>
      </c>
      <c r="FM140" s="72" t="str">
        <f t="shared" ref="FM140:FM141" si="2136">IF(CG140="","","|n"&amp;FM$2&amp;"+"&amp;CG140&amp;FM$1)</f>
        <v/>
      </c>
      <c r="FN140" s="72" t="str">
        <f t="shared" ref="FN140:FN141" si="2137">IF(CH140="","","|n"&amp;FN$2&amp;"+"&amp;CH140&amp;FN$1)</f>
        <v/>
      </c>
      <c r="FO140" s="72" t="str">
        <f t="shared" ref="FO140:FO141" si="2138">IF(CI140="","","|n"&amp;FO$2&amp;"+"&amp;CI140&amp;FO$1)</f>
        <v/>
      </c>
      <c r="FP140" s="72" t="str">
        <f t="shared" ref="FP140:FP141" si="2139">IF(CJ140="","","|n"&amp;FP$2&amp;"+"&amp;CJ140&amp;FP$1)</f>
        <v/>
      </c>
      <c r="FQ140" s="72" t="str">
        <f t="shared" ref="FQ140:FQ141" si="2140">IF(CK140="","","|n"&amp;FQ$2&amp;"+"&amp;CK140&amp;FQ$1)</f>
        <v/>
      </c>
      <c r="FR140" s="72" t="str">
        <f t="shared" ref="FR140:FR141" si="2141">IF(CL140="","","|n"&amp;FR$2&amp;"+"&amp;CL140&amp;FR$1)</f>
        <v/>
      </c>
      <c r="FS140" s="72" t="str">
        <f t="shared" ref="FS140:FS141" si="2142">IF(CM140="","","|n"&amp;FS$2&amp;"+"&amp;CM140&amp;FS$1)</f>
        <v/>
      </c>
    </row>
    <row r="141" spans="1:175" ht="15">
      <c r="A141" s="104"/>
      <c r="B141" s="104" t="s">
        <v>533</v>
      </c>
      <c r="C141" s="117" t="s">
        <v>534</v>
      </c>
      <c r="T141" s="115" t="s">
        <v>535</v>
      </c>
      <c r="U141" s="111" t="s">
        <v>536</v>
      </c>
      <c r="V141" s="89"/>
      <c r="W141" s="89"/>
      <c r="X141" s="89">
        <v>30</v>
      </c>
      <c r="Y141" s="89"/>
      <c r="Z141" s="89"/>
      <c r="AA141" s="89"/>
      <c r="AB141" s="89"/>
      <c r="AC141" s="89"/>
      <c r="AD141" s="89"/>
      <c r="AE141" s="89"/>
      <c r="AF141" s="89"/>
      <c r="AG141" s="91"/>
      <c r="AH141" s="89"/>
      <c r="AI141" s="89"/>
      <c r="AJ141" s="89"/>
      <c r="AK141" s="89"/>
      <c r="AL141" s="91"/>
      <c r="AM141" s="89"/>
      <c r="AN141" s="89"/>
      <c r="AO141" s="89"/>
      <c r="AP141" s="89"/>
      <c r="AQ141" s="89"/>
      <c r="AR141" s="91"/>
      <c r="AS141" s="91"/>
      <c r="AT141" s="89"/>
      <c r="AU141" s="89"/>
      <c r="AV141" s="89"/>
      <c r="AW141" s="89"/>
      <c r="AX141" s="89"/>
      <c r="AY141" s="89"/>
      <c r="AZ141" s="89"/>
      <c r="BA141" s="89"/>
      <c r="BB141" s="89"/>
      <c r="BC141" s="89"/>
      <c r="BD141" s="89"/>
      <c r="BE141" s="89"/>
      <c r="BF141" s="89"/>
      <c r="BG141" s="89"/>
      <c r="BH141" s="89"/>
      <c r="BI141" s="89"/>
      <c r="BJ141" s="89">
        <v>25</v>
      </c>
      <c r="CN141" s="70" t="str">
        <f t="shared" si="1774"/>
        <v>InitUnitState('I013',,,30,,,,,,,)</v>
      </c>
      <c r="CO141" s="70" t="str">
        <f t="shared" si="1775"/>
        <v>InitUnitNormal('I013',,,,,,,,,,)</v>
      </c>
      <c r="CP141" s="70" t="str">
        <f t="shared" si="1776"/>
        <v>InitUnitMagic('I013',,,,,,,,,,25)</v>
      </c>
      <c r="CQ141" s="70" t="str">
        <f t="shared" si="1777"/>
        <v>InitUnitAdd('I013',,,,,,,,,,)</v>
      </c>
      <c r="CR141" s="70" t="str">
        <f t="shared" si="2070"/>
        <v>InitEquipData('I013',,"",,,,,'','','','','','',"ReplaceableTextures\\CommandButtons\\BTNIT04.blp")</v>
      </c>
      <c r="CU141" s="98" t="str">
        <f t="shared" si="2071"/>
        <v>|n护甲+30|n金币加成+25|n</v>
      </c>
      <c r="CV141" s="71" t="str">
        <f t="shared" si="2072"/>
        <v>金币加成|Cffffc926+10%|r|n|n击杀|Cff00ff7f1000个|r敌人后奖励：|n金币|Cffffc926+9000~14000|r|n经验|Cffffc926+4000|r|n|n|Cff00ff7f同时只能携带一个招魂幡|r</v>
      </c>
      <c r="CW141" s="61"/>
      <c r="CX141" s="61"/>
      <c r="CY141" s="61"/>
      <c r="CZ141" s="61"/>
      <c r="DA141" s="61"/>
      <c r="DB141" s="72" t="str">
        <f t="shared" si="2073"/>
        <v/>
      </c>
      <c r="DC141" s="72" t="str">
        <f t="shared" si="2074"/>
        <v/>
      </c>
      <c r="DD141" s="72" t="str">
        <f t="shared" si="2075"/>
        <v>|n护甲+30</v>
      </c>
      <c r="DE141" s="72" t="str">
        <f t="shared" si="2076"/>
        <v/>
      </c>
      <c r="DF141" s="72" t="str">
        <f t="shared" si="2077"/>
        <v/>
      </c>
      <c r="DG141" s="72" t="str">
        <f t="shared" si="2078"/>
        <v/>
      </c>
      <c r="DH141" s="72" t="str">
        <f t="shared" si="2079"/>
        <v/>
      </c>
      <c r="DI141" s="72" t="str">
        <f t="shared" si="2080"/>
        <v/>
      </c>
      <c r="DJ141" s="72" t="str">
        <f t="shared" si="2081"/>
        <v/>
      </c>
      <c r="DK141" s="72" t="str">
        <f t="shared" si="2082"/>
        <v/>
      </c>
      <c r="DL141" s="72" t="str">
        <f t="shared" si="2083"/>
        <v/>
      </c>
      <c r="DM141" s="72" t="str">
        <f t="shared" si="2084"/>
        <v/>
      </c>
      <c r="DN141" s="72" t="str">
        <f t="shared" si="2085"/>
        <v/>
      </c>
      <c r="DO141" s="72" t="str">
        <f t="shared" si="2086"/>
        <v/>
      </c>
      <c r="DP141" s="72" t="str">
        <f t="shared" si="2087"/>
        <v/>
      </c>
      <c r="DQ141" s="72" t="str">
        <f t="shared" si="2088"/>
        <v/>
      </c>
      <c r="DR141" s="72" t="str">
        <f t="shared" si="2089"/>
        <v/>
      </c>
      <c r="DS141" s="72" t="str">
        <f t="shared" si="2090"/>
        <v/>
      </c>
      <c r="DT141" s="72" t="str">
        <f t="shared" si="2091"/>
        <v/>
      </c>
      <c r="DU141" s="72" t="str">
        <f t="shared" si="2092"/>
        <v/>
      </c>
      <c r="DV141" s="72" t="str">
        <f t="shared" si="2093"/>
        <v/>
      </c>
      <c r="DW141" s="72" t="str">
        <f t="shared" si="2094"/>
        <v/>
      </c>
      <c r="DX141" s="72" t="str">
        <f t="shared" si="2095"/>
        <v/>
      </c>
      <c r="DY141" s="72" t="str">
        <f t="shared" si="2096"/>
        <v/>
      </c>
      <c r="DZ141" s="72" t="str">
        <f t="shared" si="2097"/>
        <v/>
      </c>
      <c r="EA141" s="72" t="str">
        <f t="shared" si="2098"/>
        <v/>
      </c>
      <c r="EB141" s="72" t="str">
        <f t="shared" si="2099"/>
        <v/>
      </c>
      <c r="EC141" s="72" t="str">
        <f t="shared" si="2100"/>
        <v/>
      </c>
      <c r="ED141" s="72" t="str">
        <f t="shared" si="2101"/>
        <v/>
      </c>
      <c r="EE141" s="72" t="str">
        <f t="shared" si="2102"/>
        <v/>
      </c>
      <c r="EF141" s="72" t="str">
        <f t="shared" si="2103"/>
        <v/>
      </c>
      <c r="EG141" s="72" t="str">
        <f t="shared" si="2104"/>
        <v/>
      </c>
      <c r="EH141" s="72" t="str">
        <f t="shared" si="2105"/>
        <v/>
      </c>
      <c r="EI141" s="72" t="str">
        <f t="shared" si="2106"/>
        <v/>
      </c>
      <c r="EJ141" s="72" t="str">
        <f t="shared" si="2107"/>
        <v/>
      </c>
      <c r="EK141" s="72" t="str">
        <f t="shared" si="2108"/>
        <v/>
      </c>
      <c r="EL141" s="72" t="str">
        <f t="shared" si="2109"/>
        <v/>
      </c>
      <c r="EM141" s="72" t="str">
        <f t="shared" si="2110"/>
        <v/>
      </c>
      <c r="EN141" s="72" t="str">
        <f t="shared" si="2111"/>
        <v/>
      </c>
      <c r="EO141" s="72" t="str">
        <f t="shared" si="2112"/>
        <v/>
      </c>
      <c r="EP141" s="72" t="str">
        <f t="shared" si="2113"/>
        <v>|n金币加成+25</v>
      </c>
      <c r="EQ141" s="72" t="str">
        <f t="shared" si="2114"/>
        <v/>
      </c>
      <c r="ER141" s="72" t="str">
        <f t="shared" si="2115"/>
        <v/>
      </c>
      <c r="ES141" s="72" t="str">
        <f t="shared" si="2116"/>
        <v/>
      </c>
      <c r="ET141" s="72" t="str">
        <f t="shared" si="2117"/>
        <v/>
      </c>
      <c r="EU141" s="72" t="str">
        <f t="shared" si="2118"/>
        <v/>
      </c>
      <c r="EV141" s="72" t="str">
        <f t="shared" si="2119"/>
        <v/>
      </c>
      <c r="EW141" s="72" t="str">
        <f t="shared" si="2120"/>
        <v/>
      </c>
      <c r="EX141" s="72" t="str">
        <f t="shared" si="2121"/>
        <v/>
      </c>
      <c r="EY141" s="72" t="str">
        <f t="shared" si="2122"/>
        <v/>
      </c>
      <c r="EZ141" s="72" t="str">
        <f t="shared" si="2123"/>
        <v/>
      </c>
      <c r="FA141" s="72" t="str">
        <f t="shared" si="2124"/>
        <v/>
      </c>
      <c r="FB141" s="72" t="str">
        <f t="shared" si="2125"/>
        <v/>
      </c>
      <c r="FC141" s="72" t="str">
        <f t="shared" si="2126"/>
        <v/>
      </c>
      <c r="FD141" s="72" t="str">
        <f t="shared" si="2127"/>
        <v/>
      </c>
      <c r="FE141" s="72" t="str">
        <f t="shared" si="2128"/>
        <v/>
      </c>
      <c r="FF141" s="72" t="str">
        <f t="shared" si="2129"/>
        <v/>
      </c>
      <c r="FG141" s="72" t="str">
        <f t="shared" si="2130"/>
        <v/>
      </c>
      <c r="FH141" s="72" t="str">
        <f t="shared" si="2131"/>
        <v/>
      </c>
      <c r="FI141" s="72" t="str">
        <f t="shared" si="2132"/>
        <v/>
      </c>
      <c r="FJ141" s="72" t="str">
        <f t="shared" si="2133"/>
        <v/>
      </c>
      <c r="FK141" s="72" t="str">
        <f t="shared" si="2134"/>
        <v/>
      </c>
      <c r="FL141" s="72" t="str">
        <f t="shared" si="2135"/>
        <v/>
      </c>
      <c r="FM141" s="72" t="str">
        <f t="shared" si="2136"/>
        <v/>
      </c>
      <c r="FN141" s="72" t="str">
        <f t="shared" si="2137"/>
        <v/>
      </c>
      <c r="FO141" s="72" t="str">
        <f t="shared" si="2138"/>
        <v/>
      </c>
      <c r="FP141" s="72" t="str">
        <f t="shared" si="2139"/>
        <v/>
      </c>
      <c r="FQ141" s="72" t="str">
        <f t="shared" si="2140"/>
        <v/>
      </c>
      <c r="FR141" s="72" t="str">
        <f t="shared" si="2141"/>
        <v/>
      </c>
      <c r="FS141" s="72" t="str">
        <f t="shared" si="2142"/>
        <v/>
      </c>
    </row>
    <row r="142" spans="1:175" ht="15">
      <c r="A142" s="104"/>
      <c r="B142" s="104" t="s">
        <v>537</v>
      </c>
      <c r="C142" s="117" t="s">
        <v>538</v>
      </c>
      <c r="T142" s="115" t="s">
        <v>539</v>
      </c>
      <c r="U142" s="111" t="s">
        <v>540</v>
      </c>
      <c r="V142" s="89"/>
      <c r="W142" s="89"/>
      <c r="X142" s="89">
        <v>40</v>
      </c>
      <c r="Y142" s="89"/>
      <c r="Z142" s="89"/>
      <c r="AA142" s="89"/>
      <c r="AB142" s="89"/>
      <c r="AC142" s="89"/>
      <c r="AD142" s="89"/>
      <c r="AE142" s="89"/>
      <c r="AF142" s="89"/>
      <c r="AG142" s="91"/>
      <c r="AH142" s="89"/>
      <c r="AI142" s="89"/>
      <c r="AJ142" s="89"/>
      <c r="AK142" s="89"/>
      <c r="AL142" s="91"/>
      <c r="AM142" s="89"/>
      <c r="AN142" s="89"/>
      <c r="AO142" s="89"/>
      <c r="AP142" s="89"/>
      <c r="AQ142" s="89"/>
      <c r="AR142" s="91"/>
      <c r="AS142" s="91"/>
      <c r="AT142" s="89"/>
      <c r="AU142" s="89"/>
      <c r="AV142" s="89"/>
      <c r="AW142" s="89"/>
      <c r="AX142" s="89"/>
      <c r="AY142" s="89"/>
      <c r="AZ142" s="89"/>
      <c r="BA142" s="89"/>
      <c r="BB142" s="89"/>
      <c r="BC142" s="89"/>
      <c r="BD142" s="89"/>
      <c r="BE142" s="89"/>
      <c r="BF142" s="89"/>
      <c r="BG142" s="89"/>
      <c r="BH142" s="89"/>
      <c r="BI142" s="89"/>
      <c r="BJ142" s="89">
        <v>30</v>
      </c>
      <c r="CN142" s="70" t="str">
        <f t="shared" si="1774"/>
        <v>InitUnitState('I014',,,40,,,,,,,)</v>
      </c>
      <c r="CO142" s="70" t="str">
        <f t="shared" si="1775"/>
        <v>InitUnitNormal('I014',,,,,,,,,,)</v>
      </c>
      <c r="CP142" s="70" t="str">
        <f t="shared" si="1776"/>
        <v>InitUnitMagic('I014',,,,,,,,,,30)</v>
      </c>
      <c r="CQ142" s="70" t="str">
        <f t="shared" si="1777"/>
        <v>InitUnitAdd('I014',,,,,,,,,,)</v>
      </c>
      <c r="CR142" s="70" t="str">
        <f t="shared" si="2070"/>
        <v>InitEquipData('I014',,"",,,,,'','','','','','',"ReplaceableTextures\\CommandButtons\\BTNIT05.blp")</v>
      </c>
      <c r="CU142" s="98" t="str">
        <f t="shared" ref="CU142:CU152" si="2143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|n护甲+40|n金币加成+30|n</v>
      </c>
      <c r="CV142" s="71" t="str">
        <f t="shared" ref="CV142:CV152" si="2144">T142</f>
        <v>金币加成|Cffffc926+20%|r|n|n击杀|Cff00ff7f1000个|r敌人后奖励：|n金币|Cffffc926+10000~15000|r|n经验|Cffffc926+7000|r|n|n|Cff00ff7f同时只能携带一个招魂幡|r</v>
      </c>
      <c r="CW142" s="61"/>
      <c r="CX142" s="61"/>
      <c r="CY142" s="61"/>
      <c r="CZ142" s="61"/>
      <c r="DA142" s="61"/>
      <c r="DB142" s="72" t="str">
        <f t="shared" ref="DB142:DB152" si="2145">IF(V142="","","|n"&amp;DB$2&amp;"+"&amp;V142&amp;DB$1)</f>
        <v/>
      </c>
      <c r="DC142" s="72" t="str">
        <f t="shared" ref="DC142:DC152" si="2146">IF(W142="","","|n"&amp;DC$2&amp;"+"&amp;W142&amp;DC$1)</f>
        <v/>
      </c>
      <c r="DD142" s="72" t="str">
        <f t="shared" ref="DD142:DD152" si="2147">IF(X142="","","|n"&amp;DD$2&amp;"+"&amp;X142&amp;DD$1)</f>
        <v>|n护甲+40</v>
      </c>
      <c r="DE142" s="72" t="str">
        <f t="shared" ref="DE142:DE152" si="2148">IF(Y142="","","|n"&amp;DE$2&amp;"+"&amp;Y142&amp;DE$1)</f>
        <v/>
      </c>
      <c r="DF142" s="72" t="str">
        <f t="shared" ref="DF142:DF152" si="2149">IF(Z142="","","|n"&amp;DF$2&amp;"+"&amp;Z142&amp;DF$1)</f>
        <v/>
      </c>
      <c r="DG142" s="72" t="str">
        <f t="shared" ref="DG142:DG152" si="2150">IF(AA142="","","|n"&amp;DG$2&amp;"+"&amp;AA142&amp;DG$1)</f>
        <v/>
      </c>
      <c r="DH142" s="72" t="str">
        <f t="shared" ref="DH142:DH152" si="2151">IF(AB142="","","|n"&amp;DH$2&amp;"+"&amp;AB142&amp;DH$1)</f>
        <v/>
      </c>
      <c r="DI142" s="72" t="str">
        <f t="shared" ref="DI142:DI152" si="2152">IF(AC142="","","|n"&amp;DI$2&amp;"+"&amp;AC142&amp;DI$1)</f>
        <v/>
      </c>
      <c r="DJ142" s="72" t="str">
        <f t="shared" ref="DJ142:DJ152" si="2153">IF(AD142="","","|n"&amp;DJ$2&amp;"+"&amp;AD142&amp;DJ$1)</f>
        <v/>
      </c>
      <c r="DK142" s="72" t="str">
        <f t="shared" ref="DK142:DK152" si="2154">IF(AE142="","","|n"&amp;DK$2&amp;"+"&amp;AE142&amp;DK$1)</f>
        <v/>
      </c>
      <c r="DL142" s="72" t="str">
        <f t="shared" ref="DL142:DL152" si="2155">IF(AF142="","","|n"&amp;DL$2&amp;"+"&amp;AF142&amp;DL$1)</f>
        <v/>
      </c>
      <c r="DM142" s="72" t="str">
        <f t="shared" ref="DM142:DM152" si="2156">IF(AG142="","","|n"&amp;DM$2&amp;"+"&amp;AG142&amp;DM$1)</f>
        <v/>
      </c>
      <c r="DN142" s="72" t="str">
        <f t="shared" ref="DN142:DN152" si="2157">IF(AH142="","","|n"&amp;DN$2&amp;"+"&amp;AH142&amp;DN$1)</f>
        <v/>
      </c>
      <c r="DO142" s="72" t="str">
        <f t="shared" ref="DO142:DO152" si="2158">IF(AI142="","","|n"&amp;DO$2&amp;"+"&amp;AI142&amp;DO$1)</f>
        <v/>
      </c>
      <c r="DP142" s="72" t="str">
        <f t="shared" ref="DP142:DP152" si="2159">IF(AJ142="","","|n"&amp;DP$2&amp;"+"&amp;AJ142&amp;DP$1)</f>
        <v/>
      </c>
      <c r="DQ142" s="72" t="str">
        <f t="shared" ref="DQ142:DQ152" si="2160">IF(AK142="","","|n"&amp;DQ$2&amp;"+"&amp;AK142&amp;DQ$1)</f>
        <v/>
      </c>
      <c r="DR142" s="72" t="str">
        <f t="shared" ref="DR142:DR152" si="2161">IF(AL142="","","|n"&amp;DR$2&amp;"+"&amp;AL142&amp;DR$1)</f>
        <v/>
      </c>
      <c r="DS142" s="72" t="str">
        <f t="shared" ref="DS142:DS152" si="2162">IF(AM142="","","|n"&amp;DS$2&amp;"+"&amp;AM142&amp;DS$1)</f>
        <v/>
      </c>
      <c r="DT142" s="72" t="str">
        <f t="shared" ref="DT142:DT152" si="2163">IF(AN142="","","|n"&amp;DT$2&amp;"+"&amp;AN142&amp;DT$1)</f>
        <v/>
      </c>
      <c r="DU142" s="72" t="str">
        <f t="shared" ref="DU142:DU152" si="2164">IF(AO142="","","|n"&amp;DU$2&amp;"+"&amp;AO142&amp;DU$1)</f>
        <v/>
      </c>
      <c r="DV142" s="72" t="str">
        <f t="shared" ref="DV142:DV152" si="2165">IF(AP142="","","|n"&amp;DV$2&amp;"+"&amp;AP142&amp;DV$1)</f>
        <v/>
      </c>
      <c r="DW142" s="72" t="str">
        <f t="shared" ref="DW142:DW152" si="2166">IF(AQ142="","","|n"&amp;DW$2&amp;"+"&amp;AQ142&amp;DW$1)</f>
        <v/>
      </c>
      <c r="DX142" s="72" t="str">
        <f t="shared" ref="DX142:DX152" si="2167">IF(AR142="","","|n"&amp;DX$2&amp;"+"&amp;AR142&amp;DX$1)</f>
        <v/>
      </c>
      <c r="DY142" s="72" t="str">
        <f t="shared" ref="DY142:DY152" si="2168">IF(AS142="","","|n"&amp;DY$2&amp;"+"&amp;AS142&amp;DY$1)</f>
        <v/>
      </c>
      <c r="DZ142" s="72" t="str">
        <f t="shared" ref="DZ142:DZ152" si="2169">IF(AT142="","","|n"&amp;DZ$2&amp;"+"&amp;AT142&amp;DZ$1)</f>
        <v/>
      </c>
      <c r="EA142" s="72" t="str">
        <f t="shared" ref="EA142:EA152" si="2170">IF(AU142="","","|n"&amp;EA$2&amp;"+"&amp;AU142&amp;EA$1)</f>
        <v/>
      </c>
      <c r="EB142" s="72" t="str">
        <f t="shared" ref="EB142:EB152" si="2171">IF(AV142="","","|n"&amp;EB$2&amp;"+"&amp;AV142&amp;EB$1)</f>
        <v/>
      </c>
      <c r="EC142" s="72" t="str">
        <f t="shared" ref="EC142:EC152" si="2172">IF(AW142="","","|n"&amp;EC$2&amp;"+"&amp;AW142&amp;EC$1)</f>
        <v/>
      </c>
      <c r="ED142" s="72" t="str">
        <f t="shared" ref="ED142:ED152" si="2173">IF(AX142="","","|n"&amp;ED$2&amp;"+"&amp;AX142&amp;ED$1)</f>
        <v/>
      </c>
      <c r="EE142" s="72" t="str">
        <f t="shared" ref="EE142:EE152" si="2174">IF(AY142="","","|n"&amp;EE$2&amp;"+"&amp;AY142&amp;EE$1)</f>
        <v/>
      </c>
      <c r="EF142" s="72" t="str">
        <f t="shared" ref="EF142:EF152" si="2175">IF(AZ142="","","|n"&amp;EF$2&amp;"+"&amp;AZ142&amp;EF$1)</f>
        <v/>
      </c>
      <c r="EG142" s="72" t="str">
        <f t="shared" ref="EG142:EG152" si="2176">IF(BA142="","","|n"&amp;EG$2&amp;"+"&amp;BA142&amp;EG$1)</f>
        <v/>
      </c>
      <c r="EH142" s="72" t="str">
        <f t="shared" ref="EH142:EH152" si="2177">IF(BB142="","","|n"&amp;EH$2&amp;"+"&amp;BB142&amp;EH$1)</f>
        <v/>
      </c>
      <c r="EI142" s="72" t="str">
        <f t="shared" ref="EI142:EI152" si="2178">IF(BC142="","","|n"&amp;EI$2&amp;"+"&amp;BC142&amp;EI$1)</f>
        <v/>
      </c>
      <c r="EJ142" s="72" t="str">
        <f t="shared" ref="EJ142:EJ152" si="2179">IF(BD142="","","|n"&amp;EJ$2&amp;"+"&amp;BD142&amp;EJ$1)</f>
        <v/>
      </c>
      <c r="EK142" s="72" t="str">
        <f t="shared" ref="EK142:EK152" si="2180">IF(BE142="","","|n"&amp;EK$2&amp;"+"&amp;BE142&amp;EK$1)</f>
        <v/>
      </c>
      <c r="EL142" s="72" t="str">
        <f t="shared" ref="EL142:EL152" si="2181">IF(BF142="","","|n"&amp;EL$2&amp;"+"&amp;BF142&amp;EL$1)</f>
        <v/>
      </c>
      <c r="EM142" s="72" t="str">
        <f t="shared" ref="EM142:EM152" si="2182">IF(BG142="","","|n"&amp;EM$2&amp;"+"&amp;BG142&amp;EM$1)</f>
        <v/>
      </c>
      <c r="EN142" s="72" t="str">
        <f t="shared" ref="EN142:EN152" si="2183">IF(BH142="","","|n"&amp;EN$2&amp;"+"&amp;BH142&amp;EN$1)</f>
        <v/>
      </c>
      <c r="EO142" s="72" t="str">
        <f t="shared" ref="EO142:EO152" si="2184">IF(BI142="","","|n"&amp;EO$2&amp;"+"&amp;BI142&amp;EO$1)</f>
        <v/>
      </c>
      <c r="EP142" s="72" t="str">
        <f t="shared" ref="EP142:EP152" si="2185">IF(BJ142="","","|n"&amp;EP$2&amp;"+"&amp;BJ142&amp;EP$1)</f>
        <v>|n金币加成+30</v>
      </c>
      <c r="EQ142" s="72" t="str">
        <f t="shared" ref="EQ142:EQ152" si="2186">IF(BK142="","","|n"&amp;EQ$2&amp;"+"&amp;BK142&amp;EQ$1)</f>
        <v/>
      </c>
      <c r="ER142" s="72" t="str">
        <f t="shared" ref="ER142:ER152" si="2187">IF(BL142="","","|n"&amp;ER$2&amp;"+"&amp;BL142&amp;ER$1)</f>
        <v/>
      </c>
      <c r="ES142" s="72" t="str">
        <f t="shared" ref="ES142:ES152" si="2188">IF(BM142="","","|n"&amp;ES$2&amp;"+"&amp;BM142&amp;ES$1)</f>
        <v/>
      </c>
      <c r="ET142" s="72" t="str">
        <f t="shared" ref="ET142:ET152" si="2189">IF(BN142="","","|n"&amp;ET$2&amp;"+"&amp;BN142&amp;ET$1)</f>
        <v/>
      </c>
      <c r="EU142" s="72" t="str">
        <f t="shared" ref="EU142:EU152" si="2190">IF(BO142="","","|n"&amp;EU$2&amp;"+"&amp;BO142&amp;EU$1)</f>
        <v/>
      </c>
      <c r="EV142" s="72" t="str">
        <f t="shared" ref="EV142:EV152" si="2191">IF(BP142="","","|n"&amp;EV$2&amp;"+"&amp;BP142&amp;EV$1)</f>
        <v/>
      </c>
      <c r="EW142" s="72" t="str">
        <f t="shared" ref="EW142:EW152" si="2192">IF(BQ142="","","|n"&amp;EW$2&amp;"+"&amp;BQ142&amp;EW$1)</f>
        <v/>
      </c>
      <c r="EX142" s="72" t="str">
        <f t="shared" ref="EX142:EX152" si="2193">IF(BR142="","","|n"&amp;EX$2&amp;"+"&amp;BR142&amp;EX$1)</f>
        <v/>
      </c>
      <c r="EY142" s="72" t="str">
        <f t="shared" ref="EY142:EY152" si="2194">IF(BS142="","","|n"&amp;EY$2&amp;"+"&amp;BS142&amp;EY$1)</f>
        <v/>
      </c>
      <c r="EZ142" s="72" t="str">
        <f t="shared" ref="EZ142:EZ152" si="2195">IF(BT142="","","|n"&amp;EZ$2&amp;"+"&amp;BT142&amp;EZ$1)</f>
        <v/>
      </c>
      <c r="FA142" s="72" t="str">
        <f t="shared" ref="FA142:FA152" si="2196">IF(BU142="","","|n"&amp;FA$2&amp;"+"&amp;BU142&amp;FA$1)</f>
        <v/>
      </c>
      <c r="FB142" s="72" t="str">
        <f t="shared" ref="FB142:FB152" si="2197">IF(BV142="","","|n"&amp;FB$2&amp;"+"&amp;BV142&amp;FB$1)</f>
        <v/>
      </c>
      <c r="FC142" s="72" t="str">
        <f t="shared" ref="FC142:FC152" si="2198">IF(BW142="","","|n"&amp;FC$2&amp;"+"&amp;BW142&amp;FC$1)</f>
        <v/>
      </c>
      <c r="FD142" s="72" t="str">
        <f t="shared" ref="FD142:FD152" si="2199">IF(BX142="","","|n"&amp;FD$2&amp;"+"&amp;BX142&amp;FD$1)</f>
        <v/>
      </c>
      <c r="FE142" s="72" t="str">
        <f t="shared" ref="FE142:FE152" si="2200">IF(BY142="","","|n"&amp;FE$2&amp;"+"&amp;BY142&amp;FE$1)</f>
        <v/>
      </c>
      <c r="FF142" s="72" t="str">
        <f t="shared" ref="FF142:FF152" si="2201">IF(BZ142="","","|n"&amp;FF$2&amp;"+"&amp;BZ142&amp;FF$1)</f>
        <v/>
      </c>
      <c r="FG142" s="72" t="str">
        <f t="shared" ref="FG142:FG152" si="2202">IF(CA142="","","|n"&amp;FG$2&amp;"+"&amp;CA142&amp;FG$1)</f>
        <v/>
      </c>
      <c r="FH142" s="72" t="str">
        <f t="shared" ref="FH142:FH152" si="2203">IF(CB142="","","|n"&amp;FH$2&amp;"+"&amp;CB142&amp;FH$1)</f>
        <v/>
      </c>
      <c r="FI142" s="72" t="str">
        <f t="shared" ref="FI142:FI152" si="2204">IF(CC142="","","|n"&amp;FI$2&amp;"+"&amp;CC142&amp;FI$1)</f>
        <v/>
      </c>
      <c r="FJ142" s="72" t="str">
        <f t="shared" ref="FJ142:FJ152" si="2205">IF(CD142="","","|n"&amp;FJ$2&amp;"+"&amp;CD142&amp;FJ$1)</f>
        <v/>
      </c>
      <c r="FK142" s="72" t="str">
        <f t="shared" ref="FK142:FK152" si="2206">IF(CE142="","","|n"&amp;FK$2&amp;"+"&amp;CE142&amp;FK$1)</f>
        <v/>
      </c>
      <c r="FL142" s="72" t="str">
        <f t="shared" ref="FL142:FL152" si="2207">IF(CF142="","","|n"&amp;FL$2&amp;"+"&amp;CF142&amp;FL$1)</f>
        <v/>
      </c>
      <c r="FM142" s="72" t="str">
        <f t="shared" ref="FM142:FM152" si="2208">IF(CG142="","","|n"&amp;FM$2&amp;"+"&amp;CG142&amp;FM$1)</f>
        <v/>
      </c>
      <c r="FN142" s="72" t="str">
        <f t="shared" ref="FN142:FN152" si="2209">IF(CH142="","","|n"&amp;FN$2&amp;"+"&amp;CH142&amp;FN$1)</f>
        <v/>
      </c>
      <c r="FO142" s="72" t="str">
        <f t="shared" ref="FO142:FO152" si="2210">IF(CI142="","","|n"&amp;FO$2&amp;"+"&amp;CI142&amp;FO$1)</f>
        <v/>
      </c>
      <c r="FP142" s="72" t="str">
        <f t="shared" ref="FP142:FP152" si="2211">IF(CJ142="","","|n"&amp;FP$2&amp;"+"&amp;CJ142&amp;FP$1)</f>
        <v/>
      </c>
      <c r="FQ142" s="72" t="str">
        <f t="shared" ref="FQ142:FQ152" si="2212">IF(CK142="","","|n"&amp;FQ$2&amp;"+"&amp;CK142&amp;FQ$1)</f>
        <v/>
      </c>
      <c r="FR142" s="72" t="str">
        <f t="shared" ref="FR142:FR152" si="2213">IF(CL142="","","|n"&amp;FR$2&amp;"+"&amp;CL142&amp;FR$1)</f>
        <v/>
      </c>
      <c r="FS142" s="72" t="str">
        <f t="shared" ref="FS142:FS152" si="2214">IF(CM142="","","|n"&amp;FS$2&amp;"+"&amp;CM142&amp;FS$1)</f>
        <v/>
      </c>
    </row>
    <row r="143" spans="1:175" ht="15">
      <c r="A143" s="104"/>
      <c r="B143" s="104" t="s">
        <v>541</v>
      </c>
      <c r="C143" s="117" t="s">
        <v>542</v>
      </c>
      <c r="T143" s="115" t="s">
        <v>543</v>
      </c>
      <c r="U143" s="111" t="s">
        <v>544</v>
      </c>
      <c r="V143" s="89"/>
      <c r="W143" s="89"/>
      <c r="X143" s="89">
        <v>50</v>
      </c>
      <c r="Y143" s="89"/>
      <c r="Z143" s="89"/>
      <c r="AA143" s="89"/>
      <c r="AB143" s="89"/>
      <c r="AC143" s="89"/>
      <c r="AD143" s="89"/>
      <c r="AE143" s="89"/>
      <c r="AF143" s="89"/>
      <c r="AG143" s="91"/>
      <c r="AH143" s="89"/>
      <c r="AI143" s="89"/>
      <c r="AJ143" s="89"/>
      <c r="AK143" s="89"/>
      <c r="AL143" s="91"/>
      <c r="AM143" s="89"/>
      <c r="AN143" s="89"/>
      <c r="AO143" s="89"/>
      <c r="AP143" s="89"/>
      <c r="AQ143" s="89"/>
      <c r="AR143" s="91"/>
      <c r="AS143" s="91"/>
      <c r="AT143" s="89"/>
      <c r="AU143" s="89"/>
      <c r="AV143" s="89"/>
      <c r="AW143" s="89"/>
      <c r="AX143" s="89"/>
      <c r="AY143" s="89"/>
      <c r="AZ143" s="89"/>
      <c r="BA143" s="89"/>
      <c r="BB143" s="89"/>
      <c r="BC143" s="89"/>
      <c r="BD143" s="89"/>
      <c r="BE143" s="89"/>
      <c r="BF143" s="89"/>
      <c r="BG143" s="89"/>
      <c r="BH143" s="89"/>
      <c r="BI143" s="89"/>
      <c r="BJ143" s="89">
        <v>35</v>
      </c>
      <c r="CN143" s="70" t="str">
        <f t="shared" ref="CN143" si="2215">"InitUnitState('"&amp;B143&amp;"',"&amp;V143&amp;","&amp;W143&amp;","&amp;X143&amp;","&amp;Y143&amp;","&amp;Z143&amp;","&amp;AA143&amp;","&amp;AB143&amp;","&amp;AC143&amp;","&amp;AD143&amp;","&amp;AE143&amp;")"</f>
        <v>InitUnitState('I015',,,50,,,,,,,)</v>
      </c>
      <c r="CO143" s="70" t="str">
        <f t="shared" ref="CO143" si="2216">"InitUnitNormal('"&amp;B143&amp;"',"&amp;AF143&amp;","&amp;AG143&amp;","&amp;AH143&amp;","&amp;AI143&amp;","&amp;AJ143&amp;","&amp;AK143&amp;","&amp;AL143&amp;","&amp;AM143&amp;","&amp;AN143&amp;","&amp;AO143&amp;")"</f>
        <v>InitUnitNormal('I015',,,,,,,,,,)</v>
      </c>
      <c r="CP143" s="70" t="str">
        <f t="shared" ref="CP143" si="2217">"InitUnitMagic('"&amp;B143&amp;"',"&amp;AP143&amp;","&amp;AQ143&amp;","&amp;AR143&amp;","&amp;AS143&amp;","&amp;AT143&amp;","&amp;AU143&amp;","&amp;AV143&amp;","&amp;AW143&amp;","&amp;BI143&amp;","&amp;BJ143&amp;")"</f>
        <v>InitUnitMagic('I015',,,,,,,,,,35)</v>
      </c>
      <c r="CQ143" s="70" t="str">
        <f t="shared" ref="CQ143" si="2218">"InitUnitAdd('"&amp;B143&amp;"',"&amp;BK143&amp;","&amp;BL143&amp;","&amp;BM143&amp;","&amp;BN143&amp;","&amp;BO143&amp;","&amp;BP143&amp;","&amp;BQ143&amp;","&amp;BR143&amp;","&amp;BS143&amp;","&amp;BT143&amp;")"</f>
        <v>InitUnitAdd('I015',,,,,,,,,,)</v>
      </c>
      <c r="CR143" s="70" t="str">
        <f t="shared" si="2070"/>
        <v>InitEquipData('I015',,"",,,,,'','','','','','',"ReplaceableTextures\\CommandButtons\\BTNIT06.blp")</v>
      </c>
      <c r="CU143" s="98" t="str">
        <f t="shared" ref="CU143" si="2219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|n护甲+50|n金币加成+35|n</v>
      </c>
      <c r="CV143" s="71" t="str">
        <f t="shared" ref="CV143" si="2220">T143</f>
        <v>金币加成|Cffffc926+30%|r|n|n击杀|Cff00ff7f1000个|r敌人后奖励：|n金币|Cffffc926+12000~17000|r|n经验|Cffffc926+10000|r|n|n|Cff00ff7f同时只能携带一个招魂幡|r</v>
      </c>
      <c r="CW143" s="61"/>
      <c r="CX143" s="61"/>
      <c r="CY143" s="61"/>
      <c r="CZ143" s="61"/>
      <c r="DA143" s="61"/>
      <c r="DB143" s="72" t="str">
        <f t="shared" ref="DB143" si="2221">IF(V143="","","|n"&amp;DB$2&amp;"+"&amp;V143&amp;DB$1)</f>
        <v/>
      </c>
      <c r="DC143" s="72" t="str">
        <f t="shared" ref="DC143" si="2222">IF(W143="","","|n"&amp;DC$2&amp;"+"&amp;W143&amp;DC$1)</f>
        <v/>
      </c>
      <c r="DD143" s="72" t="str">
        <f t="shared" ref="DD143" si="2223">IF(X143="","","|n"&amp;DD$2&amp;"+"&amp;X143&amp;DD$1)</f>
        <v>|n护甲+50</v>
      </c>
      <c r="DE143" s="72" t="str">
        <f t="shared" ref="DE143" si="2224">IF(Y143="","","|n"&amp;DE$2&amp;"+"&amp;Y143&amp;DE$1)</f>
        <v/>
      </c>
      <c r="DF143" s="72" t="str">
        <f t="shared" ref="DF143" si="2225">IF(Z143="","","|n"&amp;DF$2&amp;"+"&amp;Z143&amp;DF$1)</f>
        <v/>
      </c>
      <c r="DG143" s="72" t="str">
        <f t="shared" ref="DG143" si="2226">IF(AA143="","","|n"&amp;DG$2&amp;"+"&amp;AA143&amp;DG$1)</f>
        <v/>
      </c>
      <c r="DH143" s="72" t="str">
        <f t="shared" ref="DH143" si="2227">IF(AB143="","","|n"&amp;DH$2&amp;"+"&amp;AB143&amp;DH$1)</f>
        <v/>
      </c>
      <c r="DI143" s="72" t="str">
        <f t="shared" ref="DI143" si="2228">IF(AC143="","","|n"&amp;DI$2&amp;"+"&amp;AC143&amp;DI$1)</f>
        <v/>
      </c>
      <c r="DJ143" s="72" t="str">
        <f t="shared" ref="DJ143" si="2229">IF(AD143="","","|n"&amp;DJ$2&amp;"+"&amp;AD143&amp;DJ$1)</f>
        <v/>
      </c>
      <c r="DK143" s="72" t="str">
        <f t="shared" ref="DK143" si="2230">IF(AE143="","","|n"&amp;DK$2&amp;"+"&amp;AE143&amp;DK$1)</f>
        <v/>
      </c>
      <c r="DL143" s="72" t="str">
        <f t="shared" ref="DL143" si="2231">IF(AF143="","","|n"&amp;DL$2&amp;"+"&amp;AF143&amp;DL$1)</f>
        <v/>
      </c>
      <c r="DM143" s="72" t="str">
        <f t="shared" ref="DM143" si="2232">IF(AG143="","","|n"&amp;DM$2&amp;"+"&amp;AG143&amp;DM$1)</f>
        <v/>
      </c>
      <c r="DN143" s="72" t="str">
        <f t="shared" ref="DN143" si="2233">IF(AH143="","","|n"&amp;DN$2&amp;"+"&amp;AH143&amp;DN$1)</f>
        <v/>
      </c>
      <c r="DO143" s="72" t="str">
        <f t="shared" ref="DO143" si="2234">IF(AI143="","","|n"&amp;DO$2&amp;"+"&amp;AI143&amp;DO$1)</f>
        <v/>
      </c>
      <c r="DP143" s="72" t="str">
        <f t="shared" ref="DP143" si="2235">IF(AJ143="","","|n"&amp;DP$2&amp;"+"&amp;AJ143&amp;DP$1)</f>
        <v/>
      </c>
      <c r="DQ143" s="72" t="str">
        <f t="shared" ref="DQ143" si="2236">IF(AK143="","","|n"&amp;DQ$2&amp;"+"&amp;AK143&amp;DQ$1)</f>
        <v/>
      </c>
      <c r="DR143" s="72" t="str">
        <f t="shared" ref="DR143" si="2237">IF(AL143="","","|n"&amp;DR$2&amp;"+"&amp;AL143&amp;DR$1)</f>
        <v/>
      </c>
      <c r="DS143" s="72" t="str">
        <f t="shared" ref="DS143" si="2238">IF(AM143="","","|n"&amp;DS$2&amp;"+"&amp;AM143&amp;DS$1)</f>
        <v/>
      </c>
      <c r="DT143" s="72" t="str">
        <f t="shared" ref="DT143" si="2239">IF(AN143="","","|n"&amp;DT$2&amp;"+"&amp;AN143&amp;DT$1)</f>
        <v/>
      </c>
      <c r="DU143" s="72" t="str">
        <f t="shared" ref="DU143" si="2240">IF(AO143="","","|n"&amp;DU$2&amp;"+"&amp;AO143&amp;DU$1)</f>
        <v/>
      </c>
      <c r="DV143" s="72" t="str">
        <f t="shared" ref="DV143" si="2241">IF(AP143="","","|n"&amp;DV$2&amp;"+"&amp;AP143&amp;DV$1)</f>
        <v/>
      </c>
      <c r="DW143" s="72" t="str">
        <f t="shared" ref="DW143" si="2242">IF(AQ143="","","|n"&amp;DW$2&amp;"+"&amp;AQ143&amp;DW$1)</f>
        <v/>
      </c>
      <c r="DX143" s="72" t="str">
        <f t="shared" ref="DX143" si="2243">IF(AR143="","","|n"&amp;DX$2&amp;"+"&amp;AR143&amp;DX$1)</f>
        <v/>
      </c>
      <c r="DY143" s="72" t="str">
        <f t="shared" ref="DY143" si="2244">IF(AS143="","","|n"&amp;DY$2&amp;"+"&amp;AS143&amp;DY$1)</f>
        <v/>
      </c>
      <c r="DZ143" s="72" t="str">
        <f t="shared" ref="DZ143" si="2245">IF(AT143="","","|n"&amp;DZ$2&amp;"+"&amp;AT143&amp;DZ$1)</f>
        <v/>
      </c>
      <c r="EA143" s="72" t="str">
        <f t="shared" ref="EA143" si="2246">IF(AU143="","","|n"&amp;EA$2&amp;"+"&amp;AU143&amp;EA$1)</f>
        <v/>
      </c>
      <c r="EB143" s="72" t="str">
        <f t="shared" ref="EB143" si="2247">IF(AV143="","","|n"&amp;EB$2&amp;"+"&amp;AV143&amp;EB$1)</f>
        <v/>
      </c>
      <c r="EC143" s="72" t="str">
        <f t="shared" ref="EC143" si="2248">IF(AW143="","","|n"&amp;EC$2&amp;"+"&amp;AW143&amp;EC$1)</f>
        <v/>
      </c>
      <c r="ED143" s="72" t="str">
        <f t="shared" ref="ED143" si="2249">IF(AX143="","","|n"&amp;ED$2&amp;"+"&amp;AX143&amp;ED$1)</f>
        <v/>
      </c>
      <c r="EE143" s="72" t="str">
        <f t="shared" ref="EE143" si="2250">IF(AY143="","","|n"&amp;EE$2&amp;"+"&amp;AY143&amp;EE$1)</f>
        <v/>
      </c>
      <c r="EF143" s="72" t="str">
        <f t="shared" ref="EF143" si="2251">IF(AZ143="","","|n"&amp;EF$2&amp;"+"&amp;AZ143&amp;EF$1)</f>
        <v/>
      </c>
      <c r="EG143" s="72" t="str">
        <f t="shared" ref="EG143" si="2252">IF(BA143="","","|n"&amp;EG$2&amp;"+"&amp;BA143&amp;EG$1)</f>
        <v/>
      </c>
      <c r="EH143" s="72" t="str">
        <f t="shared" ref="EH143" si="2253">IF(BB143="","","|n"&amp;EH$2&amp;"+"&amp;BB143&amp;EH$1)</f>
        <v/>
      </c>
      <c r="EI143" s="72" t="str">
        <f t="shared" ref="EI143" si="2254">IF(BC143="","","|n"&amp;EI$2&amp;"+"&amp;BC143&amp;EI$1)</f>
        <v/>
      </c>
      <c r="EJ143" s="72" t="str">
        <f t="shared" ref="EJ143" si="2255">IF(BD143="","","|n"&amp;EJ$2&amp;"+"&amp;BD143&amp;EJ$1)</f>
        <v/>
      </c>
      <c r="EK143" s="72" t="str">
        <f t="shared" ref="EK143" si="2256">IF(BE143="","","|n"&amp;EK$2&amp;"+"&amp;BE143&amp;EK$1)</f>
        <v/>
      </c>
      <c r="EL143" s="72" t="str">
        <f t="shared" ref="EL143" si="2257">IF(BF143="","","|n"&amp;EL$2&amp;"+"&amp;BF143&amp;EL$1)</f>
        <v/>
      </c>
      <c r="EM143" s="72" t="str">
        <f t="shared" ref="EM143" si="2258">IF(BG143="","","|n"&amp;EM$2&amp;"+"&amp;BG143&amp;EM$1)</f>
        <v/>
      </c>
      <c r="EN143" s="72" t="str">
        <f t="shared" ref="EN143" si="2259">IF(BH143="","","|n"&amp;EN$2&amp;"+"&amp;BH143&amp;EN$1)</f>
        <v/>
      </c>
      <c r="EO143" s="72" t="str">
        <f t="shared" ref="EO143" si="2260">IF(BI143="","","|n"&amp;EO$2&amp;"+"&amp;BI143&amp;EO$1)</f>
        <v/>
      </c>
      <c r="EP143" s="72" t="str">
        <f t="shared" ref="EP143" si="2261">IF(BJ143="","","|n"&amp;EP$2&amp;"+"&amp;BJ143&amp;EP$1)</f>
        <v>|n金币加成+35</v>
      </c>
      <c r="EQ143" s="72" t="str">
        <f t="shared" ref="EQ143" si="2262">IF(BK143="","","|n"&amp;EQ$2&amp;"+"&amp;BK143&amp;EQ$1)</f>
        <v/>
      </c>
      <c r="ER143" s="72" t="str">
        <f t="shared" ref="ER143" si="2263">IF(BL143="","","|n"&amp;ER$2&amp;"+"&amp;BL143&amp;ER$1)</f>
        <v/>
      </c>
      <c r="ES143" s="72" t="str">
        <f t="shared" ref="ES143" si="2264">IF(BM143="","","|n"&amp;ES$2&amp;"+"&amp;BM143&amp;ES$1)</f>
        <v/>
      </c>
      <c r="ET143" s="72" t="str">
        <f t="shared" ref="ET143" si="2265">IF(BN143="","","|n"&amp;ET$2&amp;"+"&amp;BN143&amp;ET$1)</f>
        <v/>
      </c>
      <c r="EU143" s="72" t="str">
        <f t="shared" ref="EU143" si="2266">IF(BO143="","","|n"&amp;EU$2&amp;"+"&amp;BO143&amp;EU$1)</f>
        <v/>
      </c>
      <c r="EV143" s="72" t="str">
        <f t="shared" ref="EV143" si="2267">IF(BP143="","","|n"&amp;EV$2&amp;"+"&amp;BP143&amp;EV$1)</f>
        <v/>
      </c>
      <c r="EW143" s="72" t="str">
        <f t="shared" ref="EW143" si="2268">IF(BQ143="","","|n"&amp;EW$2&amp;"+"&amp;BQ143&amp;EW$1)</f>
        <v/>
      </c>
      <c r="EX143" s="72" t="str">
        <f t="shared" ref="EX143" si="2269">IF(BR143="","","|n"&amp;EX$2&amp;"+"&amp;BR143&amp;EX$1)</f>
        <v/>
      </c>
      <c r="EY143" s="72" t="str">
        <f t="shared" ref="EY143" si="2270">IF(BS143="","","|n"&amp;EY$2&amp;"+"&amp;BS143&amp;EY$1)</f>
        <v/>
      </c>
      <c r="EZ143" s="72" t="str">
        <f t="shared" ref="EZ143" si="2271">IF(BT143="","","|n"&amp;EZ$2&amp;"+"&amp;BT143&amp;EZ$1)</f>
        <v/>
      </c>
      <c r="FA143" s="72" t="str">
        <f t="shared" ref="FA143" si="2272">IF(BU143="","","|n"&amp;FA$2&amp;"+"&amp;BU143&amp;FA$1)</f>
        <v/>
      </c>
      <c r="FB143" s="72" t="str">
        <f t="shared" ref="FB143" si="2273">IF(BV143="","","|n"&amp;FB$2&amp;"+"&amp;BV143&amp;FB$1)</f>
        <v/>
      </c>
      <c r="FC143" s="72" t="str">
        <f t="shared" ref="FC143" si="2274">IF(BW143="","","|n"&amp;FC$2&amp;"+"&amp;BW143&amp;FC$1)</f>
        <v/>
      </c>
      <c r="FD143" s="72" t="str">
        <f t="shared" ref="FD143" si="2275">IF(BX143="","","|n"&amp;FD$2&amp;"+"&amp;BX143&amp;FD$1)</f>
        <v/>
      </c>
      <c r="FE143" s="72" t="str">
        <f t="shared" ref="FE143" si="2276">IF(BY143="","","|n"&amp;FE$2&amp;"+"&amp;BY143&amp;FE$1)</f>
        <v/>
      </c>
      <c r="FF143" s="72" t="str">
        <f t="shared" ref="FF143" si="2277">IF(BZ143="","","|n"&amp;FF$2&amp;"+"&amp;BZ143&amp;FF$1)</f>
        <v/>
      </c>
      <c r="FG143" s="72" t="str">
        <f t="shared" ref="FG143" si="2278">IF(CA143="","","|n"&amp;FG$2&amp;"+"&amp;CA143&amp;FG$1)</f>
        <v/>
      </c>
      <c r="FH143" s="72" t="str">
        <f t="shared" ref="FH143" si="2279">IF(CB143="","","|n"&amp;FH$2&amp;"+"&amp;CB143&amp;FH$1)</f>
        <v/>
      </c>
      <c r="FI143" s="72" t="str">
        <f t="shared" ref="FI143" si="2280">IF(CC143="","","|n"&amp;FI$2&amp;"+"&amp;CC143&amp;FI$1)</f>
        <v/>
      </c>
      <c r="FJ143" s="72" t="str">
        <f t="shared" ref="FJ143" si="2281">IF(CD143="","","|n"&amp;FJ$2&amp;"+"&amp;CD143&amp;FJ$1)</f>
        <v/>
      </c>
      <c r="FK143" s="72" t="str">
        <f t="shared" ref="FK143" si="2282">IF(CE143="","","|n"&amp;FK$2&amp;"+"&amp;CE143&amp;FK$1)</f>
        <v/>
      </c>
      <c r="FL143" s="72" t="str">
        <f t="shared" ref="FL143" si="2283">IF(CF143="","","|n"&amp;FL$2&amp;"+"&amp;CF143&amp;FL$1)</f>
        <v/>
      </c>
      <c r="FM143" s="72" t="str">
        <f t="shared" ref="FM143" si="2284">IF(CG143="","","|n"&amp;FM$2&amp;"+"&amp;CG143&amp;FM$1)</f>
        <v/>
      </c>
      <c r="FN143" s="72" t="str">
        <f t="shared" ref="FN143" si="2285">IF(CH143="","","|n"&amp;FN$2&amp;"+"&amp;CH143&amp;FN$1)</f>
        <v/>
      </c>
      <c r="FO143" s="72" t="str">
        <f t="shared" ref="FO143" si="2286">IF(CI143="","","|n"&amp;FO$2&amp;"+"&amp;CI143&amp;FO$1)</f>
        <v/>
      </c>
      <c r="FP143" s="72" t="str">
        <f t="shared" ref="FP143" si="2287">IF(CJ143="","","|n"&amp;FP$2&amp;"+"&amp;CJ143&amp;FP$1)</f>
        <v/>
      </c>
      <c r="FQ143" s="72" t="str">
        <f t="shared" ref="FQ143" si="2288">IF(CK143="","","|n"&amp;FQ$2&amp;"+"&amp;CK143&amp;FQ$1)</f>
        <v/>
      </c>
      <c r="FR143" s="72" t="str">
        <f t="shared" ref="FR143" si="2289">IF(CL143="","","|n"&amp;FR$2&amp;"+"&amp;CL143&amp;FR$1)</f>
        <v/>
      </c>
      <c r="FS143" s="72" t="str">
        <f t="shared" ref="FS143" si="2290">IF(CM143="","","|n"&amp;FS$2&amp;"+"&amp;CM143&amp;FS$1)</f>
        <v/>
      </c>
    </row>
    <row r="144" spans="1:175" ht="15">
      <c r="A144" s="104"/>
      <c r="B144" s="104" t="s">
        <v>545</v>
      </c>
      <c r="C144" s="104" t="s">
        <v>546</v>
      </c>
      <c r="T144" s="120" t="s">
        <v>547</v>
      </c>
      <c r="U144" s="88" t="str">
        <f t="shared" si="1773"/>
        <v>ReplaceableTextures\\CommandButtons\\BTNIN00.blp</v>
      </c>
      <c r="CN144" s="70" t="str">
        <f t="shared" ref="CN144:CN167" si="2291">"InitUnitState('"&amp;B144&amp;"',"&amp;V144&amp;","&amp;W144&amp;","&amp;X144&amp;","&amp;Y144&amp;","&amp;Z144&amp;","&amp;AA144&amp;","&amp;AB144&amp;","&amp;AC144&amp;","&amp;AD144&amp;","&amp;AE144&amp;")"</f>
        <v>InitUnitState('IN00',,,,,,,,,,)</v>
      </c>
      <c r="CO144" s="70" t="str">
        <f t="shared" ref="CO144:CO167" si="2292">"InitUnitNormal('"&amp;B144&amp;"',"&amp;AF144&amp;","&amp;AG144&amp;","&amp;AH144&amp;","&amp;AI144&amp;","&amp;AJ144&amp;","&amp;AK144&amp;","&amp;AL144&amp;","&amp;AM144&amp;","&amp;AN144&amp;","&amp;AO144&amp;")"</f>
        <v>InitUnitNormal('IN00',,,,,,,,,,)</v>
      </c>
      <c r="CP144" s="70" t="str">
        <f t="shared" ref="CP144:CP167" si="2293">"InitUnitMagic('"&amp;B144&amp;"',"&amp;AP144&amp;","&amp;AQ144&amp;","&amp;AR144&amp;","&amp;AS144&amp;","&amp;AT144&amp;","&amp;AU144&amp;","&amp;AV144&amp;","&amp;AW144&amp;","&amp;BI144&amp;","&amp;BJ144&amp;")"</f>
        <v>InitUnitMagic('IN00',,,,,,,,,,)</v>
      </c>
      <c r="CQ144" s="70" t="str">
        <f t="shared" ref="CQ144:CQ167" si="2294">"InitUnitAdd('"&amp;B144&amp;"',"&amp;BK144&amp;","&amp;BL144&amp;","&amp;BM144&amp;","&amp;BN144&amp;","&amp;BO144&amp;","&amp;BP144&amp;","&amp;BQ144&amp;","&amp;BR144&amp;","&amp;BS144&amp;","&amp;BT144&amp;")"</f>
        <v>InitUnitAdd('IN00',,,,,,,,,,)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193&amp;CR$1&amp;")"</f>
        <v>InitEquipData('IN00',,"",,,,,'','','','','','',"ReplaceableTextures\\CommandButtons\\BTNIT06.blp")</v>
      </c>
      <c r="CU144" s="98" t="str">
        <f t="shared" si="2143"/>
        <v>|n</v>
      </c>
      <c r="CV144" s="71" t="str">
        <f t="shared" si="2144"/>
        <v>开启后获得一个|Cffffc926随机锦囊|r。</v>
      </c>
      <c r="CW144" s="61"/>
      <c r="CX144" s="61"/>
      <c r="CY144" s="61"/>
      <c r="CZ144" s="61"/>
      <c r="DA144" s="61"/>
      <c r="DB144" s="72" t="str">
        <f t="shared" si="2145"/>
        <v/>
      </c>
      <c r="DC144" s="72" t="str">
        <f t="shared" si="2146"/>
        <v/>
      </c>
      <c r="DD144" s="72" t="str">
        <f t="shared" si="2147"/>
        <v/>
      </c>
      <c r="DE144" s="72" t="str">
        <f t="shared" si="2148"/>
        <v/>
      </c>
      <c r="DF144" s="72" t="str">
        <f t="shared" si="2149"/>
        <v/>
      </c>
      <c r="DG144" s="72" t="str">
        <f t="shared" si="2150"/>
        <v/>
      </c>
      <c r="DH144" s="72" t="str">
        <f t="shared" si="2151"/>
        <v/>
      </c>
      <c r="DI144" s="72" t="str">
        <f t="shared" si="2152"/>
        <v/>
      </c>
      <c r="DJ144" s="72" t="str">
        <f t="shared" si="2153"/>
        <v/>
      </c>
      <c r="DK144" s="72" t="str">
        <f t="shared" si="2154"/>
        <v/>
      </c>
      <c r="DL144" s="72" t="str">
        <f t="shared" si="2155"/>
        <v/>
      </c>
      <c r="DM144" s="72" t="str">
        <f t="shared" si="2156"/>
        <v/>
      </c>
      <c r="DN144" s="72" t="str">
        <f t="shared" si="2157"/>
        <v/>
      </c>
      <c r="DO144" s="72" t="str">
        <f t="shared" si="2158"/>
        <v/>
      </c>
      <c r="DP144" s="72" t="str">
        <f t="shared" si="2159"/>
        <v/>
      </c>
      <c r="DQ144" s="72" t="str">
        <f t="shared" si="2160"/>
        <v/>
      </c>
      <c r="DR144" s="72" t="str">
        <f t="shared" si="2161"/>
        <v/>
      </c>
      <c r="DS144" s="72" t="str">
        <f t="shared" si="2162"/>
        <v/>
      </c>
      <c r="DT144" s="72" t="str">
        <f t="shared" si="2163"/>
        <v/>
      </c>
      <c r="DU144" s="72" t="str">
        <f t="shared" si="2164"/>
        <v/>
      </c>
      <c r="DV144" s="72" t="str">
        <f t="shared" si="2165"/>
        <v/>
      </c>
      <c r="DW144" s="72" t="str">
        <f t="shared" si="2166"/>
        <v/>
      </c>
      <c r="DX144" s="72" t="str">
        <f t="shared" si="2167"/>
        <v/>
      </c>
      <c r="DY144" s="72" t="str">
        <f t="shared" si="2168"/>
        <v/>
      </c>
      <c r="DZ144" s="72" t="str">
        <f t="shared" si="2169"/>
        <v/>
      </c>
      <c r="EA144" s="72" t="str">
        <f t="shared" si="2170"/>
        <v/>
      </c>
      <c r="EB144" s="72" t="str">
        <f t="shared" si="2171"/>
        <v/>
      </c>
      <c r="EC144" s="72" t="str">
        <f t="shared" si="2172"/>
        <v/>
      </c>
      <c r="ED144" s="72" t="str">
        <f t="shared" si="2173"/>
        <v/>
      </c>
      <c r="EE144" s="72" t="str">
        <f t="shared" si="2174"/>
        <v/>
      </c>
      <c r="EF144" s="72" t="str">
        <f t="shared" si="2175"/>
        <v/>
      </c>
      <c r="EG144" s="72" t="str">
        <f t="shared" si="2176"/>
        <v/>
      </c>
      <c r="EH144" s="72" t="str">
        <f t="shared" si="2177"/>
        <v/>
      </c>
      <c r="EI144" s="72" t="str">
        <f t="shared" si="2178"/>
        <v/>
      </c>
      <c r="EJ144" s="72" t="str">
        <f t="shared" si="2179"/>
        <v/>
      </c>
      <c r="EK144" s="72" t="str">
        <f t="shared" si="2180"/>
        <v/>
      </c>
      <c r="EL144" s="72" t="str">
        <f t="shared" si="2181"/>
        <v/>
      </c>
      <c r="EM144" s="72" t="str">
        <f t="shared" si="2182"/>
        <v/>
      </c>
      <c r="EN144" s="72" t="str">
        <f t="shared" si="2183"/>
        <v/>
      </c>
      <c r="EO144" s="72" t="str">
        <f t="shared" si="2184"/>
        <v/>
      </c>
      <c r="EP144" s="72" t="str">
        <f t="shared" si="2185"/>
        <v/>
      </c>
      <c r="EQ144" s="72" t="str">
        <f t="shared" si="2186"/>
        <v/>
      </c>
      <c r="ER144" s="72" t="str">
        <f t="shared" si="2187"/>
        <v/>
      </c>
      <c r="ES144" s="72" t="str">
        <f t="shared" si="2188"/>
        <v/>
      </c>
      <c r="ET144" s="72" t="str">
        <f t="shared" si="2189"/>
        <v/>
      </c>
      <c r="EU144" s="72" t="str">
        <f t="shared" si="2190"/>
        <v/>
      </c>
      <c r="EV144" s="72" t="str">
        <f t="shared" si="2191"/>
        <v/>
      </c>
      <c r="EW144" s="72" t="str">
        <f t="shared" si="2192"/>
        <v/>
      </c>
      <c r="EX144" s="72" t="str">
        <f t="shared" si="2193"/>
        <v/>
      </c>
      <c r="EY144" s="72" t="str">
        <f t="shared" si="2194"/>
        <v/>
      </c>
      <c r="EZ144" s="72" t="str">
        <f t="shared" si="2195"/>
        <v/>
      </c>
      <c r="FA144" s="72" t="str">
        <f t="shared" si="2196"/>
        <v/>
      </c>
      <c r="FB144" s="72" t="str">
        <f t="shared" si="2197"/>
        <v/>
      </c>
      <c r="FC144" s="72" t="str">
        <f t="shared" si="2198"/>
        <v/>
      </c>
      <c r="FD144" s="72" t="str">
        <f t="shared" si="2199"/>
        <v/>
      </c>
      <c r="FE144" s="72" t="str">
        <f t="shared" si="2200"/>
        <v/>
      </c>
      <c r="FF144" s="72" t="str">
        <f t="shared" si="2201"/>
        <v/>
      </c>
      <c r="FG144" s="72" t="str">
        <f t="shared" si="2202"/>
        <v/>
      </c>
      <c r="FH144" s="72" t="str">
        <f t="shared" si="2203"/>
        <v/>
      </c>
      <c r="FI144" s="72" t="str">
        <f t="shared" si="2204"/>
        <v/>
      </c>
      <c r="FJ144" s="72" t="str">
        <f t="shared" si="2205"/>
        <v/>
      </c>
      <c r="FK144" s="72" t="str">
        <f t="shared" si="2206"/>
        <v/>
      </c>
      <c r="FL144" s="72" t="str">
        <f t="shared" si="2207"/>
        <v/>
      </c>
      <c r="FM144" s="72" t="str">
        <f t="shared" si="2208"/>
        <v/>
      </c>
      <c r="FN144" s="72" t="str">
        <f t="shared" si="2209"/>
        <v/>
      </c>
      <c r="FO144" s="72" t="str">
        <f t="shared" si="2210"/>
        <v/>
      </c>
      <c r="FP144" s="72" t="str">
        <f t="shared" si="2211"/>
        <v/>
      </c>
      <c r="FQ144" s="72" t="str">
        <f t="shared" si="2212"/>
        <v/>
      </c>
      <c r="FR144" s="72" t="str">
        <f t="shared" si="2213"/>
        <v/>
      </c>
      <c r="FS144" s="72" t="str">
        <f t="shared" si="2214"/>
        <v/>
      </c>
    </row>
    <row r="145" spans="1:175" ht="15">
      <c r="A145" s="104"/>
      <c r="B145" s="118" t="s">
        <v>548</v>
      </c>
      <c r="C145" s="23" t="s">
        <v>549</v>
      </c>
      <c r="T145" s="71" t="s">
        <v>550</v>
      </c>
      <c r="U145" s="88" t="str">
        <f t="shared" si="1773"/>
        <v>ReplaceableTextures\\CommandButtons\\BTNIN07.blp</v>
      </c>
      <c r="CN145" s="70" t="str">
        <f t="shared" si="2291"/>
        <v>InitUnitState('IN07',,,,,,,,,,)</v>
      </c>
      <c r="CO145" s="70" t="str">
        <f t="shared" si="2292"/>
        <v>InitUnitNormal('IN07',,,,,,,,,,)</v>
      </c>
      <c r="CP145" s="70" t="str">
        <f t="shared" si="2293"/>
        <v>InitUnitMagic('IN07',,,,,,,,,,)</v>
      </c>
      <c r="CQ145" s="70" t="str">
        <f t="shared" si="2294"/>
        <v>InitUnitAdd('IN07',,,,,,,,,,)</v>
      </c>
      <c r="CR145" s="70" t="str">
        <f t="shared" ref="CR145:CR159" si="2295"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188&amp;CR$1&amp;")"</f>
        <v>InitEquipData('IN07',,"",,,,,'','','','','','',"ReplaceableTextures\\CommandButtons\\BTNIT01.blp")</v>
      </c>
      <c r="CU145" s="98" t="str">
        <f t="shared" ref="CU145:CU150" si="2296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</v>
      </c>
      <c r="CV145" s="71" t="str">
        <f t="shared" ref="CV145:CV150" si="2297">T145</f>
        <v>每秒回复|Cffffc92610%|r生命值，持续|Cffffc92610|r秒</v>
      </c>
      <c r="CW145" s="61"/>
      <c r="CX145" s="61"/>
      <c r="CY145" s="61"/>
      <c r="CZ145" s="61"/>
      <c r="DA145" s="61"/>
      <c r="DB145" s="72" t="str">
        <f t="shared" ref="DB145:DB150" si="2298">IF(V145="","","|n"&amp;DB$2&amp;"+"&amp;V145&amp;DB$1)</f>
        <v/>
      </c>
      <c r="DC145" s="72" t="str">
        <f t="shared" ref="DC145:DC150" si="2299">IF(W145="","","|n"&amp;DC$2&amp;"+"&amp;W145&amp;DC$1)</f>
        <v/>
      </c>
      <c r="DD145" s="72" t="str">
        <f t="shared" ref="DD145:DD150" si="2300">IF(X145="","","|n"&amp;DD$2&amp;"+"&amp;X145&amp;DD$1)</f>
        <v/>
      </c>
      <c r="DE145" s="72" t="str">
        <f t="shared" ref="DE145:DE150" si="2301">IF(Y145="","","|n"&amp;DE$2&amp;"+"&amp;Y145&amp;DE$1)</f>
        <v/>
      </c>
      <c r="DF145" s="72" t="str">
        <f t="shared" ref="DF145:DF150" si="2302">IF(Z145="","","|n"&amp;DF$2&amp;"+"&amp;Z145&amp;DF$1)</f>
        <v/>
      </c>
      <c r="DG145" s="72" t="str">
        <f t="shared" ref="DG145:DG150" si="2303">IF(AA145="","","|n"&amp;DG$2&amp;"+"&amp;AA145&amp;DG$1)</f>
        <v/>
      </c>
      <c r="DH145" s="72" t="str">
        <f t="shared" ref="DH145:DH150" si="2304">IF(AB145="","","|n"&amp;DH$2&amp;"+"&amp;AB145&amp;DH$1)</f>
        <v/>
      </c>
      <c r="DI145" s="72" t="str">
        <f t="shared" ref="DI145:DI150" si="2305">IF(AC145="","","|n"&amp;DI$2&amp;"+"&amp;AC145&amp;DI$1)</f>
        <v/>
      </c>
      <c r="DJ145" s="72" t="str">
        <f t="shared" ref="DJ145:DJ150" si="2306">IF(AD145="","","|n"&amp;DJ$2&amp;"+"&amp;AD145&amp;DJ$1)</f>
        <v/>
      </c>
      <c r="DK145" s="72" t="str">
        <f t="shared" ref="DK145:DK150" si="2307">IF(AE145="","","|n"&amp;DK$2&amp;"+"&amp;AE145&amp;DK$1)</f>
        <v/>
      </c>
      <c r="DL145" s="72" t="str">
        <f t="shared" ref="DL145:DL150" si="2308">IF(AF145="","","|n"&amp;DL$2&amp;"+"&amp;AF145&amp;DL$1)</f>
        <v/>
      </c>
      <c r="DM145" s="72" t="str">
        <f t="shared" ref="DM145:DM150" si="2309">IF(AG145="","","|n"&amp;DM$2&amp;"+"&amp;AG145&amp;DM$1)</f>
        <v/>
      </c>
      <c r="DN145" s="72" t="str">
        <f t="shared" ref="DN145:DN150" si="2310">IF(AH145="","","|n"&amp;DN$2&amp;"+"&amp;AH145&amp;DN$1)</f>
        <v/>
      </c>
      <c r="DO145" s="72" t="str">
        <f t="shared" ref="DO145:DO150" si="2311">IF(AI145="","","|n"&amp;DO$2&amp;"+"&amp;AI145&amp;DO$1)</f>
        <v/>
      </c>
      <c r="DP145" s="72" t="str">
        <f t="shared" ref="DP145:DP150" si="2312">IF(AJ145="","","|n"&amp;DP$2&amp;"+"&amp;AJ145&amp;DP$1)</f>
        <v/>
      </c>
      <c r="DQ145" s="72" t="str">
        <f t="shared" ref="DQ145:DQ150" si="2313">IF(AK145="","","|n"&amp;DQ$2&amp;"+"&amp;AK145&amp;DQ$1)</f>
        <v/>
      </c>
      <c r="DR145" s="72" t="str">
        <f t="shared" ref="DR145:DR150" si="2314">IF(AL145="","","|n"&amp;DR$2&amp;"+"&amp;AL145&amp;DR$1)</f>
        <v/>
      </c>
      <c r="DS145" s="72" t="str">
        <f t="shared" ref="DS145:DS150" si="2315">IF(AM145="","","|n"&amp;DS$2&amp;"+"&amp;AM145&amp;DS$1)</f>
        <v/>
      </c>
      <c r="DT145" s="72" t="str">
        <f t="shared" ref="DT145:DT150" si="2316">IF(AN145="","","|n"&amp;DT$2&amp;"+"&amp;AN145&amp;DT$1)</f>
        <v/>
      </c>
      <c r="DU145" s="72" t="str">
        <f t="shared" ref="DU145:DU150" si="2317">IF(AO145="","","|n"&amp;DU$2&amp;"+"&amp;AO145&amp;DU$1)</f>
        <v/>
      </c>
      <c r="DV145" s="72" t="str">
        <f t="shared" ref="DV145:DV150" si="2318">IF(AP145="","","|n"&amp;DV$2&amp;"+"&amp;AP145&amp;DV$1)</f>
        <v/>
      </c>
      <c r="DW145" s="72" t="str">
        <f t="shared" ref="DW145:DW150" si="2319">IF(AQ145="","","|n"&amp;DW$2&amp;"+"&amp;AQ145&amp;DW$1)</f>
        <v/>
      </c>
      <c r="DX145" s="72" t="str">
        <f t="shared" ref="DX145:DX150" si="2320">IF(AR145="","","|n"&amp;DX$2&amp;"+"&amp;AR145&amp;DX$1)</f>
        <v/>
      </c>
      <c r="DY145" s="72" t="str">
        <f t="shared" ref="DY145:DY150" si="2321">IF(AS145="","","|n"&amp;DY$2&amp;"+"&amp;AS145&amp;DY$1)</f>
        <v/>
      </c>
      <c r="DZ145" s="72" t="str">
        <f t="shared" ref="DZ145:DZ150" si="2322">IF(AT145="","","|n"&amp;DZ$2&amp;"+"&amp;AT145&amp;DZ$1)</f>
        <v/>
      </c>
      <c r="EA145" s="72" t="str">
        <f t="shared" ref="EA145:EA150" si="2323">IF(AU145="","","|n"&amp;EA$2&amp;"+"&amp;AU145&amp;EA$1)</f>
        <v/>
      </c>
      <c r="EB145" s="72" t="str">
        <f t="shared" ref="EB145:EB150" si="2324">IF(AV145="","","|n"&amp;EB$2&amp;"+"&amp;AV145&amp;EB$1)</f>
        <v/>
      </c>
      <c r="EC145" s="72" t="str">
        <f t="shared" ref="EC145:EC150" si="2325">IF(AW145="","","|n"&amp;EC$2&amp;"+"&amp;AW145&amp;EC$1)</f>
        <v/>
      </c>
      <c r="ED145" s="72" t="str">
        <f t="shared" ref="ED145:ED150" si="2326">IF(AX145="","","|n"&amp;ED$2&amp;"+"&amp;AX145&amp;ED$1)</f>
        <v/>
      </c>
      <c r="EE145" s="72" t="str">
        <f t="shared" ref="EE145:EE150" si="2327">IF(AY145="","","|n"&amp;EE$2&amp;"+"&amp;AY145&amp;EE$1)</f>
        <v/>
      </c>
      <c r="EF145" s="72" t="str">
        <f t="shared" ref="EF145:EF150" si="2328">IF(AZ145="","","|n"&amp;EF$2&amp;"+"&amp;AZ145&amp;EF$1)</f>
        <v/>
      </c>
      <c r="EG145" s="72" t="str">
        <f t="shared" ref="EG145:EG150" si="2329">IF(BA145="","","|n"&amp;EG$2&amp;"+"&amp;BA145&amp;EG$1)</f>
        <v/>
      </c>
      <c r="EH145" s="72" t="str">
        <f t="shared" ref="EH145:EH150" si="2330">IF(BB145="","","|n"&amp;EH$2&amp;"+"&amp;BB145&amp;EH$1)</f>
        <v/>
      </c>
      <c r="EI145" s="72" t="str">
        <f t="shared" ref="EI145:EI150" si="2331">IF(BC145="","","|n"&amp;EI$2&amp;"+"&amp;BC145&amp;EI$1)</f>
        <v/>
      </c>
      <c r="EJ145" s="72" t="str">
        <f t="shared" ref="EJ145:EJ150" si="2332">IF(BD145="","","|n"&amp;EJ$2&amp;"+"&amp;BD145&amp;EJ$1)</f>
        <v/>
      </c>
      <c r="EK145" s="72" t="str">
        <f t="shared" ref="EK145:EK150" si="2333">IF(BE145="","","|n"&amp;EK$2&amp;"+"&amp;BE145&amp;EK$1)</f>
        <v/>
      </c>
      <c r="EL145" s="72" t="str">
        <f t="shared" ref="EL145:EL150" si="2334">IF(BF145="","","|n"&amp;EL$2&amp;"+"&amp;BF145&amp;EL$1)</f>
        <v/>
      </c>
      <c r="EM145" s="72" t="str">
        <f t="shared" ref="EM145:EM150" si="2335">IF(BG145="","","|n"&amp;EM$2&amp;"+"&amp;BG145&amp;EM$1)</f>
        <v/>
      </c>
      <c r="EN145" s="72" t="str">
        <f t="shared" ref="EN145:EN150" si="2336">IF(BH145="","","|n"&amp;EN$2&amp;"+"&amp;BH145&amp;EN$1)</f>
        <v/>
      </c>
      <c r="EO145" s="72" t="str">
        <f t="shared" ref="EO145:EO150" si="2337">IF(BI145="","","|n"&amp;EO$2&amp;"+"&amp;BI145&amp;EO$1)</f>
        <v/>
      </c>
      <c r="EP145" s="72" t="str">
        <f t="shared" ref="EP145:EP150" si="2338">IF(BJ145="","","|n"&amp;EP$2&amp;"+"&amp;BJ145&amp;EP$1)</f>
        <v/>
      </c>
      <c r="EQ145" s="72" t="str">
        <f t="shared" ref="EQ145:EQ150" si="2339">IF(BK145="","","|n"&amp;EQ$2&amp;"+"&amp;BK145&amp;EQ$1)</f>
        <v/>
      </c>
      <c r="ER145" s="72" t="str">
        <f t="shared" ref="ER145:ER150" si="2340">IF(BL145="","","|n"&amp;ER$2&amp;"+"&amp;BL145&amp;ER$1)</f>
        <v/>
      </c>
      <c r="ES145" s="72" t="str">
        <f t="shared" ref="ES145:ES150" si="2341">IF(BM145="","","|n"&amp;ES$2&amp;"+"&amp;BM145&amp;ES$1)</f>
        <v/>
      </c>
      <c r="ET145" s="72" t="str">
        <f t="shared" ref="ET145:ET150" si="2342">IF(BN145="","","|n"&amp;ET$2&amp;"+"&amp;BN145&amp;ET$1)</f>
        <v/>
      </c>
      <c r="EU145" s="72" t="str">
        <f t="shared" ref="EU145:EU150" si="2343">IF(BO145="","","|n"&amp;EU$2&amp;"+"&amp;BO145&amp;EU$1)</f>
        <v/>
      </c>
      <c r="EV145" s="72" t="str">
        <f t="shared" ref="EV145:EV150" si="2344">IF(BP145="","","|n"&amp;EV$2&amp;"+"&amp;BP145&amp;EV$1)</f>
        <v/>
      </c>
      <c r="EW145" s="72" t="str">
        <f t="shared" ref="EW145:EW150" si="2345">IF(BQ145="","","|n"&amp;EW$2&amp;"+"&amp;BQ145&amp;EW$1)</f>
        <v/>
      </c>
      <c r="EX145" s="72" t="str">
        <f t="shared" ref="EX145:EX150" si="2346">IF(BR145="","","|n"&amp;EX$2&amp;"+"&amp;BR145&amp;EX$1)</f>
        <v/>
      </c>
      <c r="EY145" s="72" t="str">
        <f t="shared" ref="EY145:EY150" si="2347">IF(BS145="","","|n"&amp;EY$2&amp;"+"&amp;BS145&amp;EY$1)</f>
        <v/>
      </c>
      <c r="EZ145" s="72" t="str">
        <f t="shared" ref="EZ145:EZ150" si="2348">IF(BT145="","","|n"&amp;EZ$2&amp;"+"&amp;BT145&amp;EZ$1)</f>
        <v/>
      </c>
      <c r="FA145" s="72" t="str">
        <f t="shared" ref="FA145:FA150" si="2349">IF(BU145="","","|n"&amp;FA$2&amp;"+"&amp;BU145&amp;FA$1)</f>
        <v/>
      </c>
      <c r="FB145" s="72" t="str">
        <f t="shared" ref="FB145:FB150" si="2350">IF(BV145="","","|n"&amp;FB$2&amp;"+"&amp;BV145&amp;FB$1)</f>
        <v/>
      </c>
      <c r="FC145" s="72" t="str">
        <f t="shared" ref="FC145:FC150" si="2351">IF(BW145="","","|n"&amp;FC$2&amp;"+"&amp;BW145&amp;FC$1)</f>
        <v/>
      </c>
      <c r="FD145" s="72" t="str">
        <f t="shared" ref="FD145:FD150" si="2352">IF(BX145="","","|n"&amp;FD$2&amp;"+"&amp;BX145&amp;FD$1)</f>
        <v/>
      </c>
      <c r="FE145" s="72" t="str">
        <f t="shared" ref="FE145:FE150" si="2353">IF(BY145="","","|n"&amp;FE$2&amp;"+"&amp;BY145&amp;FE$1)</f>
        <v/>
      </c>
      <c r="FF145" s="72" t="str">
        <f t="shared" ref="FF145:FF150" si="2354">IF(BZ145="","","|n"&amp;FF$2&amp;"+"&amp;BZ145&amp;FF$1)</f>
        <v/>
      </c>
      <c r="FG145" s="72" t="str">
        <f t="shared" ref="FG145:FG150" si="2355">IF(CA145="","","|n"&amp;FG$2&amp;"+"&amp;CA145&amp;FG$1)</f>
        <v/>
      </c>
      <c r="FH145" s="72" t="str">
        <f t="shared" ref="FH145:FH150" si="2356">IF(CB145="","","|n"&amp;FH$2&amp;"+"&amp;CB145&amp;FH$1)</f>
        <v/>
      </c>
      <c r="FI145" s="72" t="str">
        <f t="shared" ref="FI145:FI150" si="2357">IF(CC145="","","|n"&amp;FI$2&amp;"+"&amp;CC145&amp;FI$1)</f>
        <v/>
      </c>
      <c r="FJ145" s="72" t="str">
        <f t="shared" ref="FJ145:FJ150" si="2358">IF(CD145="","","|n"&amp;FJ$2&amp;"+"&amp;CD145&amp;FJ$1)</f>
        <v/>
      </c>
      <c r="FK145" s="72" t="str">
        <f t="shared" ref="FK145:FK150" si="2359">IF(CE145="","","|n"&amp;FK$2&amp;"+"&amp;CE145&amp;FK$1)</f>
        <v/>
      </c>
      <c r="FL145" s="72" t="str">
        <f t="shared" ref="FL145:FL150" si="2360">IF(CF145="","","|n"&amp;FL$2&amp;"+"&amp;CF145&amp;FL$1)</f>
        <v/>
      </c>
      <c r="FM145" s="72" t="str">
        <f t="shared" ref="FM145:FM150" si="2361">IF(CG145="","","|n"&amp;FM$2&amp;"+"&amp;CG145&amp;FM$1)</f>
        <v/>
      </c>
      <c r="FN145" s="72" t="str">
        <f t="shared" ref="FN145:FN150" si="2362">IF(CH145="","","|n"&amp;FN$2&amp;"+"&amp;CH145&amp;FN$1)</f>
        <v/>
      </c>
      <c r="FO145" s="72" t="str">
        <f t="shared" ref="FO145:FO150" si="2363">IF(CI145="","","|n"&amp;FO$2&amp;"+"&amp;CI145&amp;FO$1)</f>
        <v/>
      </c>
      <c r="FP145" s="72" t="str">
        <f t="shared" ref="FP145:FP150" si="2364">IF(CJ145="","","|n"&amp;FP$2&amp;"+"&amp;CJ145&amp;FP$1)</f>
        <v/>
      </c>
      <c r="FQ145" s="72" t="str">
        <f t="shared" ref="FQ145:FQ150" si="2365">IF(CK145="","","|n"&amp;FQ$2&amp;"+"&amp;CK145&amp;FQ$1)</f>
        <v/>
      </c>
      <c r="FR145" s="72" t="str">
        <f t="shared" ref="FR145:FR150" si="2366">IF(CL145="","","|n"&amp;FR$2&amp;"+"&amp;CL145&amp;FR$1)</f>
        <v/>
      </c>
      <c r="FS145" s="72" t="str">
        <f t="shared" ref="FS145:FS150" si="2367">IF(CM145="","","|n"&amp;FS$2&amp;"+"&amp;CM145&amp;FS$1)</f>
        <v/>
      </c>
    </row>
    <row r="146" spans="1:175" ht="15">
      <c r="A146" s="104"/>
      <c r="B146" s="104" t="s">
        <v>551</v>
      </c>
      <c r="C146" s="71" t="s">
        <v>552</v>
      </c>
      <c r="T146" s="71" t="s">
        <v>553</v>
      </c>
      <c r="U146" s="88" t="str">
        <f t="shared" si="1773"/>
        <v>ReplaceableTextures\\CommandButtons\\BTNIN08.blp</v>
      </c>
      <c r="CN146" s="70" t="str">
        <f t="shared" si="2291"/>
        <v>InitUnitState('IN08',,,,,,,,,,)</v>
      </c>
      <c r="CO146" s="70" t="str">
        <f t="shared" si="2292"/>
        <v>InitUnitNormal('IN08',,,,,,,,,,)</v>
      </c>
      <c r="CP146" s="70" t="str">
        <f t="shared" si="2293"/>
        <v>InitUnitMagic('IN08',,,,,,,,,,)</v>
      </c>
      <c r="CQ146" s="70" t="str">
        <f t="shared" si="2294"/>
        <v>InitUnitAdd('IN08',,,,,,,,,,)</v>
      </c>
      <c r="CR146" s="70" t="str">
        <f t="shared" si="2295"/>
        <v>InitEquipData('IN08',,"",,,,,'','','','','','',"ReplaceableTextures\\CommandButtons\\BTNIT02.blp")</v>
      </c>
      <c r="CU146" s="98" t="str">
        <f t="shared" si="2296"/>
        <v>|n</v>
      </c>
      <c r="CV146" s="71" t="str">
        <f t="shared" si="2297"/>
        <v>|CffFFC926击杀|r当前存在的|Cffffc926进攻怪|r和|Cffffc926Boss|r。|n|n|Cff00ff7f无法在大决战时使用|r</v>
      </c>
      <c r="CW146" s="61"/>
      <c r="CX146" s="61"/>
      <c r="CY146" s="61"/>
      <c r="CZ146" s="61"/>
      <c r="DA146" s="61"/>
      <c r="DB146" s="72" t="str">
        <f t="shared" si="2298"/>
        <v/>
      </c>
      <c r="DC146" s="72" t="str">
        <f t="shared" si="2299"/>
        <v/>
      </c>
      <c r="DD146" s="72" t="str">
        <f t="shared" si="2300"/>
        <v/>
      </c>
      <c r="DE146" s="72" t="str">
        <f t="shared" si="2301"/>
        <v/>
      </c>
      <c r="DF146" s="72" t="str">
        <f t="shared" si="2302"/>
        <v/>
      </c>
      <c r="DG146" s="72" t="str">
        <f t="shared" si="2303"/>
        <v/>
      </c>
      <c r="DH146" s="72" t="str">
        <f t="shared" si="2304"/>
        <v/>
      </c>
      <c r="DI146" s="72" t="str">
        <f t="shared" si="2305"/>
        <v/>
      </c>
      <c r="DJ146" s="72" t="str">
        <f t="shared" si="2306"/>
        <v/>
      </c>
      <c r="DK146" s="72" t="str">
        <f t="shared" si="2307"/>
        <v/>
      </c>
      <c r="DL146" s="72" t="str">
        <f t="shared" si="2308"/>
        <v/>
      </c>
      <c r="DM146" s="72" t="str">
        <f t="shared" si="2309"/>
        <v/>
      </c>
      <c r="DN146" s="72" t="str">
        <f t="shared" si="2310"/>
        <v/>
      </c>
      <c r="DO146" s="72" t="str">
        <f t="shared" si="2311"/>
        <v/>
      </c>
      <c r="DP146" s="72" t="str">
        <f t="shared" si="2312"/>
        <v/>
      </c>
      <c r="DQ146" s="72" t="str">
        <f t="shared" si="2313"/>
        <v/>
      </c>
      <c r="DR146" s="72" t="str">
        <f t="shared" si="2314"/>
        <v/>
      </c>
      <c r="DS146" s="72" t="str">
        <f t="shared" si="2315"/>
        <v/>
      </c>
      <c r="DT146" s="72" t="str">
        <f t="shared" si="2316"/>
        <v/>
      </c>
      <c r="DU146" s="72" t="str">
        <f t="shared" si="2317"/>
        <v/>
      </c>
      <c r="DV146" s="72" t="str">
        <f t="shared" si="2318"/>
        <v/>
      </c>
      <c r="DW146" s="72" t="str">
        <f t="shared" si="2319"/>
        <v/>
      </c>
      <c r="DX146" s="72" t="str">
        <f t="shared" si="2320"/>
        <v/>
      </c>
      <c r="DY146" s="72" t="str">
        <f t="shared" si="2321"/>
        <v/>
      </c>
      <c r="DZ146" s="72" t="str">
        <f t="shared" si="2322"/>
        <v/>
      </c>
      <c r="EA146" s="72" t="str">
        <f t="shared" si="2323"/>
        <v/>
      </c>
      <c r="EB146" s="72" t="str">
        <f t="shared" si="2324"/>
        <v/>
      </c>
      <c r="EC146" s="72" t="str">
        <f t="shared" si="2325"/>
        <v/>
      </c>
      <c r="ED146" s="72" t="str">
        <f t="shared" si="2326"/>
        <v/>
      </c>
      <c r="EE146" s="72" t="str">
        <f t="shared" si="2327"/>
        <v/>
      </c>
      <c r="EF146" s="72" t="str">
        <f t="shared" si="2328"/>
        <v/>
      </c>
      <c r="EG146" s="72" t="str">
        <f t="shared" si="2329"/>
        <v/>
      </c>
      <c r="EH146" s="72" t="str">
        <f t="shared" si="2330"/>
        <v/>
      </c>
      <c r="EI146" s="72" t="str">
        <f t="shared" si="2331"/>
        <v/>
      </c>
      <c r="EJ146" s="72" t="str">
        <f t="shared" si="2332"/>
        <v/>
      </c>
      <c r="EK146" s="72" t="str">
        <f t="shared" si="2333"/>
        <v/>
      </c>
      <c r="EL146" s="72" t="str">
        <f t="shared" si="2334"/>
        <v/>
      </c>
      <c r="EM146" s="72" t="str">
        <f t="shared" si="2335"/>
        <v/>
      </c>
      <c r="EN146" s="72" t="str">
        <f t="shared" si="2336"/>
        <v/>
      </c>
      <c r="EO146" s="72" t="str">
        <f t="shared" si="2337"/>
        <v/>
      </c>
      <c r="EP146" s="72" t="str">
        <f t="shared" si="2338"/>
        <v/>
      </c>
      <c r="EQ146" s="72" t="str">
        <f t="shared" si="2339"/>
        <v/>
      </c>
      <c r="ER146" s="72" t="str">
        <f t="shared" si="2340"/>
        <v/>
      </c>
      <c r="ES146" s="72" t="str">
        <f t="shared" si="2341"/>
        <v/>
      </c>
      <c r="ET146" s="72" t="str">
        <f t="shared" si="2342"/>
        <v/>
      </c>
      <c r="EU146" s="72" t="str">
        <f t="shared" si="2343"/>
        <v/>
      </c>
      <c r="EV146" s="72" t="str">
        <f t="shared" si="2344"/>
        <v/>
      </c>
      <c r="EW146" s="72" t="str">
        <f t="shared" si="2345"/>
        <v/>
      </c>
      <c r="EX146" s="72" t="str">
        <f t="shared" si="2346"/>
        <v/>
      </c>
      <c r="EY146" s="72" t="str">
        <f t="shared" si="2347"/>
        <v/>
      </c>
      <c r="EZ146" s="72" t="str">
        <f t="shared" si="2348"/>
        <v/>
      </c>
      <c r="FA146" s="72" t="str">
        <f t="shared" si="2349"/>
        <v/>
      </c>
      <c r="FB146" s="72" t="str">
        <f t="shared" si="2350"/>
        <v/>
      </c>
      <c r="FC146" s="72" t="str">
        <f t="shared" si="2351"/>
        <v/>
      </c>
      <c r="FD146" s="72" t="str">
        <f t="shared" si="2352"/>
        <v/>
      </c>
      <c r="FE146" s="72" t="str">
        <f t="shared" si="2353"/>
        <v/>
      </c>
      <c r="FF146" s="72" t="str">
        <f t="shared" si="2354"/>
        <v/>
      </c>
      <c r="FG146" s="72" t="str">
        <f t="shared" si="2355"/>
        <v/>
      </c>
      <c r="FH146" s="72" t="str">
        <f t="shared" si="2356"/>
        <v/>
      </c>
      <c r="FI146" s="72" t="str">
        <f t="shared" si="2357"/>
        <v/>
      </c>
      <c r="FJ146" s="72" t="str">
        <f t="shared" si="2358"/>
        <v/>
      </c>
      <c r="FK146" s="72" t="str">
        <f t="shared" si="2359"/>
        <v/>
      </c>
      <c r="FL146" s="72" t="str">
        <f t="shared" si="2360"/>
        <v/>
      </c>
      <c r="FM146" s="72" t="str">
        <f t="shared" si="2361"/>
        <v/>
      </c>
      <c r="FN146" s="72" t="str">
        <f t="shared" si="2362"/>
        <v/>
      </c>
      <c r="FO146" s="72" t="str">
        <f t="shared" si="2363"/>
        <v/>
      </c>
      <c r="FP146" s="72" t="str">
        <f t="shared" si="2364"/>
        <v/>
      </c>
      <c r="FQ146" s="72" t="str">
        <f t="shared" si="2365"/>
        <v/>
      </c>
      <c r="FR146" s="72" t="str">
        <f t="shared" si="2366"/>
        <v/>
      </c>
      <c r="FS146" s="72" t="str">
        <f t="shared" si="2367"/>
        <v/>
      </c>
    </row>
    <row r="147" spans="1:175" ht="15">
      <c r="A147" s="104"/>
      <c r="B147" s="118" t="s">
        <v>554</v>
      </c>
      <c r="C147" s="23" t="s">
        <v>555</v>
      </c>
      <c r="T147" s="71" t="s">
        <v>556</v>
      </c>
      <c r="U147" s="88" t="str">
        <f t="shared" si="1773"/>
        <v>ReplaceableTextures\\CommandButtons\\BTNIN09.blp</v>
      </c>
      <c r="CN147" s="70" t="str">
        <f t="shared" si="2291"/>
        <v>InitUnitState('IN09',,,,,,,,,,)</v>
      </c>
      <c r="CO147" s="70" t="str">
        <f t="shared" si="2292"/>
        <v>InitUnitNormal('IN09',,,,,,,,,,)</v>
      </c>
      <c r="CP147" s="70" t="str">
        <f t="shared" si="2293"/>
        <v>InitUnitMagic('IN09',,,,,,,,,,)</v>
      </c>
      <c r="CQ147" s="70" t="str">
        <f t="shared" si="2294"/>
        <v>InitUnitAdd('IN09',,,,,,,,,,)</v>
      </c>
      <c r="CR147" s="70" t="str">
        <f t="shared" si="2295"/>
        <v>InitEquipData('IN09',,"",,,,,'','','','','','',"ReplaceableTextures\\CommandButtons\\BTNIT03.blp")</v>
      </c>
      <c r="CU147" s="98" t="str">
        <f t="shared" si="2296"/>
        <v>|n</v>
      </c>
      <c r="CV147" s="71" t="str">
        <f t="shared" si="2297"/>
        <v>死亡时复活。</v>
      </c>
      <c r="CW147" s="61"/>
      <c r="CX147" s="61"/>
      <c r="CY147" s="61"/>
      <c r="CZ147" s="61"/>
      <c r="DA147" s="61"/>
      <c r="DB147" s="72" t="str">
        <f t="shared" si="2298"/>
        <v/>
      </c>
      <c r="DC147" s="72" t="str">
        <f t="shared" si="2299"/>
        <v/>
      </c>
      <c r="DD147" s="72" t="str">
        <f t="shared" si="2300"/>
        <v/>
      </c>
      <c r="DE147" s="72" t="str">
        <f t="shared" si="2301"/>
        <v/>
      </c>
      <c r="DF147" s="72" t="str">
        <f t="shared" si="2302"/>
        <v/>
      </c>
      <c r="DG147" s="72" t="str">
        <f t="shared" si="2303"/>
        <v/>
      </c>
      <c r="DH147" s="72" t="str">
        <f t="shared" si="2304"/>
        <v/>
      </c>
      <c r="DI147" s="72" t="str">
        <f t="shared" si="2305"/>
        <v/>
      </c>
      <c r="DJ147" s="72" t="str">
        <f t="shared" si="2306"/>
        <v/>
      </c>
      <c r="DK147" s="72" t="str">
        <f t="shared" si="2307"/>
        <v/>
      </c>
      <c r="DL147" s="72" t="str">
        <f t="shared" si="2308"/>
        <v/>
      </c>
      <c r="DM147" s="72" t="str">
        <f t="shared" si="2309"/>
        <v/>
      </c>
      <c r="DN147" s="72" t="str">
        <f t="shared" si="2310"/>
        <v/>
      </c>
      <c r="DO147" s="72" t="str">
        <f t="shared" si="2311"/>
        <v/>
      </c>
      <c r="DP147" s="72" t="str">
        <f t="shared" si="2312"/>
        <v/>
      </c>
      <c r="DQ147" s="72" t="str">
        <f t="shared" si="2313"/>
        <v/>
      </c>
      <c r="DR147" s="72" t="str">
        <f t="shared" si="2314"/>
        <v/>
      </c>
      <c r="DS147" s="72" t="str">
        <f t="shared" si="2315"/>
        <v/>
      </c>
      <c r="DT147" s="72" t="str">
        <f t="shared" si="2316"/>
        <v/>
      </c>
      <c r="DU147" s="72" t="str">
        <f t="shared" si="2317"/>
        <v/>
      </c>
      <c r="DV147" s="72" t="str">
        <f t="shared" si="2318"/>
        <v/>
      </c>
      <c r="DW147" s="72" t="str">
        <f t="shared" si="2319"/>
        <v/>
      </c>
      <c r="DX147" s="72" t="str">
        <f t="shared" si="2320"/>
        <v/>
      </c>
      <c r="DY147" s="72" t="str">
        <f t="shared" si="2321"/>
        <v/>
      </c>
      <c r="DZ147" s="72" t="str">
        <f t="shared" si="2322"/>
        <v/>
      </c>
      <c r="EA147" s="72" t="str">
        <f t="shared" si="2323"/>
        <v/>
      </c>
      <c r="EB147" s="72" t="str">
        <f t="shared" si="2324"/>
        <v/>
      </c>
      <c r="EC147" s="72" t="str">
        <f t="shared" si="2325"/>
        <v/>
      </c>
      <c r="ED147" s="72" t="str">
        <f t="shared" si="2326"/>
        <v/>
      </c>
      <c r="EE147" s="72" t="str">
        <f t="shared" si="2327"/>
        <v/>
      </c>
      <c r="EF147" s="72" t="str">
        <f t="shared" si="2328"/>
        <v/>
      </c>
      <c r="EG147" s="72" t="str">
        <f t="shared" si="2329"/>
        <v/>
      </c>
      <c r="EH147" s="72" t="str">
        <f t="shared" si="2330"/>
        <v/>
      </c>
      <c r="EI147" s="72" t="str">
        <f t="shared" si="2331"/>
        <v/>
      </c>
      <c r="EJ147" s="72" t="str">
        <f t="shared" si="2332"/>
        <v/>
      </c>
      <c r="EK147" s="72" t="str">
        <f t="shared" si="2333"/>
        <v/>
      </c>
      <c r="EL147" s="72" t="str">
        <f t="shared" si="2334"/>
        <v/>
      </c>
      <c r="EM147" s="72" t="str">
        <f t="shared" si="2335"/>
        <v/>
      </c>
      <c r="EN147" s="72" t="str">
        <f t="shared" si="2336"/>
        <v/>
      </c>
      <c r="EO147" s="72" t="str">
        <f t="shared" si="2337"/>
        <v/>
      </c>
      <c r="EP147" s="72" t="str">
        <f t="shared" si="2338"/>
        <v/>
      </c>
      <c r="EQ147" s="72" t="str">
        <f t="shared" si="2339"/>
        <v/>
      </c>
      <c r="ER147" s="72" t="str">
        <f t="shared" si="2340"/>
        <v/>
      </c>
      <c r="ES147" s="72" t="str">
        <f t="shared" si="2341"/>
        <v/>
      </c>
      <c r="ET147" s="72" t="str">
        <f t="shared" si="2342"/>
        <v/>
      </c>
      <c r="EU147" s="72" t="str">
        <f t="shared" si="2343"/>
        <v/>
      </c>
      <c r="EV147" s="72" t="str">
        <f t="shared" si="2344"/>
        <v/>
      </c>
      <c r="EW147" s="72" t="str">
        <f t="shared" si="2345"/>
        <v/>
      </c>
      <c r="EX147" s="72" t="str">
        <f t="shared" si="2346"/>
        <v/>
      </c>
      <c r="EY147" s="72" t="str">
        <f t="shared" si="2347"/>
        <v/>
      </c>
      <c r="EZ147" s="72" t="str">
        <f t="shared" si="2348"/>
        <v/>
      </c>
      <c r="FA147" s="72" t="str">
        <f t="shared" si="2349"/>
        <v/>
      </c>
      <c r="FB147" s="72" t="str">
        <f t="shared" si="2350"/>
        <v/>
      </c>
      <c r="FC147" s="72" t="str">
        <f t="shared" si="2351"/>
        <v/>
      </c>
      <c r="FD147" s="72" t="str">
        <f t="shared" si="2352"/>
        <v/>
      </c>
      <c r="FE147" s="72" t="str">
        <f t="shared" si="2353"/>
        <v/>
      </c>
      <c r="FF147" s="72" t="str">
        <f t="shared" si="2354"/>
        <v/>
      </c>
      <c r="FG147" s="72" t="str">
        <f t="shared" si="2355"/>
        <v/>
      </c>
      <c r="FH147" s="72" t="str">
        <f t="shared" si="2356"/>
        <v/>
      </c>
      <c r="FI147" s="72" t="str">
        <f t="shared" si="2357"/>
        <v/>
      </c>
      <c r="FJ147" s="72" t="str">
        <f t="shared" si="2358"/>
        <v/>
      </c>
      <c r="FK147" s="72" t="str">
        <f t="shared" si="2359"/>
        <v/>
      </c>
      <c r="FL147" s="72" t="str">
        <f t="shared" si="2360"/>
        <v/>
      </c>
      <c r="FM147" s="72" t="str">
        <f t="shared" si="2361"/>
        <v/>
      </c>
      <c r="FN147" s="72" t="str">
        <f t="shared" si="2362"/>
        <v/>
      </c>
      <c r="FO147" s="72" t="str">
        <f t="shared" si="2363"/>
        <v/>
      </c>
      <c r="FP147" s="72" t="str">
        <f t="shared" si="2364"/>
        <v/>
      </c>
      <c r="FQ147" s="72" t="str">
        <f t="shared" si="2365"/>
        <v/>
      </c>
      <c r="FR147" s="72" t="str">
        <f t="shared" si="2366"/>
        <v/>
      </c>
      <c r="FS147" s="72" t="str">
        <f t="shared" si="2367"/>
        <v/>
      </c>
    </row>
    <row r="148" spans="1:175" ht="15">
      <c r="A148" s="104"/>
      <c r="B148" s="118" t="s">
        <v>557</v>
      </c>
      <c r="C148" s="23" t="s">
        <v>558</v>
      </c>
      <c r="T148" s="122" t="s">
        <v>559</v>
      </c>
      <c r="U148" s="88" t="str">
        <f t="shared" si="1773"/>
        <v>ReplaceableTextures\\CommandButtons\\BTNIN10.blp</v>
      </c>
      <c r="CN148" s="70" t="str">
        <f t="shared" si="2291"/>
        <v>InitUnitState('IN10',,,,,,,,,,)</v>
      </c>
      <c r="CO148" s="70" t="str">
        <f t="shared" si="2292"/>
        <v>InitUnitNormal('IN10',,,,,,,,,,)</v>
      </c>
      <c r="CP148" s="70" t="str">
        <f t="shared" si="2293"/>
        <v>InitUnitMagic('IN10',,,,,,,,,,)</v>
      </c>
      <c r="CQ148" s="70" t="str">
        <f t="shared" si="2294"/>
        <v>InitUnitAdd('IN10',,,,,,,,,,)</v>
      </c>
      <c r="CR148" s="70" t="str">
        <f t="shared" si="2295"/>
        <v>InitEquipData('IN10',,"",,,,,'','','','','','',"ReplaceableTextures\\CommandButtons\\BTNIT04.blp")</v>
      </c>
      <c r="CU148" s="98" t="str">
        <f t="shared" si="2296"/>
        <v>|n</v>
      </c>
      <c r="CV148" s="71" t="str">
        <f t="shared" si="2297"/>
        <v>点金一个|Cffffc926练功房福娃|r，获得|Cffffc926300|r倍金币奖励</v>
      </c>
      <c r="CW148" s="61"/>
      <c r="CX148" s="61"/>
      <c r="CY148" s="61"/>
      <c r="CZ148" s="61"/>
      <c r="DA148" s="61"/>
      <c r="DB148" s="72" t="str">
        <f t="shared" si="2298"/>
        <v/>
      </c>
      <c r="DC148" s="72" t="str">
        <f t="shared" si="2299"/>
        <v/>
      </c>
      <c r="DD148" s="72" t="str">
        <f t="shared" si="2300"/>
        <v/>
      </c>
      <c r="DE148" s="72" t="str">
        <f t="shared" si="2301"/>
        <v/>
      </c>
      <c r="DF148" s="72" t="str">
        <f t="shared" si="2302"/>
        <v/>
      </c>
      <c r="DG148" s="72" t="str">
        <f t="shared" si="2303"/>
        <v/>
      </c>
      <c r="DH148" s="72" t="str">
        <f t="shared" si="2304"/>
        <v/>
      </c>
      <c r="DI148" s="72" t="str">
        <f t="shared" si="2305"/>
        <v/>
      </c>
      <c r="DJ148" s="72" t="str">
        <f t="shared" si="2306"/>
        <v/>
      </c>
      <c r="DK148" s="72" t="str">
        <f t="shared" si="2307"/>
        <v/>
      </c>
      <c r="DL148" s="72" t="str">
        <f t="shared" si="2308"/>
        <v/>
      </c>
      <c r="DM148" s="72" t="str">
        <f t="shared" si="2309"/>
        <v/>
      </c>
      <c r="DN148" s="72" t="str">
        <f t="shared" si="2310"/>
        <v/>
      </c>
      <c r="DO148" s="72" t="str">
        <f t="shared" si="2311"/>
        <v/>
      </c>
      <c r="DP148" s="72" t="str">
        <f t="shared" si="2312"/>
        <v/>
      </c>
      <c r="DQ148" s="72" t="str">
        <f t="shared" si="2313"/>
        <v/>
      </c>
      <c r="DR148" s="72" t="str">
        <f t="shared" si="2314"/>
        <v/>
      </c>
      <c r="DS148" s="72" t="str">
        <f t="shared" si="2315"/>
        <v/>
      </c>
      <c r="DT148" s="72" t="str">
        <f t="shared" si="2316"/>
        <v/>
      </c>
      <c r="DU148" s="72" t="str">
        <f t="shared" si="2317"/>
        <v/>
      </c>
      <c r="DV148" s="72" t="str">
        <f t="shared" si="2318"/>
        <v/>
      </c>
      <c r="DW148" s="72" t="str">
        <f t="shared" si="2319"/>
        <v/>
      </c>
      <c r="DX148" s="72" t="str">
        <f t="shared" si="2320"/>
        <v/>
      </c>
      <c r="DY148" s="72" t="str">
        <f t="shared" si="2321"/>
        <v/>
      </c>
      <c r="DZ148" s="72" t="str">
        <f t="shared" si="2322"/>
        <v/>
      </c>
      <c r="EA148" s="72" t="str">
        <f t="shared" si="2323"/>
        <v/>
      </c>
      <c r="EB148" s="72" t="str">
        <f t="shared" si="2324"/>
        <v/>
      </c>
      <c r="EC148" s="72" t="str">
        <f t="shared" si="2325"/>
        <v/>
      </c>
      <c r="ED148" s="72" t="str">
        <f t="shared" si="2326"/>
        <v/>
      </c>
      <c r="EE148" s="72" t="str">
        <f t="shared" si="2327"/>
        <v/>
      </c>
      <c r="EF148" s="72" t="str">
        <f t="shared" si="2328"/>
        <v/>
      </c>
      <c r="EG148" s="72" t="str">
        <f t="shared" si="2329"/>
        <v/>
      </c>
      <c r="EH148" s="72" t="str">
        <f t="shared" si="2330"/>
        <v/>
      </c>
      <c r="EI148" s="72" t="str">
        <f t="shared" si="2331"/>
        <v/>
      </c>
      <c r="EJ148" s="72" t="str">
        <f t="shared" si="2332"/>
        <v/>
      </c>
      <c r="EK148" s="72" t="str">
        <f t="shared" si="2333"/>
        <v/>
      </c>
      <c r="EL148" s="72" t="str">
        <f t="shared" si="2334"/>
        <v/>
      </c>
      <c r="EM148" s="72" t="str">
        <f t="shared" si="2335"/>
        <v/>
      </c>
      <c r="EN148" s="72" t="str">
        <f t="shared" si="2336"/>
        <v/>
      </c>
      <c r="EO148" s="72" t="str">
        <f t="shared" si="2337"/>
        <v/>
      </c>
      <c r="EP148" s="72" t="str">
        <f t="shared" si="2338"/>
        <v/>
      </c>
      <c r="EQ148" s="72" t="str">
        <f t="shared" si="2339"/>
        <v/>
      </c>
      <c r="ER148" s="72" t="str">
        <f t="shared" si="2340"/>
        <v/>
      </c>
      <c r="ES148" s="72" t="str">
        <f t="shared" si="2341"/>
        <v/>
      </c>
      <c r="ET148" s="72" t="str">
        <f t="shared" si="2342"/>
        <v/>
      </c>
      <c r="EU148" s="72" t="str">
        <f t="shared" si="2343"/>
        <v/>
      </c>
      <c r="EV148" s="72" t="str">
        <f t="shared" si="2344"/>
        <v/>
      </c>
      <c r="EW148" s="72" t="str">
        <f t="shared" si="2345"/>
        <v/>
      </c>
      <c r="EX148" s="72" t="str">
        <f t="shared" si="2346"/>
        <v/>
      </c>
      <c r="EY148" s="72" t="str">
        <f t="shared" si="2347"/>
        <v/>
      </c>
      <c r="EZ148" s="72" t="str">
        <f t="shared" si="2348"/>
        <v/>
      </c>
      <c r="FA148" s="72" t="str">
        <f t="shared" si="2349"/>
        <v/>
      </c>
      <c r="FB148" s="72" t="str">
        <f t="shared" si="2350"/>
        <v/>
      </c>
      <c r="FC148" s="72" t="str">
        <f t="shared" si="2351"/>
        <v/>
      </c>
      <c r="FD148" s="72" t="str">
        <f t="shared" si="2352"/>
        <v/>
      </c>
      <c r="FE148" s="72" t="str">
        <f t="shared" si="2353"/>
        <v/>
      </c>
      <c r="FF148" s="72" t="str">
        <f t="shared" si="2354"/>
        <v/>
      </c>
      <c r="FG148" s="72" t="str">
        <f t="shared" si="2355"/>
        <v/>
      </c>
      <c r="FH148" s="72" t="str">
        <f t="shared" si="2356"/>
        <v/>
      </c>
      <c r="FI148" s="72" t="str">
        <f t="shared" si="2357"/>
        <v/>
      </c>
      <c r="FJ148" s="72" t="str">
        <f t="shared" si="2358"/>
        <v/>
      </c>
      <c r="FK148" s="72" t="str">
        <f t="shared" si="2359"/>
        <v/>
      </c>
      <c r="FL148" s="72" t="str">
        <f t="shared" si="2360"/>
        <v/>
      </c>
      <c r="FM148" s="72" t="str">
        <f t="shared" si="2361"/>
        <v/>
      </c>
      <c r="FN148" s="72" t="str">
        <f t="shared" si="2362"/>
        <v/>
      </c>
      <c r="FO148" s="72" t="str">
        <f t="shared" si="2363"/>
        <v/>
      </c>
      <c r="FP148" s="72" t="str">
        <f t="shared" si="2364"/>
        <v/>
      </c>
      <c r="FQ148" s="72" t="str">
        <f t="shared" si="2365"/>
        <v/>
      </c>
      <c r="FR148" s="72" t="str">
        <f t="shared" si="2366"/>
        <v/>
      </c>
      <c r="FS148" s="72" t="str">
        <f t="shared" si="2367"/>
        <v/>
      </c>
    </row>
    <row r="149" spans="1:175" ht="15">
      <c r="A149" s="104"/>
      <c r="B149" s="118" t="s">
        <v>560</v>
      </c>
      <c r="C149" s="23" t="s">
        <v>561</v>
      </c>
      <c r="T149" s="122" t="s">
        <v>562</v>
      </c>
      <c r="U149" s="88" t="str">
        <f t="shared" si="1773"/>
        <v>ReplaceableTextures\\CommandButtons\\BTNIN11.blp</v>
      </c>
      <c r="CN149" s="70" t="str">
        <f t="shared" si="2291"/>
        <v>InitUnitState('IN11',,,,,,,,,,)</v>
      </c>
      <c r="CO149" s="70" t="str">
        <f t="shared" si="2292"/>
        <v>InitUnitNormal('IN11',,,,,,,,,,)</v>
      </c>
      <c r="CP149" s="70" t="str">
        <f t="shared" si="2293"/>
        <v>InitUnitMagic('IN11',,,,,,,,,,)</v>
      </c>
      <c r="CQ149" s="70" t="str">
        <f t="shared" si="2294"/>
        <v>InitUnitAdd('IN11',,,,,,,,,,)</v>
      </c>
      <c r="CR149" s="70" t="str">
        <f t="shared" si="2295"/>
        <v>InitEquipData('IN11',,"",,,,,'','','','','','',"ReplaceableTextures\\CommandButtons\\BTNIT05.blp")</v>
      </c>
      <c r="CU149" s="98" t="str">
        <f t="shared" si="2296"/>
        <v>|n</v>
      </c>
      <c r="CV149" s="71" t="str">
        <f t="shared" si="2297"/>
        <v>|CffFFC92610秒|r内提高|Cffffc926100%|r攻击伤害</v>
      </c>
      <c r="CW149" s="61"/>
      <c r="CX149" s="61"/>
      <c r="CY149" s="61"/>
      <c r="CZ149" s="61"/>
      <c r="DA149" s="61"/>
      <c r="DB149" s="72" t="str">
        <f t="shared" si="2298"/>
        <v/>
      </c>
      <c r="DC149" s="72" t="str">
        <f t="shared" si="2299"/>
        <v/>
      </c>
      <c r="DD149" s="72" t="str">
        <f t="shared" si="2300"/>
        <v/>
      </c>
      <c r="DE149" s="72" t="str">
        <f t="shared" si="2301"/>
        <v/>
      </c>
      <c r="DF149" s="72" t="str">
        <f t="shared" si="2302"/>
        <v/>
      </c>
      <c r="DG149" s="72" t="str">
        <f t="shared" si="2303"/>
        <v/>
      </c>
      <c r="DH149" s="72" t="str">
        <f t="shared" si="2304"/>
        <v/>
      </c>
      <c r="DI149" s="72" t="str">
        <f t="shared" si="2305"/>
        <v/>
      </c>
      <c r="DJ149" s="72" t="str">
        <f t="shared" si="2306"/>
        <v/>
      </c>
      <c r="DK149" s="72" t="str">
        <f t="shared" si="2307"/>
        <v/>
      </c>
      <c r="DL149" s="72" t="str">
        <f t="shared" si="2308"/>
        <v/>
      </c>
      <c r="DM149" s="72" t="str">
        <f t="shared" si="2309"/>
        <v/>
      </c>
      <c r="DN149" s="72" t="str">
        <f t="shared" si="2310"/>
        <v/>
      </c>
      <c r="DO149" s="72" t="str">
        <f t="shared" si="2311"/>
        <v/>
      </c>
      <c r="DP149" s="72" t="str">
        <f t="shared" si="2312"/>
        <v/>
      </c>
      <c r="DQ149" s="72" t="str">
        <f t="shared" si="2313"/>
        <v/>
      </c>
      <c r="DR149" s="72" t="str">
        <f t="shared" si="2314"/>
        <v/>
      </c>
      <c r="DS149" s="72" t="str">
        <f t="shared" si="2315"/>
        <v/>
      </c>
      <c r="DT149" s="72" t="str">
        <f t="shared" si="2316"/>
        <v/>
      </c>
      <c r="DU149" s="72" t="str">
        <f t="shared" si="2317"/>
        <v/>
      </c>
      <c r="DV149" s="72" t="str">
        <f t="shared" si="2318"/>
        <v/>
      </c>
      <c r="DW149" s="72" t="str">
        <f t="shared" si="2319"/>
        <v/>
      </c>
      <c r="DX149" s="72" t="str">
        <f t="shared" si="2320"/>
        <v/>
      </c>
      <c r="DY149" s="72" t="str">
        <f t="shared" si="2321"/>
        <v/>
      </c>
      <c r="DZ149" s="72" t="str">
        <f t="shared" si="2322"/>
        <v/>
      </c>
      <c r="EA149" s="72" t="str">
        <f t="shared" si="2323"/>
        <v/>
      </c>
      <c r="EB149" s="72" t="str">
        <f t="shared" si="2324"/>
        <v/>
      </c>
      <c r="EC149" s="72" t="str">
        <f t="shared" si="2325"/>
        <v/>
      </c>
      <c r="ED149" s="72" t="str">
        <f t="shared" si="2326"/>
        <v/>
      </c>
      <c r="EE149" s="72" t="str">
        <f t="shared" si="2327"/>
        <v/>
      </c>
      <c r="EF149" s="72" t="str">
        <f t="shared" si="2328"/>
        <v/>
      </c>
      <c r="EG149" s="72" t="str">
        <f t="shared" si="2329"/>
        <v/>
      </c>
      <c r="EH149" s="72" t="str">
        <f t="shared" si="2330"/>
        <v/>
      </c>
      <c r="EI149" s="72" t="str">
        <f t="shared" si="2331"/>
        <v/>
      </c>
      <c r="EJ149" s="72" t="str">
        <f t="shared" si="2332"/>
        <v/>
      </c>
      <c r="EK149" s="72" t="str">
        <f t="shared" si="2333"/>
        <v/>
      </c>
      <c r="EL149" s="72" t="str">
        <f t="shared" si="2334"/>
        <v/>
      </c>
      <c r="EM149" s="72" t="str">
        <f t="shared" si="2335"/>
        <v/>
      </c>
      <c r="EN149" s="72" t="str">
        <f t="shared" si="2336"/>
        <v/>
      </c>
      <c r="EO149" s="72" t="str">
        <f t="shared" si="2337"/>
        <v/>
      </c>
      <c r="EP149" s="72" t="str">
        <f t="shared" si="2338"/>
        <v/>
      </c>
      <c r="EQ149" s="72" t="str">
        <f t="shared" si="2339"/>
        <v/>
      </c>
      <c r="ER149" s="72" t="str">
        <f t="shared" si="2340"/>
        <v/>
      </c>
      <c r="ES149" s="72" t="str">
        <f t="shared" si="2341"/>
        <v/>
      </c>
      <c r="ET149" s="72" t="str">
        <f t="shared" si="2342"/>
        <v/>
      </c>
      <c r="EU149" s="72" t="str">
        <f t="shared" si="2343"/>
        <v/>
      </c>
      <c r="EV149" s="72" t="str">
        <f t="shared" si="2344"/>
        <v/>
      </c>
      <c r="EW149" s="72" t="str">
        <f t="shared" si="2345"/>
        <v/>
      </c>
      <c r="EX149" s="72" t="str">
        <f t="shared" si="2346"/>
        <v/>
      </c>
      <c r="EY149" s="72" t="str">
        <f t="shared" si="2347"/>
        <v/>
      </c>
      <c r="EZ149" s="72" t="str">
        <f t="shared" si="2348"/>
        <v/>
      </c>
      <c r="FA149" s="72" t="str">
        <f t="shared" si="2349"/>
        <v/>
      </c>
      <c r="FB149" s="72" t="str">
        <f t="shared" si="2350"/>
        <v/>
      </c>
      <c r="FC149" s="72" t="str">
        <f t="shared" si="2351"/>
        <v/>
      </c>
      <c r="FD149" s="72" t="str">
        <f t="shared" si="2352"/>
        <v/>
      </c>
      <c r="FE149" s="72" t="str">
        <f t="shared" si="2353"/>
        <v/>
      </c>
      <c r="FF149" s="72" t="str">
        <f t="shared" si="2354"/>
        <v/>
      </c>
      <c r="FG149" s="72" t="str">
        <f t="shared" si="2355"/>
        <v/>
      </c>
      <c r="FH149" s="72" t="str">
        <f t="shared" si="2356"/>
        <v/>
      </c>
      <c r="FI149" s="72" t="str">
        <f t="shared" si="2357"/>
        <v/>
      </c>
      <c r="FJ149" s="72" t="str">
        <f t="shared" si="2358"/>
        <v/>
      </c>
      <c r="FK149" s="72" t="str">
        <f t="shared" si="2359"/>
        <v/>
      </c>
      <c r="FL149" s="72" t="str">
        <f t="shared" si="2360"/>
        <v/>
      </c>
      <c r="FM149" s="72" t="str">
        <f t="shared" si="2361"/>
        <v/>
      </c>
      <c r="FN149" s="72" t="str">
        <f t="shared" si="2362"/>
        <v/>
      </c>
      <c r="FO149" s="72" t="str">
        <f t="shared" si="2363"/>
        <v/>
      </c>
      <c r="FP149" s="72" t="str">
        <f t="shared" si="2364"/>
        <v/>
      </c>
      <c r="FQ149" s="72" t="str">
        <f t="shared" si="2365"/>
        <v/>
      </c>
      <c r="FR149" s="72" t="str">
        <f t="shared" si="2366"/>
        <v/>
      </c>
      <c r="FS149" s="72" t="str">
        <f t="shared" si="2367"/>
        <v/>
      </c>
    </row>
    <row r="150" spans="1:175" ht="15">
      <c r="A150" s="104"/>
      <c r="B150" s="118" t="s">
        <v>563</v>
      </c>
      <c r="C150" s="23" t="s">
        <v>564</v>
      </c>
      <c r="T150" s="71" t="s">
        <v>565</v>
      </c>
      <c r="U150" s="88" t="str">
        <f t="shared" si="1773"/>
        <v>ReplaceableTextures\\CommandButtons\\BTNIN12.blp</v>
      </c>
      <c r="CN150" s="70" t="str">
        <f t="shared" si="2291"/>
        <v>InitUnitState('IN12',,,,,,,,,,)</v>
      </c>
      <c r="CO150" s="70" t="str">
        <f t="shared" si="2292"/>
        <v>InitUnitNormal('IN12',,,,,,,,,,)</v>
      </c>
      <c r="CP150" s="70" t="str">
        <f t="shared" si="2293"/>
        <v>InitUnitMagic('IN12',,,,,,,,,,)</v>
      </c>
      <c r="CQ150" s="70" t="str">
        <f t="shared" si="2294"/>
        <v>InitUnitAdd('IN12',,,,,,,,,,)</v>
      </c>
      <c r="CR150" s="70" t="str">
        <f t="shared" si="2295"/>
        <v>InitEquipData('IN12',,"",,,,,'','','','','','',"ReplaceableTextures\\CommandButtons\\BTNIT06.blp")</v>
      </c>
      <c r="CU150" s="98" t="str">
        <f t="shared" si="2296"/>
        <v>|n</v>
      </c>
      <c r="CV150" s="71" t="str">
        <f t="shared" si="2297"/>
        <v>在|Cffffc926基地-周文王|r附近召唤|Cffffc9261|r个|Cffffc926黑市商店|r，仅存在|Cffffc92630|r秒。</v>
      </c>
      <c r="CW150" s="61"/>
      <c r="CX150" s="61"/>
      <c r="CY150" s="61"/>
      <c r="CZ150" s="61"/>
      <c r="DA150" s="61"/>
      <c r="DB150" s="72" t="str">
        <f t="shared" si="2298"/>
        <v/>
      </c>
      <c r="DC150" s="72" t="str">
        <f t="shared" si="2299"/>
        <v/>
      </c>
      <c r="DD150" s="72" t="str">
        <f t="shared" si="2300"/>
        <v/>
      </c>
      <c r="DE150" s="72" t="str">
        <f t="shared" si="2301"/>
        <v/>
      </c>
      <c r="DF150" s="72" t="str">
        <f t="shared" si="2302"/>
        <v/>
      </c>
      <c r="DG150" s="72" t="str">
        <f t="shared" si="2303"/>
        <v/>
      </c>
      <c r="DH150" s="72" t="str">
        <f t="shared" si="2304"/>
        <v/>
      </c>
      <c r="DI150" s="72" t="str">
        <f t="shared" si="2305"/>
        <v/>
      </c>
      <c r="DJ150" s="72" t="str">
        <f t="shared" si="2306"/>
        <v/>
      </c>
      <c r="DK150" s="72" t="str">
        <f t="shared" si="2307"/>
        <v/>
      </c>
      <c r="DL150" s="72" t="str">
        <f t="shared" si="2308"/>
        <v/>
      </c>
      <c r="DM150" s="72" t="str">
        <f t="shared" si="2309"/>
        <v/>
      </c>
      <c r="DN150" s="72" t="str">
        <f t="shared" si="2310"/>
        <v/>
      </c>
      <c r="DO150" s="72" t="str">
        <f t="shared" si="2311"/>
        <v/>
      </c>
      <c r="DP150" s="72" t="str">
        <f t="shared" si="2312"/>
        <v/>
      </c>
      <c r="DQ150" s="72" t="str">
        <f t="shared" si="2313"/>
        <v/>
      </c>
      <c r="DR150" s="72" t="str">
        <f t="shared" si="2314"/>
        <v/>
      </c>
      <c r="DS150" s="72" t="str">
        <f t="shared" si="2315"/>
        <v/>
      </c>
      <c r="DT150" s="72" t="str">
        <f t="shared" si="2316"/>
        <v/>
      </c>
      <c r="DU150" s="72" t="str">
        <f t="shared" si="2317"/>
        <v/>
      </c>
      <c r="DV150" s="72" t="str">
        <f t="shared" si="2318"/>
        <v/>
      </c>
      <c r="DW150" s="72" t="str">
        <f t="shared" si="2319"/>
        <v/>
      </c>
      <c r="DX150" s="72" t="str">
        <f t="shared" si="2320"/>
        <v/>
      </c>
      <c r="DY150" s="72" t="str">
        <f t="shared" si="2321"/>
        <v/>
      </c>
      <c r="DZ150" s="72" t="str">
        <f t="shared" si="2322"/>
        <v/>
      </c>
      <c r="EA150" s="72" t="str">
        <f t="shared" si="2323"/>
        <v/>
      </c>
      <c r="EB150" s="72" t="str">
        <f t="shared" si="2324"/>
        <v/>
      </c>
      <c r="EC150" s="72" t="str">
        <f t="shared" si="2325"/>
        <v/>
      </c>
      <c r="ED150" s="72" t="str">
        <f t="shared" si="2326"/>
        <v/>
      </c>
      <c r="EE150" s="72" t="str">
        <f t="shared" si="2327"/>
        <v/>
      </c>
      <c r="EF150" s="72" t="str">
        <f t="shared" si="2328"/>
        <v/>
      </c>
      <c r="EG150" s="72" t="str">
        <f t="shared" si="2329"/>
        <v/>
      </c>
      <c r="EH150" s="72" t="str">
        <f t="shared" si="2330"/>
        <v/>
      </c>
      <c r="EI150" s="72" t="str">
        <f t="shared" si="2331"/>
        <v/>
      </c>
      <c r="EJ150" s="72" t="str">
        <f t="shared" si="2332"/>
        <v/>
      </c>
      <c r="EK150" s="72" t="str">
        <f t="shared" si="2333"/>
        <v/>
      </c>
      <c r="EL150" s="72" t="str">
        <f t="shared" si="2334"/>
        <v/>
      </c>
      <c r="EM150" s="72" t="str">
        <f t="shared" si="2335"/>
        <v/>
      </c>
      <c r="EN150" s="72" t="str">
        <f t="shared" si="2336"/>
        <v/>
      </c>
      <c r="EO150" s="72" t="str">
        <f t="shared" si="2337"/>
        <v/>
      </c>
      <c r="EP150" s="72" t="str">
        <f t="shared" si="2338"/>
        <v/>
      </c>
      <c r="EQ150" s="72" t="str">
        <f t="shared" si="2339"/>
        <v/>
      </c>
      <c r="ER150" s="72" t="str">
        <f t="shared" si="2340"/>
        <v/>
      </c>
      <c r="ES150" s="72" t="str">
        <f t="shared" si="2341"/>
        <v/>
      </c>
      <c r="ET150" s="72" t="str">
        <f t="shared" si="2342"/>
        <v/>
      </c>
      <c r="EU150" s="72" t="str">
        <f t="shared" si="2343"/>
        <v/>
      </c>
      <c r="EV150" s="72" t="str">
        <f t="shared" si="2344"/>
        <v/>
      </c>
      <c r="EW150" s="72" t="str">
        <f t="shared" si="2345"/>
        <v/>
      </c>
      <c r="EX150" s="72" t="str">
        <f t="shared" si="2346"/>
        <v/>
      </c>
      <c r="EY150" s="72" t="str">
        <f t="shared" si="2347"/>
        <v/>
      </c>
      <c r="EZ150" s="72" t="str">
        <f t="shared" si="2348"/>
        <v/>
      </c>
      <c r="FA150" s="72" t="str">
        <f t="shared" si="2349"/>
        <v/>
      </c>
      <c r="FB150" s="72" t="str">
        <f t="shared" si="2350"/>
        <v/>
      </c>
      <c r="FC150" s="72" t="str">
        <f t="shared" si="2351"/>
        <v/>
      </c>
      <c r="FD150" s="72" t="str">
        <f t="shared" si="2352"/>
        <v/>
      </c>
      <c r="FE150" s="72" t="str">
        <f t="shared" si="2353"/>
        <v/>
      </c>
      <c r="FF150" s="72" t="str">
        <f t="shared" si="2354"/>
        <v/>
      </c>
      <c r="FG150" s="72" t="str">
        <f t="shared" si="2355"/>
        <v/>
      </c>
      <c r="FH150" s="72" t="str">
        <f t="shared" si="2356"/>
        <v/>
      </c>
      <c r="FI150" s="72" t="str">
        <f t="shared" si="2357"/>
        <v/>
      </c>
      <c r="FJ150" s="72" t="str">
        <f t="shared" si="2358"/>
        <v/>
      </c>
      <c r="FK150" s="72" t="str">
        <f t="shared" si="2359"/>
        <v/>
      </c>
      <c r="FL150" s="72" t="str">
        <f t="shared" si="2360"/>
        <v/>
      </c>
      <c r="FM150" s="72" t="str">
        <f t="shared" si="2361"/>
        <v/>
      </c>
      <c r="FN150" s="72" t="str">
        <f t="shared" si="2362"/>
        <v/>
      </c>
      <c r="FO150" s="72" t="str">
        <f t="shared" si="2363"/>
        <v/>
      </c>
      <c r="FP150" s="72" t="str">
        <f t="shared" si="2364"/>
        <v/>
      </c>
      <c r="FQ150" s="72" t="str">
        <f t="shared" si="2365"/>
        <v/>
      </c>
      <c r="FR150" s="72" t="str">
        <f t="shared" si="2366"/>
        <v/>
      </c>
      <c r="FS150" s="72" t="str">
        <f t="shared" si="2367"/>
        <v/>
      </c>
    </row>
    <row r="151" spans="1:175" ht="15">
      <c r="A151" s="104"/>
      <c r="B151" s="118" t="s">
        <v>566</v>
      </c>
      <c r="C151" s="23" t="s">
        <v>567</v>
      </c>
      <c r="T151" s="122" t="s">
        <v>568</v>
      </c>
      <c r="U151" s="88" t="str">
        <f t="shared" si="1773"/>
        <v>ReplaceableTextures\\CommandButtons\\BTNIN13.blp</v>
      </c>
      <c r="CN151" s="70" t="str">
        <f t="shared" si="2291"/>
        <v>InitUnitState('IN13',,,,,,,,,,)</v>
      </c>
      <c r="CO151" s="70" t="str">
        <f t="shared" si="2292"/>
        <v>InitUnitNormal('IN13',,,,,,,,,,)</v>
      </c>
      <c r="CP151" s="70" t="str">
        <f t="shared" si="2293"/>
        <v>InitUnitMagic('IN13',,,,,,,,,,)</v>
      </c>
      <c r="CQ151" s="70" t="str">
        <f t="shared" si="2294"/>
        <v>InitUnitAdd('IN13',,,,,,,,,,)</v>
      </c>
      <c r="CR151" s="70" t="str">
        <f t="shared" si="2295"/>
        <v>InitEquipData('IN13',,"",,,,,'','','','','','',"ReplaceableTextures\\CommandButtons\\BTNIT07.blp")</v>
      </c>
      <c r="CU151" s="98" t="str">
        <f t="shared" si="2143"/>
        <v>|n</v>
      </c>
      <c r="CV151" s="71" t="str">
        <f t="shared" si="2144"/>
        <v>场上存活的队友|Cffffc92615|r秒内提高|Cffffc92650%|r技能伤害</v>
      </c>
      <c r="CW151" s="61"/>
      <c r="CX151" s="61"/>
      <c r="CY151" s="61"/>
      <c r="CZ151" s="61"/>
      <c r="DA151" s="61"/>
      <c r="DB151" s="72" t="str">
        <f t="shared" si="2145"/>
        <v/>
      </c>
      <c r="DC151" s="72" t="str">
        <f t="shared" si="2146"/>
        <v/>
      </c>
      <c r="DD151" s="72" t="str">
        <f t="shared" si="2147"/>
        <v/>
      </c>
      <c r="DE151" s="72" t="str">
        <f t="shared" si="2148"/>
        <v/>
      </c>
      <c r="DF151" s="72" t="str">
        <f t="shared" si="2149"/>
        <v/>
      </c>
      <c r="DG151" s="72" t="str">
        <f t="shared" si="2150"/>
        <v/>
      </c>
      <c r="DH151" s="72" t="str">
        <f t="shared" si="2151"/>
        <v/>
      </c>
      <c r="DI151" s="72" t="str">
        <f t="shared" si="2152"/>
        <v/>
      </c>
      <c r="DJ151" s="72" t="str">
        <f t="shared" si="2153"/>
        <v/>
      </c>
      <c r="DK151" s="72" t="str">
        <f t="shared" si="2154"/>
        <v/>
      </c>
      <c r="DL151" s="72" t="str">
        <f t="shared" si="2155"/>
        <v/>
      </c>
      <c r="DM151" s="72" t="str">
        <f t="shared" si="2156"/>
        <v/>
      </c>
      <c r="DN151" s="72" t="str">
        <f t="shared" si="2157"/>
        <v/>
      </c>
      <c r="DO151" s="72" t="str">
        <f t="shared" si="2158"/>
        <v/>
      </c>
      <c r="DP151" s="72" t="str">
        <f t="shared" si="2159"/>
        <v/>
      </c>
      <c r="DQ151" s="72" t="str">
        <f t="shared" si="2160"/>
        <v/>
      </c>
      <c r="DR151" s="72" t="str">
        <f t="shared" si="2161"/>
        <v/>
      </c>
      <c r="DS151" s="72" t="str">
        <f t="shared" si="2162"/>
        <v/>
      </c>
      <c r="DT151" s="72" t="str">
        <f t="shared" si="2163"/>
        <v/>
      </c>
      <c r="DU151" s="72" t="str">
        <f t="shared" si="2164"/>
        <v/>
      </c>
      <c r="DV151" s="72" t="str">
        <f t="shared" si="2165"/>
        <v/>
      </c>
      <c r="DW151" s="72" t="str">
        <f t="shared" si="2166"/>
        <v/>
      </c>
      <c r="DX151" s="72" t="str">
        <f t="shared" si="2167"/>
        <v/>
      </c>
      <c r="DY151" s="72" t="str">
        <f t="shared" si="2168"/>
        <v/>
      </c>
      <c r="DZ151" s="72" t="str">
        <f t="shared" si="2169"/>
        <v/>
      </c>
      <c r="EA151" s="72" t="str">
        <f t="shared" si="2170"/>
        <v/>
      </c>
      <c r="EB151" s="72" t="str">
        <f t="shared" si="2171"/>
        <v/>
      </c>
      <c r="EC151" s="72" t="str">
        <f t="shared" si="2172"/>
        <v/>
      </c>
      <c r="ED151" s="72" t="str">
        <f t="shared" si="2173"/>
        <v/>
      </c>
      <c r="EE151" s="72" t="str">
        <f t="shared" si="2174"/>
        <v/>
      </c>
      <c r="EF151" s="72" t="str">
        <f t="shared" si="2175"/>
        <v/>
      </c>
      <c r="EG151" s="72" t="str">
        <f t="shared" si="2176"/>
        <v/>
      </c>
      <c r="EH151" s="72" t="str">
        <f t="shared" si="2177"/>
        <v/>
      </c>
      <c r="EI151" s="72" t="str">
        <f t="shared" si="2178"/>
        <v/>
      </c>
      <c r="EJ151" s="72" t="str">
        <f t="shared" si="2179"/>
        <v/>
      </c>
      <c r="EK151" s="72" t="str">
        <f t="shared" si="2180"/>
        <v/>
      </c>
      <c r="EL151" s="72" t="str">
        <f t="shared" si="2181"/>
        <v/>
      </c>
      <c r="EM151" s="72" t="str">
        <f t="shared" si="2182"/>
        <v/>
      </c>
      <c r="EN151" s="72" t="str">
        <f t="shared" si="2183"/>
        <v/>
      </c>
      <c r="EO151" s="72" t="str">
        <f t="shared" si="2184"/>
        <v/>
      </c>
      <c r="EP151" s="72" t="str">
        <f t="shared" si="2185"/>
        <v/>
      </c>
      <c r="EQ151" s="72" t="str">
        <f t="shared" si="2186"/>
        <v/>
      </c>
      <c r="ER151" s="72" t="str">
        <f t="shared" si="2187"/>
        <v/>
      </c>
      <c r="ES151" s="72" t="str">
        <f t="shared" si="2188"/>
        <v/>
      </c>
      <c r="ET151" s="72" t="str">
        <f t="shared" si="2189"/>
        <v/>
      </c>
      <c r="EU151" s="72" t="str">
        <f t="shared" si="2190"/>
        <v/>
      </c>
      <c r="EV151" s="72" t="str">
        <f t="shared" si="2191"/>
        <v/>
      </c>
      <c r="EW151" s="72" t="str">
        <f t="shared" si="2192"/>
        <v/>
      </c>
      <c r="EX151" s="72" t="str">
        <f t="shared" si="2193"/>
        <v/>
      </c>
      <c r="EY151" s="72" t="str">
        <f t="shared" si="2194"/>
        <v/>
      </c>
      <c r="EZ151" s="72" t="str">
        <f t="shared" si="2195"/>
        <v/>
      </c>
      <c r="FA151" s="72" t="str">
        <f t="shared" si="2196"/>
        <v/>
      </c>
      <c r="FB151" s="72" t="str">
        <f t="shared" si="2197"/>
        <v/>
      </c>
      <c r="FC151" s="72" t="str">
        <f t="shared" si="2198"/>
        <v/>
      </c>
      <c r="FD151" s="72" t="str">
        <f t="shared" si="2199"/>
        <v/>
      </c>
      <c r="FE151" s="72" t="str">
        <f t="shared" si="2200"/>
        <v/>
      </c>
      <c r="FF151" s="72" t="str">
        <f t="shared" si="2201"/>
        <v/>
      </c>
      <c r="FG151" s="72" t="str">
        <f t="shared" si="2202"/>
        <v/>
      </c>
      <c r="FH151" s="72" t="str">
        <f t="shared" si="2203"/>
        <v/>
      </c>
      <c r="FI151" s="72" t="str">
        <f t="shared" si="2204"/>
        <v/>
      </c>
      <c r="FJ151" s="72" t="str">
        <f t="shared" si="2205"/>
        <v/>
      </c>
      <c r="FK151" s="72" t="str">
        <f t="shared" si="2206"/>
        <v/>
      </c>
      <c r="FL151" s="72" t="str">
        <f t="shared" si="2207"/>
        <v/>
      </c>
      <c r="FM151" s="72" t="str">
        <f t="shared" si="2208"/>
        <v/>
      </c>
      <c r="FN151" s="72" t="str">
        <f t="shared" si="2209"/>
        <v/>
      </c>
      <c r="FO151" s="72" t="str">
        <f t="shared" si="2210"/>
        <v/>
      </c>
      <c r="FP151" s="72" t="str">
        <f t="shared" si="2211"/>
        <v/>
      </c>
      <c r="FQ151" s="72" t="str">
        <f t="shared" si="2212"/>
        <v/>
      </c>
      <c r="FR151" s="72" t="str">
        <f t="shared" si="2213"/>
        <v/>
      </c>
      <c r="FS151" s="72" t="str">
        <f t="shared" si="2214"/>
        <v/>
      </c>
    </row>
    <row r="152" spans="1:175" ht="15">
      <c r="A152" s="104"/>
      <c r="B152" s="118" t="s">
        <v>569</v>
      </c>
      <c r="C152" s="23" t="s">
        <v>570</v>
      </c>
      <c r="T152" s="122" t="s">
        <v>571</v>
      </c>
      <c r="U152" s="88" t="str">
        <f t="shared" si="1773"/>
        <v>ReplaceableTextures\\CommandButtons\\BTNIN14.blp</v>
      </c>
      <c r="CN152" s="70" t="str">
        <f t="shared" si="2291"/>
        <v>InitUnitState('IN14',,,,,,,,,,)</v>
      </c>
      <c r="CO152" s="70" t="str">
        <f t="shared" si="2292"/>
        <v>InitUnitNormal('IN14',,,,,,,,,,)</v>
      </c>
      <c r="CP152" s="70" t="str">
        <f t="shared" si="2293"/>
        <v>InitUnitMagic('IN14',,,,,,,,,,)</v>
      </c>
      <c r="CQ152" s="70" t="str">
        <f t="shared" si="2294"/>
        <v>InitUnitAdd('IN14',,,,,,,,,,)</v>
      </c>
      <c r="CR152" s="70" t="str">
        <f t="shared" si="2295"/>
        <v>InitEquipData('IN14',,"",,,,,'','','','','','',"ReplaceableTextures\\CommandButtons\\BTNIT08.blp")</v>
      </c>
      <c r="CU152" s="98" t="str">
        <f t="shared" si="2143"/>
        <v>|n</v>
      </c>
      <c r="CV152" s="71" t="str">
        <f t="shared" si="2144"/>
        <v>使用后基地无敌|Cffffc92610|r秒。</v>
      </c>
      <c r="CW152" s="61"/>
      <c r="CX152" s="61"/>
      <c r="CY152" s="61"/>
      <c r="CZ152" s="61"/>
      <c r="DA152" s="61"/>
      <c r="DB152" s="72" t="str">
        <f t="shared" si="2145"/>
        <v/>
      </c>
      <c r="DC152" s="72" t="str">
        <f t="shared" si="2146"/>
        <v/>
      </c>
      <c r="DD152" s="72" t="str">
        <f t="shared" si="2147"/>
        <v/>
      </c>
      <c r="DE152" s="72" t="str">
        <f t="shared" si="2148"/>
        <v/>
      </c>
      <c r="DF152" s="72" t="str">
        <f t="shared" si="2149"/>
        <v/>
      </c>
      <c r="DG152" s="72" t="str">
        <f t="shared" si="2150"/>
        <v/>
      </c>
      <c r="DH152" s="72" t="str">
        <f t="shared" si="2151"/>
        <v/>
      </c>
      <c r="DI152" s="72" t="str">
        <f t="shared" si="2152"/>
        <v/>
      </c>
      <c r="DJ152" s="72" t="str">
        <f t="shared" si="2153"/>
        <v/>
      </c>
      <c r="DK152" s="72" t="str">
        <f t="shared" si="2154"/>
        <v/>
      </c>
      <c r="DL152" s="72" t="str">
        <f t="shared" si="2155"/>
        <v/>
      </c>
      <c r="DM152" s="72" t="str">
        <f t="shared" si="2156"/>
        <v/>
      </c>
      <c r="DN152" s="72" t="str">
        <f t="shared" si="2157"/>
        <v/>
      </c>
      <c r="DO152" s="72" t="str">
        <f t="shared" si="2158"/>
        <v/>
      </c>
      <c r="DP152" s="72" t="str">
        <f t="shared" si="2159"/>
        <v/>
      </c>
      <c r="DQ152" s="72" t="str">
        <f t="shared" si="2160"/>
        <v/>
      </c>
      <c r="DR152" s="72" t="str">
        <f t="shared" si="2161"/>
        <v/>
      </c>
      <c r="DS152" s="72" t="str">
        <f t="shared" si="2162"/>
        <v/>
      </c>
      <c r="DT152" s="72" t="str">
        <f t="shared" si="2163"/>
        <v/>
      </c>
      <c r="DU152" s="72" t="str">
        <f t="shared" si="2164"/>
        <v/>
      </c>
      <c r="DV152" s="72" t="str">
        <f t="shared" si="2165"/>
        <v/>
      </c>
      <c r="DW152" s="72" t="str">
        <f t="shared" si="2166"/>
        <v/>
      </c>
      <c r="DX152" s="72" t="str">
        <f t="shared" si="2167"/>
        <v/>
      </c>
      <c r="DY152" s="72" t="str">
        <f t="shared" si="2168"/>
        <v/>
      </c>
      <c r="DZ152" s="72" t="str">
        <f t="shared" si="2169"/>
        <v/>
      </c>
      <c r="EA152" s="72" t="str">
        <f t="shared" si="2170"/>
        <v/>
      </c>
      <c r="EB152" s="72" t="str">
        <f t="shared" si="2171"/>
        <v/>
      </c>
      <c r="EC152" s="72" t="str">
        <f t="shared" si="2172"/>
        <v/>
      </c>
      <c r="ED152" s="72" t="str">
        <f t="shared" si="2173"/>
        <v/>
      </c>
      <c r="EE152" s="72" t="str">
        <f t="shared" si="2174"/>
        <v/>
      </c>
      <c r="EF152" s="72" t="str">
        <f t="shared" si="2175"/>
        <v/>
      </c>
      <c r="EG152" s="72" t="str">
        <f t="shared" si="2176"/>
        <v/>
      </c>
      <c r="EH152" s="72" t="str">
        <f t="shared" si="2177"/>
        <v/>
      </c>
      <c r="EI152" s="72" t="str">
        <f t="shared" si="2178"/>
        <v/>
      </c>
      <c r="EJ152" s="72" t="str">
        <f t="shared" si="2179"/>
        <v/>
      </c>
      <c r="EK152" s="72" t="str">
        <f t="shared" si="2180"/>
        <v/>
      </c>
      <c r="EL152" s="72" t="str">
        <f t="shared" si="2181"/>
        <v/>
      </c>
      <c r="EM152" s="72" t="str">
        <f t="shared" si="2182"/>
        <v/>
      </c>
      <c r="EN152" s="72" t="str">
        <f t="shared" si="2183"/>
        <v/>
      </c>
      <c r="EO152" s="72" t="str">
        <f t="shared" si="2184"/>
        <v/>
      </c>
      <c r="EP152" s="72" t="str">
        <f t="shared" si="2185"/>
        <v/>
      </c>
      <c r="EQ152" s="72" t="str">
        <f t="shared" si="2186"/>
        <v/>
      </c>
      <c r="ER152" s="72" t="str">
        <f t="shared" si="2187"/>
        <v/>
      </c>
      <c r="ES152" s="72" t="str">
        <f t="shared" si="2188"/>
        <v/>
      </c>
      <c r="ET152" s="72" t="str">
        <f t="shared" si="2189"/>
        <v/>
      </c>
      <c r="EU152" s="72" t="str">
        <f t="shared" si="2190"/>
        <v/>
      </c>
      <c r="EV152" s="72" t="str">
        <f t="shared" si="2191"/>
        <v/>
      </c>
      <c r="EW152" s="72" t="str">
        <f t="shared" si="2192"/>
        <v/>
      </c>
      <c r="EX152" s="72" t="str">
        <f t="shared" si="2193"/>
        <v/>
      </c>
      <c r="EY152" s="72" t="str">
        <f t="shared" si="2194"/>
        <v/>
      </c>
      <c r="EZ152" s="72" t="str">
        <f t="shared" si="2195"/>
        <v/>
      </c>
      <c r="FA152" s="72" t="str">
        <f t="shared" si="2196"/>
        <v/>
      </c>
      <c r="FB152" s="72" t="str">
        <f t="shared" si="2197"/>
        <v/>
      </c>
      <c r="FC152" s="72" t="str">
        <f t="shared" si="2198"/>
        <v/>
      </c>
      <c r="FD152" s="72" t="str">
        <f t="shared" si="2199"/>
        <v/>
      </c>
      <c r="FE152" s="72" t="str">
        <f t="shared" si="2200"/>
        <v/>
      </c>
      <c r="FF152" s="72" t="str">
        <f t="shared" si="2201"/>
        <v/>
      </c>
      <c r="FG152" s="72" t="str">
        <f t="shared" si="2202"/>
        <v/>
      </c>
      <c r="FH152" s="72" t="str">
        <f t="shared" si="2203"/>
        <v/>
      </c>
      <c r="FI152" s="72" t="str">
        <f t="shared" si="2204"/>
        <v/>
      </c>
      <c r="FJ152" s="72" t="str">
        <f t="shared" si="2205"/>
        <v/>
      </c>
      <c r="FK152" s="72" t="str">
        <f t="shared" si="2206"/>
        <v/>
      </c>
      <c r="FL152" s="72" t="str">
        <f t="shared" si="2207"/>
        <v/>
      </c>
      <c r="FM152" s="72" t="str">
        <f t="shared" si="2208"/>
        <v/>
      </c>
      <c r="FN152" s="72" t="str">
        <f t="shared" si="2209"/>
        <v/>
      </c>
      <c r="FO152" s="72" t="str">
        <f t="shared" si="2210"/>
        <v/>
      </c>
      <c r="FP152" s="72" t="str">
        <f t="shared" si="2211"/>
        <v/>
      </c>
      <c r="FQ152" s="72" t="str">
        <f t="shared" si="2212"/>
        <v/>
      </c>
      <c r="FR152" s="72" t="str">
        <f t="shared" si="2213"/>
        <v/>
      </c>
      <c r="FS152" s="72" t="str">
        <f t="shared" si="2214"/>
        <v/>
      </c>
    </row>
    <row r="153" spans="1:175" ht="15">
      <c r="A153" s="104"/>
      <c r="B153" s="118" t="s">
        <v>572</v>
      </c>
      <c r="C153" s="23" t="s">
        <v>573</v>
      </c>
      <c r="T153" s="122" t="s">
        <v>574</v>
      </c>
      <c r="U153" s="88" t="str">
        <f t="shared" si="1773"/>
        <v>ReplaceableTextures\\CommandButtons\\BTNIN15.blp</v>
      </c>
      <c r="CN153" s="70" t="str">
        <f t="shared" si="2291"/>
        <v>InitUnitState('IN15',,,,,,,,,,)</v>
      </c>
      <c r="CO153" s="70" t="str">
        <f t="shared" si="2292"/>
        <v>InitUnitNormal('IN15',,,,,,,,,,)</v>
      </c>
      <c r="CP153" s="70" t="str">
        <f t="shared" si="2293"/>
        <v>InitUnitMagic('IN15',,,,,,,,,,)</v>
      </c>
      <c r="CQ153" s="70" t="str">
        <f t="shared" si="2294"/>
        <v>InitUnitAdd('IN15',,,,,,,,,,)</v>
      </c>
      <c r="CR153" s="70" t="str">
        <f t="shared" si="2295"/>
        <v>InitEquipData('IN15',,"",,,,,'','','','','','',"ReplaceableTextures\\CommandButtons\\BTNIT09.blp")</v>
      </c>
      <c r="CU153" s="98" t="str">
        <f t="shared" ref="CU153:CU155" si="2368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1" t="str">
        <f t="shared" ref="CV153:CV155" si="2369">T153</f>
        <v>场上存活的队友|Cffffc92615|r秒内减少|Cffffc92620%|r承受伤害</v>
      </c>
      <c r="CW153" s="61"/>
      <c r="CX153" s="61"/>
      <c r="CY153" s="61"/>
      <c r="CZ153" s="61"/>
      <c r="DA153" s="61"/>
      <c r="DB153" s="72" t="str">
        <f t="shared" ref="DB153:DB155" si="2370">IF(V153="","","|n"&amp;DB$2&amp;"+"&amp;V153&amp;DB$1)</f>
        <v/>
      </c>
      <c r="DC153" s="72" t="str">
        <f t="shared" ref="DC153:DC155" si="2371">IF(W153="","","|n"&amp;DC$2&amp;"+"&amp;W153&amp;DC$1)</f>
        <v/>
      </c>
      <c r="DD153" s="72" t="str">
        <f t="shared" ref="DD153:DD155" si="2372">IF(X153="","","|n"&amp;DD$2&amp;"+"&amp;X153&amp;DD$1)</f>
        <v/>
      </c>
      <c r="DE153" s="72" t="str">
        <f t="shared" ref="DE153:DE155" si="2373">IF(Y153="","","|n"&amp;DE$2&amp;"+"&amp;Y153&amp;DE$1)</f>
        <v/>
      </c>
      <c r="DF153" s="72" t="str">
        <f t="shared" ref="DF153:DF155" si="2374">IF(Z153="","","|n"&amp;DF$2&amp;"+"&amp;Z153&amp;DF$1)</f>
        <v/>
      </c>
      <c r="DG153" s="72" t="str">
        <f t="shared" ref="DG153:DG155" si="2375">IF(AA153="","","|n"&amp;DG$2&amp;"+"&amp;AA153&amp;DG$1)</f>
        <v/>
      </c>
      <c r="DH153" s="72" t="str">
        <f t="shared" ref="DH153:DH155" si="2376">IF(AB153="","","|n"&amp;DH$2&amp;"+"&amp;AB153&amp;DH$1)</f>
        <v/>
      </c>
      <c r="DI153" s="72" t="str">
        <f t="shared" ref="DI153:DI155" si="2377">IF(AC153="","","|n"&amp;DI$2&amp;"+"&amp;AC153&amp;DI$1)</f>
        <v/>
      </c>
      <c r="DJ153" s="72" t="str">
        <f t="shared" ref="DJ153:DJ155" si="2378">IF(AD153="","","|n"&amp;DJ$2&amp;"+"&amp;AD153&amp;DJ$1)</f>
        <v/>
      </c>
      <c r="DK153" s="72" t="str">
        <f t="shared" ref="DK153:DK155" si="2379">IF(AE153="","","|n"&amp;DK$2&amp;"+"&amp;AE153&amp;DK$1)</f>
        <v/>
      </c>
      <c r="DL153" s="72" t="str">
        <f t="shared" ref="DL153:DL155" si="2380">IF(AF153="","","|n"&amp;DL$2&amp;"+"&amp;AF153&amp;DL$1)</f>
        <v/>
      </c>
      <c r="DM153" s="72" t="str">
        <f t="shared" ref="DM153:DM155" si="2381">IF(AG153="","","|n"&amp;DM$2&amp;"+"&amp;AG153&amp;DM$1)</f>
        <v/>
      </c>
      <c r="DN153" s="72" t="str">
        <f t="shared" ref="DN153:DN155" si="2382">IF(AH153="","","|n"&amp;DN$2&amp;"+"&amp;AH153&amp;DN$1)</f>
        <v/>
      </c>
      <c r="DO153" s="72" t="str">
        <f t="shared" ref="DO153:DO155" si="2383">IF(AI153="","","|n"&amp;DO$2&amp;"+"&amp;AI153&amp;DO$1)</f>
        <v/>
      </c>
      <c r="DP153" s="72" t="str">
        <f t="shared" ref="DP153:DP155" si="2384">IF(AJ153="","","|n"&amp;DP$2&amp;"+"&amp;AJ153&amp;DP$1)</f>
        <v/>
      </c>
      <c r="DQ153" s="72" t="str">
        <f t="shared" ref="DQ153:DQ155" si="2385">IF(AK153="","","|n"&amp;DQ$2&amp;"+"&amp;AK153&amp;DQ$1)</f>
        <v/>
      </c>
      <c r="DR153" s="72" t="str">
        <f t="shared" ref="DR153:DR155" si="2386">IF(AL153="","","|n"&amp;DR$2&amp;"+"&amp;AL153&amp;DR$1)</f>
        <v/>
      </c>
      <c r="DS153" s="72" t="str">
        <f t="shared" ref="DS153:DS155" si="2387">IF(AM153="","","|n"&amp;DS$2&amp;"+"&amp;AM153&amp;DS$1)</f>
        <v/>
      </c>
      <c r="DT153" s="72" t="str">
        <f t="shared" ref="DT153:DT155" si="2388">IF(AN153="","","|n"&amp;DT$2&amp;"+"&amp;AN153&amp;DT$1)</f>
        <v/>
      </c>
      <c r="DU153" s="72" t="str">
        <f t="shared" ref="DU153:DU155" si="2389">IF(AO153="","","|n"&amp;DU$2&amp;"+"&amp;AO153&amp;DU$1)</f>
        <v/>
      </c>
      <c r="DV153" s="72" t="str">
        <f t="shared" ref="DV153:DV155" si="2390">IF(AP153="","","|n"&amp;DV$2&amp;"+"&amp;AP153&amp;DV$1)</f>
        <v/>
      </c>
      <c r="DW153" s="72" t="str">
        <f t="shared" ref="DW153:DW155" si="2391">IF(AQ153="","","|n"&amp;DW$2&amp;"+"&amp;AQ153&amp;DW$1)</f>
        <v/>
      </c>
      <c r="DX153" s="72" t="str">
        <f t="shared" ref="DX153:DX155" si="2392">IF(AR153="","","|n"&amp;DX$2&amp;"+"&amp;AR153&amp;DX$1)</f>
        <v/>
      </c>
      <c r="DY153" s="72" t="str">
        <f t="shared" ref="DY153:DY155" si="2393">IF(AS153="","","|n"&amp;DY$2&amp;"+"&amp;AS153&amp;DY$1)</f>
        <v/>
      </c>
      <c r="DZ153" s="72" t="str">
        <f t="shared" ref="DZ153:DZ155" si="2394">IF(AT153="","","|n"&amp;DZ$2&amp;"+"&amp;AT153&amp;DZ$1)</f>
        <v/>
      </c>
      <c r="EA153" s="72" t="str">
        <f t="shared" ref="EA153:EA155" si="2395">IF(AU153="","","|n"&amp;EA$2&amp;"+"&amp;AU153&amp;EA$1)</f>
        <v/>
      </c>
      <c r="EB153" s="72" t="str">
        <f t="shared" ref="EB153:EB155" si="2396">IF(AV153="","","|n"&amp;EB$2&amp;"+"&amp;AV153&amp;EB$1)</f>
        <v/>
      </c>
      <c r="EC153" s="72" t="str">
        <f t="shared" ref="EC153:EC155" si="2397">IF(AW153="","","|n"&amp;EC$2&amp;"+"&amp;AW153&amp;EC$1)</f>
        <v/>
      </c>
      <c r="ED153" s="72" t="str">
        <f t="shared" ref="ED153:ED155" si="2398">IF(AX153="","","|n"&amp;ED$2&amp;"+"&amp;AX153&amp;ED$1)</f>
        <v/>
      </c>
      <c r="EE153" s="72" t="str">
        <f t="shared" ref="EE153:EE155" si="2399">IF(AY153="","","|n"&amp;EE$2&amp;"+"&amp;AY153&amp;EE$1)</f>
        <v/>
      </c>
      <c r="EF153" s="72" t="str">
        <f t="shared" ref="EF153:EF155" si="2400">IF(AZ153="","","|n"&amp;EF$2&amp;"+"&amp;AZ153&amp;EF$1)</f>
        <v/>
      </c>
      <c r="EG153" s="72" t="str">
        <f t="shared" ref="EG153:EG155" si="2401">IF(BA153="","","|n"&amp;EG$2&amp;"+"&amp;BA153&amp;EG$1)</f>
        <v/>
      </c>
      <c r="EH153" s="72" t="str">
        <f t="shared" ref="EH153:EH155" si="2402">IF(BB153="","","|n"&amp;EH$2&amp;"+"&amp;BB153&amp;EH$1)</f>
        <v/>
      </c>
      <c r="EI153" s="72" t="str">
        <f t="shared" ref="EI153:EI155" si="2403">IF(BC153="","","|n"&amp;EI$2&amp;"+"&amp;BC153&amp;EI$1)</f>
        <v/>
      </c>
      <c r="EJ153" s="72" t="str">
        <f t="shared" ref="EJ153:EJ155" si="2404">IF(BD153="","","|n"&amp;EJ$2&amp;"+"&amp;BD153&amp;EJ$1)</f>
        <v/>
      </c>
      <c r="EK153" s="72" t="str">
        <f t="shared" ref="EK153:EK155" si="2405">IF(BE153="","","|n"&amp;EK$2&amp;"+"&amp;BE153&amp;EK$1)</f>
        <v/>
      </c>
      <c r="EL153" s="72" t="str">
        <f t="shared" ref="EL153:EL155" si="2406">IF(BF153="","","|n"&amp;EL$2&amp;"+"&amp;BF153&amp;EL$1)</f>
        <v/>
      </c>
      <c r="EM153" s="72" t="str">
        <f t="shared" ref="EM153:EM155" si="2407">IF(BG153="","","|n"&amp;EM$2&amp;"+"&amp;BG153&amp;EM$1)</f>
        <v/>
      </c>
      <c r="EN153" s="72" t="str">
        <f t="shared" ref="EN153:EN155" si="2408">IF(BH153="","","|n"&amp;EN$2&amp;"+"&amp;BH153&amp;EN$1)</f>
        <v/>
      </c>
      <c r="EO153" s="72" t="str">
        <f t="shared" ref="EO153:EO155" si="2409">IF(BI153="","","|n"&amp;EO$2&amp;"+"&amp;BI153&amp;EO$1)</f>
        <v/>
      </c>
      <c r="EP153" s="72" t="str">
        <f t="shared" ref="EP153:EP155" si="2410">IF(BJ153="","","|n"&amp;EP$2&amp;"+"&amp;BJ153&amp;EP$1)</f>
        <v/>
      </c>
      <c r="EQ153" s="72" t="str">
        <f t="shared" ref="EQ153:EQ155" si="2411">IF(BK153="","","|n"&amp;EQ$2&amp;"+"&amp;BK153&amp;EQ$1)</f>
        <v/>
      </c>
      <c r="ER153" s="72" t="str">
        <f t="shared" ref="ER153:ER155" si="2412">IF(BL153="","","|n"&amp;ER$2&amp;"+"&amp;BL153&amp;ER$1)</f>
        <v/>
      </c>
      <c r="ES153" s="72" t="str">
        <f t="shared" ref="ES153:ES155" si="2413">IF(BM153="","","|n"&amp;ES$2&amp;"+"&amp;BM153&amp;ES$1)</f>
        <v/>
      </c>
      <c r="ET153" s="72" t="str">
        <f t="shared" ref="ET153:ET155" si="2414">IF(BN153="","","|n"&amp;ET$2&amp;"+"&amp;BN153&amp;ET$1)</f>
        <v/>
      </c>
      <c r="EU153" s="72" t="str">
        <f t="shared" ref="EU153:EU155" si="2415">IF(BO153="","","|n"&amp;EU$2&amp;"+"&amp;BO153&amp;EU$1)</f>
        <v/>
      </c>
      <c r="EV153" s="72" t="str">
        <f t="shared" ref="EV153:EV155" si="2416">IF(BP153="","","|n"&amp;EV$2&amp;"+"&amp;BP153&amp;EV$1)</f>
        <v/>
      </c>
      <c r="EW153" s="72" t="str">
        <f t="shared" ref="EW153:EW155" si="2417">IF(BQ153="","","|n"&amp;EW$2&amp;"+"&amp;BQ153&amp;EW$1)</f>
        <v/>
      </c>
      <c r="EX153" s="72" t="str">
        <f t="shared" ref="EX153:EX155" si="2418">IF(BR153="","","|n"&amp;EX$2&amp;"+"&amp;BR153&amp;EX$1)</f>
        <v/>
      </c>
      <c r="EY153" s="72" t="str">
        <f t="shared" ref="EY153:EY155" si="2419">IF(BS153="","","|n"&amp;EY$2&amp;"+"&amp;BS153&amp;EY$1)</f>
        <v/>
      </c>
      <c r="EZ153" s="72" t="str">
        <f t="shared" ref="EZ153:EZ155" si="2420">IF(BT153="","","|n"&amp;EZ$2&amp;"+"&amp;BT153&amp;EZ$1)</f>
        <v/>
      </c>
      <c r="FA153" s="72" t="str">
        <f t="shared" ref="FA153:FA155" si="2421">IF(BU153="","","|n"&amp;FA$2&amp;"+"&amp;BU153&amp;FA$1)</f>
        <v/>
      </c>
      <c r="FB153" s="72" t="str">
        <f t="shared" ref="FB153:FB155" si="2422">IF(BV153="","","|n"&amp;FB$2&amp;"+"&amp;BV153&amp;FB$1)</f>
        <v/>
      </c>
      <c r="FC153" s="72" t="str">
        <f t="shared" ref="FC153:FC155" si="2423">IF(BW153="","","|n"&amp;FC$2&amp;"+"&amp;BW153&amp;FC$1)</f>
        <v/>
      </c>
      <c r="FD153" s="72" t="str">
        <f t="shared" ref="FD153:FD155" si="2424">IF(BX153="","","|n"&amp;FD$2&amp;"+"&amp;BX153&amp;FD$1)</f>
        <v/>
      </c>
      <c r="FE153" s="72" t="str">
        <f t="shared" ref="FE153:FE155" si="2425">IF(BY153="","","|n"&amp;FE$2&amp;"+"&amp;BY153&amp;FE$1)</f>
        <v/>
      </c>
      <c r="FF153" s="72" t="str">
        <f t="shared" ref="FF153:FF155" si="2426">IF(BZ153="","","|n"&amp;FF$2&amp;"+"&amp;BZ153&amp;FF$1)</f>
        <v/>
      </c>
      <c r="FG153" s="72" t="str">
        <f t="shared" ref="FG153:FG155" si="2427">IF(CA153="","","|n"&amp;FG$2&amp;"+"&amp;CA153&amp;FG$1)</f>
        <v/>
      </c>
      <c r="FH153" s="72" t="str">
        <f t="shared" ref="FH153:FH155" si="2428">IF(CB153="","","|n"&amp;FH$2&amp;"+"&amp;CB153&amp;FH$1)</f>
        <v/>
      </c>
      <c r="FI153" s="72" t="str">
        <f t="shared" ref="FI153:FI155" si="2429">IF(CC153="","","|n"&amp;FI$2&amp;"+"&amp;CC153&amp;FI$1)</f>
        <v/>
      </c>
      <c r="FJ153" s="72" t="str">
        <f t="shared" ref="FJ153:FJ155" si="2430">IF(CD153="","","|n"&amp;FJ$2&amp;"+"&amp;CD153&amp;FJ$1)</f>
        <v/>
      </c>
      <c r="FK153" s="72" t="str">
        <f t="shared" ref="FK153:FK155" si="2431">IF(CE153="","","|n"&amp;FK$2&amp;"+"&amp;CE153&amp;FK$1)</f>
        <v/>
      </c>
      <c r="FL153" s="72" t="str">
        <f t="shared" ref="FL153:FL155" si="2432">IF(CF153="","","|n"&amp;FL$2&amp;"+"&amp;CF153&amp;FL$1)</f>
        <v/>
      </c>
      <c r="FM153" s="72" t="str">
        <f t="shared" ref="FM153:FM155" si="2433">IF(CG153="","","|n"&amp;FM$2&amp;"+"&amp;CG153&amp;FM$1)</f>
        <v/>
      </c>
      <c r="FN153" s="72" t="str">
        <f t="shared" ref="FN153:FN155" si="2434">IF(CH153="","","|n"&amp;FN$2&amp;"+"&amp;CH153&amp;FN$1)</f>
        <v/>
      </c>
      <c r="FO153" s="72" t="str">
        <f t="shared" ref="FO153:FO155" si="2435">IF(CI153="","","|n"&amp;FO$2&amp;"+"&amp;CI153&amp;FO$1)</f>
        <v/>
      </c>
      <c r="FP153" s="72" t="str">
        <f t="shared" ref="FP153:FP155" si="2436">IF(CJ153="","","|n"&amp;FP$2&amp;"+"&amp;CJ153&amp;FP$1)</f>
        <v/>
      </c>
      <c r="FQ153" s="72" t="str">
        <f t="shared" ref="FQ153:FQ155" si="2437">IF(CK153="","","|n"&amp;FQ$2&amp;"+"&amp;CK153&amp;FQ$1)</f>
        <v/>
      </c>
      <c r="FR153" s="72" t="str">
        <f t="shared" ref="FR153:FR155" si="2438">IF(CL153="","","|n"&amp;FR$2&amp;"+"&amp;CL153&amp;FR$1)</f>
        <v/>
      </c>
      <c r="FS153" s="72" t="str">
        <f t="shared" ref="FS153:FS155" si="2439">IF(CM153="","","|n"&amp;FS$2&amp;"+"&amp;CM153&amp;FS$1)</f>
        <v/>
      </c>
    </row>
    <row r="154" spans="1:175" ht="15">
      <c r="A154" s="104"/>
      <c r="B154" s="118" t="s">
        <v>575</v>
      </c>
      <c r="C154" s="118" t="s">
        <v>576</v>
      </c>
      <c r="T154" s="71" t="s">
        <v>577</v>
      </c>
      <c r="U154" s="88" t="str">
        <f t="shared" si="1773"/>
        <v>ReplaceableTextures\\CommandButtons\\BTNIN16.blp</v>
      </c>
      <c r="CN154" s="70" t="str">
        <f t="shared" si="2291"/>
        <v>InitUnitState('IN16',,,,,,,,,,)</v>
      </c>
      <c r="CO154" s="70" t="str">
        <f t="shared" si="2292"/>
        <v>InitUnitNormal('IN16',,,,,,,,,,)</v>
      </c>
      <c r="CP154" s="70" t="str">
        <f t="shared" si="2293"/>
        <v>InitUnitMagic('IN16',,,,,,,,,,)</v>
      </c>
      <c r="CQ154" s="70" t="str">
        <f t="shared" si="2294"/>
        <v>InitUnitAdd('IN16',,,,,,,,,,)</v>
      </c>
      <c r="CR154" s="70" t="str">
        <f t="shared" si="2295"/>
        <v>InitEquipData('IN16',,"",,,,,'','','','','','',"ReplaceableTextures\\CommandButtons\\BTNIT10.blp")</v>
      </c>
      <c r="CU154" s="98" t="str">
        <f t="shared" si="2368"/>
        <v>|n</v>
      </c>
      <c r="CV154" s="71" t="str">
        <f t="shared" si="2369"/>
        <v>使|Cffffd24d1|r个|Cffffd24d道果品质|r提高|Cffffd24d-1~+2|r。|n|n|Cff00ff7f只能对天级【7】或以下的道果使用|r</v>
      </c>
      <c r="CW154" s="61"/>
      <c r="CX154" s="61"/>
      <c r="CY154" s="61"/>
      <c r="CZ154" s="61"/>
      <c r="DA154" s="61"/>
      <c r="DB154" s="72" t="str">
        <f t="shared" si="2370"/>
        <v/>
      </c>
      <c r="DC154" s="72" t="str">
        <f t="shared" si="2371"/>
        <v/>
      </c>
      <c r="DD154" s="72" t="str">
        <f t="shared" si="2372"/>
        <v/>
      </c>
      <c r="DE154" s="72" t="str">
        <f t="shared" si="2373"/>
        <v/>
      </c>
      <c r="DF154" s="72" t="str">
        <f t="shared" si="2374"/>
        <v/>
      </c>
      <c r="DG154" s="72" t="str">
        <f t="shared" si="2375"/>
        <v/>
      </c>
      <c r="DH154" s="72" t="str">
        <f t="shared" si="2376"/>
        <v/>
      </c>
      <c r="DI154" s="72" t="str">
        <f t="shared" si="2377"/>
        <v/>
      </c>
      <c r="DJ154" s="72" t="str">
        <f t="shared" si="2378"/>
        <v/>
      </c>
      <c r="DK154" s="72" t="str">
        <f t="shared" si="2379"/>
        <v/>
      </c>
      <c r="DL154" s="72" t="str">
        <f t="shared" si="2380"/>
        <v/>
      </c>
      <c r="DM154" s="72" t="str">
        <f t="shared" si="2381"/>
        <v/>
      </c>
      <c r="DN154" s="72" t="str">
        <f t="shared" si="2382"/>
        <v/>
      </c>
      <c r="DO154" s="72" t="str">
        <f t="shared" si="2383"/>
        <v/>
      </c>
      <c r="DP154" s="72" t="str">
        <f t="shared" si="2384"/>
        <v/>
      </c>
      <c r="DQ154" s="72" t="str">
        <f t="shared" si="2385"/>
        <v/>
      </c>
      <c r="DR154" s="72" t="str">
        <f t="shared" si="2386"/>
        <v/>
      </c>
      <c r="DS154" s="72" t="str">
        <f t="shared" si="2387"/>
        <v/>
      </c>
      <c r="DT154" s="72" t="str">
        <f t="shared" si="2388"/>
        <v/>
      </c>
      <c r="DU154" s="72" t="str">
        <f t="shared" si="2389"/>
        <v/>
      </c>
      <c r="DV154" s="72" t="str">
        <f t="shared" si="2390"/>
        <v/>
      </c>
      <c r="DW154" s="72" t="str">
        <f t="shared" si="2391"/>
        <v/>
      </c>
      <c r="DX154" s="72" t="str">
        <f t="shared" si="2392"/>
        <v/>
      </c>
      <c r="DY154" s="72" t="str">
        <f t="shared" si="2393"/>
        <v/>
      </c>
      <c r="DZ154" s="72" t="str">
        <f t="shared" si="2394"/>
        <v/>
      </c>
      <c r="EA154" s="72" t="str">
        <f t="shared" si="2395"/>
        <v/>
      </c>
      <c r="EB154" s="72" t="str">
        <f t="shared" si="2396"/>
        <v/>
      </c>
      <c r="EC154" s="72" t="str">
        <f t="shared" si="2397"/>
        <v/>
      </c>
      <c r="ED154" s="72" t="str">
        <f t="shared" si="2398"/>
        <v/>
      </c>
      <c r="EE154" s="72" t="str">
        <f t="shared" si="2399"/>
        <v/>
      </c>
      <c r="EF154" s="72" t="str">
        <f t="shared" si="2400"/>
        <v/>
      </c>
      <c r="EG154" s="72" t="str">
        <f t="shared" si="2401"/>
        <v/>
      </c>
      <c r="EH154" s="72" t="str">
        <f t="shared" si="2402"/>
        <v/>
      </c>
      <c r="EI154" s="72" t="str">
        <f t="shared" si="2403"/>
        <v/>
      </c>
      <c r="EJ154" s="72" t="str">
        <f t="shared" si="2404"/>
        <v/>
      </c>
      <c r="EK154" s="72" t="str">
        <f t="shared" si="2405"/>
        <v/>
      </c>
      <c r="EL154" s="72" t="str">
        <f t="shared" si="2406"/>
        <v/>
      </c>
      <c r="EM154" s="72" t="str">
        <f t="shared" si="2407"/>
        <v/>
      </c>
      <c r="EN154" s="72" t="str">
        <f t="shared" si="2408"/>
        <v/>
      </c>
      <c r="EO154" s="72" t="str">
        <f t="shared" si="2409"/>
        <v/>
      </c>
      <c r="EP154" s="72" t="str">
        <f t="shared" si="2410"/>
        <v/>
      </c>
      <c r="EQ154" s="72" t="str">
        <f t="shared" si="2411"/>
        <v/>
      </c>
      <c r="ER154" s="72" t="str">
        <f t="shared" si="2412"/>
        <v/>
      </c>
      <c r="ES154" s="72" t="str">
        <f t="shared" si="2413"/>
        <v/>
      </c>
      <c r="ET154" s="72" t="str">
        <f t="shared" si="2414"/>
        <v/>
      </c>
      <c r="EU154" s="72" t="str">
        <f t="shared" si="2415"/>
        <v/>
      </c>
      <c r="EV154" s="72" t="str">
        <f t="shared" si="2416"/>
        <v/>
      </c>
      <c r="EW154" s="72" t="str">
        <f t="shared" si="2417"/>
        <v/>
      </c>
      <c r="EX154" s="72" t="str">
        <f t="shared" si="2418"/>
        <v/>
      </c>
      <c r="EY154" s="72" t="str">
        <f t="shared" si="2419"/>
        <v/>
      </c>
      <c r="EZ154" s="72" t="str">
        <f t="shared" si="2420"/>
        <v/>
      </c>
      <c r="FA154" s="72" t="str">
        <f t="shared" si="2421"/>
        <v/>
      </c>
      <c r="FB154" s="72" t="str">
        <f t="shared" si="2422"/>
        <v/>
      </c>
      <c r="FC154" s="72" t="str">
        <f t="shared" si="2423"/>
        <v/>
      </c>
      <c r="FD154" s="72" t="str">
        <f t="shared" si="2424"/>
        <v/>
      </c>
      <c r="FE154" s="72" t="str">
        <f t="shared" si="2425"/>
        <v/>
      </c>
      <c r="FF154" s="72" t="str">
        <f t="shared" si="2426"/>
        <v/>
      </c>
      <c r="FG154" s="72" t="str">
        <f t="shared" si="2427"/>
        <v/>
      </c>
      <c r="FH154" s="72" t="str">
        <f t="shared" si="2428"/>
        <v/>
      </c>
      <c r="FI154" s="72" t="str">
        <f t="shared" si="2429"/>
        <v/>
      </c>
      <c r="FJ154" s="72" t="str">
        <f t="shared" si="2430"/>
        <v/>
      </c>
      <c r="FK154" s="72" t="str">
        <f t="shared" si="2431"/>
        <v/>
      </c>
      <c r="FL154" s="72" t="str">
        <f t="shared" si="2432"/>
        <v/>
      </c>
      <c r="FM154" s="72" t="str">
        <f t="shared" si="2433"/>
        <v/>
      </c>
      <c r="FN154" s="72" t="str">
        <f t="shared" si="2434"/>
        <v/>
      </c>
      <c r="FO154" s="72" t="str">
        <f t="shared" si="2435"/>
        <v/>
      </c>
      <c r="FP154" s="72" t="str">
        <f t="shared" si="2436"/>
        <v/>
      </c>
      <c r="FQ154" s="72" t="str">
        <f t="shared" si="2437"/>
        <v/>
      </c>
      <c r="FR154" s="72" t="str">
        <f t="shared" si="2438"/>
        <v/>
      </c>
      <c r="FS154" s="72" t="str">
        <f t="shared" si="2439"/>
        <v/>
      </c>
    </row>
    <row r="155" spans="1:175" ht="15">
      <c r="A155" s="104"/>
      <c r="B155" s="118" t="s">
        <v>578</v>
      </c>
      <c r="C155" s="23" t="s">
        <v>579</v>
      </c>
      <c r="T155" s="71" t="s">
        <v>580</v>
      </c>
      <c r="U155" s="88" t="str">
        <f t="shared" si="1773"/>
        <v>ReplaceableTextures\\CommandButtons\\BTNIN17.blp</v>
      </c>
      <c r="CN155" s="70" t="str">
        <f t="shared" si="2291"/>
        <v>InitUnitState('IN17',,,,,,,,,,)</v>
      </c>
      <c r="CO155" s="70" t="str">
        <f t="shared" si="2292"/>
        <v>InitUnitNormal('IN17',,,,,,,,,,)</v>
      </c>
      <c r="CP155" s="70" t="str">
        <f t="shared" si="2293"/>
        <v>InitUnitMagic('IN17',,,,,,,,,,)</v>
      </c>
      <c r="CQ155" s="70" t="str">
        <f t="shared" si="2294"/>
        <v>InitUnitAdd('IN17',,,,,,,,,,)</v>
      </c>
      <c r="CR155" s="70" t="str">
        <f t="shared" si="2295"/>
        <v>InitEquipData('IN17',,"",,,,,'','','','','','',"ReplaceableTextures\\CommandButtons\\BTNIT11.blp")</v>
      </c>
      <c r="CU155" s="98" t="str">
        <f t="shared" si="2368"/>
        <v>|n</v>
      </c>
      <c r="CV155" s="71" t="str">
        <f t="shared" si="2369"/>
        <v>玄铁|Cffffc926+5~20|r</v>
      </c>
      <c r="CW155" s="61"/>
      <c r="CX155" s="61"/>
      <c r="CY155" s="61"/>
      <c r="CZ155" s="61"/>
      <c r="DA155" s="61"/>
      <c r="DB155" s="72" t="str">
        <f t="shared" si="2370"/>
        <v/>
      </c>
      <c r="DC155" s="72" t="str">
        <f t="shared" si="2371"/>
        <v/>
      </c>
      <c r="DD155" s="72" t="str">
        <f t="shared" si="2372"/>
        <v/>
      </c>
      <c r="DE155" s="72" t="str">
        <f t="shared" si="2373"/>
        <v/>
      </c>
      <c r="DF155" s="72" t="str">
        <f t="shared" si="2374"/>
        <v/>
      </c>
      <c r="DG155" s="72" t="str">
        <f t="shared" si="2375"/>
        <v/>
      </c>
      <c r="DH155" s="72" t="str">
        <f t="shared" si="2376"/>
        <v/>
      </c>
      <c r="DI155" s="72" t="str">
        <f t="shared" si="2377"/>
        <v/>
      </c>
      <c r="DJ155" s="72" t="str">
        <f t="shared" si="2378"/>
        <v/>
      </c>
      <c r="DK155" s="72" t="str">
        <f t="shared" si="2379"/>
        <v/>
      </c>
      <c r="DL155" s="72" t="str">
        <f t="shared" si="2380"/>
        <v/>
      </c>
      <c r="DM155" s="72" t="str">
        <f t="shared" si="2381"/>
        <v/>
      </c>
      <c r="DN155" s="72" t="str">
        <f t="shared" si="2382"/>
        <v/>
      </c>
      <c r="DO155" s="72" t="str">
        <f t="shared" si="2383"/>
        <v/>
      </c>
      <c r="DP155" s="72" t="str">
        <f t="shared" si="2384"/>
        <v/>
      </c>
      <c r="DQ155" s="72" t="str">
        <f t="shared" si="2385"/>
        <v/>
      </c>
      <c r="DR155" s="72" t="str">
        <f t="shared" si="2386"/>
        <v/>
      </c>
      <c r="DS155" s="72" t="str">
        <f t="shared" si="2387"/>
        <v/>
      </c>
      <c r="DT155" s="72" t="str">
        <f t="shared" si="2388"/>
        <v/>
      </c>
      <c r="DU155" s="72" t="str">
        <f t="shared" si="2389"/>
        <v/>
      </c>
      <c r="DV155" s="72" t="str">
        <f t="shared" si="2390"/>
        <v/>
      </c>
      <c r="DW155" s="72" t="str">
        <f t="shared" si="2391"/>
        <v/>
      </c>
      <c r="DX155" s="72" t="str">
        <f t="shared" si="2392"/>
        <v/>
      </c>
      <c r="DY155" s="72" t="str">
        <f t="shared" si="2393"/>
        <v/>
      </c>
      <c r="DZ155" s="72" t="str">
        <f t="shared" si="2394"/>
        <v/>
      </c>
      <c r="EA155" s="72" t="str">
        <f t="shared" si="2395"/>
        <v/>
      </c>
      <c r="EB155" s="72" t="str">
        <f t="shared" si="2396"/>
        <v/>
      </c>
      <c r="EC155" s="72" t="str">
        <f t="shared" si="2397"/>
        <v/>
      </c>
      <c r="ED155" s="72" t="str">
        <f t="shared" si="2398"/>
        <v/>
      </c>
      <c r="EE155" s="72" t="str">
        <f t="shared" si="2399"/>
        <v/>
      </c>
      <c r="EF155" s="72" t="str">
        <f t="shared" si="2400"/>
        <v/>
      </c>
      <c r="EG155" s="72" t="str">
        <f t="shared" si="2401"/>
        <v/>
      </c>
      <c r="EH155" s="72" t="str">
        <f t="shared" si="2402"/>
        <v/>
      </c>
      <c r="EI155" s="72" t="str">
        <f t="shared" si="2403"/>
        <v/>
      </c>
      <c r="EJ155" s="72" t="str">
        <f t="shared" si="2404"/>
        <v/>
      </c>
      <c r="EK155" s="72" t="str">
        <f t="shared" si="2405"/>
        <v/>
      </c>
      <c r="EL155" s="72" t="str">
        <f t="shared" si="2406"/>
        <v/>
      </c>
      <c r="EM155" s="72" t="str">
        <f t="shared" si="2407"/>
        <v/>
      </c>
      <c r="EN155" s="72" t="str">
        <f t="shared" si="2408"/>
        <v/>
      </c>
      <c r="EO155" s="72" t="str">
        <f t="shared" si="2409"/>
        <v/>
      </c>
      <c r="EP155" s="72" t="str">
        <f t="shared" si="2410"/>
        <v/>
      </c>
      <c r="EQ155" s="72" t="str">
        <f t="shared" si="2411"/>
        <v/>
      </c>
      <c r="ER155" s="72" t="str">
        <f t="shared" si="2412"/>
        <v/>
      </c>
      <c r="ES155" s="72" t="str">
        <f t="shared" si="2413"/>
        <v/>
      </c>
      <c r="ET155" s="72" t="str">
        <f t="shared" si="2414"/>
        <v/>
      </c>
      <c r="EU155" s="72" t="str">
        <f t="shared" si="2415"/>
        <v/>
      </c>
      <c r="EV155" s="72" t="str">
        <f t="shared" si="2416"/>
        <v/>
      </c>
      <c r="EW155" s="72" t="str">
        <f t="shared" si="2417"/>
        <v/>
      </c>
      <c r="EX155" s="72" t="str">
        <f t="shared" si="2418"/>
        <v/>
      </c>
      <c r="EY155" s="72" t="str">
        <f t="shared" si="2419"/>
        <v/>
      </c>
      <c r="EZ155" s="72" t="str">
        <f t="shared" si="2420"/>
        <v/>
      </c>
      <c r="FA155" s="72" t="str">
        <f t="shared" si="2421"/>
        <v/>
      </c>
      <c r="FB155" s="72" t="str">
        <f t="shared" si="2422"/>
        <v/>
      </c>
      <c r="FC155" s="72" t="str">
        <f t="shared" si="2423"/>
        <v/>
      </c>
      <c r="FD155" s="72" t="str">
        <f t="shared" si="2424"/>
        <v/>
      </c>
      <c r="FE155" s="72" t="str">
        <f t="shared" si="2425"/>
        <v/>
      </c>
      <c r="FF155" s="72" t="str">
        <f t="shared" si="2426"/>
        <v/>
      </c>
      <c r="FG155" s="72" t="str">
        <f t="shared" si="2427"/>
        <v/>
      </c>
      <c r="FH155" s="72" t="str">
        <f t="shared" si="2428"/>
        <v/>
      </c>
      <c r="FI155" s="72" t="str">
        <f t="shared" si="2429"/>
        <v/>
      </c>
      <c r="FJ155" s="72" t="str">
        <f t="shared" si="2430"/>
        <v/>
      </c>
      <c r="FK155" s="72" t="str">
        <f t="shared" si="2431"/>
        <v/>
      </c>
      <c r="FL155" s="72" t="str">
        <f t="shared" si="2432"/>
        <v/>
      </c>
      <c r="FM155" s="72" t="str">
        <f t="shared" si="2433"/>
        <v/>
      </c>
      <c r="FN155" s="72" t="str">
        <f t="shared" si="2434"/>
        <v/>
      </c>
      <c r="FO155" s="72" t="str">
        <f t="shared" si="2435"/>
        <v/>
      </c>
      <c r="FP155" s="72" t="str">
        <f t="shared" si="2436"/>
        <v/>
      </c>
      <c r="FQ155" s="72" t="str">
        <f t="shared" si="2437"/>
        <v/>
      </c>
      <c r="FR155" s="72" t="str">
        <f t="shared" si="2438"/>
        <v/>
      </c>
      <c r="FS155" s="72" t="str">
        <f t="shared" si="2439"/>
        <v/>
      </c>
    </row>
    <row r="156" spans="1:175" ht="15">
      <c r="A156" s="104"/>
      <c r="B156" s="118" t="s">
        <v>581</v>
      </c>
      <c r="C156" s="23" t="s">
        <v>582</v>
      </c>
      <c r="T156" s="71" t="s">
        <v>583</v>
      </c>
      <c r="U156" s="88" t="str">
        <f t="shared" si="1773"/>
        <v>ReplaceableTextures\\CommandButtons\\BTNIN18.blp</v>
      </c>
      <c r="CN156" s="70" t="str">
        <f t="shared" si="2291"/>
        <v>InitUnitState('IN18',,,,,,,,,,)</v>
      </c>
      <c r="CO156" s="70" t="str">
        <f t="shared" si="2292"/>
        <v>InitUnitNormal('IN18',,,,,,,,,,)</v>
      </c>
      <c r="CP156" s="70" t="str">
        <f t="shared" si="2293"/>
        <v>InitUnitMagic('IN18',,,,,,,,,,)</v>
      </c>
      <c r="CQ156" s="70" t="str">
        <f t="shared" si="2294"/>
        <v>InitUnitAdd('IN18',,,,,,,,,,)</v>
      </c>
      <c r="CR156" s="70" t="str">
        <f t="shared" si="2295"/>
        <v>InitEquipData('IN18',,"",,,,,'','','','','','',"ReplaceableTextures\\CommandButtons\\BTNIT12.blp")</v>
      </c>
      <c r="CU156" s="98" t="str">
        <f t="shared" ref="CU156:CU167" si="2440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1" t="str">
        <f t="shared" ref="CV156:CV167" si="2441">T156</f>
        <v>|CffFFC92630|r秒内金币加成|Cffffc926+50%|r</v>
      </c>
      <c r="CW156" s="61"/>
      <c r="CX156" s="61"/>
      <c r="CY156" s="61"/>
      <c r="CZ156" s="61"/>
      <c r="DA156" s="61"/>
      <c r="DB156" s="72" t="str">
        <f t="shared" ref="DB156" si="2442">IF(V156="","","|n"&amp;DB$2&amp;"+"&amp;V156&amp;DB$1)</f>
        <v/>
      </c>
      <c r="DC156" s="72" t="str">
        <f t="shared" ref="DC156" si="2443">IF(W156="","","|n"&amp;DC$2&amp;"+"&amp;W156&amp;DC$1)</f>
        <v/>
      </c>
      <c r="DD156" s="72" t="str">
        <f t="shared" ref="DD156" si="2444">IF(X156="","","|n"&amp;DD$2&amp;"+"&amp;X156&amp;DD$1)</f>
        <v/>
      </c>
      <c r="DE156" s="72" t="str">
        <f t="shared" ref="DE156" si="2445">IF(Y156="","","|n"&amp;DE$2&amp;"+"&amp;Y156&amp;DE$1)</f>
        <v/>
      </c>
      <c r="DF156" s="72" t="str">
        <f t="shared" ref="DF156" si="2446">IF(Z156="","","|n"&amp;DF$2&amp;"+"&amp;Z156&amp;DF$1)</f>
        <v/>
      </c>
      <c r="DG156" s="72" t="str">
        <f t="shared" ref="DG156" si="2447">IF(AA156="","","|n"&amp;DG$2&amp;"+"&amp;AA156&amp;DG$1)</f>
        <v/>
      </c>
      <c r="DH156" s="72" t="str">
        <f t="shared" ref="DH156" si="2448">IF(AB156="","","|n"&amp;DH$2&amp;"+"&amp;AB156&amp;DH$1)</f>
        <v/>
      </c>
      <c r="DI156" s="72" t="str">
        <f t="shared" ref="DI156" si="2449">IF(AC156="","","|n"&amp;DI$2&amp;"+"&amp;AC156&amp;DI$1)</f>
        <v/>
      </c>
      <c r="DJ156" s="72" t="str">
        <f t="shared" ref="DJ156" si="2450">IF(AD156="","","|n"&amp;DJ$2&amp;"+"&amp;AD156&amp;DJ$1)</f>
        <v/>
      </c>
      <c r="DK156" s="72" t="str">
        <f t="shared" ref="DK156" si="2451">IF(AE156="","","|n"&amp;DK$2&amp;"+"&amp;AE156&amp;DK$1)</f>
        <v/>
      </c>
      <c r="DL156" s="72" t="str">
        <f t="shared" ref="DL156" si="2452">IF(AF156="","","|n"&amp;DL$2&amp;"+"&amp;AF156&amp;DL$1)</f>
        <v/>
      </c>
      <c r="DM156" s="72" t="str">
        <f t="shared" ref="DM156" si="2453">IF(AG156="","","|n"&amp;DM$2&amp;"+"&amp;AG156&amp;DM$1)</f>
        <v/>
      </c>
      <c r="DN156" s="72" t="str">
        <f t="shared" ref="DN156" si="2454">IF(AH156="","","|n"&amp;DN$2&amp;"+"&amp;AH156&amp;DN$1)</f>
        <v/>
      </c>
      <c r="DO156" s="72" t="str">
        <f t="shared" ref="DO156" si="2455">IF(AI156="","","|n"&amp;DO$2&amp;"+"&amp;AI156&amp;DO$1)</f>
        <v/>
      </c>
      <c r="DP156" s="72" t="str">
        <f t="shared" ref="DP156" si="2456">IF(AJ156="","","|n"&amp;DP$2&amp;"+"&amp;AJ156&amp;DP$1)</f>
        <v/>
      </c>
      <c r="DQ156" s="72" t="str">
        <f t="shared" ref="DQ156" si="2457">IF(AK156="","","|n"&amp;DQ$2&amp;"+"&amp;AK156&amp;DQ$1)</f>
        <v/>
      </c>
      <c r="DR156" s="72" t="str">
        <f t="shared" ref="DR156" si="2458">IF(AL156="","","|n"&amp;DR$2&amp;"+"&amp;AL156&amp;DR$1)</f>
        <v/>
      </c>
      <c r="DS156" s="72" t="str">
        <f t="shared" ref="DS156" si="2459">IF(AM156="","","|n"&amp;DS$2&amp;"+"&amp;AM156&amp;DS$1)</f>
        <v/>
      </c>
      <c r="DT156" s="72" t="str">
        <f t="shared" ref="DT156" si="2460">IF(AN156="","","|n"&amp;DT$2&amp;"+"&amp;AN156&amp;DT$1)</f>
        <v/>
      </c>
      <c r="DU156" s="72" t="str">
        <f t="shared" ref="DU156" si="2461">IF(AO156="","","|n"&amp;DU$2&amp;"+"&amp;AO156&amp;DU$1)</f>
        <v/>
      </c>
      <c r="DV156" s="72" t="str">
        <f t="shared" ref="DV156" si="2462">IF(AP156="","","|n"&amp;DV$2&amp;"+"&amp;AP156&amp;DV$1)</f>
        <v/>
      </c>
      <c r="DW156" s="72" t="str">
        <f t="shared" ref="DW156" si="2463">IF(AQ156="","","|n"&amp;DW$2&amp;"+"&amp;AQ156&amp;DW$1)</f>
        <v/>
      </c>
      <c r="DX156" s="72" t="str">
        <f t="shared" ref="DX156" si="2464">IF(AR156="","","|n"&amp;DX$2&amp;"+"&amp;AR156&amp;DX$1)</f>
        <v/>
      </c>
      <c r="DY156" s="72" t="str">
        <f t="shared" ref="DY156" si="2465">IF(AS156="","","|n"&amp;DY$2&amp;"+"&amp;AS156&amp;DY$1)</f>
        <v/>
      </c>
      <c r="DZ156" s="72" t="str">
        <f t="shared" ref="DZ156" si="2466">IF(AT156="","","|n"&amp;DZ$2&amp;"+"&amp;AT156&amp;DZ$1)</f>
        <v/>
      </c>
      <c r="EA156" s="72" t="str">
        <f t="shared" ref="EA156" si="2467">IF(AU156="","","|n"&amp;EA$2&amp;"+"&amp;AU156&amp;EA$1)</f>
        <v/>
      </c>
      <c r="EB156" s="72" t="str">
        <f t="shared" ref="EB156" si="2468">IF(AV156="","","|n"&amp;EB$2&amp;"+"&amp;AV156&amp;EB$1)</f>
        <v/>
      </c>
      <c r="EC156" s="72" t="str">
        <f t="shared" ref="EC156" si="2469">IF(AW156="","","|n"&amp;EC$2&amp;"+"&amp;AW156&amp;EC$1)</f>
        <v/>
      </c>
      <c r="ED156" s="72" t="str">
        <f t="shared" ref="ED156" si="2470">IF(AX156="","","|n"&amp;ED$2&amp;"+"&amp;AX156&amp;ED$1)</f>
        <v/>
      </c>
      <c r="EE156" s="72" t="str">
        <f t="shared" ref="EE156" si="2471">IF(AY156="","","|n"&amp;EE$2&amp;"+"&amp;AY156&amp;EE$1)</f>
        <v/>
      </c>
      <c r="EF156" s="72" t="str">
        <f t="shared" ref="EF156" si="2472">IF(AZ156="","","|n"&amp;EF$2&amp;"+"&amp;AZ156&amp;EF$1)</f>
        <v/>
      </c>
      <c r="EG156" s="72" t="str">
        <f t="shared" ref="EG156" si="2473">IF(BA156="","","|n"&amp;EG$2&amp;"+"&amp;BA156&amp;EG$1)</f>
        <v/>
      </c>
      <c r="EH156" s="72" t="str">
        <f t="shared" ref="EH156" si="2474">IF(BB156="","","|n"&amp;EH$2&amp;"+"&amp;BB156&amp;EH$1)</f>
        <v/>
      </c>
      <c r="EI156" s="72" t="str">
        <f t="shared" ref="EI156" si="2475">IF(BC156="","","|n"&amp;EI$2&amp;"+"&amp;BC156&amp;EI$1)</f>
        <v/>
      </c>
      <c r="EJ156" s="72" t="str">
        <f t="shared" ref="EJ156" si="2476">IF(BD156="","","|n"&amp;EJ$2&amp;"+"&amp;BD156&amp;EJ$1)</f>
        <v/>
      </c>
      <c r="EK156" s="72" t="str">
        <f t="shared" ref="EK156" si="2477">IF(BE156="","","|n"&amp;EK$2&amp;"+"&amp;BE156&amp;EK$1)</f>
        <v/>
      </c>
      <c r="EL156" s="72" t="str">
        <f t="shared" ref="EL156" si="2478">IF(BF156="","","|n"&amp;EL$2&amp;"+"&amp;BF156&amp;EL$1)</f>
        <v/>
      </c>
      <c r="EM156" s="72" t="str">
        <f t="shared" ref="EM156" si="2479">IF(BG156="","","|n"&amp;EM$2&amp;"+"&amp;BG156&amp;EM$1)</f>
        <v/>
      </c>
      <c r="EN156" s="72" t="str">
        <f t="shared" ref="EN156" si="2480">IF(BH156="","","|n"&amp;EN$2&amp;"+"&amp;BH156&amp;EN$1)</f>
        <v/>
      </c>
      <c r="EO156" s="72" t="str">
        <f t="shared" ref="EO156" si="2481">IF(BI156="","","|n"&amp;EO$2&amp;"+"&amp;BI156&amp;EO$1)</f>
        <v/>
      </c>
      <c r="EP156" s="72" t="str">
        <f t="shared" ref="EP156" si="2482">IF(BJ156="","","|n"&amp;EP$2&amp;"+"&amp;BJ156&amp;EP$1)</f>
        <v/>
      </c>
      <c r="EQ156" s="72" t="str">
        <f t="shared" ref="EQ156" si="2483">IF(BK156="","","|n"&amp;EQ$2&amp;"+"&amp;BK156&amp;EQ$1)</f>
        <v/>
      </c>
      <c r="ER156" s="72" t="str">
        <f t="shared" ref="ER156" si="2484">IF(BL156="","","|n"&amp;ER$2&amp;"+"&amp;BL156&amp;ER$1)</f>
        <v/>
      </c>
      <c r="ES156" s="72" t="str">
        <f t="shared" ref="ES156" si="2485">IF(BM156="","","|n"&amp;ES$2&amp;"+"&amp;BM156&amp;ES$1)</f>
        <v/>
      </c>
      <c r="ET156" s="72" t="str">
        <f t="shared" ref="ET156" si="2486">IF(BN156="","","|n"&amp;ET$2&amp;"+"&amp;BN156&amp;ET$1)</f>
        <v/>
      </c>
      <c r="EU156" s="72" t="str">
        <f t="shared" ref="EU156" si="2487">IF(BO156="","","|n"&amp;EU$2&amp;"+"&amp;BO156&amp;EU$1)</f>
        <v/>
      </c>
      <c r="EV156" s="72" t="str">
        <f t="shared" ref="EV156" si="2488">IF(BP156="","","|n"&amp;EV$2&amp;"+"&amp;BP156&amp;EV$1)</f>
        <v/>
      </c>
      <c r="EW156" s="72" t="str">
        <f t="shared" ref="EW156" si="2489">IF(BQ156="","","|n"&amp;EW$2&amp;"+"&amp;BQ156&amp;EW$1)</f>
        <v/>
      </c>
      <c r="EX156" s="72" t="str">
        <f t="shared" ref="EX156" si="2490">IF(BR156="","","|n"&amp;EX$2&amp;"+"&amp;BR156&amp;EX$1)</f>
        <v/>
      </c>
      <c r="EY156" s="72" t="str">
        <f t="shared" ref="EY156" si="2491">IF(BS156="","","|n"&amp;EY$2&amp;"+"&amp;BS156&amp;EY$1)</f>
        <v/>
      </c>
      <c r="EZ156" s="72" t="str">
        <f t="shared" ref="EZ156" si="2492">IF(BT156="","","|n"&amp;EZ$2&amp;"+"&amp;BT156&amp;EZ$1)</f>
        <v/>
      </c>
      <c r="FA156" s="72" t="str">
        <f t="shared" ref="FA156" si="2493">IF(BU156="","","|n"&amp;FA$2&amp;"+"&amp;BU156&amp;FA$1)</f>
        <v/>
      </c>
      <c r="FB156" s="72" t="str">
        <f t="shared" ref="FB156" si="2494">IF(BV156="","","|n"&amp;FB$2&amp;"+"&amp;BV156&amp;FB$1)</f>
        <v/>
      </c>
      <c r="FC156" s="72" t="str">
        <f t="shared" ref="FC156" si="2495">IF(BW156="","","|n"&amp;FC$2&amp;"+"&amp;BW156&amp;FC$1)</f>
        <v/>
      </c>
      <c r="FD156" s="72" t="str">
        <f t="shared" ref="FD156" si="2496">IF(BX156="","","|n"&amp;FD$2&amp;"+"&amp;BX156&amp;FD$1)</f>
        <v/>
      </c>
      <c r="FE156" s="72" t="str">
        <f t="shared" ref="FE156" si="2497">IF(BY156="","","|n"&amp;FE$2&amp;"+"&amp;BY156&amp;FE$1)</f>
        <v/>
      </c>
      <c r="FF156" s="72" t="str">
        <f t="shared" ref="FF156" si="2498">IF(BZ156="","","|n"&amp;FF$2&amp;"+"&amp;BZ156&amp;FF$1)</f>
        <v/>
      </c>
      <c r="FG156" s="72" t="str">
        <f t="shared" ref="FG156" si="2499">IF(CA156="","","|n"&amp;FG$2&amp;"+"&amp;CA156&amp;FG$1)</f>
        <v/>
      </c>
      <c r="FH156" s="72" t="str">
        <f t="shared" ref="FH156" si="2500">IF(CB156="","","|n"&amp;FH$2&amp;"+"&amp;CB156&amp;FH$1)</f>
        <v/>
      </c>
      <c r="FI156" s="72" t="str">
        <f t="shared" ref="FI156" si="2501">IF(CC156="","","|n"&amp;FI$2&amp;"+"&amp;CC156&amp;FI$1)</f>
        <v/>
      </c>
      <c r="FJ156" s="72" t="str">
        <f t="shared" ref="FJ156" si="2502">IF(CD156="","","|n"&amp;FJ$2&amp;"+"&amp;CD156&amp;FJ$1)</f>
        <v/>
      </c>
      <c r="FK156" s="72" t="str">
        <f t="shared" ref="FK156" si="2503">IF(CE156="","","|n"&amp;FK$2&amp;"+"&amp;CE156&amp;FK$1)</f>
        <v/>
      </c>
      <c r="FL156" s="72" t="str">
        <f t="shared" ref="FL156" si="2504">IF(CF156="","","|n"&amp;FL$2&amp;"+"&amp;CF156&amp;FL$1)</f>
        <v/>
      </c>
      <c r="FM156" s="72" t="str">
        <f t="shared" ref="FM156" si="2505">IF(CG156="","","|n"&amp;FM$2&amp;"+"&amp;CG156&amp;FM$1)</f>
        <v/>
      </c>
      <c r="FN156" s="72" t="str">
        <f t="shared" ref="FN156" si="2506">IF(CH156="","","|n"&amp;FN$2&amp;"+"&amp;CH156&amp;FN$1)</f>
        <v/>
      </c>
      <c r="FO156" s="72" t="str">
        <f t="shared" ref="FO156" si="2507">IF(CI156="","","|n"&amp;FO$2&amp;"+"&amp;CI156&amp;FO$1)</f>
        <v/>
      </c>
      <c r="FP156" s="72" t="str">
        <f t="shared" ref="FP156" si="2508">IF(CJ156="","","|n"&amp;FP$2&amp;"+"&amp;CJ156&amp;FP$1)</f>
        <v/>
      </c>
      <c r="FQ156" s="72" t="str">
        <f t="shared" ref="FQ156" si="2509">IF(CK156="","","|n"&amp;FQ$2&amp;"+"&amp;CK156&amp;FQ$1)</f>
        <v/>
      </c>
      <c r="FR156" s="72" t="str">
        <f t="shared" ref="FR156" si="2510">IF(CL156="","","|n"&amp;FR$2&amp;"+"&amp;CL156&amp;FR$1)</f>
        <v/>
      </c>
      <c r="FS156" s="72" t="str">
        <f t="shared" ref="FS156" si="2511">IF(CM156="","","|n"&amp;FS$2&amp;"+"&amp;CM156&amp;FS$1)</f>
        <v/>
      </c>
    </row>
    <row r="157" spans="1:175" ht="15">
      <c r="A157" s="104"/>
      <c r="B157" s="104" t="s">
        <v>584</v>
      </c>
      <c r="C157" s="71" t="s">
        <v>585</v>
      </c>
      <c r="T157" s="71" t="s">
        <v>586</v>
      </c>
      <c r="U157" s="88" t="s">
        <v>587</v>
      </c>
      <c r="CN157" s="70" t="str">
        <f t="shared" si="2291"/>
        <v>InitUnitState('IN19',,,,,,,,,,)</v>
      </c>
      <c r="CO157" s="70" t="str">
        <f t="shared" si="2292"/>
        <v>InitUnitNormal('IN19',,,,,,,,,,)</v>
      </c>
      <c r="CP157" s="70" t="str">
        <f t="shared" si="2293"/>
        <v>InitUnitMagic('IN19',,,,,,,,,,)</v>
      </c>
      <c r="CQ157" s="70" t="str">
        <f t="shared" si="2294"/>
        <v>InitUnitAdd('IN19',,,,,,,,,,)</v>
      </c>
      <c r="CR157" s="70" t="str">
        <f t="shared" si="2295"/>
        <v>InitEquipData('IN19',,"",,,,,'','','','','','',"ReplaceableTextures\\CommandButtons\\BTNIT13.blp")</v>
      </c>
      <c r="CU157" s="98" t="str">
        <f t="shared" si="2440"/>
        <v>|n</v>
      </c>
      <c r="CV157" s="71" t="str">
        <f t="shared" si="2441"/>
        <v>使用后获得|Cffffc926随机类型技能附魔石|r</v>
      </c>
      <c r="CW157" s="61"/>
      <c r="CX157" s="61"/>
      <c r="CY157" s="61"/>
      <c r="CZ157" s="61"/>
      <c r="DA157" s="61"/>
      <c r="DB157" s="72" t="str">
        <f t="shared" ref="DB157" si="2512">IF(V157="","","|n"&amp;DB$2&amp;"+"&amp;V157&amp;DB$1)</f>
        <v/>
      </c>
      <c r="DC157" s="72" t="str">
        <f t="shared" ref="DC157" si="2513">IF(W157="","","|n"&amp;DC$2&amp;"+"&amp;W157&amp;DC$1)</f>
        <v/>
      </c>
      <c r="DD157" s="72" t="str">
        <f t="shared" ref="DD157" si="2514">IF(X157="","","|n"&amp;DD$2&amp;"+"&amp;X157&amp;DD$1)</f>
        <v/>
      </c>
      <c r="DE157" s="72" t="str">
        <f t="shared" ref="DE157" si="2515">IF(Y157="","","|n"&amp;DE$2&amp;"+"&amp;Y157&amp;DE$1)</f>
        <v/>
      </c>
      <c r="DF157" s="72" t="str">
        <f t="shared" ref="DF157" si="2516">IF(Z157="","","|n"&amp;DF$2&amp;"+"&amp;Z157&amp;DF$1)</f>
        <v/>
      </c>
      <c r="DG157" s="72" t="str">
        <f t="shared" ref="DG157" si="2517">IF(AA157="","","|n"&amp;DG$2&amp;"+"&amp;AA157&amp;DG$1)</f>
        <v/>
      </c>
      <c r="DH157" s="72" t="str">
        <f t="shared" ref="DH157" si="2518">IF(AB157="","","|n"&amp;DH$2&amp;"+"&amp;AB157&amp;DH$1)</f>
        <v/>
      </c>
      <c r="DI157" s="72" t="str">
        <f t="shared" ref="DI157" si="2519">IF(AC157="","","|n"&amp;DI$2&amp;"+"&amp;AC157&amp;DI$1)</f>
        <v/>
      </c>
      <c r="DJ157" s="72" t="str">
        <f t="shared" ref="DJ157" si="2520">IF(AD157="","","|n"&amp;DJ$2&amp;"+"&amp;AD157&amp;DJ$1)</f>
        <v/>
      </c>
      <c r="DK157" s="72" t="str">
        <f t="shared" ref="DK157" si="2521">IF(AE157="","","|n"&amp;DK$2&amp;"+"&amp;AE157&amp;DK$1)</f>
        <v/>
      </c>
      <c r="DL157" s="72" t="str">
        <f t="shared" ref="DL157" si="2522">IF(AF157="","","|n"&amp;DL$2&amp;"+"&amp;AF157&amp;DL$1)</f>
        <v/>
      </c>
      <c r="DM157" s="72" t="str">
        <f t="shared" ref="DM157" si="2523">IF(AG157="","","|n"&amp;DM$2&amp;"+"&amp;AG157&amp;DM$1)</f>
        <v/>
      </c>
      <c r="DN157" s="72" t="str">
        <f t="shared" ref="DN157" si="2524">IF(AH157="","","|n"&amp;DN$2&amp;"+"&amp;AH157&amp;DN$1)</f>
        <v/>
      </c>
      <c r="DO157" s="72" t="str">
        <f t="shared" ref="DO157" si="2525">IF(AI157="","","|n"&amp;DO$2&amp;"+"&amp;AI157&amp;DO$1)</f>
        <v/>
      </c>
      <c r="DP157" s="72" t="str">
        <f t="shared" ref="DP157" si="2526">IF(AJ157="","","|n"&amp;DP$2&amp;"+"&amp;AJ157&amp;DP$1)</f>
        <v/>
      </c>
      <c r="DQ157" s="72" t="str">
        <f t="shared" ref="DQ157" si="2527">IF(AK157="","","|n"&amp;DQ$2&amp;"+"&amp;AK157&amp;DQ$1)</f>
        <v/>
      </c>
      <c r="DR157" s="72" t="str">
        <f t="shared" ref="DR157" si="2528">IF(AL157="","","|n"&amp;DR$2&amp;"+"&amp;AL157&amp;DR$1)</f>
        <v/>
      </c>
      <c r="DS157" s="72" t="str">
        <f t="shared" ref="DS157" si="2529">IF(AM157="","","|n"&amp;DS$2&amp;"+"&amp;AM157&amp;DS$1)</f>
        <v/>
      </c>
      <c r="DT157" s="72" t="str">
        <f t="shared" ref="DT157" si="2530">IF(AN157="","","|n"&amp;DT$2&amp;"+"&amp;AN157&amp;DT$1)</f>
        <v/>
      </c>
      <c r="DU157" s="72" t="str">
        <f t="shared" ref="DU157" si="2531">IF(AO157="","","|n"&amp;DU$2&amp;"+"&amp;AO157&amp;DU$1)</f>
        <v/>
      </c>
      <c r="DV157" s="72" t="str">
        <f t="shared" ref="DV157" si="2532">IF(AP157="","","|n"&amp;DV$2&amp;"+"&amp;AP157&amp;DV$1)</f>
        <v/>
      </c>
      <c r="DW157" s="72" t="str">
        <f t="shared" ref="DW157" si="2533">IF(AQ157="","","|n"&amp;DW$2&amp;"+"&amp;AQ157&amp;DW$1)</f>
        <v/>
      </c>
      <c r="DX157" s="72" t="str">
        <f t="shared" ref="DX157" si="2534">IF(AR157="","","|n"&amp;DX$2&amp;"+"&amp;AR157&amp;DX$1)</f>
        <v/>
      </c>
      <c r="DY157" s="72" t="str">
        <f t="shared" ref="DY157" si="2535">IF(AS157="","","|n"&amp;DY$2&amp;"+"&amp;AS157&amp;DY$1)</f>
        <v/>
      </c>
      <c r="DZ157" s="72" t="str">
        <f t="shared" ref="DZ157" si="2536">IF(AT157="","","|n"&amp;DZ$2&amp;"+"&amp;AT157&amp;DZ$1)</f>
        <v/>
      </c>
      <c r="EA157" s="72" t="str">
        <f t="shared" ref="EA157" si="2537">IF(AU157="","","|n"&amp;EA$2&amp;"+"&amp;AU157&amp;EA$1)</f>
        <v/>
      </c>
      <c r="EB157" s="72" t="str">
        <f t="shared" ref="EB157" si="2538">IF(AV157="","","|n"&amp;EB$2&amp;"+"&amp;AV157&amp;EB$1)</f>
        <v/>
      </c>
      <c r="EC157" s="72" t="str">
        <f t="shared" ref="EC157" si="2539">IF(AW157="","","|n"&amp;EC$2&amp;"+"&amp;AW157&amp;EC$1)</f>
        <v/>
      </c>
      <c r="ED157" s="72" t="str">
        <f t="shared" ref="ED157" si="2540">IF(AX157="","","|n"&amp;ED$2&amp;"+"&amp;AX157&amp;ED$1)</f>
        <v/>
      </c>
      <c r="EE157" s="72" t="str">
        <f t="shared" ref="EE157" si="2541">IF(AY157="","","|n"&amp;EE$2&amp;"+"&amp;AY157&amp;EE$1)</f>
        <v/>
      </c>
      <c r="EF157" s="72" t="str">
        <f t="shared" ref="EF157" si="2542">IF(AZ157="","","|n"&amp;EF$2&amp;"+"&amp;AZ157&amp;EF$1)</f>
        <v/>
      </c>
      <c r="EG157" s="72" t="str">
        <f t="shared" ref="EG157" si="2543">IF(BA157="","","|n"&amp;EG$2&amp;"+"&amp;BA157&amp;EG$1)</f>
        <v/>
      </c>
      <c r="EH157" s="72" t="str">
        <f t="shared" ref="EH157" si="2544">IF(BB157="","","|n"&amp;EH$2&amp;"+"&amp;BB157&amp;EH$1)</f>
        <v/>
      </c>
      <c r="EI157" s="72" t="str">
        <f t="shared" ref="EI157" si="2545">IF(BC157="","","|n"&amp;EI$2&amp;"+"&amp;BC157&amp;EI$1)</f>
        <v/>
      </c>
      <c r="EJ157" s="72" t="str">
        <f t="shared" ref="EJ157" si="2546">IF(BD157="","","|n"&amp;EJ$2&amp;"+"&amp;BD157&amp;EJ$1)</f>
        <v/>
      </c>
      <c r="EK157" s="72" t="str">
        <f t="shared" ref="EK157" si="2547">IF(BE157="","","|n"&amp;EK$2&amp;"+"&amp;BE157&amp;EK$1)</f>
        <v/>
      </c>
      <c r="EL157" s="72" t="str">
        <f t="shared" ref="EL157" si="2548">IF(BF157="","","|n"&amp;EL$2&amp;"+"&amp;BF157&amp;EL$1)</f>
        <v/>
      </c>
      <c r="EM157" s="72" t="str">
        <f t="shared" ref="EM157" si="2549">IF(BG157="","","|n"&amp;EM$2&amp;"+"&amp;BG157&amp;EM$1)</f>
        <v/>
      </c>
      <c r="EN157" s="72" t="str">
        <f t="shared" ref="EN157" si="2550">IF(BH157="","","|n"&amp;EN$2&amp;"+"&amp;BH157&amp;EN$1)</f>
        <v/>
      </c>
      <c r="EO157" s="72" t="str">
        <f t="shared" ref="EO157" si="2551">IF(BI157="","","|n"&amp;EO$2&amp;"+"&amp;BI157&amp;EO$1)</f>
        <v/>
      </c>
      <c r="EP157" s="72" t="str">
        <f t="shared" ref="EP157" si="2552">IF(BJ157="","","|n"&amp;EP$2&amp;"+"&amp;BJ157&amp;EP$1)</f>
        <v/>
      </c>
      <c r="EQ157" s="72" t="str">
        <f t="shared" ref="EQ157" si="2553">IF(BK157="","","|n"&amp;EQ$2&amp;"+"&amp;BK157&amp;EQ$1)</f>
        <v/>
      </c>
      <c r="ER157" s="72" t="str">
        <f t="shared" ref="ER157" si="2554">IF(BL157="","","|n"&amp;ER$2&amp;"+"&amp;BL157&amp;ER$1)</f>
        <v/>
      </c>
      <c r="ES157" s="72" t="str">
        <f t="shared" ref="ES157" si="2555">IF(BM157="","","|n"&amp;ES$2&amp;"+"&amp;BM157&amp;ES$1)</f>
        <v/>
      </c>
      <c r="ET157" s="72" t="str">
        <f t="shared" ref="ET157" si="2556">IF(BN157="","","|n"&amp;ET$2&amp;"+"&amp;BN157&amp;ET$1)</f>
        <v/>
      </c>
      <c r="EU157" s="72" t="str">
        <f t="shared" ref="EU157" si="2557">IF(BO157="","","|n"&amp;EU$2&amp;"+"&amp;BO157&amp;EU$1)</f>
        <v/>
      </c>
      <c r="EV157" s="72" t="str">
        <f t="shared" ref="EV157" si="2558">IF(BP157="","","|n"&amp;EV$2&amp;"+"&amp;BP157&amp;EV$1)</f>
        <v/>
      </c>
      <c r="EW157" s="72" t="str">
        <f t="shared" ref="EW157" si="2559">IF(BQ157="","","|n"&amp;EW$2&amp;"+"&amp;BQ157&amp;EW$1)</f>
        <v/>
      </c>
      <c r="EX157" s="72" t="str">
        <f t="shared" ref="EX157" si="2560">IF(BR157="","","|n"&amp;EX$2&amp;"+"&amp;BR157&amp;EX$1)</f>
        <v/>
      </c>
      <c r="EY157" s="72" t="str">
        <f t="shared" ref="EY157" si="2561">IF(BS157="","","|n"&amp;EY$2&amp;"+"&amp;BS157&amp;EY$1)</f>
        <v/>
      </c>
      <c r="EZ157" s="72" t="str">
        <f t="shared" ref="EZ157" si="2562">IF(BT157="","","|n"&amp;EZ$2&amp;"+"&amp;BT157&amp;EZ$1)</f>
        <v/>
      </c>
      <c r="FA157" s="72" t="str">
        <f t="shared" ref="FA157" si="2563">IF(BU157="","","|n"&amp;FA$2&amp;"+"&amp;BU157&amp;FA$1)</f>
        <v/>
      </c>
      <c r="FB157" s="72" t="str">
        <f t="shared" ref="FB157" si="2564">IF(BV157="","","|n"&amp;FB$2&amp;"+"&amp;BV157&amp;FB$1)</f>
        <v/>
      </c>
      <c r="FC157" s="72" t="str">
        <f t="shared" ref="FC157" si="2565">IF(BW157="","","|n"&amp;FC$2&amp;"+"&amp;BW157&amp;FC$1)</f>
        <v/>
      </c>
      <c r="FD157" s="72" t="str">
        <f t="shared" ref="FD157" si="2566">IF(BX157="","","|n"&amp;FD$2&amp;"+"&amp;BX157&amp;FD$1)</f>
        <v/>
      </c>
      <c r="FE157" s="72" t="str">
        <f t="shared" ref="FE157" si="2567">IF(BY157="","","|n"&amp;FE$2&amp;"+"&amp;BY157&amp;FE$1)</f>
        <v/>
      </c>
      <c r="FF157" s="72" t="str">
        <f t="shared" ref="FF157" si="2568">IF(BZ157="","","|n"&amp;FF$2&amp;"+"&amp;BZ157&amp;FF$1)</f>
        <v/>
      </c>
      <c r="FG157" s="72" t="str">
        <f t="shared" ref="FG157" si="2569">IF(CA157="","","|n"&amp;FG$2&amp;"+"&amp;CA157&amp;FG$1)</f>
        <v/>
      </c>
      <c r="FH157" s="72" t="str">
        <f t="shared" ref="FH157" si="2570">IF(CB157="","","|n"&amp;FH$2&amp;"+"&amp;CB157&amp;FH$1)</f>
        <v/>
      </c>
      <c r="FI157" s="72" t="str">
        <f t="shared" ref="FI157" si="2571">IF(CC157="","","|n"&amp;FI$2&amp;"+"&amp;CC157&amp;FI$1)</f>
        <v/>
      </c>
      <c r="FJ157" s="72" t="str">
        <f t="shared" ref="FJ157" si="2572">IF(CD157="","","|n"&amp;FJ$2&amp;"+"&amp;CD157&amp;FJ$1)</f>
        <v/>
      </c>
      <c r="FK157" s="72" t="str">
        <f t="shared" ref="FK157" si="2573">IF(CE157="","","|n"&amp;FK$2&amp;"+"&amp;CE157&amp;FK$1)</f>
        <v/>
      </c>
      <c r="FL157" s="72" t="str">
        <f t="shared" ref="FL157" si="2574">IF(CF157="","","|n"&amp;FL$2&amp;"+"&amp;CF157&amp;FL$1)</f>
        <v/>
      </c>
      <c r="FM157" s="72" t="str">
        <f t="shared" ref="FM157" si="2575">IF(CG157="","","|n"&amp;FM$2&amp;"+"&amp;CG157&amp;FM$1)</f>
        <v/>
      </c>
      <c r="FN157" s="72" t="str">
        <f t="shared" ref="FN157" si="2576">IF(CH157="","","|n"&amp;FN$2&amp;"+"&amp;CH157&amp;FN$1)</f>
        <v/>
      </c>
      <c r="FO157" s="72" t="str">
        <f t="shared" ref="FO157" si="2577">IF(CI157="","","|n"&amp;FO$2&amp;"+"&amp;CI157&amp;FO$1)</f>
        <v/>
      </c>
      <c r="FP157" s="72" t="str">
        <f t="shared" ref="FP157" si="2578">IF(CJ157="","","|n"&amp;FP$2&amp;"+"&amp;CJ157&amp;FP$1)</f>
        <v/>
      </c>
      <c r="FQ157" s="72" t="str">
        <f t="shared" ref="FQ157" si="2579">IF(CK157="","","|n"&amp;FQ$2&amp;"+"&amp;CK157&amp;FQ$1)</f>
        <v/>
      </c>
      <c r="FR157" s="72" t="str">
        <f t="shared" ref="FR157" si="2580">IF(CL157="","","|n"&amp;FR$2&amp;"+"&amp;CL157&amp;FR$1)</f>
        <v/>
      </c>
      <c r="FS157" s="72" t="str">
        <f t="shared" ref="FS157" si="2581">IF(CM157="","","|n"&amp;FS$2&amp;"+"&amp;CM157&amp;FS$1)</f>
        <v/>
      </c>
    </row>
    <row r="158" spans="1:175" ht="15">
      <c r="A158" s="104"/>
      <c r="B158" s="118" t="s">
        <v>588</v>
      </c>
      <c r="C158" s="23" t="s">
        <v>589</v>
      </c>
      <c r="T158" s="71" t="s">
        <v>590</v>
      </c>
      <c r="U158" s="88" t="str">
        <f t="shared" ref="U158:U162" si="2582">"ReplaceableTextures\\CommandButtons\\BTN"&amp;B158&amp;".blp"</f>
        <v>ReplaceableTextures\\CommandButtons\\BTNIN20.blp</v>
      </c>
      <c r="CN158" s="70" t="str">
        <f t="shared" si="2291"/>
        <v>InitUnitState('IN20',,,,,,,,,,)</v>
      </c>
      <c r="CO158" s="70" t="str">
        <f t="shared" si="2292"/>
        <v>InitUnitNormal('IN20',,,,,,,,,,)</v>
      </c>
      <c r="CP158" s="70" t="str">
        <f t="shared" si="2293"/>
        <v>InitUnitMagic('IN20',,,,,,,,,,)</v>
      </c>
      <c r="CQ158" s="70" t="str">
        <f t="shared" si="2294"/>
        <v>InitUnitAdd('IN20',,,,,,,,,,)</v>
      </c>
      <c r="CR158" s="70" t="str">
        <f t="shared" si="2295"/>
        <v>InitEquipData('IN20',,"",,,,,'','','','','','',"ReplaceableTextures\\CommandButtons\\BTNIT14.blp")</v>
      </c>
      <c r="CU158" s="98" t="str">
        <f t="shared" si="2440"/>
        <v>|n</v>
      </c>
      <c r="CV158" s="71" t="str">
        <f t="shared" si="2441"/>
        <v>|CffFFC92630|r秒内杀敌金币|Cffffc926+25|r</v>
      </c>
      <c r="CW158" s="61"/>
      <c r="CX158" s="61"/>
      <c r="CY158" s="61"/>
      <c r="CZ158" s="61"/>
      <c r="DA158" s="61"/>
      <c r="DB158" s="72" t="str">
        <f t="shared" ref="DB158:FM158" si="2583">IF(V158="","","|n"&amp;DB$2&amp;"+"&amp;V158&amp;DB$1)</f>
        <v/>
      </c>
      <c r="DC158" s="72" t="str">
        <f t="shared" si="2583"/>
        <v/>
      </c>
      <c r="DD158" s="72" t="str">
        <f t="shared" si="2583"/>
        <v/>
      </c>
      <c r="DE158" s="72" t="str">
        <f t="shared" si="2583"/>
        <v/>
      </c>
      <c r="DF158" s="72" t="str">
        <f t="shared" si="2583"/>
        <v/>
      </c>
      <c r="DG158" s="72" t="str">
        <f t="shared" si="2583"/>
        <v/>
      </c>
      <c r="DH158" s="72" t="str">
        <f t="shared" si="2583"/>
        <v/>
      </c>
      <c r="DI158" s="72" t="str">
        <f t="shared" si="2583"/>
        <v/>
      </c>
      <c r="DJ158" s="72" t="str">
        <f t="shared" si="2583"/>
        <v/>
      </c>
      <c r="DK158" s="72" t="str">
        <f t="shared" si="2583"/>
        <v/>
      </c>
      <c r="DL158" s="72" t="str">
        <f t="shared" si="2583"/>
        <v/>
      </c>
      <c r="DM158" s="72" t="str">
        <f t="shared" si="2583"/>
        <v/>
      </c>
      <c r="DN158" s="72" t="str">
        <f t="shared" si="2583"/>
        <v/>
      </c>
      <c r="DO158" s="72" t="str">
        <f t="shared" si="2583"/>
        <v/>
      </c>
      <c r="DP158" s="72" t="str">
        <f t="shared" si="2583"/>
        <v/>
      </c>
      <c r="DQ158" s="72" t="str">
        <f t="shared" si="2583"/>
        <v/>
      </c>
      <c r="DR158" s="72" t="str">
        <f t="shared" si="2583"/>
        <v/>
      </c>
      <c r="DS158" s="72" t="str">
        <f t="shared" si="2583"/>
        <v/>
      </c>
      <c r="DT158" s="72" t="str">
        <f t="shared" si="2583"/>
        <v/>
      </c>
      <c r="DU158" s="72" t="str">
        <f t="shared" si="2583"/>
        <v/>
      </c>
      <c r="DV158" s="72" t="str">
        <f t="shared" si="2583"/>
        <v/>
      </c>
      <c r="DW158" s="72" t="str">
        <f t="shared" si="2583"/>
        <v/>
      </c>
      <c r="DX158" s="72" t="str">
        <f t="shared" si="2583"/>
        <v/>
      </c>
      <c r="DY158" s="72" t="str">
        <f t="shared" si="2583"/>
        <v/>
      </c>
      <c r="DZ158" s="72" t="str">
        <f t="shared" si="2583"/>
        <v/>
      </c>
      <c r="EA158" s="72" t="str">
        <f t="shared" si="2583"/>
        <v/>
      </c>
      <c r="EB158" s="72" t="str">
        <f t="shared" si="2583"/>
        <v/>
      </c>
      <c r="EC158" s="72" t="str">
        <f t="shared" si="2583"/>
        <v/>
      </c>
      <c r="ED158" s="72" t="str">
        <f t="shared" si="2583"/>
        <v/>
      </c>
      <c r="EE158" s="72" t="str">
        <f t="shared" si="2583"/>
        <v/>
      </c>
      <c r="EF158" s="72" t="str">
        <f t="shared" si="2583"/>
        <v/>
      </c>
      <c r="EG158" s="72" t="str">
        <f t="shared" si="2583"/>
        <v/>
      </c>
      <c r="EH158" s="72" t="str">
        <f t="shared" si="2583"/>
        <v/>
      </c>
      <c r="EI158" s="72" t="str">
        <f t="shared" si="2583"/>
        <v/>
      </c>
      <c r="EJ158" s="72" t="str">
        <f t="shared" si="2583"/>
        <v/>
      </c>
      <c r="EK158" s="72" t="str">
        <f t="shared" si="2583"/>
        <v/>
      </c>
      <c r="EL158" s="72" t="str">
        <f t="shared" si="2583"/>
        <v/>
      </c>
      <c r="EM158" s="72" t="str">
        <f t="shared" si="2583"/>
        <v/>
      </c>
      <c r="EN158" s="72" t="str">
        <f t="shared" si="2583"/>
        <v/>
      </c>
      <c r="EO158" s="72" t="str">
        <f t="shared" si="2583"/>
        <v/>
      </c>
      <c r="EP158" s="72" t="str">
        <f t="shared" si="2583"/>
        <v/>
      </c>
      <c r="EQ158" s="72" t="str">
        <f t="shared" si="2583"/>
        <v/>
      </c>
      <c r="ER158" s="72" t="str">
        <f t="shared" si="2583"/>
        <v/>
      </c>
      <c r="ES158" s="72" t="str">
        <f t="shared" si="2583"/>
        <v/>
      </c>
      <c r="ET158" s="72" t="str">
        <f t="shared" si="2583"/>
        <v/>
      </c>
      <c r="EU158" s="72" t="str">
        <f t="shared" si="2583"/>
        <v/>
      </c>
      <c r="EV158" s="72" t="str">
        <f t="shared" si="2583"/>
        <v/>
      </c>
      <c r="EW158" s="72" t="str">
        <f t="shared" si="2583"/>
        <v/>
      </c>
      <c r="EX158" s="72" t="str">
        <f t="shared" si="2583"/>
        <v/>
      </c>
      <c r="EY158" s="72" t="str">
        <f t="shared" si="2583"/>
        <v/>
      </c>
      <c r="EZ158" s="72" t="str">
        <f t="shared" si="2583"/>
        <v/>
      </c>
      <c r="FA158" s="72" t="str">
        <f t="shared" si="2583"/>
        <v/>
      </c>
      <c r="FB158" s="72" t="str">
        <f t="shared" si="2583"/>
        <v/>
      </c>
      <c r="FC158" s="72" t="str">
        <f t="shared" si="2583"/>
        <v/>
      </c>
      <c r="FD158" s="72" t="str">
        <f t="shared" si="2583"/>
        <v/>
      </c>
      <c r="FE158" s="72" t="str">
        <f t="shared" si="2583"/>
        <v/>
      </c>
      <c r="FF158" s="72" t="str">
        <f t="shared" si="2583"/>
        <v/>
      </c>
      <c r="FG158" s="72" t="str">
        <f t="shared" si="2583"/>
        <v/>
      </c>
      <c r="FH158" s="72" t="str">
        <f t="shared" si="2583"/>
        <v/>
      </c>
      <c r="FI158" s="72" t="str">
        <f t="shared" si="2583"/>
        <v/>
      </c>
      <c r="FJ158" s="72" t="str">
        <f t="shared" si="2583"/>
        <v/>
      </c>
      <c r="FK158" s="72" t="str">
        <f t="shared" si="2583"/>
        <v/>
      </c>
      <c r="FL158" s="72" t="str">
        <f t="shared" si="2583"/>
        <v/>
      </c>
      <c r="FM158" s="72" t="str">
        <f t="shared" si="2583"/>
        <v/>
      </c>
      <c r="FN158" s="72" t="str">
        <f t="shared" ref="FN158:FS158" si="2584">IF(CH158="","","|n"&amp;FN$2&amp;"+"&amp;CH158&amp;FN$1)</f>
        <v/>
      </c>
      <c r="FO158" s="72" t="str">
        <f t="shared" si="2584"/>
        <v/>
      </c>
      <c r="FP158" s="72" t="str">
        <f t="shared" si="2584"/>
        <v/>
      </c>
      <c r="FQ158" s="72" t="str">
        <f t="shared" si="2584"/>
        <v/>
      </c>
      <c r="FR158" s="72" t="str">
        <f t="shared" si="2584"/>
        <v/>
      </c>
      <c r="FS158" s="72" t="str">
        <f t="shared" si="2584"/>
        <v/>
      </c>
    </row>
    <row r="159" spans="1:175" ht="15">
      <c r="A159" s="104"/>
      <c r="B159" s="118" t="s">
        <v>591</v>
      </c>
      <c r="C159" s="23" t="s">
        <v>592</v>
      </c>
      <c r="T159" s="71" t="s">
        <v>593</v>
      </c>
      <c r="U159" s="88" t="str">
        <f t="shared" si="2582"/>
        <v>ReplaceableTextures\\CommandButtons\\BTNIN21.blp</v>
      </c>
      <c r="CN159" s="70" t="str">
        <f t="shared" si="2291"/>
        <v>InitUnitState('IN21',,,,,,,,,,)</v>
      </c>
      <c r="CO159" s="70" t="str">
        <f t="shared" si="2292"/>
        <v>InitUnitNormal('IN21',,,,,,,,,,)</v>
      </c>
      <c r="CP159" s="70" t="str">
        <f t="shared" si="2293"/>
        <v>InitUnitMagic('IN21',,,,,,,,,,)</v>
      </c>
      <c r="CQ159" s="70" t="str">
        <f t="shared" si="2294"/>
        <v>InitUnitAdd('IN21',,,,,,,,,,)</v>
      </c>
      <c r="CR159" s="70" t="str">
        <f t="shared" si="2295"/>
        <v>InitEquipData('IN21',,"",,,,,'','','','','','',"ReplaceableTextures\\CommandButtons\\BTNIZ0A.blp")</v>
      </c>
      <c r="CU159" s="98" t="str">
        <f t="shared" si="2440"/>
        <v>|n</v>
      </c>
      <c r="CV159" s="71" t="str">
        <f t="shared" si="2441"/>
        <v>金币|Cffffc926+888~8888|r</v>
      </c>
      <c r="CW159" s="61"/>
      <c r="CX159" s="61"/>
      <c r="CY159" s="61"/>
      <c r="CZ159" s="61"/>
      <c r="DA159" s="61"/>
      <c r="DB159" s="72" t="str">
        <f t="shared" ref="DB159:FM159" si="2585">IF(V159="","","|n"&amp;DB$2&amp;"+"&amp;V159&amp;DB$1)</f>
        <v/>
      </c>
      <c r="DC159" s="72" t="str">
        <f t="shared" si="2585"/>
        <v/>
      </c>
      <c r="DD159" s="72" t="str">
        <f t="shared" si="2585"/>
        <v/>
      </c>
      <c r="DE159" s="72" t="str">
        <f t="shared" si="2585"/>
        <v/>
      </c>
      <c r="DF159" s="72" t="str">
        <f t="shared" si="2585"/>
        <v/>
      </c>
      <c r="DG159" s="72" t="str">
        <f t="shared" si="2585"/>
        <v/>
      </c>
      <c r="DH159" s="72" t="str">
        <f t="shared" si="2585"/>
        <v/>
      </c>
      <c r="DI159" s="72" t="str">
        <f t="shared" si="2585"/>
        <v/>
      </c>
      <c r="DJ159" s="72" t="str">
        <f t="shared" si="2585"/>
        <v/>
      </c>
      <c r="DK159" s="72" t="str">
        <f t="shared" si="2585"/>
        <v/>
      </c>
      <c r="DL159" s="72" t="str">
        <f t="shared" si="2585"/>
        <v/>
      </c>
      <c r="DM159" s="72" t="str">
        <f t="shared" si="2585"/>
        <v/>
      </c>
      <c r="DN159" s="72" t="str">
        <f t="shared" si="2585"/>
        <v/>
      </c>
      <c r="DO159" s="72" t="str">
        <f t="shared" si="2585"/>
        <v/>
      </c>
      <c r="DP159" s="72" t="str">
        <f t="shared" si="2585"/>
        <v/>
      </c>
      <c r="DQ159" s="72" t="str">
        <f t="shared" si="2585"/>
        <v/>
      </c>
      <c r="DR159" s="72" t="str">
        <f t="shared" si="2585"/>
        <v/>
      </c>
      <c r="DS159" s="72" t="str">
        <f t="shared" si="2585"/>
        <v/>
      </c>
      <c r="DT159" s="72" t="str">
        <f t="shared" si="2585"/>
        <v/>
      </c>
      <c r="DU159" s="72" t="str">
        <f t="shared" si="2585"/>
        <v/>
      </c>
      <c r="DV159" s="72" t="str">
        <f t="shared" si="2585"/>
        <v/>
      </c>
      <c r="DW159" s="72" t="str">
        <f t="shared" si="2585"/>
        <v/>
      </c>
      <c r="DX159" s="72" t="str">
        <f t="shared" si="2585"/>
        <v/>
      </c>
      <c r="DY159" s="72" t="str">
        <f t="shared" si="2585"/>
        <v/>
      </c>
      <c r="DZ159" s="72" t="str">
        <f t="shared" si="2585"/>
        <v/>
      </c>
      <c r="EA159" s="72" t="str">
        <f t="shared" si="2585"/>
        <v/>
      </c>
      <c r="EB159" s="72" t="str">
        <f t="shared" si="2585"/>
        <v/>
      </c>
      <c r="EC159" s="72" t="str">
        <f t="shared" si="2585"/>
        <v/>
      </c>
      <c r="ED159" s="72" t="str">
        <f t="shared" si="2585"/>
        <v/>
      </c>
      <c r="EE159" s="72" t="str">
        <f t="shared" si="2585"/>
        <v/>
      </c>
      <c r="EF159" s="72" t="str">
        <f t="shared" si="2585"/>
        <v/>
      </c>
      <c r="EG159" s="72" t="str">
        <f t="shared" si="2585"/>
        <v/>
      </c>
      <c r="EH159" s="72" t="str">
        <f t="shared" si="2585"/>
        <v/>
      </c>
      <c r="EI159" s="72" t="str">
        <f t="shared" si="2585"/>
        <v/>
      </c>
      <c r="EJ159" s="72" t="str">
        <f t="shared" si="2585"/>
        <v/>
      </c>
      <c r="EK159" s="72" t="str">
        <f t="shared" si="2585"/>
        <v/>
      </c>
      <c r="EL159" s="72" t="str">
        <f t="shared" si="2585"/>
        <v/>
      </c>
      <c r="EM159" s="72" t="str">
        <f t="shared" si="2585"/>
        <v/>
      </c>
      <c r="EN159" s="72" t="str">
        <f t="shared" si="2585"/>
        <v/>
      </c>
      <c r="EO159" s="72" t="str">
        <f t="shared" si="2585"/>
        <v/>
      </c>
      <c r="EP159" s="72" t="str">
        <f t="shared" si="2585"/>
        <v/>
      </c>
      <c r="EQ159" s="72" t="str">
        <f t="shared" si="2585"/>
        <v/>
      </c>
      <c r="ER159" s="72" t="str">
        <f t="shared" si="2585"/>
        <v/>
      </c>
      <c r="ES159" s="72" t="str">
        <f t="shared" si="2585"/>
        <v/>
      </c>
      <c r="ET159" s="72" t="str">
        <f t="shared" si="2585"/>
        <v/>
      </c>
      <c r="EU159" s="72" t="str">
        <f t="shared" si="2585"/>
        <v/>
      </c>
      <c r="EV159" s="72" t="str">
        <f t="shared" si="2585"/>
        <v/>
      </c>
      <c r="EW159" s="72" t="str">
        <f t="shared" si="2585"/>
        <v/>
      </c>
      <c r="EX159" s="72" t="str">
        <f t="shared" si="2585"/>
        <v/>
      </c>
      <c r="EY159" s="72" t="str">
        <f t="shared" si="2585"/>
        <v/>
      </c>
      <c r="EZ159" s="72" t="str">
        <f t="shared" si="2585"/>
        <v/>
      </c>
      <c r="FA159" s="72" t="str">
        <f t="shared" si="2585"/>
        <v/>
      </c>
      <c r="FB159" s="72" t="str">
        <f t="shared" si="2585"/>
        <v/>
      </c>
      <c r="FC159" s="72" t="str">
        <f t="shared" si="2585"/>
        <v/>
      </c>
      <c r="FD159" s="72" t="str">
        <f t="shared" si="2585"/>
        <v/>
      </c>
      <c r="FE159" s="72" t="str">
        <f t="shared" si="2585"/>
        <v/>
      </c>
      <c r="FF159" s="72" t="str">
        <f t="shared" si="2585"/>
        <v/>
      </c>
      <c r="FG159" s="72" t="str">
        <f t="shared" si="2585"/>
        <v/>
      </c>
      <c r="FH159" s="72" t="str">
        <f t="shared" si="2585"/>
        <v/>
      </c>
      <c r="FI159" s="72" t="str">
        <f t="shared" si="2585"/>
        <v/>
      </c>
      <c r="FJ159" s="72" t="str">
        <f t="shared" si="2585"/>
        <v/>
      </c>
      <c r="FK159" s="72" t="str">
        <f t="shared" si="2585"/>
        <v/>
      </c>
      <c r="FL159" s="72" t="str">
        <f t="shared" si="2585"/>
        <v/>
      </c>
      <c r="FM159" s="72" t="str">
        <f t="shared" si="2585"/>
        <v/>
      </c>
      <c r="FN159" s="72" t="str">
        <f t="shared" ref="FN159:FS159" si="2586">IF(CH159="","","|n"&amp;FN$2&amp;"+"&amp;CH159&amp;FN$1)</f>
        <v/>
      </c>
      <c r="FO159" s="72" t="str">
        <f t="shared" si="2586"/>
        <v/>
      </c>
      <c r="FP159" s="72" t="str">
        <f t="shared" si="2586"/>
        <v/>
      </c>
      <c r="FQ159" s="72" t="str">
        <f t="shared" si="2586"/>
        <v/>
      </c>
      <c r="FR159" s="72" t="str">
        <f t="shared" si="2586"/>
        <v/>
      </c>
      <c r="FS159" s="72" t="str">
        <f t="shared" si="2586"/>
        <v/>
      </c>
    </row>
    <row r="160" spans="1:175" ht="15">
      <c r="A160" s="104"/>
      <c r="B160" s="104" t="s">
        <v>594</v>
      </c>
      <c r="C160" s="98" t="s">
        <v>595</v>
      </c>
      <c r="T160" s="71" t="s">
        <v>596</v>
      </c>
      <c r="U160" s="88" t="str">
        <f t="shared" si="2582"/>
        <v>ReplaceableTextures\\CommandButtons\\BTNIN22.blp</v>
      </c>
      <c r="CN160" s="70" t="str">
        <f t="shared" si="2291"/>
        <v>InitUnitState('IN22',,,,,,,,,,)</v>
      </c>
      <c r="CO160" s="70" t="str">
        <f t="shared" si="2292"/>
        <v>InitUnitNormal('IN22',,,,,,,,,,)</v>
      </c>
      <c r="CP160" s="70" t="str">
        <f t="shared" si="2293"/>
        <v>InitUnitMagic('IN22',,,,,,,,,,)</v>
      </c>
      <c r="CQ160" s="70" t="str">
        <f t="shared" si="2294"/>
        <v>InitUnitAdd('IN22',,,,,,,,,,)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208&amp;CR$1&amp;")"</f>
        <v>InitEquipData('IN22',,"",,,,,'','','','','','',"ReplaceableTextures\\CommandButtons\\BTNIZ01.blp")</v>
      </c>
      <c r="CU160" s="98" t="str">
        <f t="shared" si="2440"/>
        <v>|n</v>
      </c>
      <c r="CV160" s="71" t="str">
        <f t="shared" si="2441"/>
        <v>金币|Cffffc926+2888~18888|r</v>
      </c>
      <c r="CW160" s="61"/>
      <c r="CX160" s="61"/>
      <c r="CY160" s="61"/>
      <c r="CZ160" s="61"/>
      <c r="DA160" s="61"/>
      <c r="DB160" s="72" t="str">
        <f t="shared" ref="DB160:FM160" si="2587">IF(V160="","","|n"&amp;DB$2&amp;"+"&amp;V160&amp;DB$1)</f>
        <v/>
      </c>
      <c r="DC160" s="72" t="str">
        <f t="shared" si="2587"/>
        <v/>
      </c>
      <c r="DD160" s="72" t="str">
        <f t="shared" si="2587"/>
        <v/>
      </c>
      <c r="DE160" s="72" t="str">
        <f t="shared" si="2587"/>
        <v/>
      </c>
      <c r="DF160" s="72" t="str">
        <f t="shared" si="2587"/>
        <v/>
      </c>
      <c r="DG160" s="72" t="str">
        <f t="shared" si="2587"/>
        <v/>
      </c>
      <c r="DH160" s="72" t="str">
        <f t="shared" si="2587"/>
        <v/>
      </c>
      <c r="DI160" s="72" t="str">
        <f t="shared" si="2587"/>
        <v/>
      </c>
      <c r="DJ160" s="72" t="str">
        <f t="shared" si="2587"/>
        <v/>
      </c>
      <c r="DK160" s="72" t="str">
        <f t="shared" si="2587"/>
        <v/>
      </c>
      <c r="DL160" s="72" t="str">
        <f t="shared" si="2587"/>
        <v/>
      </c>
      <c r="DM160" s="72" t="str">
        <f t="shared" si="2587"/>
        <v/>
      </c>
      <c r="DN160" s="72" t="str">
        <f t="shared" si="2587"/>
        <v/>
      </c>
      <c r="DO160" s="72" t="str">
        <f t="shared" si="2587"/>
        <v/>
      </c>
      <c r="DP160" s="72" t="str">
        <f t="shared" si="2587"/>
        <v/>
      </c>
      <c r="DQ160" s="72" t="str">
        <f t="shared" si="2587"/>
        <v/>
      </c>
      <c r="DR160" s="72" t="str">
        <f t="shared" si="2587"/>
        <v/>
      </c>
      <c r="DS160" s="72" t="str">
        <f t="shared" si="2587"/>
        <v/>
      </c>
      <c r="DT160" s="72" t="str">
        <f t="shared" si="2587"/>
        <v/>
      </c>
      <c r="DU160" s="72" t="str">
        <f t="shared" si="2587"/>
        <v/>
      </c>
      <c r="DV160" s="72" t="str">
        <f t="shared" si="2587"/>
        <v/>
      </c>
      <c r="DW160" s="72" t="str">
        <f t="shared" si="2587"/>
        <v/>
      </c>
      <c r="DX160" s="72" t="str">
        <f t="shared" si="2587"/>
        <v/>
      </c>
      <c r="DY160" s="72" t="str">
        <f t="shared" si="2587"/>
        <v/>
      </c>
      <c r="DZ160" s="72" t="str">
        <f t="shared" si="2587"/>
        <v/>
      </c>
      <c r="EA160" s="72" t="str">
        <f t="shared" si="2587"/>
        <v/>
      </c>
      <c r="EB160" s="72" t="str">
        <f t="shared" si="2587"/>
        <v/>
      </c>
      <c r="EC160" s="72" t="str">
        <f t="shared" si="2587"/>
        <v/>
      </c>
      <c r="ED160" s="72" t="str">
        <f t="shared" si="2587"/>
        <v/>
      </c>
      <c r="EE160" s="72" t="str">
        <f t="shared" si="2587"/>
        <v/>
      </c>
      <c r="EF160" s="72" t="str">
        <f t="shared" si="2587"/>
        <v/>
      </c>
      <c r="EG160" s="72" t="str">
        <f t="shared" si="2587"/>
        <v/>
      </c>
      <c r="EH160" s="72" t="str">
        <f t="shared" si="2587"/>
        <v/>
      </c>
      <c r="EI160" s="72" t="str">
        <f t="shared" si="2587"/>
        <v/>
      </c>
      <c r="EJ160" s="72" t="str">
        <f t="shared" si="2587"/>
        <v/>
      </c>
      <c r="EK160" s="72" t="str">
        <f t="shared" si="2587"/>
        <v/>
      </c>
      <c r="EL160" s="72" t="str">
        <f t="shared" si="2587"/>
        <v/>
      </c>
      <c r="EM160" s="72" t="str">
        <f t="shared" si="2587"/>
        <v/>
      </c>
      <c r="EN160" s="72" t="str">
        <f t="shared" si="2587"/>
        <v/>
      </c>
      <c r="EO160" s="72" t="str">
        <f t="shared" si="2587"/>
        <v/>
      </c>
      <c r="EP160" s="72" t="str">
        <f t="shared" si="2587"/>
        <v/>
      </c>
      <c r="EQ160" s="72" t="str">
        <f t="shared" si="2587"/>
        <v/>
      </c>
      <c r="ER160" s="72" t="str">
        <f t="shared" si="2587"/>
        <v/>
      </c>
      <c r="ES160" s="72" t="str">
        <f t="shared" si="2587"/>
        <v/>
      </c>
      <c r="ET160" s="72" t="str">
        <f t="shared" si="2587"/>
        <v/>
      </c>
      <c r="EU160" s="72" t="str">
        <f t="shared" si="2587"/>
        <v/>
      </c>
      <c r="EV160" s="72" t="str">
        <f t="shared" si="2587"/>
        <v/>
      </c>
      <c r="EW160" s="72" t="str">
        <f t="shared" si="2587"/>
        <v/>
      </c>
      <c r="EX160" s="72" t="str">
        <f t="shared" si="2587"/>
        <v/>
      </c>
      <c r="EY160" s="72" t="str">
        <f t="shared" si="2587"/>
        <v/>
      </c>
      <c r="EZ160" s="72" t="str">
        <f t="shared" si="2587"/>
        <v/>
      </c>
      <c r="FA160" s="72" t="str">
        <f t="shared" si="2587"/>
        <v/>
      </c>
      <c r="FB160" s="72" t="str">
        <f t="shared" si="2587"/>
        <v/>
      </c>
      <c r="FC160" s="72" t="str">
        <f t="shared" si="2587"/>
        <v/>
      </c>
      <c r="FD160" s="72" t="str">
        <f t="shared" si="2587"/>
        <v/>
      </c>
      <c r="FE160" s="72" t="str">
        <f t="shared" si="2587"/>
        <v/>
      </c>
      <c r="FF160" s="72" t="str">
        <f t="shared" si="2587"/>
        <v/>
      </c>
      <c r="FG160" s="72" t="str">
        <f t="shared" si="2587"/>
        <v/>
      </c>
      <c r="FH160" s="72" t="str">
        <f t="shared" si="2587"/>
        <v/>
      </c>
      <c r="FI160" s="72" t="str">
        <f t="shared" si="2587"/>
        <v/>
      </c>
      <c r="FJ160" s="72" t="str">
        <f t="shared" si="2587"/>
        <v/>
      </c>
      <c r="FK160" s="72" t="str">
        <f t="shared" si="2587"/>
        <v/>
      </c>
      <c r="FL160" s="72" t="str">
        <f t="shared" si="2587"/>
        <v/>
      </c>
      <c r="FM160" s="72" t="str">
        <f t="shared" si="2587"/>
        <v/>
      </c>
      <c r="FN160" s="72" t="str">
        <f t="shared" ref="FN160:FS160" si="2588">IF(CH160="","","|n"&amp;FN$2&amp;"+"&amp;CH160&amp;FN$1)</f>
        <v/>
      </c>
      <c r="FO160" s="72" t="str">
        <f t="shared" si="2588"/>
        <v/>
      </c>
      <c r="FP160" s="72" t="str">
        <f t="shared" si="2588"/>
        <v/>
      </c>
      <c r="FQ160" s="72" t="str">
        <f t="shared" si="2588"/>
        <v/>
      </c>
      <c r="FR160" s="72" t="str">
        <f t="shared" si="2588"/>
        <v/>
      </c>
      <c r="FS160" s="72" t="str">
        <f t="shared" si="2588"/>
        <v/>
      </c>
    </row>
    <row r="161" spans="1:175" ht="15">
      <c r="A161" s="104"/>
      <c r="B161" s="118" t="s">
        <v>597</v>
      </c>
      <c r="C161" s="23" t="s">
        <v>598</v>
      </c>
      <c r="T161" s="71" t="s">
        <v>599</v>
      </c>
      <c r="U161" s="88" t="str">
        <f t="shared" si="2582"/>
        <v>ReplaceableTextures\\CommandButtons\\BTNIN23.blp</v>
      </c>
      <c r="CN161" s="70" t="str">
        <f t="shared" si="2291"/>
        <v>InitUnitState('IN23',,,,,,,,,,)</v>
      </c>
      <c r="CO161" s="70" t="str">
        <f t="shared" si="2292"/>
        <v>InitUnitNormal('IN23',,,,,,,,,,)</v>
      </c>
      <c r="CP161" s="70" t="str">
        <f t="shared" si="2293"/>
        <v>InitUnitMagic('IN23',,,,,,,,,,)</v>
      </c>
      <c r="CQ161" s="70" t="str">
        <f t="shared" si="2294"/>
        <v>InitUnitAdd('IN23',,,,,,,,,,)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209&amp;CR$1&amp;")"</f>
        <v>InitEquipData('IN23',,"",,,,,'','','','','','',"ReplaceableTextures\\CommandButtons\\BTN023.blp")</v>
      </c>
      <c r="CU161" s="98" t="str">
        <f t="shared" si="2440"/>
        <v>|n</v>
      </c>
      <c r="CV161" s="71" t="str">
        <f t="shared" si="2441"/>
        <v>金币|Cffffc926+8888~88888|r</v>
      </c>
      <c r="CW161" s="61"/>
      <c r="CX161" s="61"/>
      <c r="CY161" s="61"/>
      <c r="CZ161" s="61"/>
      <c r="DA161" s="61"/>
      <c r="DB161" s="72" t="str">
        <f t="shared" ref="DB161:FM161" si="2589">IF(V161="","","|n"&amp;DB$2&amp;"+"&amp;V161&amp;DB$1)</f>
        <v/>
      </c>
      <c r="DC161" s="72" t="str">
        <f t="shared" si="2589"/>
        <v/>
      </c>
      <c r="DD161" s="72" t="str">
        <f t="shared" si="2589"/>
        <v/>
      </c>
      <c r="DE161" s="72" t="str">
        <f t="shared" si="2589"/>
        <v/>
      </c>
      <c r="DF161" s="72" t="str">
        <f t="shared" si="2589"/>
        <v/>
      </c>
      <c r="DG161" s="72" t="str">
        <f t="shared" si="2589"/>
        <v/>
      </c>
      <c r="DH161" s="72" t="str">
        <f t="shared" si="2589"/>
        <v/>
      </c>
      <c r="DI161" s="72" t="str">
        <f t="shared" si="2589"/>
        <v/>
      </c>
      <c r="DJ161" s="72" t="str">
        <f t="shared" si="2589"/>
        <v/>
      </c>
      <c r="DK161" s="72" t="str">
        <f t="shared" si="2589"/>
        <v/>
      </c>
      <c r="DL161" s="72" t="str">
        <f t="shared" si="2589"/>
        <v/>
      </c>
      <c r="DM161" s="72" t="str">
        <f t="shared" si="2589"/>
        <v/>
      </c>
      <c r="DN161" s="72" t="str">
        <f t="shared" si="2589"/>
        <v/>
      </c>
      <c r="DO161" s="72" t="str">
        <f t="shared" si="2589"/>
        <v/>
      </c>
      <c r="DP161" s="72" t="str">
        <f t="shared" si="2589"/>
        <v/>
      </c>
      <c r="DQ161" s="72" t="str">
        <f t="shared" si="2589"/>
        <v/>
      </c>
      <c r="DR161" s="72" t="str">
        <f t="shared" si="2589"/>
        <v/>
      </c>
      <c r="DS161" s="72" t="str">
        <f t="shared" si="2589"/>
        <v/>
      </c>
      <c r="DT161" s="72" t="str">
        <f t="shared" si="2589"/>
        <v/>
      </c>
      <c r="DU161" s="72" t="str">
        <f t="shared" si="2589"/>
        <v/>
      </c>
      <c r="DV161" s="72" t="str">
        <f t="shared" si="2589"/>
        <v/>
      </c>
      <c r="DW161" s="72" t="str">
        <f t="shared" si="2589"/>
        <v/>
      </c>
      <c r="DX161" s="72" t="str">
        <f t="shared" si="2589"/>
        <v/>
      </c>
      <c r="DY161" s="72" t="str">
        <f t="shared" si="2589"/>
        <v/>
      </c>
      <c r="DZ161" s="72" t="str">
        <f t="shared" si="2589"/>
        <v/>
      </c>
      <c r="EA161" s="72" t="str">
        <f t="shared" si="2589"/>
        <v/>
      </c>
      <c r="EB161" s="72" t="str">
        <f t="shared" si="2589"/>
        <v/>
      </c>
      <c r="EC161" s="72" t="str">
        <f t="shared" si="2589"/>
        <v/>
      </c>
      <c r="ED161" s="72" t="str">
        <f t="shared" si="2589"/>
        <v/>
      </c>
      <c r="EE161" s="72" t="str">
        <f t="shared" si="2589"/>
        <v/>
      </c>
      <c r="EF161" s="72" t="str">
        <f t="shared" si="2589"/>
        <v/>
      </c>
      <c r="EG161" s="72" t="str">
        <f t="shared" si="2589"/>
        <v/>
      </c>
      <c r="EH161" s="72" t="str">
        <f t="shared" si="2589"/>
        <v/>
      </c>
      <c r="EI161" s="72" t="str">
        <f t="shared" si="2589"/>
        <v/>
      </c>
      <c r="EJ161" s="72" t="str">
        <f t="shared" si="2589"/>
        <v/>
      </c>
      <c r="EK161" s="72" t="str">
        <f t="shared" si="2589"/>
        <v/>
      </c>
      <c r="EL161" s="72" t="str">
        <f t="shared" si="2589"/>
        <v/>
      </c>
      <c r="EM161" s="72" t="str">
        <f t="shared" si="2589"/>
        <v/>
      </c>
      <c r="EN161" s="72" t="str">
        <f t="shared" si="2589"/>
        <v/>
      </c>
      <c r="EO161" s="72" t="str">
        <f t="shared" si="2589"/>
        <v/>
      </c>
      <c r="EP161" s="72" t="str">
        <f t="shared" si="2589"/>
        <v/>
      </c>
      <c r="EQ161" s="72" t="str">
        <f t="shared" si="2589"/>
        <v/>
      </c>
      <c r="ER161" s="72" t="str">
        <f t="shared" si="2589"/>
        <v/>
      </c>
      <c r="ES161" s="72" t="str">
        <f t="shared" si="2589"/>
        <v/>
      </c>
      <c r="ET161" s="72" t="str">
        <f t="shared" si="2589"/>
        <v/>
      </c>
      <c r="EU161" s="72" t="str">
        <f t="shared" si="2589"/>
        <v/>
      </c>
      <c r="EV161" s="72" t="str">
        <f t="shared" si="2589"/>
        <v/>
      </c>
      <c r="EW161" s="72" t="str">
        <f t="shared" si="2589"/>
        <v/>
      </c>
      <c r="EX161" s="72" t="str">
        <f t="shared" si="2589"/>
        <v/>
      </c>
      <c r="EY161" s="72" t="str">
        <f t="shared" si="2589"/>
        <v/>
      </c>
      <c r="EZ161" s="72" t="str">
        <f t="shared" si="2589"/>
        <v/>
      </c>
      <c r="FA161" s="72" t="str">
        <f t="shared" si="2589"/>
        <v/>
      </c>
      <c r="FB161" s="72" t="str">
        <f t="shared" si="2589"/>
        <v/>
      </c>
      <c r="FC161" s="72" t="str">
        <f t="shared" si="2589"/>
        <v/>
      </c>
      <c r="FD161" s="72" t="str">
        <f t="shared" si="2589"/>
        <v/>
      </c>
      <c r="FE161" s="72" t="str">
        <f t="shared" si="2589"/>
        <v/>
      </c>
      <c r="FF161" s="72" t="str">
        <f t="shared" si="2589"/>
        <v/>
      </c>
      <c r="FG161" s="72" t="str">
        <f t="shared" si="2589"/>
        <v/>
      </c>
      <c r="FH161" s="72" t="str">
        <f t="shared" si="2589"/>
        <v/>
      </c>
      <c r="FI161" s="72" t="str">
        <f t="shared" si="2589"/>
        <v/>
      </c>
      <c r="FJ161" s="72" t="str">
        <f t="shared" si="2589"/>
        <v/>
      </c>
      <c r="FK161" s="72" t="str">
        <f t="shared" si="2589"/>
        <v/>
      </c>
      <c r="FL161" s="72" t="str">
        <f t="shared" si="2589"/>
        <v/>
      </c>
      <c r="FM161" s="72" t="str">
        <f t="shared" si="2589"/>
        <v/>
      </c>
      <c r="FN161" s="72" t="str">
        <f t="shared" ref="FN161:FS161" si="2590">IF(CH161="","","|n"&amp;FN$2&amp;"+"&amp;CH161&amp;FN$1)</f>
        <v/>
      </c>
      <c r="FO161" s="72" t="str">
        <f t="shared" si="2590"/>
        <v/>
      </c>
      <c r="FP161" s="72" t="str">
        <f t="shared" si="2590"/>
        <v/>
      </c>
      <c r="FQ161" s="72" t="str">
        <f t="shared" si="2590"/>
        <v/>
      </c>
      <c r="FR161" s="72" t="str">
        <f t="shared" si="2590"/>
        <v/>
      </c>
      <c r="FS161" s="72" t="str">
        <f t="shared" si="2590"/>
        <v/>
      </c>
    </row>
    <row r="162" spans="1:175" ht="15">
      <c r="A162" s="104"/>
      <c r="B162" s="118" t="s">
        <v>600</v>
      </c>
      <c r="C162" s="23" t="s">
        <v>601</v>
      </c>
      <c r="T162" s="71" t="s">
        <v>602</v>
      </c>
      <c r="U162" s="88" t="str">
        <f t="shared" si="2582"/>
        <v>ReplaceableTextures\\CommandButtons\\BTNIN24.blp</v>
      </c>
      <c r="CN162" s="70" t="str">
        <f t="shared" si="2291"/>
        <v>InitUnitState('IN24',,,,,,,,,,)</v>
      </c>
      <c r="CO162" s="70" t="str">
        <f t="shared" si="2292"/>
        <v>InitUnitNormal('IN24',,,,,,,,,,)</v>
      </c>
      <c r="CP162" s="70" t="str">
        <f t="shared" si="2293"/>
        <v>InitUnitMagic('IN24',,,,,,,,,,)</v>
      </c>
      <c r="CQ162" s="70" t="str">
        <f t="shared" si="2294"/>
        <v>InitUnitAdd('IN24',,,,,,,,,,)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210&amp;CR$1&amp;")"</f>
        <v>InitEquipData('IN24',,"",,,,,'','','','','','',"ReplaceableTextures\\CommandButtons\\BTN020.blp")</v>
      </c>
      <c r="CU162" s="98" t="str">
        <f t="shared" si="2440"/>
        <v>|n</v>
      </c>
      <c r="CV162" s="71" t="str">
        <f t="shared" si="2441"/>
        <v>攻击|Cffffc926+1000|r</v>
      </c>
      <c r="CW162" s="61"/>
      <c r="CX162" s="61"/>
      <c r="CY162" s="61"/>
      <c r="CZ162" s="61"/>
      <c r="DA162" s="61"/>
      <c r="DB162" s="72" t="str">
        <f t="shared" ref="DB162:FM162" si="2591">IF(V162="","","|n"&amp;DB$2&amp;"+"&amp;V162&amp;DB$1)</f>
        <v/>
      </c>
      <c r="DC162" s="72" t="str">
        <f t="shared" si="2591"/>
        <v/>
      </c>
      <c r="DD162" s="72" t="str">
        <f t="shared" si="2591"/>
        <v/>
      </c>
      <c r="DE162" s="72" t="str">
        <f t="shared" si="2591"/>
        <v/>
      </c>
      <c r="DF162" s="72" t="str">
        <f t="shared" si="2591"/>
        <v/>
      </c>
      <c r="DG162" s="72" t="str">
        <f t="shared" si="2591"/>
        <v/>
      </c>
      <c r="DH162" s="72" t="str">
        <f t="shared" si="2591"/>
        <v/>
      </c>
      <c r="DI162" s="72" t="str">
        <f t="shared" si="2591"/>
        <v/>
      </c>
      <c r="DJ162" s="72" t="str">
        <f t="shared" si="2591"/>
        <v/>
      </c>
      <c r="DK162" s="72" t="str">
        <f t="shared" si="2591"/>
        <v/>
      </c>
      <c r="DL162" s="72" t="str">
        <f t="shared" si="2591"/>
        <v/>
      </c>
      <c r="DM162" s="72" t="str">
        <f t="shared" si="2591"/>
        <v/>
      </c>
      <c r="DN162" s="72" t="str">
        <f t="shared" si="2591"/>
        <v/>
      </c>
      <c r="DO162" s="72" t="str">
        <f t="shared" si="2591"/>
        <v/>
      </c>
      <c r="DP162" s="72" t="str">
        <f t="shared" si="2591"/>
        <v/>
      </c>
      <c r="DQ162" s="72" t="str">
        <f t="shared" si="2591"/>
        <v/>
      </c>
      <c r="DR162" s="72" t="str">
        <f t="shared" si="2591"/>
        <v/>
      </c>
      <c r="DS162" s="72" t="str">
        <f t="shared" si="2591"/>
        <v/>
      </c>
      <c r="DT162" s="72" t="str">
        <f t="shared" si="2591"/>
        <v/>
      </c>
      <c r="DU162" s="72" t="str">
        <f t="shared" si="2591"/>
        <v/>
      </c>
      <c r="DV162" s="72" t="str">
        <f t="shared" si="2591"/>
        <v/>
      </c>
      <c r="DW162" s="72" t="str">
        <f t="shared" si="2591"/>
        <v/>
      </c>
      <c r="DX162" s="72" t="str">
        <f t="shared" si="2591"/>
        <v/>
      </c>
      <c r="DY162" s="72" t="str">
        <f t="shared" si="2591"/>
        <v/>
      </c>
      <c r="DZ162" s="72" t="str">
        <f t="shared" si="2591"/>
        <v/>
      </c>
      <c r="EA162" s="72" t="str">
        <f t="shared" si="2591"/>
        <v/>
      </c>
      <c r="EB162" s="72" t="str">
        <f t="shared" si="2591"/>
        <v/>
      </c>
      <c r="EC162" s="72" t="str">
        <f t="shared" si="2591"/>
        <v/>
      </c>
      <c r="ED162" s="72" t="str">
        <f t="shared" si="2591"/>
        <v/>
      </c>
      <c r="EE162" s="72" t="str">
        <f t="shared" si="2591"/>
        <v/>
      </c>
      <c r="EF162" s="72" t="str">
        <f t="shared" si="2591"/>
        <v/>
      </c>
      <c r="EG162" s="72" t="str">
        <f t="shared" si="2591"/>
        <v/>
      </c>
      <c r="EH162" s="72" t="str">
        <f t="shared" si="2591"/>
        <v/>
      </c>
      <c r="EI162" s="72" t="str">
        <f t="shared" si="2591"/>
        <v/>
      </c>
      <c r="EJ162" s="72" t="str">
        <f t="shared" si="2591"/>
        <v/>
      </c>
      <c r="EK162" s="72" t="str">
        <f t="shared" si="2591"/>
        <v/>
      </c>
      <c r="EL162" s="72" t="str">
        <f t="shared" si="2591"/>
        <v/>
      </c>
      <c r="EM162" s="72" t="str">
        <f t="shared" si="2591"/>
        <v/>
      </c>
      <c r="EN162" s="72" t="str">
        <f t="shared" si="2591"/>
        <v/>
      </c>
      <c r="EO162" s="72" t="str">
        <f t="shared" si="2591"/>
        <v/>
      </c>
      <c r="EP162" s="72" t="str">
        <f t="shared" si="2591"/>
        <v/>
      </c>
      <c r="EQ162" s="72" t="str">
        <f t="shared" si="2591"/>
        <v/>
      </c>
      <c r="ER162" s="72" t="str">
        <f t="shared" si="2591"/>
        <v/>
      </c>
      <c r="ES162" s="72" t="str">
        <f t="shared" si="2591"/>
        <v/>
      </c>
      <c r="ET162" s="72" t="str">
        <f t="shared" si="2591"/>
        <v/>
      </c>
      <c r="EU162" s="72" t="str">
        <f t="shared" si="2591"/>
        <v/>
      </c>
      <c r="EV162" s="72" t="str">
        <f t="shared" si="2591"/>
        <v/>
      </c>
      <c r="EW162" s="72" t="str">
        <f t="shared" si="2591"/>
        <v/>
      </c>
      <c r="EX162" s="72" t="str">
        <f t="shared" si="2591"/>
        <v/>
      </c>
      <c r="EY162" s="72" t="str">
        <f t="shared" si="2591"/>
        <v/>
      </c>
      <c r="EZ162" s="72" t="str">
        <f t="shared" si="2591"/>
        <v/>
      </c>
      <c r="FA162" s="72" t="str">
        <f t="shared" si="2591"/>
        <v/>
      </c>
      <c r="FB162" s="72" t="str">
        <f t="shared" si="2591"/>
        <v/>
      </c>
      <c r="FC162" s="72" t="str">
        <f t="shared" si="2591"/>
        <v/>
      </c>
      <c r="FD162" s="72" t="str">
        <f t="shared" si="2591"/>
        <v/>
      </c>
      <c r="FE162" s="72" t="str">
        <f t="shared" si="2591"/>
        <v/>
      </c>
      <c r="FF162" s="72" t="str">
        <f t="shared" si="2591"/>
        <v/>
      </c>
      <c r="FG162" s="72" t="str">
        <f t="shared" si="2591"/>
        <v/>
      </c>
      <c r="FH162" s="72" t="str">
        <f t="shared" si="2591"/>
        <v/>
      </c>
      <c r="FI162" s="72" t="str">
        <f t="shared" si="2591"/>
        <v/>
      </c>
      <c r="FJ162" s="72" t="str">
        <f t="shared" si="2591"/>
        <v/>
      </c>
      <c r="FK162" s="72" t="str">
        <f t="shared" si="2591"/>
        <v/>
      </c>
      <c r="FL162" s="72" t="str">
        <f t="shared" si="2591"/>
        <v/>
      </c>
      <c r="FM162" s="72" t="str">
        <f t="shared" si="2591"/>
        <v/>
      </c>
      <c r="FN162" s="72" t="str">
        <f t="shared" ref="FN162:FS162" si="2592">IF(CH162="","","|n"&amp;FN$2&amp;"+"&amp;CH162&amp;FN$1)</f>
        <v/>
      </c>
      <c r="FO162" s="72" t="str">
        <f t="shared" si="2592"/>
        <v/>
      </c>
      <c r="FP162" s="72" t="str">
        <f t="shared" si="2592"/>
        <v/>
      </c>
      <c r="FQ162" s="72" t="str">
        <f t="shared" si="2592"/>
        <v/>
      </c>
      <c r="FR162" s="72" t="str">
        <f t="shared" si="2592"/>
        <v/>
      </c>
      <c r="FS162" s="72" t="str">
        <f t="shared" si="2592"/>
        <v/>
      </c>
    </row>
    <row r="163" spans="1:175" ht="15">
      <c r="A163" s="104"/>
      <c r="B163" s="119" t="s">
        <v>603</v>
      </c>
      <c r="C163" s="98" t="s">
        <v>604</v>
      </c>
      <c r="T163" s="71" t="s">
        <v>605</v>
      </c>
      <c r="U163" s="88" t="s">
        <v>606</v>
      </c>
      <c r="CN163" s="70" t="str">
        <f t="shared" si="2291"/>
        <v>InitUnitState('IN25',,,,,,,,,,)</v>
      </c>
      <c r="CO163" s="70" t="str">
        <f t="shared" si="2292"/>
        <v>InitUnitNormal('IN25',,,,,,,,,,)</v>
      </c>
      <c r="CP163" s="70" t="str">
        <f t="shared" si="2293"/>
        <v>InitUnitMagic('IN25',,,,,,,,,,)</v>
      </c>
      <c r="CQ163" s="70" t="str">
        <f t="shared" si="2294"/>
        <v>InitUnitAdd('IN25',,,,,,,,,,)</v>
      </c>
      <c r="CR163" s="70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211&amp;CR$1&amp;")"</f>
        <v>InitEquipData('IN25',,"",,,,,'','','','','','',"ReplaceableTextures\\CommandButtons\\BTN001.blp")</v>
      </c>
      <c r="CU163" s="98" t="str">
        <f t="shared" si="2440"/>
        <v>|n</v>
      </c>
      <c r="CV163" s="71" t="str">
        <f t="shared" si="2441"/>
        <v>打开后有几率获得以下奖励：|n【随机品质】中级道果|n|Cff00ff7f【随机品质】高级道果|r</v>
      </c>
      <c r="CW163" s="61"/>
      <c r="CX163" s="61"/>
      <c r="CY163" s="61"/>
      <c r="CZ163" s="61"/>
      <c r="DA163" s="61"/>
      <c r="DB163" s="72" t="str">
        <f t="shared" ref="DB163:FM163" si="2593">IF(V163="","","|n"&amp;DB$2&amp;"+"&amp;V163&amp;DB$1)</f>
        <v/>
      </c>
      <c r="DC163" s="72" t="str">
        <f t="shared" si="2593"/>
        <v/>
      </c>
      <c r="DD163" s="72" t="str">
        <f t="shared" si="2593"/>
        <v/>
      </c>
      <c r="DE163" s="72" t="str">
        <f t="shared" si="2593"/>
        <v/>
      </c>
      <c r="DF163" s="72" t="str">
        <f t="shared" si="2593"/>
        <v/>
      </c>
      <c r="DG163" s="72" t="str">
        <f t="shared" si="2593"/>
        <v/>
      </c>
      <c r="DH163" s="72" t="str">
        <f t="shared" si="2593"/>
        <v/>
      </c>
      <c r="DI163" s="72" t="str">
        <f t="shared" si="2593"/>
        <v/>
      </c>
      <c r="DJ163" s="72" t="str">
        <f t="shared" si="2593"/>
        <v/>
      </c>
      <c r="DK163" s="72" t="str">
        <f t="shared" si="2593"/>
        <v/>
      </c>
      <c r="DL163" s="72" t="str">
        <f t="shared" si="2593"/>
        <v/>
      </c>
      <c r="DM163" s="72" t="str">
        <f t="shared" si="2593"/>
        <v/>
      </c>
      <c r="DN163" s="72" t="str">
        <f t="shared" si="2593"/>
        <v/>
      </c>
      <c r="DO163" s="72" t="str">
        <f t="shared" si="2593"/>
        <v/>
      </c>
      <c r="DP163" s="72" t="str">
        <f t="shared" si="2593"/>
        <v/>
      </c>
      <c r="DQ163" s="72" t="str">
        <f t="shared" si="2593"/>
        <v/>
      </c>
      <c r="DR163" s="72" t="str">
        <f t="shared" si="2593"/>
        <v/>
      </c>
      <c r="DS163" s="72" t="str">
        <f t="shared" si="2593"/>
        <v/>
      </c>
      <c r="DT163" s="72" t="str">
        <f t="shared" si="2593"/>
        <v/>
      </c>
      <c r="DU163" s="72" t="str">
        <f t="shared" si="2593"/>
        <v/>
      </c>
      <c r="DV163" s="72" t="str">
        <f t="shared" si="2593"/>
        <v/>
      </c>
      <c r="DW163" s="72" t="str">
        <f t="shared" si="2593"/>
        <v/>
      </c>
      <c r="DX163" s="72" t="str">
        <f t="shared" si="2593"/>
        <v/>
      </c>
      <c r="DY163" s="72" t="str">
        <f t="shared" si="2593"/>
        <v/>
      </c>
      <c r="DZ163" s="72" t="str">
        <f t="shared" si="2593"/>
        <v/>
      </c>
      <c r="EA163" s="72" t="str">
        <f t="shared" si="2593"/>
        <v/>
      </c>
      <c r="EB163" s="72" t="str">
        <f t="shared" si="2593"/>
        <v/>
      </c>
      <c r="EC163" s="72" t="str">
        <f t="shared" si="2593"/>
        <v/>
      </c>
      <c r="ED163" s="72" t="str">
        <f t="shared" si="2593"/>
        <v/>
      </c>
      <c r="EE163" s="72" t="str">
        <f t="shared" si="2593"/>
        <v/>
      </c>
      <c r="EF163" s="72" t="str">
        <f t="shared" si="2593"/>
        <v/>
      </c>
      <c r="EG163" s="72" t="str">
        <f t="shared" si="2593"/>
        <v/>
      </c>
      <c r="EH163" s="72" t="str">
        <f t="shared" si="2593"/>
        <v/>
      </c>
      <c r="EI163" s="72" t="str">
        <f t="shared" si="2593"/>
        <v/>
      </c>
      <c r="EJ163" s="72" t="str">
        <f t="shared" si="2593"/>
        <v/>
      </c>
      <c r="EK163" s="72" t="str">
        <f t="shared" si="2593"/>
        <v/>
      </c>
      <c r="EL163" s="72" t="str">
        <f t="shared" si="2593"/>
        <v/>
      </c>
      <c r="EM163" s="72" t="str">
        <f t="shared" si="2593"/>
        <v/>
      </c>
      <c r="EN163" s="72" t="str">
        <f t="shared" si="2593"/>
        <v/>
      </c>
      <c r="EO163" s="72" t="str">
        <f t="shared" si="2593"/>
        <v/>
      </c>
      <c r="EP163" s="72" t="str">
        <f t="shared" si="2593"/>
        <v/>
      </c>
      <c r="EQ163" s="72" t="str">
        <f t="shared" si="2593"/>
        <v/>
      </c>
      <c r="ER163" s="72" t="str">
        <f t="shared" si="2593"/>
        <v/>
      </c>
      <c r="ES163" s="72" t="str">
        <f t="shared" si="2593"/>
        <v/>
      </c>
      <c r="ET163" s="72" t="str">
        <f t="shared" si="2593"/>
        <v/>
      </c>
      <c r="EU163" s="72" t="str">
        <f t="shared" si="2593"/>
        <v/>
      </c>
      <c r="EV163" s="72" t="str">
        <f t="shared" si="2593"/>
        <v/>
      </c>
      <c r="EW163" s="72" t="str">
        <f t="shared" si="2593"/>
        <v/>
      </c>
      <c r="EX163" s="72" t="str">
        <f t="shared" si="2593"/>
        <v/>
      </c>
      <c r="EY163" s="72" t="str">
        <f t="shared" si="2593"/>
        <v/>
      </c>
      <c r="EZ163" s="72" t="str">
        <f t="shared" si="2593"/>
        <v/>
      </c>
      <c r="FA163" s="72" t="str">
        <f t="shared" si="2593"/>
        <v/>
      </c>
      <c r="FB163" s="72" t="str">
        <f t="shared" si="2593"/>
        <v/>
      </c>
      <c r="FC163" s="72" t="str">
        <f t="shared" si="2593"/>
        <v/>
      </c>
      <c r="FD163" s="72" t="str">
        <f t="shared" si="2593"/>
        <v/>
      </c>
      <c r="FE163" s="72" t="str">
        <f t="shared" si="2593"/>
        <v/>
      </c>
      <c r="FF163" s="72" t="str">
        <f t="shared" si="2593"/>
        <v/>
      </c>
      <c r="FG163" s="72" t="str">
        <f t="shared" si="2593"/>
        <v/>
      </c>
      <c r="FH163" s="72" t="str">
        <f t="shared" si="2593"/>
        <v/>
      </c>
      <c r="FI163" s="72" t="str">
        <f t="shared" si="2593"/>
        <v/>
      </c>
      <c r="FJ163" s="72" t="str">
        <f t="shared" si="2593"/>
        <v/>
      </c>
      <c r="FK163" s="72" t="str">
        <f t="shared" si="2593"/>
        <v/>
      </c>
      <c r="FL163" s="72" t="str">
        <f t="shared" si="2593"/>
        <v/>
      </c>
      <c r="FM163" s="72" t="str">
        <f t="shared" si="2593"/>
        <v/>
      </c>
      <c r="FN163" s="72" t="str">
        <f t="shared" ref="FN163:FS163" si="2594">IF(CH163="","","|n"&amp;FN$2&amp;"+"&amp;CH163&amp;FN$1)</f>
        <v/>
      </c>
      <c r="FO163" s="72" t="str">
        <f t="shared" si="2594"/>
        <v/>
      </c>
      <c r="FP163" s="72" t="str">
        <f t="shared" si="2594"/>
        <v/>
      </c>
      <c r="FQ163" s="72" t="str">
        <f t="shared" si="2594"/>
        <v/>
      </c>
      <c r="FR163" s="72" t="str">
        <f t="shared" si="2594"/>
        <v/>
      </c>
      <c r="FS163" s="72" t="str">
        <f t="shared" si="2594"/>
        <v/>
      </c>
    </row>
    <row r="164" spans="1:175" ht="15">
      <c r="A164" s="104"/>
      <c r="B164" s="119" t="s">
        <v>607</v>
      </c>
      <c r="C164" s="98" t="s">
        <v>608</v>
      </c>
      <c r="T164" s="71" t="s">
        <v>609</v>
      </c>
      <c r="U164" s="88" t="s">
        <v>610</v>
      </c>
      <c r="CN164" s="70" t="str">
        <f t="shared" si="2291"/>
        <v>InitUnitState('IN26',,,,,,,,,,)</v>
      </c>
      <c r="CO164" s="70" t="str">
        <f t="shared" si="2292"/>
        <v>InitUnitNormal('IN26',,,,,,,,,,)</v>
      </c>
      <c r="CP164" s="70" t="str">
        <f t="shared" si="2293"/>
        <v>InitUnitMagic('IN26',,,,,,,,,,)</v>
      </c>
      <c r="CQ164" s="70" t="str">
        <f t="shared" si="2294"/>
        <v>InitUnitAdd('IN26',,,,,,,,,,)</v>
      </c>
      <c r="CR164" s="70" t="str">
        <f t="shared" ref="CR164:CR170" si="2595"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215&amp;CR$1&amp;")"</f>
        <v>InitEquipData('IN26',,"",,,,,'','','','','','',"ReplaceableTextures\\CommandButtons\\BTNIN01.blp")</v>
      </c>
      <c r="CU164" s="98" t="str">
        <f t="shared" si="2440"/>
        <v>|n</v>
      </c>
      <c r="CV164" s="71" t="str">
        <f t="shared" si="2441"/>
        <v>打开后有几率获得以下奖励：|n|Cff00ff7f【随机品质】黄级道果|r|n|Cff00bfff【随机品质】玄级道果|n【随机品质】地级道果|r</v>
      </c>
      <c r="CW164" s="61"/>
      <c r="CX164" s="61"/>
      <c r="CY164" s="61"/>
      <c r="CZ164" s="61"/>
      <c r="DA164" s="61"/>
      <c r="DB164" s="72" t="str">
        <f t="shared" ref="DB164:FM164" si="2596">IF(V164="","","|n"&amp;DB$2&amp;"+"&amp;V164&amp;DB$1)</f>
        <v/>
      </c>
      <c r="DC164" s="72" t="str">
        <f t="shared" si="2596"/>
        <v/>
      </c>
      <c r="DD164" s="72" t="str">
        <f t="shared" si="2596"/>
        <v/>
      </c>
      <c r="DE164" s="72" t="str">
        <f t="shared" si="2596"/>
        <v/>
      </c>
      <c r="DF164" s="72" t="str">
        <f t="shared" si="2596"/>
        <v/>
      </c>
      <c r="DG164" s="72" t="str">
        <f t="shared" si="2596"/>
        <v/>
      </c>
      <c r="DH164" s="72" t="str">
        <f t="shared" si="2596"/>
        <v/>
      </c>
      <c r="DI164" s="72" t="str">
        <f t="shared" si="2596"/>
        <v/>
      </c>
      <c r="DJ164" s="72" t="str">
        <f t="shared" si="2596"/>
        <v/>
      </c>
      <c r="DK164" s="72" t="str">
        <f t="shared" si="2596"/>
        <v/>
      </c>
      <c r="DL164" s="72" t="str">
        <f t="shared" si="2596"/>
        <v/>
      </c>
      <c r="DM164" s="72" t="str">
        <f t="shared" si="2596"/>
        <v/>
      </c>
      <c r="DN164" s="72" t="str">
        <f t="shared" si="2596"/>
        <v/>
      </c>
      <c r="DO164" s="72" t="str">
        <f t="shared" si="2596"/>
        <v/>
      </c>
      <c r="DP164" s="72" t="str">
        <f t="shared" si="2596"/>
        <v/>
      </c>
      <c r="DQ164" s="72" t="str">
        <f t="shared" si="2596"/>
        <v/>
      </c>
      <c r="DR164" s="72" t="str">
        <f t="shared" si="2596"/>
        <v/>
      </c>
      <c r="DS164" s="72" t="str">
        <f t="shared" si="2596"/>
        <v/>
      </c>
      <c r="DT164" s="72" t="str">
        <f t="shared" si="2596"/>
        <v/>
      </c>
      <c r="DU164" s="72" t="str">
        <f t="shared" si="2596"/>
        <v/>
      </c>
      <c r="DV164" s="72" t="str">
        <f t="shared" si="2596"/>
        <v/>
      </c>
      <c r="DW164" s="72" t="str">
        <f t="shared" si="2596"/>
        <v/>
      </c>
      <c r="DX164" s="72" t="str">
        <f t="shared" si="2596"/>
        <v/>
      </c>
      <c r="DY164" s="72" t="str">
        <f t="shared" si="2596"/>
        <v/>
      </c>
      <c r="DZ164" s="72" t="str">
        <f t="shared" si="2596"/>
        <v/>
      </c>
      <c r="EA164" s="72" t="str">
        <f t="shared" si="2596"/>
        <v/>
      </c>
      <c r="EB164" s="72" t="str">
        <f t="shared" si="2596"/>
        <v/>
      </c>
      <c r="EC164" s="72" t="str">
        <f t="shared" si="2596"/>
        <v/>
      </c>
      <c r="ED164" s="72" t="str">
        <f t="shared" si="2596"/>
        <v/>
      </c>
      <c r="EE164" s="72" t="str">
        <f t="shared" si="2596"/>
        <v/>
      </c>
      <c r="EF164" s="72" t="str">
        <f t="shared" si="2596"/>
        <v/>
      </c>
      <c r="EG164" s="72" t="str">
        <f t="shared" si="2596"/>
        <v/>
      </c>
      <c r="EH164" s="72" t="str">
        <f t="shared" si="2596"/>
        <v/>
      </c>
      <c r="EI164" s="72" t="str">
        <f t="shared" si="2596"/>
        <v/>
      </c>
      <c r="EJ164" s="72" t="str">
        <f t="shared" si="2596"/>
        <v/>
      </c>
      <c r="EK164" s="72" t="str">
        <f t="shared" si="2596"/>
        <v/>
      </c>
      <c r="EL164" s="72" t="str">
        <f t="shared" si="2596"/>
        <v/>
      </c>
      <c r="EM164" s="72" t="str">
        <f t="shared" si="2596"/>
        <v/>
      </c>
      <c r="EN164" s="72" t="str">
        <f t="shared" si="2596"/>
        <v/>
      </c>
      <c r="EO164" s="72" t="str">
        <f t="shared" si="2596"/>
        <v/>
      </c>
      <c r="EP164" s="72" t="str">
        <f t="shared" si="2596"/>
        <v/>
      </c>
      <c r="EQ164" s="72" t="str">
        <f t="shared" si="2596"/>
        <v/>
      </c>
      <c r="ER164" s="72" t="str">
        <f t="shared" si="2596"/>
        <v/>
      </c>
      <c r="ES164" s="72" t="str">
        <f t="shared" si="2596"/>
        <v/>
      </c>
      <c r="ET164" s="72" t="str">
        <f t="shared" si="2596"/>
        <v/>
      </c>
      <c r="EU164" s="72" t="str">
        <f t="shared" si="2596"/>
        <v/>
      </c>
      <c r="EV164" s="72" t="str">
        <f t="shared" si="2596"/>
        <v/>
      </c>
      <c r="EW164" s="72" t="str">
        <f t="shared" si="2596"/>
        <v/>
      </c>
      <c r="EX164" s="72" t="str">
        <f t="shared" si="2596"/>
        <v/>
      </c>
      <c r="EY164" s="72" t="str">
        <f t="shared" si="2596"/>
        <v/>
      </c>
      <c r="EZ164" s="72" t="str">
        <f t="shared" si="2596"/>
        <v/>
      </c>
      <c r="FA164" s="72" t="str">
        <f t="shared" si="2596"/>
        <v/>
      </c>
      <c r="FB164" s="72" t="str">
        <f t="shared" si="2596"/>
        <v/>
      </c>
      <c r="FC164" s="72" t="str">
        <f t="shared" si="2596"/>
        <v/>
      </c>
      <c r="FD164" s="72" t="str">
        <f t="shared" si="2596"/>
        <v/>
      </c>
      <c r="FE164" s="72" t="str">
        <f t="shared" si="2596"/>
        <v/>
      </c>
      <c r="FF164" s="72" t="str">
        <f t="shared" si="2596"/>
        <v/>
      </c>
      <c r="FG164" s="72" t="str">
        <f t="shared" si="2596"/>
        <v/>
      </c>
      <c r="FH164" s="72" t="str">
        <f t="shared" si="2596"/>
        <v/>
      </c>
      <c r="FI164" s="72" t="str">
        <f t="shared" si="2596"/>
        <v/>
      </c>
      <c r="FJ164" s="72" t="str">
        <f t="shared" si="2596"/>
        <v/>
      </c>
      <c r="FK164" s="72" t="str">
        <f t="shared" si="2596"/>
        <v/>
      </c>
      <c r="FL164" s="72" t="str">
        <f t="shared" si="2596"/>
        <v/>
      </c>
      <c r="FM164" s="72" t="str">
        <f t="shared" si="2596"/>
        <v/>
      </c>
      <c r="FN164" s="72" t="str">
        <f t="shared" ref="FN164:FS164" si="2597">IF(CH164="","","|n"&amp;FN$2&amp;"+"&amp;CH164&amp;FN$1)</f>
        <v/>
      </c>
      <c r="FO164" s="72" t="str">
        <f t="shared" si="2597"/>
        <v/>
      </c>
      <c r="FP164" s="72" t="str">
        <f t="shared" si="2597"/>
        <v/>
      </c>
      <c r="FQ164" s="72" t="str">
        <f t="shared" si="2597"/>
        <v/>
      </c>
      <c r="FR164" s="72" t="str">
        <f t="shared" si="2597"/>
        <v/>
      </c>
      <c r="FS164" s="72" t="str">
        <f t="shared" si="2597"/>
        <v/>
      </c>
    </row>
    <row r="165" spans="1:175" ht="15">
      <c r="A165" s="104"/>
      <c r="B165" s="119" t="s">
        <v>611</v>
      </c>
      <c r="C165" s="98" t="s">
        <v>612</v>
      </c>
      <c r="T165" s="71" t="s">
        <v>613</v>
      </c>
      <c r="U165" s="88" t="s">
        <v>614</v>
      </c>
      <c r="CN165" s="70" t="str">
        <f t="shared" si="2291"/>
        <v>InitUnitState('IN27',,,,,,,,,,)</v>
      </c>
      <c r="CO165" s="70" t="str">
        <f t="shared" si="2292"/>
        <v>InitUnitNormal('IN27',,,,,,,,,,)</v>
      </c>
      <c r="CP165" s="70" t="str">
        <f t="shared" si="2293"/>
        <v>InitUnitMagic('IN27',,,,,,,,,,)</v>
      </c>
      <c r="CQ165" s="70" t="str">
        <f t="shared" si="2294"/>
        <v>InitUnitAdd('IN27',,,,,,,,,,)</v>
      </c>
      <c r="CR165" s="70" t="str">
        <f t="shared" si="2595"/>
        <v>InitEquipData('IN27',,"",,,,,'','','','','','',"ReplaceableTextures\\CommandButtons\\BTNIN02.blp")</v>
      </c>
      <c r="CU165" s="98" t="str">
        <f t="shared" si="2440"/>
        <v>|n</v>
      </c>
      <c r="CV165" s="71" t="str">
        <f t="shared" si="2441"/>
        <v>打开后有几率获得以下奖励：|n|Cffffd24d【随机品质】天级道果|n【随机品质】仙品道果|n|r|Cffff0000【随机品质】至圣道果|n【随机品质】混沌道果|r</v>
      </c>
      <c r="CW165" s="61"/>
      <c r="CX165" s="61"/>
      <c r="CY165" s="61"/>
      <c r="CZ165" s="61"/>
      <c r="DA165" s="61"/>
      <c r="DB165" s="72" t="str">
        <f t="shared" ref="DB165:FM165" si="2598">IF(V165="","","|n"&amp;DB$2&amp;"+"&amp;V165&amp;DB$1)</f>
        <v/>
      </c>
      <c r="DC165" s="72" t="str">
        <f t="shared" si="2598"/>
        <v/>
      </c>
      <c r="DD165" s="72" t="str">
        <f t="shared" si="2598"/>
        <v/>
      </c>
      <c r="DE165" s="72" t="str">
        <f t="shared" si="2598"/>
        <v/>
      </c>
      <c r="DF165" s="72" t="str">
        <f t="shared" si="2598"/>
        <v/>
      </c>
      <c r="DG165" s="72" t="str">
        <f t="shared" si="2598"/>
        <v/>
      </c>
      <c r="DH165" s="72" t="str">
        <f t="shared" si="2598"/>
        <v/>
      </c>
      <c r="DI165" s="72" t="str">
        <f t="shared" si="2598"/>
        <v/>
      </c>
      <c r="DJ165" s="72" t="str">
        <f t="shared" si="2598"/>
        <v/>
      </c>
      <c r="DK165" s="72" t="str">
        <f t="shared" si="2598"/>
        <v/>
      </c>
      <c r="DL165" s="72" t="str">
        <f t="shared" si="2598"/>
        <v/>
      </c>
      <c r="DM165" s="72" t="str">
        <f t="shared" si="2598"/>
        <v/>
      </c>
      <c r="DN165" s="72" t="str">
        <f t="shared" si="2598"/>
        <v/>
      </c>
      <c r="DO165" s="72" t="str">
        <f t="shared" si="2598"/>
        <v/>
      </c>
      <c r="DP165" s="72" t="str">
        <f t="shared" si="2598"/>
        <v/>
      </c>
      <c r="DQ165" s="72" t="str">
        <f t="shared" si="2598"/>
        <v/>
      </c>
      <c r="DR165" s="72" t="str">
        <f t="shared" si="2598"/>
        <v/>
      </c>
      <c r="DS165" s="72" t="str">
        <f t="shared" si="2598"/>
        <v/>
      </c>
      <c r="DT165" s="72" t="str">
        <f t="shared" si="2598"/>
        <v/>
      </c>
      <c r="DU165" s="72" t="str">
        <f t="shared" si="2598"/>
        <v/>
      </c>
      <c r="DV165" s="72" t="str">
        <f t="shared" si="2598"/>
        <v/>
      </c>
      <c r="DW165" s="72" t="str">
        <f t="shared" si="2598"/>
        <v/>
      </c>
      <c r="DX165" s="72" t="str">
        <f t="shared" si="2598"/>
        <v/>
      </c>
      <c r="DY165" s="72" t="str">
        <f t="shared" si="2598"/>
        <v/>
      </c>
      <c r="DZ165" s="72" t="str">
        <f t="shared" si="2598"/>
        <v/>
      </c>
      <c r="EA165" s="72" t="str">
        <f t="shared" si="2598"/>
        <v/>
      </c>
      <c r="EB165" s="72" t="str">
        <f t="shared" si="2598"/>
        <v/>
      </c>
      <c r="EC165" s="72" t="str">
        <f t="shared" si="2598"/>
        <v/>
      </c>
      <c r="ED165" s="72" t="str">
        <f t="shared" si="2598"/>
        <v/>
      </c>
      <c r="EE165" s="72" t="str">
        <f t="shared" si="2598"/>
        <v/>
      </c>
      <c r="EF165" s="72" t="str">
        <f t="shared" si="2598"/>
        <v/>
      </c>
      <c r="EG165" s="72" t="str">
        <f t="shared" si="2598"/>
        <v/>
      </c>
      <c r="EH165" s="72" t="str">
        <f t="shared" si="2598"/>
        <v/>
      </c>
      <c r="EI165" s="72" t="str">
        <f t="shared" si="2598"/>
        <v/>
      </c>
      <c r="EJ165" s="72" t="str">
        <f t="shared" si="2598"/>
        <v/>
      </c>
      <c r="EK165" s="72" t="str">
        <f t="shared" si="2598"/>
        <v/>
      </c>
      <c r="EL165" s="72" t="str">
        <f t="shared" si="2598"/>
        <v/>
      </c>
      <c r="EM165" s="72" t="str">
        <f t="shared" si="2598"/>
        <v/>
      </c>
      <c r="EN165" s="72" t="str">
        <f t="shared" si="2598"/>
        <v/>
      </c>
      <c r="EO165" s="72" t="str">
        <f t="shared" si="2598"/>
        <v/>
      </c>
      <c r="EP165" s="72" t="str">
        <f t="shared" si="2598"/>
        <v/>
      </c>
      <c r="EQ165" s="72" t="str">
        <f t="shared" si="2598"/>
        <v/>
      </c>
      <c r="ER165" s="72" t="str">
        <f t="shared" si="2598"/>
        <v/>
      </c>
      <c r="ES165" s="72" t="str">
        <f t="shared" si="2598"/>
        <v/>
      </c>
      <c r="ET165" s="72" t="str">
        <f t="shared" si="2598"/>
        <v/>
      </c>
      <c r="EU165" s="72" t="str">
        <f t="shared" si="2598"/>
        <v/>
      </c>
      <c r="EV165" s="72" t="str">
        <f t="shared" si="2598"/>
        <v/>
      </c>
      <c r="EW165" s="72" t="str">
        <f t="shared" si="2598"/>
        <v/>
      </c>
      <c r="EX165" s="72" t="str">
        <f t="shared" si="2598"/>
        <v/>
      </c>
      <c r="EY165" s="72" t="str">
        <f t="shared" si="2598"/>
        <v/>
      </c>
      <c r="EZ165" s="72" t="str">
        <f t="shared" si="2598"/>
        <v/>
      </c>
      <c r="FA165" s="72" t="str">
        <f t="shared" si="2598"/>
        <v/>
      </c>
      <c r="FB165" s="72" t="str">
        <f t="shared" si="2598"/>
        <v/>
      </c>
      <c r="FC165" s="72" t="str">
        <f t="shared" si="2598"/>
        <v/>
      </c>
      <c r="FD165" s="72" t="str">
        <f t="shared" si="2598"/>
        <v/>
      </c>
      <c r="FE165" s="72" t="str">
        <f t="shared" si="2598"/>
        <v/>
      </c>
      <c r="FF165" s="72" t="str">
        <f t="shared" si="2598"/>
        <v/>
      </c>
      <c r="FG165" s="72" t="str">
        <f t="shared" si="2598"/>
        <v/>
      </c>
      <c r="FH165" s="72" t="str">
        <f t="shared" si="2598"/>
        <v/>
      </c>
      <c r="FI165" s="72" t="str">
        <f t="shared" si="2598"/>
        <v/>
      </c>
      <c r="FJ165" s="72" t="str">
        <f t="shared" si="2598"/>
        <v/>
      </c>
      <c r="FK165" s="72" t="str">
        <f t="shared" si="2598"/>
        <v/>
      </c>
      <c r="FL165" s="72" t="str">
        <f t="shared" si="2598"/>
        <v/>
      </c>
      <c r="FM165" s="72" t="str">
        <f t="shared" si="2598"/>
        <v/>
      </c>
      <c r="FN165" s="72" t="str">
        <f t="shared" ref="FN165:FS165" si="2599">IF(CH165="","","|n"&amp;FN$2&amp;"+"&amp;CH165&amp;FN$1)</f>
        <v/>
      </c>
      <c r="FO165" s="72" t="str">
        <f t="shared" si="2599"/>
        <v/>
      </c>
      <c r="FP165" s="72" t="str">
        <f t="shared" si="2599"/>
        <v/>
      </c>
      <c r="FQ165" s="72" t="str">
        <f t="shared" si="2599"/>
        <v/>
      </c>
      <c r="FR165" s="72" t="str">
        <f t="shared" si="2599"/>
        <v/>
      </c>
      <c r="FS165" s="72" t="str">
        <f t="shared" si="2599"/>
        <v/>
      </c>
    </row>
    <row r="166" spans="1:175" ht="15">
      <c r="A166" s="104"/>
      <c r="B166" s="119" t="s">
        <v>615</v>
      </c>
      <c r="C166" s="71" t="s">
        <v>616</v>
      </c>
      <c r="T166" s="71" t="s">
        <v>617</v>
      </c>
      <c r="U166" s="88" t="s">
        <v>618</v>
      </c>
      <c r="CN166" s="70" t="str">
        <f t="shared" si="2291"/>
        <v>InitUnitState('IN28',,,,,,,,,,)</v>
      </c>
      <c r="CO166" s="70" t="str">
        <f t="shared" si="2292"/>
        <v>InitUnitNormal('IN28',,,,,,,,,,)</v>
      </c>
      <c r="CP166" s="70" t="str">
        <f t="shared" si="2293"/>
        <v>InitUnitMagic('IN28',,,,,,,,,,)</v>
      </c>
      <c r="CQ166" s="70" t="str">
        <f t="shared" si="2294"/>
        <v>InitUnitAdd('IN28',,,,,,,,,,)</v>
      </c>
      <c r="CR166" s="70" t="str">
        <f t="shared" si="2595"/>
        <v>InitEquipData('IN28',,"",,,,,'','','','','','',"ReplaceableTextures\\CommandButtons\\BTNIN03.blp")</v>
      </c>
      <c r="CU166" s="98" t="str">
        <f t="shared" si="2440"/>
        <v>|n</v>
      </c>
      <c r="CV166" s="71" t="str">
        <f t="shared" si="2441"/>
        <v>使用后获得|Cffffc926随机类型技能升阶石|r</v>
      </c>
      <c r="CW166" s="61"/>
      <c r="CX166" s="61"/>
      <c r="CY166" s="61"/>
      <c r="CZ166" s="61"/>
      <c r="DA166" s="61"/>
      <c r="DB166" s="72" t="str">
        <f t="shared" ref="DB166:FM166" si="2600">IF(V166="","","|n"&amp;DB$2&amp;"+"&amp;V166&amp;DB$1)</f>
        <v/>
      </c>
      <c r="DC166" s="72" t="str">
        <f t="shared" si="2600"/>
        <v/>
      </c>
      <c r="DD166" s="72" t="str">
        <f t="shared" si="2600"/>
        <v/>
      </c>
      <c r="DE166" s="72" t="str">
        <f t="shared" si="2600"/>
        <v/>
      </c>
      <c r="DF166" s="72" t="str">
        <f t="shared" si="2600"/>
        <v/>
      </c>
      <c r="DG166" s="72" t="str">
        <f t="shared" si="2600"/>
        <v/>
      </c>
      <c r="DH166" s="72" t="str">
        <f t="shared" si="2600"/>
        <v/>
      </c>
      <c r="DI166" s="72" t="str">
        <f t="shared" si="2600"/>
        <v/>
      </c>
      <c r="DJ166" s="72" t="str">
        <f t="shared" si="2600"/>
        <v/>
      </c>
      <c r="DK166" s="72" t="str">
        <f t="shared" si="2600"/>
        <v/>
      </c>
      <c r="DL166" s="72" t="str">
        <f t="shared" si="2600"/>
        <v/>
      </c>
      <c r="DM166" s="72" t="str">
        <f t="shared" si="2600"/>
        <v/>
      </c>
      <c r="DN166" s="72" t="str">
        <f t="shared" si="2600"/>
        <v/>
      </c>
      <c r="DO166" s="72" t="str">
        <f t="shared" si="2600"/>
        <v/>
      </c>
      <c r="DP166" s="72" t="str">
        <f t="shared" si="2600"/>
        <v/>
      </c>
      <c r="DQ166" s="72" t="str">
        <f t="shared" si="2600"/>
        <v/>
      </c>
      <c r="DR166" s="72" t="str">
        <f t="shared" si="2600"/>
        <v/>
      </c>
      <c r="DS166" s="72" t="str">
        <f t="shared" si="2600"/>
        <v/>
      </c>
      <c r="DT166" s="72" t="str">
        <f t="shared" si="2600"/>
        <v/>
      </c>
      <c r="DU166" s="72" t="str">
        <f t="shared" si="2600"/>
        <v/>
      </c>
      <c r="DV166" s="72" t="str">
        <f t="shared" si="2600"/>
        <v/>
      </c>
      <c r="DW166" s="72" t="str">
        <f t="shared" si="2600"/>
        <v/>
      </c>
      <c r="DX166" s="72" t="str">
        <f t="shared" si="2600"/>
        <v/>
      </c>
      <c r="DY166" s="72" t="str">
        <f t="shared" si="2600"/>
        <v/>
      </c>
      <c r="DZ166" s="72" t="str">
        <f t="shared" si="2600"/>
        <v/>
      </c>
      <c r="EA166" s="72" t="str">
        <f t="shared" si="2600"/>
        <v/>
      </c>
      <c r="EB166" s="72" t="str">
        <f t="shared" si="2600"/>
        <v/>
      </c>
      <c r="EC166" s="72" t="str">
        <f t="shared" si="2600"/>
        <v/>
      </c>
      <c r="ED166" s="72" t="str">
        <f t="shared" si="2600"/>
        <v/>
      </c>
      <c r="EE166" s="72" t="str">
        <f t="shared" si="2600"/>
        <v/>
      </c>
      <c r="EF166" s="72" t="str">
        <f t="shared" si="2600"/>
        <v/>
      </c>
      <c r="EG166" s="72" t="str">
        <f t="shared" si="2600"/>
        <v/>
      </c>
      <c r="EH166" s="72" t="str">
        <f t="shared" si="2600"/>
        <v/>
      </c>
      <c r="EI166" s="72" t="str">
        <f t="shared" si="2600"/>
        <v/>
      </c>
      <c r="EJ166" s="72" t="str">
        <f t="shared" si="2600"/>
        <v/>
      </c>
      <c r="EK166" s="72" t="str">
        <f t="shared" si="2600"/>
        <v/>
      </c>
      <c r="EL166" s="72" t="str">
        <f t="shared" si="2600"/>
        <v/>
      </c>
      <c r="EM166" s="72" t="str">
        <f t="shared" si="2600"/>
        <v/>
      </c>
      <c r="EN166" s="72" t="str">
        <f t="shared" si="2600"/>
        <v/>
      </c>
      <c r="EO166" s="72" t="str">
        <f t="shared" si="2600"/>
        <v/>
      </c>
      <c r="EP166" s="72" t="str">
        <f t="shared" si="2600"/>
        <v/>
      </c>
      <c r="EQ166" s="72" t="str">
        <f t="shared" si="2600"/>
        <v/>
      </c>
      <c r="ER166" s="72" t="str">
        <f t="shared" si="2600"/>
        <v/>
      </c>
      <c r="ES166" s="72" t="str">
        <f t="shared" si="2600"/>
        <v/>
      </c>
      <c r="ET166" s="72" t="str">
        <f t="shared" si="2600"/>
        <v/>
      </c>
      <c r="EU166" s="72" t="str">
        <f t="shared" si="2600"/>
        <v/>
      </c>
      <c r="EV166" s="72" t="str">
        <f t="shared" si="2600"/>
        <v/>
      </c>
      <c r="EW166" s="72" t="str">
        <f t="shared" si="2600"/>
        <v/>
      </c>
      <c r="EX166" s="72" t="str">
        <f t="shared" si="2600"/>
        <v/>
      </c>
      <c r="EY166" s="72" t="str">
        <f t="shared" si="2600"/>
        <v/>
      </c>
      <c r="EZ166" s="72" t="str">
        <f t="shared" si="2600"/>
        <v/>
      </c>
      <c r="FA166" s="72" t="str">
        <f t="shared" si="2600"/>
        <v/>
      </c>
      <c r="FB166" s="72" t="str">
        <f t="shared" si="2600"/>
        <v/>
      </c>
      <c r="FC166" s="72" t="str">
        <f t="shared" si="2600"/>
        <v/>
      </c>
      <c r="FD166" s="72" t="str">
        <f t="shared" si="2600"/>
        <v/>
      </c>
      <c r="FE166" s="72" t="str">
        <f t="shared" si="2600"/>
        <v/>
      </c>
      <c r="FF166" s="72" t="str">
        <f t="shared" si="2600"/>
        <v/>
      </c>
      <c r="FG166" s="72" t="str">
        <f t="shared" si="2600"/>
        <v/>
      </c>
      <c r="FH166" s="72" t="str">
        <f t="shared" si="2600"/>
        <v/>
      </c>
      <c r="FI166" s="72" t="str">
        <f t="shared" si="2600"/>
        <v/>
      </c>
      <c r="FJ166" s="72" t="str">
        <f t="shared" si="2600"/>
        <v/>
      </c>
      <c r="FK166" s="72" t="str">
        <f t="shared" si="2600"/>
        <v/>
      </c>
      <c r="FL166" s="72" t="str">
        <f t="shared" si="2600"/>
        <v/>
      </c>
      <c r="FM166" s="72" t="str">
        <f t="shared" si="2600"/>
        <v/>
      </c>
      <c r="FN166" s="72" t="str">
        <f t="shared" ref="FN166:FS166" si="2601">IF(CH166="","","|n"&amp;FN$2&amp;"+"&amp;CH166&amp;FN$1)</f>
        <v/>
      </c>
      <c r="FO166" s="72" t="str">
        <f t="shared" si="2601"/>
        <v/>
      </c>
      <c r="FP166" s="72" t="str">
        <f t="shared" si="2601"/>
        <v/>
      </c>
      <c r="FQ166" s="72" t="str">
        <f t="shared" si="2601"/>
        <v/>
      </c>
      <c r="FR166" s="72" t="str">
        <f t="shared" si="2601"/>
        <v/>
      </c>
      <c r="FS166" s="72" t="str">
        <f t="shared" si="2601"/>
        <v/>
      </c>
    </row>
    <row r="167" spans="1:175" ht="15">
      <c r="A167" s="104"/>
      <c r="B167" s="119" t="s">
        <v>619</v>
      </c>
      <c r="C167" s="71" t="s">
        <v>620</v>
      </c>
      <c r="T167" s="71" t="s">
        <v>586</v>
      </c>
      <c r="U167" s="88" t="s">
        <v>621</v>
      </c>
      <c r="CN167" s="70" t="str">
        <f t="shared" si="2291"/>
        <v>InitUnitState('IN29',,,,,,,,,,)</v>
      </c>
      <c r="CO167" s="70" t="str">
        <f t="shared" si="2292"/>
        <v>InitUnitNormal('IN29',,,,,,,,,,)</v>
      </c>
      <c r="CP167" s="70" t="str">
        <f t="shared" si="2293"/>
        <v>InitUnitMagic('IN29',,,,,,,,,,)</v>
      </c>
      <c r="CQ167" s="70" t="str">
        <f t="shared" si="2294"/>
        <v>InitUnitAdd('IN29',,,,,,,,,,)</v>
      </c>
      <c r="CR167" s="70" t="str">
        <f t="shared" si="2595"/>
        <v>InitEquipData('IN29',,"",,,,,'','','','','','',"ReplaceableTextures\\CommandButtons\\BTN009.blp")</v>
      </c>
      <c r="CU167" s="98" t="str">
        <f t="shared" si="2440"/>
        <v>|n</v>
      </c>
      <c r="CV167" s="71" t="str">
        <f t="shared" si="2441"/>
        <v>使用后获得|Cffffc926随机类型技能附魔石|r</v>
      </c>
      <c r="CW167" s="61"/>
      <c r="CX167" s="61"/>
      <c r="CY167" s="61"/>
      <c r="CZ167" s="61"/>
      <c r="DA167" s="61"/>
      <c r="DB167" s="72" t="str">
        <f t="shared" ref="DB167:FM168" si="2602">IF(V167="","","|n"&amp;DB$2&amp;"+"&amp;V167&amp;DB$1)</f>
        <v/>
      </c>
      <c r="DC167" s="72" t="str">
        <f t="shared" si="2602"/>
        <v/>
      </c>
      <c r="DD167" s="72" t="str">
        <f t="shared" si="2602"/>
        <v/>
      </c>
      <c r="DE167" s="72" t="str">
        <f t="shared" si="2602"/>
        <v/>
      </c>
      <c r="DF167" s="72" t="str">
        <f t="shared" si="2602"/>
        <v/>
      </c>
      <c r="DG167" s="72" t="str">
        <f t="shared" si="2602"/>
        <v/>
      </c>
      <c r="DH167" s="72" t="str">
        <f t="shared" si="2602"/>
        <v/>
      </c>
      <c r="DI167" s="72" t="str">
        <f t="shared" si="2602"/>
        <v/>
      </c>
      <c r="DJ167" s="72" t="str">
        <f t="shared" si="2602"/>
        <v/>
      </c>
      <c r="DK167" s="72" t="str">
        <f t="shared" si="2602"/>
        <v/>
      </c>
      <c r="DL167" s="72" t="str">
        <f t="shared" si="2602"/>
        <v/>
      </c>
      <c r="DM167" s="72" t="str">
        <f t="shared" si="2602"/>
        <v/>
      </c>
      <c r="DN167" s="72" t="str">
        <f t="shared" si="2602"/>
        <v/>
      </c>
      <c r="DO167" s="72" t="str">
        <f t="shared" si="2602"/>
        <v/>
      </c>
      <c r="DP167" s="72" t="str">
        <f t="shared" si="2602"/>
        <v/>
      </c>
      <c r="DQ167" s="72" t="str">
        <f t="shared" si="2602"/>
        <v/>
      </c>
      <c r="DR167" s="72" t="str">
        <f t="shared" si="2602"/>
        <v/>
      </c>
      <c r="DS167" s="72" t="str">
        <f t="shared" si="2602"/>
        <v/>
      </c>
      <c r="DT167" s="72" t="str">
        <f t="shared" si="2602"/>
        <v/>
      </c>
      <c r="DU167" s="72" t="str">
        <f t="shared" si="2602"/>
        <v/>
      </c>
      <c r="DV167" s="72" t="str">
        <f t="shared" si="2602"/>
        <v/>
      </c>
      <c r="DW167" s="72" t="str">
        <f t="shared" si="2602"/>
        <v/>
      </c>
      <c r="DX167" s="72" t="str">
        <f t="shared" si="2602"/>
        <v/>
      </c>
      <c r="DY167" s="72" t="str">
        <f t="shared" si="2602"/>
        <v/>
      </c>
      <c r="DZ167" s="72" t="str">
        <f t="shared" si="2602"/>
        <v/>
      </c>
      <c r="EA167" s="72" t="str">
        <f t="shared" si="2602"/>
        <v/>
      </c>
      <c r="EB167" s="72" t="str">
        <f t="shared" si="2602"/>
        <v/>
      </c>
      <c r="EC167" s="72" t="str">
        <f t="shared" si="2602"/>
        <v/>
      </c>
      <c r="ED167" s="72" t="str">
        <f t="shared" si="2602"/>
        <v/>
      </c>
      <c r="EE167" s="72" t="str">
        <f t="shared" si="2602"/>
        <v/>
      </c>
      <c r="EF167" s="72" t="str">
        <f t="shared" si="2602"/>
        <v/>
      </c>
      <c r="EG167" s="72" t="str">
        <f t="shared" si="2602"/>
        <v/>
      </c>
      <c r="EH167" s="72" t="str">
        <f t="shared" si="2602"/>
        <v/>
      </c>
      <c r="EI167" s="72" t="str">
        <f t="shared" si="2602"/>
        <v/>
      </c>
      <c r="EJ167" s="72" t="str">
        <f t="shared" si="2602"/>
        <v/>
      </c>
      <c r="EK167" s="72" t="str">
        <f t="shared" si="2602"/>
        <v/>
      </c>
      <c r="EL167" s="72" t="str">
        <f t="shared" si="2602"/>
        <v/>
      </c>
      <c r="EM167" s="72" t="str">
        <f t="shared" si="2602"/>
        <v/>
      </c>
      <c r="EN167" s="72" t="str">
        <f t="shared" si="2602"/>
        <v/>
      </c>
      <c r="EO167" s="72" t="str">
        <f t="shared" si="2602"/>
        <v/>
      </c>
      <c r="EP167" s="72" t="str">
        <f t="shared" si="2602"/>
        <v/>
      </c>
      <c r="EQ167" s="72" t="str">
        <f t="shared" si="2602"/>
        <v/>
      </c>
      <c r="ER167" s="72" t="str">
        <f t="shared" si="2602"/>
        <v/>
      </c>
      <c r="ES167" s="72" t="str">
        <f t="shared" si="2602"/>
        <v/>
      </c>
      <c r="ET167" s="72" t="str">
        <f t="shared" si="2602"/>
        <v/>
      </c>
      <c r="EU167" s="72" t="str">
        <f t="shared" si="2602"/>
        <v/>
      </c>
      <c r="EV167" s="72" t="str">
        <f t="shared" si="2602"/>
        <v/>
      </c>
      <c r="EW167" s="72" t="str">
        <f t="shared" si="2602"/>
        <v/>
      </c>
      <c r="EX167" s="72" t="str">
        <f t="shared" si="2602"/>
        <v/>
      </c>
      <c r="EY167" s="72" t="str">
        <f t="shared" si="2602"/>
        <v/>
      </c>
      <c r="EZ167" s="72" t="str">
        <f t="shared" si="2602"/>
        <v/>
      </c>
      <c r="FA167" s="72" t="str">
        <f t="shared" si="2602"/>
        <v/>
      </c>
      <c r="FB167" s="72" t="str">
        <f t="shared" si="2602"/>
        <v/>
      </c>
      <c r="FC167" s="72" t="str">
        <f t="shared" si="2602"/>
        <v/>
      </c>
      <c r="FD167" s="72" t="str">
        <f t="shared" si="2602"/>
        <v/>
      </c>
      <c r="FE167" s="72" t="str">
        <f t="shared" si="2602"/>
        <v/>
      </c>
      <c r="FF167" s="72" t="str">
        <f t="shared" si="2602"/>
        <v/>
      </c>
      <c r="FG167" s="72" t="str">
        <f t="shared" si="2602"/>
        <v/>
      </c>
      <c r="FH167" s="72" t="str">
        <f t="shared" si="2602"/>
        <v/>
      </c>
      <c r="FI167" s="72" t="str">
        <f t="shared" si="2602"/>
        <v/>
      </c>
      <c r="FJ167" s="72" t="str">
        <f t="shared" si="2602"/>
        <v/>
      </c>
      <c r="FK167" s="72" t="str">
        <f t="shared" si="2602"/>
        <v/>
      </c>
      <c r="FL167" s="72" t="str">
        <f t="shared" si="2602"/>
        <v/>
      </c>
      <c r="FM167" s="72" t="str">
        <f t="shared" si="2602"/>
        <v/>
      </c>
      <c r="FN167" s="72" t="str">
        <f t="shared" ref="FN167:FS168" si="2603">IF(CH167="","","|n"&amp;FN$2&amp;"+"&amp;CH167&amp;FN$1)</f>
        <v/>
      </c>
      <c r="FO167" s="72" t="str">
        <f t="shared" si="2603"/>
        <v/>
      </c>
      <c r="FP167" s="72" t="str">
        <f t="shared" si="2603"/>
        <v/>
      </c>
      <c r="FQ167" s="72" t="str">
        <f t="shared" si="2603"/>
        <v/>
      </c>
      <c r="FR167" s="72" t="str">
        <f t="shared" si="2603"/>
        <v/>
      </c>
      <c r="FS167" s="72" t="str">
        <f t="shared" si="2603"/>
        <v/>
      </c>
    </row>
    <row r="168" spans="1:175" ht="15">
      <c r="A168" s="104"/>
      <c r="B168" s="119" t="s">
        <v>622</v>
      </c>
      <c r="C168" s="71" t="s">
        <v>623</v>
      </c>
      <c r="T168" s="71" t="s">
        <v>624</v>
      </c>
      <c r="U168" s="88" t="s">
        <v>625</v>
      </c>
      <c r="CN168" s="70" t="str">
        <f t="shared" ref="CN168:CN178" si="2604">"InitUnitState('"&amp;B168&amp;"',"&amp;V168&amp;","&amp;W168&amp;","&amp;X168&amp;","&amp;Y168&amp;","&amp;Z168&amp;","&amp;AA168&amp;","&amp;AB168&amp;","&amp;AC168&amp;","&amp;AD168&amp;","&amp;AE168&amp;")"</f>
        <v>InitUnitState('IN30',,,,,,,,,,)</v>
      </c>
      <c r="CO168" s="70" t="str">
        <f t="shared" ref="CO168:CO178" si="2605">"InitUnitNormal('"&amp;B168&amp;"',"&amp;AF168&amp;","&amp;AG168&amp;","&amp;AH168&amp;","&amp;AI168&amp;","&amp;AJ168&amp;","&amp;AK168&amp;","&amp;AL168&amp;","&amp;AM168&amp;","&amp;AN168&amp;","&amp;AO168&amp;")"</f>
        <v>InitUnitNormal('IN30',,,,,,,,,,)</v>
      </c>
      <c r="CP168" s="70" t="str">
        <f t="shared" ref="CP168:CP178" si="2606">"InitUnitMagic('"&amp;B168&amp;"',"&amp;AP168&amp;","&amp;AQ168&amp;","&amp;AR168&amp;","&amp;AS168&amp;","&amp;AT168&amp;","&amp;AU168&amp;","&amp;AV168&amp;","&amp;AW168&amp;","&amp;BI168&amp;","&amp;BJ168&amp;")"</f>
        <v>InitUnitMagic('IN30',,,,,,,,,,)</v>
      </c>
      <c r="CQ168" s="70" t="str">
        <f t="shared" ref="CQ168:CQ178" si="2607">"InitUnitAdd('"&amp;B168&amp;"',"&amp;BK168&amp;","&amp;BL168&amp;","&amp;BM168&amp;","&amp;BN168&amp;","&amp;BO168&amp;","&amp;BP168&amp;","&amp;BQ168&amp;","&amp;BR168&amp;","&amp;BS168&amp;","&amp;BT168&amp;")"</f>
        <v>InitUnitAdd('IN30',,,,,,,,,,)</v>
      </c>
      <c r="CR168" s="70" t="str">
        <f t="shared" si="2595"/>
        <v>InitEquipData('IN30',,"",,,,,'','','','','','',"ReplaceableTextures\\CommandButtons\\BTN010.blp")</v>
      </c>
      <c r="CU168" s="98" t="str">
        <f t="shared" ref="CU168:CU170" si="2608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</v>
      </c>
      <c r="CV168" s="71" t="str">
        <f t="shared" ref="CV168:CV170" si="2609">T168</f>
        <v>开启后获得|Cff00bfff随机奖励|r。</v>
      </c>
      <c r="CW168" s="61"/>
      <c r="CX168" s="61"/>
      <c r="CY168" s="61"/>
      <c r="CZ168" s="61"/>
      <c r="DA168" s="61"/>
      <c r="DB168" s="72" t="str">
        <f t="shared" si="2602"/>
        <v/>
      </c>
      <c r="DC168" s="72" t="str">
        <f t="shared" si="2602"/>
        <v/>
      </c>
      <c r="DD168" s="72" t="str">
        <f t="shared" si="2602"/>
        <v/>
      </c>
      <c r="DE168" s="72" t="str">
        <f t="shared" si="2602"/>
        <v/>
      </c>
      <c r="DF168" s="72" t="str">
        <f t="shared" si="2602"/>
        <v/>
      </c>
      <c r="DG168" s="72" t="str">
        <f t="shared" si="2602"/>
        <v/>
      </c>
      <c r="DH168" s="72" t="str">
        <f t="shared" si="2602"/>
        <v/>
      </c>
      <c r="DI168" s="72" t="str">
        <f t="shared" si="2602"/>
        <v/>
      </c>
      <c r="DJ168" s="72" t="str">
        <f t="shared" si="2602"/>
        <v/>
      </c>
      <c r="DK168" s="72" t="str">
        <f t="shared" si="2602"/>
        <v/>
      </c>
      <c r="DL168" s="72" t="str">
        <f t="shared" si="2602"/>
        <v/>
      </c>
      <c r="DM168" s="72" t="str">
        <f t="shared" si="2602"/>
        <v/>
      </c>
      <c r="DN168" s="72" t="str">
        <f t="shared" si="2602"/>
        <v/>
      </c>
      <c r="DO168" s="72" t="str">
        <f t="shared" si="2602"/>
        <v/>
      </c>
      <c r="DP168" s="72" t="str">
        <f t="shared" si="2602"/>
        <v/>
      </c>
      <c r="DQ168" s="72" t="str">
        <f t="shared" si="2602"/>
        <v/>
      </c>
      <c r="DR168" s="72" t="str">
        <f t="shared" si="2602"/>
        <v/>
      </c>
      <c r="DS168" s="72" t="str">
        <f t="shared" si="2602"/>
        <v/>
      </c>
      <c r="DT168" s="72" t="str">
        <f t="shared" si="2602"/>
        <v/>
      </c>
      <c r="DU168" s="72" t="str">
        <f t="shared" si="2602"/>
        <v/>
      </c>
      <c r="DV168" s="72" t="str">
        <f t="shared" si="2602"/>
        <v/>
      </c>
      <c r="DW168" s="72" t="str">
        <f t="shared" si="2602"/>
        <v/>
      </c>
      <c r="DX168" s="72" t="str">
        <f t="shared" si="2602"/>
        <v/>
      </c>
      <c r="DY168" s="72" t="str">
        <f t="shared" si="2602"/>
        <v/>
      </c>
      <c r="DZ168" s="72" t="str">
        <f t="shared" si="2602"/>
        <v/>
      </c>
      <c r="EA168" s="72" t="str">
        <f t="shared" si="2602"/>
        <v/>
      </c>
      <c r="EB168" s="72" t="str">
        <f t="shared" si="2602"/>
        <v/>
      </c>
      <c r="EC168" s="72" t="str">
        <f t="shared" si="2602"/>
        <v/>
      </c>
      <c r="ED168" s="72" t="str">
        <f t="shared" si="2602"/>
        <v/>
      </c>
      <c r="EE168" s="72" t="str">
        <f t="shared" si="2602"/>
        <v/>
      </c>
      <c r="EF168" s="72" t="str">
        <f t="shared" si="2602"/>
        <v/>
      </c>
      <c r="EG168" s="72" t="str">
        <f t="shared" si="2602"/>
        <v/>
      </c>
      <c r="EH168" s="72" t="str">
        <f t="shared" si="2602"/>
        <v/>
      </c>
      <c r="EI168" s="72" t="str">
        <f t="shared" si="2602"/>
        <v/>
      </c>
      <c r="EJ168" s="72" t="str">
        <f t="shared" si="2602"/>
        <v/>
      </c>
      <c r="EK168" s="72" t="str">
        <f t="shared" si="2602"/>
        <v/>
      </c>
      <c r="EL168" s="72" t="str">
        <f t="shared" si="2602"/>
        <v/>
      </c>
      <c r="EM168" s="72" t="str">
        <f t="shared" si="2602"/>
        <v/>
      </c>
      <c r="EN168" s="72" t="str">
        <f t="shared" si="2602"/>
        <v/>
      </c>
      <c r="EO168" s="72" t="str">
        <f t="shared" si="2602"/>
        <v/>
      </c>
      <c r="EP168" s="72" t="str">
        <f t="shared" si="2602"/>
        <v/>
      </c>
      <c r="EQ168" s="72" t="str">
        <f t="shared" si="2602"/>
        <v/>
      </c>
      <c r="ER168" s="72" t="str">
        <f t="shared" si="2602"/>
        <v/>
      </c>
      <c r="ES168" s="72" t="str">
        <f t="shared" si="2602"/>
        <v/>
      </c>
      <c r="ET168" s="72" t="str">
        <f t="shared" si="2602"/>
        <v/>
      </c>
      <c r="EU168" s="72" t="str">
        <f t="shared" si="2602"/>
        <v/>
      </c>
      <c r="EV168" s="72" t="str">
        <f t="shared" si="2602"/>
        <v/>
      </c>
      <c r="EW168" s="72" t="str">
        <f t="shared" si="2602"/>
        <v/>
      </c>
      <c r="EX168" s="72" t="str">
        <f t="shared" si="2602"/>
        <v/>
      </c>
      <c r="EY168" s="72" t="str">
        <f t="shared" si="2602"/>
        <v/>
      </c>
      <c r="EZ168" s="72" t="str">
        <f t="shared" si="2602"/>
        <v/>
      </c>
      <c r="FA168" s="72" t="str">
        <f t="shared" si="2602"/>
        <v/>
      </c>
      <c r="FB168" s="72" t="str">
        <f t="shared" si="2602"/>
        <v/>
      </c>
      <c r="FC168" s="72" t="str">
        <f t="shared" si="2602"/>
        <v/>
      </c>
      <c r="FD168" s="72" t="str">
        <f t="shared" si="2602"/>
        <v/>
      </c>
      <c r="FE168" s="72" t="str">
        <f t="shared" si="2602"/>
        <v/>
      </c>
      <c r="FF168" s="72" t="str">
        <f t="shared" si="2602"/>
        <v/>
      </c>
      <c r="FG168" s="72" t="str">
        <f t="shared" si="2602"/>
        <v/>
      </c>
      <c r="FH168" s="72" t="str">
        <f t="shared" si="2602"/>
        <v/>
      </c>
      <c r="FI168" s="72" t="str">
        <f t="shared" si="2602"/>
        <v/>
      </c>
      <c r="FJ168" s="72" t="str">
        <f t="shared" si="2602"/>
        <v/>
      </c>
      <c r="FK168" s="72" t="str">
        <f t="shared" si="2602"/>
        <v/>
      </c>
      <c r="FL168" s="72" t="str">
        <f t="shared" si="2602"/>
        <v/>
      </c>
      <c r="FM168" s="72" t="str">
        <f t="shared" si="2602"/>
        <v/>
      </c>
      <c r="FN168" s="72" t="str">
        <f t="shared" si="2603"/>
        <v/>
      </c>
      <c r="FO168" s="72" t="str">
        <f t="shared" si="2603"/>
        <v/>
      </c>
      <c r="FP168" s="72" t="str">
        <f t="shared" si="2603"/>
        <v/>
      </c>
      <c r="FQ168" s="72" t="str">
        <f t="shared" si="2603"/>
        <v/>
      </c>
      <c r="FR168" s="72" t="str">
        <f t="shared" si="2603"/>
        <v/>
      </c>
      <c r="FS168" s="72" t="str">
        <f t="shared" si="2603"/>
        <v/>
      </c>
    </row>
    <row r="169" spans="1:175" ht="15">
      <c r="A169" s="104"/>
      <c r="B169" s="119" t="s">
        <v>626</v>
      </c>
      <c r="C169" s="71" t="s">
        <v>627</v>
      </c>
      <c r="T169" s="71" t="s">
        <v>628</v>
      </c>
      <c r="U169" s="88" t="s">
        <v>629</v>
      </c>
      <c r="CN169" s="70" t="str">
        <f t="shared" si="2604"/>
        <v>InitUnitState('IN31',,,,,,,,,,)</v>
      </c>
      <c r="CO169" s="70" t="str">
        <f t="shared" si="2605"/>
        <v>InitUnitNormal('IN31',,,,,,,,,,)</v>
      </c>
      <c r="CP169" s="70" t="str">
        <f t="shared" si="2606"/>
        <v>InitUnitMagic('IN31',,,,,,,,,,)</v>
      </c>
      <c r="CQ169" s="70" t="str">
        <f t="shared" si="2607"/>
        <v>InitUnitAdd('IN31',,,,,,,,,,)</v>
      </c>
      <c r="CR169" s="70" t="str">
        <f t="shared" si="2595"/>
        <v>InitEquipData('IN31',,"",,,,,'','','','','','',"ReplaceableTextures\\CommandButtons\\BTN011.blp")</v>
      </c>
      <c r="CU169" s="98" t="str">
        <f t="shared" si="2608"/>
        <v>|n</v>
      </c>
      <c r="CV169" s="71" t="str">
        <f t="shared" si="2609"/>
        <v>开启后获得|Cffffd24d随机奖励|r。</v>
      </c>
      <c r="CW169" s="61"/>
      <c r="CX169" s="61"/>
      <c r="CY169" s="61"/>
      <c r="CZ169" s="61"/>
      <c r="DA169" s="61"/>
      <c r="DB169" s="72" t="str">
        <f t="shared" ref="DB169:DB170" si="2610">IF(V169="","","|n"&amp;DB$2&amp;"+"&amp;V169&amp;DB$1)</f>
        <v/>
      </c>
      <c r="DC169" s="72" t="str">
        <f t="shared" ref="DC169:DC170" si="2611">IF(W169="","","|n"&amp;DC$2&amp;"+"&amp;W169&amp;DC$1)</f>
        <v/>
      </c>
      <c r="DD169" s="72" t="str">
        <f t="shared" ref="DD169:DD170" si="2612">IF(X169="","","|n"&amp;DD$2&amp;"+"&amp;X169&amp;DD$1)</f>
        <v/>
      </c>
      <c r="DE169" s="72" t="str">
        <f t="shared" ref="DE169:DE170" si="2613">IF(Y169="","","|n"&amp;DE$2&amp;"+"&amp;Y169&amp;DE$1)</f>
        <v/>
      </c>
      <c r="DF169" s="72" t="str">
        <f t="shared" ref="DF169:DF170" si="2614">IF(Z169="","","|n"&amp;DF$2&amp;"+"&amp;Z169&amp;DF$1)</f>
        <v/>
      </c>
      <c r="DG169" s="72" t="str">
        <f t="shared" ref="DG169:DG170" si="2615">IF(AA169="","","|n"&amp;DG$2&amp;"+"&amp;AA169&amp;DG$1)</f>
        <v/>
      </c>
      <c r="DH169" s="72" t="str">
        <f t="shared" ref="DH169:DH170" si="2616">IF(AB169="","","|n"&amp;DH$2&amp;"+"&amp;AB169&amp;DH$1)</f>
        <v/>
      </c>
      <c r="DI169" s="72" t="str">
        <f t="shared" ref="DI169:DI170" si="2617">IF(AC169="","","|n"&amp;DI$2&amp;"+"&amp;AC169&amp;DI$1)</f>
        <v/>
      </c>
      <c r="DJ169" s="72" t="str">
        <f t="shared" ref="DJ169:DJ170" si="2618">IF(AD169="","","|n"&amp;DJ$2&amp;"+"&amp;AD169&amp;DJ$1)</f>
        <v/>
      </c>
      <c r="DK169" s="72" t="str">
        <f t="shared" ref="DK169:DK170" si="2619">IF(AE169="","","|n"&amp;DK$2&amp;"+"&amp;AE169&amp;DK$1)</f>
        <v/>
      </c>
      <c r="DL169" s="72" t="str">
        <f t="shared" ref="DL169:DL170" si="2620">IF(AF169="","","|n"&amp;DL$2&amp;"+"&amp;AF169&amp;DL$1)</f>
        <v/>
      </c>
      <c r="DM169" s="72" t="str">
        <f t="shared" ref="DM169:DM170" si="2621">IF(AG169="","","|n"&amp;DM$2&amp;"+"&amp;AG169&amp;DM$1)</f>
        <v/>
      </c>
      <c r="DN169" s="72" t="str">
        <f t="shared" ref="DN169:DN170" si="2622">IF(AH169="","","|n"&amp;DN$2&amp;"+"&amp;AH169&amp;DN$1)</f>
        <v/>
      </c>
      <c r="DO169" s="72" t="str">
        <f t="shared" ref="DO169:DO170" si="2623">IF(AI169="","","|n"&amp;DO$2&amp;"+"&amp;AI169&amp;DO$1)</f>
        <v/>
      </c>
      <c r="DP169" s="72" t="str">
        <f t="shared" ref="DP169:DP170" si="2624">IF(AJ169="","","|n"&amp;DP$2&amp;"+"&amp;AJ169&amp;DP$1)</f>
        <v/>
      </c>
      <c r="DQ169" s="72" t="str">
        <f t="shared" ref="DQ169:DQ170" si="2625">IF(AK169="","","|n"&amp;DQ$2&amp;"+"&amp;AK169&amp;DQ$1)</f>
        <v/>
      </c>
      <c r="DR169" s="72" t="str">
        <f t="shared" ref="DR169:DR170" si="2626">IF(AL169="","","|n"&amp;DR$2&amp;"+"&amp;AL169&amp;DR$1)</f>
        <v/>
      </c>
      <c r="DS169" s="72" t="str">
        <f t="shared" ref="DS169:DS170" si="2627">IF(AM169="","","|n"&amp;DS$2&amp;"+"&amp;AM169&amp;DS$1)</f>
        <v/>
      </c>
      <c r="DT169" s="72" t="str">
        <f t="shared" ref="DT169:DT170" si="2628">IF(AN169="","","|n"&amp;DT$2&amp;"+"&amp;AN169&amp;DT$1)</f>
        <v/>
      </c>
      <c r="DU169" s="72" t="str">
        <f t="shared" ref="DU169:DU170" si="2629">IF(AO169="","","|n"&amp;DU$2&amp;"+"&amp;AO169&amp;DU$1)</f>
        <v/>
      </c>
      <c r="DV169" s="72" t="str">
        <f t="shared" ref="DV169:DV170" si="2630">IF(AP169="","","|n"&amp;DV$2&amp;"+"&amp;AP169&amp;DV$1)</f>
        <v/>
      </c>
      <c r="DW169" s="72" t="str">
        <f t="shared" ref="DW169:DW170" si="2631">IF(AQ169="","","|n"&amp;DW$2&amp;"+"&amp;AQ169&amp;DW$1)</f>
        <v/>
      </c>
      <c r="DX169" s="72" t="str">
        <f t="shared" ref="DX169:DX170" si="2632">IF(AR169="","","|n"&amp;DX$2&amp;"+"&amp;AR169&amp;DX$1)</f>
        <v/>
      </c>
      <c r="DY169" s="72" t="str">
        <f t="shared" ref="DY169:DY170" si="2633">IF(AS169="","","|n"&amp;DY$2&amp;"+"&amp;AS169&amp;DY$1)</f>
        <v/>
      </c>
      <c r="DZ169" s="72" t="str">
        <f t="shared" ref="DZ169:DZ170" si="2634">IF(AT169="","","|n"&amp;DZ$2&amp;"+"&amp;AT169&amp;DZ$1)</f>
        <v/>
      </c>
      <c r="EA169" s="72" t="str">
        <f t="shared" ref="EA169:EA170" si="2635">IF(AU169="","","|n"&amp;EA$2&amp;"+"&amp;AU169&amp;EA$1)</f>
        <v/>
      </c>
      <c r="EB169" s="72" t="str">
        <f t="shared" ref="EB169:EB170" si="2636">IF(AV169="","","|n"&amp;EB$2&amp;"+"&amp;AV169&amp;EB$1)</f>
        <v/>
      </c>
      <c r="EC169" s="72" t="str">
        <f t="shared" ref="EC169:EC170" si="2637">IF(AW169="","","|n"&amp;EC$2&amp;"+"&amp;AW169&amp;EC$1)</f>
        <v/>
      </c>
      <c r="ED169" s="72" t="str">
        <f t="shared" ref="ED169:ED170" si="2638">IF(AX169="","","|n"&amp;ED$2&amp;"+"&amp;AX169&amp;ED$1)</f>
        <v/>
      </c>
      <c r="EE169" s="72" t="str">
        <f t="shared" ref="EE169:EE170" si="2639">IF(AY169="","","|n"&amp;EE$2&amp;"+"&amp;AY169&amp;EE$1)</f>
        <v/>
      </c>
      <c r="EF169" s="72" t="str">
        <f t="shared" ref="EF169:EF170" si="2640">IF(AZ169="","","|n"&amp;EF$2&amp;"+"&amp;AZ169&amp;EF$1)</f>
        <v/>
      </c>
      <c r="EG169" s="72" t="str">
        <f t="shared" ref="EG169:EG170" si="2641">IF(BA169="","","|n"&amp;EG$2&amp;"+"&amp;BA169&amp;EG$1)</f>
        <v/>
      </c>
      <c r="EH169" s="72" t="str">
        <f t="shared" ref="EH169:EH170" si="2642">IF(BB169="","","|n"&amp;EH$2&amp;"+"&amp;BB169&amp;EH$1)</f>
        <v/>
      </c>
      <c r="EI169" s="72" t="str">
        <f t="shared" ref="EI169:EI170" si="2643">IF(BC169="","","|n"&amp;EI$2&amp;"+"&amp;BC169&amp;EI$1)</f>
        <v/>
      </c>
      <c r="EJ169" s="72" t="str">
        <f t="shared" ref="EJ169:EJ170" si="2644">IF(BD169="","","|n"&amp;EJ$2&amp;"+"&amp;BD169&amp;EJ$1)</f>
        <v/>
      </c>
      <c r="EK169" s="72" t="str">
        <f t="shared" ref="EK169:EK170" si="2645">IF(BE169="","","|n"&amp;EK$2&amp;"+"&amp;BE169&amp;EK$1)</f>
        <v/>
      </c>
      <c r="EL169" s="72" t="str">
        <f t="shared" ref="EL169:EL170" si="2646">IF(BF169="","","|n"&amp;EL$2&amp;"+"&amp;BF169&amp;EL$1)</f>
        <v/>
      </c>
      <c r="EM169" s="72" t="str">
        <f t="shared" ref="EM169:EM170" si="2647">IF(BG169="","","|n"&amp;EM$2&amp;"+"&amp;BG169&amp;EM$1)</f>
        <v/>
      </c>
      <c r="EN169" s="72" t="str">
        <f t="shared" ref="EN169:EN170" si="2648">IF(BH169="","","|n"&amp;EN$2&amp;"+"&amp;BH169&amp;EN$1)</f>
        <v/>
      </c>
      <c r="EO169" s="72" t="str">
        <f t="shared" ref="EO169:EO170" si="2649">IF(BI169="","","|n"&amp;EO$2&amp;"+"&amp;BI169&amp;EO$1)</f>
        <v/>
      </c>
      <c r="EP169" s="72" t="str">
        <f t="shared" ref="EP169:EP170" si="2650">IF(BJ169="","","|n"&amp;EP$2&amp;"+"&amp;BJ169&amp;EP$1)</f>
        <v/>
      </c>
      <c r="EQ169" s="72" t="str">
        <f t="shared" ref="EQ169:EQ170" si="2651">IF(BK169="","","|n"&amp;EQ$2&amp;"+"&amp;BK169&amp;EQ$1)</f>
        <v/>
      </c>
      <c r="ER169" s="72" t="str">
        <f t="shared" ref="ER169:ER170" si="2652">IF(BL169="","","|n"&amp;ER$2&amp;"+"&amp;BL169&amp;ER$1)</f>
        <v/>
      </c>
      <c r="ES169" s="72" t="str">
        <f t="shared" ref="ES169:ES170" si="2653">IF(BM169="","","|n"&amp;ES$2&amp;"+"&amp;BM169&amp;ES$1)</f>
        <v/>
      </c>
      <c r="ET169" s="72" t="str">
        <f t="shared" ref="ET169:ET170" si="2654">IF(BN169="","","|n"&amp;ET$2&amp;"+"&amp;BN169&amp;ET$1)</f>
        <v/>
      </c>
      <c r="EU169" s="72" t="str">
        <f t="shared" ref="EU169:EU170" si="2655">IF(BO169="","","|n"&amp;EU$2&amp;"+"&amp;BO169&amp;EU$1)</f>
        <v/>
      </c>
      <c r="EV169" s="72" t="str">
        <f t="shared" ref="EV169:EV170" si="2656">IF(BP169="","","|n"&amp;EV$2&amp;"+"&amp;BP169&amp;EV$1)</f>
        <v/>
      </c>
      <c r="EW169" s="72" t="str">
        <f t="shared" ref="EW169:EW170" si="2657">IF(BQ169="","","|n"&amp;EW$2&amp;"+"&amp;BQ169&amp;EW$1)</f>
        <v/>
      </c>
      <c r="EX169" s="72" t="str">
        <f t="shared" ref="EX169:EX170" si="2658">IF(BR169="","","|n"&amp;EX$2&amp;"+"&amp;BR169&amp;EX$1)</f>
        <v/>
      </c>
      <c r="EY169" s="72" t="str">
        <f t="shared" ref="EY169:EY170" si="2659">IF(BS169="","","|n"&amp;EY$2&amp;"+"&amp;BS169&amp;EY$1)</f>
        <v/>
      </c>
      <c r="EZ169" s="72" t="str">
        <f t="shared" ref="EZ169:EZ170" si="2660">IF(BT169="","","|n"&amp;EZ$2&amp;"+"&amp;BT169&amp;EZ$1)</f>
        <v/>
      </c>
      <c r="FA169" s="72" t="str">
        <f t="shared" ref="FA169:FA170" si="2661">IF(BU169="","","|n"&amp;FA$2&amp;"+"&amp;BU169&amp;FA$1)</f>
        <v/>
      </c>
      <c r="FB169" s="72" t="str">
        <f t="shared" ref="FB169:FB170" si="2662">IF(BV169="","","|n"&amp;FB$2&amp;"+"&amp;BV169&amp;FB$1)</f>
        <v/>
      </c>
      <c r="FC169" s="72" t="str">
        <f t="shared" ref="FC169:FC170" si="2663">IF(BW169="","","|n"&amp;FC$2&amp;"+"&amp;BW169&amp;FC$1)</f>
        <v/>
      </c>
      <c r="FD169" s="72" t="str">
        <f t="shared" ref="FD169:FD170" si="2664">IF(BX169="","","|n"&amp;FD$2&amp;"+"&amp;BX169&amp;FD$1)</f>
        <v/>
      </c>
      <c r="FE169" s="72" t="str">
        <f t="shared" ref="FE169:FE170" si="2665">IF(BY169="","","|n"&amp;FE$2&amp;"+"&amp;BY169&amp;FE$1)</f>
        <v/>
      </c>
      <c r="FF169" s="72" t="str">
        <f t="shared" ref="FF169:FF170" si="2666">IF(BZ169="","","|n"&amp;FF$2&amp;"+"&amp;BZ169&amp;FF$1)</f>
        <v/>
      </c>
      <c r="FG169" s="72" t="str">
        <f t="shared" ref="FG169:FG170" si="2667">IF(CA169="","","|n"&amp;FG$2&amp;"+"&amp;CA169&amp;FG$1)</f>
        <v/>
      </c>
      <c r="FH169" s="72" t="str">
        <f t="shared" ref="FH169:FH170" si="2668">IF(CB169="","","|n"&amp;FH$2&amp;"+"&amp;CB169&amp;FH$1)</f>
        <v/>
      </c>
      <c r="FI169" s="72" t="str">
        <f t="shared" ref="FI169:FI170" si="2669">IF(CC169="","","|n"&amp;FI$2&amp;"+"&amp;CC169&amp;FI$1)</f>
        <v/>
      </c>
      <c r="FJ169" s="72" t="str">
        <f t="shared" ref="FJ169:FJ170" si="2670">IF(CD169="","","|n"&amp;FJ$2&amp;"+"&amp;CD169&amp;FJ$1)</f>
        <v/>
      </c>
      <c r="FK169" s="72" t="str">
        <f t="shared" ref="FK169:FK170" si="2671">IF(CE169="","","|n"&amp;FK$2&amp;"+"&amp;CE169&amp;FK$1)</f>
        <v/>
      </c>
      <c r="FL169" s="72" t="str">
        <f t="shared" ref="FL169:FL170" si="2672">IF(CF169="","","|n"&amp;FL$2&amp;"+"&amp;CF169&amp;FL$1)</f>
        <v/>
      </c>
      <c r="FM169" s="72" t="str">
        <f t="shared" ref="FM169:FM170" si="2673">IF(CG169="","","|n"&amp;FM$2&amp;"+"&amp;CG169&amp;FM$1)</f>
        <v/>
      </c>
      <c r="FN169" s="72" t="str">
        <f t="shared" ref="FN169:FN170" si="2674">IF(CH169="","","|n"&amp;FN$2&amp;"+"&amp;CH169&amp;FN$1)</f>
        <v/>
      </c>
      <c r="FO169" s="72" t="str">
        <f t="shared" ref="FO169:FO170" si="2675">IF(CI169="","","|n"&amp;FO$2&amp;"+"&amp;CI169&amp;FO$1)</f>
        <v/>
      </c>
      <c r="FP169" s="72" t="str">
        <f t="shared" ref="FP169:FP170" si="2676">IF(CJ169="","","|n"&amp;FP$2&amp;"+"&amp;CJ169&amp;FP$1)</f>
        <v/>
      </c>
      <c r="FQ169" s="72" t="str">
        <f t="shared" ref="FQ169:FQ170" si="2677">IF(CK169="","","|n"&amp;FQ$2&amp;"+"&amp;CK169&amp;FQ$1)</f>
        <v/>
      </c>
      <c r="FR169" s="72" t="str">
        <f t="shared" ref="FR169:FR170" si="2678">IF(CL169="","","|n"&amp;FR$2&amp;"+"&amp;CL169&amp;FR$1)</f>
        <v/>
      </c>
      <c r="FS169" s="72" t="str">
        <f t="shared" ref="FS169:FS170" si="2679">IF(CM169="","","|n"&amp;FS$2&amp;"+"&amp;CM169&amp;FS$1)</f>
        <v/>
      </c>
    </row>
    <row r="170" spans="1:175" ht="15">
      <c r="A170" s="104"/>
      <c r="B170" s="119" t="s">
        <v>630</v>
      </c>
      <c r="C170" s="71" t="s">
        <v>616</v>
      </c>
      <c r="T170" s="71" t="s">
        <v>617</v>
      </c>
      <c r="U170" s="88" t="s">
        <v>618</v>
      </c>
      <c r="CN170" s="70" t="str">
        <f t="shared" si="2604"/>
        <v>InitUnitState('IN32',,,,,,,,,,)</v>
      </c>
      <c r="CO170" s="70" t="str">
        <f t="shared" si="2605"/>
        <v>InitUnitNormal('IN32',,,,,,,,,,)</v>
      </c>
      <c r="CP170" s="70" t="str">
        <f t="shared" si="2606"/>
        <v>InitUnitMagic('IN32',,,,,,,,,,)</v>
      </c>
      <c r="CQ170" s="70" t="str">
        <f t="shared" si="2607"/>
        <v>InitUnitAdd('IN32',,,,,,,,,,)</v>
      </c>
      <c r="CR170" s="70" t="str">
        <f t="shared" si="2595"/>
        <v>InitEquipData('IN32',,"",,,,,'','','','','','',"ReplaceableTextures\\CommandButtons\\BTNIS11.blp")</v>
      </c>
      <c r="CU170" s="98" t="str">
        <f t="shared" si="2608"/>
        <v>|n</v>
      </c>
      <c r="CV170" s="71" t="str">
        <f t="shared" si="2609"/>
        <v>使用后获得|Cffffc926随机类型技能升阶石|r</v>
      </c>
      <c r="CW170" s="61"/>
      <c r="CX170" s="61"/>
      <c r="CY170" s="61"/>
      <c r="CZ170" s="61"/>
      <c r="DA170" s="61"/>
      <c r="DB170" s="72" t="str">
        <f t="shared" si="2610"/>
        <v/>
      </c>
      <c r="DC170" s="72" t="str">
        <f t="shared" si="2611"/>
        <v/>
      </c>
      <c r="DD170" s="72" t="str">
        <f t="shared" si="2612"/>
        <v/>
      </c>
      <c r="DE170" s="72" t="str">
        <f t="shared" si="2613"/>
        <v/>
      </c>
      <c r="DF170" s="72" t="str">
        <f t="shared" si="2614"/>
        <v/>
      </c>
      <c r="DG170" s="72" t="str">
        <f t="shared" si="2615"/>
        <v/>
      </c>
      <c r="DH170" s="72" t="str">
        <f t="shared" si="2616"/>
        <v/>
      </c>
      <c r="DI170" s="72" t="str">
        <f t="shared" si="2617"/>
        <v/>
      </c>
      <c r="DJ170" s="72" t="str">
        <f t="shared" si="2618"/>
        <v/>
      </c>
      <c r="DK170" s="72" t="str">
        <f t="shared" si="2619"/>
        <v/>
      </c>
      <c r="DL170" s="72" t="str">
        <f t="shared" si="2620"/>
        <v/>
      </c>
      <c r="DM170" s="72" t="str">
        <f t="shared" si="2621"/>
        <v/>
      </c>
      <c r="DN170" s="72" t="str">
        <f t="shared" si="2622"/>
        <v/>
      </c>
      <c r="DO170" s="72" t="str">
        <f t="shared" si="2623"/>
        <v/>
      </c>
      <c r="DP170" s="72" t="str">
        <f t="shared" si="2624"/>
        <v/>
      </c>
      <c r="DQ170" s="72" t="str">
        <f t="shared" si="2625"/>
        <v/>
      </c>
      <c r="DR170" s="72" t="str">
        <f t="shared" si="2626"/>
        <v/>
      </c>
      <c r="DS170" s="72" t="str">
        <f t="shared" si="2627"/>
        <v/>
      </c>
      <c r="DT170" s="72" t="str">
        <f t="shared" si="2628"/>
        <v/>
      </c>
      <c r="DU170" s="72" t="str">
        <f t="shared" si="2629"/>
        <v/>
      </c>
      <c r="DV170" s="72" t="str">
        <f t="shared" si="2630"/>
        <v/>
      </c>
      <c r="DW170" s="72" t="str">
        <f t="shared" si="2631"/>
        <v/>
      </c>
      <c r="DX170" s="72" t="str">
        <f t="shared" si="2632"/>
        <v/>
      </c>
      <c r="DY170" s="72" t="str">
        <f t="shared" si="2633"/>
        <v/>
      </c>
      <c r="DZ170" s="72" t="str">
        <f t="shared" si="2634"/>
        <v/>
      </c>
      <c r="EA170" s="72" t="str">
        <f t="shared" si="2635"/>
        <v/>
      </c>
      <c r="EB170" s="72" t="str">
        <f t="shared" si="2636"/>
        <v/>
      </c>
      <c r="EC170" s="72" t="str">
        <f t="shared" si="2637"/>
        <v/>
      </c>
      <c r="ED170" s="72" t="str">
        <f t="shared" si="2638"/>
        <v/>
      </c>
      <c r="EE170" s="72" t="str">
        <f t="shared" si="2639"/>
        <v/>
      </c>
      <c r="EF170" s="72" t="str">
        <f t="shared" si="2640"/>
        <v/>
      </c>
      <c r="EG170" s="72" t="str">
        <f t="shared" si="2641"/>
        <v/>
      </c>
      <c r="EH170" s="72" t="str">
        <f t="shared" si="2642"/>
        <v/>
      </c>
      <c r="EI170" s="72" t="str">
        <f t="shared" si="2643"/>
        <v/>
      </c>
      <c r="EJ170" s="72" t="str">
        <f t="shared" si="2644"/>
        <v/>
      </c>
      <c r="EK170" s="72" t="str">
        <f t="shared" si="2645"/>
        <v/>
      </c>
      <c r="EL170" s="72" t="str">
        <f t="shared" si="2646"/>
        <v/>
      </c>
      <c r="EM170" s="72" t="str">
        <f t="shared" si="2647"/>
        <v/>
      </c>
      <c r="EN170" s="72" t="str">
        <f t="shared" si="2648"/>
        <v/>
      </c>
      <c r="EO170" s="72" t="str">
        <f t="shared" si="2649"/>
        <v/>
      </c>
      <c r="EP170" s="72" t="str">
        <f t="shared" si="2650"/>
        <v/>
      </c>
      <c r="EQ170" s="72" t="str">
        <f t="shared" si="2651"/>
        <v/>
      </c>
      <c r="ER170" s="72" t="str">
        <f t="shared" si="2652"/>
        <v/>
      </c>
      <c r="ES170" s="72" t="str">
        <f t="shared" si="2653"/>
        <v/>
      </c>
      <c r="ET170" s="72" t="str">
        <f t="shared" si="2654"/>
        <v/>
      </c>
      <c r="EU170" s="72" t="str">
        <f t="shared" si="2655"/>
        <v/>
      </c>
      <c r="EV170" s="72" t="str">
        <f t="shared" si="2656"/>
        <v/>
      </c>
      <c r="EW170" s="72" t="str">
        <f t="shared" si="2657"/>
        <v/>
      </c>
      <c r="EX170" s="72" t="str">
        <f t="shared" si="2658"/>
        <v/>
      </c>
      <c r="EY170" s="72" t="str">
        <f t="shared" si="2659"/>
        <v/>
      </c>
      <c r="EZ170" s="72" t="str">
        <f t="shared" si="2660"/>
        <v/>
      </c>
      <c r="FA170" s="72" t="str">
        <f t="shared" si="2661"/>
        <v/>
      </c>
      <c r="FB170" s="72" t="str">
        <f t="shared" si="2662"/>
        <v/>
      </c>
      <c r="FC170" s="72" t="str">
        <f t="shared" si="2663"/>
        <v/>
      </c>
      <c r="FD170" s="72" t="str">
        <f t="shared" si="2664"/>
        <v/>
      </c>
      <c r="FE170" s="72" t="str">
        <f t="shared" si="2665"/>
        <v/>
      </c>
      <c r="FF170" s="72" t="str">
        <f t="shared" si="2666"/>
        <v/>
      </c>
      <c r="FG170" s="72" t="str">
        <f t="shared" si="2667"/>
        <v/>
      </c>
      <c r="FH170" s="72" t="str">
        <f t="shared" si="2668"/>
        <v/>
      </c>
      <c r="FI170" s="72" t="str">
        <f t="shared" si="2669"/>
        <v/>
      </c>
      <c r="FJ170" s="72" t="str">
        <f t="shared" si="2670"/>
        <v/>
      </c>
      <c r="FK170" s="72" t="str">
        <f t="shared" si="2671"/>
        <v/>
      </c>
      <c r="FL170" s="72" t="str">
        <f t="shared" si="2672"/>
        <v/>
      </c>
      <c r="FM170" s="72" t="str">
        <f t="shared" si="2673"/>
        <v/>
      </c>
      <c r="FN170" s="72" t="str">
        <f t="shared" si="2674"/>
        <v/>
      </c>
      <c r="FO170" s="72" t="str">
        <f t="shared" si="2675"/>
        <v/>
      </c>
      <c r="FP170" s="72" t="str">
        <f t="shared" si="2676"/>
        <v/>
      </c>
      <c r="FQ170" s="72" t="str">
        <f t="shared" si="2677"/>
        <v/>
      </c>
      <c r="FR170" s="72" t="str">
        <f t="shared" si="2678"/>
        <v/>
      </c>
      <c r="FS170" s="72" t="str">
        <f t="shared" si="2679"/>
        <v/>
      </c>
    </row>
    <row r="171" spans="1:175" ht="15">
      <c r="A171" s="104"/>
      <c r="B171" s="118" t="s">
        <v>631</v>
      </c>
      <c r="C171" s="23" t="s">
        <v>632</v>
      </c>
      <c r="T171" s="71" t="s">
        <v>633</v>
      </c>
      <c r="U171" s="88" t="str">
        <f t="shared" ref="U171:U182" si="2680">"ReplaceableTextures\\CommandButtons\\BTN"&amp;B171&amp;".blp"</f>
        <v>ReplaceableTextures\\CommandButtons\\BTNIN33.blp</v>
      </c>
      <c r="CN171" s="70" t="str">
        <f t="shared" si="2604"/>
        <v>InitUnitState('IN33',,,,,,,,,,)</v>
      </c>
      <c r="CO171" s="70" t="str">
        <f t="shared" si="2605"/>
        <v>InitUnitNormal('IN33',,,,,,,,,,)</v>
      </c>
      <c r="CP171" s="70" t="str">
        <f t="shared" si="2606"/>
        <v>InitUnitMagic('IN33',,,,,,,,,,)</v>
      </c>
      <c r="CQ171" s="70" t="str">
        <f t="shared" si="2607"/>
        <v>InitUnitAdd('IN33',,,,,,,,,,)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206&amp;CR$1&amp;")"</f>
        <v>InitEquipData('IN33',,"",,,,,'','','','','','',"ReplaceableTextures\\CommandButtons\\BTNIZ0F.blp")</v>
      </c>
      <c r="CU171" s="98" t="str">
        <f t="shared" ref="CU171:CU178" si="2681">CONCATENATE(DB171,DC171,DD171,DE171,DF171,DG171,DH171,DI171,DJ171,DK171,DL171,DM171,DN171,DO171,DP171,DQ171,DR171,DS171,DT171,DU171,DV171,DW171,DX171,DY171,DZ171,EA171,EB171,EC171,ED171,EE171,EF171,EG171,EH171,EI171,EJ171,EK171,EL171,EM171,EN171,EO171,EP171&amp;"|n")</f>
        <v>|n</v>
      </c>
      <c r="CV171" s="71" t="str">
        <f t="shared" ref="CV171:CV178" si="2682">T171</f>
        <v>攻击|Cffffc926+2500|r</v>
      </c>
      <c r="CW171" s="61"/>
      <c r="CX171" s="61"/>
      <c r="CY171" s="61"/>
      <c r="CZ171" s="61"/>
      <c r="DA171" s="61"/>
      <c r="DB171" s="72" t="str">
        <f t="shared" ref="DB171:FM171" si="2683">IF(V171="","","|n"&amp;DB$2&amp;"+"&amp;V171&amp;DB$1)</f>
        <v/>
      </c>
      <c r="DC171" s="72" t="str">
        <f t="shared" si="2683"/>
        <v/>
      </c>
      <c r="DD171" s="72" t="str">
        <f t="shared" si="2683"/>
        <v/>
      </c>
      <c r="DE171" s="72" t="str">
        <f t="shared" si="2683"/>
        <v/>
      </c>
      <c r="DF171" s="72" t="str">
        <f t="shared" si="2683"/>
        <v/>
      </c>
      <c r="DG171" s="72" t="str">
        <f t="shared" si="2683"/>
        <v/>
      </c>
      <c r="DH171" s="72" t="str">
        <f t="shared" si="2683"/>
        <v/>
      </c>
      <c r="DI171" s="72" t="str">
        <f t="shared" si="2683"/>
        <v/>
      </c>
      <c r="DJ171" s="72" t="str">
        <f t="shared" si="2683"/>
        <v/>
      </c>
      <c r="DK171" s="72" t="str">
        <f t="shared" si="2683"/>
        <v/>
      </c>
      <c r="DL171" s="72" t="str">
        <f t="shared" si="2683"/>
        <v/>
      </c>
      <c r="DM171" s="72" t="str">
        <f t="shared" si="2683"/>
        <v/>
      </c>
      <c r="DN171" s="72" t="str">
        <f t="shared" si="2683"/>
        <v/>
      </c>
      <c r="DO171" s="72" t="str">
        <f t="shared" si="2683"/>
        <v/>
      </c>
      <c r="DP171" s="72" t="str">
        <f t="shared" si="2683"/>
        <v/>
      </c>
      <c r="DQ171" s="72" t="str">
        <f t="shared" si="2683"/>
        <v/>
      </c>
      <c r="DR171" s="72" t="str">
        <f t="shared" si="2683"/>
        <v/>
      </c>
      <c r="DS171" s="72" t="str">
        <f t="shared" si="2683"/>
        <v/>
      </c>
      <c r="DT171" s="72" t="str">
        <f t="shared" si="2683"/>
        <v/>
      </c>
      <c r="DU171" s="72" t="str">
        <f t="shared" si="2683"/>
        <v/>
      </c>
      <c r="DV171" s="72" t="str">
        <f t="shared" si="2683"/>
        <v/>
      </c>
      <c r="DW171" s="72" t="str">
        <f t="shared" si="2683"/>
        <v/>
      </c>
      <c r="DX171" s="72" t="str">
        <f t="shared" si="2683"/>
        <v/>
      </c>
      <c r="DY171" s="72" t="str">
        <f t="shared" si="2683"/>
        <v/>
      </c>
      <c r="DZ171" s="72" t="str">
        <f t="shared" si="2683"/>
        <v/>
      </c>
      <c r="EA171" s="72" t="str">
        <f t="shared" si="2683"/>
        <v/>
      </c>
      <c r="EB171" s="72" t="str">
        <f t="shared" si="2683"/>
        <v/>
      </c>
      <c r="EC171" s="72" t="str">
        <f t="shared" si="2683"/>
        <v/>
      </c>
      <c r="ED171" s="72" t="str">
        <f t="shared" si="2683"/>
        <v/>
      </c>
      <c r="EE171" s="72" t="str">
        <f t="shared" si="2683"/>
        <v/>
      </c>
      <c r="EF171" s="72" t="str">
        <f t="shared" si="2683"/>
        <v/>
      </c>
      <c r="EG171" s="72" t="str">
        <f t="shared" si="2683"/>
        <v/>
      </c>
      <c r="EH171" s="72" t="str">
        <f t="shared" si="2683"/>
        <v/>
      </c>
      <c r="EI171" s="72" t="str">
        <f t="shared" si="2683"/>
        <v/>
      </c>
      <c r="EJ171" s="72" t="str">
        <f t="shared" si="2683"/>
        <v/>
      </c>
      <c r="EK171" s="72" t="str">
        <f t="shared" si="2683"/>
        <v/>
      </c>
      <c r="EL171" s="72" t="str">
        <f t="shared" si="2683"/>
        <v/>
      </c>
      <c r="EM171" s="72" t="str">
        <f t="shared" si="2683"/>
        <v/>
      </c>
      <c r="EN171" s="72" t="str">
        <f t="shared" si="2683"/>
        <v/>
      </c>
      <c r="EO171" s="72" t="str">
        <f t="shared" si="2683"/>
        <v/>
      </c>
      <c r="EP171" s="72" t="str">
        <f t="shared" si="2683"/>
        <v/>
      </c>
      <c r="EQ171" s="72" t="str">
        <f t="shared" si="2683"/>
        <v/>
      </c>
      <c r="ER171" s="72" t="str">
        <f t="shared" si="2683"/>
        <v/>
      </c>
      <c r="ES171" s="72" t="str">
        <f t="shared" si="2683"/>
        <v/>
      </c>
      <c r="ET171" s="72" t="str">
        <f t="shared" si="2683"/>
        <v/>
      </c>
      <c r="EU171" s="72" t="str">
        <f t="shared" si="2683"/>
        <v/>
      </c>
      <c r="EV171" s="72" t="str">
        <f t="shared" si="2683"/>
        <v/>
      </c>
      <c r="EW171" s="72" t="str">
        <f t="shared" si="2683"/>
        <v/>
      </c>
      <c r="EX171" s="72" t="str">
        <f t="shared" si="2683"/>
        <v/>
      </c>
      <c r="EY171" s="72" t="str">
        <f t="shared" si="2683"/>
        <v/>
      </c>
      <c r="EZ171" s="72" t="str">
        <f t="shared" si="2683"/>
        <v/>
      </c>
      <c r="FA171" s="72" t="str">
        <f t="shared" si="2683"/>
        <v/>
      </c>
      <c r="FB171" s="72" t="str">
        <f t="shared" si="2683"/>
        <v/>
      </c>
      <c r="FC171" s="72" t="str">
        <f t="shared" si="2683"/>
        <v/>
      </c>
      <c r="FD171" s="72" t="str">
        <f t="shared" si="2683"/>
        <v/>
      </c>
      <c r="FE171" s="72" t="str">
        <f t="shared" si="2683"/>
        <v/>
      </c>
      <c r="FF171" s="72" t="str">
        <f t="shared" si="2683"/>
        <v/>
      </c>
      <c r="FG171" s="72" t="str">
        <f t="shared" si="2683"/>
        <v/>
      </c>
      <c r="FH171" s="72" t="str">
        <f t="shared" si="2683"/>
        <v/>
      </c>
      <c r="FI171" s="72" t="str">
        <f t="shared" si="2683"/>
        <v/>
      </c>
      <c r="FJ171" s="72" t="str">
        <f t="shared" si="2683"/>
        <v/>
      </c>
      <c r="FK171" s="72" t="str">
        <f t="shared" si="2683"/>
        <v/>
      </c>
      <c r="FL171" s="72" t="str">
        <f t="shared" si="2683"/>
        <v/>
      </c>
      <c r="FM171" s="72" t="str">
        <f t="shared" si="2683"/>
        <v/>
      </c>
      <c r="FN171" s="72" t="str">
        <f t="shared" ref="FN171:FS171" si="2684">IF(CH171="","","|n"&amp;FN$2&amp;"+"&amp;CH171&amp;FN$1)</f>
        <v/>
      </c>
      <c r="FO171" s="72" t="str">
        <f t="shared" si="2684"/>
        <v/>
      </c>
      <c r="FP171" s="72" t="str">
        <f t="shared" si="2684"/>
        <v/>
      </c>
      <c r="FQ171" s="72" t="str">
        <f t="shared" si="2684"/>
        <v/>
      </c>
      <c r="FR171" s="72" t="str">
        <f t="shared" si="2684"/>
        <v/>
      </c>
      <c r="FS171" s="72" t="str">
        <f t="shared" si="2684"/>
        <v/>
      </c>
    </row>
    <row r="172" spans="1:175" ht="15">
      <c r="A172" s="104"/>
      <c r="B172" s="104" t="s">
        <v>634</v>
      </c>
      <c r="C172" s="98" t="s">
        <v>635</v>
      </c>
      <c r="T172" s="71" t="s">
        <v>636</v>
      </c>
      <c r="U172" s="88" t="str">
        <f t="shared" si="2680"/>
        <v>ReplaceableTextures\\CommandButtons\\BTNIN34.blp</v>
      </c>
      <c r="CN172" s="70" t="str">
        <f t="shared" si="2604"/>
        <v>InitUnitState('IN34',,,,,,,,,,)</v>
      </c>
      <c r="CO172" s="70" t="str">
        <f t="shared" si="2605"/>
        <v>InitUnitNormal('IN34',,,,,,,,,,)</v>
      </c>
      <c r="CP172" s="70" t="str">
        <f t="shared" si="2606"/>
        <v>InitUnitMagic('IN34',,,,,,,,,,)</v>
      </c>
      <c r="CQ172" s="70" t="str">
        <f t="shared" si="2607"/>
        <v>InitUnitAdd('IN34',,,,,,,,,,)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212&amp;CR$1&amp;")"</f>
        <v>InitEquipData('IN34',,"",,,,,'','','','','','',"ReplaceableTextures\\CommandButtons\\BTN024.blp")</v>
      </c>
      <c r="CU172" s="98" t="str">
        <f t="shared" si="2681"/>
        <v>|n</v>
      </c>
      <c r="CV172" s="71" t="str">
        <f t="shared" si="2682"/>
        <v>攻击|Cffffc926+10000|r</v>
      </c>
      <c r="CW172" s="61"/>
      <c r="CX172" s="61"/>
      <c r="CY172" s="61"/>
      <c r="CZ172" s="61"/>
      <c r="DA172" s="61"/>
      <c r="DB172" s="72" t="str">
        <f t="shared" ref="DB172:FM172" si="2685">IF(V172="","","|n"&amp;DB$2&amp;"+"&amp;V172&amp;DB$1)</f>
        <v/>
      </c>
      <c r="DC172" s="72" t="str">
        <f t="shared" si="2685"/>
        <v/>
      </c>
      <c r="DD172" s="72" t="str">
        <f t="shared" si="2685"/>
        <v/>
      </c>
      <c r="DE172" s="72" t="str">
        <f t="shared" si="2685"/>
        <v/>
      </c>
      <c r="DF172" s="72" t="str">
        <f t="shared" si="2685"/>
        <v/>
      </c>
      <c r="DG172" s="72" t="str">
        <f t="shared" si="2685"/>
        <v/>
      </c>
      <c r="DH172" s="72" t="str">
        <f t="shared" si="2685"/>
        <v/>
      </c>
      <c r="DI172" s="72" t="str">
        <f t="shared" si="2685"/>
        <v/>
      </c>
      <c r="DJ172" s="72" t="str">
        <f t="shared" si="2685"/>
        <v/>
      </c>
      <c r="DK172" s="72" t="str">
        <f t="shared" si="2685"/>
        <v/>
      </c>
      <c r="DL172" s="72" t="str">
        <f t="shared" si="2685"/>
        <v/>
      </c>
      <c r="DM172" s="72" t="str">
        <f t="shared" si="2685"/>
        <v/>
      </c>
      <c r="DN172" s="72" t="str">
        <f t="shared" si="2685"/>
        <v/>
      </c>
      <c r="DO172" s="72" t="str">
        <f t="shared" si="2685"/>
        <v/>
      </c>
      <c r="DP172" s="72" t="str">
        <f t="shared" si="2685"/>
        <v/>
      </c>
      <c r="DQ172" s="72" t="str">
        <f t="shared" si="2685"/>
        <v/>
      </c>
      <c r="DR172" s="72" t="str">
        <f t="shared" si="2685"/>
        <v/>
      </c>
      <c r="DS172" s="72" t="str">
        <f t="shared" si="2685"/>
        <v/>
      </c>
      <c r="DT172" s="72" t="str">
        <f t="shared" si="2685"/>
        <v/>
      </c>
      <c r="DU172" s="72" t="str">
        <f t="shared" si="2685"/>
        <v/>
      </c>
      <c r="DV172" s="72" t="str">
        <f t="shared" si="2685"/>
        <v/>
      </c>
      <c r="DW172" s="72" t="str">
        <f t="shared" si="2685"/>
        <v/>
      </c>
      <c r="DX172" s="72" t="str">
        <f t="shared" si="2685"/>
        <v/>
      </c>
      <c r="DY172" s="72" t="str">
        <f t="shared" si="2685"/>
        <v/>
      </c>
      <c r="DZ172" s="72" t="str">
        <f t="shared" si="2685"/>
        <v/>
      </c>
      <c r="EA172" s="72" t="str">
        <f t="shared" si="2685"/>
        <v/>
      </c>
      <c r="EB172" s="72" t="str">
        <f t="shared" si="2685"/>
        <v/>
      </c>
      <c r="EC172" s="72" t="str">
        <f t="shared" si="2685"/>
        <v/>
      </c>
      <c r="ED172" s="72" t="str">
        <f t="shared" si="2685"/>
        <v/>
      </c>
      <c r="EE172" s="72" t="str">
        <f t="shared" si="2685"/>
        <v/>
      </c>
      <c r="EF172" s="72" t="str">
        <f t="shared" si="2685"/>
        <v/>
      </c>
      <c r="EG172" s="72" t="str">
        <f t="shared" si="2685"/>
        <v/>
      </c>
      <c r="EH172" s="72" t="str">
        <f t="shared" si="2685"/>
        <v/>
      </c>
      <c r="EI172" s="72" t="str">
        <f t="shared" si="2685"/>
        <v/>
      </c>
      <c r="EJ172" s="72" t="str">
        <f t="shared" si="2685"/>
        <v/>
      </c>
      <c r="EK172" s="72" t="str">
        <f t="shared" si="2685"/>
        <v/>
      </c>
      <c r="EL172" s="72" t="str">
        <f t="shared" si="2685"/>
        <v/>
      </c>
      <c r="EM172" s="72" t="str">
        <f t="shared" si="2685"/>
        <v/>
      </c>
      <c r="EN172" s="72" t="str">
        <f t="shared" si="2685"/>
        <v/>
      </c>
      <c r="EO172" s="72" t="str">
        <f t="shared" si="2685"/>
        <v/>
      </c>
      <c r="EP172" s="72" t="str">
        <f t="shared" si="2685"/>
        <v/>
      </c>
      <c r="EQ172" s="72" t="str">
        <f t="shared" si="2685"/>
        <v/>
      </c>
      <c r="ER172" s="72" t="str">
        <f t="shared" si="2685"/>
        <v/>
      </c>
      <c r="ES172" s="72" t="str">
        <f t="shared" si="2685"/>
        <v/>
      </c>
      <c r="ET172" s="72" t="str">
        <f t="shared" si="2685"/>
        <v/>
      </c>
      <c r="EU172" s="72" t="str">
        <f t="shared" si="2685"/>
        <v/>
      </c>
      <c r="EV172" s="72" t="str">
        <f t="shared" si="2685"/>
        <v/>
      </c>
      <c r="EW172" s="72" t="str">
        <f t="shared" si="2685"/>
        <v/>
      </c>
      <c r="EX172" s="72" t="str">
        <f t="shared" si="2685"/>
        <v/>
      </c>
      <c r="EY172" s="72" t="str">
        <f t="shared" si="2685"/>
        <v/>
      </c>
      <c r="EZ172" s="72" t="str">
        <f t="shared" si="2685"/>
        <v/>
      </c>
      <c r="FA172" s="72" t="str">
        <f t="shared" si="2685"/>
        <v/>
      </c>
      <c r="FB172" s="72" t="str">
        <f t="shared" si="2685"/>
        <v/>
      </c>
      <c r="FC172" s="72" t="str">
        <f t="shared" si="2685"/>
        <v/>
      </c>
      <c r="FD172" s="72" t="str">
        <f t="shared" si="2685"/>
        <v/>
      </c>
      <c r="FE172" s="72" t="str">
        <f t="shared" si="2685"/>
        <v/>
      </c>
      <c r="FF172" s="72" t="str">
        <f t="shared" si="2685"/>
        <v/>
      </c>
      <c r="FG172" s="72" t="str">
        <f t="shared" si="2685"/>
        <v/>
      </c>
      <c r="FH172" s="72" t="str">
        <f t="shared" si="2685"/>
        <v/>
      </c>
      <c r="FI172" s="72" t="str">
        <f t="shared" si="2685"/>
        <v/>
      </c>
      <c r="FJ172" s="72" t="str">
        <f t="shared" si="2685"/>
        <v/>
      </c>
      <c r="FK172" s="72" t="str">
        <f t="shared" si="2685"/>
        <v/>
      </c>
      <c r="FL172" s="72" t="str">
        <f t="shared" si="2685"/>
        <v/>
      </c>
      <c r="FM172" s="72" t="str">
        <f t="shared" si="2685"/>
        <v/>
      </c>
      <c r="FN172" s="72" t="str">
        <f t="shared" ref="FN172:FS172" si="2686">IF(CH172="","","|n"&amp;FN$2&amp;"+"&amp;CH172&amp;FN$1)</f>
        <v/>
      </c>
      <c r="FO172" s="72" t="str">
        <f t="shared" si="2686"/>
        <v/>
      </c>
      <c r="FP172" s="72" t="str">
        <f t="shared" si="2686"/>
        <v/>
      </c>
      <c r="FQ172" s="72" t="str">
        <f t="shared" si="2686"/>
        <v/>
      </c>
      <c r="FR172" s="72" t="str">
        <f t="shared" si="2686"/>
        <v/>
      </c>
      <c r="FS172" s="72" t="str">
        <f t="shared" si="2686"/>
        <v/>
      </c>
    </row>
    <row r="173" spans="1:175" ht="15">
      <c r="A173" s="104"/>
      <c r="B173" s="118" t="s">
        <v>637</v>
      </c>
      <c r="C173" s="23" t="s">
        <v>638</v>
      </c>
      <c r="T173" s="71" t="s">
        <v>639</v>
      </c>
      <c r="U173" s="88" t="str">
        <f t="shared" si="2680"/>
        <v>ReplaceableTextures\\CommandButtons\\BTNIN35.blp</v>
      </c>
      <c r="CN173" s="70" t="str">
        <f t="shared" si="2604"/>
        <v>InitUnitState('IN35',,,,,,,,,,)</v>
      </c>
      <c r="CO173" s="70" t="str">
        <f t="shared" si="2605"/>
        <v>InitUnitNormal('IN35',,,,,,,,,,)</v>
      </c>
      <c r="CP173" s="70" t="str">
        <f t="shared" si="2606"/>
        <v>InitUnitMagic('IN35',,,,,,,,,,)</v>
      </c>
      <c r="CQ173" s="70" t="str">
        <f t="shared" si="2607"/>
        <v>InitUnitAdd('IN35',,,,,,,,,,)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213&amp;CR$1&amp;")"</f>
        <v>InitEquipData('IN35',,"",,,,,'','','','','','',"ReplaceableTextures\\CommandButtons\\BTN021.blp")</v>
      </c>
      <c r="CU173" s="98" t="str">
        <f t="shared" si="2681"/>
        <v>|n</v>
      </c>
      <c r="CV173" s="71" t="str">
        <f t="shared" si="2682"/>
        <v>业力|Cffffc926+1000|r</v>
      </c>
      <c r="CW173" s="61"/>
      <c r="CX173" s="61"/>
      <c r="CY173" s="61"/>
      <c r="CZ173" s="61"/>
      <c r="DA173" s="61"/>
      <c r="DB173" s="72" t="str">
        <f t="shared" ref="DB173:FM173" si="2687">IF(V173="","","|n"&amp;DB$2&amp;"+"&amp;V173&amp;DB$1)</f>
        <v/>
      </c>
      <c r="DC173" s="72" t="str">
        <f t="shared" si="2687"/>
        <v/>
      </c>
      <c r="DD173" s="72" t="str">
        <f t="shared" si="2687"/>
        <v/>
      </c>
      <c r="DE173" s="72" t="str">
        <f t="shared" si="2687"/>
        <v/>
      </c>
      <c r="DF173" s="72" t="str">
        <f t="shared" si="2687"/>
        <v/>
      </c>
      <c r="DG173" s="72" t="str">
        <f t="shared" si="2687"/>
        <v/>
      </c>
      <c r="DH173" s="72" t="str">
        <f t="shared" si="2687"/>
        <v/>
      </c>
      <c r="DI173" s="72" t="str">
        <f t="shared" si="2687"/>
        <v/>
      </c>
      <c r="DJ173" s="72" t="str">
        <f t="shared" si="2687"/>
        <v/>
      </c>
      <c r="DK173" s="72" t="str">
        <f t="shared" si="2687"/>
        <v/>
      </c>
      <c r="DL173" s="72" t="str">
        <f t="shared" si="2687"/>
        <v/>
      </c>
      <c r="DM173" s="72" t="str">
        <f t="shared" si="2687"/>
        <v/>
      </c>
      <c r="DN173" s="72" t="str">
        <f t="shared" si="2687"/>
        <v/>
      </c>
      <c r="DO173" s="72" t="str">
        <f t="shared" si="2687"/>
        <v/>
      </c>
      <c r="DP173" s="72" t="str">
        <f t="shared" si="2687"/>
        <v/>
      </c>
      <c r="DQ173" s="72" t="str">
        <f t="shared" si="2687"/>
        <v/>
      </c>
      <c r="DR173" s="72" t="str">
        <f t="shared" si="2687"/>
        <v/>
      </c>
      <c r="DS173" s="72" t="str">
        <f t="shared" si="2687"/>
        <v/>
      </c>
      <c r="DT173" s="72" t="str">
        <f t="shared" si="2687"/>
        <v/>
      </c>
      <c r="DU173" s="72" t="str">
        <f t="shared" si="2687"/>
        <v/>
      </c>
      <c r="DV173" s="72" t="str">
        <f t="shared" si="2687"/>
        <v/>
      </c>
      <c r="DW173" s="72" t="str">
        <f t="shared" si="2687"/>
        <v/>
      </c>
      <c r="DX173" s="72" t="str">
        <f t="shared" si="2687"/>
        <v/>
      </c>
      <c r="DY173" s="72" t="str">
        <f t="shared" si="2687"/>
        <v/>
      </c>
      <c r="DZ173" s="72" t="str">
        <f t="shared" si="2687"/>
        <v/>
      </c>
      <c r="EA173" s="72" t="str">
        <f t="shared" si="2687"/>
        <v/>
      </c>
      <c r="EB173" s="72" t="str">
        <f t="shared" si="2687"/>
        <v/>
      </c>
      <c r="EC173" s="72" t="str">
        <f t="shared" si="2687"/>
        <v/>
      </c>
      <c r="ED173" s="72" t="str">
        <f t="shared" si="2687"/>
        <v/>
      </c>
      <c r="EE173" s="72" t="str">
        <f t="shared" si="2687"/>
        <v/>
      </c>
      <c r="EF173" s="72" t="str">
        <f t="shared" si="2687"/>
        <v/>
      </c>
      <c r="EG173" s="72" t="str">
        <f t="shared" si="2687"/>
        <v/>
      </c>
      <c r="EH173" s="72" t="str">
        <f t="shared" si="2687"/>
        <v/>
      </c>
      <c r="EI173" s="72" t="str">
        <f t="shared" si="2687"/>
        <v/>
      </c>
      <c r="EJ173" s="72" t="str">
        <f t="shared" si="2687"/>
        <v/>
      </c>
      <c r="EK173" s="72" t="str">
        <f t="shared" si="2687"/>
        <v/>
      </c>
      <c r="EL173" s="72" t="str">
        <f t="shared" si="2687"/>
        <v/>
      </c>
      <c r="EM173" s="72" t="str">
        <f t="shared" si="2687"/>
        <v/>
      </c>
      <c r="EN173" s="72" t="str">
        <f t="shared" si="2687"/>
        <v/>
      </c>
      <c r="EO173" s="72" t="str">
        <f t="shared" si="2687"/>
        <v/>
      </c>
      <c r="EP173" s="72" t="str">
        <f t="shared" si="2687"/>
        <v/>
      </c>
      <c r="EQ173" s="72" t="str">
        <f t="shared" si="2687"/>
        <v/>
      </c>
      <c r="ER173" s="72" t="str">
        <f t="shared" si="2687"/>
        <v/>
      </c>
      <c r="ES173" s="72" t="str">
        <f t="shared" si="2687"/>
        <v/>
      </c>
      <c r="ET173" s="72" t="str">
        <f t="shared" si="2687"/>
        <v/>
      </c>
      <c r="EU173" s="72" t="str">
        <f t="shared" si="2687"/>
        <v/>
      </c>
      <c r="EV173" s="72" t="str">
        <f t="shared" si="2687"/>
        <v/>
      </c>
      <c r="EW173" s="72" t="str">
        <f t="shared" si="2687"/>
        <v/>
      </c>
      <c r="EX173" s="72" t="str">
        <f t="shared" si="2687"/>
        <v/>
      </c>
      <c r="EY173" s="72" t="str">
        <f t="shared" si="2687"/>
        <v/>
      </c>
      <c r="EZ173" s="72" t="str">
        <f t="shared" si="2687"/>
        <v/>
      </c>
      <c r="FA173" s="72" t="str">
        <f t="shared" si="2687"/>
        <v/>
      </c>
      <c r="FB173" s="72" t="str">
        <f t="shared" si="2687"/>
        <v/>
      </c>
      <c r="FC173" s="72" t="str">
        <f t="shared" si="2687"/>
        <v/>
      </c>
      <c r="FD173" s="72" t="str">
        <f t="shared" si="2687"/>
        <v/>
      </c>
      <c r="FE173" s="72" t="str">
        <f t="shared" si="2687"/>
        <v/>
      </c>
      <c r="FF173" s="72" t="str">
        <f t="shared" si="2687"/>
        <v/>
      </c>
      <c r="FG173" s="72" t="str">
        <f t="shared" si="2687"/>
        <v/>
      </c>
      <c r="FH173" s="72" t="str">
        <f t="shared" si="2687"/>
        <v/>
      </c>
      <c r="FI173" s="72" t="str">
        <f t="shared" si="2687"/>
        <v/>
      </c>
      <c r="FJ173" s="72" t="str">
        <f t="shared" si="2687"/>
        <v/>
      </c>
      <c r="FK173" s="72" t="str">
        <f t="shared" si="2687"/>
        <v/>
      </c>
      <c r="FL173" s="72" t="str">
        <f t="shared" si="2687"/>
        <v/>
      </c>
      <c r="FM173" s="72" t="str">
        <f t="shared" si="2687"/>
        <v/>
      </c>
      <c r="FN173" s="72" t="str">
        <f t="shared" ref="FN173:FS173" si="2688">IF(CH173="","","|n"&amp;FN$2&amp;"+"&amp;CH173&amp;FN$1)</f>
        <v/>
      </c>
      <c r="FO173" s="72" t="str">
        <f t="shared" si="2688"/>
        <v/>
      </c>
      <c r="FP173" s="72" t="str">
        <f t="shared" si="2688"/>
        <v/>
      </c>
      <c r="FQ173" s="72" t="str">
        <f t="shared" si="2688"/>
        <v/>
      </c>
      <c r="FR173" s="72" t="str">
        <f t="shared" si="2688"/>
        <v/>
      </c>
      <c r="FS173" s="72" t="str">
        <f t="shared" si="2688"/>
        <v/>
      </c>
    </row>
    <row r="174" spans="1:175" ht="15">
      <c r="A174" s="104"/>
      <c r="B174" s="104" t="s">
        <v>640</v>
      </c>
      <c r="C174" s="23" t="s">
        <v>641</v>
      </c>
      <c r="T174" s="71" t="s">
        <v>642</v>
      </c>
      <c r="U174" s="88" t="str">
        <f t="shared" si="2680"/>
        <v>ReplaceableTextures\\CommandButtons\\BTNIN36.blp</v>
      </c>
      <c r="CN174" s="70" t="str">
        <f t="shared" si="2604"/>
        <v>InitUnitState('IN36',,,,,,,,,,)</v>
      </c>
      <c r="CO174" s="70" t="str">
        <f t="shared" si="2605"/>
        <v>InitUnitNormal('IN36',,,,,,,,,,)</v>
      </c>
      <c r="CP174" s="70" t="str">
        <f t="shared" si="2606"/>
        <v>InitUnitMagic('IN36',,,,,,,,,,)</v>
      </c>
      <c r="CQ174" s="70" t="str">
        <f t="shared" si="2607"/>
        <v>InitUnitAdd('IN36',,,,,,,,,,)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214&amp;CR$1&amp;")"</f>
        <v>InitEquipData('IN36',,"",,,,,'','','','','','',"ReplaceableTextures\\CommandButtons\\BTN002.blp")</v>
      </c>
      <c r="CU174" s="98" t="str">
        <f t="shared" si="2681"/>
        <v>|n</v>
      </c>
      <c r="CV174" s="71" t="str">
        <f t="shared" si="2682"/>
        <v>业力|Cffffc926+2500|r</v>
      </c>
      <c r="CW174" s="61"/>
      <c r="CX174" s="61"/>
      <c r="CY174" s="61"/>
      <c r="CZ174" s="61"/>
      <c r="DA174" s="61"/>
      <c r="DB174" s="72" t="str">
        <f t="shared" ref="DB174:FM174" si="2689">IF(V174="","","|n"&amp;DB$2&amp;"+"&amp;V174&amp;DB$1)</f>
        <v/>
      </c>
      <c r="DC174" s="72" t="str">
        <f t="shared" si="2689"/>
        <v/>
      </c>
      <c r="DD174" s="72" t="str">
        <f t="shared" si="2689"/>
        <v/>
      </c>
      <c r="DE174" s="72" t="str">
        <f t="shared" si="2689"/>
        <v/>
      </c>
      <c r="DF174" s="72" t="str">
        <f t="shared" si="2689"/>
        <v/>
      </c>
      <c r="DG174" s="72" t="str">
        <f t="shared" si="2689"/>
        <v/>
      </c>
      <c r="DH174" s="72" t="str">
        <f t="shared" si="2689"/>
        <v/>
      </c>
      <c r="DI174" s="72" t="str">
        <f t="shared" si="2689"/>
        <v/>
      </c>
      <c r="DJ174" s="72" t="str">
        <f t="shared" si="2689"/>
        <v/>
      </c>
      <c r="DK174" s="72" t="str">
        <f t="shared" si="2689"/>
        <v/>
      </c>
      <c r="DL174" s="72" t="str">
        <f t="shared" si="2689"/>
        <v/>
      </c>
      <c r="DM174" s="72" t="str">
        <f t="shared" si="2689"/>
        <v/>
      </c>
      <c r="DN174" s="72" t="str">
        <f t="shared" si="2689"/>
        <v/>
      </c>
      <c r="DO174" s="72" t="str">
        <f t="shared" si="2689"/>
        <v/>
      </c>
      <c r="DP174" s="72" t="str">
        <f t="shared" si="2689"/>
        <v/>
      </c>
      <c r="DQ174" s="72" t="str">
        <f t="shared" si="2689"/>
        <v/>
      </c>
      <c r="DR174" s="72" t="str">
        <f t="shared" si="2689"/>
        <v/>
      </c>
      <c r="DS174" s="72" t="str">
        <f t="shared" si="2689"/>
        <v/>
      </c>
      <c r="DT174" s="72" t="str">
        <f t="shared" si="2689"/>
        <v/>
      </c>
      <c r="DU174" s="72" t="str">
        <f t="shared" si="2689"/>
        <v/>
      </c>
      <c r="DV174" s="72" t="str">
        <f t="shared" si="2689"/>
        <v/>
      </c>
      <c r="DW174" s="72" t="str">
        <f t="shared" si="2689"/>
        <v/>
      </c>
      <c r="DX174" s="72" t="str">
        <f t="shared" si="2689"/>
        <v/>
      </c>
      <c r="DY174" s="72" t="str">
        <f t="shared" si="2689"/>
        <v/>
      </c>
      <c r="DZ174" s="72" t="str">
        <f t="shared" si="2689"/>
        <v/>
      </c>
      <c r="EA174" s="72" t="str">
        <f t="shared" si="2689"/>
        <v/>
      </c>
      <c r="EB174" s="72" t="str">
        <f t="shared" si="2689"/>
        <v/>
      </c>
      <c r="EC174" s="72" t="str">
        <f t="shared" si="2689"/>
        <v/>
      </c>
      <c r="ED174" s="72" t="str">
        <f t="shared" si="2689"/>
        <v/>
      </c>
      <c r="EE174" s="72" t="str">
        <f t="shared" si="2689"/>
        <v/>
      </c>
      <c r="EF174" s="72" t="str">
        <f t="shared" si="2689"/>
        <v/>
      </c>
      <c r="EG174" s="72" t="str">
        <f t="shared" si="2689"/>
        <v/>
      </c>
      <c r="EH174" s="72" t="str">
        <f t="shared" si="2689"/>
        <v/>
      </c>
      <c r="EI174" s="72" t="str">
        <f t="shared" si="2689"/>
        <v/>
      </c>
      <c r="EJ174" s="72" t="str">
        <f t="shared" si="2689"/>
        <v/>
      </c>
      <c r="EK174" s="72" t="str">
        <f t="shared" si="2689"/>
        <v/>
      </c>
      <c r="EL174" s="72" t="str">
        <f t="shared" si="2689"/>
        <v/>
      </c>
      <c r="EM174" s="72" t="str">
        <f t="shared" si="2689"/>
        <v/>
      </c>
      <c r="EN174" s="72" t="str">
        <f t="shared" si="2689"/>
        <v/>
      </c>
      <c r="EO174" s="72" t="str">
        <f t="shared" si="2689"/>
        <v/>
      </c>
      <c r="EP174" s="72" t="str">
        <f t="shared" si="2689"/>
        <v/>
      </c>
      <c r="EQ174" s="72" t="str">
        <f t="shared" si="2689"/>
        <v/>
      </c>
      <c r="ER174" s="72" t="str">
        <f t="shared" si="2689"/>
        <v/>
      </c>
      <c r="ES174" s="72" t="str">
        <f t="shared" si="2689"/>
        <v/>
      </c>
      <c r="ET174" s="72" t="str">
        <f t="shared" si="2689"/>
        <v/>
      </c>
      <c r="EU174" s="72" t="str">
        <f t="shared" si="2689"/>
        <v/>
      </c>
      <c r="EV174" s="72" t="str">
        <f t="shared" si="2689"/>
        <v/>
      </c>
      <c r="EW174" s="72" t="str">
        <f t="shared" si="2689"/>
        <v/>
      </c>
      <c r="EX174" s="72" t="str">
        <f t="shared" si="2689"/>
        <v/>
      </c>
      <c r="EY174" s="72" t="str">
        <f t="shared" si="2689"/>
        <v/>
      </c>
      <c r="EZ174" s="72" t="str">
        <f t="shared" si="2689"/>
        <v/>
      </c>
      <c r="FA174" s="72" t="str">
        <f t="shared" si="2689"/>
        <v/>
      </c>
      <c r="FB174" s="72" t="str">
        <f t="shared" si="2689"/>
        <v/>
      </c>
      <c r="FC174" s="72" t="str">
        <f t="shared" si="2689"/>
        <v/>
      </c>
      <c r="FD174" s="72" t="str">
        <f t="shared" si="2689"/>
        <v/>
      </c>
      <c r="FE174" s="72" t="str">
        <f t="shared" si="2689"/>
        <v/>
      </c>
      <c r="FF174" s="72" t="str">
        <f t="shared" si="2689"/>
        <v/>
      </c>
      <c r="FG174" s="72" t="str">
        <f t="shared" si="2689"/>
        <v/>
      </c>
      <c r="FH174" s="72" t="str">
        <f t="shared" si="2689"/>
        <v/>
      </c>
      <c r="FI174" s="72" t="str">
        <f t="shared" si="2689"/>
        <v/>
      </c>
      <c r="FJ174" s="72" t="str">
        <f t="shared" si="2689"/>
        <v/>
      </c>
      <c r="FK174" s="72" t="str">
        <f t="shared" si="2689"/>
        <v/>
      </c>
      <c r="FL174" s="72" t="str">
        <f t="shared" si="2689"/>
        <v/>
      </c>
      <c r="FM174" s="72" t="str">
        <f t="shared" si="2689"/>
        <v/>
      </c>
      <c r="FN174" s="72" t="str">
        <f t="shared" ref="FN174:FS174" si="2690">IF(CH174="","","|n"&amp;FN$2&amp;"+"&amp;CH174&amp;FN$1)</f>
        <v/>
      </c>
      <c r="FO174" s="72" t="str">
        <f t="shared" si="2690"/>
        <v/>
      </c>
      <c r="FP174" s="72" t="str">
        <f t="shared" si="2690"/>
        <v/>
      </c>
      <c r="FQ174" s="72" t="str">
        <f t="shared" si="2690"/>
        <v/>
      </c>
      <c r="FR174" s="72" t="str">
        <f t="shared" si="2690"/>
        <v/>
      </c>
      <c r="FS174" s="72" t="str">
        <f t="shared" si="2690"/>
        <v/>
      </c>
    </row>
    <row r="175" spans="1:175" ht="15">
      <c r="A175" s="104"/>
      <c r="B175" s="118" t="s">
        <v>643</v>
      </c>
      <c r="C175" s="23" t="s">
        <v>644</v>
      </c>
      <c r="T175" s="71" t="s">
        <v>645</v>
      </c>
      <c r="U175" s="88" t="str">
        <f t="shared" si="2680"/>
        <v>ReplaceableTextures\\CommandButtons\\BTNIN37.blp</v>
      </c>
      <c r="CN175" s="70" t="str">
        <f t="shared" si="2604"/>
        <v>InitUnitState('IN37',,,,,,,,,,)</v>
      </c>
      <c r="CO175" s="70" t="str">
        <f t="shared" si="2605"/>
        <v>InitUnitNormal('IN37',,,,,,,,,,)</v>
      </c>
      <c r="CP175" s="70" t="str">
        <f t="shared" si="2606"/>
        <v>InitUnitMagic('IN37',,,,,,,,,,)</v>
      </c>
      <c r="CQ175" s="70" t="str">
        <f t="shared" si="2607"/>
        <v>InitUnitAdd('IN37',,,,,,,,,,)</v>
      </c>
      <c r="CR175" s="70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210&amp;CR$1&amp;")"</f>
        <v>InitEquipData('IN37',,"",,,,,'','','','','','',"ReplaceableTextures\\CommandButtons\\BTN020.blp")</v>
      </c>
      <c r="CU175" s="98" t="str">
        <f t="shared" si="2681"/>
        <v>|n</v>
      </c>
      <c r="CV175" s="71" t="str">
        <f t="shared" si="2682"/>
        <v>业力|Cffffc926+10000|r</v>
      </c>
      <c r="CW175" s="61"/>
      <c r="CX175" s="61"/>
      <c r="CY175" s="61"/>
      <c r="CZ175" s="61"/>
      <c r="DA175" s="61"/>
      <c r="DB175" s="72" t="str">
        <f t="shared" ref="DB175:FM175" si="2691">IF(V175="","","|n"&amp;DB$2&amp;"+"&amp;V175&amp;DB$1)</f>
        <v/>
      </c>
      <c r="DC175" s="72" t="str">
        <f t="shared" si="2691"/>
        <v/>
      </c>
      <c r="DD175" s="72" t="str">
        <f t="shared" si="2691"/>
        <v/>
      </c>
      <c r="DE175" s="72" t="str">
        <f t="shared" si="2691"/>
        <v/>
      </c>
      <c r="DF175" s="72" t="str">
        <f t="shared" si="2691"/>
        <v/>
      </c>
      <c r="DG175" s="72" t="str">
        <f t="shared" si="2691"/>
        <v/>
      </c>
      <c r="DH175" s="72" t="str">
        <f t="shared" si="2691"/>
        <v/>
      </c>
      <c r="DI175" s="72" t="str">
        <f t="shared" si="2691"/>
        <v/>
      </c>
      <c r="DJ175" s="72" t="str">
        <f t="shared" si="2691"/>
        <v/>
      </c>
      <c r="DK175" s="72" t="str">
        <f t="shared" si="2691"/>
        <v/>
      </c>
      <c r="DL175" s="72" t="str">
        <f t="shared" si="2691"/>
        <v/>
      </c>
      <c r="DM175" s="72" t="str">
        <f t="shared" si="2691"/>
        <v/>
      </c>
      <c r="DN175" s="72" t="str">
        <f t="shared" si="2691"/>
        <v/>
      </c>
      <c r="DO175" s="72" t="str">
        <f t="shared" si="2691"/>
        <v/>
      </c>
      <c r="DP175" s="72" t="str">
        <f t="shared" si="2691"/>
        <v/>
      </c>
      <c r="DQ175" s="72" t="str">
        <f t="shared" si="2691"/>
        <v/>
      </c>
      <c r="DR175" s="72" t="str">
        <f t="shared" si="2691"/>
        <v/>
      </c>
      <c r="DS175" s="72" t="str">
        <f t="shared" si="2691"/>
        <v/>
      </c>
      <c r="DT175" s="72" t="str">
        <f t="shared" si="2691"/>
        <v/>
      </c>
      <c r="DU175" s="72" t="str">
        <f t="shared" si="2691"/>
        <v/>
      </c>
      <c r="DV175" s="72" t="str">
        <f t="shared" si="2691"/>
        <v/>
      </c>
      <c r="DW175" s="72" t="str">
        <f t="shared" si="2691"/>
        <v/>
      </c>
      <c r="DX175" s="72" t="str">
        <f t="shared" si="2691"/>
        <v/>
      </c>
      <c r="DY175" s="72" t="str">
        <f t="shared" si="2691"/>
        <v/>
      </c>
      <c r="DZ175" s="72" t="str">
        <f t="shared" si="2691"/>
        <v/>
      </c>
      <c r="EA175" s="72" t="str">
        <f t="shared" si="2691"/>
        <v/>
      </c>
      <c r="EB175" s="72" t="str">
        <f t="shared" si="2691"/>
        <v/>
      </c>
      <c r="EC175" s="72" t="str">
        <f t="shared" si="2691"/>
        <v/>
      </c>
      <c r="ED175" s="72" t="str">
        <f t="shared" si="2691"/>
        <v/>
      </c>
      <c r="EE175" s="72" t="str">
        <f t="shared" si="2691"/>
        <v/>
      </c>
      <c r="EF175" s="72" t="str">
        <f t="shared" si="2691"/>
        <v/>
      </c>
      <c r="EG175" s="72" t="str">
        <f t="shared" si="2691"/>
        <v/>
      </c>
      <c r="EH175" s="72" t="str">
        <f t="shared" si="2691"/>
        <v/>
      </c>
      <c r="EI175" s="72" t="str">
        <f t="shared" si="2691"/>
        <v/>
      </c>
      <c r="EJ175" s="72" t="str">
        <f t="shared" si="2691"/>
        <v/>
      </c>
      <c r="EK175" s="72" t="str">
        <f t="shared" si="2691"/>
        <v/>
      </c>
      <c r="EL175" s="72" t="str">
        <f t="shared" si="2691"/>
        <v/>
      </c>
      <c r="EM175" s="72" t="str">
        <f t="shared" si="2691"/>
        <v/>
      </c>
      <c r="EN175" s="72" t="str">
        <f t="shared" si="2691"/>
        <v/>
      </c>
      <c r="EO175" s="72" t="str">
        <f t="shared" si="2691"/>
        <v/>
      </c>
      <c r="EP175" s="72" t="str">
        <f t="shared" si="2691"/>
        <v/>
      </c>
      <c r="EQ175" s="72" t="str">
        <f t="shared" si="2691"/>
        <v/>
      </c>
      <c r="ER175" s="72" t="str">
        <f t="shared" si="2691"/>
        <v/>
      </c>
      <c r="ES175" s="72" t="str">
        <f t="shared" si="2691"/>
        <v/>
      </c>
      <c r="ET175" s="72" t="str">
        <f t="shared" si="2691"/>
        <v/>
      </c>
      <c r="EU175" s="72" t="str">
        <f t="shared" si="2691"/>
        <v/>
      </c>
      <c r="EV175" s="72" t="str">
        <f t="shared" si="2691"/>
        <v/>
      </c>
      <c r="EW175" s="72" t="str">
        <f t="shared" si="2691"/>
        <v/>
      </c>
      <c r="EX175" s="72" t="str">
        <f t="shared" si="2691"/>
        <v/>
      </c>
      <c r="EY175" s="72" t="str">
        <f t="shared" si="2691"/>
        <v/>
      </c>
      <c r="EZ175" s="72" t="str">
        <f t="shared" si="2691"/>
        <v/>
      </c>
      <c r="FA175" s="72" t="str">
        <f t="shared" si="2691"/>
        <v/>
      </c>
      <c r="FB175" s="72" t="str">
        <f t="shared" si="2691"/>
        <v/>
      </c>
      <c r="FC175" s="72" t="str">
        <f t="shared" si="2691"/>
        <v/>
      </c>
      <c r="FD175" s="72" t="str">
        <f t="shared" si="2691"/>
        <v/>
      </c>
      <c r="FE175" s="72" t="str">
        <f t="shared" si="2691"/>
        <v/>
      </c>
      <c r="FF175" s="72" t="str">
        <f t="shared" si="2691"/>
        <v/>
      </c>
      <c r="FG175" s="72" t="str">
        <f t="shared" si="2691"/>
        <v/>
      </c>
      <c r="FH175" s="72" t="str">
        <f t="shared" si="2691"/>
        <v/>
      </c>
      <c r="FI175" s="72" t="str">
        <f t="shared" si="2691"/>
        <v/>
      </c>
      <c r="FJ175" s="72" t="str">
        <f t="shared" si="2691"/>
        <v/>
      </c>
      <c r="FK175" s="72" t="str">
        <f t="shared" si="2691"/>
        <v/>
      </c>
      <c r="FL175" s="72" t="str">
        <f t="shared" si="2691"/>
        <v/>
      </c>
      <c r="FM175" s="72" t="str">
        <f t="shared" si="2691"/>
        <v/>
      </c>
      <c r="FN175" s="72" t="str">
        <f t="shared" ref="FN175:FS175" si="2692">IF(CH175="","","|n"&amp;FN$2&amp;"+"&amp;CH175&amp;FN$1)</f>
        <v/>
      </c>
      <c r="FO175" s="72" t="str">
        <f t="shared" si="2692"/>
        <v/>
      </c>
      <c r="FP175" s="72" t="str">
        <f t="shared" si="2692"/>
        <v/>
      </c>
      <c r="FQ175" s="72" t="str">
        <f t="shared" si="2692"/>
        <v/>
      </c>
      <c r="FR175" s="72" t="str">
        <f t="shared" si="2692"/>
        <v/>
      </c>
      <c r="FS175" s="72" t="str">
        <f t="shared" si="2692"/>
        <v/>
      </c>
    </row>
    <row r="176" spans="1:175" ht="15">
      <c r="A176" s="104"/>
      <c r="B176" s="104" t="s">
        <v>646</v>
      </c>
      <c r="C176" s="98" t="s">
        <v>647</v>
      </c>
      <c r="T176" s="71" t="s">
        <v>648</v>
      </c>
      <c r="U176" s="88" t="str">
        <f t="shared" si="2680"/>
        <v>ReplaceableTextures\\CommandButtons\\BTNIN38.blp</v>
      </c>
      <c r="CN176" s="70" t="str">
        <f t="shared" si="2604"/>
        <v>InitUnitState('IN38',,,,,,,,,,)</v>
      </c>
      <c r="CO176" s="70" t="str">
        <f t="shared" si="2605"/>
        <v>InitUnitNormal('IN38',,,,,,,,,,)</v>
      </c>
      <c r="CP176" s="70" t="str">
        <f t="shared" si="2606"/>
        <v>InitUnitMagic('IN38',,,,,,,,,,)</v>
      </c>
      <c r="CQ176" s="70" t="str">
        <f t="shared" si="2607"/>
        <v>InitUnitAdd('IN38',,,,,,,,,,)</v>
      </c>
      <c r="CR176" s="70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216&amp;CR$1&amp;")"</f>
        <v>InitEquipData('IN38',,"",,,,,'','','','','','',"ReplaceableTextures\\CommandButtons\\BTNIN02.blp")</v>
      </c>
      <c r="CU176" s="98" t="str">
        <f t="shared" si="2681"/>
        <v>|n</v>
      </c>
      <c r="CV176" s="71" t="str">
        <f t="shared" si="2682"/>
        <v>生命|Cffffc926+20000|r</v>
      </c>
      <c r="CW176" s="61"/>
      <c r="CX176" s="61"/>
      <c r="CY176" s="61"/>
      <c r="CZ176" s="61"/>
      <c r="DA176" s="61"/>
      <c r="DB176" s="72" t="str">
        <f t="shared" ref="DB176:FM176" si="2693">IF(V176="","","|n"&amp;DB$2&amp;"+"&amp;V176&amp;DB$1)</f>
        <v/>
      </c>
      <c r="DC176" s="72" t="str">
        <f t="shared" si="2693"/>
        <v/>
      </c>
      <c r="DD176" s="72" t="str">
        <f t="shared" si="2693"/>
        <v/>
      </c>
      <c r="DE176" s="72" t="str">
        <f t="shared" si="2693"/>
        <v/>
      </c>
      <c r="DF176" s="72" t="str">
        <f t="shared" si="2693"/>
        <v/>
      </c>
      <c r="DG176" s="72" t="str">
        <f t="shared" si="2693"/>
        <v/>
      </c>
      <c r="DH176" s="72" t="str">
        <f t="shared" si="2693"/>
        <v/>
      </c>
      <c r="DI176" s="72" t="str">
        <f t="shared" si="2693"/>
        <v/>
      </c>
      <c r="DJ176" s="72" t="str">
        <f t="shared" si="2693"/>
        <v/>
      </c>
      <c r="DK176" s="72" t="str">
        <f t="shared" si="2693"/>
        <v/>
      </c>
      <c r="DL176" s="72" t="str">
        <f t="shared" si="2693"/>
        <v/>
      </c>
      <c r="DM176" s="72" t="str">
        <f t="shared" si="2693"/>
        <v/>
      </c>
      <c r="DN176" s="72" t="str">
        <f t="shared" si="2693"/>
        <v/>
      </c>
      <c r="DO176" s="72" t="str">
        <f t="shared" si="2693"/>
        <v/>
      </c>
      <c r="DP176" s="72" t="str">
        <f t="shared" si="2693"/>
        <v/>
      </c>
      <c r="DQ176" s="72" t="str">
        <f t="shared" si="2693"/>
        <v/>
      </c>
      <c r="DR176" s="72" t="str">
        <f t="shared" si="2693"/>
        <v/>
      </c>
      <c r="DS176" s="72" t="str">
        <f t="shared" si="2693"/>
        <v/>
      </c>
      <c r="DT176" s="72" t="str">
        <f t="shared" si="2693"/>
        <v/>
      </c>
      <c r="DU176" s="72" t="str">
        <f t="shared" si="2693"/>
        <v/>
      </c>
      <c r="DV176" s="72" t="str">
        <f t="shared" si="2693"/>
        <v/>
      </c>
      <c r="DW176" s="72" t="str">
        <f t="shared" si="2693"/>
        <v/>
      </c>
      <c r="DX176" s="72" t="str">
        <f t="shared" si="2693"/>
        <v/>
      </c>
      <c r="DY176" s="72" t="str">
        <f t="shared" si="2693"/>
        <v/>
      </c>
      <c r="DZ176" s="72" t="str">
        <f t="shared" si="2693"/>
        <v/>
      </c>
      <c r="EA176" s="72" t="str">
        <f t="shared" si="2693"/>
        <v/>
      </c>
      <c r="EB176" s="72" t="str">
        <f t="shared" si="2693"/>
        <v/>
      </c>
      <c r="EC176" s="72" t="str">
        <f t="shared" si="2693"/>
        <v/>
      </c>
      <c r="ED176" s="72" t="str">
        <f t="shared" si="2693"/>
        <v/>
      </c>
      <c r="EE176" s="72" t="str">
        <f t="shared" si="2693"/>
        <v/>
      </c>
      <c r="EF176" s="72" t="str">
        <f t="shared" si="2693"/>
        <v/>
      </c>
      <c r="EG176" s="72" t="str">
        <f t="shared" si="2693"/>
        <v/>
      </c>
      <c r="EH176" s="72" t="str">
        <f t="shared" si="2693"/>
        <v/>
      </c>
      <c r="EI176" s="72" t="str">
        <f t="shared" si="2693"/>
        <v/>
      </c>
      <c r="EJ176" s="72" t="str">
        <f t="shared" si="2693"/>
        <v/>
      </c>
      <c r="EK176" s="72" t="str">
        <f t="shared" si="2693"/>
        <v/>
      </c>
      <c r="EL176" s="72" t="str">
        <f t="shared" si="2693"/>
        <v/>
      </c>
      <c r="EM176" s="72" t="str">
        <f t="shared" si="2693"/>
        <v/>
      </c>
      <c r="EN176" s="72" t="str">
        <f t="shared" si="2693"/>
        <v/>
      </c>
      <c r="EO176" s="72" t="str">
        <f t="shared" si="2693"/>
        <v/>
      </c>
      <c r="EP176" s="72" t="str">
        <f t="shared" si="2693"/>
        <v/>
      </c>
      <c r="EQ176" s="72" t="str">
        <f t="shared" si="2693"/>
        <v/>
      </c>
      <c r="ER176" s="72" t="str">
        <f t="shared" si="2693"/>
        <v/>
      </c>
      <c r="ES176" s="72" t="str">
        <f t="shared" si="2693"/>
        <v/>
      </c>
      <c r="ET176" s="72" t="str">
        <f t="shared" si="2693"/>
        <v/>
      </c>
      <c r="EU176" s="72" t="str">
        <f t="shared" si="2693"/>
        <v/>
      </c>
      <c r="EV176" s="72" t="str">
        <f t="shared" si="2693"/>
        <v/>
      </c>
      <c r="EW176" s="72" t="str">
        <f t="shared" si="2693"/>
        <v/>
      </c>
      <c r="EX176" s="72" t="str">
        <f t="shared" si="2693"/>
        <v/>
      </c>
      <c r="EY176" s="72" t="str">
        <f t="shared" si="2693"/>
        <v/>
      </c>
      <c r="EZ176" s="72" t="str">
        <f t="shared" si="2693"/>
        <v/>
      </c>
      <c r="FA176" s="72" t="str">
        <f t="shared" si="2693"/>
        <v/>
      </c>
      <c r="FB176" s="72" t="str">
        <f t="shared" si="2693"/>
        <v/>
      </c>
      <c r="FC176" s="72" t="str">
        <f t="shared" si="2693"/>
        <v/>
      </c>
      <c r="FD176" s="72" t="str">
        <f t="shared" si="2693"/>
        <v/>
      </c>
      <c r="FE176" s="72" t="str">
        <f t="shared" si="2693"/>
        <v/>
      </c>
      <c r="FF176" s="72" t="str">
        <f t="shared" si="2693"/>
        <v/>
      </c>
      <c r="FG176" s="72" t="str">
        <f t="shared" si="2693"/>
        <v/>
      </c>
      <c r="FH176" s="72" t="str">
        <f t="shared" si="2693"/>
        <v/>
      </c>
      <c r="FI176" s="72" t="str">
        <f t="shared" si="2693"/>
        <v/>
      </c>
      <c r="FJ176" s="72" t="str">
        <f t="shared" si="2693"/>
        <v/>
      </c>
      <c r="FK176" s="72" t="str">
        <f t="shared" si="2693"/>
        <v/>
      </c>
      <c r="FL176" s="72" t="str">
        <f t="shared" si="2693"/>
        <v/>
      </c>
      <c r="FM176" s="72" t="str">
        <f t="shared" si="2693"/>
        <v/>
      </c>
      <c r="FN176" s="72" t="str">
        <f t="shared" ref="FN176:FS176" si="2694">IF(CH176="","","|n"&amp;FN$2&amp;"+"&amp;CH176&amp;FN$1)</f>
        <v/>
      </c>
      <c r="FO176" s="72" t="str">
        <f t="shared" si="2694"/>
        <v/>
      </c>
      <c r="FP176" s="72" t="str">
        <f t="shared" si="2694"/>
        <v/>
      </c>
      <c r="FQ176" s="72" t="str">
        <f t="shared" si="2694"/>
        <v/>
      </c>
      <c r="FR176" s="72" t="str">
        <f t="shared" si="2694"/>
        <v/>
      </c>
      <c r="FS176" s="72" t="str">
        <f t="shared" si="2694"/>
        <v/>
      </c>
    </row>
    <row r="177" spans="1:175" ht="15">
      <c r="A177" s="104"/>
      <c r="B177" s="118" t="s">
        <v>649</v>
      </c>
      <c r="C177" s="23" t="s">
        <v>650</v>
      </c>
      <c r="T177" s="71" t="s">
        <v>651</v>
      </c>
      <c r="U177" s="88" t="str">
        <f t="shared" si="2680"/>
        <v>ReplaceableTextures\\CommandButtons\\BTNIN39.blp</v>
      </c>
      <c r="CN177" s="70" t="str">
        <f t="shared" si="2604"/>
        <v>InitUnitState('IN39',,,,,,,,,,)</v>
      </c>
      <c r="CO177" s="70" t="str">
        <f t="shared" si="2605"/>
        <v>InitUnitNormal('IN39',,,,,,,,,,)</v>
      </c>
      <c r="CP177" s="70" t="str">
        <f t="shared" si="2606"/>
        <v>InitUnitMagic('IN39',,,,,,,,,,)</v>
      </c>
      <c r="CQ177" s="70" t="str">
        <f t="shared" si="2607"/>
        <v>InitUnitAdd('IN39',,,,,,,,,,)</v>
      </c>
      <c r="CR177" s="70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217&amp;CR$1&amp;")"</f>
        <v>InitEquipData('IN39',,"",,,,,'','','','','','',"ReplaceableTextures\\CommandButtons\\BTNIN03.blp")</v>
      </c>
      <c r="CU177" s="98" t="str">
        <f t="shared" si="2681"/>
        <v>|n</v>
      </c>
      <c r="CV177" s="71" t="str">
        <f t="shared" si="2682"/>
        <v>生命|Cffffc926+50000|r</v>
      </c>
      <c r="CW177" s="61"/>
      <c r="CX177" s="61"/>
      <c r="CY177" s="61"/>
      <c r="CZ177" s="61"/>
      <c r="DA177" s="61"/>
      <c r="DB177" s="72" t="str">
        <f t="shared" ref="DB177:FM177" si="2695">IF(V177="","","|n"&amp;DB$2&amp;"+"&amp;V177&amp;DB$1)</f>
        <v/>
      </c>
      <c r="DC177" s="72" t="str">
        <f t="shared" si="2695"/>
        <v/>
      </c>
      <c r="DD177" s="72" t="str">
        <f t="shared" si="2695"/>
        <v/>
      </c>
      <c r="DE177" s="72" t="str">
        <f t="shared" si="2695"/>
        <v/>
      </c>
      <c r="DF177" s="72" t="str">
        <f t="shared" si="2695"/>
        <v/>
      </c>
      <c r="DG177" s="72" t="str">
        <f t="shared" si="2695"/>
        <v/>
      </c>
      <c r="DH177" s="72" t="str">
        <f t="shared" si="2695"/>
        <v/>
      </c>
      <c r="DI177" s="72" t="str">
        <f t="shared" si="2695"/>
        <v/>
      </c>
      <c r="DJ177" s="72" t="str">
        <f t="shared" si="2695"/>
        <v/>
      </c>
      <c r="DK177" s="72" t="str">
        <f t="shared" si="2695"/>
        <v/>
      </c>
      <c r="DL177" s="72" t="str">
        <f t="shared" si="2695"/>
        <v/>
      </c>
      <c r="DM177" s="72" t="str">
        <f t="shared" si="2695"/>
        <v/>
      </c>
      <c r="DN177" s="72" t="str">
        <f t="shared" si="2695"/>
        <v/>
      </c>
      <c r="DO177" s="72" t="str">
        <f t="shared" si="2695"/>
        <v/>
      </c>
      <c r="DP177" s="72" t="str">
        <f t="shared" si="2695"/>
        <v/>
      </c>
      <c r="DQ177" s="72" t="str">
        <f t="shared" si="2695"/>
        <v/>
      </c>
      <c r="DR177" s="72" t="str">
        <f t="shared" si="2695"/>
        <v/>
      </c>
      <c r="DS177" s="72" t="str">
        <f t="shared" si="2695"/>
        <v/>
      </c>
      <c r="DT177" s="72" t="str">
        <f t="shared" si="2695"/>
        <v/>
      </c>
      <c r="DU177" s="72" t="str">
        <f t="shared" si="2695"/>
        <v/>
      </c>
      <c r="DV177" s="72" t="str">
        <f t="shared" si="2695"/>
        <v/>
      </c>
      <c r="DW177" s="72" t="str">
        <f t="shared" si="2695"/>
        <v/>
      </c>
      <c r="DX177" s="72" t="str">
        <f t="shared" si="2695"/>
        <v/>
      </c>
      <c r="DY177" s="72" t="str">
        <f t="shared" si="2695"/>
        <v/>
      </c>
      <c r="DZ177" s="72" t="str">
        <f t="shared" si="2695"/>
        <v/>
      </c>
      <c r="EA177" s="72" t="str">
        <f t="shared" si="2695"/>
        <v/>
      </c>
      <c r="EB177" s="72" t="str">
        <f t="shared" si="2695"/>
        <v/>
      </c>
      <c r="EC177" s="72" t="str">
        <f t="shared" si="2695"/>
        <v/>
      </c>
      <c r="ED177" s="72" t="str">
        <f t="shared" si="2695"/>
        <v/>
      </c>
      <c r="EE177" s="72" t="str">
        <f t="shared" si="2695"/>
        <v/>
      </c>
      <c r="EF177" s="72" t="str">
        <f t="shared" si="2695"/>
        <v/>
      </c>
      <c r="EG177" s="72" t="str">
        <f t="shared" si="2695"/>
        <v/>
      </c>
      <c r="EH177" s="72" t="str">
        <f t="shared" si="2695"/>
        <v/>
      </c>
      <c r="EI177" s="72" t="str">
        <f t="shared" si="2695"/>
        <v/>
      </c>
      <c r="EJ177" s="72" t="str">
        <f t="shared" si="2695"/>
        <v/>
      </c>
      <c r="EK177" s="72" t="str">
        <f t="shared" si="2695"/>
        <v/>
      </c>
      <c r="EL177" s="72" t="str">
        <f t="shared" si="2695"/>
        <v/>
      </c>
      <c r="EM177" s="72" t="str">
        <f t="shared" si="2695"/>
        <v/>
      </c>
      <c r="EN177" s="72" t="str">
        <f t="shared" si="2695"/>
        <v/>
      </c>
      <c r="EO177" s="72" t="str">
        <f t="shared" si="2695"/>
        <v/>
      </c>
      <c r="EP177" s="72" t="str">
        <f t="shared" si="2695"/>
        <v/>
      </c>
      <c r="EQ177" s="72" t="str">
        <f t="shared" si="2695"/>
        <v/>
      </c>
      <c r="ER177" s="72" t="str">
        <f t="shared" si="2695"/>
        <v/>
      </c>
      <c r="ES177" s="72" t="str">
        <f t="shared" si="2695"/>
        <v/>
      </c>
      <c r="ET177" s="72" t="str">
        <f t="shared" si="2695"/>
        <v/>
      </c>
      <c r="EU177" s="72" t="str">
        <f t="shared" si="2695"/>
        <v/>
      </c>
      <c r="EV177" s="72" t="str">
        <f t="shared" si="2695"/>
        <v/>
      </c>
      <c r="EW177" s="72" t="str">
        <f t="shared" si="2695"/>
        <v/>
      </c>
      <c r="EX177" s="72" t="str">
        <f t="shared" si="2695"/>
        <v/>
      </c>
      <c r="EY177" s="72" t="str">
        <f t="shared" si="2695"/>
        <v/>
      </c>
      <c r="EZ177" s="72" t="str">
        <f t="shared" si="2695"/>
        <v/>
      </c>
      <c r="FA177" s="72" t="str">
        <f t="shared" si="2695"/>
        <v/>
      </c>
      <c r="FB177" s="72" t="str">
        <f t="shared" si="2695"/>
        <v/>
      </c>
      <c r="FC177" s="72" t="str">
        <f t="shared" si="2695"/>
        <v/>
      </c>
      <c r="FD177" s="72" t="str">
        <f t="shared" si="2695"/>
        <v/>
      </c>
      <c r="FE177" s="72" t="str">
        <f t="shared" si="2695"/>
        <v/>
      </c>
      <c r="FF177" s="72" t="str">
        <f t="shared" si="2695"/>
        <v/>
      </c>
      <c r="FG177" s="72" t="str">
        <f t="shared" si="2695"/>
        <v/>
      </c>
      <c r="FH177" s="72" t="str">
        <f t="shared" si="2695"/>
        <v/>
      </c>
      <c r="FI177" s="72" t="str">
        <f t="shared" si="2695"/>
        <v/>
      </c>
      <c r="FJ177" s="72" t="str">
        <f t="shared" si="2695"/>
        <v/>
      </c>
      <c r="FK177" s="72" t="str">
        <f t="shared" si="2695"/>
        <v/>
      </c>
      <c r="FL177" s="72" t="str">
        <f t="shared" si="2695"/>
        <v/>
      </c>
      <c r="FM177" s="72" t="str">
        <f t="shared" si="2695"/>
        <v/>
      </c>
      <c r="FN177" s="72" t="str">
        <f t="shared" ref="FN177:FS177" si="2696">IF(CH177="","","|n"&amp;FN$2&amp;"+"&amp;CH177&amp;FN$1)</f>
        <v/>
      </c>
      <c r="FO177" s="72" t="str">
        <f t="shared" si="2696"/>
        <v/>
      </c>
      <c r="FP177" s="72" t="str">
        <f t="shared" si="2696"/>
        <v/>
      </c>
      <c r="FQ177" s="72" t="str">
        <f t="shared" si="2696"/>
        <v/>
      </c>
      <c r="FR177" s="72" t="str">
        <f t="shared" si="2696"/>
        <v/>
      </c>
      <c r="FS177" s="72" t="str">
        <f t="shared" si="2696"/>
        <v/>
      </c>
    </row>
    <row r="178" spans="1:175" ht="15">
      <c r="A178" s="104"/>
      <c r="B178" s="104" t="s">
        <v>652</v>
      </c>
      <c r="C178" s="23" t="s">
        <v>653</v>
      </c>
      <c r="T178" s="71" t="s">
        <v>654</v>
      </c>
      <c r="U178" s="88" t="str">
        <f t="shared" si="2680"/>
        <v>ReplaceableTextures\\CommandButtons\\BTNIN40.blp</v>
      </c>
      <c r="CN178" s="70" t="str">
        <f t="shared" si="2604"/>
        <v>InitUnitState('IN40',,,,,,,,,,)</v>
      </c>
      <c r="CO178" s="70" t="str">
        <f t="shared" si="2605"/>
        <v>InitUnitNormal('IN40',,,,,,,,,,)</v>
      </c>
      <c r="CP178" s="70" t="str">
        <f t="shared" si="2606"/>
        <v>InitUnitMagic('IN40',,,,,,,,,,)</v>
      </c>
      <c r="CQ178" s="70" t="str">
        <f t="shared" si="2607"/>
        <v>InitUnitAdd('IN40',,,,,,,,,,)</v>
      </c>
      <c r="CR178" s="70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218&amp;CR$1&amp;")"</f>
        <v>InitEquipData('IN40',,"",,,,,'','','','','','',"ReplaceableTextures\\CommandButtons\\BTN009.blp")</v>
      </c>
      <c r="CU178" s="98" t="str">
        <f t="shared" si="2681"/>
        <v>|n</v>
      </c>
      <c r="CV178" s="71" t="str">
        <f t="shared" si="2682"/>
        <v>生命|Cffffc926+200000|r</v>
      </c>
      <c r="CW178" s="61"/>
      <c r="CX178" s="61"/>
      <c r="CY178" s="61"/>
      <c r="CZ178" s="61"/>
      <c r="DA178" s="61"/>
      <c r="DB178" s="72" t="str">
        <f t="shared" ref="DB178:FM178" si="2697">IF(V178="","","|n"&amp;DB$2&amp;"+"&amp;V178&amp;DB$1)</f>
        <v/>
      </c>
      <c r="DC178" s="72" t="str">
        <f t="shared" si="2697"/>
        <v/>
      </c>
      <c r="DD178" s="72" t="str">
        <f t="shared" si="2697"/>
        <v/>
      </c>
      <c r="DE178" s="72" t="str">
        <f t="shared" si="2697"/>
        <v/>
      </c>
      <c r="DF178" s="72" t="str">
        <f t="shared" si="2697"/>
        <v/>
      </c>
      <c r="DG178" s="72" t="str">
        <f t="shared" si="2697"/>
        <v/>
      </c>
      <c r="DH178" s="72" t="str">
        <f t="shared" si="2697"/>
        <v/>
      </c>
      <c r="DI178" s="72" t="str">
        <f t="shared" si="2697"/>
        <v/>
      </c>
      <c r="DJ178" s="72" t="str">
        <f t="shared" si="2697"/>
        <v/>
      </c>
      <c r="DK178" s="72" t="str">
        <f t="shared" si="2697"/>
        <v/>
      </c>
      <c r="DL178" s="72" t="str">
        <f t="shared" si="2697"/>
        <v/>
      </c>
      <c r="DM178" s="72" t="str">
        <f t="shared" si="2697"/>
        <v/>
      </c>
      <c r="DN178" s="72" t="str">
        <f t="shared" si="2697"/>
        <v/>
      </c>
      <c r="DO178" s="72" t="str">
        <f t="shared" si="2697"/>
        <v/>
      </c>
      <c r="DP178" s="72" t="str">
        <f t="shared" si="2697"/>
        <v/>
      </c>
      <c r="DQ178" s="72" t="str">
        <f t="shared" si="2697"/>
        <v/>
      </c>
      <c r="DR178" s="72" t="str">
        <f t="shared" si="2697"/>
        <v/>
      </c>
      <c r="DS178" s="72" t="str">
        <f t="shared" si="2697"/>
        <v/>
      </c>
      <c r="DT178" s="72" t="str">
        <f t="shared" si="2697"/>
        <v/>
      </c>
      <c r="DU178" s="72" t="str">
        <f t="shared" si="2697"/>
        <v/>
      </c>
      <c r="DV178" s="72" t="str">
        <f t="shared" si="2697"/>
        <v/>
      </c>
      <c r="DW178" s="72" t="str">
        <f t="shared" si="2697"/>
        <v/>
      </c>
      <c r="DX178" s="72" t="str">
        <f t="shared" si="2697"/>
        <v/>
      </c>
      <c r="DY178" s="72" t="str">
        <f t="shared" si="2697"/>
        <v/>
      </c>
      <c r="DZ178" s="72" t="str">
        <f t="shared" si="2697"/>
        <v/>
      </c>
      <c r="EA178" s="72" t="str">
        <f t="shared" si="2697"/>
        <v/>
      </c>
      <c r="EB178" s="72" t="str">
        <f t="shared" si="2697"/>
        <v/>
      </c>
      <c r="EC178" s="72" t="str">
        <f t="shared" si="2697"/>
        <v/>
      </c>
      <c r="ED178" s="72" t="str">
        <f t="shared" si="2697"/>
        <v/>
      </c>
      <c r="EE178" s="72" t="str">
        <f t="shared" si="2697"/>
        <v/>
      </c>
      <c r="EF178" s="72" t="str">
        <f t="shared" si="2697"/>
        <v/>
      </c>
      <c r="EG178" s="72" t="str">
        <f t="shared" si="2697"/>
        <v/>
      </c>
      <c r="EH178" s="72" t="str">
        <f t="shared" si="2697"/>
        <v/>
      </c>
      <c r="EI178" s="72" t="str">
        <f t="shared" si="2697"/>
        <v/>
      </c>
      <c r="EJ178" s="72" t="str">
        <f t="shared" si="2697"/>
        <v/>
      </c>
      <c r="EK178" s="72" t="str">
        <f t="shared" si="2697"/>
        <v/>
      </c>
      <c r="EL178" s="72" t="str">
        <f t="shared" si="2697"/>
        <v/>
      </c>
      <c r="EM178" s="72" t="str">
        <f t="shared" si="2697"/>
        <v/>
      </c>
      <c r="EN178" s="72" t="str">
        <f t="shared" si="2697"/>
        <v/>
      </c>
      <c r="EO178" s="72" t="str">
        <f t="shared" si="2697"/>
        <v/>
      </c>
      <c r="EP178" s="72" t="str">
        <f t="shared" si="2697"/>
        <v/>
      </c>
      <c r="EQ178" s="72" t="str">
        <f t="shared" si="2697"/>
        <v/>
      </c>
      <c r="ER178" s="72" t="str">
        <f t="shared" si="2697"/>
        <v/>
      </c>
      <c r="ES178" s="72" t="str">
        <f t="shared" si="2697"/>
        <v/>
      </c>
      <c r="ET178" s="72" t="str">
        <f t="shared" si="2697"/>
        <v/>
      </c>
      <c r="EU178" s="72" t="str">
        <f t="shared" si="2697"/>
        <v/>
      </c>
      <c r="EV178" s="72" t="str">
        <f t="shared" si="2697"/>
        <v/>
      </c>
      <c r="EW178" s="72" t="str">
        <f t="shared" si="2697"/>
        <v/>
      </c>
      <c r="EX178" s="72" t="str">
        <f t="shared" si="2697"/>
        <v/>
      </c>
      <c r="EY178" s="72" t="str">
        <f t="shared" si="2697"/>
        <v/>
      </c>
      <c r="EZ178" s="72" t="str">
        <f t="shared" si="2697"/>
        <v/>
      </c>
      <c r="FA178" s="72" t="str">
        <f t="shared" si="2697"/>
        <v/>
      </c>
      <c r="FB178" s="72" t="str">
        <f t="shared" si="2697"/>
        <v/>
      </c>
      <c r="FC178" s="72" t="str">
        <f t="shared" si="2697"/>
        <v/>
      </c>
      <c r="FD178" s="72" t="str">
        <f t="shared" si="2697"/>
        <v/>
      </c>
      <c r="FE178" s="72" t="str">
        <f t="shared" si="2697"/>
        <v/>
      </c>
      <c r="FF178" s="72" t="str">
        <f t="shared" si="2697"/>
        <v/>
      </c>
      <c r="FG178" s="72" t="str">
        <f t="shared" si="2697"/>
        <v/>
      </c>
      <c r="FH178" s="72" t="str">
        <f t="shared" si="2697"/>
        <v/>
      </c>
      <c r="FI178" s="72" t="str">
        <f t="shared" si="2697"/>
        <v/>
      </c>
      <c r="FJ178" s="72" t="str">
        <f t="shared" si="2697"/>
        <v/>
      </c>
      <c r="FK178" s="72" t="str">
        <f t="shared" si="2697"/>
        <v/>
      </c>
      <c r="FL178" s="72" t="str">
        <f t="shared" si="2697"/>
        <v/>
      </c>
      <c r="FM178" s="72" t="str">
        <f t="shared" si="2697"/>
        <v/>
      </c>
      <c r="FN178" s="72" t="str">
        <f t="shared" ref="FN178:FS178" si="2698">IF(CH178="","","|n"&amp;FN$2&amp;"+"&amp;CH178&amp;FN$1)</f>
        <v/>
      </c>
      <c r="FO178" s="72" t="str">
        <f t="shared" si="2698"/>
        <v/>
      </c>
      <c r="FP178" s="72" t="str">
        <f t="shared" si="2698"/>
        <v/>
      </c>
      <c r="FQ178" s="72" t="str">
        <f t="shared" si="2698"/>
        <v/>
      </c>
      <c r="FR178" s="72" t="str">
        <f t="shared" si="2698"/>
        <v/>
      </c>
      <c r="FS178" s="72" t="str">
        <f t="shared" si="2698"/>
        <v/>
      </c>
    </row>
    <row r="179" spans="1:175" ht="15">
      <c r="A179" s="104"/>
      <c r="B179" s="104" t="s">
        <v>655</v>
      </c>
      <c r="C179" s="104" t="s">
        <v>656</v>
      </c>
      <c r="T179" s="123" t="s">
        <v>657</v>
      </c>
      <c r="U179" s="88" t="str">
        <f t="shared" si="2680"/>
        <v>ReplaceableTextures\\CommandButtons\\BTNIP01.blp</v>
      </c>
      <c r="CN179" s="70" t="str">
        <f t="shared" ref="CN179:CN187" si="2699">"InitUnitState('"&amp;B179&amp;"',"&amp;V179&amp;","&amp;W179&amp;","&amp;X179&amp;","&amp;Y179&amp;","&amp;Z179&amp;","&amp;AA179&amp;","&amp;AB179&amp;","&amp;AC179&amp;","&amp;AD179&amp;","&amp;AE179&amp;")"</f>
        <v>InitUnitState('IP01',,,,,,,,,,)</v>
      </c>
      <c r="CO179" s="70" t="str">
        <f t="shared" ref="CO179:CO187" si="2700">"InitUnitNormal('"&amp;B179&amp;"',"&amp;AF179&amp;","&amp;AG179&amp;","&amp;AH179&amp;","&amp;AI179&amp;","&amp;AJ179&amp;","&amp;AK179&amp;","&amp;AL179&amp;","&amp;AM179&amp;","&amp;AN179&amp;","&amp;AO179&amp;")"</f>
        <v>InitUnitNormal('IP01',,,,,,,,,,)</v>
      </c>
      <c r="CP179" s="70" t="str">
        <f t="shared" ref="CP179:CP187" si="2701">"InitUnitMagic('"&amp;B179&amp;"',"&amp;AP179&amp;","&amp;AQ179&amp;","&amp;AR179&amp;","&amp;AS179&amp;","&amp;AT179&amp;","&amp;AU179&amp;","&amp;AV179&amp;","&amp;AW179&amp;","&amp;BI179&amp;","&amp;BJ179&amp;")"</f>
        <v>InitUnitMagic('IP01',,,,,,,,,,)</v>
      </c>
      <c r="CQ179" s="70" t="str">
        <f t="shared" ref="CQ179:CQ187" si="2702">"InitUnitAdd('"&amp;B179&amp;"',"&amp;BK179&amp;","&amp;BL179&amp;","&amp;BM179&amp;","&amp;BN179&amp;","&amp;BO179&amp;","&amp;BP179&amp;","&amp;BQ179&amp;","&amp;BR179&amp;","&amp;BS179&amp;","&amp;BT179&amp;")"</f>
        <v>InitUnitAdd('IP01',,,,,,,,,,)</v>
      </c>
      <c r="CR179" s="70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InitEquipData('IP01',,"",,,,,'','','','','','',"ReplaceableTextures\\CommandButtons\\BTNIP02.blp")</v>
      </c>
      <c r="CU179" s="98" t="str">
        <f t="shared" ref="CU179" si="2703">CONCATENATE(DB179,DC179,DD179,DE179,DF179,DG179,DH179,DI179,DJ179,DK179,DL179,DM179,DN179,DO179,DP179,DQ179,DR179,DS179,DT179,DU179,DV179,DW179,DX179,DY179,DZ179,EA179,EB179,EC179,ED179,EE179,EF179,EG179,EH179,EI179,EJ179,EK179,EL179,EM179,EN179,EO179,EP179&amp;"|n")</f>
        <v>|n</v>
      </c>
      <c r="CV179" s="71" t="str">
        <f t="shared" ref="CV179" si="2704">T179</f>
        <v>每次|Cffffd24d完成|r时渊副本将消耗|Cffffd24d1|r个|Cffffd24d时渊入场券|r</v>
      </c>
      <c r="CW179" s="61"/>
      <c r="CX179" s="61"/>
      <c r="CY179" s="61"/>
      <c r="CZ179" s="61"/>
      <c r="DA179" s="61"/>
      <c r="DB179" s="72" t="str">
        <f t="shared" ref="DB179" si="2705">IF(V179="","","|n"&amp;DB$2&amp;"+"&amp;V179&amp;DB$1)</f>
        <v/>
      </c>
      <c r="DC179" s="72" t="str">
        <f t="shared" ref="DC179" si="2706">IF(W179="","","|n"&amp;DC$2&amp;"+"&amp;W179&amp;DC$1)</f>
        <v/>
      </c>
      <c r="DD179" s="72" t="str">
        <f t="shared" ref="DD179" si="2707">IF(X179="","","|n"&amp;DD$2&amp;"+"&amp;X179&amp;DD$1)</f>
        <v/>
      </c>
      <c r="DE179" s="72" t="str">
        <f t="shared" ref="DE179" si="2708">IF(Y179="","","|n"&amp;DE$2&amp;"+"&amp;Y179&amp;DE$1)</f>
        <v/>
      </c>
      <c r="DF179" s="72" t="str">
        <f t="shared" ref="DF179" si="2709">IF(Z179="","","|n"&amp;DF$2&amp;"+"&amp;Z179&amp;DF$1)</f>
        <v/>
      </c>
      <c r="DG179" s="72" t="str">
        <f t="shared" ref="DG179" si="2710">IF(AA179="","","|n"&amp;DG$2&amp;"+"&amp;AA179&amp;DG$1)</f>
        <v/>
      </c>
      <c r="DH179" s="72" t="str">
        <f t="shared" ref="DH179" si="2711">IF(AB179="","","|n"&amp;DH$2&amp;"+"&amp;AB179&amp;DH$1)</f>
        <v/>
      </c>
      <c r="DI179" s="72" t="str">
        <f t="shared" ref="DI179" si="2712">IF(AC179="","","|n"&amp;DI$2&amp;"+"&amp;AC179&amp;DI$1)</f>
        <v/>
      </c>
      <c r="DJ179" s="72" t="str">
        <f t="shared" ref="DJ179" si="2713">IF(AD179="","","|n"&amp;DJ$2&amp;"+"&amp;AD179&amp;DJ$1)</f>
        <v/>
      </c>
      <c r="DK179" s="72" t="str">
        <f t="shared" ref="DK179" si="2714">IF(AE179="","","|n"&amp;DK$2&amp;"+"&amp;AE179&amp;DK$1)</f>
        <v/>
      </c>
      <c r="DL179" s="72" t="str">
        <f t="shared" ref="DL179" si="2715">IF(AF179="","","|n"&amp;DL$2&amp;"+"&amp;AF179&amp;DL$1)</f>
        <v/>
      </c>
      <c r="DM179" s="72" t="str">
        <f t="shared" ref="DM179" si="2716">IF(AG179="","","|n"&amp;DM$2&amp;"+"&amp;AG179&amp;DM$1)</f>
        <v/>
      </c>
      <c r="DN179" s="72" t="str">
        <f t="shared" ref="DN179" si="2717">IF(AH179="","","|n"&amp;DN$2&amp;"+"&amp;AH179&amp;DN$1)</f>
        <v/>
      </c>
      <c r="DO179" s="72" t="str">
        <f t="shared" ref="DO179" si="2718">IF(AI179="","","|n"&amp;DO$2&amp;"+"&amp;AI179&amp;DO$1)</f>
        <v/>
      </c>
      <c r="DP179" s="72" t="str">
        <f t="shared" ref="DP179" si="2719">IF(AJ179="","","|n"&amp;DP$2&amp;"+"&amp;AJ179&amp;DP$1)</f>
        <v/>
      </c>
      <c r="DQ179" s="72" t="str">
        <f t="shared" ref="DQ179" si="2720">IF(AK179="","","|n"&amp;DQ$2&amp;"+"&amp;AK179&amp;DQ$1)</f>
        <v/>
      </c>
      <c r="DR179" s="72" t="str">
        <f t="shared" ref="DR179" si="2721">IF(AL179="","","|n"&amp;DR$2&amp;"+"&amp;AL179&amp;DR$1)</f>
        <v/>
      </c>
      <c r="DS179" s="72" t="str">
        <f t="shared" ref="DS179" si="2722">IF(AM179="","","|n"&amp;DS$2&amp;"+"&amp;AM179&amp;DS$1)</f>
        <v/>
      </c>
      <c r="DT179" s="72" t="str">
        <f t="shared" ref="DT179" si="2723">IF(AN179="","","|n"&amp;DT$2&amp;"+"&amp;AN179&amp;DT$1)</f>
        <v/>
      </c>
      <c r="DU179" s="72" t="str">
        <f t="shared" ref="DU179" si="2724">IF(AO179="","","|n"&amp;DU$2&amp;"+"&amp;AO179&amp;DU$1)</f>
        <v/>
      </c>
      <c r="DV179" s="72" t="str">
        <f t="shared" ref="DV179" si="2725">IF(AP179="","","|n"&amp;DV$2&amp;"+"&amp;AP179&amp;DV$1)</f>
        <v/>
      </c>
      <c r="DW179" s="72" t="str">
        <f t="shared" ref="DW179" si="2726">IF(AQ179="","","|n"&amp;DW$2&amp;"+"&amp;AQ179&amp;DW$1)</f>
        <v/>
      </c>
      <c r="DX179" s="72" t="str">
        <f t="shared" ref="DX179" si="2727">IF(AR179="","","|n"&amp;DX$2&amp;"+"&amp;AR179&amp;DX$1)</f>
        <v/>
      </c>
      <c r="DY179" s="72" t="str">
        <f t="shared" ref="DY179" si="2728">IF(AS179="","","|n"&amp;DY$2&amp;"+"&amp;AS179&amp;DY$1)</f>
        <v/>
      </c>
      <c r="DZ179" s="72" t="str">
        <f t="shared" ref="DZ179" si="2729">IF(AT179="","","|n"&amp;DZ$2&amp;"+"&amp;AT179&amp;DZ$1)</f>
        <v/>
      </c>
      <c r="EA179" s="72" t="str">
        <f t="shared" ref="EA179" si="2730">IF(AU179="","","|n"&amp;EA$2&amp;"+"&amp;AU179&amp;EA$1)</f>
        <v/>
      </c>
      <c r="EB179" s="72" t="str">
        <f t="shared" ref="EB179" si="2731">IF(AV179="","","|n"&amp;EB$2&amp;"+"&amp;AV179&amp;EB$1)</f>
        <v/>
      </c>
      <c r="EC179" s="72" t="str">
        <f t="shared" ref="EC179" si="2732">IF(AW179="","","|n"&amp;EC$2&amp;"+"&amp;AW179&amp;EC$1)</f>
        <v/>
      </c>
      <c r="ED179" s="72" t="str">
        <f t="shared" ref="ED179" si="2733">IF(AX179="","","|n"&amp;ED$2&amp;"+"&amp;AX179&amp;ED$1)</f>
        <v/>
      </c>
      <c r="EE179" s="72" t="str">
        <f t="shared" ref="EE179" si="2734">IF(AY179="","","|n"&amp;EE$2&amp;"+"&amp;AY179&amp;EE$1)</f>
        <v/>
      </c>
      <c r="EF179" s="72" t="str">
        <f t="shared" ref="EF179" si="2735">IF(AZ179="","","|n"&amp;EF$2&amp;"+"&amp;AZ179&amp;EF$1)</f>
        <v/>
      </c>
      <c r="EG179" s="72" t="str">
        <f t="shared" ref="EG179" si="2736">IF(BA179="","","|n"&amp;EG$2&amp;"+"&amp;BA179&amp;EG$1)</f>
        <v/>
      </c>
      <c r="EH179" s="72" t="str">
        <f t="shared" ref="EH179" si="2737">IF(BB179="","","|n"&amp;EH$2&amp;"+"&amp;BB179&amp;EH$1)</f>
        <v/>
      </c>
      <c r="EI179" s="72" t="str">
        <f t="shared" ref="EI179" si="2738">IF(BC179="","","|n"&amp;EI$2&amp;"+"&amp;BC179&amp;EI$1)</f>
        <v/>
      </c>
      <c r="EJ179" s="72" t="str">
        <f t="shared" ref="EJ179" si="2739">IF(BD179="","","|n"&amp;EJ$2&amp;"+"&amp;BD179&amp;EJ$1)</f>
        <v/>
      </c>
      <c r="EK179" s="72" t="str">
        <f t="shared" ref="EK179" si="2740">IF(BE179="","","|n"&amp;EK$2&amp;"+"&amp;BE179&amp;EK$1)</f>
        <v/>
      </c>
      <c r="EL179" s="72" t="str">
        <f t="shared" ref="EL179" si="2741">IF(BF179="","","|n"&amp;EL$2&amp;"+"&amp;BF179&amp;EL$1)</f>
        <v/>
      </c>
      <c r="EM179" s="72" t="str">
        <f t="shared" ref="EM179" si="2742">IF(BG179="","","|n"&amp;EM$2&amp;"+"&amp;BG179&amp;EM$1)</f>
        <v/>
      </c>
      <c r="EN179" s="72" t="str">
        <f t="shared" ref="EN179" si="2743">IF(BH179="","","|n"&amp;EN$2&amp;"+"&amp;BH179&amp;EN$1)</f>
        <v/>
      </c>
      <c r="EO179" s="72" t="str">
        <f t="shared" ref="EO179" si="2744">IF(BI179="","","|n"&amp;EO$2&amp;"+"&amp;BI179&amp;EO$1)</f>
        <v/>
      </c>
      <c r="EP179" s="72" t="str">
        <f t="shared" ref="EP179" si="2745">IF(BJ179="","","|n"&amp;EP$2&amp;"+"&amp;BJ179&amp;EP$1)</f>
        <v/>
      </c>
      <c r="EQ179" s="72" t="str">
        <f t="shared" ref="EQ179" si="2746">IF(BK179="","","|n"&amp;EQ$2&amp;"+"&amp;BK179&amp;EQ$1)</f>
        <v/>
      </c>
      <c r="ER179" s="72" t="str">
        <f t="shared" ref="ER179" si="2747">IF(BL179="","","|n"&amp;ER$2&amp;"+"&amp;BL179&amp;ER$1)</f>
        <v/>
      </c>
      <c r="ES179" s="72" t="str">
        <f t="shared" ref="ES179" si="2748">IF(BM179="","","|n"&amp;ES$2&amp;"+"&amp;BM179&amp;ES$1)</f>
        <v/>
      </c>
      <c r="ET179" s="72" t="str">
        <f t="shared" ref="ET179" si="2749">IF(BN179="","","|n"&amp;ET$2&amp;"+"&amp;BN179&amp;ET$1)</f>
        <v/>
      </c>
      <c r="EU179" s="72" t="str">
        <f t="shared" ref="EU179" si="2750">IF(BO179="","","|n"&amp;EU$2&amp;"+"&amp;BO179&amp;EU$1)</f>
        <v/>
      </c>
      <c r="EV179" s="72" t="str">
        <f t="shared" ref="EV179" si="2751">IF(BP179="","","|n"&amp;EV$2&amp;"+"&amp;BP179&amp;EV$1)</f>
        <v/>
      </c>
      <c r="EW179" s="72" t="str">
        <f t="shared" ref="EW179" si="2752">IF(BQ179="","","|n"&amp;EW$2&amp;"+"&amp;BQ179&amp;EW$1)</f>
        <v/>
      </c>
      <c r="EX179" s="72" t="str">
        <f t="shared" ref="EX179" si="2753">IF(BR179="","","|n"&amp;EX$2&amp;"+"&amp;BR179&amp;EX$1)</f>
        <v/>
      </c>
      <c r="EY179" s="72" t="str">
        <f t="shared" ref="EY179" si="2754">IF(BS179="","","|n"&amp;EY$2&amp;"+"&amp;BS179&amp;EY$1)</f>
        <v/>
      </c>
      <c r="EZ179" s="72" t="str">
        <f t="shared" ref="EZ179" si="2755">IF(BT179="","","|n"&amp;EZ$2&amp;"+"&amp;BT179&amp;EZ$1)</f>
        <v/>
      </c>
      <c r="FA179" s="72" t="str">
        <f t="shared" ref="FA179" si="2756">IF(BU179="","","|n"&amp;FA$2&amp;"+"&amp;BU179&amp;FA$1)</f>
        <v/>
      </c>
      <c r="FB179" s="72" t="str">
        <f t="shared" ref="FB179" si="2757">IF(BV179="","","|n"&amp;FB$2&amp;"+"&amp;BV179&amp;FB$1)</f>
        <v/>
      </c>
      <c r="FC179" s="72" t="str">
        <f t="shared" ref="FC179" si="2758">IF(BW179="","","|n"&amp;FC$2&amp;"+"&amp;BW179&amp;FC$1)</f>
        <v/>
      </c>
      <c r="FD179" s="72" t="str">
        <f t="shared" ref="FD179" si="2759">IF(BX179="","","|n"&amp;FD$2&amp;"+"&amp;BX179&amp;FD$1)</f>
        <v/>
      </c>
      <c r="FE179" s="72" t="str">
        <f t="shared" ref="FE179" si="2760">IF(BY179="","","|n"&amp;FE$2&amp;"+"&amp;BY179&amp;FE$1)</f>
        <v/>
      </c>
      <c r="FF179" s="72" t="str">
        <f t="shared" ref="FF179" si="2761">IF(BZ179="","","|n"&amp;FF$2&amp;"+"&amp;BZ179&amp;FF$1)</f>
        <v/>
      </c>
      <c r="FG179" s="72" t="str">
        <f t="shared" ref="FG179" si="2762">IF(CA179="","","|n"&amp;FG$2&amp;"+"&amp;CA179&amp;FG$1)</f>
        <v/>
      </c>
      <c r="FH179" s="72" t="str">
        <f t="shared" ref="FH179" si="2763">IF(CB179="","","|n"&amp;FH$2&amp;"+"&amp;CB179&amp;FH$1)</f>
        <v/>
      </c>
      <c r="FI179" s="72" t="str">
        <f t="shared" ref="FI179" si="2764">IF(CC179="","","|n"&amp;FI$2&amp;"+"&amp;CC179&amp;FI$1)</f>
        <v/>
      </c>
      <c r="FJ179" s="72" t="str">
        <f t="shared" ref="FJ179" si="2765">IF(CD179="","","|n"&amp;FJ$2&amp;"+"&amp;CD179&amp;FJ$1)</f>
        <v/>
      </c>
      <c r="FK179" s="72" t="str">
        <f t="shared" ref="FK179" si="2766">IF(CE179="","","|n"&amp;FK$2&amp;"+"&amp;CE179&amp;FK$1)</f>
        <v/>
      </c>
      <c r="FL179" s="72" t="str">
        <f t="shared" ref="FL179" si="2767">IF(CF179="","","|n"&amp;FL$2&amp;"+"&amp;CF179&amp;FL$1)</f>
        <v/>
      </c>
      <c r="FM179" s="72" t="str">
        <f t="shared" ref="FM179" si="2768">IF(CG179="","","|n"&amp;FM$2&amp;"+"&amp;CG179&amp;FM$1)</f>
        <v/>
      </c>
      <c r="FN179" s="72" t="str">
        <f t="shared" ref="FN179" si="2769">IF(CH179="","","|n"&amp;FN$2&amp;"+"&amp;CH179&amp;FN$1)</f>
        <v/>
      </c>
      <c r="FO179" s="72" t="str">
        <f t="shared" ref="FO179" si="2770">IF(CI179="","","|n"&amp;FO$2&amp;"+"&amp;CI179&amp;FO$1)</f>
        <v/>
      </c>
      <c r="FP179" s="72" t="str">
        <f t="shared" ref="FP179" si="2771">IF(CJ179="","","|n"&amp;FP$2&amp;"+"&amp;CJ179&amp;FP$1)</f>
        <v/>
      </c>
      <c r="FQ179" s="72" t="str">
        <f t="shared" ref="FQ179" si="2772">IF(CK179="","","|n"&amp;FQ$2&amp;"+"&amp;CK179&amp;FQ$1)</f>
        <v/>
      </c>
      <c r="FR179" s="72" t="str">
        <f t="shared" ref="FR179" si="2773">IF(CL179="","","|n"&amp;FR$2&amp;"+"&amp;CL179&amp;FR$1)</f>
        <v/>
      </c>
      <c r="FS179" s="72" t="str">
        <f t="shared" ref="FS179" si="2774">IF(CM179="","","|n"&amp;FS$2&amp;"+"&amp;CM179&amp;FS$1)</f>
        <v/>
      </c>
    </row>
    <row r="180" spans="1:175" ht="15">
      <c r="A180" s="81"/>
      <c r="B180" s="104" t="s">
        <v>658</v>
      </c>
      <c r="C180" s="81" t="s">
        <v>659</v>
      </c>
      <c r="T180" s="117" t="s">
        <v>660</v>
      </c>
      <c r="U180" s="88" t="str">
        <f t="shared" si="2680"/>
        <v>ReplaceableTextures\\CommandButtons\\BTNIP02.blp</v>
      </c>
      <c r="CN180" s="70" t="str">
        <f t="shared" si="2699"/>
        <v>InitUnitState('IP02',,,,,,,,,,)</v>
      </c>
      <c r="CO180" s="70" t="str">
        <f t="shared" si="2700"/>
        <v>InitUnitNormal('IP02',,,,,,,,,,)</v>
      </c>
      <c r="CP180" s="70" t="str">
        <f t="shared" si="2701"/>
        <v>InitUnitMagic('IP02',,,,,,,,,,)</v>
      </c>
      <c r="CQ180" s="70" t="str">
        <f t="shared" si="2702"/>
        <v>InitUnitAdd('IP02',,,,,,,,,,)</v>
      </c>
      <c r="CR180" s="70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InitEquipData('IP02',,"",,,,,'','','','','','',"ReplaceableTextures\\CommandButtons\\BTNIP03.blp")</v>
      </c>
      <c r="CU180" s="98" t="str">
        <f t="shared" ref="CU180:CU181" si="2775">CONCATENATE(DB180,DC180,DD180,DE180,DF180,DG180,DH180,DI180,DJ180,DK180,DL180,DM180,DN180,DO180,DP180,DQ180,DR180,DS180,DT180,DU180,DV180,DW180,DX180,DY180,DZ180,EA180,EB180,EC180,ED180,EE180,EF180,EG180,EH180,EI180,EJ180,EK180,EL180,EM180,EN180,EO180,EP180&amp;"|n")</f>
        <v>|n</v>
      </c>
      <c r="CV180" s="71" t="str">
        <f t="shared" ref="CV180:CV181" si="2776">T180</f>
        <v>点击|Cffffc926选中指定法宝|r后，再点击|Cffffc926重铸|r，可|Cffffc926重置|r指定法宝，|Cffffc926品质不变|r。|n|n|Cff00ff7f每次重铸消耗1个补天石|r</v>
      </c>
      <c r="CW180" s="61"/>
      <c r="CX180" s="61"/>
      <c r="CY180" s="61"/>
      <c r="CZ180" s="61"/>
      <c r="DA180" s="61"/>
      <c r="DB180" s="72" t="str">
        <f t="shared" ref="DB180:DB181" si="2777">IF(V180="","","|n"&amp;DB$2&amp;"+"&amp;V180&amp;DB$1)</f>
        <v/>
      </c>
      <c r="DC180" s="72" t="str">
        <f t="shared" ref="DC180:DC181" si="2778">IF(W180="","","|n"&amp;DC$2&amp;"+"&amp;W180&amp;DC$1)</f>
        <v/>
      </c>
      <c r="DD180" s="72" t="str">
        <f t="shared" ref="DD180:DD181" si="2779">IF(X180="","","|n"&amp;DD$2&amp;"+"&amp;X180&amp;DD$1)</f>
        <v/>
      </c>
      <c r="DE180" s="72" t="str">
        <f t="shared" ref="DE180:DE181" si="2780">IF(Y180="","","|n"&amp;DE$2&amp;"+"&amp;Y180&amp;DE$1)</f>
        <v/>
      </c>
      <c r="DF180" s="72" t="str">
        <f t="shared" ref="DF180:DF181" si="2781">IF(Z180="","","|n"&amp;DF$2&amp;"+"&amp;Z180&amp;DF$1)</f>
        <v/>
      </c>
      <c r="DG180" s="72" t="str">
        <f t="shared" ref="DG180:DG181" si="2782">IF(AA180="","","|n"&amp;DG$2&amp;"+"&amp;AA180&amp;DG$1)</f>
        <v/>
      </c>
      <c r="DH180" s="72" t="str">
        <f t="shared" ref="DH180:DH181" si="2783">IF(AB180="","","|n"&amp;DH$2&amp;"+"&amp;AB180&amp;DH$1)</f>
        <v/>
      </c>
      <c r="DI180" s="72" t="str">
        <f t="shared" ref="DI180:DI181" si="2784">IF(AC180="","","|n"&amp;DI$2&amp;"+"&amp;AC180&amp;DI$1)</f>
        <v/>
      </c>
      <c r="DJ180" s="72" t="str">
        <f t="shared" ref="DJ180:DJ181" si="2785">IF(AD180="","","|n"&amp;DJ$2&amp;"+"&amp;AD180&amp;DJ$1)</f>
        <v/>
      </c>
      <c r="DK180" s="72" t="str">
        <f t="shared" ref="DK180:DK181" si="2786">IF(AE180="","","|n"&amp;DK$2&amp;"+"&amp;AE180&amp;DK$1)</f>
        <v/>
      </c>
      <c r="DL180" s="72" t="str">
        <f t="shared" ref="DL180:DL181" si="2787">IF(AF180="","","|n"&amp;DL$2&amp;"+"&amp;AF180&amp;DL$1)</f>
        <v/>
      </c>
      <c r="DM180" s="72" t="str">
        <f t="shared" ref="DM180:DM181" si="2788">IF(AG180="","","|n"&amp;DM$2&amp;"+"&amp;AG180&amp;DM$1)</f>
        <v/>
      </c>
      <c r="DN180" s="72" t="str">
        <f t="shared" ref="DN180:DN181" si="2789">IF(AH180="","","|n"&amp;DN$2&amp;"+"&amp;AH180&amp;DN$1)</f>
        <v/>
      </c>
      <c r="DO180" s="72" t="str">
        <f t="shared" ref="DO180:DO181" si="2790">IF(AI180="","","|n"&amp;DO$2&amp;"+"&amp;AI180&amp;DO$1)</f>
        <v/>
      </c>
      <c r="DP180" s="72" t="str">
        <f t="shared" ref="DP180:DP181" si="2791">IF(AJ180="","","|n"&amp;DP$2&amp;"+"&amp;AJ180&amp;DP$1)</f>
        <v/>
      </c>
      <c r="DQ180" s="72" t="str">
        <f t="shared" ref="DQ180:DQ181" si="2792">IF(AK180="","","|n"&amp;DQ$2&amp;"+"&amp;AK180&amp;DQ$1)</f>
        <v/>
      </c>
      <c r="DR180" s="72" t="str">
        <f t="shared" ref="DR180:DR181" si="2793">IF(AL180="","","|n"&amp;DR$2&amp;"+"&amp;AL180&amp;DR$1)</f>
        <v/>
      </c>
      <c r="DS180" s="72" t="str">
        <f t="shared" ref="DS180:DS181" si="2794">IF(AM180="","","|n"&amp;DS$2&amp;"+"&amp;AM180&amp;DS$1)</f>
        <v/>
      </c>
      <c r="DT180" s="72" t="str">
        <f t="shared" ref="DT180:DT181" si="2795">IF(AN180="","","|n"&amp;DT$2&amp;"+"&amp;AN180&amp;DT$1)</f>
        <v/>
      </c>
      <c r="DU180" s="72" t="str">
        <f t="shared" ref="DU180:DU181" si="2796">IF(AO180="","","|n"&amp;DU$2&amp;"+"&amp;AO180&amp;DU$1)</f>
        <v/>
      </c>
      <c r="DV180" s="72" t="str">
        <f t="shared" ref="DV180:DV181" si="2797">IF(AP180="","","|n"&amp;DV$2&amp;"+"&amp;AP180&amp;DV$1)</f>
        <v/>
      </c>
      <c r="DW180" s="72" t="str">
        <f t="shared" ref="DW180:DW181" si="2798">IF(AQ180="","","|n"&amp;DW$2&amp;"+"&amp;AQ180&amp;DW$1)</f>
        <v/>
      </c>
      <c r="DX180" s="72" t="str">
        <f t="shared" ref="DX180:DX181" si="2799">IF(AR180="","","|n"&amp;DX$2&amp;"+"&amp;AR180&amp;DX$1)</f>
        <v/>
      </c>
      <c r="DY180" s="72" t="str">
        <f t="shared" ref="DY180:DY181" si="2800">IF(AS180="","","|n"&amp;DY$2&amp;"+"&amp;AS180&amp;DY$1)</f>
        <v/>
      </c>
      <c r="DZ180" s="72" t="str">
        <f t="shared" ref="DZ180:DZ181" si="2801">IF(AT180="","","|n"&amp;DZ$2&amp;"+"&amp;AT180&amp;DZ$1)</f>
        <v/>
      </c>
      <c r="EA180" s="72" t="str">
        <f t="shared" ref="EA180:EA181" si="2802">IF(AU180="","","|n"&amp;EA$2&amp;"+"&amp;AU180&amp;EA$1)</f>
        <v/>
      </c>
      <c r="EB180" s="72" t="str">
        <f t="shared" ref="EB180:EB181" si="2803">IF(AV180="","","|n"&amp;EB$2&amp;"+"&amp;AV180&amp;EB$1)</f>
        <v/>
      </c>
      <c r="EC180" s="72" t="str">
        <f t="shared" ref="EC180:EC181" si="2804">IF(AW180="","","|n"&amp;EC$2&amp;"+"&amp;AW180&amp;EC$1)</f>
        <v/>
      </c>
      <c r="ED180" s="72" t="str">
        <f t="shared" ref="ED180:ED181" si="2805">IF(AX180="","","|n"&amp;ED$2&amp;"+"&amp;AX180&amp;ED$1)</f>
        <v/>
      </c>
      <c r="EE180" s="72" t="str">
        <f t="shared" ref="EE180:EE181" si="2806">IF(AY180="","","|n"&amp;EE$2&amp;"+"&amp;AY180&amp;EE$1)</f>
        <v/>
      </c>
      <c r="EF180" s="72" t="str">
        <f t="shared" ref="EF180:EF181" si="2807">IF(AZ180="","","|n"&amp;EF$2&amp;"+"&amp;AZ180&amp;EF$1)</f>
        <v/>
      </c>
      <c r="EG180" s="72" t="str">
        <f t="shared" ref="EG180:EG181" si="2808">IF(BA180="","","|n"&amp;EG$2&amp;"+"&amp;BA180&amp;EG$1)</f>
        <v/>
      </c>
      <c r="EH180" s="72" t="str">
        <f t="shared" ref="EH180:EH181" si="2809">IF(BB180="","","|n"&amp;EH$2&amp;"+"&amp;BB180&amp;EH$1)</f>
        <v/>
      </c>
      <c r="EI180" s="72" t="str">
        <f t="shared" ref="EI180:EI181" si="2810">IF(BC180="","","|n"&amp;EI$2&amp;"+"&amp;BC180&amp;EI$1)</f>
        <v/>
      </c>
      <c r="EJ180" s="72" t="str">
        <f t="shared" ref="EJ180:EJ181" si="2811">IF(BD180="","","|n"&amp;EJ$2&amp;"+"&amp;BD180&amp;EJ$1)</f>
        <v/>
      </c>
      <c r="EK180" s="72" t="str">
        <f t="shared" ref="EK180:EK181" si="2812">IF(BE180="","","|n"&amp;EK$2&amp;"+"&amp;BE180&amp;EK$1)</f>
        <v/>
      </c>
      <c r="EL180" s="72" t="str">
        <f t="shared" ref="EL180:EL181" si="2813">IF(BF180="","","|n"&amp;EL$2&amp;"+"&amp;BF180&amp;EL$1)</f>
        <v/>
      </c>
      <c r="EM180" s="72" t="str">
        <f t="shared" ref="EM180:EM181" si="2814">IF(BG180="","","|n"&amp;EM$2&amp;"+"&amp;BG180&amp;EM$1)</f>
        <v/>
      </c>
      <c r="EN180" s="72" t="str">
        <f t="shared" ref="EN180:EN181" si="2815">IF(BH180="","","|n"&amp;EN$2&amp;"+"&amp;BH180&amp;EN$1)</f>
        <v/>
      </c>
      <c r="EO180" s="72" t="str">
        <f t="shared" ref="EO180:EO181" si="2816">IF(BI180="","","|n"&amp;EO$2&amp;"+"&amp;BI180&amp;EO$1)</f>
        <v/>
      </c>
      <c r="EP180" s="72" t="str">
        <f t="shared" ref="EP180:EP181" si="2817">IF(BJ180="","","|n"&amp;EP$2&amp;"+"&amp;BJ180&amp;EP$1)</f>
        <v/>
      </c>
      <c r="EQ180" s="72" t="str">
        <f t="shared" ref="EQ180:EQ181" si="2818">IF(BK180="","","|n"&amp;EQ$2&amp;"+"&amp;BK180&amp;EQ$1)</f>
        <v/>
      </c>
      <c r="ER180" s="72" t="str">
        <f t="shared" ref="ER180:ER181" si="2819">IF(BL180="","","|n"&amp;ER$2&amp;"+"&amp;BL180&amp;ER$1)</f>
        <v/>
      </c>
      <c r="ES180" s="72" t="str">
        <f t="shared" ref="ES180:ES181" si="2820">IF(BM180="","","|n"&amp;ES$2&amp;"+"&amp;BM180&amp;ES$1)</f>
        <v/>
      </c>
      <c r="ET180" s="72" t="str">
        <f t="shared" ref="ET180:ET181" si="2821">IF(BN180="","","|n"&amp;ET$2&amp;"+"&amp;BN180&amp;ET$1)</f>
        <v/>
      </c>
      <c r="EU180" s="72" t="str">
        <f t="shared" ref="EU180:EU181" si="2822">IF(BO180="","","|n"&amp;EU$2&amp;"+"&amp;BO180&amp;EU$1)</f>
        <v/>
      </c>
      <c r="EV180" s="72" t="str">
        <f t="shared" ref="EV180:EV181" si="2823">IF(BP180="","","|n"&amp;EV$2&amp;"+"&amp;BP180&amp;EV$1)</f>
        <v/>
      </c>
      <c r="EW180" s="72" t="str">
        <f t="shared" ref="EW180:EW181" si="2824">IF(BQ180="","","|n"&amp;EW$2&amp;"+"&amp;BQ180&amp;EW$1)</f>
        <v/>
      </c>
      <c r="EX180" s="72" t="str">
        <f t="shared" ref="EX180:EX181" si="2825">IF(BR180="","","|n"&amp;EX$2&amp;"+"&amp;BR180&amp;EX$1)</f>
        <v/>
      </c>
      <c r="EY180" s="72" t="str">
        <f t="shared" ref="EY180:EY181" si="2826">IF(BS180="","","|n"&amp;EY$2&amp;"+"&amp;BS180&amp;EY$1)</f>
        <v/>
      </c>
      <c r="EZ180" s="72" t="str">
        <f t="shared" ref="EZ180:EZ181" si="2827">IF(BT180="","","|n"&amp;EZ$2&amp;"+"&amp;BT180&amp;EZ$1)</f>
        <v/>
      </c>
      <c r="FA180" s="72" t="str">
        <f t="shared" ref="FA180:FA181" si="2828">IF(BU180="","","|n"&amp;FA$2&amp;"+"&amp;BU180&amp;FA$1)</f>
        <v/>
      </c>
      <c r="FB180" s="72" t="str">
        <f t="shared" ref="FB180:FB181" si="2829">IF(BV180="","","|n"&amp;FB$2&amp;"+"&amp;BV180&amp;FB$1)</f>
        <v/>
      </c>
      <c r="FC180" s="72" t="str">
        <f t="shared" ref="FC180:FC181" si="2830">IF(BW180="","","|n"&amp;FC$2&amp;"+"&amp;BW180&amp;FC$1)</f>
        <v/>
      </c>
      <c r="FD180" s="72" t="str">
        <f t="shared" ref="FD180:FD181" si="2831">IF(BX180="","","|n"&amp;FD$2&amp;"+"&amp;BX180&amp;FD$1)</f>
        <v/>
      </c>
      <c r="FE180" s="72" t="str">
        <f t="shared" ref="FE180:FE181" si="2832">IF(BY180="","","|n"&amp;FE$2&amp;"+"&amp;BY180&amp;FE$1)</f>
        <v/>
      </c>
      <c r="FF180" s="72" t="str">
        <f t="shared" ref="FF180:FF181" si="2833">IF(BZ180="","","|n"&amp;FF$2&amp;"+"&amp;BZ180&amp;FF$1)</f>
        <v/>
      </c>
      <c r="FG180" s="72" t="str">
        <f t="shared" ref="FG180:FG181" si="2834">IF(CA180="","","|n"&amp;FG$2&amp;"+"&amp;CA180&amp;FG$1)</f>
        <v/>
      </c>
      <c r="FH180" s="72" t="str">
        <f t="shared" ref="FH180:FH181" si="2835">IF(CB180="","","|n"&amp;FH$2&amp;"+"&amp;CB180&amp;FH$1)</f>
        <v/>
      </c>
      <c r="FI180" s="72" t="str">
        <f t="shared" ref="FI180:FI181" si="2836">IF(CC180="","","|n"&amp;FI$2&amp;"+"&amp;CC180&amp;FI$1)</f>
        <v/>
      </c>
      <c r="FJ180" s="72" t="str">
        <f t="shared" ref="FJ180:FJ181" si="2837">IF(CD180="","","|n"&amp;FJ$2&amp;"+"&amp;CD180&amp;FJ$1)</f>
        <v/>
      </c>
      <c r="FK180" s="72" t="str">
        <f t="shared" ref="FK180:FK181" si="2838">IF(CE180="","","|n"&amp;FK$2&amp;"+"&amp;CE180&amp;FK$1)</f>
        <v/>
      </c>
      <c r="FL180" s="72" t="str">
        <f t="shared" ref="FL180:FL181" si="2839">IF(CF180="","","|n"&amp;FL$2&amp;"+"&amp;CF180&amp;FL$1)</f>
        <v/>
      </c>
      <c r="FM180" s="72" t="str">
        <f t="shared" ref="FM180:FM181" si="2840">IF(CG180="","","|n"&amp;FM$2&amp;"+"&amp;CG180&amp;FM$1)</f>
        <v/>
      </c>
      <c r="FN180" s="72" t="str">
        <f t="shared" ref="FN180:FN181" si="2841">IF(CH180="","","|n"&amp;FN$2&amp;"+"&amp;CH180&amp;FN$1)</f>
        <v/>
      </c>
      <c r="FO180" s="72" t="str">
        <f t="shared" ref="FO180:FO181" si="2842">IF(CI180="","","|n"&amp;FO$2&amp;"+"&amp;CI180&amp;FO$1)</f>
        <v/>
      </c>
      <c r="FP180" s="72" t="str">
        <f t="shared" ref="FP180:FP181" si="2843">IF(CJ180="","","|n"&amp;FP$2&amp;"+"&amp;CJ180&amp;FP$1)</f>
        <v/>
      </c>
      <c r="FQ180" s="72" t="str">
        <f t="shared" ref="FQ180:FQ181" si="2844">IF(CK180="","","|n"&amp;FQ$2&amp;"+"&amp;CK180&amp;FQ$1)</f>
        <v/>
      </c>
      <c r="FR180" s="72" t="str">
        <f t="shared" ref="FR180:FR181" si="2845">IF(CL180="","","|n"&amp;FR$2&amp;"+"&amp;CL180&amp;FR$1)</f>
        <v/>
      </c>
      <c r="FS180" s="72" t="str">
        <f t="shared" ref="FS180:FS181" si="2846">IF(CM180="","","|n"&amp;FS$2&amp;"+"&amp;CM180&amp;FS$1)</f>
        <v/>
      </c>
    </row>
    <row r="181" spans="1:175" ht="15">
      <c r="A181" s="81"/>
      <c r="B181" s="104" t="s">
        <v>661</v>
      </c>
      <c r="C181" s="81" t="s">
        <v>662</v>
      </c>
      <c r="T181" s="117" t="s">
        <v>663</v>
      </c>
      <c r="U181" s="88" t="str">
        <f t="shared" si="2680"/>
        <v>ReplaceableTextures\\CommandButtons\\BTNIP03.blp</v>
      </c>
      <c r="CN181" s="70" t="str">
        <f t="shared" si="2699"/>
        <v>InitUnitState('IP03',,,,,,,,,,)</v>
      </c>
      <c r="CO181" s="70" t="str">
        <f t="shared" si="2700"/>
        <v>InitUnitNormal('IP03',,,,,,,,,,)</v>
      </c>
      <c r="CP181" s="70" t="str">
        <f t="shared" si="2701"/>
        <v>InitUnitMagic('IP03',,,,,,,,,,)</v>
      </c>
      <c r="CQ181" s="70" t="str">
        <f t="shared" si="2702"/>
        <v>InitUnitAdd('IP03',,,,,,,,,,)</v>
      </c>
      <c r="CR181" s="70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188&amp;CR$1&amp;")"</f>
        <v>InitEquipData('IP03',,"",,,,,'','','','','','',"ReplaceableTextures\\CommandButtons\\BTNIT01.blp")</v>
      </c>
      <c r="CU181" s="98" t="str">
        <f t="shared" si="2775"/>
        <v>|n</v>
      </c>
      <c r="CV181" s="71" t="str">
        <f t="shared" si="2776"/>
        <v>点击|Cffffc926选中指定法宝|r后，再点击|Cffffc926锻造|r，可|Cffffc926重置|r指定法宝，|Cffffc926品质提升一级|r。|n|n|Cff00ff7f每次重铸消耗1个鸿蒙结晶|r</v>
      </c>
      <c r="CW181" s="61"/>
      <c r="CX181" s="61"/>
      <c r="CY181" s="61"/>
      <c r="CZ181" s="61"/>
      <c r="DA181" s="61"/>
      <c r="DB181" s="72" t="str">
        <f t="shared" si="2777"/>
        <v/>
      </c>
      <c r="DC181" s="72" t="str">
        <f t="shared" si="2778"/>
        <v/>
      </c>
      <c r="DD181" s="72" t="str">
        <f t="shared" si="2779"/>
        <v/>
      </c>
      <c r="DE181" s="72" t="str">
        <f t="shared" si="2780"/>
        <v/>
      </c>
      <c r="DF181" s="72" t="str">
        <f t="shared" si="2781"/>
        <v/>
      </c>
      <c r="DG181" s="72" t="str">
        <f t="shared" si="2782"/>
        <v/>
      </c>
      <c r="DH181" s="72" t="str">
        <f t="shared" si="2783"/>
        <v/>
      </c>
      <c r="DI181" s="72" t="str">
        <f t="shared" si="2784"/>
        <v/>
      </c>
      <c r="DJ181" s="72" t="str">
        <f t="shared" si="2785"/>
        <v/>
      </c>
      <c r="DK181" s="72" t="str">
        <f t="shared" si="2786"/>
        <v/>
      </c>
      <c r="DL181" s="72" t="str">
        <f t="shared" si="2787"/>
        <v/>
      </c>
      <c r="DM181" s="72" t="str">
        <f t="shared" si="2788"/>
        <v/>
      </c>
      <c r="DN181" s="72" t="str">
        <f t="shared" si="2789"/>
        <v/>
      </c>
      <c r="DO181" s="72" t="str">
        <f t="shared" si="2790"/>
        <v/>
      </c>
      <c r="DP181" s="72" t="str">
        <f t="shared" si="2791"/>
        <v/>
      </c>
      <c r="DQ181" s="72" t="str">
        <f t="shared" si="2792"/>
        <v/>
      </c>
      <c r="DR181" s="72" t="str">
        <f t="shared" si="2793"/>
        <v/>
      </c>
      <c r="DS181" s="72" t="str">
        <f t="shared" si="2794"/>
        <v/>
      </c>
      <c r="DT181" s="72" t="str">
        <f t="shared" si="2795"/>
        <v/>
      </c>
      <c r="DU181" s="72" t="str">
        <f t="shared" si="2796"/>
        <v/>
      </c>
      <c r="DV181" s="72" t="str">
        <f t="shared" si="2797"/>
        <v/>
      </c>
      <c r="DW181" s="72" t="str">
        <f t="shared" si="2798"/>
        <v/>
      </c>
      <c r="DX181" s="72" t="str">
        <f t="shared" si="2799"/>
        <v/>
      </c>
      <c r="DY181" s="72" t="str">
        <f t="shared" si="2800"/>
        <v/>
      </c>
      <c r="DZ181" s="72" t="str">
        <f t="shared" si="2801"/>
        <v/>
      </c>
      <c r="EA181" s="72" t="str">
        <f t="shared" si="2802"/>
        <v/>
      </c>
      <c r="EB181" s="72" t="str">
        <f t="shared" si="2803"/>
        <v/>
      </c>
      <c r="EC181" s="72" t="str">
        <f t="shared" si="2804"/>
        <v/>
      </c>
      <c r="ED181" s="72" t="str">
        <f t="shared" si="2805"/>
        <v/>
      </c>
      <c r="EE181" s="72" t="str">
        <f t="shared" si="2806"/>
        <v/>
      </c>
      <c r="EF181" s="72" t="str">
        <f t="shared" si="2807"/>
        <v/>
      </c>
      <c r="EG181" s="72" t="str">
        <f t="shared" si="2808"/>
        <v/>
      </c>
      <c r="EH181" s="72" t="str">
        <f t="shared" si="2809"/>
        <v/>
      </c>
      <c r="EI181" s="72" t="str">
        <f t="shared" si="2810"/>
        <v/>
      </c>
      <c r="EJ181" s="72" t="str">
        <f t="shared" si="2811"/>
        <v/>
      </c>
      <c r="EK181" s="72" t="str">
        <f t="shared" si="2812"/>
        <v/>
      </c>
      <c r="EL181" s="72" t="str">
        <f t="shared" si="2813"/>
        <v/>
      </c>
      <c r="EM181" s="72" t="str">
        <f t="shared" si="2814"/>
        <v/>
      </c>
      <c r="EN181" s="72" t="str">
        <f t="shared" si="2815"/>
        <v/>
      </c>
      <c r="EO181" s="72" t="str">
        <f t="shared" si="2816"/>
        <v/>
      </c>
      <c r="EP181" s="72" t="str">
        <f t="shared" si="2817"/>
        <v/>
      </c>
      <c r="EQ181" s="72" t="str">
        <f t="shared" si="2818"/>
        <v/>
      </c>
      <c r="ER181" s="72" t="str">
        <f t="shared" si="2819"/>
        <v/>
      </c>
      <c r="ES181" s="72" t="str">
        <f t="shared" si="2820"/>
        <v/>
      </c>
      <c r="ET181" s="72" t="str">
        <f t="shared" si="2821"/>
        <v/>
      </c>
      <c r="EU181" s="72" t="str">
        <f t="shared" si="2822"/>
        <v/>
      </c>
      <c r="EV181" s="72" t="str">
        <f t="shared" si="2823"/>
        <v/>
      </c>
      <c r="EW181" s="72" t="str">
        <f t="shared" si="2824"/>
        <v/>
      </c>
      <c r="EX181" s="72" t="str">
        <f t="shared" si="2825"/>
        <v/>
      </c>
      <c r="EY181" s="72" t="str">
        <f t="shared" si="2826"/>
        <v/>
      </c>
      <c r="EZ181" s="72" t="str">
        <f t="shared" si="2827"/>
        <v/>
      </c>
      <c r="FA181" s="72" t="str">
        <f t="shared" si="2828"/>
        <v/>
      </c>
      <c r="FB181" s="72" t="str">
        <f t="shared" si="2829"/>
        <v/>
      </c>
      <c r="FC181" s="72" t="str">
        <f t="shared" si="2830"/>
        <v/>
      </c>
      <c r="FD181" s="72" t="str">
        <f t="shared" si="2831"/>
        <v/>
      </c>
      <c r="FE181" s="72" t="str">
        <f t="shared" si="2832"/>
        <v/>
      </c>
      <c r="FF181" s="72" t="str">
        <f t="shared" si="2833"/>
        <v/>
      </c>
      <c r="FG181" s="72" t="str">
        <f t="shared" si="2834"/>
        <v/>
      </c>
      <c r="FH181" s="72" t="str">
        <f t="shared" si="2835"/>
        <v/>
      </c>
      <c r="FI181" s="72" t="str">
        <f t="shared" si="2836"/>
        <v/>
      </c>
      <c r="FJ181" s="72" t="str">
        <f t="shared" si="2837"/>
        <v/>
      </c>
      <c r="FK181" s="72" t="str">
        <f t="shared" si="2838"/>
        <v/>
      </c>
      <c r="FL181" s="72" t="str">
        <f t="shared" si="2839"/>
        <v/>
      </c>
      <c r="FM181" s="72" t="str">
        <f t="shared" si="2840"/>
        <v/>
      </c>
      <c r="FN181" s="72" t="str">
        <f t="shared" si="2841"/>
        <v/>
      </c>
      <c r="FO181" s="72" t="str">
        <f t="shared" si="2842"/>
        <v/>
      </c>
      <c r="FP181" s="72" t="str">
        <f t="shared" si="2843"/>
        <v/>
      </c>
      <c r="FQ181" s="72" t="str">
        <f t="shared" si="2844"/>
        <v/>
      </c>
      <c r="FR181" s="72" t="str">
        <f t="shared" si="2845"/>
        <v/>
      </c>
      <c r="FS181" s="72" t="str">
        <f t="shared" si="2846"/>
        <v/>
      </c>
    </row>
    <row r="182" spans="1:175" ht="15">
      <c r="A182" s="81"/>
      <c r="B182" s="104" t="s">
        <v>664</v>
      </c>
      <c r="C182" s="81" t="s">
        <v>665</v>
      </c>
      <c r="T182" s="117" t="s">
        <v>666</v>
      </c>
      <c r="U182" s="88" t="str">
        <f t="shared" si="2680"/>
        <v>ReplaceableTextures\\CommandButtons\\BTNIP04.blp</v>
      </c>
      <c r="CN182" s="70" t="str">
        <f t="shared" si="2699"/>
        <v>InitUnitState('IP04',,,,,,,,,,)</v>
      </c>
      <c r="CO182" s="70" t="str">
        <f t="shared" si="2700"/>
        <v>InitUnitNormal('IP04',,,,,,,,,,)</v>
      </c>
      <c r="CP182" s="70" t="str">
        <f t="shared" si="2701"/>
        <v>InitUnitMagic('IP04',,,,,,,,,,)</v>
      </c>
      <c r="CQ182" s="70" t="str">
        <f t="shared" si="2702"/>
        <v>InitUnitAdd('IP04',,,,,,,,,,)</v>
      </c>
      <c r="CR182" s="70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InitEquipData('IP04',,"",,,,,'','','','','','',"ReplaceableTextures\\CommandButtons\\BTNIP05.blp")</v>
      </c>
      <c r="CU182" s="98" t="str">
        <f t="shared" ref="CU182:CU187" si="2847">CONCATENATE(DB182,DC182,DD182,DE182,DF182,DG182,DH182,DI182,DJ182,DK182,DL182,DM182,DN182,DO182,DP182,DQ182,DR182,DS182,DT182,DU182,DV182,DW182,DX182,DY182,DZ182,EA182,EB182,EC182,ED182,EE182,EF182,EG182,EH182,EI182,EJ182,EK182,EL182,EM182,EN182,EO182,EP182&amp;"|n")</f>
        <v>|n</v>
      </c>
      <c r="CV182" s="71" t="str">
        <f t="shared" ref="CV182:CV187" si="2848">T182</f>
        <v>使用后|Cffffc926重置|r当前|Cffff0000觉醒神通【R】|r|Cfff0f0f0。|r</v>
      </c>
      <c r="CW182" s="61"/>
      <c r="CX182" s="61"/>
      <c r="CY182" s="61"/>
      <c r="CZ182" s="61"/>
      <c r="DA182" s="61"/>
      <c r="DB182" s="72" t="str">
        <f t="shared" ref="DB182:DB183" si="2849">IF(V182="","","|n"&amp;DB$2&amp;"+"&amp;V182&amp;DB$1)</f>
        <v/>
      </c>
      <c r="DC182" s="72" t="str">
        <f t="shared" ref="DC182:DC183" si="2850">IF(W182="","","|n"&amp;DC$2&amp;"+"&amp;W182&amp;DC$1)</f>
        <v/>
      </c>
      <c r="DD182" s="72" t="str">
        <f t="shared" ref="DD182:DD183" si="2851">IF(X182="","","|n"&amp;DD$2&amp;"+"&amp;X182&amp;DD$1)</f>
        <v/>
      </c>
      <c r="DE182" s="72" t="str">
        <f t="shared" ref="DE182:DE183" si="2852">IF(Y182="","","|n"&amp;DE$2&amp;"+"&amp;Y182&amp;DE$1)</f>
        <v/>
      </c>
      <c r="DF182" s="72" t="str">
        <f t="shared" ref="DF182:DF183" si="2853">IF(Z182="","","|n"&amp;DF$2&amp;"+"&amp;Z182&amp;DF$1)</f>
        <v/>
      </c>
      <c r="DG182" s="72" t="str">
        <f t="shared" ref="DG182:DG183" si="2854">IF(AA182="","","|n"&amp;DG$2&amp;"+"&amp;AA182&amp;DG$1)</f>
        <v/>
      </c>
      <c r="DH182" s="72" t="str">
        <f t="shared" ref="DH182:DH183" si="2855">IF(AB182="","","|n"&amp;DH$2&amp;"+"&amp;AB182&amp;DH$1)</f>
        <v/>
      </c>
      <c r="DI182" s="72" t="str">
        <f t="shared" ref="DI182:DI183" si="2856">IF(AC182="","","|n"&amp;DI$2&amp;"+"&amp;AC182&amp;DI$1)</f>
        <v/>
      </c>
      <c r="DJ182" s="72" t="str">
        <f t="shared" ref="DJ182:DJ183" si="2857">IF(AD182="","","|n"&amp;DJ$2&amp;"+"&amp;AD182&amp;DJ$1)</f>
        <v/>
      </c>
      <c r="DK182" s="72" t="str">
        <f t="shared" ref="DK182:DK183" si="2858">IF(AE182="","","|n"&amp;DK$2&amp;"+"&amp;AE182&amp;DK$1)</f>
        <v/>
      </c>
      <c r="DL182" s="72" t="str">
        <f t="shared" ref="DL182:DL183" si="2859">IF(AF182="","","|n"&amp;DL$2&amp;"+"&amp;AF182&amp;DL$1)</f>
        <v/>
      </c>
      <c r="DM182" s="72" t="str">
        <f t="shared" ref="DM182:DM183" si="2860">IF(AG182="","","|n"&amp;DM$2&amp;"+"&amp;AG182&amp;DM$1)</f>
        <v/>
      </c>
      <c r="DN182" s="72" t="str">
        <f t="shared" ref="DN182:DN183" si="2861">IF(AH182="","","|n"&amp;DN$2&amp;"+"&amp;AH182&amp;DN$1)</f>
        <v/>
      </c>
      <c r="DO182" s="72" t="str">
        <f t="shared" ref="DO182:DO183" si="2862">IF(AI182="","","|n"&amp;DO$2&amp;"+"&amp;AI182&amp;DO$1)</f>
        <v/>
      </c>
      <c r="DP182" s="72" t="str">
        <f t="shared" ref="DP182:DP183" si="2863">IF(AJ182="","","|n"&amp;DP$2&amp;"+"&amp;AJ182&amp;DP$1)</f>
        <v/>
      </c>
      <c r="DQ182" s="72" t="str">
        <f t="shared" ref="DQ182:DQ183" si="2864">IF(AK182="","","|n"&amp;DQ$2&amp;"+"&amp;AK182&amp;DQ$1)</f>
        <v/>
      </c>
      <c r="DR182" s="72" t="str">
        <f t="shared" ref="DR182:DR183" si="2865">IF(AL182="","","|n"&amp;DR$2&amp;"+"&amp;AL182&amp;DR$1)</f>
        <v/>
      </c>
      <c r="DS182" s="72" t="str">
        <f t="shared" ref="DS182:DS183" si="2866">IF(AM182="","","|n"&amp;DS$2&amp;"+"&amp;AM182&amp;DS$1)</f>
        <v/>
      </c>
      <c r="DT182" s="72" t="str">
        <f t="shared" ref="DT182:DT183" si="2867">IF(AN182="","","|n"&amp;DT$2&amp;"+"&amp;AN182&amp;DT$1)</f>
        <v/>
      </c>
      <c r="DU182" s="72" t="str">
        <f t="shared" ref="DU182:DU183" si="2868">IF(AO182="","","|n"&amp;DU$2&amp;"+"&amp;AO182&amp;DU$1)</f>
        <v/>
      </c>
      <c r="DV182" s="72" t="str">
        <f t="shared" ref="DV182:DV183" si="2869">IF(AP182="","","|n"&amp;DV$2&amp;"+"&amp;AP182&amp;DV$1)</f>
        <v/>
      </c>
      <c r="DW182" s="72" t="str">
        <f t="shared" ref="DW182:DW183" si="2870">IF(AQ182="","","|n"&amp;DW$2&amp;"+"&amp;AQ182&amp;DW$1)</f>
        <v/>
      </c>
      <c r="DX182" s="72" t="str">
        <f t="shared" ref="DX182:DX183" si="2871">IF(AR182="","","|n"&amp;DX$2&amp;"+"&amp;AR182&amp;DX$1)</f>
        <v/>
      </c>
      <c r="DY182" s="72" t="str">
        <f t="shared" ref="DY182:DY183" si="2872">IF(AS182="","","|n"&amp;DY$2&amp;"+"&amp;AS182&amp;DY$1)</f>
        <v/>
      </c>
      <c r="DZ182" s="72" t="str">
        <f t="shared" ref="DZ182:DZ183" si="2873">IF(AT182="","","|n"&amp;DZ$2&amp;"+"&amp;AT182&amp;DZ$1)</f>
        <v/>
      </c>
      <c r="EA182" s="72" t="str">
        <f t="shared" ref="EA182:EA183" si="2874">IF(AU182="","","|n"&amp;EA$2&amp;"+"&amp;AU182&amp;EA$1)</f>
        <v/>
      </c>
      <c r="EB182" s="72" t="str">
        <f t="shared" ref="EB182:EB183" si="2875">IF(AV182="","","|n"&amp;EB$2&amp;"+"&amp;AV182&amp;EB$1)</f>
        <v/>
      </c>
      <c r="EC182" s="72" t="str">
        <f t="shared" ref="EC182:EC183" si="2876">IF(AW182="","","|n"&amp;EC$2&amp;"+"&amp;AW182&amp;EC$1)</f>
        <v/>
      </c>
      <c r="ED182" s="72" t="str">
        <f t="shared" ref="ED182:ED183" si="2877">IF(AX182="","","|n"&amp;ED$2&amp;"+"&amp;AX182&amp;ED$1)</f>
        <v/>
      </c>
      <c r="EE182" s="72" t="str">
        <f t="shared" ref="EE182:EE183" si="2878">IF(AY182="","","|n"&amp;EE$2&amp;"+"&amp;AY182&amp;EE$1)</f>
        <v/>
      </c>
      <c r="EF182" s="72" t="str">
        <f t="shared" ref="EF182:EF183" si="2879">IF(AZ182="","","|n"&amp;EF$2&amp;"+"&amp;AZ182&amp;EF$1)</f>
        <v/>
      </c>
      <c r="EG182" s="72" t="str">
        <f t="shared" ref="EG182:EG183" si="2880">IF(BA182="","","|n"&amp;EG$2&amp;"+"&amp;BA182&amp;EG$1)</f>
        <v/>
      </c>
      <c r="EH182" s="72" t="str">
        <f t="shared" ref="EH182:EH183" si="2881">IF(BB182="","","|n"&amp;EH$2&amp;"+"&amp;BB182&amp;EH$1)</f>
        <v/>
      </c>
      <c r="EI182" s="72" t="str">
        <f t="shared" ref="EI182:EI183" si="2882">IF(BC182="","","|n"&amp;EI$2&amp;"+"&amp;BC182&amp;EI$1)</f>
        <v/>
      </c>
      <c r="EJ182" s="72" t="str">
        <f t="shared" ref="EJ182:EJ183" si="2883">IF(BD182="","","|n"&amp;EJ$2&amp;"+"&amp;BD182&amp;EJ$1)</f>
        <v/>
      </c>
      <c r="EK182" s="72" t="str">
        <f t="shared" ref="EK182:EK183" si="2884">IF(BE182="","","|n"&amp;EK$2&amp;"+"&amp;BE182&amp;EK$1)</f>
        <v/>
      </c>
      <c r="EL182" s="72" t="str">
        <f t="shared" ref="EL182:EL183" si="2885">IF(BF182="","","|n"&amp;EL$2&amp;"+"&amp;BF182&amp;EL$1)</f>
        <v/>
      </c>
      <c r="EM182" s="72" t="str">
        <f t="shared" ref="EM182:EM183" si="2886">IF(BG182="","","|n"&amp;EM$2&amp;"+"&amp;BG182&amp;EM$1)</f>
        <v/>
      </c>
      <c r="EN182" s="72" t="str">
        <f t="shared" ref="EN182:EN183" si="2887">IF(BH182="","","|n"&amp;EN$2&amp;"+"&amp;BH182&amp;EN$1)</f>
        <v/>
      </c>
      <c r="EO182" s="72" t="str">
        <f t="shared" ref="EO182:EO183" si="2888">IF(BI182="","","|n"&amp;EO$2&amp;"+"&amp;BI182&amp;EO$1)</f>
        <v/>
      </c>
      <c r="EP182" s="72" t="str">
        <f t="shared" ref="EP182:EP183" si="2889">IF(BJ182="","","|n"&amp;EP$2&amp;"+"&amp;BJ182&amp;EP$1)</f>
        <v/>
      </c>
      <c r="EQ182" s="72" t="str">
        <f t="shared" ref="EQ182:EQ183" si="2890">IF(BK182="","","|n"&amp;EQ$2&amp;"+"&amp;BK182&amp;EQ$1)</f>
        <v/>
      </c>
      <c r="ER182" s="72" t="str">
        <f t="shared" ref="ER182:ER183" si="2891">IF(BL182="","","|n"&amp;ER$2&amp;"+"&amp;BL182&amp;ER$1)</f>
        <v/>
      </c>
      <c r="ES182" s="72" t="str">
        <f t="shared" ref="ES182:ES183" si="2892">IF(BM182="","","|n"&amp;ES$2&amp;"+"&amp;BM182&amp;ES$1)</f>
        <v/>
      </c>
      <c r="ET182" s="72" t="str">
        <f t="shared" ref="ET182:ET183" si="2893">IF(BN182="","","|n"&amp;ET$2&amp;"+"&amp;BN182&amp;ET$1)</f>
        <v/>
      </c>
      <c r="EU182" s="72" t="str">
        <f t="shared" ref="EU182:EU183" si="2894">IF(BO182="","","|n"&amp;EU$2&amp;"+"&amp;BO182&amp;EU$1)</f>
        <v/>
      </c>
      <c r="EV182" s="72" t="str">
        <f t="shared" ref="EV182:EV183" si="2895">IF(BP182="","","|n"&amp;EV$2&amp;"+"&amp;BP182&amp;EV$1)</f>
        <v/>
      </c>
      <c r="EW182" s="72" t="str">
        <f t="shared" ref="EW182:EW183" si="2896">IF(BQ182="","","|n"&amp;EW$2&amp;"+"&amp;BQ182&amp;EW$1)</f>
        <v/>
      </c>
      <c r="EX182" s="72" t="str">
        <f t="shared" ref="EX182:EX183" si="2897">IF(BR182="","","|n"&amp;EX$2&amp;"+"&amp;BR182&amp;EX$1)</f>
        <v/>
      </c>
      <c r="EY182" s="72" t="str">
        <f t="shared" ref="EY182:EY183" si="2898">IF(BS182="","","|n"&amp;EY$2&amp;"+"&amp;BS182&amp;EY$1)</f>
        <v/>
      </c>
      <c r="EZ182" s="72" t="str">
        <f t="shared" ref="EZ182:EZ183" si="2899">IF(BT182="","","|n"&amp;EZ$2&amp;"+"&amp;BT182&amp;EZ$1)</f>
        <v/>
      </c>
      <c r="FA182" s="72" t="str">
        <f t="shared" ref="FA182:FA183" si="2900">IF(BU182="","","|n"&amp;FA$2&amp;"+"&amp;BU182&amp;FA$1)</f>
        <v/>
      </c>
      <c r="FB182" s="72" t="str">
        <f t="shared" ref="FB182:FB183" si="2901">IF(BV182="","","|n"&amp;FB$2&amp;"+"&amp;BV182&amp;FB$1)</f>
        <v/>
      </c>
      <c r="FC182" s="72" t="str">
        <f t="shared" ref="FC182:FC183" si="2902">IF(BW182="","","|n"&amp;FC$2&amp;"+"&amp;BW182&amp;FC$1)</f>
        <v/>
      </c>
      <c r="FD182" s="72" t="str">
        <f t="shared" ref="FD182:FD183" si="2903">IF(BX182="","","|n"&amp;FD$2&amp;"+"&amp;BX182&amp;FD$1)</f>
        <v/>
      </c>
      <c r="FE182" s="72" t="str">
        <f t="shared" ref="FE182:FE183" si="2904">IF(BY182="","","|n"&amp;FE$2&amp;"+"&amp;BY182&amp;FE$1)</f>
        <v/>
      </c>
      <c r="FF182" s="72" t="str">
        <f t="shared" ref="FF182:FF183" si="2905">IF(BZ182="","","|n"&amp;FF$2&amp;"+"&amp;BZ182&amp;FF$1)</f>
        <v/>
      </c>
      <c r="FG182" s="72" t="str">
        <f t="shared" ref="FG182:FG183" si="2906">IF(CA182="","","|n"&amp;FG$2&amp;"+"&amp;CA182&amp;FG$1)</f>
        <v/>
      </c>
      <c r="FH182" s="72" t="str">
        <f t="shared" ref="FH182:FH183" si="2907">IF(CB182="","","|n"&amp;FH$2&amp;"+"&amp;CB182&amp;FH$1)</f>
        <v/>
      </c>
      <c r="FI182" s="72" t="str">
        <f t="shared" ref="FI182:FI183" si="2908">IF(CC182="","","|n"&amp;FI$2&amp;"+"&amp;CC182&amp;FI$1)</f>
        <v/>
      </c>
      <c r="FJ182" s="72" t="str">
        <f t="shared" ref="FJ182:FJ183" si="2909">IF(CD182="","","|n"&amp;FJ$2&amp;"+"&amp;CD182&amp;FJ$1)</f>
        <v/>
      </c>
      <c r="FK182" s="72" t="str">
        <f t="shared" ref="FK182:FK183" si="2910">IF(CE182="","","|n"&amp;FK$2&amp;"+"&amp;CE182&amp;FK$1)</f>
        <v/>
      </c>
      <c r="FL182" s="72" t="str">
        <f t="shared" ref="FL182:FL183" si="2911">IF(CF182="","","|n"&amp;FL$2&amp;"+"&amp;CF182&amp;FL$1)</f>
        <v/>
      </c>
      <c r="FM182" s="72" t="str">
        <f t="shared" ref="FM182:FM183" si="2912">IF(CG182="","","|n"&amp;FM$2&amp;"+"&amp;CG182&amp;FM$1)</f>
        <v/>
      </c>
      <c r="FN182" s="72" t="str">
        <f t="shared" ref="FN182:FN183" si="2913">IF(CH182="","","|n"&amp;FN$2&amp;"+"&amp;CH182&amp;FN$1)</f>
        <v/>
      </c>
      <c r="FO182" s="72" t="str">
        <f t="shared" ref="FO182:FO183" si="2914">IF(CI182="","","|n"&amp;FO$2&amp;"+"&amp;CI182&amp;FO$1)</f>
        <v/>
      </c>
      <c r="FP182" s="72" t="str">
        <f t="shared" ref="FP182:FP183" si="2915">IF(CJ182="","","|n"&amp;FP$2&amp;"+"&amp;CJ182&amp;FP$1)</f>
        <v/>
      </c>
      <c r="FQ182" s="72" t="str">
        <f t="shared" ref="FQ182:FQ183" si="2916">IF(CK182="","","|n"&amp;FQ$2&amp;"+"&amp;CK182&amp;FQ$1)</f>
        <v/>
      </c>
      <c r="FR182" s="72" t="str">
        <f t="shared" ref="FR182:FR183" si="2917">IF(CL182="","","|n"&amp;FR$2&amp;"+"&amp;CL182&amp;FR$1)</f>
        <v/>
      </c>
      <c r="FS182" s="72" t="str">
        <f t="shared" ref="FS182:FS183" si="2918">IF(CM182="","","|n"&amp;FS$2&amp;"+"&amp;CM182&amp;FS$1)</f>
        <v/>
      </c>
    </row>
    <row r="183" spans="1:175" ht="15">
      <c r="A183" s="81"/>
      <c r="B183" s="104" t="s">
        <v>667</v>
      </c>
      <c r="C183" s="81" t="s">
        <v>668</v>
      </c>
      <c r="T183" s="117" t="s">
        <v>669</v>
      </c>
      <c r="U183" s="88" t="str">
        <f t="shared" ref="U183:U185" si="2919">"ReplaceableTextures\\CommandButtons\\BTN"&amp;B183&amp;".blp"</f>
        <v>ReplaceableTextures\\CommandButtons\\BTNIP05.blp</v>
      </c>
      <c r="CN183" s="70" t="str">
        <f t="shared" si="2699"/>
        <v>InitUnitState('IP05',,,,,,,,,,)</v>
      </c>
      <c r="CO183" s="70" t="str">
        <f t="shared" si="2700"/>
        <v>InitUnitNormal('IP05',,,,,,,,,,)</v>
      </c>
      <c r="CP183" s="70" t="str">
        <f t="shared" si="2701"/>
        <v>InitUnitMagic('IP05',,,,,,,,,,)</v>
      </c>
      <c r="CQ183" s="70" t="str">
        <f t="shared" si="2702"/>
        <v>InitUnitAdd('IP05',,,,,,,,,,)</v>
      </c>
      <c r="CR183" s="70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190&amp;CR$1&amp;")"</f>
        <v>InitEquipData('IP05',,"",,,,,'','','','','','',"ReplaceableTextures\\CommandButtons\\BTNIT03.blp")</v>
      </c>
      <c r="CU183" s="98" t="str">
        <f t="shared" si="2847"/>
        <v>|n</v>
      </c>
      <c r="CV183" s="71" t="str">
        <f t="shared" si="2848"/>
        <v>开启|Cffffc926结界|r，前往虚空终止|Cffff0000封神圣战|r。</v>
      </c>
      <c r="CW183" s="61"/>
      <c r="CX183" s="61"/>
      <c r="CY183" s="61"/>
      <c r="CZ183" s="61"/>
      <c r="DA183" s="61"/>
      <c r="DB183" s="72" t="str">
        <f t="shared" si="2849"/>
        <v/>
      </c>
      <c r="DC183" s="72" t="str">
        <f t="shared" si="2850"/>
        <v/>
      </c>
      <c r="DD183" s="72" t="str">
        <f t="shared" si="2851"/>
        <v/>
      </c>
      <c r="DE183" s="72" t="str">
        <f t="shared" si="2852"/>
        <v/>
      </c>
      <c r="DF183" s="72" t="str">
        <f t="shared" si="2853"/>
        <v/>
      </c>
      <c r="DG183" s="72" t="str">
        <f t="shared" si="2854"/>
        <v/>
      </c>
      <c r="DH183" s="72" t="str">
        <f t="shared" si="2855"/>
        <v/>
      </c>
      <c r="DI183" s="72" t="str">
        <f t="shared" si="2856"/>
        <v/>
      </c>
      <c r="DJ183" s="72" t="str">
        <f t="shared" si="2857"/>
        <v/>
      </c>
      <c r="DK183" s="72" t="str">
        <f t="shared" si="2858"/>
        <v/>
      </c>
      <c r="DL183" s="72" t="str">
        <f t="shared" si="2859"/>
        <v/>
      </c>
      <c r="DM183" s="72" t="str">
        <f t="shared" si="2860"/>
        <v/>
      </c>
      <c r="DN183" s="72" t="str">
        <f t="shared" si="2861"/>
        <v/>
      </c>
      <c r="DO183" s="72" t="str">
        <f t="shared" si="2862"/>
        <v/>
      </c>
      <c r="DP183" s="72" t="str">
        <f t="shared" si="2863"/>
        <v/>
      </c>
      <c r="DQ183" s="72" t="str">
        <f t="shared" si="2864"/>
        <v/>
      </c>
      <c r="DR183" s="72" t="str">
        <f t="shared" si="2865"/>
        <v/>
      </c>
      <c r="DS183" s="72" t="str">
        <f t="shared" si="2866"/>
        <v/>
      </c>
      <c r="DT183" s="72" t="str">
        <f t="shared" si="2867"/>
        <v/>
      </c>
      <c r="DU183" s="72" t="str">
        <f t="shared" si="2868"/>
        <v/>
      </c>
      <c r="DV183" s="72" t="str">
        <f t="shared" si="2869"/>
        <v/>
      </c>
      <c r="DW183" s="72" t="str">
        <f t="shared" si="2870"/>
        <v/>
      </c>
      <c r="DX183" s="72" t="str">
        <f t="shared" si="2871"/>
        <v/>
      </c>
      <c r="DY183" s="72" t="str">
        <f t="shared" si="2872"/>
        <v/>
      </c>
      <c r="DZ183" s="72" t="str">
        <f t="shared" si="2873"/>
        <v/>
      </c>
      <c r="EA183" s="72" t="str">
        <f t="shared" si="2874"/>
        <v/>
      </c>
      <c r="EB183" s="72" t="str">
        <f t="shared" si="2875"/>
        <v/>
      </c>
      <c r="EC183" s="72" t="str">
        <f t="shared" si="2876"/>
        <v/>
      </c>
      <c r="ED183" s="72" t="str">
        <f t="shared" si="2877"/>
        <v/>
      </c>
      <c r="EE183" s="72" t="str">
        <f t="shared" si="2878"/>
        <v/>
      </c>
      <c r="EF183" s="72" t="str">
        <f t="shared" si="2879"/>
        <v/>
      </c>
      <c r="EG183" s="72" t="str">
        <f t="shared" si="2880"/>
        <v/>
      </c>
      <c r="EH183" s="72" t="str">
        <f t="shared" si="2881"/>
        <v/>
      </c>
      <c r="EI183" s="72" t="str">
        <f t="shared" si="2882"/>
        <v/>
      </c>
      <c r="EJ183" s="72" t="str">
        <f t="shared" si="2883"/>
        <v/>
      </c>
      <c r="EK183" s="72" t="str">
        <f t="shared" si="2884"/>
        <v/>
      </c>
      <c r="EL183" s="72" t="str">
        <f t="shared" si="2885"/>
        <v/>
      </c>
      <c r="EM183" s="72" t="str">
        <f t="shared" si="2886"/>
        <v/>
      </c>
      <c r="EN183" s="72" t="str">
        <f t="shared" si="2887"/>
        <v/>
      </c>
      <c r="EO183" s="72" t="str">
        <f t="shared" si="2888"/>
        <v/>
      </c>
      <c r="EP183" s="72" t="str">
        <f t="shared" si="2889"/>
        <v/>
      </c>
      <c r="EQ183" s="72" t="str">
        <f t="shared" si="2890"/>
        <v/>
      </c>
      <c r="ER183" s="72" t="str">
        <f t="shared" si="2891"/>
        <v/>
      </c>
      <c r="ES183" s="72" t="str">
        <f t="shared" si="2892"/>
        <v/>
      </c>
      <c r="ET183" s="72" t="str">
        <f t="shared" si="2893"/>
        <v/>
      </c>
      <c r="EU183" s="72" t="str">
        <f t="shared" si="2894"/>
        <v/>
      </c>
      <c r="EV183" s="72" t="str">
        <f t="shared" si="2895"/>
        <v/>
      </c>
      <c r="EW183" s="72" t="str">
        <f t="shared" si="2896"/>
        <v/>
      </c>
      <c r="EX183" s="72" t="str">
        <f t="shared" si="2897"/>
        <v/>
      </c>
      <c r="EY183" s="72" t="str">
        <f t="shared" si="2898"/>
        <v/>
      </c>
      <c r="EZ183" s="72" t="str">
        <f t="shared" si="2899"/>
        <v/>
      </c>
      <c r="FA183" s="72" t="str">
        <f t="shared" si="2900"/>
        <v/>
      </c>
      <c r="FB183" s="72" t="str">
        <f t="shared" si="2901"/>
        <v/>
      </c>
      <c r="FC183" s="72" t="str">
        <f t="shared" si="2902"/>
        <v/>
      </c>
      <c r="FD183" s="72" t="str">
        <f t="shared" si="2903"/>
        <v/>
      </c>
      <c r="FE183" s="72" t="str">
        <f t="shared" si="2904"/>
        <v/>
      </c>
      <c r="FF183" s="72" t="str">
        <f t="shared" si="2905"/>
        <v/>
      </c>
      <c r="FG183" s="72" t="str">
        <f t="shared" si="2906"/>
        <v/>
      </c>
      <c r="FH183" s="72" t="str">
        <f t="shared" si="2907"/>
        <v/>
      </c>
      <c r="FI183" s="72" t="str">
        <f t="shared" si="2908"/>
        <v/>
      </c>
      <c r="FJ183" s="72" t="str">
        <f t="shared" si="2909"/>
        <v/>
      </c>
      <c r="FK183" s="72" t="str">
        <f t="shared" si="2910"/>
        <v/>
      </c>
      <c r="FL183" s="72" t="str">
        <f t="shared" si="2911"/>
        <v/>
      </c>
      <c r="FM183" s="72" t="str">
        <f t="shared" si="2912"/>
        <v/>
      </c>
      <c r="FN183" s="72" t="str">
        <f t="shared" si="2913"/>
        <v/>
      </c>
      <c r="FO183" s="72" t="str">
        <f t="shared" si="2914"/>
        <v/>
      </c>
      <c r="FP183" s="72" t="str">
        <f t="shared" si="2915"/>
        <v/>
      </c>
      <c r="FQ183" s="72" t="str">
        <f t="shared" si="2916"/>
        <v/>
      </c>
      <c r="FR183" s="72" t="str">
        <f t="shared" si="2917"/>
        <v/>
      </c>
      <c r="FS183" s="72" t="str">
        <f t="shared" si="2918"/>
        <v/>
      </c>
    </row>
    <row r="184" spans="1:175" ht="15">
      <c r="A184" s="81"/>
      <c r="B184" s="104" t="s">
        <v>670</v>
      </c>
      <c r="C184" s="81" t="s">
        <v>671</v>
      </c>
      <c r="T184" s="124" t="s">
        <v>672</v>
      </c>
      <c r="U184" s="88" t="s">
        <v>673</v>
      </c>
      <c r="CN184" s="70" t="str">
        <f t="shared" si="2699"/>
        <v>InitUnitState('IP06',,,,,,,,,,)</v>
      </c>
      <c r="CO184" s="70" t="str">
        <f t="shared" si="2700"/>
        <v>InitUnitNormal('IP06',,,,,,,,,,)</v>
      </c>
      <c r="CP184" s="70" t="str">
        <f t="shared" si="2701"/>
        <v>InitUnitMagic('IP06',,,,,,,,,,)</v>
      </c>
      <c r="CQ184" s="70" t="str">
        <f t="shared" si="2702"/>
        <v>InitUnitAdd('IP06',,,,,,,,,,)</v>
      </c>
      <c r="CR184" s="70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191&amp;CR$1&amp;")"</f>
        <v>InitEquipData('IP06',,"",,,,,'','','','','','',"ReplaceableTextures\\CommandButtons\\BTNIT04.blp")</v>
      </c>
      <c r="CU184" s="98" t="str">
        <f t="shared" si="2847"/>
        <v>|n</v>
      </c>
      <c r="CV184" s="71" t="str">
        <f t="shared" si="2848"/>
        <v>使用后增加|Cffffd24d100点|r境界经验。</v>
      </c>
      <c r="CW184" s="61"/>
      <c r="CX184" s="61"/>
      <c r="CY184" s="61"/>
      <c r="CZ184" s="61"/>
      <c r="DA184" s="61"/>
      <c r="DB184" s="72" t="str">
        <f t="shared" ref="DB184:FM184" si="2920">IF(V184="","","|n"&amp;DB$2&amp;"+"&amp;V184&amp;DB$1)</f>
        <v/>
      </c>
      <c r="DC184" s="72" t="str">
        <f t="shared" si="2920"/>
        <v/>
      </c>
      <c r="DD184" s="72" t="str">
        <f t="shared" si="2920"/>
        <v/>
      </c>
      <c r="DE184" s="72" t="str">
        <f t="shared" si="2920"/>
        <v/>
      </c>
      <c r="DF184" s="72" t="str">
        <f t="shared" si="2920"/>
        <v/>
      </c>
      <c r="DG184" s="72" t="str">
        <f t="shared" si="2920"/>
        <v/>
      </c>
      <c r="DH184" s="72" t="str">
        <f t="shared" si="2920"/>
        <v/>
      </c>
      <c r="DI184" s="72" t="str">
        <f t="shared" si="2920"/>
        <v/>
      </c>
      <c r="DJ184" s="72" t="str">
        <f t="shared" si="2920"/>
        <v/>
      </c>
      <c r="DK184" s="72" t="str">
        <f t="shared" si="2920"/>
        <v/>
      </c>
      <c r="DL184" s="72" t="str">
        <f t="shared" si="2920"/>
        <v/>
      </c>
      <c r="DM184" s="72" t="str">
        <f t="shared" si="2920"/>
        <v/>
      </c>
      <c r="DN184" s="72" t="str">
        <f t="shared" si="2920"/>
        <v/>
      </c>
      <c r="DO184" s="72" t="str">
        <f t="shared" si="2920"/>
        <v/>
      </c>
      <c r="DP184" s="72" t="str">
        <f t="shared" si="2920"/>
        <v/>
      </c>
      <c r="DQ184" s="72" t="str">
        <f t="shared" si="2920"/>
        <v/>
      </c>
      <c r="DR184" s="72" t="str">
        <f t="shared" si="2920"/>
        <v/>
      </c>
      <c r="DS184" s="72" t="str">
        <f t="shared" si="2920"/>
        <v/>
      </c>
      <c r="DT184" s="72" t="str">
        <f t="shared" si="2920"/>
        <v/>
      </c>
      <c r="DU184" s="72" t="str">
        <f t="shared" si="2920"/>
        <v/>
      </c>
      <c r="DV184" s="72" t="str">
        <f t="shared" si="2920"/>
        <v/>
      </c>
      <c r="DW184" s="72" t="str">
        <f t="shared" si="2920"/>
        <v/>
      </c>
      <c r="DX184" s="72" t="str">
        <f t="shared" si="2920"/>
        <v/>
      </c>
      <c r="DY184" s="72" t="str">
        <f t="shared" si="2920"/>
        <v/>
      </c>
      <c r="DZ184" s="72" t="str">
        <f t="shared" si="2920"/>
        <v/>
      </c>
      <c r="EA184" s="72" t="str">
        <f t="shared" si="2920"/>
        <v/>
      </c>
      <c r="EB184" s="72" t="str">
        <f t="shared" si="2920"/>
        <v/>
      </c>
      <c r="EC184" s="72" t="str">
        <f t="shared" si="2920"/>
        <v/>
      </c>
      <c r="ED184" s="72" t="str">
        <f t="shared" si="2920"/>
        <v/>
      </c>
      <c r="EE184" s="72" t="str">
        <f t="shared" si="2920"/>
        <v/>
      </c>
      <c r="EF184" s="72" t="str">
        <f t="shared" si="2920"/>
        <v/>
      </c>
      <c r="EG184" s="72" t="str">
        <f t="shared" si="2920"/>
        <v/>
      </c>
      <c r="EH184" s="72" t="str">
        <f t="shared" si="2920"/>
        <v/>
      </c>
      <c r="EI184" s="72" t="str">
        <f t="shared" si="2920"/>
        <v/>
      </c>
      <c r="EJ184" s="72" t="str">
        <f t="shared" si="2920"/>
        <v/>
      </c>
      <c r="EK184" s="72" t="str">
        <f t="shared" si="2920"/>
        <v/>
      </c>
      <c r="EL184" s="72" t="str">
        <f t="shared" si="2920"/>
        <v/>
      </c>
      <c r="EM184" s="72" t="str">
        <f t="shared" si="2920"/>
        <v/>
      </c>
      <c r="EN184" s="72" t="str">
        <f t="shared" si="2920"/>
        <v/>
      </c>
      <c r="EO184" s="72" t="str">
        <f t="shared" si="2920"/>
        <v/>
      </c>
      <c r="EP184" s="72" t="str">
        <f t="shared" si="2920"/>
        <v/>
      </c>
      <c r="EQ184" s="72" t="str">
        <f t="shared" si="2920"/>
        <v/>
      </c>
      <c r="ER184" s="72" t="str">
        <f t="shared" si="2920"/>
        <v/>
      </c>
      <c r="ES184" s="72" t="str">
        <f t="shared" si="2920"/>
        <v/>
      </c>
      <c r="ET184" s="72" t="str">
        <f t="shared" si="2920"/>
        <v/>
      </c>
      <c r="EU184" s="72" t="str">
        <f t="shared" si="2920"/>
        <v/>
      </c>
      <c r="EV184" s="72" t="str">
        <f t="shared" si="2920"/>
        <v/>
      </c>
      <c r="EW184" s="72" t="str">
        <f t="shared" si="2920"/>
        <v/>
      </c>
      <c r="EX184" s="72" t="str">
        <f t="shared" si="2920"/>
        <v/>
      </c>
      <c r="EY184" s="72" t="str">
        <f t="shared" si="2920"/>
        <v/>
      </c>
      <c r="EZ184" s="72" t="str">
        <f t="shared" si="2920"/>
        <v/>
      </c>
      <c r="FA184" s="72" t="str">
        <f t="shared" si="2920"/>
        <v/>
      </c>
      <c r="FB184" s="72" t="str">
        <f t="shared" si="2920"/>
        <v/>
      </c>
      <c r="FC184" s="72" t="str">
        <f t="shared" si="2920"/>
        <v/>
      </c>
      <c r="FD184" s="72" t="str">
        <f t="shared" si="2920"/>
        <v/>
      </c>
      <c r="FE184" s="72" t="str">
        <f t="shared" si="2920"/>
        <v/>
      </c>
      <c r="FF184" s="72" t="str">
        <f t="shared" si="2920"/>
        <v/>
      </c>
      <c r="FG184" s="72" t="str">
        <f t="shared" si="2920"/>
        <v/>
      </c>
      <c r="FH184" s="72" t="str">
        <f t="shared" si="2920"/>
        <v/>
      </c>
      <c r="FI184" s="72" t="str">
        <f t="shared" si="2920"/>
        <v/>
      </c>
      <c r="FJ184" s="72" t="str">
        <f t="shared" si="2920"/>
        <v/>
      </c>
      <c r="FK184" s="72" t="str">
        <f t="shared" si="2920"/>
        <v/>
      </c>
      <c r="FL184" s="72" t="str">
        <f t="shared" si="2920"/>
        <v/>
      </c>
      <c r="FM184" s="72" t="str">
        <f t="shared" si="2920"/>
        <v/>
      </c>
      <c r="FN184" s="72" t="str">
        <f t="shared" ref="FN184:FS184" si="2921">IF(CH184="","","|n"&amp;FN$2&amp;"+"&amp;CH184&amp;FN$1)</f>
        <v/>
      </c>
      <c r="FO184" s="72" t="str">
        <f t="shared" si="2921"/>
        <v/>
      </c>
      <c r="FP184" s="72" t="str">
        <f t="shared" si="2921"/>
        <v/>
      </c>
      <c r="FQ184" s="72" t="str">
        <f t="shared" si="2921"/>
        <v/>
      </c>
      <c r="FR184" s="72" t="str">
        <f t="shared" si="2921"/>
        <v/>
      </c>
      <c r="FS184" s="72" t="str">
        <f t="shared" si="2921"/>
        <v/>
      </c>
    </row>
    <row r="185" spans="1:175" ht="15">
      <c r="A185" s="81"/>
      <c r="B185" s="104" t="s">
        <v>674</v>
      </c>
      <c r="C185" s="81" t="s">
        <v>675</v>
      </c>
      <c r="T185" s="117" t="s">
        <v>676</v>
      </c>
      <c r="U185" s="88" t="str">
        <f t="shared" si="2919"/>
        <v>ReplaceableTextures\\CommandButtons\\BTNIP07.blp</v>
      </c>
      <c r="CN185" s="70" t="str">
        <f t="shared" si="2699"/>
        <v>InitUnitState('IP07',,,,,,,,,,)</v>
      </c>
      <c r="CO185" s="70" t="str">
        <f t="shared" si="2700"/>
        <v>InitUnitNormal('IP07',,,,,,,,,,)</v>
      </c>
      <c r="CP185" s="70" t="str">
        <f t="shared" si="2701"/>
        <v>InitUnitMagic('IP07',,,,,,,,,,)</v>
      </c>
      <c r="CQ185" s="70" t="str">
        <f t="shared" si="2702"/>
        <v>InitUnitAdd('IP07',,,,,,,,,,)</v>
      </c>
      <c r="CR185" s="70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192&amp;CR$1&amp;")"</f>
        <v>InitEquipData('IP07',,"",,,,,'','','','','','',"ReplaceableTextures\\CommandButtons\\BTNIT05.blp")</v>
      </c>
      <c r="CU185" s="98" t="str">
        <f t="shared" si="2847"/>
        <v>|n</v>
      </c>
      <c r="CV185" s="71" t="str">
        <f t="shared" si="2848"/>
        <v>可抵扣|Cffffd24d1|r次抽奖消耗</v>
      </c>
      <c r="CW185" s="61"/>
      <c r="CX185" s="61"/>
      <c r="CY185" s="61"/>
      <c r="CZ185" s="61"/>
      <c r="DA185" s="61"/>
      <c r="DB185" s="72" t="str">
        <f t="shared" ref="DB185:FM185" si="2922">IF(V185="","","|n"&amp;DB$2&amp;"+"&amp;V185&amp;DB$1)</f>
        <v/>
      </c>
      <c r="DC185" s="72" t="str">
        <f t="shared" si="2922"/>
        <v/>
      </c>
      <c r="DD185" s="72" t="str">
        <f t="shared" si="2922"/>
        <v/>
      </c>
      <c r="DE185" s="72" t="str">
        <f t="shared" si="2922"/>
        <v/>
      </c>
      <c r="DF185" s="72" t="str">
        <f t="shared" si="2922"/>
        <v/>
      </c>
      <c r="DG185" s="72" t="str">
        <f t="shared" si="2922"/>
        <v/>
      </c>
      <c r="DH185" s="72" t="str">
        <f t="shared" si="2922"/>
        <v/>
      </c>
      <c r="DI185" s="72" t="str">
        <f t="shared" si="2922"/>
        <v/>
      </c>
      <c r="DJ185" s="72" t="str">
        <f t="shared" si="2922"/>
        <v/>
      </c>
      <c r="DK185" s="72" t="str">
        <f t="shared" si="2922"/>
        <v/>
      </c>
      <c r="DL185" s="72" t="str">
        <f t="shared" si="2922"/>
        <v/>
      </c>
      <c r="DM185" s="72" t="str">
        <f t="shared" si="2922"/>
        <v/>
      </c>
      <c r="DN185" s="72" t="str">
        <f t="shared" si="2922"/>
        <v/>
      </c>
      <c r="DO185" s="72" t="str">
        <f t="shared" si="2922"/>
        <v/>
      </c>
      <c r="DP185" s="72" t="str">
        <f t="shared" si="2922"/>
        <v/>
      </c>
      <c r="DQ185" s="72" t="str">
        <f t="shared" si="2922"/>
        <v/>
      </c>
      <c r="DR185" s="72" t="str">
        <f t="shared" si="2922"/>
        <v/>
      </c>
      <c r="DS185" s="72" t="str">
        <f t="shared" si="2922"/>
        <v/>
      </c>
      <c r="DT185" s="72" t="str">
        <f t="shared" si="2922"/>
        <v/>
      </c>
      <c r="DU185" s="72" t="str">
        <f t="shared" si="2922"/>
        <v/>
      </c>
      <c r="DV185" s="72" t="str">
        <f t="shared" si="2922"/>
        <v/>
      </c>
      <c r="DW185" s="72" t="str">
        <f t="shared" si="2922"/>
        <v/>
      </c>
      <c r="DX185" s="72" t="str">
        <f t="shared" si="2922"/>
        <v/>
      </c>
      <c r="DY185" s="72" t="str">
        <f t="shared" si="2922"/>
        <v/>
      </c>
      <c r="DZ185" s="72" t="str">
        <f t="shared" si="2922"/>
        <v/>
      </c>
      <c r="EA185" s="72" t="str">
        <f t="shared" si="2922"/>
        <v/>
      </c>
      <c r="EB185" s="72" t="str">
        <f t="shared" si="2922"/>
        <v/>
      </c>
      <c r="EC185" s="72" t="str">
        <f t="shared" si="2922"/>
        <v/>
      </c>
      <c r="ED185" s="72" t="str">
        <f t="shared" si="2922"/>
        <v/>
      </c>
      <c r="EE185" s="72" t="str">
        <f t="shared" si="2922"/>
        <v/>
      </c>
      <c r="EF185" s="72" t="str">
        <f t="shared" si="2922"/>
        <v/>
      </c>
      <c r="EG185" s="72" t="str">
        <f t="shared" si="2922"/>
        <v/>
      </c>
      <c r="EH185" s="72" t="str">
        <f t="shared" si="2922"/>
        <v/>
      </c>
      <c r="EI185" s="72" t="str">
        <f t="shared" si="2922"/>
        <v/>
      </c>
      <c r="EJ185" s="72" t="str">
        <f t="shared" si="2922"/>
        <v/>
      </c>
      <c r="EK185" s="72" t="str">
        <f t="shared" si="2922"/>
        <v/>
      </c>
      <c r="EL185" s="72" t="str">
        <f t="shared" si="2922"/>
        <v/>
      </c>
      <c r="EM185" s="72" t="str">
        <f t="shared" si="2922"/>
        <v/>
      </c>
      <c r="EN185" s="72" t="str">
        <f t="shared" si="2922"/>
        <v/>
      </c>
      <c r="EO185" s="72" t="str">
        <f t="shared" si="2922"/>
        <v/>
      </c>
      <c r="EP185" s="72" t="str">
        <f t="shared" si="2922"/>
        <v/>
      </c>
      <c r="EQ185" s="72" t="str">
        <f t="shared" si="2922"/>
        <v/>
      </c>
      <c r="ER185" s="72" t="str">
        <f t="shared" si="2922"/>
        <v/>
      </c>
      <c r="ES185" s="72" t="str">
        <f t="shared" si="2922"/>
        <v/>
      </c>
      <c r="ET185" s="72" t="str">
        <f t="shared" si="2922"/>
        <v/>
      </c>
      <c r="EU185" s="72" t="str">
        <f t="shared" si="2922"/>
        <v/>
      </c>
      <c r="EV185" s="72" t="str">
        <f t="shared" si="2922"/>
        <v/>
      </c>
      <c r="EW185" s="72" t="str">
        <f t="shared" si="2922"/>
        <v/>
      </c>
      <c r="EX185" s="72" t="str">
        <f t="shared" si="2922"/>
        <v/>
      </c>
      <c r="EY185" s="72" t="str">
        <f t="shared" si="2922"/>
        <v/>
      </c>
      <c r="EZ185" s="72" t="str">
        <f t="shared" si="2922"/>
        <v/>
      </c>
      <c r="FA185" s="72" t="str">
        <f t="shared" si="2922"/>
        <v/>
      </c>
      <c r="FB185" s="72" t="str">
        <f t="shared" si="2922"/>
        <v/>
      </c>
      <c r="FC185" s="72" t="str">
        <f t="shared" si="2922"/>
        <v/>
      </c>
      <c r="FD185" s="72" t="str">
        <f t="shared" si="2922"/>
        <v/>
      </c>
      <c r="FE185" s="72" t="str">
        <f t="shared" si="2922"/>
        <v/>
      </c>
      <c r="FF185" s="72" t="str">
        <f t="shared" si="2922"/>
        <v/>
      </c>
      <c r="FG185" s="72" t="str">
        <f t="shared" si="2922"/>
        <v/>
      </c>
      <c r="FH185" s="72" t="str">
        <f t="shared" si="2922"/>
        <v/>
      </c>
      <c r="FI185" s="72" t="str">
        <f t="shared" si="2922"/>
        <v/>
      </c>
      <c r="FJ185" s="72" t="str">
        <f t="shared" si="2922"/>
        <v/>
      </c>
      <c r="FK185" s="72" t="str">
        <f t="shared" si="2922"/>
        <v/>
      </c>
      <c r="FL185" s="72" t="str">
        <f t="shared" si="2922"/>
        <v/>
      </c>
      <c r="FM185" s="72" t="str">
        <f t="shared" si="2922"/>
        <v/>
      </c>
      <c r="FN185" s="72" t="str">
        <f t="shared" ref="FN185:FS185" si="2923">IF(CH185="","","|n"&amp;FN$2&amp;"+"&amp;CH185&amp;FN$1)</f>
        <v/>
      </c>
      <c r="FO185" s="72" t="str">
        <f t="shared" si="2923"/>
        <v/>
      </c>
      <c r="FP185" s="72" t="str">
        <f t="shared" si="2923"/>
        <v/>
      </c>
      <c r="FQ185" s="72" t="str">
        <f t="shared" si="2923"/>
        <v/>
      </c>
      <c r="FR185" s="72" t="str">
        <f t="shared" si="2923"/>
        <v/>
      </c>
      <c r="FS185" s="72" t="str">
        <f t="shared" si="2923"/>
        <v/>
      </c>
    </row>
    <row r="186" spans="1:175" ht="15">
      <c r="A186" s="81"/>
      <c r="B186" s="104" t="s">
        <v>677</v>
      </c>
      <c r="C186" s="81" t="s">
        <v>678</v>
      </c>
      <c r="T186" s="117" t="s">
        <v>679</v>
      </c>
      <c r="U186" s="88" t="s">
        <v>680</v>
      </c>
      <c r="CN186" s="70" t="str">
        <f t="shared" si="2699"/>
        <v>InitUnitState('IP08',,,,,,,,,,)</v>
      </c>
      <c r="CO186" s="70" t="str">
        <f t="shared" si="2700"/>
        <v>InitUnitNormal('IP08',,,,,,,,,,)</v>
      </c>
      <c r="CP186" s="70" t="str">
        <f t="shared" si="2701"/>
        <v>InitUnitMagic('IP08',,,,,,,,,,)</v>
      </c>
      <c r="CQ186" s="70" t="str">
        <f t="shared" si="2702"/>
        <v>InitUnitAdd('IP08',,,,,,,,,,)</v>
      </c>
      <c r="CR186" s="70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193&amp;CR$1&amp;")"</f>
        <v>InitEquipData('IP08',,"",,,,,'','','','','','',"ReplaceableTextures\\CommandButtons\\BTNIT06.blp")</v>
      </c>
      <c r="CU186" s="98" t="str">
        <f t="shared" si="2847"/>
        <v>|n</v>
      </c>
      <c r="CV186" s="71" t="str">
        <f t="shared" si="2848"/>
        <v>使用后增加|Cffffd24d300点|r境界经验。</v>
      </c>
      <c r="CW186" s="61"/>
      <c r="CX186" s="61"/>
      <c r="CY186" s="61"/>
      <c r="CZ186" s="61"/>
      <c r="DA186" s="61"/>
      <c r="DB186" s="72" t="str">
        <f t="shared" ref="DB186:FM186" si="2924">IF(V186="","","|n"&amp;DB$2&amp;"+"&amp;V186&amp;DB$1)</f>
        <v/>
      </c>
      <c r="DC186" s="72" t="str">
        <f t="shared" si="2924"/>
        <v/>
      </c>
      <c r="DD186" s="72" t="str">
        <f t="shared" si="2924"/>
        <v/>
      </c>
      <c r="DE186" s="72" t="str">
        <f t="shared" si="2924"/>
        <v/>
      </c>
      <c r="DF186" s="72" t="str">
        <f t="shared" si="2924"/>
        <v/>
      </c>
      <c r="DG186" s="72" t="str">
        <f t="shared" si="2924"/>
        <v/>
      </c>
      <c r="DH186" s="72" t="str">
        <f t="shared" si="2924"/>
        <v/>
      </c>
      <c r="DI186" s="72" t="str">
        <f t="shared" si="2924"/>
        <v/>
      </c>
      <c r="DJ186" s="72" t="str">
        <f t="shared" si="2924"/>
        <v/>
      </c>
      <c r="DK186" s="72" t="str">
        <f t="shared" si="2924"/>
        <v/>
      </c>
      <c r="DL186" s="72" t="str">
        <f t="shared" si="2924"/>
        <v/>
      </c>
      <c r="DM186" s="72" t="str">
        <f t="shared" si="2924"/>
        <v/>
      </c>
      <c r="DN186" s="72" t="str">
        <f t="shared" si="2924"/>
        <v/>
      </c>
      <c r="DO186" s="72" t="str">
        <f t="shared" si="2924"/>
        <v/>
      </c>
      <c r="DP186" s="72" t="str">
        <f t="shared" si="2924"/>
        <v/>
      </c>
      <c r="DQ186" s="72" t="str">
        <f t="shared" si="2924"/>
        <v/>
      </c>
      <c r="DR186" s="72" t="str">
        <f t="shared" si="2924"/>
        <v/>
      </c>
      <c r="DS186" s="72" t="str">
        <f t="shared" si="2924"/>
        <v/>
      </c>
      <c r="DT186" s="72" t="str">
        <f t="shared" si="2924"/>
        <v/>
      </c>
      <c r="DU186" s="72" t="str">
        <f t="shared" si="2924"/>
        <v/>
      </c>
      <c r="DV186" s="72" t="str">
        <f t="shared" si="2924"/>
        <v/>
      </c>
      <c r="DW186" s="72" t="str">
        <f t="shared" si="2924"/>
        <v/>
      </c>
      <c r="DX186" s="72" t="str">
        <f t="shared" si="2924"/>
        <v/>
      </c>
      <c r="DY186" s="72" t="str">
        <f t="shared" si="2924"/>
        <v/>
      </c>
      <c r="DZ186" s="72" t="str">
        <f t="shared" si="2924"/>
        <v/>
      </c>
      <c r="EA186" s="72" t="str">
        <f t="shared" si="2924"/>
        <v/>
      </c>
      <c r="EB186" s="72" t="str">
        <f t="shared" si="2924"/>
        <v/>
      </c>
      <c r="EC186" s="72" t="str">
        <f t="shared" si="2924"/>
        <v/>
      </c>
      <c r="ED186" s="72" t="str">
        <f t="shared" si="2924"/>
        <v/>
      </c>
      <c r="EE186" s="72" t="str">
        <f t="shared" si="2924"/>
        <v/>
      </c>
      <c r="EF186" s="72" t="str">
        <f t="shared" si="2924"/>
        <v/>
      </c>
      <c r="EG186" s="72" t="str">
        <f t="shared" si="2924"/>
        <v/>
      </c>
      <c r="EH186" s="72" t="str">
        <f t="shared" si="2924"/>
        <v/>
      </c>
      <c r="EI186" s="72" t="str">
        <f t="shared" si="2924"/>
        <v/>
      </c>
      <c r="EJ186" s="72" t="str">
        <f t="shared" si="2924"/>
        <v/>
      </c>
      <c r="EK186" s="72" t="str">
        <f t="shared" si="2924"/>
        <v/>
      </c>
      <c r="EL186" s="72" t="str">
        <f t="shared" si="2924"/>
        <v/>
      </c>
      <c r="EM186" s="72" t="str">
        <f t="shared" si="2924"/>
        <v/>
      </c>
      <c r="EN186" s="72" t="str">
        <f t="shared" si="2924"/>
        <v/>
      </c>
      <c r="EO186" s="72" t="str">
        <f t="shared" si="2924"/>
        <v/>
      </c>
      <c r="EP186" s="72" t="str">
        <f t="shared" si="2924"/>
        <v/>
      </c>
      <c r="EQ186" s="72" t="str">
        <f t="shared" si="2924"/>
        <v/>
      </c>
      <c r="ER186" s="72" t="str">
        <f t="shared" si="2924"/>
        <v/>
      </c>
      <c r="ES186" s="72" t="str">
        <f t="shared" si="2924"/>
        <v/>
      </c>
      <c r="ET186" s="72" t="str">
        <f t="shared" si="2924"/>
        <v/>
      </c>
      <c r="EU186" s="72" t="str">
        <f t="shared" si="2924"/>
        <v/>
      </c>
      <c r="EV186" s="72" t="str">
        <f t="shared" si="2924"/>
        <v/>
      </c>
      <c r="EW186" s="72" t="str">
        <f t="shared" si="2924"/>
        <v/>
      </c>
      <c r="EX186" s="72" t="str">
        <f t="shared" si="2924"/>
        <v/>
      </c>
      <c r="EY186" s="72" t="str">
        <f t="shared" si="2924"/>
        <v/>
      </c>
      <c r="EZ186" s="72" t="str">
        <f t="shared" si="2924"/>
        <v/>
      </c>
      <c r="FA186" s="72" t="str">
        <f t="shared" si="2924"/>
        <v/>
      </c>
      <c r="FB186" s="72" t="str">
        <f t="shared" si="2924"/>
        <v/>
      </c>
      <c r="FC186" s="72" t="str">
        <f t="shared" si="2924"/>
        <v/>
      </c>
      <c r="FD186" s="72" t="str">
        <f t="shared" si="2924"/>
        <v/>
      </c>
      <c r="FE186" s="72" t="str">
        <f t="shared" si="2924"/>
        <v/>
      </c>
      <c r="FF186" s="72" t="str">
        <f t="shared" si="2924"/>
        <v/>
      </c>
      <c r="FG186" s="72" t="str">
        <f t="shared" si="2924"/>
        <v/>
      </c>
      <c r="FH186" s="72" t="str">
        <f t="shared" si="2924"/>
        <v/>
      </c>
      <c r="FI186" s="72" t="str">
        <f t="shared" si="2924"/>
        <v/>
      </c>
      <c r="FJ186" s="72" t="str">
        <f t="shared" si="2924"/>
        <v/>
      </c>
      <c r="FK186" s="72" t="str">
        <f t="shared" si="2924"/>
        <v/>
      </c>
      <c r="FL186" s="72" t="str">
        <f t="shared" si="2924"/>
        <v/>
      </c>
      <c r="FM186" s="72" t="str">
        <f t="shared" si="2924"/>
        <v/>
      </c>
      <c r="FN186" s="72" t="str">
        <f t="shared" ref="FN186:FS186" si="2925">IF(CH186="","","|n"&amp;FN$2&amp;"+"&amp;CH186&amp;FN$1)</f>
        <v/>
      </c>
      <c r="FO186" s="72" t="str">
        <f t="shared" si="2925"/>
        <v/>
      </c>
      <c r="FP186" s="72" t="str">
        <f t="shared" si="2925"/>
        <v/>
      </c>
      <c r="FQ186" s="72" t="str">
        <f t="shared" si="2925"/>
        <v/>
      </c>
      <c r="FR186" s="72" t="str">
        <f t="shared" si="2925"/>
        <v/>
      </c>
      <c r="FS186" s="72" t="str">
        <f t="shared" si="2925"/>
        <v/>
      </c>
    </row>
    <row r="187" spans="1:175" ht="15">
      <c r="A187" s="81"/>
      <c r="B187" s="104" t="s">
        <v>681</v>
      </c>
      <c r="C187" s="81" t="s">
        <v>682</v>
      </c>
      <c r="T187" s="124" t="s">
        <v>683</v>
      </c>
      <c r="U187" s="88" t="s">
        <v>684</v>
      </c>
      <c r="CN187" s="70" t="str">
        <f t="shared" si="2699"/>
        <v>InitUnitState('IP09',,,,,,,,,,)</v>
      </c>
      <c r="CO187" s="70" t="str">
        <f t="shared" si="2700"/>
        <v>InitUnitNormal('IP09',,,,,,,,,,)</v>
      </c>
      <c r="CP187" s="70" t="str">
        <f t="shared" si="2701"/>
        <v>InitUnitMagic('IP09',,,,,,,,,,)</v>
      </c>
      <c r="CQ187" s="70" t="str">
        <f t="shared" si="2702"/>
        <v>InitUnitAdd('IP09',,,,,,,,,,)</v>
      </c>
      <c r="CR187" s="70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194&amp;CR$1&amp;")"</f>
        <v>InitEquipData('IP09',,"",,,,,'','','','','','',"ReplaceableTextures\\CommandButtons\\BTNIT07.blp")</v>
      </c>
      <c r="CU187" s="98" t="str">
        <f t="shared" si="2847"/>
        <v>|n</v>
      </c>
      <c r="CV187" s="71" t="str">
        <f t="shared" si="2848"/>
        <v>使用后增加|Cffffd24d500点|r境界经验。</v>
      </c>
      <c r="CW187" s="61"/>
      <c r="CX187" s="61"/>
      <c r="CY187" s="61"/>
      <c r="CZ187" s="61"/>
      <c r="DA187" s="61"/>
      <c r="DB187" s="72" t="str">
        <f t="shared" ref="DB187:FM187" si="2926">IF(V187="","","|n"&amp;DB$2&amp;"+"&amp;V187&amp;DB$1)</f>
        <v/>
      </c>
      <c r="DC187" s="72" t="str">
        <f t="shared" si="2926"/>
        <v/>
      </c>
      <c r="DD187" s="72" t="str">
        <f t="shared" si="2926"/>
        <v/>
      </c>
      <c r="DE187" s="72" t="str">
        <f t="shared" si="2926"/>
        <v/>
      </c>
      <c r="DF187" s="72" t="str">
        <f t="shared" si="2926"/>
        <v/>
      </c>
      <c r="DG187" s="72" t="str">
        <f t="shared" si="2926"/>
        <v/>
      </c>
      <c r="DH187" s="72" t="str">
        <f t="shared" si="2926"/>
        <v/>
      </c>
      <c r="DI187" s="72" t="str">
        <f t="shared" si="2926"/>
        <v/>
      </c>
      <c r="DJ187" s="72" t="str">
        <f t="shared" si="2926"/>
        <v/>
      </c>
      <c r="DK187" s="72" t="str">
        <f t="shared" si="2926"/>
        <v/>
      </c>
      <c r="DL187" s="72" t="str">
        <f t="shared" si="2926"/>
        <v/>
      </c>
      <c r="DM187" s="72" t="str">
        <f t="shared" si="2926"/>
        <v/>
      </c>
      <c r="DN187" s="72" t="str">
        <f t="shared" si="2926"/>
        <v/>
      </c>
      <c r="DO187" s="72" t="str">
        <f t="shared" si="2926"/>
        <v/>
      </c>
      <c r="DP187" s="72" t="str">
        <f t="shared" si="2926"/>
        <v/>
      </c>
      <c r="DQ187" s="72" t="str">
        <f t="shared" si="2926"/>
        <v/>
      </c>
      <c r="DR187" s="72" t="str">
        <f t="shared" si="2926"/>
        <v/>
      </c>
      <c r="DS187" s="72" t="str">
        <f t="shared" si="2926"/>
        <v/>
      </c>
      <c r="DT187" s="72" t="str">
        <f t="shared" si="2926"/>
        <v/>
      </c>
      <c r="DU187" s="72" t="str">
        <f t="shared" si="2926"/>
        <v/>
      </c>
      <c r="DV187" s="72" t="str">
        <f t="shared" si="2926"/>
        <v/>
      </c>
      <c r="DW187" s="72" t="str">
        <f t="shared" si="2926"/>
        <v/>
      </c>
      <c r="DX187" s="72" t="str">
        <f t="shared" si="2926"/>
        <v/>
      </c>
      <c r="DY187" s="72" t="str">
        <f t="shared" si="2926"/>
        <v/>
      </c>
      <c r="DZ187" s="72" t="str">
        <f t="shared" si="2926"/>
        <v/>
      </c>
      <c r="EA187" s="72" t="str">
        <f t="shared" si="2926"/>
        <v/>
      </c>
      <c r="EB187" s="72" t="str">
        <f t="shared" si="2926"/>
        <v/>
      </c>
      <c r="EC187" s="72" t="str">
        <f t="shared" si="2926"/>
        <v/>
      </c>
      <c r="ED187" s="72" t="str">
        <f t="shared" si="2926"/>
        <v/>
      </c>
      <c r="EE187" s="72" t="str">
        <f t="shared" si="2926"/>
        <v/>
      </c>
      <c r="EF187" s="72" t="str">
        <f t="shared" si="2926"/>
        <v/>
      </c>
      <c r="EG187" s="72" t="str">
        <f t="shared" si="2926"/>
        <v/>
      </c>
      <c r="EH187" s="72" t="str">
        <f t="shared" si="2926"/>
        <v/>
      </c>
      <c r="EI187" s="72" t="str">
        <f t="shared" si="2926"/>
        <v/>
      </c>
      <c r="EJ187" s="72" t="str">
        <f t="shared" si="2926"/>
        <v/>
      </c>
      <c r="EK187" s="72" t="str">
        <f t="shared" si="2926"/>
        <v/>
      </c>
      <c r="EL187" s="72" t="str">
        <f t="shared" si="2926"/>
        <v/>
      </c>
      <c r="EM187" s="72" t="str">
        <f t="shared" si="2926"/>
        <v/>
      </c>
      <c r="EN187" s="72" t="str">
        <f t="shared" si="2926"/>
        <v/>
      </c>
      <c r="EO187" s="72" t="str">
        <f t="shared" si="2926"/>
        <v/>
      </c>
      <c r="EP187" s="72" t="str">
        <f t="shared" si="2926"/>
        <v/>
      </c>
      <c r="EQ187" s="72" t="str">
        <f t="shared" si="2926"/>
        <v/>
      </c>
      <c r="ER187" s="72" t="str">
        <f t="shared" si="2926"/>
        <v/>
      </c>
      <c r="ES187" s="72" t="str">
        <f t="shared" si="2926"/>
        <v/>
      </c>
      <c r="ET187" s="72" t="str">
        <f t="shared" si="2926"/>
        <v/>
      </c>
      <c r="EU187" s="72" t="str">
        <f t="shared" si="2926"/>
        <v/>
      </c>
      <c r="EV187" s="72" t="str">
        <f t="shared" si="2926"/>
        <v/>
      </c>
      <c r="EW187" s="72" t="str">
        <f t="shared" si="2926"/>
        <v/>
      </c>
      <c r="EX187" s="72" t="str">
        <f t="shared" si="2926"/>
        <v/>
      </c>
      <c r="EY187" s="72" t="str">
        <f t="shared" si="2926"/>
        <v/>
      </c>
      <c r="EZ187" s="72" t="str">
        <f t="shared" si="2926"/>
        <v/>
      </c>
      <c r="FA187" s="72" t="str">
        <f t="shared" si="2926"/>
        <v/>
      </c>
      <c r="FB187" s="72" t="str">
        <f t="shared" si="2926"/>
        <v/>
      </c>
      <c r="FC187" s="72" t="str">
        <f t="shared" si="2926"/>
        <v/>
      </c>
      <c r="FD187" s="72" t="str">
        <f t="shared" si="2926"/>
        <v/>
      </c>
      <c r="FE187" s="72" t="str">
        <f t="shared" si="2926"/>
        <v/>
      </c>
      <c r="FF187" s="72" t="str">
        <f t="shared" si="2926"/>
        <v/>
      </c>
      <c r="FG187" s="72" t="str">
        <f t="shared" si="2926"/>
        <v/>
      </c>
      <c r="FH187" s="72" t="str">
        <f t="shared" si="2926"/>
        <v/>
      </c>
      <c r="FI187" s="72" t="str">
        <f t="shared" si="2926"/>
        <v/>
      </c>
      <c r="FJ187" s="72" t="str">
        <f t="shared" si="2926"/>
        <v/>
      </c>
      <c r="FK187" s="72" t="str">
        <f t="shared" si="2926"/>
        <v/>
      </c>
      <c r="FL187" s="72" t="str">
        <f t="shared" si="2926"/>
        <v/>
      </c>
      <c r="FM187" s="72" t="str">
        <f t="shared" si="2926"/>
        <v/>
      </c>
      <c r="FN187" s="72" t="str">
        <f t="shared" ref="FN187:FS187" si="2927">IF(CH187="","","|n"&amp;FN$2&amp;"+"&amp;CH187&amp;FN$1)</f>
        <v/>
      </c>
      <c r="FO187" s="72" t="str">
        <f t="shared" si="2927"/>
        <v/>
      </c>
      <c r="FP187" s="72" t="str">
        <f t="shared" si="2927"/>
        <v/>
      </c>
      <c r="FQ187" s="72" t="str">
        <f t="shared" si="2927"/>
        <v/>
      </c>
      <c r="FR187" s="72" t="str">
        <f t="shared" si="2927"/>
        <v/>
      </c>
      <c r="FS187" s="72" t="str">
        <f t="shared" si="2927"/>
        <v/>
      </c>
    </row>
    <row r="188" spans="1:175" ht="20.25" customHeight="1">
      <c r="A188" s="81"/>
      <c r="B188" s="104" t="s">
        <v>685</v>
      </c>
      <c r="C188" s="81" t="s">
        <v>686</v>
      </c>
      <c r="R188" s="64">
        <v>-8086</v>
      </c>
      <c r="S188" s="64">
        <v>-3245</v>
      </c>
      <c r="T188" s="123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88" s="88" t="str">
        <f t="shared" ref="U188:U202" si="2928">"ReplaceableTextures\\CommandButtons\\BTN"&amp;B188&amp;".blp"</f>
        <v>ReplaceableTextures\\CommandButtons\\BTNIT01.blp</v>
      </c>
      <c r="CN188" s="70" t="str">
        <f t="shared" ref="CN188:CN201" si="2929">"InitUnitState('"&amp;B188&amp;"',"&amp;V188&amp;","&amp;W188&amp;","&amp;X188&amp;","&amp;Y188&amp;","&amp;Z188&amp;","&amp;AA188&amp;","&amp;AB188&amp;","&amp;AC188&amp;","&amp;AD188&amp;","&amp;AE188&amp;")"</f>
        <v>InitUnitState('IT01',,,,,,,,,,)</v>
      </c>
      <c r="CO188" s="70" t="str">
        <f t="shared" ref="CO188:CO201" si="2930">"InitUnitNormal('"&amp;B188&amp;"',"&amp;AF188&amp;","&amp;AG188&amp;","&amp;AH188&amp;","&amp;AI188&amp;","&amp;AJ188&amp;","&amp;AK188&amp;","&amp;AL188&amp;","&amp;AM188&amp;","&amp;AN188&amp;","&amp;AO188&amp;")"</f>
        <v>InitUnitNormal('IT01',,,,,,,,,,)</v>
      </c>
      <c r="CP188" s="70" t="str">
        <f t="shared" ref="CP188:CP201" si="2931">"InitUnitMagic('"&amp;B188&amp;"',"&amp;AP188&amp;","&amp;AQ188&amp;","&amp;AR188&amp;","&amp;AS188&amp;","&amp;AT188&amp;","&amp;AU188&amp;","&amp;AV188&amp;","&amp;AW188&amp;","&amp;BI188&amp;","&amp;BJ188&amp;")"</f>
        <v>InitUnitMagic('IT01',,,,,,,,,,)</v>
      </c>
      <c r="CQ188" s="70" t="str">
        <f t="shared" ref="CQ188:CQ201" si="2932">"InitUnitAdd('"&amp;B188&amp;"',"&amp;BK188&amp;","&amp;BL188&amp;","&amp;BM188&amp;","&amp;BN188&amp;","&amp;BO188&amp;","&amp;BP188&amp;","&amp;BQ188&amp;","&amp;BR188&amp;","&amp;BS188&amp;","&amp;BT188&amp;")"</f>
        <v>InitUnitAdd('IT01',,,,,,,,,,)</v>
      </c>
      <c r="CR188" s="70" t="str">
        <f t="shared" ref="CR188:CR196" si="2933"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189&amp;CR$1&amp;")"</f>
        <v>InitEquipData('IT01',,"",,,,,'','','','','','',"ReplaceableTextures\\CommandButtons\\BTNIT02.blp")</v>
      </c>
      <c r="CU188" s="98" t="str">
        <f t="shared" ref="CU188" si="2934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1" t="str">
        <f t="shared" ref="CV188:CV189" si="2935">T188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88" s="61"/>
      <c r="CX188" s="61"/>
      <c r="CY188" s="61"/>
      <c r="CZ188" s="61"/>
      <c r="DA188" s="61"/>
      <c r="DB188" s="72" t="str">
        <f t="shared" ref="DB188" si="2936">IF(V188="","","|n"&amp;DB$2&amp;"+"&amp;V188&amp;DB$1)</f>
        <v/>
      </c>
      <c r="DC188" s="72" t="str">
        <f t="shared" ref="DC188" si="2937">IF(W188="","","|n"&amp;DC$2&amp;"+"&amp;W188&amp;DC$1)</f>
        <v/>
      </c>
      <c r="DD188" s="72" t="str">
        <f t="shared" ref="DD188" si="2938">IF(X188="","","|n"&amp;DD$2&amp;"+"&amp;X188&amp;DD$1)</f>
        <v/>
      </c>
      <c r="DE188" s="72" t="str">
        <f t="shared" ref="DE188" si="2939">IF(Y188="","","|n"&amp;DE$2&amp;"+"&amp;Y188&amp;DE$1)</f>
        <v/>
      </c>
      <c r="DF188" s="72" t="str">
        <f t="shared" ref="DF188" si="2940">IF(Z188="","","|n"&amp;DF$2&amp;"+"&amp;Z188&amp;DF$1)</f>
        <v/>
      </c>
      <c r="DG188" s="72" t="str">
        <f t="shared" ref="DG188" si="2941">IF(AA188="","","|n"&amp;DG$2&amp;"+"&amp;AA188&amp;DG$1)</f>
        <v/>
      </c>
      <c r="DH188" s="72" t="str">
        <f t="shared" ref="DH188" si="2942">IF(AB188="","","|n"&amp;DH$2&amp;"+"&amp;AB188&amp;DH$1)</f>
        <v/>
      </c>
      <c r="DI188" s="72" t="str">
        <f t="shared" ref="DI188" si="2943">IF(AC188="","","|n"&amp;DI$2&amp;"+"&amp;AC188&amp;DI$1)</f>
        <v/>
      </c>
      <c r="DJ188" s="72" t="str">
        <f t="shared" ref="DJ188" si="2944">IF(AD188="","","|n"&amp;DJ$2&amp;"+"&amp;AD188&amp;DJ$1)</f>
        <v/>
      </c>
      <c r="DK188" s="72" t="str">
        <f t="shared" ref="DK188" si="2945">IF(AE188="","","|n"&amp;DK$2&amp;"+"&amp;AE188&amp;DK$1)</f>
        <v/>
      </c>
      <c r="DL188" s="72" t="str">
        <f t="shared" ref="DL188" si="2946">IF(AF188="","","|n"&amp;DL$2&amp;"+"&amp;AF188&amp;DL$1)</f>
        <v/>
      </c>
      <c r="DM188" s="72" t="str">
        <f t="shared" ref="DM188" si="2947">IF(AG188="","","|n"&amp;DM$2&amp;"+"&amp;AG188&amp;DM$1)</f>
        <v/>
      </c>
      <c r="DN188" s="72" t="str">
        <f t="shared" ref="DN188" si="2948">IF(AH188="","","|n"&amp;DN$2&amp;"+"&amp;AH188&amp;DN$1)</f>
        <v/>
      </c>
      <c r="DO188" s="72" t="str">
        <f t="shared" ref="DO188" si="2949">IF(AI188="","","|n"&amp;DO$2&amp;"+"&amp;AI188&amp;DO$1)</f>
        <v/>
      </c>
      <c r="DP188" s="72" t="str">
        <f t="shared" ref="DP188" si="2950">IF(AJ188="","","|n"&amp;DP$2&amp;"+"&amp;AJ188&amp;DP$1)</f>
        <v/>
      </c>
      <c r="DQ188" s="72" t="str">
        <f t="shared" ref="DQ188" si="2951">IF(AK188="","","|n"&amp;DQ$2&amp;"+"&amp;AK188&amp;DQ$1)</f>
        <v/>
      </c>
      <c r="DR188" s="72" t="str">
        <f t="shared" ref="DR188" si="2952">IF(AL188="","","|n"&amp;DR$2&amp;"+"&amp;AL188&amp;DR$1)</f>
        <v/>
      </c>
      <c r="DS188" s="72" t="str">
        <f t="shared" ref="DS188" si="2953">IF(AM188="","","|n"&amp;DS$2&amp;"+"&amp;AM188&amp;DS$1)</f>
        <v/>
      </c>
      <c r="DT188" s="72" t="str">
        <f t="shared" ref="DT188" si="2954">IF(AN188="","","|n"&amp;DT$2&amp;"+"&amp;AN188&amp;DT$1)</f>
        <v/>
      </c>
      <c r="DU188" s="72" t="str">
        <f t="shared" ref="DU188" si="2955">IF(AO188="","","|n"&amp;DU$2&amp;"+"&amp;AO188&amp;DU$1)</f>
        <v/>
      </c>
      <c r="DV188" s="72" t="str">
        <f t="shared" ref="DV188" si="2956">IF(AP188="","","|n"&amp;DV$2&amp;"+"&amp;AP188&amp;DV$1)</f>
        <v/>
      </c>
      <c r="DW188" s="72" t="str">
        <f t="shared" ref="DW188" si="2957">IF(AQ188="","","|n"&amp;DW$2&amp;"+"&amp;AQ188&amp;DW$1)</f>
        <v/>
      </c>
      <c r="DX188" s="72" t="str">
        <f t="shared" ref="DX188" si="2958">IF(AR188="","","|n"&amp;DX$2&amp;"+"&amp;AR188&amp;DX$1)</f>
        <v/>
      </c>
      <c r="DY188" s="72" t="str">
        <f t="shared" ref="DY188" si="2959">IF(AS188="","","|n"&amp;DY$2&amp;"+"&amp;AS188&amp;DY$1)</f>
        <v/>
      </c>
      <c r="DZ188" s="72" t="str">
        <f t="shared" ref="DZ188" si="2960">IF(AT188="","","|n"&amp;DZ$2&amp;"+"&amp;AT188&amp;DZ$1)</f>
        <v/>
      </c>
      <c r="EA188" s="72" t="str">
        <f t="shared" ref="EA188" si="2961">IF(AU188="","","|n"&amp;EA$2&amp;"+"&amp;AU188&amp;EA$1)</f>
        <v/>
      </c>
      <c r="EB188" s="72" t="str">
        <f t="shared" ref="EB188" si="2962">IF(AV188="","","|n"&amp;EB$2&amp;"+"&amp;AV188&amp;EB$1)</f>
        <v/>
      </c>
      <c r="EC188" s="72" t="str">
        <f t="shared" ref="EC188" si="2963">IF(AW188="","","|n"&amp;EC$2&amp;"+"&amp;AW188&amp;EC$1)</f>
        <v/>
      </c>
      <c r="ED188" s="72" t="str">
        <f t="shared" ref="ED188" si="2964">IF(AX188="","","|n"&amp;ED$2&amp;"+"&amp;AX188&amp;ED$1)</f>
        <v/>
      </c>
      <c r="EE188" s="72" t="str">
        <f t="shared" ref="EE188" si="2965">IF(AY188="","","|n"&amp;EE$2&amp;"+"&amp;AY188&amp;EE$1)</f>
        <v/>
      </c>
      <c r="EF188" s="72" t="str">
        <f t="shared" ref="EF188" si="2966">IF(AZ188="","","|n"&amp;EF$2&amp;"+"&amp;AZ188&amp;EF$1)</f>
        <v/>
      </c>
      <c r="EG188" s="72" t="str">
        <f t="shared" ref="EG188" si="2967">IF(BA188="","","|n"&amp;EG$2&amp;"+"&amp;BA188&amp;EG$1)</f>
        <v/>
      </c>
      <c r="EH188" s="72" t="str">
        <f t="shared" ref="EH188" si="2968">IF(BB188="","","|n"&amp;EH$2&amp;"+"&amp;BB188&amp;EH$1)</f>
        <v/>
      </c>
      <c r="EI188" s="72" t="str">
        <f t="shared" ref="EI188" si="2969">IF(BC188="","","|n"&amp;EI$2&amp;"+"&amp;BC188&amp;EI$1)</f>
        <v/>
      </c>
      <c r="EJ188" s="72" t="str">
        <f t="shared" ref="EJ188" si="2970">IF(BD188="","","|n"&amp;EJ$2&amp;"+"&amp;BD188&amp;EJ$1)</f>
        <v/>
      </c>
      <c r="EK188" s="72" t="str">
        <f t="shared" ref="EK188" si="2971">IF(BE188="","","|n"&amp;EK$2&amp;"+"&amp;BE188&amp;EK$1)</f>
        <v/>
      </c>
      <c r="EL188" s="72" t="str">
        <f t="shared" ref="EL188" si="2972">IF(BF188="","","|n"&amp;EL$2&amp;"+"&amp;BF188&amp;EL$1)</f>
        <v/>
      </c>
      <c r="EM188" s="72" t="str">
        <f t="shared" ref="EM188" si="2973">IF(BG188="","","|n"&amp;EM$2&amp;"+"&amp;BG188&amp;EM$1)</f>
        <v/>
      </c>
      <c r="EN188" s="72" t="str">
        <f t="shared" ref="EN188" si="2974">IF(BH188="","","|n"&amp;EN$2&amp;"+"&amp;BH188&amp;EN$1)</f>
        <v/>
      </c>
      <c r="EO188" s="72" t="str">
        <f t="shared" ref="EO188" si="2975">IF(BI188="","","|n"&amp;EO$2&amp;"+"&amp;BI188&amp;EO$1)</f>
        <v/>
      </c>
      <c r="EP188" s="72" t="str">
        <f t="shared" ref="EP188" si="2976">IF(BJ188="","","|n"&amp;EP$2&amp;"+"&amp;BJ188&amp;EP$1)</f>
        <v/>
      </c>
      <c r="EQ188" s="72" t="str">
        <f t="shared" ref="EQ188" si="2977">IF(BK188="","","|n"&amp;EQ$2&amp;"+"&amp;BK188&amp;EQ$1)</f>
        <v/>
      </c>
      <c r="ER188" s="72" t="str">
        <f t="shared" ref="ER188" si="2978">IF(BL188="","","|n"&amp;ER$2&amp;"+"&amp;BL188&amp;ER$1)</f>
        <v/>
      </c>
      <c r="ES188" s="72" t="str">
        <f t="shared" ref="ES188" si="2979">IF(BM188="","","|n"&amp;ES$2&amp;"+"&amp;BM188&amp;ES$1)</f>
        <v/>
      </c>
      <c r="ET188" s="72" t="str">
        <f t="shared" ref="ET188" si="2980">IF(BN188="","","|n"&amp;ET$2&amp;"+"&amp;BN188&amp;ET$1)</f>
        <v/>
      </c>
      <c r="EU188" s="72" t="str">
        <f t="shared" ref="EU188" si="2981">IF(BO188="","","|n"&amp;EU$2&amp;"+"&amp;BO188&amp;EU$1)</f>
        <v/>
      </c>
      <c r="EV188" s="72" t="str">
        <f t="shared" ref="EV188" si="2982">IF(BP188="","","|n"&amp;EV$2&amp;"+"&amp;BP188&amp;EV$1)</f>
        <v/>
      </c>
      <c r="EW188" s="72" t="str">
        <f t="shared" ref="EW188" si="2983">IF(BQ188="","","|n"&amp;EW$2&amp;"+"&amp;BQ188&amp;EW$1)</f>
        <v/>
      </c>
      <c r="EX188" s="72" t="str">
        <f t="shared" ref="EX188" si="2984">IF(BR188="","","|n"&amp;EX$2&amp;"+"&amp;BR188&amp;EX$1)</f>
        <v/>
      </c>
      <c r="EY188" s="72" t="str">
        <f t="shared" ref="EY188" si="2985">IF(BS188="","","|n"&amp;EY$2&amp;"+"&amp;BS188&amp;EY$1)</f>
        <v/>
      </c>
      <c r="EZ188" s="72" t="str">
        <f t="shared" ref="EZ188" si="2986">IF(BT188="","","|n"&amp;EZ$2&amp;"+"&amp;BT188&amp;EZ$1)</f>
        <v/>
      </c>
      <c r="FA188" s="72" t="str">
        <f t="shared" ref="FA188" si="2987">IF(BU188="","","|n"&amp;FA$2&amp;"+"&amp;BU188&amp;FA$1)</f>
        <v/>
      </c>
      <c r="FB188" s="72" t="str">
        <f t="shared" ref="FB188" si="2988">IF(BV188="","","|n"&amp;FB$2&amp;"+"&amp;BV188&amp;FB$1)</f>
        <v/>
      </c>
      <c r="FC188" s="72" t="str">
        <f t="shared" ref="FC188" si="2989">IF(BW188="","","|n"&amp;FC$2&amp;"+"&amp;BW188&amp;FC$1)</f>
        <v/>
      </c>
      <c r="FD188" s="72" t="str">
        <f t="shared" ref="FD188" si="2990">IF(BX188="","","|n"&amp;FD$2&amp;"+"&amp;BX188&amp;FD$1)</f>
        <v/>
      </c>
      <c r="FE188" s="72" t="str">
        <f t="shared" ref="FE188" si="2991">IF(BY188="","","|n"&amp;FE$2&amp;"+"&amp;BY188&amp;FE$1)</f>
        <v/>
      </c>
      <c r="FF188" s="72" t="str">
        <f t="shared" ref="FF188" si="2992">IF(BZ188="","","|n"&amp;FF$2&amp;"+"&amp;BZ188&amp;FF$1)</f>
        <v/>
      </c>
      <c r="FG188" s="72" t="str">
        <f t="shared" ref="FG188" si="2993">IF(CA188="","","|n"&amp;FG$2&amp;"+"&amp;CA188&amp;FG$1)</f>
        <v/>
      </c>
      <c r="FH188" s="72" t="str">
        <f t="shared" ref="FH188" si="2994">IF(CB188="","","|n"&amp;FH$2&amp;"+"&amp;CB188&amp;FH$1)</f>
        <v/>
      </c>
      <c r="FI188" s="72" t="str">
        <f t="shared" ref="FI188" si="2995">IF(CC188="","","|n"&amp;FI$2&amp;"+"&amp;CC188&amp;FI$1)</f>
        <v/>
      </c>
      <c r="FJ188" s="72" t="str">
        <f t="shared" ref="FJ188" si="2996">IF(CD188="","","|n"&amp;FJ$2&amp;"+"&amp;CD188&amp;FJ$1)</f>
        <v/>
      </c>
      <c r="FK188" s="72" t="str">
        <f t="shared" ref="FK188" si="2997">IF(CE188="","","|n"&amp;FK$2&amp;"+"&amp;CE188&amp;FK$1)</f>
        <v/>
      </c>
      <c r="FL188" s="72" t="str">
        <f t="shared" ref="FL188" si="2998">IF(CF188="","","|n"&amp;FL$2&amp;"+"&amp;CF188&amp;FL$1)</f>
        <v/>
      </c>
      <c r="FM188" s="72" t="str">
        <f t="shared" ref="FM188" si="2999">IF(CG188="","","|n"&amp;FM$2&amp;"+"&amp;CG188&amp;FM$1)</f>
        <v/>
      </c>
      <c r="FN188" s="72" t="str">
        <f t="shared" ref="FN188" si="3000">IF(CH188="","","|n"&amp;FN$2&amp;"+"&amp;CH188&amp;FN$1)</f>
        <v/>
      </c>
      <c r="FO188" s="72" t="str">
        <f t="shared" ref="FO188" si="3001">IF(CI188="","","|n"&amp;FO$2&amp;"+"&amp;CI188&amp;FO$1)</f>
        <v/>
      </c>
      <c r="FP188" s="72" t="str">
        <f t="shared" ref="FP188" si="3002">IF(CJ188="","","|n"&amp;FP$2&amp;"+"&amp;CJ188&amp;FP$1)</f>
        <v/>
      </c>
      <c r="FQ188" s="72" t="str">
        <f t="shared" ref="FQ188" si="3003">IF(CK188="","","|n"&amp;FQ$2&amp;"+"&amp;CK188&amp;FQ$1)</f>
        <v/>
      </c>
      <c r="FR188" s="72" t="str">
        <f t="shared" ref="FR188" si="3004">IF(CL188="","","|n"&amp;FR$2&amp;"+"&amp;CL188&amp;FR$1)</f>
        <v/>
      </c>
      <c r="FS188" s="72" t="str">
        <f t="shared" ref="FS188" si="3005">IF(CM188="","","|n"&amp;FS$2&amp;"+"&amp;CM188&amp;FS$1)</f>
        <v/>
      </c>
    </row>
    <row r="189" spans="1:175" ht="18" customHeight="1">
      <c r="A189" s="81"/>
      <c r="B189" s="104" t="s">
        <v>687</v>
      </c>
      <c r="C189" s="81" t="s">
        <v>688</v>
      </c>
      <c r="R189" s="64">
        <v>-7991</v>
      </c>
      <c r="S189" s="64">
        <v>-2312</v>
      </c>
      <c r="T189" s="123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89" s="88" t="str">
        <f t="shared" si="2928"/>
        <v>ReplaceableTextures\\CommandButtons\\BTNIT02.blp</v>
      </c>
      <c r="CN189" s="70" t="str">
        <f t="shared" si="2929"/>
        <v>InitUnitState('IT02',,,,,,,,,,)</v>
      </c>
      <c r="CO189" s="70" t="str">
        <f t="shared" si="2930"/>
        <v>InitUnitNormal('IT02',,,,,,,,,,)</v>
      </c>
      <c r="CP189" s="70" t="str">
        <f t="shared" si="2931"/>
        <v>InitUnitMagic('IT02',,,,,,,,,,)</v>
      </c>
      <c r="CQ189" s="70" t="str">
        <f t="shared" si="2932"/>
        <v>InitUnitAdd('IT02',,,,,,,,,,)</v>
      </c>
      <c r="CR189" s="70" t="str">
        <f t="shared" si="2933"/>
        <v>InitEquipData('IT02',,"",,,,,'','','','','','',"ReplaceableTextures\\CommandButtons\\BTNIT03.blp")</v>
      </c>
      <c r="CU189" s="98" t="str">
        <f t="shared" ref="CU189:CU201" si="3006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71" t="str">
        <f t="shared" si="2935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89" s="61"/>
      <c r="CX189" s="61"/>
      <c r="CY189" s="61"/>
      <c r="CZ189" s="61"/>
      <c r="DA189" s="61"/>
      <c r="DB189" s="72" t="str">
        <f t="shared" ref="DB189:DB197" si="3007">IF(V189="","","|n"&amp;DB$2&amp;"+"&amp;V189&amp;DB$1)</f>
        <v/>
      </c>
      <c r="DC189" s="72" t="str">
        <f t="shared" ref="DC189:DC197" si="3008">IF(W189="","","|n"&amp;DC$2&amp;"+"&amp;W189&amp;DC$1)</f>
        <v/>
      </c>
      <c r="DD189" s="72" t="str">
        <f t="shared" ref="DD189:DD197" si="3009">IF(X189="","","|n"&amp;DD$2&amp;"+"&amp;X189&amp;DD$1)</f>
        <v/>
      </c>
      <c r="DE189" s="72" t="str">
        <f t="shared" ref="DE189:DE197" si="3010">IF(Y189="","","|n"&amp;DE$2&amp;"+"&amp;Y189&amp;DE$1)</f>
        <v/>
      </c>
      <c r="DF189" s="72" t="str">
        <f t="shared" ref="DF189:DF197" si="3011">IF(Z189="","","|n"&amp;DF$2&amp;"+"&amp;Z189&amp;DF$1)</f>
        <v/>
      </c>
      <c r="DG189" s="72" t="str">
        <f t="shared" ref="DG189:DG197" si="3012">IF(AA189="","","|n"&amp;DG$2&amp;"+"&amp;AA189&amp;DG$1)</f>
        <v/>
      </c>
      <c r="DH189" s="72" t="str">
        <f t="shared" ref="DH189:DH197" si="3013">IF(AB189="","","|n"&amp;DH$2&amp;"+"&amp;AB189&amp;DH$1)</f>
        <v/>
      </c>
      <c r="DI189" s="72" t="str">
        <f t="shared" ref="DI189:DI197" si="3014">IF(AC189="","","|n"&amp;DI$2&amp;"+"&amp;AC189&amp;DI$1)</f>
        <v/>
      </c>
      <c r="DJ189" s="72" t="str">
        <f t="shared" ref="DJ189:DJ197" si="3015">IF(AD189="","","|n"&amp;DJ$2&amp;"+"&amp;AD189&amp;DJ$1)</f>
        <v/>
      </c>
      <c r="DK189" s="72" t="str">
        <f t="shared" ref="DK189:DK197" si="3016">IF(AE189="","","|n"&amp;DK$2&amp;"+"&amp;AE189&amp;DK$1)</f>
        <v/>
      </c>
      <c r="DL189" s="72" t="str">
        <f t="shared" ref="DL189:DL197" si="3017">IF(AF189="","","|n"&amp;DL$2&amp;"+"&amp;AF189&amp;DL$1)</f>
        <v/>
      </c>
      <c r="DM189" s="72" t="str">
        <f t="shared" ref="DM189:DM197" si="3018">IF(AG189="","","|n"&amp;DM$2&amp;"+"&amp;AG189&amp;DM$1)</f>
        <v/>
      </c>
      <c r="DN189" s="72" t="str">
        <f t="shared" ref="DN189:DN197" si="3019">IF(AH189="","","|n"&amp;DN$2&amp;"+"&amp;AH189&amp;DN$1)</f>
        <v/>
      </c>
      <c r="DO189" s="72" t="str">
        <f t="shared" ref="DO189:DO197" si="3020">IF(AI189="","","|n"&amp;DO$2&amp;"+"&amp;AI189&amp;DO$1)</f>
        <v/>
      </c>
      <c r="DP189" s="72" t="str">
        <f t="shared" ref="DP189:DP197" si="3021">IF(AJ189="","","|n"&amp;DP$2&amp;"+"&amp;AJ189&amp;DP$1)</f>
        <v/>
      </c>
      <c r="DQ189" s="72" t="str">
        <f t="shared" ref="DQ189:DQ197" si="3022">IF(AK189="","","|n"&amp;DQ$2&amp;"+"&amp;AK189&amp;DQ$1)</f>
        <v/>
      </c>
      <c r="DR189" s="72" t="str">
        <f t="shared" ref="DR189:DR197" si="3023">IF(AL189="","","|n"&amp;DR$2&amp;"+"&amp;AL189&amp;DR$1)</f>
        <v/>
      </c>
      <c r="DS189" s="72" t="str">
        <f t="shared" ref="DS189:DS197" si="3024">IF(AM189="","","|n"&amp;DS$2&amp;"+"&amp;AM189&amp;DS$1)</f>
        <v/>
      </c>
      <c r="DT189" s="72" t="str">
        <f t="shared" ref="DT189:DT197" si="3025">IF(AN189="","","|n"&amp;DT$2&amp;"+"&amp;AN189&amp;DT$1)</f>
        <v/>
      </c>
      <c r="DU189" s="72" t="str">
        <f t="shared" ref="DU189:DU197" si="3026">IF(AO189="","","|n"&amp;DU$2&amp;"+"&amp;AO189&amp;DU$1)</f>
        <v/>
      </c>
      <c r="DV189" s="72" t="str">
        <f t="shared" ref="DV189:DV197" si="3027">IF(AP189="","","|n"&amp;DV$2&amp;"+"&amp;AP189&amp;DV$1)</f>
        <v/>
      </c>
      <c r="DW189" s="72" t="str">
        <f t="shared" ref="DW189:DW197" si="3028">IF(AQ189="","","|n"&amp;DW$2&amp;"+"&amp;AQ189&amp;DW$1)</f>
        <v/>
      </c>
      <c r="DX189" s="72" t="str">
        <f t="shared" ref="DX189:DX197" si="3029">IF(AR189="","","|n"&amp;DX$2&amp;"+"&amp;AR189&amp;DX$1)</f>
        <v/>
      </c>
      <c r="DY189" s="72" t="str">
        <f t="shared" ref="DY189:DY197" si="3030">IF(AS189="","","|n"&amp;DY$2&amp;"+"&amp;AS189&amp;DY$1)</f>
        <v/>
      </c>
      <c r="DZ189" s="72" t="str">
        <f t="shared" ref="DZ189:DZ197" si="3031">IF(AT189="","","|n"&amp;DZ$2&amp;"+"&amp;AT189&amp;DZ$1)</f>
        <v/>
      </c>
      <c r="EA189" s="72" t="str">
        <f t="shared" ref="EA189:EA197" si="3032">IF(AU189="","","|n"&amp;EA$2&amp;"+"&amp;AU189&amp;EA$1)</f>
        <v/>
      </c>
      <c r="EB189" s="72" t="str">
        <f t="shared" ref="EB189:EB197" si="3033">IF(AV189="","","|n"&amp;EB$2&amp;"+"&amp;AV189&amp;EB$1)</f>
        <v/>
      </c>
      <c r="EC189" s="72" t="str">
        <f t="shared" ref="EC189:EC197" si="3034">IF(AW189="","","|n"&amp;EC$2&amp;"+"&amp;AW189&amp;EC$1)</f>
        <v/>
      </c>
      <c r="ED189" s="72" t="str">
        <f t="shared" ref="ED189:ED197" si="3035">IF(AX189="","","|n"&amp;ED$2&amp;"+"&amp;AX189&amp;ED$1)</f>
        <v/>
      </c>
      <c r="EE189" s="72" t="str">
        <f t="shared" ref="EE189:EE197" si="3036">IF(AY189="","","|n"&amp;EE$2&amp;"+"&amp;AY189&amp;EE$1)</f>
        <v/>
      </c>
      <c r="EF189" s="72" t="str">
        <f t="shared" ref="EF189:EF197" si="3037">IF(AZ189="","","|n"&amp;EF$2&amp;"+"&amp;AZ189&amp;EF$1)</f>
        <v/>
      </c>
      <c r="EG189" s="72" t="str">
        <f t="shared" ref="EG189:EG197" si="3038">IF(BA189="","","|n"&amp;EG$2&amp;"+"&amp;BA189&amp;EG$1)</f>
        <v/>
      </c>
      <c r="EH189" s="72" t="str">
        <f t="shared" ref="EH189:EH197" si="3039">IF(BB189="","","|n"&amp;EH$2&amp;"+"&amp;BB189&amp;EH$1)</f>
        <v/>
      </c>
      <c r="EI189" s="72" t="str">
        <f t="shared" ref="EI189:EI197" si="3040">IF(BC189="","","|n"&amp;EI$2&amp;"+"&amp;BC189&amp;EI$1)</f>
        <v/>
      </c>
      <c r="EJ189" s="72" t="str">
        <f t="shared" ref="EJ189:EJ197" si="3041">IF(BD189="","","|n"&amp;EJ$2&amp;"+"&amp;BD189&amp;EJ$1)</f>
        <v/>
      </c>
      <c r="EK189" s="72" t="str">
        <f t="shared" ref="EK189:EK197" si="3042">IF(BE189="","","|n"&amp;EK$2&amp;"+"&amp;BE189&amp;EK$1)</f>
        <v/>
      </c>
      <c r="EL189" s="72" t="str">
        <f t="shared" ref="EL189:EL197" si="3043">IF(BF189="","","|n"&amp;EL$2&amp;"+"&amp;BF189&amp;EL$1)</f>
        <v/>
      </c>
      <c r="EM189" s="72" t="str">
        <f t="shared" ref="EM189:EM197" si="3044">IF(BG189="","","|n"&amp;EM$2&amp;"+"&amp;BG189&amp;EM$1)</f>
        <v/>
      </c>
      <c r="EN189" s="72" t="str">
        <f t="shared" ref="EN189:EN197" si="3045">IF(BH189="","","|n"&amp;EN$2&amp;"+"&amp;BH189&amp;EN$1)</f>
        <v/>
      </c>
      <c r="EO189" s="72" t="str">
        <f t="shared" ref="EO189:EO197" si="3046">IF(BI189="","","|n"&amp;EO$2&amp;"+"&amp;BI189&amp;EO$1)</f>
        <v/>
      </c>
      <c r="EP189" s="72" t="str">
        <f t="shared" ref="EP189:EP197" si="3047">IF(BJ189="","","|n"&amp;EP$2&amp;"+"&amp;BJ189&amp;EP$1)</f>
        <v/>
      </c>
      <c r="EQ189" s="72" t="str">
        <f t="shared" ref="EQ189:EQ197" si="3048">IF(BK189="","","|n"&amp;EQ$2&amp;"+"&amp;BK189&amp;EQ$1)</f>
        <v/>
      </c>
      <c r="ER189" s="72" t="str">
        <f t="shared" ref="ER189:ER197" si="3049">IF(BL189="","","|n"&amp;ER$2&amp;"+"&amp;BL189&amp;ER$1)</f>
        <v/>
      </c>
      <c r="ES189" s="72" t="str">
        <f t="shared" ref="ES189:ES197" si="3050">IF(BM189="","","|n"&amp;ES$2&amp;"+"&amp;BM189&amp;ES$1)</f>
        <v/>
      </c>
      <c r="ET189" s="72" t="str">
        <f t="shared" ref="ET189:ET197" si="3051">IF(BN189="","","|n"&amp;ET$2&amp;"+"&amp;BN189&amp;ET$1)</f>
        <v/>
      </c>
      <c r="EU189" s="72" t="str">
        <f t="shared" ref="EU189:EU197" si="3052">IF(BO189="","","|n"&amp;EU$2&amp;"+"&amp;BO189&amp;EU$1)</f>
        <v/>
      </c>
      <c r="EV189" s="72" t="str">
        <f t="shared" ref="EV189:EV197" si="3053">IF(BP189="","","|n"&amp;EV$2&amp;"+"&amp;BP189&amp;EV$1)</f>
        <v/>
      </c>
      <c r="EW189" s="72" t="str">
        <f t="shared" ref="EW189:EW197" si="3054">IF(BQ189="","","|n"&amp;EW$2&amp;"+"&amp;BQ189&amp;EW$1)</f>
        <v/>
      </c>
      <c r="EX189" s="72" t="str">
        <f t="shared" ref="EX189:EX197" si="3055">IF(BR189="","","|n"&amp;EX$2&amp;"+"&amp;BR189&amp;EX$1)</f>
        <v/>
      </c>
      <c r="EY189" s="72" t="str">
        <f t="shared" ref="EY189:EY197" si="3056">IF(BS189="","","|n"&amp;EY$2&amp;"+"&amp;BS189&amp;EY$1)</f>
        <v/>
      </c>
      <c r="EZ189" s="72" t="str">
        <f t="shared" ref="EZ189:EZ197" si="3057">IF(BT189="","","|n"&amp;EZ$2&amp;"+"&amp;BT189&amp;EZ$1)</f>
        <v/>
      </c>
      <c r="FA189" s="72" t="str">
        <f t="shared" ref="FA189:FA197" si="3058">IF(BU189="","","|n"&amp;FA$2&amp;"+"&amp;BU189&amp;FA$1)</f>
        <v/>
      </c>
      <c r="FB189" s="72" t="str">
        <f t="shared" ref="FB189:FB197" si="3059">IF(BV189="","","|n"&amp;FB$2&amp;"+"&amp;BV189&amp;FB$1)</f>
        <v/>
      </c>
      <c r="FC189" s="72" t="str">
        <f t="shared" ref="FC189:FC197" si="3060">IF(BW189="","","|n"&amp;FC$2&amp;"+"&amp;BW189&amp;FC$1)</f>
        <v/>
      </c>
      <c r="FD189" s="72" t="str">
        <f t="shared" ref="FD189:FD197" si="3061">IF(BX189="","","|n"&amp;FD$2&amp;"+"&amp;BX189&amp;FD$1)</f>
        <v/>
      </c>
      <c r="FE189" s="72" t="str">
        <f t="shared" ref="FE189:FE197" si="3062">IF(BY189="","","|n"&amp;FE$2&amp;"+"&amp;BY189&amp;FE$1)</f>
        <v/>
      </c>
      <c r="FF189" s="72" t="str">
        <f t="shared" ref="FF189:FF197" si="3063">IF(BZ189="","","|n"&amp;FF$2&amp;"+"&amp;BZ189&amp;FF$1)</f>
        <v/>
      </c>
      <c r="FG189" s="72" t="str">
        <f t="shared" ref="FG189:FG197" si="3064">IF(CA189="","","|n"&amp;FG$2&amp;"+"&amp;CA189&amp;FG$1)</f>
        <v/>
      </c>
      <c r="FH189" s="72" t="str">
        <f t="shared" ref="FH189:FH197" si="3065">IF(CB189="","","|n"&amp;FH$2&amp;"+"&amp;CB189&amp;FH$1)</f>
        <v/>
      </c>
      <c r="FI189" s="72" t="str">
        <f t="shared" ref="FI189:FI197" si="3066">IF(CC189="","","|n"&amp;FI$2&amp;"+"&amp;CC189&amp;FI$1)</f>
        <v/>
      </c>
      <c r="FJ189" s="72" t="str">
        <f t="shared" ref="FJ189:FJ197" si="3067">IF(CD189="","","|n"&amp;FJ$2&amp;"+"&amp;CD189&amp;FJ$1)</f>
        <v/>
      </c>
      <c r="FK189" s="72" t="str">
        <f t="shared" ref="FK189:FK197" si="3068">IF(CE189="","","|n"&amp;FK$2&amp;"+"&amp;CE189&amp;FK$1)</f>
        <v/>
      </c>
      <c r="FL189" s="72" t="str">
        <f t="shared" ref="FL189:FL197" si="3069">IF(CF189="","","|n"&amp;FL$2&amp;"+"&amp;CF189&amp;FL$1)</f>
        <v/>
      </c>
      <c r="FM189" s="72" t="str">
        <f t="shared" ref="FM189:FM197" si="3070">IF(CG189="","","|n"&amp;FM$2&amp;"+"&amp;CG189&amp;FM$1)</f>
        <v/>
      </c>
      <c r="FN189" s="72" t="str">
        <f t="shared" ref="FN189:FN197" si="3071">IF(CH189="","","|n"&amp;FN$2&amp;"+"&amp;CH189&amp;FN$1)</f>
        <v/>
      </c>
      <c r="FO189" s="72" t="str">
        <f t="shared" ref="FO189:FO197" si="3072">IF(CI189="","","|n"&amp;FO$2&amp;"+"&amp;CI189&amp;FO$1)</f>
        <v/>
      </c>
      <c r="FP189" s="72" t="str">
        <f t="shared" ref="FP189:FP197" si="3073">IF(CJ189="","","|n"&amp;FP$2&amp;"+"&amp;CJ189&amp;FP$1)</f>
        <v/>
      </c>
      <c r="FQ189" s="72" t="str">
        <f t="shared" ref="FQ189:FQ197" si="3074">IF(CK189="","","|n"&amp;FQ$2&amp;"+"&amp;CK189&amp;FQ$1)</f>
        <v/>
      </c>
      <c r="FR189" s="72" t="str">
        <f t="shared" ref="FR189:FR197" si="3075">IF(CL189="","","|n"&amp;FR$2&amp;"+"&amp;CL189&amp;FR$1)</f>
        <v/>
      </c>
      <c r="FS189" s="72" t="str">
        <f t="shared" ref="FS189:FS197" si="3076">IF(CM189="","","|n"&amp;FS$2&amp;"+"&amp;CM189&amp;FS$1)</f>
        <v/>
      </c>
    </row>
    <row r="190" spans="1:175" ht="15">
      <c r="A190" s="81"/>
      <c r="B190" s="104" t="s">
        <v>689</v>
      </c>
      <c r="C190" s="81" t="s">
        <v>690</v>
      </c>
      <c r="R190" s="64">
        <v>-8089</v>
      </c>
      <c r="S190" s="64">
        <v>-1230</v>
      </c>
      <c r="T190" s="123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0" s="88" t="str">
        <f t="shared" si="2928"/>
        <v>ReplaceableTextures\\CommandButtons\\BTNIT03.blp</v>
      </c>
      <c r="CN190" s="70" t="str">
        <f t="shared" si="2929"/>
        <v>InitUnitState('IT03',,,,,,,,,,)</v>
      </c>
      <c r="CO190" s="70" t="str">
        <f t="shared" si="2930"/>
        <v>InitUnitNormal('IT03',,,,,,,,,,)</v>
      </c>
      <c r="CP190" s="70" t="str">
        <f t="shared" si="2931"/>
        <v>InitUnitMagic('IT03',,,,,,,,,,)</v>
      </c>
      <c r="CQ190" s="70" t="str">
        <f t="shared" si="2932"/>
        <v>InitUnitAdd('IT03',,,,,,,,,,)</v>
      </c>
      <c r="CR190" s="70" t="str">
        <f t="shared" si="2933"/>
        <v>InitEquipData('IT03',,"",,,,,'','','','','','',"ReplaceableTextures\\CommandButtons\\BTNIT04.blp")</v>
      </c>
      <c r="CU190" s="98" t="str">
        <f t="shared" si="3006"/>
        <v>|n</v>
      </c>
      <c r="CV190" s="71" t="str">
        <f t="shared" ref="CV190:CV201" si="3077">T190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0" s="61"/>
      <c r="CX190" s="61"/>
      <c r="CY190" s="61"/>
      <c r="CZ190" s="61"/>
      <c r="DA190" s="61"/>
      <c r="DB190" s="72" t="str">
        <f t="shared" si="3007"/>
        <v/>
      </c>
      <c r="DC190" s="72" t="str">
        <f t="shared" si="3008"/>
        <v/>
      </c>
      <c r="DD190" s="72" t="str">
        <f t="shared" si="3009"/>
        <v/>
      </c>
      <c r="DE190" s="72" t="str">
        <f t="shared" si="3010"/>
        <v/>
      </c>
      <c r="DF190" s="72" t="str">
        <f t="shared" si="3011"/>
        <v/>
      </c>
      <c r="DG190" s="72" t="str">
        <f t="shared" si="3012"/>
        <v/>
      </c>
      <c r="DH190" s="72" t="str">
        <f t="shared" si="3013"/>
        <v/>
      </c>
      <c r="DI190" s="72" t="str">
        <f t="shared" si="3014"/>
        <v/>
      </c>
      <c r="DJ190" s="72" t="str">
        <f t="shared" si="3015"/>
        <v/>
      </c>
      <c r="DK190" s="72" t="str">
        <f t="shared" si="3016"/>
        <v/>
      </c>
      <c r="DL190" s="72" t="str">
        <f t="shared" si="3017"/>
        <v/>
      </c>
      <c r="DM190" s="72" t="str">
        <f t="shared" si="3018"/>
        <v/>
      </c>
      <c r="DN190" s="72" t="str">
        <f t="shared" si="3019"/>
        <v/>
      </c>
      <c r="DO190" s="72" t="str">
        <f t="shared" si="3020"/>
        <v/>
      </c>
      <c r="DP190" s="72" t="str">
        <f t="shared" si="3021"/>
        <v/>
      </c>
      <c r="DQ190" s="72" t="str">
        <f t="shared" si="3022"/>
        <v/>
      </c>
      <c r="DR190" s="72" t="str">
        <f t="shared" si="3023"/>
        <v/>
      </c>
      <c r="DS190" s="72" t="str">
        <f t="shared" si="3024"/>
        <v/>
      </c>
      <c r="DT190" s="72" t="str">
        <f t="shared" si="3025"/>
        <v/>
      </c>
      <c r="DU190" s="72" t="str">
        <f t="shared" si="3026"/>
        <v/>
      </c>
      <c r="DV190" s="72" t="str">
        <f t="shared" si="3027"/>
        <v/>
      </c>
      <c r="DW190" s="72" t="str">
        <f t="shared" si="3028"/>
        <v/>
      </c>
      <c r="DX190" s="72" t="str">
        <f t="shared" si="3029"/>
        <v/>
      </c>
      <c r="DY190" s="72" t="str">
        <f t="shared" si="3030"/>
        <v/>
      </c>
      <c r="DZ190" s="72" t="str">
        <f t="shared" si="3031"/>
        <v/>
      </c>
      <c r="EA190" s="72" t="str">
        <f t="shared" si="3032"/>
        <v/>
      </c>
      <c r="EB190" s="72" t="str">
        <f t="shared" si="3033"/>
        <v/>
      </c>
      <c r="EC190" s="72" t="str">
        <f t="shared" si="3034"/>
        <v/>
      </c>
      <c r="ED190" s="72" t="str">
        <f t="shared" si="3035"/>
        <v/>
      </c>
      <c r="EE190" s="72" t="str">
        <f t="shared" si="3036"/>
        <v/>
      </c>
      <c r="EF190" s="72" t="str">
        <f t="shared" si="3037"/>
        <v/>
      </c>
      <c r="EG190" s="72" t="str">
        <f t="shared" si="3038"/>
        <v/>
      </c>
      <c r="EH190" s="72" t="str">
        <f t="shared" si="3039"/>
        <v/>
      </c>
      <c r="EI190" s="72" t="str">
        <f t="shared" si="3040"/>
        <v/>
      </c>
      <c r="EJ190" s="72" t="str">
        <f t="shared" si="3041"/>
        <v/>
      </c>
      <c r="EK190" s="72" t="str">
        <f t="shared" si="3042"/>
        <v/>
      </c>
      <c r="EL190" s="72" t="str">
        <f t="shared" si="3043"/>
        <v/>
      </c>
      <c r="EM190" s="72" t="str">
        <f t="shared" si="3044"/>
        <v/>
      </c>
      <c r="EN190" s="72" t="str">
        <f t="shared" si="3045"/>
        <v/>
      </c>
      <c r="EO190" s="72" t="str">
        <f t="shared" si="3046"/>
        <v/>
      </c>
      <c r="EP190" s="72" t="str">
        <f t="shared" si="3047"/>
        <v/>
      </c>
      <c r="EQ190" s="72" t="str">
        <f t="shared" si="3048"/>
        <v/>
      </c>
      <c r="ER190" s="72" t="str">
        <f t="shared" si="3049"/>
        <v/>
      </c>
      <c r="ES190" s="72" t="str">
        <f t="shared" si="3050"/>
        <v/>
      </c>
      <c r="ET190" s="72" t="str">
        <f t="shared" si="3051"/>
        <v/>
      </c>
      <c r="EU190" s="72" t="str">
        <f t="shared" si="3052"/>
        <v/>
      </c>
      <c r="EV190" s="72" t="str">
        <f t="shared" si="3053"/>
        <v/>
      </c>
      <c r="EW190" s="72" t="str">
        <f t="shared" si="3054"/>
        <v/>
      </c>
      <c r="EX190" s="72" t="str">
        <f t="shared" si="3055"/>
        <v/>
      </c>
      <c r="EY190" s="72" t="str">
        <f t="shared" si="3056"/>
        <v/>
      </c>
      <c r="EZ190" s="72" t="str">
        <f t="shared" si="3057"/>
        <v/>
      </c>
      <c r="FA190" s="72" t="str">
        <f t="shared" si="3058"/>
        <v/>
      </c>
      <c r="FB190" s="72" t="str">
        <f t="shared" si="3059"/>
        <v/>
      </c>
      <c r="FC190" s="72" t="str">
        <f t="shared" si="3060"/>
        <v/>
      </c>
      <c r="FD190" s="72" t="str">
        <f t="shared" si="3061"/>
        <v/>
      </c>
      <c r="FE190" s="72" t="str">
        <f t="shared" si="3062"/>
        <v/>
      </c>
      <c r="FF190" s="72" t="str">
        <f t="shared" si="3063"/>
        <v/>
      </c>
      <c r="FG190" s="72" t="str">
        <f t="shared" si="3064"/>
        <v/>
      </c>
      <c r="FH190" s="72" t="str">
        <f t="shared" si="3065"/>
        <v/>
      </c>
      <c r="FI190" s="72" t="str">
        <f t="shared" si="3066"/>
        <v/>
      </c>
      <c r="FJ190" s="72" t="str">
        <f t="shared" si="3067"/>
        <v/>
      </c>
      <c r="FK190" s="72" t="str">
        <f t="shared" si="3068"/>
        <v/>
      </c>
      <c r="FL190" s="72" t="str">
        <f t="shared" si="3069"/>
        <v/>
      </c>
      <c r="FM190" s="72" t="str">
        <f t="shared" si="3070"/>
        <v/>
      </c>
      <c r="FN190" s="72" t="str">
        <f t="shared" si="3071"/>
        <v/>
      </c>
      <c r="FO190" s="72" t="str">
        <f t="shared" si="3072"/>
        <v/>
      </c>
      <c r="FP190" s="72" t="str">
        <f t="shared" si="3073"/>
        <v/>
      </c>
      <c r="FQ190" s="72" t="str">
        <f t="shared" si="3074"/>
        <v/>
      </c>
      <c r="FR190" s="72" t="str">
        <f t="shared" si="3075"/>
        <v/>
      </c>
      <c r="FS190" s="72" t="str">
        <f t="shared" si="3076"/>
        <v/>
      </c>
    </row>
    <row r="191" spans="1:175" ht="15">
      <c r="A191" s="81"/>
      <c r="B191" s="104" t="s">
        <v>691</v>
      </c>
      <c r="C191" s="81" t="s">
        <v>692</v>
      </c>
      <c r="R191" s="64">
        <v>-7794</v>
      </c>
      <c r="S191" s="64">
        <v>195</v>
      </c>
      <c r="T191" s="123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1" s="88" t="str">
        <f t="shared" si="2928"/>
        <v>ReplaceableTextures\\CommandButtons\\BTNIT04.blp</v>
      </c>
      <c r="CN191" s="70" t="str">
        <f t="shared" si="2929"/>
        <v>InitUnitState('IT04',,,,,,,,,,)</v>
      </c>
      <c r="CO191" s="70" t="str">
        <f t="shared" si="2930"/>
        <v>InitUnitNormal('IT04',,,,,,,,,,)</v>
      </c>
      <c r="CP191" s="70" t="str">
        <f t="shared" si="2931"/>
        <v>InitUnitMagic('IT04',,,,,,,,,,)</v>
      </c>
      <c r="CQ191" s="70" t="str">
        <f t="shared" si="2932"/>
        <v>InitUnitAdd('IT04',,,,,,,,,,)</v>
      </c>
      <c r="CR191" s="70" t="str">
        <f t="shared" si="2933"/>
        <v>InitEquipData('IT04',,"",,,,,'','','','','','',"ReplaceableTextures\\CommandButtons\\BTNIT05.blp")</v>
      </c>
      <c r="CU191" s="98" t="str">
        <f t="shared" si="3006"/>
        <v>|n</v>
      </c>
      <c r="CV191" s="71" t="str">
        <f t="shared" si="3077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1" s="61"/>
      <c r="CX191" s="61"/>
      <c r="CY191" s="61"/>
      <c r="CZ191" s="61"/>
      <c r="DA191" s="61"/>
      <c r="DB191" s="72" t="str">
        <f t="shared" si="3007"/>
        <v/>
      </c>
      <c r="DC191" s="72" t="str">
        <f t="shared" si="3008"/>
        <v/>
      </c>
      <c r="DD191" s="72" t="str">
        <f t="shared" si="3009"/>
        <v/>
      </c>
      <c r="DE191" s="72" t="str">
        <f t="shared" si="3010"/>
        <v/>
      </c>
      <c r="DF191" s="72" t="str">
        <f t="shared" si="3011"/>
        <v/>
      </c>
      <c r="DG191" s="72" t="str">
        <f t="shared" si="3012"/>
        <v/>
      </c>
      <c r="DH191" s="72" t="str">
        <f t="shared" si="3013"/>
        <v/>
      </c>
      <c r="DI191" s="72" t="str">
        <f t="shared" si="3014"/>
        <v/>
      </c>
      <c r="DJ191" s="72" t="str">
        <f t="shared" si="3015"/>
        <v/>
      </c>
      <c r="DK191" s="72" t="str">
        <f t="shared" si="3016"/>
        <v/>
      </c>
      <c r="DL191" s="72" t="str">
        <f t="shared" si="3017"/>
        <v/>
      </c>
      <c r="DM191" s="72" t="str">
        <f t="shared" si="3018"/>
        <v/>
      </c>
      <c r="DN191" s="72" t="str">
        <f t="shared" si="3019"/>
        <v/>
      </c>
      <c r="DO191" s="72" t="str">
        <f t="shared" si="3020"/>
        <v/>
      </c>
      <c r="DP191" s="72" t="str">
        <f t="shared" si="3021"/>
        <v/>
      </c>
      <c r="DQ191" s="72" t="str">
        <f t="shared" si="3022"/>
        <v/>
      </c>
      <c r="DR191" s="72" t="str">
        <f t="shared" si="3023"/>
        <v/>
      </c>
      <c r="DS191" s="72" t="str">
        <f t="shared" si="3024"/>
        <v/>
      </c>
      <c r="DT191" s="72" t="str">
        <f t="shared" si="3025"/>
        <v/>
      </c>
      <c r="DU191" s="72" t="str">
        <f t="shared" si="3026"/>
        <v/>
      </c>
      <c r="DV191" s="72" t="str">
        <f t="shared" si="3027"/>
        <v/>
      </c>
      <c r="DW191" s="72" t="str">
        <f t="shared" si="3028"/>
        <v/>
      </c>
      <c r="DX191" s="72" t="str">
        <f t="shared" si="3029"/>
        <v/>
      </c>
      <c r="DY191" s="72" t="str">
        <f t="shared" si="3030"/>
        <v/>
      </c>
      <c r="DZ191" s="72" t="str">
        <f t="shared" si="3031"/>
        <v/>
      </c>
      <c r="EA191" s="72" t="str">
        <f t="shared" si="3032"/>
        <v/>
      </c>
      <c r="EB191" s="72" t="str">
        <f t="shared" si="3033"/>
        <v/>
      </c>
      <c r="EC191" s="72" t="str">
        <f t="shared" si="3034"/>
        <v/>
      </c>
      <c r="ED191" s="72" t="str">
        <f t="shared" si="3035"/>
        <v/>
      </c>
      <c r="EE191" s="72" t="str">
        <f t="shared" si="3036"/>
        <v/>
      </c>
      <c r="EF191" s="72" t="str">
        <f t="shared" si="3037"/>
        <v/>
      </c>
      <c r="EG191" s="72" t="str">
        <f t="shared" si="3038"/>
        <v/>
      </c>
      <c r="EH191" s="72" t="str">
        <f t="shared" si="3039"/>
        <v/>
      </c>
      <c r="EI191" s="72" t="str">
        <f t="shared" si="3040"/>
        <v/>
      </c>
      <c r="EJ191" s="72" t="str">
        <f t="shared" si="3041"/>
        <v/>
      </c>
      <c r="EK191" s="72" t="str">
        <f t="shared" si="3042"/>
        <v/>
      </c>
      <c r="EL191" s="72" t="str">
        <f t="shared" si="3043"/>
        <v/>
      </c>
      <c r="EM191" s="72" t="str">
        <f t="shared" si="3044"/>
        <v/>
      </c>
      <c r="EN191" s="72" t="str">
        <f t="shared" si="3045"/>
        <v/>
      </c>
      <c r="EO191" s="72" t="str">
        <f t="shared" si="3046"/>
        <v/>
      </c>
      <c r="EP191" s="72" t="str">
        <f t="shared" si="3047"/>
        <v/>
      </c>
      <c r="EQ191" s="72" t="str">
        <f t="shared" si="3048"/>
        <v/>
      </c>
      <c r="ER191" s="72" t="str">
        <f t="shared" si="3049"/>
        <v/>
      </c>
      <c r="ES191" s="72" t="str">
        <f t="shared" si="3050"/>
        <v/>
      </c>
      <c r="ET191" s="72" t="str">
        <f t="shared" si="3051"/>
        <v/>
      </c>
      <c r="EU191" s="72" t="str">
        <f t="shared" si="3052"/>
        <v/>
      </c>
      <c r="EV191" s="72" t="str">
        <f t="shared" si="3053"/>
        <v/>
      </c>
      <c r="EW191" s="72" t="str">
        <f t="shared" si="3054"/>
        <v/>
      </c>
      <c r="EX191" s="72" t="str">
        <f t="shared" si="3055"/>
        <v/>
      </c>
      <c r="EY191" s="72" t="str">
        <f t="shared" si="3056"/>
        <v/>
      </c>
      <c r="EZ191" s="72" t="str">
        <f t="shared" si="3057"/>
        <v/>
      </c>
      <c r="FA191" s="72" t="str">
        <f t="shared" si="3058"/>
        <v/>
      </c>
      <c r="FB191" s="72" t="str">
        <f t="shared" si="3059"/>
        <v/>
      </c>
      <c r="FC191" s="72" t="str">
        <f t="shared" si="3060"/>
        <v/>
      </c>
      <c r="FD191" s="72" t="str">
        <f t="shared" si="3061"/>
        <v/>
      </c>
      <c r="FE191" s="72" t="str">
        <f t="shared" si="3062"/>
        <v/>
      </c>
      <c r="FF191" s="72" t="str">
        <f t="shared" si="3063"/>
        <v/>
      </c>
      <c r="FG191" s="72" t="str">
        <f t="shared" si="3064"/>
        <v/>
      </c>
      <c r="FH191" s="72" t="str">
        <f t="shared" si="3065"/>
        <v/>
      </c>
      <c r="FI191" s="72" t="str">
        <f t="shared" si="3066"/>
        <v/>
      </c>
      <c r="FJ191" s="72" t="str">
        <f t="shared" si="3067"/>
        <v/>
      </c>
      <c r="FK191" s="72" t="str">
        <f t="shared" si="3068"/>
        <v/>
      </c>
      <c r="FL191" s="72" t="str">
        <f t="shared" si="3069"/>
        <v/>
      </c>
      <c r="FM191" s="72" t="str">
        <f t="shared" si="3070"/>
        <v/>
      </c>
      <c r="FN191" s="72" t="str">
        <f t="shared" si="3071"/>
        <v/>
      </c>
      <c r="FO191" s="72" t="str">
        <f t="shared" si="3072"/>
        <v/>
      </c>
      <c r="FP191" s="72" t="str">
        <f t="shared" si="3073"/>
        <v/>
      </c>
      <c r="FQ191" s="72" t="str">
        <f t="shared" si="3074"/>
        <v/>
      </c>
      <c r="FR191" s="72" t="str">
        <f t="shared" si="3075"/>
        <v/>
      </c>
      <c r="FS191" s="72" t="str">
        <f t="shared" si="3076"/>
        <v/>
      </c>
    </row>
    <row r="192" spans="1:175" ht="15">
      <c r="A192" s="81"/>
      <c r="B192" s="104" t="s">
        <v>693</v>
      </c>
      <c r="C192" s="81" t="s">
        <v>694</v>
      </c>
      <c r="R192" s="64">
        <v>-8110</v>
      </c>
      <c r="S192" s="64">
        <v>1810</v>
      </c>
      <c r="T192" s="123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2" s="88" t="str">
        <f t="shared" si="2928"/>
        <v>ReplaceableTextures\\CommandButtons\\BTNIT05.blp</v>
      </c>
      <c r="CN192" s="70" t="str">
        <f t="shared" si="2929"/>
        <v>InitUnitState('IT05',,,,,,,,,,)</v>
      </c>
      <c r="CO192" s="70" t="str">
        <f t="shared" si="2930"/>
        <v>InitUnitNormal('IT05',,,,,,,,,,)</v>
      </c>
      <c r="CP192" s="70" t="str">
        <f t="shared" si="2931"/>
        <v>InitUnitMagic('IT05',,,,,,,,,,)</v>
      </c>
      <c r="CQ192" s="70" t="str">
        <f t="shared" si="2932"/>
        <v>InitUnitAdd('IT05',,,,,,,,,,)</v>
      </c>
      <c r="CR192" s="70" t="str">
        <f t="shared" si="2933"/>
        <v>InitEquipData('IT05',,"",,,,,'','','','','','',"ReplaceableTextures\\CommandButtons\\BTNIT06.blp")</v>
      </c>
      <c r="CU192" s="98" t="str">
        <f t="shared" si="3006"/>
        <v>|n</v>
      </c>
      <c r="CV192" s="71" t="str">
        <f t="shared" si="3077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2" s="61"/>
      <c r="CX192" s="61"/>
      <c r="CY192" s="61"/>
      <c r="CZ192" s="61"/>
      <c r="DA192" s="61"/>
      <c r="DB192" s="72" t="str">
        <f t="shared" si="3007"/>
        <v/>
      </c>
      <c r="DC192" s="72" t="str">
        <f t="shared" si="3008"/>
        <v/>
      </c>
      <c r="DD192" s="72" t="str">
        <f t="shared" si="3009"/>
        <v/>
      </c>
      <c r="DE192" s="72" t="str">
        <f t="shared" si="3010"/>
        <v/>
      </c>
      <c r="DF192" s="72" t="str">
        <f t="shared" si="3011"/>
        <v/>
      </c>
      <c r="DG192" s="72" t="str">
        <f t="shared" si="3012"/>
        <v/>
      </c>
      <c r="DH192" s="72" t="str">
        <f t="shared" si="3013"/>
        <v/>
      </c>
      <c r="DI192" s="72" t="str">
        <f t="shared" si="3014"/>
        <v/>
      </c>
      <c r="DJ192" s="72" t="str">
        <f t="shared" si="3015"/>
        <v/>
      </c>
      <c r="DK192" s="72" t="str">
        <f t="shared" si="3016"/>
        <v/>
      </c>
      <c r="DL192" s="72" t="str">
        <f t="shared" si="3017"/>
        <v/>
      </c>
      <c r="DM192" s="72" t="str">
        <f t="shared" si="3018"/>
        <v/>
      </c>
      <c r="DN192" s="72" t="str">
        <f t="shared" si="3019"/>
        <v/>
      </c>
      <c r="DO192" s="72" t="str">
        <f t="shared" si="3020"/>
        <v/>
      </c>
      <c r="DP192" s="72" t="str">
        <f t="shared" si="3021"/>
        <v/>
      </c>
      <c r="DQ192" s="72" t="str">
        <f t="shared" si="3022"/>
        <v/>
      </c>
      <c r="DR192" s="72" t="str">
        <f t="shared" si="3023"/>
        <v/>
      </c>
      <c r="DS192" s="72" t="str">
        <f t="shared" si="3024"/>
        <v/>
      </c>
      <c r="DT192" s="72" t="str">
        <f t="shared" si="3025"/>
        <v/>
      </c>
      <c r="DU192" s="72" t="str">
        <f t="shared" si="3026"/>
        <v/>
      </c>
      <c r="DV192" s="72" t="str">
        <f t="shared" si="3027"/>
        <v/>
      </c>
      <c r="DW192" s="72" t="str">
        <f t="shared" si="3028"/>
        <v/>
      </c>
      <c r="DX192" s="72" t="str">
        <f t="shared" si="3029"/>
        <v/>
      </c>
      <c r="DY192" s="72" t="str">
        <f t="shared" si="3030"/>
        <v/>
      </c>
      <c r="DZ192" s="72" t="str">
        <f t="shared" si="3031"/>
        <v/>
      </c>
      <c r="EA192" s="72" t="str">
        <f t="shared" si="3032"/>
        <v/>
      </c>
      <c r="EB192" s="72" t="str">
        <f t="shared" si="3033"/>
        <v/>
      </c>
      <c r="EC192" s="72" t="str">
        <f t="shared" si="3034"/>
        <v/>
      </c>
      <c r="ED192" s="72" t="str">
        <f t="shared" si="3035"/>
        <v/>
      </c>
      <c r="EE192" s="72" t="str">
        <f t="shared" si="3036"/>
        <v/>
      </c>
      <c r="EF192" s="72" t="str">
        <f t="shared" si="3037"/>
        <v/>
      </c>
      <c r="EG192" s="72" t="str">
        <f t="shared" si="3038"/>
        <v/>
      </c>
      <c r="EH192" s="72" t="str">
        <f t="shared" si="3039"/>
        <v/>
      </c>
      <c r="EI192" s="72" t="str">
        <f t="shared" si="3040"/>
        <v/>
      </c>
      <c r="EJ192" s="72" t="str">
        <f t="shared" si="3041"/>
        <v/>
      </c>
      <c r="EK192" s="72" t="str">
        <f t="shared" si="3042"/>
        <v/>
      </c>
      <c r="EL192" s="72" t="str">
        <f t="shared" si="3043"/>
        <v/>
      </c>
      <c r="EM192" s="72" t="str">
        <f t="shared" si="3044"/>
        <v/>
      </c>
      <c r="EN192" s="72" t="str">
        <f t="shared" si="3045"/>
        <v/>
      </c>
      <c r="EO192" s="72" t="str">
        <f t="shared" si="3046"/>
        <v/>
      </c>
      <c r="EP192" s="72" t="str">
        <f t="shared" si="3047"/>
        <v/>
      </c>
      <c r="EQ192" s="72" t="str">
        <f t="shared" si="3048"/>
        <v/>
      </c>
      <c r="ER192" s="72" t="str">
        <f t="shared" si="3049"/>
        <v/>
      </c>
      <c r="ES192" s="72" t="str">
        <f t="shared" si="3050"/>
        <v/>
      </c>
      <c r="ET192" s="72" t="str">
        <f t="shared" si="3051"/>
        <v/>
      </c>
      <c r="EU192" s="72" t="str">
        <f t="shared" si="3052"/>
        <v/>
      </c>
      <c r="EV192" s="72" t="str">
        <f t="shared" si="3053"/>
        <v/>
      </c>
      <c r="EW192" s="72" t="str">
        <f t="shared" si="3054"/>
        <v/>
      </c>
      <c r="EX192" s="72" t="str">
        <f t="shared" si="3055"/>
        <v/>
      </c>
      <c r="EY192" s="72" t="str">
        <f t="shared" si="3056"/>
        <v/>
      </c>
      <c r="EZ192" s="72" t="str">
        <f t="shared" si="3057"/>
        <v/>
      </c>
      <c r="FA192" s="72" t="str">
        <f t="shared" si="3058"/>
        <v/>
      </c>
      <c r="FB192" s="72" t="str">
        <f t="shared" si="3059"/>
        <v/>
      </c>
      <c r="FC192" s="72" t="str">
        <f t="shared" si="3060"/>
        <v/>
      </c>
      <c r="FD192" s="72" t="str">
        <f t="shared" si="3061"/>
        <v/>
      </c>
      <c r="FE192" s="72" t="str">
        <f t="shared" si="3062"/>
        <v/>
      </c>
      <c r="FF192" s="72" t="str">
        <f t="shared" si="3063"/>
        <v/>
      </c>
      <c r="FG192" s="72" t="str">
        <f t="shared" si="3064"/>
        <v/>
      </c>
      <c r="FH192" s="72" t="str">
        <f t="shared" si="3065"/>
        <v/>
      </c>
      <c r="FI192" s="72" t="str">
        <f t="shared" si="3066"/>
        <v/>
      </c>
      <c r="FJ192" s="72" t="str">
        <f t="shared" si="3067"/>
        <v/>
      </c>
      <c r="FK192" s="72" t="str">
        <f t="shared" si="3068"/>
        <v/>
      </c>
      <c r="FL192" s="72" t="str">
        <f t="shared" si="3069"/>
        <v/>
      </c>
      <c r="FM192" s="72" t="str">
        <f t="shared" si="3070"/>
        <v/>
      </c>
      <c r="FN192" s="72" t="str">
        <f t="shared" si="3071"/>
        <v/>
      </c>
      <c r="FO192" s="72" t="str">
        <f t="shared" si="3072"/>
        <v/>
      </c>
      <c r="FP192" s="72" t="str">
        <f t="shared" si="3073"/>
        <v/>
      </c>
      <c r="FQ192" s="72" t="str">
        <f t="shared" si="3074"/>
        <v/>
      </c>
      <c r="FR192" s="72" t="str">
        <f t="shared" si="3075"/>
        <v/>
      </c>
      <c r="FS192" s="72" t="str">
        <f t="shared" si="3076"/>
        <v/>
      </c>
    </row>
    <row r="193" spans="1:175" ht="15">
      <c r="A193" s="81"/>
      <c r="B193" s="104" t="s">
        <v>695</v>
      </c>
      <c r="C193" s="81" t="s">
        <v>696</v>
      </c>
      <c r="R193" s="64">
        <v>-7896</v>
      </c>
      <c r="S193" s="64">
        <v>3839</v>
      </c>
      <c r="T193" s="123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3" s="88" t="str">
        <f t="shared" si="2928"/>
        <v>ReplaceableTextures\\CommandButtons\\BTNIT06.blp</v>
      </c>
      <c r="CN193" s="70" t="str">
        <f t="shared" si="2929"/>
        <v>InitUnitState('IT06',,,,,,,,,,)</v>
      </c>
      <c r="CO193" s="70" t="str">
        <f t="shared" si="2930"/>
        <v>InitUnitNormal('IT06',,,,,,,,,,)</v>
      </c>
      <c r="CP193" s="70" t="str">
        <f t="shared" si="2931"/>
        <v>InitUnitMagic('IT06',,,,,,,,,,)</v>
      </c>
      <c r="CQ193" s="70" t="str">
        <f t="shared" si="2932"/>
        <v>InitUnitAdd('IT06',,,,,,,,,,)</v>
      </c>
      <c r="CR193" s="70" t="str">
        <f t="shared" si="2933"/>
        <v>InitEquipData('IT06',,"",,,,,'','','','','','',"ReplaceableTextures\\CommandButtons\\BTNIT07.blp")</v>
      </c>
      <c r="CU193" s="98" t="str">
        <f t="shared" si="3006"/>
        <v>|n</v>
      </c>
      <c r="CV193" s="71" t="str">
        <f t="shared" si="3077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3" s="61"/>
      <c r="CX193" s="61"/>
      <c r="CY193" s="61"/>
      <c r="CZ193" s="61"/>
      <c r="DA193" s="61"/>
      <c r="DB193" s="72" t="str">
        <f t="shared" si="3007"/>
        <v/>
      </c>
      <c r="DC193" s="72" t="str">
        <f t="shared" si="3008"/>
        <v/>
      </c>
      <c r="DD193" s="72" t="str">
        <f t="shared" si="3009"/>
        <v/>
      </c>
      <c r="DE193" s="72" t="str">
        <f t="shared" si="3010"/>
        <v/>
      </c>
      <c r="DF193" s="72" t="str">
        <f t="shared" si="3011"/>
        <v/>
      </c>
      <c r="DG193" s="72" t="str">
        <f t="shared" si="3012"/>
        <v/>
      </c>
      <c r="DH193" s="72" t="str">
        <f t="shared" si="3013"/>
        <v/>
      </c>
      <c r="DI193" s="72" t="str">
        <f t="shared" si="3014"/>
        <v/>
      </c>
      <c r="DJ193" s="72" t="str">
        <f t="shared" si="3015"/>
        <v/>
      </c>
      <c r="DK193" s="72" t="str">
        <f t="shared" si="3016"/>
        <v/>
      </c>
      <c r="DL193" s="72" t="str">
        <f t="shared" si="3017"/>
        <v/>
      </c>
      <c r="DM193" s="72" t="str">
        <f t="shared" si="3018"/>
        <v/>
      </c>
      <c r="DN193" s="72" t="str">
        <f t="shared" si="3019"/>
        <v/>
      </c>
      <c r="DO193" s="72" t="str">
        <f t="shared" si="3020"/>
        <v/>
      </c>
      <c r="DP193" s="72" t="str">
        <f t="shared" si="3021"/>
        <v/>
      </c>
      <c r="DQ193" s="72" t="str">
        <f t="shared" si="3022"/>
        <v/>
      </c>
      <c r="DR193" s="72" t="str">
        <f t="shared" si="3023"/>
        <v/>
      </c>
      <c r="DS193" s="72" t="str">
        <f t="shared" si="3024"/>
        <v/>
      </c>
      <c r="DT193" s="72" t="str">
        <f t="shared" si="3025"/>
        <v/>
      </c>
      <c r="DU193" s="72" t="str">
        <f t="shared" si="3026"/>
        <v/>
      </c>
      <c r="DV193" s="72" t="str">
        <f t="shared" si="3027"/>
        <v/>
      </c>
      <c r="DW193" s="72" t="str">
        <f t="shared" si="3028"/>
        <v/>
      </c>
      <c r="DX193" s="72" t="str">
        <f t="shared" si="3029"/>
        <v/>
      </c>
      <c r="DY193" s="72" t="str">
        <f t="shared" si="3030"/>
        <v/>
      </c>
      <c r="DZ193" s="72" t="str">
        <f t="shared" si="3031"/>
        <v/>
      </c>
      <c r="EA193" s="72" t="str">
        <f t="shared" si="3032"/>
        <v/>
      </c>
      <c r="EB193" s="72" t="str">
        <f t="shared" si="3033"/>
        <v/>
      </c>
      <c r="EC193" s="72" t="str">
        <f t="shared" si="3034"/>
        <v/>
      </c>
      <c r="ED193" s="72" t="str">
        <f t="shared" si="3035"/>
        <v/>
      </c>
      <c r="EE193" s="72" t="str">
        <f t="shared" si="3036"/>
        <v/>
      </c>
      <c r="EF193" s="72" t="str">
        <f t="shared" si="3037"/>
        <v/>
      </c>
      <c r="EG193" s="72" t="str">
        <f t="shared" si="3038"/>
        <v/>
      </c>
      <c r="EH193" s="72" t="str">
        <f t="shared" si="3039"/>
        <v/>
      </c>
      <c r="EI193" s="72" t="str">
        <f t="shared" si="3040"/>
        <v/>
      </c>
      <c r="EJ193" s="72" t="str">
        <f t="shared" si="3041"/>
        <v/>
      </c>
      <c r="EK193" s="72" t="str">
        <f t="shared" si="3042"/>
        <v/>
      </c>
      <c r="EL193" s="72" t="str">
        <f t="shared" si="3043"/>
        <v/>
      </c>
      <c r="EM193" s="72" t="str">
        <f t="shared" si="3044"/>
        <v/>
      </c>
      <c r="EN193" s="72" t="str">
        <f t="shared" si="3045"/>
        <v/>
      </c>
      <c r="EO193" s="72" t="str">
        <f t="shared" si="3046"/>
        <v/>
      </c>
      <c r="EP193" s="72" t="str">
        <f t="shared" si="3047"/>
        <v/>
      </c>
      <c r="EQ193" s="72" t="str">
        <f t="shared" si="3048"/>
        <v/>
      </c>
      <c r="ER193" s="72" t="str">
        <f t="shared" si="3049"/>
        <v/>
      </c>
      <c r="ES193" s="72" t="str">
        <f t="shared" si="3050"/>
        <v/>
      </c>
      <c r="ET193" s="72" t="str">
        <f t="shared" si="3051"/>
        <v/>
      </c>
      <c r="EU193" s="72" t="str">
        <f t="shared" si="3052"/>
        <v/>
      </c>
      <c r="EV193" s="72" t="str">
        <f t="shared" si="3053"/>
        <v/>
      </c>
      <c r="EW193" s="72" t="str">
        <f t="shared" si="3054"/>
        <v/>
      </c>
      <c r="EX193" s="72" t="str">
        <f t="shared" si="3055"/>
        <v/>
      </c>
      <c r="EY193" s="72" t="str">
        <f t="shared" si="3056"/>
        <v/>
      </c>
      <c r="EZ193" s="72" t="str">
        <f t="shared" si="3057"/>
        <v/>
      </c>
      <c r="FA193" s="72" t="str">
        <f t="shared" si="3058"/>
        <v/>
      </c>
      <c r="FB193" s="72" t="str">
        <f t="shared" si="3059"/>
        <v/>
      </c>
      <c r="FC193" s="72" t="str">
        <f t="shared" si="3060"/>
        <v/>
      </c>
      <c r="FD193" s="72" t="str">
        <f t="shared" si="3061"/>
        <v/>
      </c>
      <c r="FE193" s="72" t="str">
        <f t="shared" si="3062"/>
        <v/>
      </c>
      <c r="FF193" s="72" t="str">
        <f t="shared" si="3063"/>
        <v/>
      </c>
      <c r="FG193" s="72" t="str">
        <f t="shared" si="3064"/>
        <v/>
      </c>
      <c r="FH193" s="72" t="str">
        <f t="shared" si="3065"/>
        <v/>
      </c>
      <c r="FI193" s="72" t="str">
        <f t="shared" si="3066"/>
        <v/>
      </c>
      <c r="FJ193" s="72" t="str">
        <f t="shared" si="3067"/>
        <v/>
      </c>
      <c r="FK193" s="72" t="str">
        <f t="shared" si="3068"/>
        <v/>
      </c>
      <c r="FL193" s="72" t="str">
        <f t="shared" si="3069"/>
        <v/>
      </c>
      <c r="FM193" s="72" t="str">
        <f t="shared" si="3070"/>
        <v/>
      </c>
      <c r="FN193" s="72" t="str">
        <f t="shared" si="3071"/>
        <v/>
      </c>
      <c r="FO193" s="72" t="str">
        <f t="shared" si="3072"/>
        <v/>
      </c>
      <c r="FP193" s="72" t="str">
        <f t="shared" si="3073"/>
        <v/>
      </c>
      <c r="FQ193" s="72" t="str">
        <f t="shared" si="3074"/>
        <v/>
      </c>
      <c r="FR193" s="72" t="str">
        <f t="shared" si="3075"/>
        <v/>
      </c>
      <c r="FS193" s="72" t="str">
        <f t="shared" si="3076"/>
        <v/>
      </c>
    </row>
    <row r="194" spans="1:175" ht="15">
      <c r="A194" s="81"/>
      <c r="B194" s="104" t="s">
        <v>697</v>
      </c>
      <c r="C194" s="81" t="s">
        <v>698</v>
      </c>
      <c r="R194" s="64">
        <v>-7896</v>
      </c>
      <c r="S194" s="64">
        <v>5906</v>
      </c>
      <c r="T194" s="123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94" s="88" t="str">
        <f t="shared" si="2928"/>
        <v>ReplaceableTextures\\CommandButtons\\BTNIT07.blp</v>
      </c>
      <c r="CN194" s="70" t="str">
        <f t="shared" si="2929"/>
        <v>InitUnitState('IT07',,,,,,,,,,)</v>
      </c>
      <c r="CO194" s="70" t="str">
        <f t="shared" si="2930"/>
        <v>InitUnitNormal('IT07',,,,,,,,,,)</v>
      </c>
      <c r="CP194" s="70" t="str">
        <f t="shared" si="2931"/>
        <v>InitUnitMagic('IT07',,,,,,,,,,)</v>
      </c>
      <c r="CQ194" s="70" t="str">
        <f t="shared" si="2932"/>
        <v>InitUnitAdd('IT07',,,,,,,,,,)</v>
      </c>
      <c r="CR194" s="70" t="str">
        <f t="shared" si="2933"/>
        <v>InitEquipData('IT07',,"",,,,,'','','','','','',"ReplaceableTextures\\CommandButtons\\BTNIT08.blp")</v>
      </c>
      <c r="CU194" s="98" t="str">
        <f t="shared" si="3006"/>
        <v>|n</v>
      </c>
      <c r="CV194" s="71" t="str">
        <f t="shared" si="3077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94" s="61"/>
      <c r="CX194" s="61"/>
      <c r="CY194" s="61"/>
      <c r="CZ194" s="61"/>
      <c r="DA194" s="61"/>
      <c r="DB194" s="72" t="str">
        <f t="shared" si="3007"/>
        <v/>
      </c>
      <c r="DC194" s="72" t="str">
        <f t="shared" si="3008"/>
        <v/>
      </c>
      <c r="DD194" s="72" t="str">
        <f t="shared" si="3009"/>
        <v/>
      </c>
      <c r="DE194" s="72" t="str">
        <f t="shared" si="3010"/>
        <v/>
      </c>
      <c r="DF194" s="72" t="str">
        <f t="shared" si="3011"/>
        <v/>
      </c>
      <c r="DG194" s="72" t="str">
        <f t="shared" si="3012"/>
        <v/>
      </c>
      <c r="DH194" s="72" t="str">
        <f t="shared" si="3013"/>
        <v/>
      </c>
      <c r="DI194" s="72" t="str">
        <f t="shared" si="3014"/>
        <v/>
      </c>
      <c r="DJ194" s="72" t="str">
        <f t="shared" si="3015"/>
        <v/>
      </c>
      <c r="DK194" s="72" t="str">
        <f t="shared" si="3016"/>
        <v/>
      </c>
      <c r="DL194" s="72" t="str">
        <f t="shared" si="3017"/>
        <v/>
      </c>
      <c r="DM194" s="72" t="str">
        <f t="shared" si="3018"/>
        <v/>
      </c>
      <c r="DN194" s="72" t="str">
        <f t="shared" si="3019"/>
        <v/>
      </c>
      <c r="DO194" s="72" t="str">
        <f t="shared" si="3020"/>
        <v/>
      </c>
      <c r="DP194" s="72" t="str">
        <f t="shared" si="3021"/>
        <v/>
      </c>
      <c r="DQ194" s="72" t="str">
        <f t="shared" si="3022"/>
        <v/>
      </c>
      <c r="DR194" s="72" t="str">
        <f t="shared" si="3023"/>
        <v/>
      </c>
      <c r="DS194" s="72" t="str">
        <f t="shared" si="3024"/>
        <v/>
      </c>
      <c r="DT194" s="72" t="str">
        <f t="shared" si="3025"/>
        <v/>
      </c>
      <c r="DU194" s="72" t="str">
        <f t="shared" si="3026"/>
        <v/>
      </c>
      <c r="DV194" s="72" t="str">
        <f t="shared" si="3027"/>
        <v/>
      </c>
      <c r="DW194" s="72" t="str">
        <f t="shared" si="3028"/>
        <v/>
      </c>
      <c r="DX194" s="72" t="str">
        <f t="shared" si="3029"/>
        <v/>
      </c>
      <c r="DY194" s="72" t="str">
        <f t="shared" si="3030"/>
        <v/>
      </c>
      <c r="DZ194" s="72" t="str">
        <f t="shared" si="3031"/>
        <v/>
      </c>
      <c r="EA194" s="72" t="str">
        <f t="shared" si="3032"/>
        <v/>
      </c>
      <c r="EB194" s="72" t="str">
        <f t="shared" si="3033"/>
        <v/>
      </c>
      <c r="EC194" s="72" t="str">
        <f t="shared" si="3034"/>
        <v/>
      </c>
      <c r="ED194" s="72" t="str">
        <f t="shared" si="3035"/>
        <v/>
      </c>
      <c r="EE194" s="72" t="str">
        <f t="shared" si="3036"/>
        <v/>
      </c>
      <c r="EF194" s="72" t="str">
        <f t="shared" si="3037"/>
        <v/>
      </c>
      <c r="EG194" s="72" t="str">
        <f t="shared" si="3038"/>
        <v/>
      </c>
      <c r="EH194" s="72" t="str">
        <f t="shared" si="3039"/>
        <v/>
      </c>
      <c r="EI194" s="72" t="str">
        <f t="shared" si="3040"/>
        <v/>
      </c>
      <c r="EJ194" s="72" t="str">
        <f t="shared" si="3041"/>
        <v/>
      </c>
      <c r="EK194" s="72" t="str">
        <f t="shared" si="3042"/>
        <v/>
      </c>
      <c r="EL194" s="72" t="str">
        <f t="shared" si="3043"/>
        <v/>
      </c>
      <c r="EM194" s="72" t="str">
        <f t="shared" si="3044"/>
        <v/>
      </c>
      <c r="EN194" s="72" t="str">
        <f t="shared" si="3045"/>
        <v/>
      </c>
      <c r="EO194" s="72" t="str">
        <f t="shared" si="3046"/>
        <v/>
      </c>
      <c r="EP194" s="72" t="str">
        <f t="shared" si="3047"/>
        <v/>
      </c>
      <c r="EQ194" s="72" t="str">
        <f t="shared" si="3048"/>
        <v/>
      </c>
      <c r="ER194" s="72" t="str">
        <f t="shared" si="3049"/>
        <v/>
      </c>
      <c r="ES194" s="72" t="str">
        <f t="shared" si="3050"/>
        <v/>
      </c>
      <c r="ET194" s="72" t="str">
        <f t="shared" si="3051"/>
        <v/>
      </c>
      <c r="EU194" s="72" t="str">
        <f t="shared" si="3052"/>
        <v/>
      </c>
      <c r="EV194" s="72" t="str">
        <f t="shared" si="3053"/>
        <v/>
      </c>
      <c r="EW194" s="72" t="str">
        <f t="shared" si="3054"/>
        <v/>
      </c>
      <c r="EX194" s="72" t="str">
        <f t="shared" si="3055"/>
        <v/>
      </c>
      <c r="EY194" s="72" t="str">
        <f t="shared" si="3056"/>
        <v/>
      </c>
      <c r="EZ194" s="72" t="str">
        <f t="shared" si="3057"/>
        <v/>
      </c>
      <c r="FA194" s="72" t="str">
        <f t="shared" si="3058"/>
        <v/>
      </c>
      <c r="FB194" s="72" t="str">
        <f t="shared" si="3059"/>
        <v/>
      </c>
      <c r="FC194" s="72" t="str">
        <f t="shared" si="3060"/>
        <v/>
      </c>
      <c r="FD194" s="72" t="str">
        <f t="shared" si="3061"/>
        <v/>
      </c>
      <c r="FE194" s="72" t="str">
        <f t="shared" si="3062"/>
        <v/>
      </c>
      <c r="FF194" s="72" t="str">
        <f t="shared" si="3063"/>
        <v/>
      </c>
      <c r="FG194" s="72" t="str">
        <f t="shared" si="3064"/>
        <v/>
      </c>
      <c r="FH194" s="72" t="str">
        <f t="shared" si="3065"/>
        <v/>
      </c>
      <c r="FI194" s="72" t="str">
        <f t="shared" si="3066"/>
        <v/>
      </c>
      <c r="FJ194" s="72" t="str">
        <f t="shared" si="3067"/>
        <v/>
      </c>
      <c r="FK194" s="72" t="str">
        <f t="shared" si="3068"/>
        <v/>
      </c>
      <c r="FL194" s="72" t="str">
        <f t="shared" si="3069"/>
        <v/>
      </c>
      <c r="FM194" s="72" t="str">
        <f t="shared" si="3070"/>
        <v/>
      </c>
      <c r="FN194" s="72" t="str">
        <f t="shared" si="3071"/>
        <v/>
      </c>
      <c r="FO194" s="72" t="str">
        <f t="shared" si="3072"/>
        <v/>
      </c>
      <c r="FP194" s="72" t="str">
        <f t="shared" si="3073"/>
        <v/>
      </c>
      <c r="FQ194" s="72" t="str">
        <f t="shared" si="3074"/>
        <v/>
      </c>
      <c r="FR194" s="72" t="str">
        <f t="shared" si="3075"/>
        <v/>
      </c>
      <c r="FS194" s="72" t="str">
        <f t="shared" si="3076"/>
        <v/>
      </c>
    </row>
    <row r="195" spans="1:175" ht="15">
      <c r="A195" s="81" t="s">
        <v>699</v>
      </c>
      <c r="B195" s="104" t="s">
        <v>700</v>
      </c>
      <c r="C195" s="81" t="s">
        <v>701</v>
      </c>
      <c r="R195" s="64">
        <v>-7970</v>
      </c>
      <c r="S195" s="64">
        <v>7965</v>
      </c>
      <c r="T195" s="123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95" s="88" t="str">
        <f t="shared" si="2928"/>
        <v>ReplaceableTextures\\CommandButtons\\BTNIT08.blp</v>
      </c>
      <c r="CN195" s="70" t="str">
        <f t="shared" si="2929"/>
        <v>InitUnitState('IT08',,,,,,,,,,)</v>
      </c>
      <c r="CO195" s="70" t="str">
        <f t="shared" si="2930"/>
        <v>InitUnitNormal('IT08',,,,,,,,,,)</v>
      </c>
      <c r="CP195" s="70" t="str">
        <f t="shared" si="2931"/>
        <v>InitUnitMagic('IT08',,,,,,,,,,)</v>
      </c>
      <c r="CQ195" s="70" t="str">
        <f t="shared" si="2932"/>
        <v>InitUnitAdd('IT08',,,,,,,,,,)</v>
      </c>
      <c r="CR195" s="70" t="str">
        <f t="shared" si="2933"/>
        <v>InitEquipData('IT08',,".",,,,,'','','','','','',"ReplaceableTextures\\CommandButtons\\BTNIT09.blp")</v>
      </c>
      <c r="CU195" s="98" t="str">
        <f t="shared" si="3006"/>
        <v>|n</v>
      </c>
      <c r="CV195" s="71" t="str">
        <f t="shared" si="3077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95" s="61"/>
      <c r="CX195" s="61"/>
      <c r="CY195" s="61"/>
      <c r="CZ195" s="61"/>
      <c r="DA195" s="61"/>
      <c r="DB195" s="72" t="str">
        <f t="shared" si="3007"/>
        <v/>
      </c>
      <c r="DC195" s="72" t="str">
        <f t="shared" si="3008"/>
        <v/>
      </c>
      <c r="DD195" s="72" t="str">
        <f t="shared" si="3009"/>
        <v/>
      </c>
      <c r="DE195" s="72" t="str">
        <f t="shared" si="3010"/>
        <v/>
      </c>
      <c r="DF195" s="72" t="str">
        <f t="shared" si="3011"/>
        <v/>
      </c>
      <c r="DG195" s="72" t="str">
        <f t="shared" si="3012"/>
        <v/>
      </c>
      <c r="DH195" s="72" t="str">
        <f t="shared" si="3013"/>
        <v/>
      </c>
      <c r="DI195" s="72" t="str">
        <f t="shared" si="3014"/>
        <v/>
      </c>
      <c r="DJ195" s="72" t="str">
        <f t="shared" si="3015"/>
        <v/>
      </c>
      <c r="DK195" s="72" t="str">
        <f t="shared" si="3016"/>
        <v/>
      </c>
      <c r="DL195" s="72" t="str">
        <f t="shared" si="3017"/>
        <v/>
      </c>
      <c r="DM195" s="72" t="str">
        <f t="shared" si="3018"/>
        <v/>
      </c>
      <c r="DN195" s="72" t="str">
        <f t="shared" si="3019"/>
        <v/>
      </c>
      <c r="DO195" s="72" t="str">
        <f t="shared" si="3020"/>
        <v/>
      </c>
      <c r="DP195" s="72" t="str">
        <f t="shared" si="3021"/>
        <v/>
      </c>
      <c r="DQ195" s="72" t="str">
        <f t="shared" si="3022"/>
        <v/>
      </c>
      <c r="DR195" s="72" t="str">
        <f t="shared" si="3023"/>
        <v/>
      </c>
      <c r="DS195" s="72" t="str">
        <f t="shared" si="3024"/>
        <v/>
      </c>
      <c r="DT195" s="72" t="str">
        <f t="shared" si="3025"/>
        <v/>
      </c>
      <c r="DU195" s="72" t="str">
        <f t="shared" si="3026"/>
        <v/>
      </c>
      <c r="DV195" s="72" t="str">
        <f t="shared" si="3027"/>
        <v/>
      </c>
      <c r="DW195" s="72" t="str">
        <f t="shared" si="3028"/>
        <v/>
      </c>
      <c r="DX195" s="72" t="str">
        <f t="shared" si="3029"/>
        <v/>
      </c>
      <c r="DY195" s="72" t="str">
        <f t="shared" si="3030"/>
        <v/>
      </c>
      <c r="DZ195" s="72" t="str">
        <f t="shared" si="3031"/>
        <v/>
      </c>
      <c r="EA195" s="72" t="str">
        <f t="shared" si="3032"/>
        <v/>
      </c>
      <c r="EB195" s="72" t="str">
        <f t="shared" si="3033"/>
        <v/>
      </c>
      <c r="EC195" s="72" t="str">
        <f t="shared" si="3034"/>
        <v/>
      </c>
      <c r="ED195" s="72" t="str">
        <f t="shared" si="3035"/>
        <v/>
      </c>
      <c r="EE195" s="72" t="str">
        <f t="shared" si="3036"/>
        <v/>
      </c>
      <c r="EF195" s="72" t="str">
        <f t="shared" si="3037"/>
        <v/>
      </c>
      <c r="EG195" s="72" t="str">
        <f t="shared" si="3038"/>
        <v/>
      </c>
      <c r="EH195" s="72" t="str">
        <f t="shared" si="3039"/>
        <v/>
      </c>
      <c r="EI195" s="72" t="str">
        <f t="shared" si="3040"/>
        <v/>
      </c>
      <c r="EJ195" s="72" t="str">
        <f t="shared" si="3041"/>
        <v/>
      </c>
      <c r="EK195" s="72" t="str">
        <f t="shared" si="3042"/>
        <v/>
      </c>
      <c r="EL195" s="72" t="str">
        <f t="shared" si="3043"/>
        <v/>
      </c>
      <c r="EM195" s="72" t="str">
        <f t="shared" si="3044"/>
        <v/>
      </c>
      <c r="EN195" s="72" t="str">
        <f t="shared" si="3045"/>
        <v/>
      </c>
      <c r="EO195" s="72" t="str">
        <f t="shared" si="3046"/>
        <v/>
      </c>
      <c r="EP195" s="72" t="str">
        <f t="shared" si="3047"/>
        <v/>
      </c>
      <c r="EQ195" s="72" t="str">
        <f t="shared" si="3048"/>
        <v/>
      </c>
      <c r="ER195" s="72" t="str">
        <f t="shared" si="3049"/>
        <v/>
      </c>
      <c r="ES195" s="72" t="str">
        <f t="shared" si="3050"/>
        <v/>
      </c>
      <c r="ET195" s="72" t="str">
        <f t="shared" si="3051"/>
        <v/>
      </c>
      <c r="EU195" s="72" t="str">
        <f t="shared" si="3052"/>
        <v/>
      </c>
      <c r="EV195" s="72" t="str">
        <f t="shared" si="3053"/>
        <v/>
      </c>
      <c r="EW195" s="72" t="str">
        <f t="shared" si="3054"/>
        <v/>
      </c>
      <c r="EX195" s="72" t="str">
        <f t="shared" si="3055"/>
        <v/>
      </c>
      <c r="EY195" s="72" t="str">
        <f t="shared" si="3056"/>
        <v/>
      </c>
      <c r="EZ195" s="72" t="str">
        <f t="shared" si="3057"/>
        <v/>
      </c>
      <c r="FA195" s="72" t="str">
        <f t="shared" si="3058"/>
        <v/>
      </c>
      <c r="FB195" s="72" t="str">
        <f t="shared" si="3059"/>
        <v/>
      </c>
      <c r="FC195" s="72" t="str">
        <f t="shared" si="3060"/>
        <v/>
      </c>
      <c r="FD195" s="72" t="str">
        <f t="shared" si="3061"/>
        <v/>
      </c>
      <c r="FE195" s="72" t="str">
        <f t="shared" si="3062"/>
        <v/>
      </c>
      <c r="FF195" s="72" t="str">
        <f t="shared" si="3063"/>
        <v/>
      </c>
      <c r="FG195" s="72" t="str">
        <f t="shared" si="3064"/>
        <v/>
      </c>
      <c r="FH195" s="72" t="str">
        <f t="shared" si="3065"/>
        <v/>
      </c>
      <c r="FI195" s="72" t="str">
        <f t="shared" si="3066"/>
        <v/>
      </c>
      <c r="FJ195" s="72" t="str">
        <f t="shared" si="3067"/>
        <v/>
      </c>
      <c r="FK195" s="72" t="str">
        <f t="shared" si="3068"/>
        <v/>
      </c>
      <c r="FL195" s="72" t="str">
        <f t="shared" si="3069"/>
        <v/>
      </c>
      <c r="FM195" s="72" t="str">
        <f t="shared" si="3070"/>
        <v/>
      </c>
      <c r="FN195" s="72" t="str">
        <f t="shared" si="3071"/>
        <v/>
      </c>
      <c r="FO195" s="72" t="str">
        <f t="shared" si="3072"/>
        <v/>
      </c>
      <c r="FP195" s="72" t="str">
        <f t="shared" si="3073"/>
        <v/>
      </c>
      <c r="FQ195" s="72" t="str">
        <f t="shared" si="3074"/>
        <v/>
      </c>
      <c r="FR195" s="72" t="str">
        <f t="shared" si="3075"/>
        <v/>
      </c>
      <c r="FS195" s="72" t="str">
        <f t="shared" si="3076"/>
        <v/>
      </c>
    </row>
    <row r="196" spans="1:175" ht="15">
      <c r="A196" s="81"/>
      <c r="B196" s="104" t="s">
        <v>702</v>
      </c>
      <c r="C196" s="81" t="s">
        <v>703</v>
      </c>
      <c r="R196" s="64">
        <v>2100</v>
      </c>
      <c r="S196" s="64">
        <v>-5120</v>
      </c>
      <c r="T196" s="123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96" s="88" t="str">
        <f t="shared" si="2928"/>
        <v>ReplaceableTextures\\CommandButtons\\BTNIT09.blp</v>
      </c>
      <c r="CN196" s="70" t="str">
        <f t="shared" si="2929"/>
        <v>InitUnitState('IT09',,,,,,,,,,)</v>
      </c>
      <c r="CO196" s="70" t="str">
        <f t="shared" si="2930"/>
        <v>InitUnitNormal('IT09',,,,,,,,,,)</v>
      </c>
      <c r="CP196" s="70" t="str">
        <f t="shared" si="2931"/>
        <v>InitUnitMagic('IT09',,,,,,,,,,)</v>
      </c>
      <c r="CQ196" s="70" t="str">
        <f t="shared" si="2932"/>
        <v>InitUnitAdd('IT09',,,,,,,,,,)</v>
      </c>
      <c r="CR196" s="70" t="str">
        <f t="shared" si="2933"/>
        <v>InitEquipData('IT09',,"",,,,,'','','','','','',"ReplaceableTextures\\CommandButtons\\BTNIT10.blp")</v>
      </c>
      <c r="CU196" s="98" t="str">
        <f t="shared" si="3006"/>
        <v>|n</v>
      </c>
      <c r="CV196" s="71" t="str">
        <f t="shared" si="3077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96" s="61"/>
      <c r="CX196" s="61"/>
      <c r="CY196" s="61"/>
      <c r="CZ196" s="61"/>
      <c r="DA196" s="61"/>
      <c r="DB196" s="72" t="str">
        <f t="shared" si="3007"/>
        <v/>
      </c>
      <c r="DC196" s="72" t="str">
        <f t="shared" si="3008"/>
        <v/>
      </c>
      <c r="DD196" s="72" t="str">
        <f t="shared" si="3009"/>
        <v/>
      </c>
      <c r="DE196" s="72" t="str">
        <f t="shared" si="3010"/>
        <v/>
      </c>
      <c r="DF196" s="72" t="str">
        <f t="shared" si="3011"/>
        <v/>
      </c>
      <c r="DG196" s="72" t="str">
        <f t="shared" si="3012"/>
        <v/>
      </c>
      <c r="DH196" s="72" t="str">
        <f t="shared" si="3013"/>
        <v/>
      </c>
      <c r="DI196" s="72" t="str">
        <f t="shared" si="3014"/>
        <v/>
      </c>
      <c r="DJ196" s="72" t="str">
        <f t="shared" si="3015"/>
        <v/>
      </c>
      <c r="DK196" s="72" t="str">
        <f t="shared" si="3016"/>
        <v/>
      </c>
      <c r="DL196" s="72" t="str">
        <f t="shared" si="3017"/>
        <v/>
      </c>
      <c r="DM196" s="72" t="str">
        <f t="shared" si="3018"/>
        <v/>
      </c>
      <c r="DN196" s="72" t="str">
        <f t="shared" si="3019"/>
        <v/>
      </c>
      <c r="DO196" s="72" t="str">
        <f t="shared" si="3020"/>
        <v/>
      </c>
      <c r="DP196" s="72" t="str">
        <f t="shared" si="3021"/>
        <v/>
      </c>
      <c r="DQ196" s="72" t="str">
        <f t="shared" si="3022"/>
        <v/>
      </c>
      <c r="DR196" s="72" t="str">
        <f t="shared" si="3023"/>
        <v/>
      </c>
      <c r="DS196" s="72" t="str">
        <f t="shared" si="3024"/>
        <v/>
      </c>
      <c r="DT196" s="72" t="str">
        <f t="shared" si="3025"/>
        <v/>
      </c>
      <c r="DU196" s="72" t="str">
        <f t="shared" si="3026"/>
        <v/>
      </c>
      <c r="DV196" s="72" t="str">
        <f t="shared" si="3027"/>
        <v/>
      </c>
      <c r="DW196" s="72" t="str">
        <f t="shared" si="3028"/>
        <v/>
      </c>
      <c r="DX196" s="72" t="str">
        <f t="shared" si="3029"/>
        <v/>
      </c>
      <c r="DY196" s="72" t="str">
        <f t="shared" si="3030"/>
        <v/>
      </c>
      <c r="DZ196" s="72" t="str">
        <f t="shared" si="3031"/>
        <v/>
      </c>
      <c r="EA196" s="72" t="str">
        <f t="shared" si="3032"/>
        <v/>
      </c>
      <c r="EB196" s="72" t="str">
        <f t="shared" si="3033"/>
        <v/>
      </c>
      <c r="EC196" s="72" t="str">
        <f t="shared" si="3034"/>
        <v/>
      </c>
      <c r="ED196" s="72" t="str">
        <f t="shared" si="3035"/>
        <v/>
      </c>
      <c r="EE196" s="72" t="str">
        <f t="shared" si="3036"/>
        <v/>
      </c>
      <c r="EF196" s="72" t="str">
        <f t="shared" si="3037"/>
        <v/>
      </c>
      <c r="EG196" s="72" t="str">
        <f t="shared" si="3038"/>
        <v/>
      </c>
      <c r="EH196" s="72" t="str">
        <f t="shared" si="3039"/>
        <v/>
      </c>
      <c r="EI196" s="72" t="str">
        <f t="shared" si="3040"/>
        <v/>
      </c>
      <c r="EJ196" s="72" t="str">
        <f t="shared" si="3041"/>
        <v/>
      </c>
      <c r="EK196" s="72" t="str">
        <f t="shared" si="3042"/>
        <v/>
      </c>
      <c r="EL196" s="72" t="str">
        <f t="shared" si="3043"/>
        <v/>
      </c>
      <c r="EM196" s="72" t="str">
        <f t="shared" si="3044"/>
        <v/>
      </c>
      <c r="EN196" s="72" t="str">
        <f t="shared" si="3045"/>
        <v/>
      </c>
      <c r="EO196" s="72" t="str">
        <f t="shared" si="3046"/>
        <v/>
      </c>
      <c r="EP196" s="72" t="str">
        <f t="shared" si="3047"/>
        <v/>
      </c>
      <c r="EQ196" s="72" t="str">
        <f t="shared" si="3048"/>
        <v/>
      </c>
      <c r="ER196" s="72" t="str">
        <f t="shared" si="3049"/>
        <v/>
      </c>
      <c r="ES196" s="72" t="str">
        <f t="shared" si="3050"/>
        <v/>
      </c>
      <c r="ET196" s="72" t="str">
        <f t="shared" si="3051"/>
        <v/>
      </c>
      <c r="EU196" s="72" t="str">
        <f t="shared" si="3052"/>
        <v/>
      </c>
      <c r="EV196" s="72" t="str">
        <f t="shared" si="3053"/>
        <v/>
      </c>
      <c r="EW196" s="72" t="str">
        <f t="shared" si="3054"/>
        <v/>
      </c>
      <c r="EX196" s="72" t="str">
        <f t="shared" si="3055"/>
        <v/>
      </c>
      <c r="EY196" s="72" t="str">
        <f t="shared" si="3056"/>
        <v/>
      </c>
      <c r="EZ196" s="72" t="str">
        <f t="shared" si="3057"/>
        <v/>
      </c>
      <c r="FA196" s="72" t="str">
        <f t="shared" si="3058"/>
        <v/>
      </c>
      <c r="FB196" s="72" t="str">
        <f t="shared" si="3059"/>
        <v/>
      </c>
      <c r="FC196" s="72" t="str">
        <f t="shared" si="3060"/>
        <v/>
      </c>
      <c r="FD196" s="72" t="str">
        <f t="shared" si="3061"/>
        <v/>
      </c>
      <c r="FE196" s="72" t="str">
        <f t="shared" si="3062"/>
        <v/>
      </c>
      <c r="FF196" s="72" t="str">
        <f t="shared" si="3063"/>
        <v/>
      </c>
      <c r="FG196" s="72" t="str">
        <f t="shared" si="3064"/>
        <v/>
      </c>
      <c r="FH196" s="72" t="str">
        <f t="shared" si="3065"/>
        <v/>
      </c>
      <c r="FI196" s="72" t="str">
        <f t="shared" si="3066"/>
        <v/>
      </c>
      <c r="FJ196" s="72" t="str">
        <f t="shared" si="3067"/>
        <v/>
      </c>
      <c r="FK196" s="72" t="str">
        <f t="shared" si="3068"/>
        <v/>
      </c>
      <c r="FL196" s="72" t="str">
        <f t="shared" si="3069"/>
        <v/>
      </c>
      <c r="FM196" s="72" t="str">
        <f t="shared" si="3070"/>
        <v/>
      </c>
      <c r="FN196" s="72" t="str">
        <f t="shared" si="3071"/>
        <v/>
      </c>
      <c r="FO196" s="72" t="str">
        <f t="shared" si="3072"/>
        <v/>
      </c>
      <c r="FP196" s="72" t="str">
        <f t="shared" si="3073"/>
        <v/>
      </c>
      <c r="FQ196" s="72" t="str">
        <f t="shared" si="3074"/>
        <v/>
      </c>
      <c r="FR196" s="72" t="str">
        <f t="shared" si="3075"/>
        <v/>
      </c>
      <c r="FS196" s="72" t="str">
        <f t="shared" si="3076"/>
        <v/>
      </c>
    </row>
    <row r="197" spans="1:175" ht="15">
      <c r="A197" s="81"/>
      <c r="B197" s="104" t="s">
        <v>704</v>
      </c>
      <c r="C197" s="81" t="s">
        <v>705</v>
      </c>
      <c r="R197" s="64">
        <v>2268</v>
      </c>
      <c r="S197" s="64">
        <v>-8065</v>
      </c>
      <c r="T197" s="123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97" s="88" t="str">
        <f t="shared" si="2928"/>
        <v>ReplaceableTextures\\CommandButtons\\BTNIT10.blp</v>
      </c>
      <c r="CN197" s="70" t="str">
        <f t="shared" si="2929"/>
        <v>InitUnitState('IT10',,,,,,,,,,)</v>
      </c>
      <c r="CO197" s="70" t="str">
        <f t="shared" si="2930"/>
        <v>InitUnitNormal('IT10',,,,,,,,,,)</v>
      </c>
      <c r="CP197" s="70" t="str">
        <f t="shared" si="2931"/>
        <v>InitUnitMagic('IT10',,,,,,,,,,)</v>
      </c>
      <c r="CQ197" s="70" t="str">
        <f t="shared" si="2932"/>
        <v>InitUnitAdd('IT10',,,,,,,,,,)</v>
      </c>
      <c r="CR197" s="70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210&amp;CR$1&amp;")"</f>
        <v>InitEquipData('IT10',,"",,,,,'','','','','','',"ReplaceableTextures\\CommandButtons\\BTN020.blp")</v>
      </c>
      <c r="CU197" s="98" t="str">
        <f t="shared" si="3006"/>
        <v>|n</v>
      </c>
      <c r="CV197" s="71" t="str">
        <f t="shared" si="3077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97" s="61"/>
      <c r="CX197" s="61"/>
      <c r="CY197" s="61"/>
      <c r="CZ197" s="61"/>
      <c r="DA197" s="61"/>
      <c r="DB197" s="72" t="str">
        <f t="shared" si="3007"/>
        <v/>
      </c>
      <c r="DC197" s="72" t="str">
        <f t="shared" si="3008"/>
        <v/>
      </c>
      <c r="DD197" s="72" t="str">
        <f t="shared" si="3009"/>
        <v/>
      </c>
      <c r="DE197" s="72" t="str">
        <f t="shared" si="3010"/>
        <v/>
      </c>
      <c r="DF197" s="72" t="str">
        <f t="shared" si="3011"/>
        <v/>
      </c>
      <c r="DG197" s="72" t="str">
        <f t="shared" si="3012"/>
        <v/>
      </c>
      <c r="DH197" s="72" t="str">
        <f t="shared" si="3013"/>
        <v/>
      </c>
      <c r="DI197" s="72" t="str">
        <f t="shared" si="3014"/>
        <v/>
      </c>
      <c r="DJ197" s="72" t="str">
        <f t="shared" si="3015"/>
        <v/>
      </c>
      <c r="DK197" s="72" t="str">
        <f t="shared" si="3016"/>
        <v/>
      </c>
      <c r="DL197" s="72" t="str">
        <f t="shared" si="3017"/>
        <v/>
      </c>
      <c r="DM197" s="72" t="str">
        <f t="shared" si="3018"/>
        <v/>
      </c>
      <c r="DN197" s="72" t="str">
        <f t="shared" si="3019"/>
        <v/>
      </c>
      <c r="DO197" s="72" t="str">
        <f t="shared" si="3020"/>
        <v/>
      </c>
      <c r="DP197" s="72" t="str">
        <f t="shared" si="3021"/>
        <v/>
      </c>
      <c r="DQ197" s="72" t="str">
        <f t="shared" si="3022"/>
        <v/>
      </c>
      <c r="DR197" s="72" t="str">
        <f t="shared" si="3023"/>
        <v/>
      </c>
      <c r="DS197" s="72" t="str">
        <f t="shared" si="3024"/>
        <v/>
      </c>
      <c r="DT197" s="72" t="str">
        <f t="shared" si="3025"/>
        <v/>
      </c>
      <c r="DU197" s="72" t="str">
        <f t="shared" si="3026"/>
        <v/>
      </c>
      <c r="DV197" s="72" t="str">
        <f t="shared" si="3027"/>
        <v/>
      </c>
      <c r="DW197" s="72" t="str">
        <f t="shared" si="3028"/>
        <v/>
      </c>
      <c r="DX197" s="72" t="str">
        <f t="shared" si="3029"/>
        <v/>
      </c>
      <c r="DY197" s="72" t="str">
        <f t="shared" si="3030"/>
        <v/>
      </c>
      <c r="DZ197" s="72" t="str">
        <f t="shared" si="3031"/>
        <v/>
      </c>
      <c r="EA197" s="72" t="str">
        <f t="shared" si="3032"/>
        <v/>
      </c>
      <c r="EB197" s="72" t="str">
        <f t="shared" si="3033"/>
        <v/>
      </c>
      <c r="EC197" s="72" t="str">
        <f t="shared" si="3034"/>
        <v/>
      </c>
      <c r="ED197" s="72" t="str">
        <f t="shared" si="3035"/>
        <v/>
      </c>
      <c r="EE197" s="72" t="str">
        <f t="shared" si="3036"/>
        <v/>
      </c>
      <c r="EF197" s="72" t="str">
        <f t="shared" si="3037"/>
        <v/>
      </c>
      <c r="EG197" s="72" t="str">
        <f t="shared" si="3038"/>
        <v/>
      </c>
      <c r="EH197" s="72" t="str">
        <f t="shared" si="3039"/>
        <v/>
      </c>
      <c r="EI197" s="72" t="str">
        <f t="shared" si="3040"/>
        <v/>
      </c>
      <c r="EJ197" s="72" t="str">
        <f t="shared" si="3041"/>
        <v/>
      </c>
      <c r="EK197" s="72" t="str">
        <f t="shared" si="3042"/>
        <v/>
      </c>
      <c r="EL197" s="72" t="str">
        <f t="shared" si="3043"/>
        <v/>
      </c>
      <c r="EM197" s="72" t="str">
        <f t="shared" si="3044"/>
        <v/>
      </c>
      <c r="EN197" s="72" t="str">
        <f t="shared" si="3045"/>
        <v/>
      </c>
      <c r="EO197" s="72" t="str">
        <f t="shared" si="3046"/>
        <v/>
      </c>
      <c r="EP197" s="72" t="str">
        <f t="shared" si="3047"/>
        <v/>
      </c>
      <c r="EQ197" s="72" t="str">
        <f t="shared" si="3048"/>
        <v/>
      </c>
      <c r="ER197" s="72" t="str">
        <f t="shared" si="3049"/>
        <v/>
      </c>
      <c r="ES197" s="72" t="str">
        <f t="shared" si="3050"/>
        <v/>
      </c>
      <c r="ET197" s="72" t="str">
        <f t="shared" si="3051"/>
        <v/>
      </c>
      <c r="EU197" s="72" t="str">
        <f t="shared" si="3052"/>
        <v/>
      </c>
      <c r="EV197" s="72" t="str">
        <f t="shared" si="3053"/>
        <v/>
      </c>
      <c r="EW197" s="72" t="str">
        <f t="shared" si="3054"/>
        <v/>
      </c>
      <c r="EX197" s="72" t="str">
        <f t="shared" si="3055"/>
        <v/>
      </c>
      <c r="EY197" s="72" t="str">
        <f t="shared" si="3056"/>
        <v/>
      </c>
      <c r="EZ197" s="72" t="str">
        <f t="shared" si="3057"/>
        <v/>
      </c>
      <c r="FA197" s="72" t="str">
        <f t="shared" si="3058"/>
        <v/>
      </c>
      <c r="FB197" s="72" t="str">
        <f t="shared" si="3059"/>
        <v/>
      </c>
      <c r="FC197" s="72" t="str">
        <f t="shared" si="3060"/>
        <v/>
      </c>
      <c r="FD197" s="72" t="str">
        <f t="shared" si="3061"/>
        <v/>
      </c>
      <c r="FE197" s="72" t="str">
        <f t="shared" si="3062"/>
        <v/>
      </c>
      <c r="FF197" s="72" t="str">
        <f t="shared" si="3063"/>
        <v/>
      </c>
      <c r="FG197" s="72" t="str">
        <f t="shared" si="3064"/>
        <v/>
      </c>
      <c r="FH197" s="72" t="str">
        <f t="shared" si="3065"/>
        <v/>
      </c>
      <c r="FI197" s="72" t="str">
        <f t="shared" si="3066"/>
        <v/>
      </c>
      <c r="FJ197" s="72" t="str">
        <f t="shared" si="3067"/>
        <v/>
      </c>
      <c r="FK197" s="72" t="str">
        <f t="shared" si="3068"/>
        <v/>
      </c>
      <c r="FL197" s="72" t="str">
        <f t="shared" si="3069"/>
        <v/>
      </c>
      <c r="FM197" s="72" t="str">
        <f t="shared" si="3070"/>
        <v/>
      </c>
      <c r="FN197" s="72" t="str">
        <f t="shared" si="3071"/>
        <v/>
      </c>
      <c r="FO197" s="72" t="str">
        <f t="shared" si="3072"/>
        <v/>
      </c>
      <c r="FP197" s="72" t="str">
        <f t="shared" si="3073"/>
        <v/>
      </c>
      <c r="FQ197" s="72" t="str">
        <f t="shared" si="3074"/>
        <v/>
      </c>
      <c r="FR197" s="72" t="str">
        <f t="shared" si="3075"/>
        <v/>
      </c>
      <c r="FS197" s="72" t="str">
        <f t="shared" si="3076"/>
        <v/>
      </c>
    </row>
    <row r="198" spans="1:175" ht="15">
      <c r="A198" s="81" t="s">
        <v>699</v>
      </c>
      <c r="B198" s="104" t="s">
        <v>706</v>
      </c>
      <c r="C198" s="81" t="s">
        <v>707</v>
      </c>
      <c r="T198" s="123" t="s">
        <v>708</v>
      </c>
      <c r="U198" s="88" t="str">
        <f t="shared" si="2928"/>
        <v>ReplaceableTextures\\CommandButtons\\BTNIT11.blp</v>
      </c>
      <c r="CN198" s="70" t="str">
        <f t="shared" si="2929"/>
        <v>InitUnitState('IT11',,,,,,,,,,)</v>
      </c>
      <c r="CO198" s="70" t="str">
        <f t="shared" si="2930"/>
        <v>InitUnitNormal('IT11',,,,,,,,,,)</v>
      </c>
      <c r="CP198" s="70" t="str">
        <f t="shared" si="2931"/>
        <v>InitUnitMagic('IT11',,,,,,,,,,)</v>
      </c>
      <c r="CQ198" s="70" t="str">
        <f t="shared" si="2932"/>
        <v>InitUnitAdd('IT11',,,,,,,,,,)</v>
      </c>
      <c r="CR198" s="70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InitEquipData('IT11',,".",,,,,'','','','','','',"ReplaceableTextures\\CommandButtons\\BTNIT12.blp")</v>
      </c>
      <c r="CU198" s="98" t="str">
        <f t="shared" si="3006"/>
        <v>|n</v>
      </c>
      <c r="CV198" s="71" t="str">
        <f t="shared" si="3077"/>
        <v>境界挑战11</v>
      </c>
      <c r="CW198" s="61"/>
      <c r="CX198" s="61"/>
      <c r="CY198" s="61"/>
      <c r="CZ198" s="61"/>
      <c r="DA198" s="61"/>
      <c r="DB198" s="72" t="str">
        <f t="shared" ref="DB198:DB200" si="3078">IF(V198="","","|n"&amp;DB$2&amp;"+"&amp;V198&amp;DB$1)</f>
        <v/>
      </c>
      <c r="DC198" s="72" t="str">
        <f t="shared" ref="DC198:DC200" si="3079">IF(W198="","","|n"&amp;DC$2&amp;"+"&amp;W198&amp;DC$1)</f>
        <v/>
      </c>
      <c r="DD198" s="72" t="str">
        <f t="shared" ref="DD198:DD200" si="3080">IF(X198="","","|n"&amp;DD$2&amp;"+"&amp;X198&amp;DD$1)</f>
        <v/>
      </c>
      <c r="DE198" s="72" t="str">
        <f t="shared" ref="DE198:DE200" si="3081">IF(Y198="","","|n"&amp;DE$2&amp;"+"&amp;Y198&amp;DE$1)</f>
        <v/>
      </c>
      <c r="DF198" s="72" t="str">
        <f t="shared" ref="DF198:DF200" si="3082">IF(Z198="","","|n"&amp;DF$2&amp;"+"&amp;Z198&amp;DF$1)</f>
        <v/>
      </c>
      <c r="DG198" s="72" t="str">
        <f t="shared" ref="DG198:DG200" si="3083">IF(AA198="","","|n"&amp;DG$2&amp;"+"&amp;AA198&amp;DG$1)</f>
        <v/>
      </c>
      <c r="DH198" s="72" t="str">
        <f t="shared" ref="DH198:DH200" si="3084">IF(AB198="","","|n"&amp;DH$2&amp;"+"&amp;AB198&amp;DH$1)</f>
        <v/>
      </c>
      <c r="DI198" s="72" t="str">
        <f t="shared" ref="DI198:DI200" si="3085">IF(AC198="","","|n"&amp;DI$2&amp;"+"&amp;AC198&amp;DI$1)</f>
        <v/>
      </c>
      <c r="DJ198" s="72" t="str">
        <f t="shared" ref="DJ198:DJ200" si="3086">IF(AD198="","","|n"&amp;DJ$2&amp;"+"&amp;AD198&amp;DJ$1)</f>
        <v/>
      </c>
      <c r="DK198" s="72" t="str">
        <f t="shared" ref="DK198:DK200" si="3087">IF(AE198="","","|n"&amp;DK$2&amp;"+"&amp;AE198&amp;DK$1)</f>
        <v/>
      </c>
      <c r="DL198" s="72" t="str">
        <f t="shared" ref="DL198:DL200" si="3088">IF(AF198="","","|n"&amp;DL$2&amp;"+"&amp;AF198&amp;DL$1)</f>
        <v/>
      </c>
      <c r="DM198" s="72" t="str">
        <f t="shared" ref="DM198:DM200" si="3089">IF(AG198="","","|n"&amp;DM$2&amp;"+"&amp;AG198&amp;DM$1)</f>
        <v/>
      </c>
      <c r="DN198" s="72" t="str">
        <f t="shared" ref="DN198:DN200" si="3090">IF(AH198="","","|n"&amp;DN$2&amp;"+"&amp;AH198&amp;DN$1)</f>
        <v/>
      </c>
      <c r="DO198" s="72" t="str">
        <f t="shared" ref="DO198:DO200" si="3091">IF(AI198="","","|n"&amp;DO$2&amp;"+"&amp;AI198&amp;DO$1)</f>
        <v/>
      </c>
      <c r="DP198" s="72" t="str">
        <f t="shared" ref="DP198:DP200" si="3092">IF(AJ198="","","|n"&amp;DP$2&amp;"+"&amp;AJ198&amp;DP$1)</f>
        <v/>
      </c>
      <c r="DQ198" s="72" t="str">
        <f t="shared" ref="DQ198:DQ200" si="3093">IF(AK198="","","|n"&amp;DQ$2&amp;"+"&amp;AK198&amp;DQ$1)</f>
        <v/>
      </c>
      <c r="DR198" s="72" t="str">
        <f t="shared" ref="DR198:DR200" si="3094">IF(AL198="","","|n"&amp;DR$2&amp;"+"&amp;AL198&amp;DR$1)</f>
        <v/>
      </c>
      <c r="DS198" s="72" t="str">
        <f t="shared" ref="DS198:DS200" si="3095">IF(AM198="","","|n"&amp;DS$2&amp;"+"&amp;AM198&amp;DS$1)</f>
        <v/>
      </c>
      <c r="DT198" s="72" t="str">
        <f t="shared" ref="DT198:DT200" si="3096">IF(AN198="","","|n"&amp;DT$2&amp;"+"&amp;AN198&amp;DT$1)</f>
        <v/>
      </c>
      <c r="DU198" s="72" t="str">
        <f t="shared" ref="DU198:DU200" si="3097">IF(AO198="","","|n"&amp;DU$2&amp;"+"&amp;AO198&amp;DU$1)</f>
        <v/>
      </c>
      <c r="DV198" s="72" t="str">
        <f t="shared" ref="DV198:DV200" si="3098">IF(AP198="","","|n"&amp;DV$2&amp;"+"&amp;AP198&amp;DV$1)</f>
        <v/>
      </c>
      <c r="DW198" s="72" t="str">
        <f t="shared" ref="DW198:DW200" si="3099">IF(AQ198="","","|n"&amp;DW$2&amp;"+"&amp;AQ198&amp;DW$1)</f>
        <v/>
      </c>
      <c r="DX198" s="72" t="str">
        <f t="shared" ref="DX198:DX200" si="3100">IF(AR198="","","|n"&amp;DX$2&amp;"+"&amp;AR198&amp;DX$1)</f>
        <v/>
      </c>
      <c r="DY198" s="72" t="str">
        <f t="shared" ref="DY198:DY200" si="3101">IF(AS198="","","|n"&amp;DY$2&amp;"+"&amp;AS198&amp;DY$1)</f>
        <v/>
      </c>
      <c r="DZ198" s="72" t="str">
        <f t="shared" ref="DZ198:DZ200" si="3102">IF(AT198="","","|n"&amp;DZ$2&amp;"+"&amp;AT198&amp;DZ$1)</f>
        <v/>
      </c>
      <c r="EA198" s="72" t="str">
        <f t="shared" ref="EA198:EA200" si="3103">IF(AU198="","","|n"&amp;EA$2&amp;"+"&amp;AU198&amp;EA$1)</f>
        <v/>
      </c>
      <c r="EB198" s="72" t="str">
        <f t="shared" ref="EB198:EB200" si="3104">IF(AV198="","","|n"&amp;EB$2&amp;"+"&amp;AV198&amp;EB$1)</f>
        <v/>
      </c>
      <c r="EC198" s="72" t="str">
        <f t="shared" ref="EC198:EC200" si="3105">IF(AW198="","","|n"&amp;EC$2&amp;"+"&amp;AW198&amp;EC$1)</f>
        <v/>
      </c>
      <c r="ED198" s="72" t="str">
        <f t="shared" ref="ED198:ED200" si="3106">IF(AX198="","","|n"&amp;ED$2&amp;"+"&amp;AX198&amp;ED$1)</f>
        <v/>
      </c>
      <c r="EE198" s="72" t="str">
        <f t="shared" ref="EE198:EE200" si="3107">IF(AY198="","","|n"&amp;EE$2&amp;"+"&amp;AY198&amp;EE$1)</f>
        <v/>
      </c>
      <c r="EF198" s="72" t="str">
        <f t="shared" ref="EF198:EF200" si="3108">IF(AZ198="","","|n"&amp;EF$2&amp;"+"&amp;AZ198&amp;EF$1)</f>
        <v/>
      </c>
      <c r="EG198" s="72" t="str">
        <f t="shared" ref="EG198:EG200" si="3109">IF(BA198="","","|n"&amp;EG$2&amp;"+"&amp;BA198&amp;EG$1)</f>
        <v/>
      </c>
      <c r="EH198" s="72" t="str">
        <f t="shared" ref="EH198:EH200" si="3110">IF(BB198="","","|n"&amp;EH$2&amp;"+"&amp;BB198&amp;EH$1)</f>
        <v/>
      </c>
      <c r="EI198" s="72" t="str">
        <f t="shared" ref="EI198:EI200" si="3111">IF(BC198="","","|n"&amp;EI$2&amp;"+"&amp;BC198&amp;EI$1)</f>
        <v/>
      </c>
      <c r="EJ198" s="72" t="str">
        <f t="shared" ref="EJ198:EJ200" si="3112">IF(BD198="","","|n"&amp;EJ$2&amp;"+"&amp;BD198&amp;EJ$1)</f>
        <v/>
      </c>
      <c r="EK198" s="72" t="str">
        <f t="shared" ref="EK198:EK200" si="3113">IF(BE198="","","|n"&amp;EK$2&amp;"+"&amp;BE198&amp;EK$1)</f>
        <v/>
      </c>
      <c r="EL198" s="72" t="str">
        <f t="shared" ref="EL198:EL200" si="3114">IF(BF198="","","|n"&amp;EL$2&amp;"+"&amp;BF198&amp;EL$1)</f>
        <v/>
      </c>
      <c r="EM198" s="72" t="str">
        <f t="shared" ref="EM198:EM200" si="3115">IF(BG198="","","|n"&amp;EM$2&amp;"+"&amp;BG198&amp;EM$1)</f>
        <v/>
      </c>
      <c r="EN198" s="72" t="str">
        <f t="shared" ref="EN198:EN200" si="3116">IF(BH198="","","|n"&amp;EN$2&amp;"+"&amp;BH198&amp;EN$1)</f>
        <v/>
      </c>
      <c r="EO198" s="72" t="str">
        <f t="shared" ref="EO198:EO200" si="3117">IF(BI198="","","|n"&amp;EO$2&amp;"+"&amp;BI198&amp;EO$1)</f>
        <v/>
      </c>
      <c r="EP198" s="72" t="str">
        <f t="shared" ref="EP198:EP200" si="3118">IF(BJ198="","","|n"&amp;EP$2&amp;"+"&amp;BJ198&amp;EP$1)</f>
        <v/>
      </c>
      <c r="EQ198" s="72" t="str">
        <f t="shared" ref="EQ198:EQ200" si="3119">IF(BK198="","","|n"&amp;EQ$2&amp;"+"&amp;BK198&amp;EQ$1)</f>
        <v/>
      </c>
      <c r="ER198" s="72" t="str">
        <f t="shared" ref="ER198:ER200" si="3120">IF(BL198="","","|n"&amp;ER$2&amp;"+"&amp;BL198&amp;ER$1)</f>
        <v/>
      </c>
      <c r="ES198" s="72" t="str">
        <f t="shared" ref="ES198:ES200" si="3121">IF(BM198="","","|n"&amp;ES$2&amp;"+"&amp;BM198&amp;ES$1)</f>
        <v/>
      </c>
      <c r="ET198" s="72" t="str">
        <f t="shared" ref="ET198:ET200" si="3122">IF(BN198="","","|n"&amp;ET$2&amp;"+"&amp;BN198&amp;ET$1)</f>
        <v/>
      </c>
      <c r="EU198" s="72" t="str">
        <f t="shared" ref="EU198:EU200" si="3123">IF(BO198="","","|n"&amp;EU$2&amp;"+"&amp;BO198&amp;EU$1)</f>
        <v/>
      </c>
      <c r="EV198" s="72" t="str">
        <f t="shared" ref="EV198:EV200" si="3124">IF(BP198="","","|n"&amp;EV$2&amp;"+"&amp;BP198&amp;EV$1)</f>
        <v/>
      </c>
      <c r="EW198" s="72" t="str">
        <f t="shared" ref="EW198:EW200" si="3125">IF(BQ198="","","|n"&amp;EW$2&amp;"+"&amp;BQ198&amp;EW$1)</f>
        <v/>
      </c>
      <c r="EX198" s="72" t="str">
        <f t="shared" ref="EX198:EX200" si="3126">IF(BR198="","","|n"&amp;EX$2&amp;"+"&amp;BR198&amp;EX$1)</f>
        <v/>
      </c>
      <c r="EY198" s="72" t="str">
        <f t="shared" ref="EY198:EY200" si="3127">IF(BS198="","","|n"&amp;EY$2&amp;"+"&amp;BS198&amp;EY$1)</f>
        <v/>
      </c>
      <c r="EZ198" s="72" t="str">
        <f t="shared" ref="EZ198:EZ200" si="3128">IF(BT198="","","|n"&amp;EZ$2&amp;"+"&amp;BT198&amp;EZ$1)</f>
        <v/>
      </c>
      <c r="FA198" s="72" t="str">
        <f t="shared" ref="FA198:FA200" si="3129">IF(BU198="","","|n"&amp;FA$2&amp;"+"&amp;BU198&amp;FA$1)</f>
        <v/>
      </c>
      <c r="FB198" s="72" t="str">
        <f t="shared" ref="FB198:FB200" si="3130">IF(BV198="","","|n"&amp;FB$2&amp;"+"&amp;BV198&amp;FB$1)</f>
        <v/>
      </c>
      <c r="FC198" s="72" t="str">
        <f t="shared" ref="FC198:FC200" si="3131">IF(BW198="","","|n"&amp;FC$2&amp;"+"&amp;BW198&amp;FC$1)</f>
        <v/>
      </c>
      <c r="FD198" s="72" t="str">
        <f t="shared" ref="FD198:FD200" si="3132">IF(BX198="","","|n"&amp;FD$2&amp;"+"&amp;BX198&amp;FD$1)</f>
        <v/>
      </c>
      <c r="FE198" s="72" t="str">
        <f t="shared" ref="FE198:FE200" si="3133">IF(BY198="","","|n"&amp;FE$2&amp;"+"&amp;BY198&amp;FE$1)</f>
        <v/>
      </c>
      <c r="FF198" s="72" t="str">
        <f t="shared" ref="FF198:FF200" si="3134">IF(BZ198="","","|n"&amp;FF$2&amp;"+"&amp;BZ198&amp;FF$1)</f>
        <v/>
      </c>
      <c r="FG198" s="72" t="str">
        <f t="shared" ref="FG198:FG200" si="3135">IF(CA198="","","|n"&amp;FG$2&amp;"+"&amp;CA198&amp;FG$1)</f>
        <v/>
      </c>
      <c r="FH198" s="72" t="str">
        <f t="shared" ref="FH198:FH200" si="3136">IF(CB198="","","|n"&amp;FH$2&amp;"+"&amp;CB198&amp;FH$1)</f>
        <v/>
      </c>
      <c r="FI198" s="72" t="str">
        <f t="shared" ref="FI198:FI200" si="3137">IF(CC198="","","|n"&amp;FI$2&amp;"+"&amp;CC198&amp;FI$1)</f>
        <v/>
      </c>
      <c r="FJ198" s="72" t="str">
        <f t="shared" ref="FJ198:FJ200" si="3138">IF(CD198="","","|n"&amp;FJ$2&amp;"+"&amp;CD198&amp;FJ$1)</f>
        <v/>
      </c>
      <c r="FK198" s="72" t="str">
        <f t="shared" ref="FK198:FK200" si="3139">IF(CE198="","","|n"&amp;FK$2&amp;"+"&amp;CE198&amp;FK$1)</f>
        <v/>
      </c>
      <c r="FL198" s="72" t="str">
        <f t="shared" ref="FL198:FL200" si="3140">IF(CF198="","","|n"&amp;FL$2&amp;"+"&amp;CF198&amp;FL$1)</f>
        <v/>
      </c>
      <c r="FM198" s="72" t="str">
        <f t="shared" ref="FM198:FM200" si="3141">IF(CG198="","","|n"&amp;FM$2&amp;"+"&amp;CG198&amp;FM$1)</f>
        <v/>
      </c>
      <c r="FN198" s="72" t="str">
        <f t="shared" ref="FN198:FN200" si="3142">IF(CH198="","","|n"&amp;FN$2&amp;"+"&amp;CH198&amp;FN$1)</f>
        <v/>
      </c>
      <c r="FO198" s="72" t="str">
        <f t="shared" ref="FO198:FO200" si="3143">IF(CI198="","","|n"&amp;FO$2&amp;"+"&amp;CI198&amp;FO$1)</f>
        <v/>
      </c>
      <c r="FP198" s="72" t="str">
        <f t="shared" ref="FP198:FP200" si="3144">IF(CJ198="","","|n"&amp;FP$2&amp;"+"&amp;CJ198&amp;FP$1)</f>
        <v/>
      </c>
      <c r="FQ198" s="72" t="str">
        <f t="shared" ref="FQ198:FQ200" si="3145">IF(CK198="","","|n"&amp;FQ$2&amp;"+"&amp;CK198&amp;FQ$1)</f>
        <v/>
      </c>
      <c r="FR198" s="72" t="str">
        <f t="shared" ref="FR198:FR200" si="3146">IF(CL198="","","|n"&amp;FR$2&amp;"+"&amp;CL198&amp;FR$1)</f>
        <v/>
      </c>
      <c r="FS198" s="72" t="str">
        <f t="shared" ref="FS198:FS200" si="3147">IF(CM198="","","|n"&amp;FS$2&amp;"+"&amp;CM198&amp;FS$1)</f>
        <v/>
      </c>
    </row>
    <row r="199" spans="1:175" ht="15">
      <c r="A199" s="81"/>
      <c r="B199" s="104" t="s">
        <v>709</v>
      </c>
      <c r="C199" s="81" t="s">
        <v>710</v>
      </c>
      <c r="T199" s="123" t="s">
        <v>711</v>
      </c>
      <c r="U199" s="88" t="str">
        <f t="shared" si="2928"/>
        <v>ReplaceableTextures\\CommandButtons\\BTNIT12.blp</v>
      </c>
      <c r="CN199" s="70" t="str">
        <f t="shared" si="2929"/>
        <v>InitUnitState('IT12',,,,,,,,,,)</v>
      </c>
      <c r="CO199" s="70" t="str">
        <f t="shared" si="2930"/>
        <v>InitUnitNormal('IT12',,,,,,,,,,)</v>
      </c>
      <c r="CP199" s="70" t="str">
        <f t="shared" si="2931"/>
        <v>InitUnitMagic('IT12',,,,,,,,,,)</v>
      </c>
      <c r="CQ199" s="70" t="str">
        <f t="shared" si="2932"/>
        <v>InitUnitAdd('IT12',,,,,,,,,,)</v>
      </c>
      <c r="CR199" s="70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InitEquipData('IT12',,"",,,,,'','','','','','',"ReplaceableTextures\\CommandButtons\\BTNIT13.blp")</v>
      </c>
      <c r="CU199" s="98" t="str">
        <f t="shared" si="3006"/>
        <v>|n</v>
      </c>
      <c r="CV199" s="71" t="str">
        <f t="shared" si="3077"/>
        <v>境界挑战12</v>
      </c>
      <c r="CW199" s="61"/>
      <c r="CX199" s="61"/>
      <c r="CY199" s="61"/>
      <c r="CZ199" s="61"/>
      <c r="DA199" s="61"/>
      <c r="DB199" s="72" t="str">
        <f t="shared" si="3078"/>
        <v/>
      </c>
      <c r="DC199" s="72" t="str">
        <f t="shared" si="3079"/>
        <v/>
      </c>
      <c r="DD199" s="72" t="str">
        <f t="shared" si="3080"/>
        <v/>
      </c>
      <c r="DE199" s="72" t="str">
        <f t="shared" si="3081"/>
        <v/>
      </c>
      <c r="DF199" s="72" t="str">
        <f t="shared" si="3082"/>
        <v/>
      </c>
      <c r="DG199" s="72" t="str">
        <f t="shared" si="3083"/>
        <v/>
      </c>
      <c r="DH199" s="72" t="str">
        <f t="shared" si="3084"/>
        <v/>
      </c>
      <c r="DI199" s="72" t="str">
        <f t="shared" si="3085"/>
        <v/>
      </c>
      <c r="DJ199" s="72" t="str">
        <f t="shared" si="3086"/>
        <v/>
      </c>
      <c r="DK199" s="72" t="str">
        <f t="shared" si="3087"/>
        <v/>
      </c>
      <c r="DL199" s="72" t="str">
        <f t="shared" si="3088"/>
        <v/>
      </c>
      <c r="DM199" s="72" t="str">
        <f t="shared" si="3089"/>
        <v/>
      </c>
      <c r="DN199" s="72" t="str">
        <f t="shared" si="3090"/>
        <v/>
      </c>
      <c r="DO199" s="72" t="str">
        <f t="shared" si="3091"/>
        <v/>
      </c>
      <c r="DP199" s="72" t="str">
        <f t="shared" si="3092"/>
        <v/>
      </c>
      <c r="DQ199" s="72" t="str">
        <f t="shared" si="3093"/>
        <v/>
      </c>
      <c r="DR199" s="72" t="str">
        <f t="shared" si="3094"/>
        <v/>
      </c>
      <c r="DS199" s="72" t="str">
        <f t="shared" si="3095"/>
        <v/>
      </c>
      <c r="DT199" s="72" t="str">
        <f t="shared" si="3096"/>
        <v/>
      </c>
      <c r="DU199" s="72" t="str">
        <f t="shared" si="3097"/>
        <v/>
      </c>
      <c r="DV199" s="72" t="str">
        <f t="shared" si="3098"/>
        <v/>
      </c>
      <c r="DW199" s="72" t="str">
        <f t="shared" si="3099"/>
        <v/>
      </c>
      <c r="DX199" s="72" t="str">
        <f t="shared" si="3100"/>
        <v/>
      </c>
      <c r="DY199" s="72" t="str">
        <f t="shared" si="3101"/>
        <v/>
      </c>
      <c r="DZ199" s="72" t="str">
        <f t="shared" si="3102"/>
        <v/>
      </c>
      <c r="EA199" s="72" t="str">
        <f t="shared" si="3103"/>
        <v/>
      </c>
      <c r="EB199" s="72" t="str">
        <f t="shared" si="3104"/>
        <v/>
      </c>
      <c r="EC199" s="72" t="str">
        <f t="shared" si="3105"/>
        <v/>
      </c>
      <c r="ED199" s="72" t="str">
        <f t="shared" si="3106"/>
        <v/>
      </c>
      <c r="EE199" s="72" t="str">
        <f t="shared" si="3107"/>
        <v/>
      </c>
      <c r="EF199" s="72" t="str">
        <f t="shared" si="3108"/>
        <v/>
      </c>
      <c r="EG199" s="72" t="str">
        <f t="shared" si="3109"/>
        <v/>
      </c>
      <c r="EH199" s="72" t="str">
        <f t="shared" si="3110"/>
        <v/>
      </c>
      <c r="EI199" s="72" t="str">
        <f t="shared" si="3111"/>
        <v/>
      </c>
      <c r="EJ199" s="72" t="str">
        <f t="shared" si="3112"/>
        <v/>
      </c>
      <c r="EK199" s="72" t="str">
        <f t="shared" si="3113"/>
        <v/>
      </c>
      <c r="EL199" s="72" t="str">
        <f t="shared" si="3114"/>
        <v/>
      </c>
      <c r="EM199" s="72" t="str">
        <f t="shared" si="3115"/>
        <v/>
      </c>
      <c r="EN199" s="72" t="str">
        <f t="shared" si="3116"/>
        <v/>
      </c>
      <c r="EO199" s="72" t="str">
        <f t="shared" si="3117"/>
        <v/>
      </c>
      <c r="EP199" s="72" t="str">
        <f t="shared" si="3118"/>
        <v/>
      </c>
      <c r="EQ199" s="72" t="str">
        <f t="shared" si="3119"/>
        <v/>
      </c>
      <c r="ER199" s="72" t="str">
        <f t="shared" si="3120"/>
        <v/>
      </c>
      <c r="ES199" s="72" t="str">
        <f t="shared" si="3121"/>
        <v/>
      </c>
      <c r="ET199" s="72" t="str">
        <f t="shared" si="3122"/>
        <v/>
      </c>
      <c r="EU199" s="72" t="str">
        <f t="shared" si="3123"/>
        <v/>
      </c>
      <c r="EV199" s="72" t="str">
        <f t="shared" si="3124"/>
        <v/>
      </c>
      <c r="EW199" s="72" t="str">
        <f t="shared" si="3125"/>
        <v/>
      </c>
      <c r="EX199" s="72" t="str">
        <f t="shared" si="3126"/>
        <v/>
      </c>
      <c r="EY199" s="72" t="str">
        <f t="shared" si="3127"/>
        <v/>
      </c>
      <c r="EZ199" s="72" t="str">
        <f t="shared" si="3128"/>
        <v/>
      </c>
      <c r="FA199" s="72" t="str">
        <f t="shared" si="3129"/>
        <v/>
      </c>
      <c r="FB199" s="72" t="str">
        <f t="shared" si="3130"/>
        <v/>
      </c>
      <c r="FC199" s="72" t="str">
        <f t="shared" si="3131"/>
        <v/>
      </c>
      <c r="FD199" s="72" t="str">
        <f t="shared" si="3132"/>
        <v/>
      </c>
      <c r="FE199" s="72" t="str">
        <f t="shared" si="3133"/>
        <v/>
      </c>
      <c r="FF199" s="72" t="str">
        <f t="shared" si="3134"/>
        <v/>
      </c>
      <c r="FG199" s="72" t="str">
        <f t="shared" si="3135"/>
        <v/>
      </c>
      <c r="FH199" s="72" t="str">
        <f t="shared" si="3136"/>
        <v/>
      </c>
      <c r="FI199" s="72" t="str">
        <f t="shared" si="3137"/>
        <v/>
      </c>
      <c r="FJ199" s="72" t="str">
        <f t="shared" si="3138"/>
        <v/>
      </c>
      <c r="FK199" s="72" t="str">
        <f t="shared" si="3139"/>
        <v/>
      </c>
      <c r="FL199" s="72" t="str">
        <f t="shared" si="3140"/>
        <v/>
      </c>
      <c r="FM199" s="72" t="str">
        <f t="shared" si="3141"/>
        <v/>
      </c>
      <c r="FN199" s="72" t="str">
        <f t="shared" si="3142"/>
        <v/>
      </c>
      <c r="FO199" s="72" t="str">
        <f t="shared" si="3143"/>
        <v/>
      </c>
      <c r="FP199" s="72" t="str">
        <f t="shared" si="3144"/>
        <v/>
      </c>
      <c r="FQ199" s="72" t="str">
        <f t="shared" si="3145"/>
        <v/>
      </c>
      <c r="FR199" s="72" t="str">
        <f t="shared" si="3146"/>
        <v/>
      </c>
      <c r="FS199" s="72" t="str">
        <f t="shared" si="3147"/>
        <v/>
      </c>
    </row>
    <row r="200" spans="1:175" ht="15">
      <c r="A200" s="81"/>
      <c r="B200" s="104" t="s">
        <v>712</v>
      </c>
      <c r="C200" s="81" t="s">
        <v>713</v>
      </c>
      <c r="T200" s="123" t="s">
        <v>714</v>
      </c>
      <c r="U200" s="88" t="str">
        <f t="shared" si="2928"/>
        <v>ReplaceableTextures\\CommandButtons\\BTNIT13.blp</v>
      </c>
      <c r="CN200" s="70" t="str">
        <f t="shared" si="2929"/>
        <v>InitUnitState('IT13',,,,,,,,,,)</v>
      </c>
      <c r="CO200" s="70" t="str">
        <f t="shared" si="2930"/>
        <v>InitUnitNormal('IT13',,,,,,,,,,)</v>
      </c>
      <c r="CP200" s="70" t="str">
        <f t="shared" si="2931"/>
        <v>InitUnitMagic('IT13',,,,,,,,,,)</v>
      </c>
      <c r="CQ200" s="70" t="str">
        <f t="shared" si="2932"/>
        <v>InitUnitAdd('IT13',,,,,,,,,,)</v>
      </c>
      <c r="CR200" s="70" t="e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#REF!&amp;CR$1&amp;")"</f>
        <v>#REF!</v>
      </c>
      <c r="CU200" s="98" t="str">
        <f t="shared" si="3006"/>
        <v>|n</v>
      </c>
      <c r="CV200" s="71" t="str">
        <f t="shared" si="3077"/>
        <v>境界挑战13</v>
      </c>
      <c r="CW200" s="61"/>
      <c r="CX200" s="61"/>
      <c r="CY200" s="61"/>
      <c r="CZ200" s="61"/>
      <c r="DA200" s="61"/>
      <c r="DB200" s="72" t="str">
        <f t="shared" si="3078"/>
        <v/>
      </c>
      <c r="DC200" s="72" t="str">
        <f t="shared" si="3079"/>
        <v/>
      </c>
      <c r="DD200" s="72" t="str">
        <f t="shared" si="3080"/>
        <v/>
      </c>
      <c r="DE200" s="72" t="str">
        <f t="shared" si="3081"/>
        <v/>
      </c>
      <c r="DF200" s="72" t="str">
        <f t="shared" si="3082"/>
        <v/>
      </c>
      <c r="DG200" s="72" t="str">
        <f t="shared" si="3083"/>
        <v/>
      </c>
      <c r="DH200" s="72" t="str">
        <f t="shared" si="3084"/>
        <v/>
      </c>
      <c r="DI200" s="72" t="str">
        <f t="shared" si="3085"/>
        <v/>
      </c>
      <c r="DJ200" s="72" t="str">
        <f t="shared" si="3086"/>
        <v/>
      </c>
      <c r="DK200" s="72" t="str">
        <f t="shared" si="3087"/>
        <v/>
      </c>
      <c r="DL200" s="72" t="str">
        <f t="shared" si="3088"/>
        <v/>
      </c>
      <c r="DM200" s="72" t="str">
        <f t="shared" si="3089"/>
        <v/>
      </c>
      <c r="DN200" s="72" t="str">
        <f t="shared" si="3090"/>
        <v/>
      </c>
      <c r="DO200" s="72" t="str">
        <f t="shared" si="3091"/>
        <v/>
      </c>
      <c r="DP200" s="72" t="str">
        <f t="shared" si="3092"/>
        <v/>
      </c>
      <c r="DQ200" s="72" t="str">
        <f t="shared" si="3093"/>
        <v/>
      </c>
      <c r="DR200" s="72" t="str">
        <f t="shared" si="3094"/>
        <v/>
      </c>
      <c r="DS200" s="72" t="str">
        <f t="shared" si="3095"/>
        <v/>
      </c>
      <c r="DT200" s="72" t="str">
        <f t="shared" si="3096"/>
        <v/>
      </c>
      <c r="DU200" s="72" t="str">
        <f t="shared" si="3097"/>
        <v/>
      </c>
      <c r="DV200" s="72" t="str">
        <f t="shared" si="3098"/>
        <v/>
      </c>
      <c r="DW200" s="72" t="str">
        <f t="shared" si="3099"/>
        <v/>
      </c>
      <c r="DX200" s="72" t="str">
        <f t="shared" si="3100"/>
        <v/>
      </c>
      <c r="DY200" s="72" t="str">
        <f t="shared" si="3101"/>
        <v/>
      </c>
      <c r="DZ200" s="72" t="str">
        <f t="shared" si="3102"/>
        <v/>
      </c>
      <c r="EA200" s="72" t="str">
        <f t="shared" si="3103"/>
        <v/>
      </c>
      <c r="EB200" s="72" t="str">
        <f t="shared" si="3104"/>
        <v/>
      </c>
      <c r="EC200" s="72" t="str">
        <f t="shared" si="3105"/>
        <v/>
      </c>
      <c r="ED200" s="72" t="str">
        <f t="shared" si="3106"/>
        <v/>
      </c>
      <c r="EE200" s="72" t="str">
        <f t="shared" si="3107"/>
        <v/>
      </c>
      <c r="EF200" s="72" t="str">
        <f t="shared" si="3108"/>
        <v/>
      </c>
      <c r="EG200" s="72" t="str">
        <f t="shared" si="3109"/>
        <v/>
      </c>
      <c r="EH200" s="72" t="str">
        <f t="shared" si="3110"/>
        <v/>
      </c>
      <c r="EI200" s="72" t="str">
        <f t="shared" si="3111"/>
        <v/>
      </c>
      <c r="EJ200" s="72" t="str">
        <f t="shared" si="3112"/>
        <v/>
      </c>
      <c r="EK200" s="72" t="str">
        <f t="shared" si="3113"/>
        <v/>
      </c>
      <c r="EL200" s="72" t="str">
        <f t="shared" si="3114"/>
        <v/>
      </c>
      <c r="EM200" s="72" t="str">
        <f t="shared" si="3115"/>
        <v/>
      </c>
      <c r="EN200" s="72" t="str">
        <f t="shared" si="3116"/>
        <v/>
      </c>
      <c r="EO200" s="72" t="str">
        <f t="shared" si="3117"/>
        <v/>
      </c>
      <c r="EP200" s="72" t="str">
        <f t="shared" si="3118"/>
        <v/>
      </c>
      <c r="EQ200" s="72" t="str">
        <f t="shared" si="3119"/>
        <v/>
      </c>
      <c r="ER200" s="72" t="str">
        <f t="shared" si="3120"/>
        <v/>
      </c>
      <c r="ES200" s="72" t="str">
        <f t="shared" si="3121"/>
        <v/>
      </c>
      <c r="ET200" s="72" t="str">
        <f t="shared" si="3122"/>
        <v/>
      </c>
      <c r="EU200" s="72" t="str">
        <f t="shared" si="3123"/>
        <v/>
      </c>
      <c r="EV200" s="72" t="str">
        <f t="shared" si="3124"/>
        <v/>
      </c>
      <c r="EW200" s="72" t="str">
        <f t="shared" si="3125"/>
        <v/>
      </c>
      <c r="EX200" s="72" t="str">
        <f t="shared" si="3126"/>
        <v/>
      </c>
      <c r="EY200" s="72" t="str">
        <f t="shared" si="3127"/>
        <v/>
      </c>
      <c r="EZ200" s="72" t="str">
        <f t="shared" si="3128"/>
        <v/>
      </c>
      <c r="FA200" s="72" t="str">
        <f t="shared" si="3129"/>
        <v/>
      </c>
      <c r="FB200" s="72" t="str">
        <f t="shared" si="3130"/>
        <v/>
      </c>
      <c r="FC200" s="72" t="str">
        <f t="shared" si="3131"/>
        <v/>
      </c>
      <c r="FD200" s="72" t="str">
        <f t="shared" si="3132"/>
        <v/>
      </c>
      <c r="FE200" s="72" t="str">
        <f t="shared" si="3133"/>
        <v/>
      </c>
      <c r="FF200" s="72" t="str">
        <f t="shared" si="3134"/>
        <v/>
      </c>
      <c r="FG200" s="72" t="str">
        <f t="shared" si="3135"/>
        <v/>
      </c>
      <c r="FH200" s="72" t="str">
        <f t="shared" si="3136"/>
        <v/>
      </c>
      <c r="FI200" s="72" t="str">
        <f t="shared" si="3137"/>
        <v/>
      </c>
      <c r="FJ200" s="72" t="str">
        <f t="shared" si="3138"/>
        <v/>
      </c>
      <c r="FK200" s="72" t="str">
        <f t="shared" si="3139"/>
        <v/>
      </c>
      <c r="FL200" s="72" t="str">
        <f t="shared" si="3140"/>
        <v/>
      </c>
      <c r="FM200" s="72" t="str">
        <f t="shared" si="3141"/>
        <v/>
      </c>
      <c r="FN200" s="72" t="str">
        <f t="shared" si="3142"/>
        <v/>
      </c>
      <c r="FO200" s="72" t="str">
        <f t="shared" si="3143"/>
        <v/>
      </c>
      <c r="FP200" s="72" t="str">
        <f t="shared" si="3144"/>
        <v/>
      </c>
      <c r="FQ200" s="72" t="str">
        <f t="shared" si="3145"/>
        <v/>
      </c>
      <c r="FR200" s="72" t="str">
        <f t="shared" si="3146"/>
        <v/>
      </c>
      <c r="FS200" s="72" t="str">
        <f t="shared" si="3147"/>
        <v/>
      </c>
    </row>
    <row r="201" spans="1:175" ht="15">
      <c r="A201" s="81"/>
      <c r="B201" s="104" t="s">
        <v>715</v>
      </c>
      <c r="C201" s="81" t="s">
        <v>716</v>
      </c>
      <c r="T201" s="123" t="s">
        <v>716</v>
      </c>
      <c r="U201" s="88" t="str">
        <f t="shared" si="2928"/>
        <v>ReplaceableTextures\\CommandButtons\\BTNIT14.blp</v>
      </c>
      <c r="CN201" s="70" t="str">
        <f t="shared" si="2929"/>
        <v>InitUnitState('IT14',,,,,,,,,,)</v>
      </c>
      <c r="CO201" s="70" t="str">
        <f t="shared" si="2930"/>
        <v>InitUnitNormal('IT14',,,,,,,,,,)</v>
      </c>
      <c r="CP201" s="70" t="str">
        <f t="shared" si="2931"/>
        <v>InitUnitMagic('IT14',,,,,,,,,,)</v>
      </c>
      <c r="CQ201" s="70" t="str">
        <f t="shared" si="2932"/>
        <v>InitUnitAdd('IT14',,,,,,,,,,)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222&amp;CR$1&amp;")"</f>
        <v>InitEquipData('IT14',,"",,,,,'','','','','','',"ReplaceableTextures\\CommandButtons\\BTNIH00.blp")</v>
      </c>
      <c r="CU201" s="98" t="str">
        <f t="shared" si="3006"/>
        <v>|n</v>
      </c>
      <c r="CV201" s="71" t="str">
        <f t="shared" si="3077"/>
        <v>境界挑战14</v>
      </c>
      <c r="CW201" s="61"/>
      <c r="CX201" s="61"/>
      <c r="CY201" s="61"/>
      <c r="CZ201" s="61"/>
      <c r="DA201" s="61"/>
      <c r="DB201" s="72" t="str">
        <f t="shared" ref="DB201:EG202" si="3148">IF(V201="","","|n"&amp;DB$2&amp;"+"&amp;V201&amp;DB$1)</f>
        <v/>
      </c>
      <c r="DC201" s="72" t="str">
        <f t="shared" si="3148"/>
        <v/>
      </c>
      <c r="DD201" s="72" t="str">
        <f t="shared" si="3148"/>
        <v/>
      </c>
      <c r="DE201" s="72" t="str">
        <f t="shared" si="3148"/>
        <v/>
      </c>
      <c r="DF201" s="72" t="str">
        <f t="shared" si="3148"/>
        <v/>
      </c>
      <c r="DG201" s="72" t="str">
        <f t="shared" si="3148"/>
        <v/>
      </c>
      <c r="DH201" s="72" t="str">
        <f t="shared" si="3148"/>
        <v/>
      </c>
      <c r="DI201" s="72" t="str">
        <f t="shared" si="3148"/>
        <v/>
      </c>
      <c r="DJ201" s="72" t="str">
        <f t="shared" si="3148"/>
        <v/>
      </c>
      <c r="DK201" s="72" t="str">
        <f t="shared" si="3148"/>
        <v/>
      </c>
      <c r="DL201" s="72" t="str">
        <f t="shared" si="3148"/>
        <v/>
      </c>
      <c r="DM201" s="72" t="str">
        <f t="shared" si="3148"/>
        <v/>
      </c>
      <c r="DN201" s="72" t="str">
        <f t="shared" si="3148"/>
        <v/>
      </c>
      <c r="DO201" s="72" t="str">
        <f t="shared" si="3148"/>
        <v/>
      </c>
      <c r="DP201" s="72" t="str">
        <f t="shared" si="3148"/>
        <v/>
      </c>
      <c r="DQ201" s="72" t="str">
        <f t="shared" si="3148"/>
        <v/>
      </c>
      <c r="DR201" s="72" t="str">
        <f t="shared" si="3148"/>
        <v/>
      </c>
      <c r="DS201" s="72" t="str">
        <f t="shared" si="3148"/>
        <v/>
      </c>
      <c r="DT201" s="72" t="str">
        <f t="shared" si="3148"/>
        <v/>
      </c>
      <c r="DU201" s="72" t="str">
        <f t="shared" si="3148"/>
        <v/>
      </c>
      <c r="DV201" s="72" t="str">
        <f t="shared" si="3148"/>
        <v/>
      </c>
      <c r="DW201" s="72" t="str">
        <f t="shared" si="3148"/>
        <v/>
      </c>
      <c r="DX201" s="72" t="str">
        <f t="shared" si="3148"/>
        <v/>
      </c>
      <c r="DY201" s="72" t="str">
        <f t="shared" si="3148"/>
        <v/>
      </c>
      <c r="DZ201" s="72" t="str">
        <f t="shared" si="3148"/>
        <v/>
      </c>
      <c r="EA201" s="72" t="str">
        <f t="shared" si="3148"/>
        <v/>
      </c>
      <c r="EB201" s="72" t="str">
        <f t="shared" si="3148"/>
        <v/>
      </c>
      <c r="EC201" s="72" t="str">
        <f t="shared" si="3148"/>
        <v/>
      </c>
      <c r="ED201" s="72" t="str">
        <f t="shared" si="3148"/>
        <v/>
      </c>
      <c r="EE201" s="72" t="str">
        <f t="shared" si="3148"/>
        <v/>
      </c>
      <c r="EF201" s="72" t="str">
        <f t="shared" si="3148"/>
        <v/>
      </c>
      <c r="EG201" s="72" t="str">
        <f t="shared" si="3148"/>
        <v/>
      </c>
      <c r="EH201" s="72" t="str">
        <f t="shared" ref="EH201:FM202" si="3149">IF(BB201="","","|n"&amp;EH$2&amp;"+"&amp;BB201&amp;EH$1)</f>
        <v/>
      </c>
      <c r="EI201" s="72" t="str">
        <f t="shared" si="3149"/>
        <v/>
      </c>
      <c r="EJ201" s="72" t="str">
        <f t="shared" si="3149"/>
        <v/>
      </c>
      <c r="EK201" s="72" t="str">
        <f t="shared" si="3149"/>
        <v/>
      </c>
      <c r="EL201" s="72" t="str">
        <f t="shared" si="3149"/>
        <v/>
      </c>
      <c r="EM201" s="72" t="str">
        <f t="shared" si="3149"/>
        <v/>
      </c>
      <c r="EN201" s="72" t="str">
        <f t="shared" si="3149"/>
        <v/>
      </c>
      <c r="EO201" s="72" t="str">
        <f t="shared" si="3149"/>
        <v/>
      </c>
      <c r="EP201" s="72" t="str">
        <f t="shared" si="3149"/>
        <v/>
      </c>
      <c r="EQ201" s="72" t="str">
        <f t="shared" si="3149"/>
        <v/>
      </c>
      <c r="ER201" s="72" t="str">
        <f t="shared" si="3149"/>
        <v/>
      </c>
      <c r="ES201" s="72" t="str">
        <f t="shared" si="3149"/>
        <v/>
      </c>
      <c r="ET201" s="72" t="str">
        <f t="shared" si="3149"/>
        <v/>
      </c>
      <c r="EU201" s="72" t="str">
        <f t="shared" si="3149"/>
        <v/>
      </c>
      <c r="EV201" s="72" t="str">
        <f t="shared" si="3149"/>
        <v/>
      </c>
      <c r="EW201" s="72" t="str">
        <f t="shared" si="3149"/>
        <v/>
      </c>
      <c r="EX201" s="72" t="str">
        <f t="shared" si="3149"/>
        <v/>
      </c>
      <c r="EY201" s="72" t="str">
        <f t="shared" si="3149"/>
        <v/>
      </c>
      <c r="EZ201" s="72" t="str">
        <f t="shared" si="3149"/>
        <v/>
      </c>
      <c r="FA201" s="72" t="str">
        <f t="shared" si="3149"/>
        <v/>
      </c>
      <c r="FB201" s="72" t="str">
        <f t="shared" si="3149"/>
        <v/>
      </c>
      <c r="FC201" s="72" t="str">
        <f t="shared" si="3149"/>
        <v/>
      </c>
      <c r="FD201" s="72" t="str">
        <f t="shared" si="3149"/>
        <v/>
      </c>
      <c r="FE201" s="72" t="str">
        <f t="shared" si="3149"/>
        <v/>
      </c>
      <c r="FF201" s="72" t="str">
        <f t="shared" si="3149"/>
        <v/>
      </c>
      <c r="FG201" s="72" t="str">
        <f t="shared" si="3149"/>
        <v/>
      </c>
      <c r="FH201" s="72" t="str">
        <f t="shared" si="3149"/>
        <v/>
      </c>
      <c r="FI201" s="72" t="str">
        <f t="shared" si="3149"/>
        <v/>
      </c>
      <c r="FJ201" s="72" t="str">
        <f t="shared" si="3149"/>
        <v/>
      </c>
      <c r="FK201" s="72" t="str">
        <f t="shared" si="3149"/>
        <v/>
      </c>
      <c r="FL201" s="72" t="str">
        <f t="shared" si="3149"/>
        <v/>
      </c>
      <c r="FM201" s="72" t="str">
        <f t="shared" si="3149"/>
        <v/>
      </c>
      <c r="FN201" s="72" t="str">
        <f t="shared" ref="FN201:FS202" si="3150">IF(CH201="","","|n"&amp;FN$2&amp;"+"&amp;CH201&amp;FN$1)</f>
        <v/>
      </c>
      <c r="FO201" s="72" t="str">
        <f t="shared" si="3150"/>
        <v/>
      </c>
      <c r="FP201" s="72" t="str">
        <f t="shared" si="3150"/>
        <v/>
      </c>
      <c r="FQ201" s="72" t="str">
        <f t="shared" si="3150"/>
        <v/>
      </c>
      <c r="FR201" s="72" t="str">
        <f t="shared" si="3150"/>
        <v/>
      </c>
      <c r="FS201" s="72" t="str">
        <f t="shared" si="3150"/>
        <v/>
      </c>
    </row>
    <row r="202" spans="1:175" ht="15">
      <c r="A202" s="81"/>
      <c r="B202" s="104" t="s">
        <v>717</v>
      </c>
      <c r="C202" s="81" t="s">
        <v>718</v>
      </c>
      <c r="T202" s="123" t="s">
        <v>719</v>
      </c>
      <c r="U202" s="88" t="str">
        <f t="shared" si="2928"/>
        <v>ReplaceableTextures\\CommandButtons\\BTNIZ0A.blp</v>
      </c>
      <c r="CN202" s="70" t="str">
        <f t="shared" ref="CN202" si="3151">"InitUnitState('"&amp;B202&amp;"',"&amp;V202&amp;","&amp;W202&amp;","&amp;X202&amp;","&amp;Y202&amp;","&amp;Z202&amp;","&amp;AA202&amp;","&amp;AB202&amp;","&amp;AC202&amp;","&amp;AD202&amp;","&amp;AE202&amp;")"</f>
        <v>InitUnitState('IZ0A',,,,,,,,,,)</v>
      </c>
      <c r="CO202" s="70" t="str">
        <f t="shared" ref="CO202" si="3152">"InitUnitNormal('"&amp;B202&amp;"',"&amp;AF202&amp;","&amp;AG202&amp;","&amp;AH202&amp;","&amp;AI202&amp;","&amp;AJ202&amp;","&amp;AK202&amp;","&amp;AL202&amp;","&amp;AM202&amp;","&amp;AN202&amp;","&amp;AO202&amp;")"</f>
        <v>InitUnitNormal('IZ0A',,,,,,,,,,)</v>
      </c>
      <c r="CP202" s="70" t="str">
        <f t="shared" ref="CP202" si="3153">"InitUnitMagic('"&amp;B202&amp;"',"&amp;AP202&amp;","&amp;AQ202&amp;","&amp;AR202&amp;","&amp;AS202&amp;","&amp;AT202&amp;","&amp;AU202&amp;","&amp;AV202&amp;","&amp;AW202&amp;","&amp;BI202&amp;","&amp;BJ202&amp;")"</f>
        <v>InitUnitMagic('IZ0A',,,,,,,,,,)</v>
      </c>
      <c r="CQ202" s="70" t="str">
        <f t="shared" ref="CQ202" si="3154">"InitUnitAdd('"&amp;B202&amp;"',"&amp;BK202&amp;","&amp;BL202&amp;","&amp;BM202&amp;","&amp;BN202&amp;","&amp;BO202&amp;","&amp;BP202&amp;","&amp;BQ202&amp;","&amp;BR202&amp;","&amp;BS202&amp;","&amp;BT202&amp;")"</f>
        <v>InitUnitAdd('IZ0A',,,,,,,,,,)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208&amp;CR$1&amp;")"</f>
        <v>InitEquipData('IZ0A',,"",,,,,'','','','','','',"ReplaceableTextures\\CommandButtons\\BTNIZ01.blp")</v>
      </c>
      <c r="CU202" s="98" t="str">
        <f t="shared" ref="CU202" si="3155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1" t="str">
        <f t="shared" ref="CV202" si="3156">T202</f>
        <v>延缓敌军2分钟进攻时间。|n|n|Cff999999狗策划一直不想做这个功能，你们就省着点用吧~（逃|r</v>
      </c>
      <c r="CW202" s="61"/>
      <c r="CX202" s="61"/>
      <c r="CY202" s="61"/>
      <c r="CZ202" s="61"/>
      <c r="DA202" s="61"/>
      <c r="DB202" s="72" t="str">
        <f t="shared" si="3148"/>
        <v/>
      </c>
      <c r="DC202" s="72" t="str">
        <f t="shared" si="3148"/>
        <v/>
      </c>
      <c r="DD202" s="72" t="str">
        <f t="shared" si="3148"/>
        <v/>
      </c>
      <c r="DE202" s="72" t="str">
        <f t="shared" si="3148"/>
        <v/>
      </c>
      <c r="DF202" s="72" t="str">
        <f t="shared" si="3148"/>
        <v/>
      </c>
      <c r="DG202" s="72" t="str">
        <f t="shared" si="3148"/>
        <v/>
      </c>
      <c r="DH202" s="72" t="str">
        <f t="shared" si="3148"/>
        <v/>
      </c>
      <c r="DI202" s="72" t="str">
        <f t="shared" si="3148"/>
        <v/>
      </c>
      <c r="DJ202" s="72" t="str">
        <f t="shared" si="3148"/>
        <v/>
      </c>
      <c r="DK202" s="72" t="str">
        <f t="shared" si="3148"/>
        <v/>
      </c>
      <c r="DL202" s="72" t="str">
        <f t="shared" si="3148"/>
        <v/>
      </c>
      <c r="DM202" s="72" t="str">
        <f t="shared" si="3148"/>
        <v/>
      </c>
      <c r="DN202" s="72" t="str">
        <f t="shared" si="3148"/>
        <v/>
      </c>
      <c r="DO202" s="72" t="str">
        <f t="shared" si="3148"/>
        <v/>
      </c>
      <c r="DP202" s="72" t="str">
        <f t="shared" si="3148"/>
        <v/>
      </c>
      <c r="DQ202" s="72" t="str">
        <f t="shared" si="3148"/>
        <v/>
      </c>
      <c r="DR202" s="72" t="str">
        <f t="shared" si="3148"/>
        <v/>
      </c>
      <c r="DS202" s="72" t="str">
        <f t="shared" si="3148"/>
        <v/>
      </c>
      <c r="DT202" s="72" t="str">
        <f t="shared" si="3148"/>
        <v/>
      </c>
      <c r="DU202" s="72" t="str">
        <f t="shared" si="3148"/>
        <v/>
      </c>
      <c r="DV202" s="72" t="str">
        <f t="shared" si="3148"/>
        <v/>
      </c>
      <c r="DW202" s="72" t="str">
        <f t="shared" si="3148"/>
        <v/>
      </c>
      <c r="DX202" s="72" t="str">
        <f t="shared" si="3148"/>
        <v/>
      </c>
      <c r="DY202" s="72" t="str">
        <f t="shared" si="3148"/>
        <v/>
      </c>
      <c r="DZ202" s="72" t="str">
        <f t="shared" si="3148"/>
        <v/>
      </c>
      <c r="EA202" s="72" t="str">
        <f t="shared" si="3148"/>
        <v/>
      </c>
      <c r="EB202" s="72" t="str">
        <f t="shared" si="3148"/>
        <v/>
      </c>
      <c r="EC202" s="72" t="str">
        <f t="shared" si="3148"/>
        <v/>
      </c>
      <c r="ED202" s="72" t="str">
        <f t="shared" si="3148"/>
        <v/>
      </c>
      <c r="EE202" s="72" t="str">
        <f t="shared" si="3148"/>
        <v/>
      </c>
      <c r="EF202" s="72" t="str">
        <f t="shared" si="3148"/>
        <v/>
      </c>
      <c r="EG202" s="72" t="str">
        <f t="shared" si="3148"/>
        <v/>
      </c>
      <c r="EH202" s="72" t="str">
        <f t="shared" si="3149"/>
        <v/>
      </c>
      <c r="EI202" s="72" t="str">
        <f t="shared" si="3149"/>
        <v/>
      </c>
      <c r="EJ202" s="72" t="str">
        <f t="shared" si="3149"/>
        <v/>
      </c>
      <c r="EK202" s="72" t="str">
        <f t="shared" si="3149"/>
        <v/>
      </c>
      <c r="EL202" s="72" t="str">
        <f t="shared" si="3149"/>
        <v/>
      </c>
      <c r="EM202" s="72" t="str">
        <f t="shared" si="3149"/>
        <v/>
      </c>
      <c r="EN202" s="72" t="str">
        <f t="shared" si="3149"/>
        <v/>
      </c>
      <c r="EO202" s="72" t="str">
        <f t="shared" si="3149"/>
        <v/>
      </c>
      <c r="EP202" s="72" t="str">
        <f t="shared" si="3149"/>
        <v/>
      </c>
      <c r="EQ202" s="72" t="str">
        <f t="shared" si="3149"/>
        <v/>
      </c>
      <c r="ER202" s="72" t="str">
        <f t="shared" si="3149"/>
        <v/>
      </c>
      <c r="ES202" s="72" t="str">
        <f t="shared" si="3149"/>
        <v/>
      </c>
      <c r="ET202" s="72" t="str">
        <f t="shared" si="3149"/>
        <v/>
      </c>
      <c r="EU202" s="72" t="str">
        <f t="shared" si="3149"/>
        <v/>
      </c>
      <c r="EV202" s="72" t="str">
        <f t="shared" si="3149"/>
        <v/>
      </c>
      <c r="EW202" s="72" t="str">
        <f t="shared" si="3149"/>
        <v/>
      </c>
      <c r="EX202" s="72" t="str">
        <f t="shared" si="3149"/>
        <v/>
      </c>
      <c r="EY202" s="72" t="str">
        <f t="shared" si="3149"/>
        <v/>
      </c>
      <c r="EZ202" s="72" t="str">
        <f t="shared" si="3149"/>
        <v/>
      </c>
      <c r="FA202" s="72" t="str">
        <f t="shared" si="3149"/>
        <v/>
      </c>
      <c r="FB202" s="72" t="str">
        <f t="shared" si="3149"/>
        <v/>
      </c>
      <c r="FC202" s="72" t="str">
        <f t="shared" si="3149"/>
        <v/>
      </c>
      <c r="FD202" s="72" t="str">
        <f t="shared" si="3149"/>
        <v/>
      </c>
      <c r="FE202" s="72" t="str">
        <f t="shared" si="3149"/>
        <v/>
      </c>
      <c r="FF202" s="72" t="str">
        <f t="shared" si="3149"/>
        <v/>
      </c>
      <c r="FG202" s="72" t="str">
        <f t="shared" si="3149"/>
        <v/>
      </c>
      <c r="FH202" s="72" t="str">
        <f t="shared" si="3149"/>
        <v/>
      </c>
      <c r="FI202" s="72" t="str">
        <f t="shared" si="3149"/>
        <v/>
      </c>
      <c r="FJ202" s="72" t="str">
        <f t="shared" si="3149"/>
        <v/>
      </c>
      <c r="FK202" s="72" t="str">
        <f t="shared" si="3149"/>
        <v/>
      </c>
      <c r="FL202" s="72" t="str">
        <f t="shared" si="3149"/>
        <v/>
      </c>
      <c r="FM202" s="72" t="str">
        <f t="shared" si="3149"/>
        <v/>
      </c>
      <c r="FN202" s="72" t="str">
        <f t="shared" si="3150"/>
        <v/>
      </c>
      <c r="FO202" s="72" t="str">
        <f t="shared" si="3150"/>
        <v/>
      </c>
      <c r="FP202" s="72" t="str">
        <f t="shared" si="3150"/>
        <v/>
      </c>
      <c r="FQ202" s="72" t="str">
        <f t="shared" si="3150"/>
        <v/>
      </c>
      <c r="FR202" s="72" t="str">
        <f t="shared" si="3150"/>
        <v/>
      </c>
      <c r="FS202" s="72" t="str">
        <f t="shared" si="3150"/>
        <v/>
      </c>
    </row>
    <row r="203" spans="1:175" ht="15">
      <c r="A203" s="81"/>
      <c r="B203" s="104" t="s">
        <v>720</v>
      </c>
      <c r="C203" s="81" t="s">
        <v>721</v>
      </c>
      <c r="T203" s="123" t="s">
        <v>722</v>
      </c>
      <c r="U203" s="88" t="str">
        <f t="shared" ref="U203:U208" si="3157">"ReplaceableTextures\\CommandButtons\\BTN"&amp;B203&amp;".blp"</f>
        <v>ReplaceableTextures\\CommandButtons\\BTNIZ0B.blp</v>
      </c>
      <c r="CN203" s="70" t="str">
        <f t="shared" ref="CN203:CN207" si="3158">"InitUnitState('"&amp;B203&amp;"',"&amp;V203&amp;","&amp;W203&amp;","&amp;X203&amp;","&amp;Y203&amp;","&amp;Z203&amp;","&amp;AA203&amp;","&amp;AB203&amp;","&amp;AC203&amp;","&amp;AD203&amp;","&amp;AE203&amp;")"</f>
        <v>InitUnitState('IZ0B',,,,,,,,,,)</v>
      </c>
      <c r="CO203" s="70" t="str">
        <f t="shared" ref="CO203:CO207" si="3159">"InitUnitNormal('"&amp;B203&amp;"',"&amp;AF203&amp;","&amp;AG203&amp;","&amp;AH203&amp;","&amp;AI203&amp;","&amp;AJ203&amp;","&amp;AK203&amp;","&amp;AL203&amp;","&amp;AM203&amp;","&amp;AN203&amp;","&amp;AO203&amp;")"</f>
        <v>InitUnitNormal('IZ0B',,,,,,,,,,)</v>
      </c>
      <c r="CP203" s="70" t="str">
        <f t="shared" ref="CP203:CP207" si="3160">"InitUnitMagic('"&amp;B203&amp;"',"&amp;AP203&amp;","&amp;AQ203&amp;","&amp;AR203&amp;","&amp;AS203&amp;","&amp;AT203&amp;","&amp;AU203&amp;","&amp;AV203&amp;","&amp;AW203&amp;","&amp;BI203&amp;","&amp;BJ203&amp;")"</f>
        <v>InitUnitMagic('IZ0B',,,,,,,,,,)</v>
      </c>
      <c r="CQ203" s="70" t="str">
        <f t="shared" ref="CQ203:CQ207" si="3161">"InitUnitAdd('"&amp;B203&amp;"',"&amp;BK203&amp;","&amp;BL203&amp;","&amp;BM203&amp;","&amp;BN203&amp;","&amp;BO203&amp;","&amp;BP203&amp;","&amp;BQ203&amp;","&amp;BR203&amp;","&amp;BS203&amp;","&amp;BT203&amp;")"</f>
        <v>InitUnitAdd('IZ0B',,,,,,,,,,)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209&amp;CR$1&amp;")"</f>
        <v>InitEquipData('IZ0B',,"",,,,,'','','','','','',"ReplaceableTextures\\CommandButtons\\BTN023.blp")</v>
      </c>
      <c r="CU203" s="98" t="str">
        <f t="shared" ref="CU203:CU207" si="3162">CONCATENATE(DB203,DC203,DD203,DE203,DF203,DG203,DH203,DI203,DJ203,DK203,DL203,DM203,DN203,DO203,DP203,DQ203,DR203,DS203,DT203,DU203,DV203,DW203,DX203,DY203,DZ203,EA203,EB203,EC203,ED203,EE203,EF203,EG203,EH203,EI203,EJ203,EK203,EL203,EM203,EN203,EO203,EP203&amp;"|n")</f>
        <v>|n</v>
      </c>
      <c r="CV203" s="71" t="str">
        <f t="shared" ref="CV203:CV207" si="3163">T203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3" s="61"/>
      <c r="CX203" s="61"/>
      <c r="CY203" s="61"/>
      <c r="CZ203" s="61"/>
      <c r="DA203" s="61"/>
      <c r="DB203" s="72" t="str">
        <f t="shared" ref="DB203" si="3164">IF(V203="","","|n"&amp;DB$2&amp;"+"&amp;V203&amp;DB$1)</f>
        <v/>
      </c>
      <c r="DC203" s="72" t="str">
        <f t="shared" ref="DC203" si="3165">IF(W203="","","|n"&amp;DC$2&amp;"+"&amp;W203&amp;DC$1)</f>
        <v/>
      </c>
      <c r="DD203" s="72" t="str">
        <f t="shared" ref="DD203" si="3166">IF(X203="","","|n"&amp;DD$2&amp;"+"&amp;X203&amp;DD$1)</f>
        <v/>
      </c>
      <c r="DE203" s="72" t="str">
        <f t="shared" ref="DE203" si="3167">IF(Y203="","","|n"&amp;DE$2&amp;"+"&amp;Y203&amp;DE$1)</f>
        <v/>
      </c>
      <c r="DF203" s="72" t="str">
        <f t="shared" ref="DF203" si="3168">IF(Z203="","","|n"&amp;DF$2&amp;"+"&amp;Z203&amp;DF$1)</f>
        <v/>
      </c>
      <c r="DG203" s="72" t="str">
        <f t="shared" ref="DG203" si="3169">IF(AA203="","","|n"&amp;DG$2&amp;"+"&amp;AA203&amp;DG$1)</f>
        <v/>
      </c>
      <c r="DH203" s="72" t="str">
        <f t="shared" ref="DH203" si="3170">IF(AB203="","","|n"&amp;DH$2&amp;"+"&amp;AB203&amp;DH$1)</f>
        <v/>
      </c>
      <c r="DI203" s="72" t="str">
        <f t="shared" ref="DI203" si="3171">IF(AC203="","","|n"&amp;DI$2&amp;"+"&amp;AC203&amp;DI$1)</f>
        <v/>
      </c>
      <c r="DJ203" s="72" t="str">
        <f t="shared" ref="DJ203" si="3172">IF(AD203="","","|n"&amp;DJ$2&amp;"+"&amp;AD203&amp;DJ$1)</f>
        <v/>
      </c>
      <c r="DK203" s="72" t="str">
        <f t="shared" ref="DK203" si="3173">IF(AE203="","","|n"&amp;DK$2&amp;"+"&amp;AE203&amp;DK$1)</f>
        <v/>
      </c>
      <c r="DL203" s="72" t="str">
        <f t="shared" ref="DL203" si="3174">IF(AF203="","","|n"&amp;DL$2&amp;"+"&amp;AF203&amp;DL$1)</f>
        <v/>
      </c>
      <c r="DM203" s="72" t="str">
        <f t="shared" ref="DM203" si="3175">IF(AG203="","","|n"&amp;DM$2&amp;"+"&amp;AG203&amp;DM$1)</f>
        <v/>
      </c>
      <c r="DN203" s="72" t="str">
        <f t="shared" ref="DN203" si="3176">IF(AH203="","","|n"&amp;DN$2&amp;"+"&amp;AH203&amp;DN$1)</f>
        <v/>
      </c>
      <c r="DO203" s="72" t="str">
        <f t="shared" ref="DO203" si="3177">IF(AI203="","","|n"&amp;DO$2&amp;"+"&amp;AI203&amp;DO$1)</f>
        <v/>
      </c>
      <c r="DP203" s="72" t="str">
        <f t="shared" ref="DP203" si="3178">IF(AJ203="","","|n"&amp;DP$2&amp;"+"&amp;AJ203&amp;DP$1)</f>
        <v/>
      </c>
      <c r="DQ203" s="72" t="str">
        <f t="shared" ref="DQ203" si="3179">IF(AK203="","","|n"&amp;DQ$2&amp;"+"&amp;AK203&amp;DQ$1)</f>
        <v/>
      </c>
      <c r="DR203" s="72" t="str">
        <f t="shared" ref="DR203" si="3180">IF(AL203="","","|n"&amp;DR$2&amp;"+"&amp;AL203&amp;DR$1)</f>
        <v/>
      </c>
      <c r="DS203" s="72" t="str">
        <f t="shared" ref="DS203" si="3181">IF(AM203="","","|n"&amp;DS$2&amp;"+"&amp;AM203&amp;DS$1)</f>
        <v/>
      </c>
      <c r="DT203" s="72" t="str">
        <f t="shared" ref="DT203" si="3182">IF(AN203="","","|n"&amp;DT$2&amp;"+"&amp;AN203&amp;DT$1)</f>
        <v/>
      </c>
      <c r="DU203" s="72" t="str">
        <f t="shared" ref="DU203" si="3183">IF(AO203="","","|n"&amp;DU$2&amp;"+"&amp;AO203&amp;DU$1)</f>
        <v/>
      </c>
      <c r="DV203" s="72" t="str">
        <f t="shared" ref="DV203" si="3184">IF(AP203="","","|n"&amp;DV$2&amp;"+"&amp;AP203&amp;DV$1)</f>
        <v/>
      </c>
      <c r="DW203" s="72" t="str">
        <f t="shared" ref="DW203" si="3185">IF(AQ203="","","|n"&amp;DW$2&amp;"+"&amp;AQ203&amp;DW$1)</f>
        <v/>
      </c>
      <c r="DX203" s="72" t="str">
        <f t="shared" ref="DX203" si="3186">IF(AR203="","","|n"&amp;DX$2&amp;"+"&amp;AR203&amp;DX$1)</f>
        <v/>
      </c>
      <c r="DY203" s="72" t="str">
        <f t="shared" ref="DY203" si="3187">IF(AS203="","","|n"&amp;DY$2&amp;"+"&amp;AS203&amp;DY$1)</f>
        <v/>
      </c>
      <c r="DZ203" s="72" t="str">
        <f t="shared" ref="DZ203" si="3188">IF(AT203="","","|n"&amp;DZ$2&amp;"+"&amp;AT203&amp;DZ$1)</f>
        <v/>
      </c>
      <c r="EA203" s="72" t="str">
        <f t="shared" ref="EA203" si="3189">IF(AU203="","","|n"&amp;EA$2&amp;"+"&amp;AU203&amp;EA$1)</f>
        <v/>
      </c>
      <c r="EB203" s="72" t="str">
        <f t="shared" ref="EB203" si="3190">IF(AV203="","","|n"&amp;EB$2&amp;"+"&amp;AV203&amp;EB$1)</f>
        <v/>
      </c>
      <c r="EC203" s="72" t="str">
        <f t="shared" ref="EC203" si="3191">IF(AW203="","","|n"&amp;EC$2&amp;"+"&amp;AW203&amp;EC$1)</f>
        <v/>
      </c>
      <c r="ED203" s="72" t="str">
        <f t="shared" ref="ED203" si="3192">IF(AX203="","","|n"&amp;ED$2&amp;"+"&amp;AX203&amp;ED$1)</f>
        <v/>
      </c>
      <c r="EE203" s="72" t="str">
        <f t="shared" ref="EE203" si="3193">IF(AY203="","","|n"&amp;EE$2&amp;"+"&amp;AY203&amp;EE$1)</f>
        <v/>
      </c>
      <c r="EF203" s="72" t="str">
        <f t="shared" ref="EF203" si="3194">IF(AZ203="","","|n"&amp;EF$2&amp;"+"&amp;AZ203&amp;EF$1)</f>
        <v/>
      </c>
      <c r="EG203" s="72" t="str">
        <f t="shared" ref="EG203" si="3195">IF(BA203="","","|n"&amp;EG$2&amp;"+"&amp;BA203&amp;EG$1)</f>
        <v/>
      </c>
      <c r="EH203" s="72" t="str">
        <f t="shared" ref="EH203" si="3196">IF(BB203="","","|n"&amp;EH$2&amp;"+"&amp;BB203&amp;EH$1)</f>
        <v/>
      </c>
      <c r="EI203" s="72" t="str">
        <f t="shared" ref="EI203" si="3197">IF(BC203="","","|n"&amp;EI$2&amp;"+"&amp;BC203&amp;EI$1)</f>
        <v/>
      </c>
      <c r="EJ203" s="72" t="str">
        <f t="shared" ref="EJ203" si="3198">IF(BD203="","","|n"&amp;EJ$2&amp;"+"&amp;BD203&amp;EJ$1)</f>
        <v/>
      </c>
      <c r="EK203" s="72" t="str">
        <f t="shared" ref="EK203" si="3199">IF(BE203="","","|n"&amp;EK$2&amp;"+"&amp;BE203&amp;EK$1)</f>
        <v/>
      </c>
      <c r="EL203" s="72" t="str">
        <f t="shared" ref="EL203" si="3200">IF(BF203="","","|n"&amp;EL$2&amp;"+"&amp;BF203&amp;EL$1)</f>
        <v/>
      </c>
      <c r="EM203" s="72" t="str">
        <f t="shared" ref="EM203" si="3201">IF(BG203="","","|n"&amp;EM$2&amp;"+"&amp;BG203&amp;EM$1)</f>
        <v/>
      </c>
      <c r="EN203" s="72" t="str">
        <f t="shared" ref="EN203" si="3202">IF(BH203="","","|n"&amp;EN$2&amp;"+"&amp;BH203&amp;EN$1)</f>
        <v/>
      </c>
      <c r="EO203" s="72" t="str">
        <f t="shared" ref="EO203" si="3203">IF(BI203="","","|n"&amp;EO$2&amp;"+"&amp;BI203&amp;EO$1)</f>
        <v/>
      </c>
      <c r="EP203" s="72" t="str">
        <f t="shared" ref="EP203" si="3204">IF(BJ203="","","|n"&amp;EP$2&amp;"+"&amp;BJ203&amp;EP$1)</f>
        <v/>
      </c>
      <c r="EQ203" s="72" t="str">
        <f t="shared" ref="EQ203" si="3205">IF(BK203="","","|n"&amp;EQ$2&amp;"+"&amp;BK203&amp;EQ$1)</f>
        <v/>
      </c>
      <c r="ER203" s="72" t="str">
        <f t="shared" ref="ER203" si="3206">IF(BL203="","","|n"&amp;ER$2&amp;"+"&amp;BL203&amp;ER$1)</f>
        <v/>
      </c>
      <c r="ES203" s="72" t="str">
        <f t="shared" ref="ES203" si="3207">IF(BM203="","","|n"&amp;ES$2&amp;"+"&amp;BM203&amp;ES$1)</f>
        <v/>
      </c>
      <c r="ET203" s="72" t="str">
        <f t="shared" ref="ET203" si="3208">IF(BN203="","","|n"&amp;ET$2&amp;"+"&amp;BN203&amp;ET$1)</f>
        <v/>
      </c>
      <c r="EU203" s="72" t="str">
        <f t="shared" ref="EU203" si="3209">IF(BO203="","","|n"&amp;EU$2&amp;"+"&amp;BO203&amp;EU$1)</f>
        <v/>
      </c>
      <c r="EV203" s="72" t="str">
        <f t="shared" ref="EV203" si="3210">IF(BP203="","","|n"&amp;EV$2&amp;"+"&amp;BP203&amp;EV$1)</f>
        <v/>
      </c>
      <c r="EW203" s="72" t="str">
        <f t="shared" ref="EW203" si="3211">IF(BQ203="","","|n"&amp;EW$2&amp;"+"&amp;BQ203&amp;EW$1)</f>
        <v/>
      </c>
      <c r="EX203" s="72" t="str">
        <f t="shared" ref="EX203" si="3212">IF(BR203="","","|n"&amp;EX$2&amp;"+"&amp;BR203&amp;EX$1)</f>
        <v/>
      </c>
      <c r="EY203" s="72" t="str">
        <f t="shared" ref="EY203" si="3213">IF(BS203="","","|n"&amp;EY$2&amp;"+"&amp;BS203&amp;EY$1)</f>
        <v/>
      </c>
      <c r="EZ203" s="72" t="str">
        <f t="shared" ref="EZ203" si="3214">IF(BT203="","","|n"&amp;EZ$2&amp;"+"&amp;BT203&amp;EZ$1)</f>
        <v/>
      </c>
      <c r="FA203" s="72" t="str">
        <f t="shared" ref="FA203" si="3215">IF(BU203="","","|n"&amp;FA$2&amp;"+"&amp;BU203&amp;FA$1)</f>
        <v/>
      </c>
      <c r="FB203" s="72" t="str">
        <f t="shared" ref="FB203" si="3216">IF(BV203="","","|n"&amp;FB$2&amp;"+"&amp;BV203&amp;FB$1)</f>
        <v/>
      </c>
      <c r="FC203" s="72" t="str">
        <f t="shared" ref="FC203" si="3217">IF(BW203="","","|n"&amp;FC$2&amp;"+"&amp;BW203&amp;FC$1)</f>
        <v/>
      </c>
      <c r="FD203" s="72" t="str">
        <f t="shared" ref="FD203" si="3218">IF(BX203="","","|n"&amp;FD$2&amp;"+"&amp;BX203&amp;FD$1)</f>
        <v/>
      </c>
      <c r="FE203" s="72" t="str">
        <f t="shared" ref="FE203" si="3219">IF(BY203="","","|n"&amp;FE$2&amp;"+"&amp;BY203&amp;FE$1)</f>
        <v/>
      </c>
      <c r="FF203" s="72" t="str">
        <f t="shared" ref="FF203" si="3220">IF(BZ203="","","|n"&amp;FF$2&amp;"+"&amp;BZ203&amp;FF$1)</f>
        <v/>
      </c>
      <c r="FG203" s="72" t="str">
        <f t="shared" ref="FG203" si="3221">IF(CA203="","","|n"&amp;FG$2&amp;"+"&amp;CA203&amp;FG$1)</f>
        <v/>
      </c>
      <c r="FH203" s="72" t="str">
        <f t="shared" ref="FH203" si="3222">IF(CB203="","","|n"&amp;FH$2&amp;"+"&amp;CB203&amp;FH$1)</f>
        <v/>
      </c>
      <c r="FI203" s="72" t="str">
        <f t="shared" ref="FI203" si="3223">IF(CC203="","","|n"&amp;FI$2&amp;"+"&amp;CC203&amp;FI$1)</f>
        <v/>
      </c>
      <c r="FJ203" s="72" t="str">
        <f t="shared" ref="FJ203" si="3224">IF(CD203="","","|n"&amp;FJ$2&amp;"+"&amp;CD203&amp;FJ$1)</f>
        <v/>
      </c>
      <c r="FK203" s="72" t="str">
        <f t="shared" ref="FK203" si="3225">IF(CE203="","","|n"&amp;FK$2&amp;"+"&amp;CE203&amp;FK$1)</f>
        <v/>
      </c>
      <c r="FL203" s="72" t="str">
        <f t="shared" ref="FL203" si="3226">IF(CF203="","","|n"&amp;FL$2&amp;"+"&amp;CF203&amp;FL$1)</f>
        <v/>
      </c>
      <c r="FM203" s="72" t="str">
        <f t="shared" ref="FM203" si="3227">IF(CG203="","","|n"&amp;FM$2&amp;"+"&amp;CG203&amp;FM$1)</f>
        <v/>
      </c>
      <c r="FN203" s="72" t="str">
        <f t="shared" ref="FN203" si="3228">IF(CH203="","","|n"&amp;FN$2&amp;"+"&amp;CH203&amp;FN$1)</f>
        <v/>
      </c>
      <c r="FO203" s="72" t="str">
        <f t="shared" ref="FO203" si="3229">IF(CI203="","","|n"&amp;FO$2&amp;"+"&amp;CI203&amp;FO$1)</f>
        <v/>
      </c>
      <c r="FP203" s="72" t="str">
        <f t="shared" ref="FP203" si="3230">IF(CJ203="","","|n"&amp;FP$2&amp;"+"&amp;CJ203&amp;FP$1)</f>
        <v/>
      </c>
      <c r="FQ203" s="72" t="str">
        <f t="shared" ref="FQ203" si="3231">IF(CK203="","","|n"&amp;FQ$2&amp;"+"&amp;CK203&amp;FQ$1)</f>
        <v/>
      </c>
      <c r="FR203" s="72" t="str">
        <f t="shared" ref="FR203" si="3232">IF(CL203="","","|n"&amp;FR$2&amp;"+"&amp;CL203&amp;FR$1)</f>
        <v/>
      </c>
      <c r="FS203" s="72" t="str">
        <f t="shared" ref="FS203" si="3233">IF(CM203="","","|n"&amp;FS$2&amp;"+"&amp;CM203&amp;FS$1)</f>
        <v/>
      </c>
    </row>
    <row r="204" spans="1:175" ht="15">
      <c r="A204" s="81"/>
      <c r="B204" s="104" t="s">
        <v>723</v>
      </c>
      <c r="C204" s="81"/>
      <c r="T204" s="123" t="s">
        <v>719</v>
      </c>
      <c r="U204" s="88" t="str">
        <f t="shared" si="3157"/>
        <v>ReplaceableTextures\\CommandButtons\\BTNIZ0D.blp</v>
      </c>
      <c r="CN204" s="70" t="str">
        <f t="shared" si="3158"/>
        <v>InitUnitState('IZ0D',,,,,,,,,,)</v>
      </c>
      <c r="CO204" s="70" t="str">
        <f t="shared" si="3159"/>
        <v>InitUnitNormal('IZ0D',,,,,,,,,,)</v>
      </c>
      <c r="CP204" s="70" t="str">
        <f t="shared" si="3160"/>
        <v>InitUnitMagic('IZ0D',,,,,,,,,,)</v>
      </c>
      <c r="CQ204" s="70" t="str">
        <f t="shared" si="3161"/>
        <v>InitUnitAdd('IZ0D',,,,,,,,,,)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210&amp;CR$1&amp;")"</f>
        <v>InitEquipData('IZ0D',,"",,,,,'','','','','','',"ReplaceableTextures\\CommandButtons\\BTN020.blp")</v>
      </c>
      <c r="CU204" s="98" t="str">
        <f t="shared" si="3162"/>
        <v>|n</v>
      </c>
      <c r="CV204" s="71" t="str">
        <f t="shared" si="3163"/>
        <v>延缓敌军2分钟进攻时间。|n|n|Cff999999狗策划一直不想做这个功能，你们就省着点用吧~（逃|r</v>
      </c>
      <c r="CW204" s="61"/>
      <c r="CX204" s="61"/>
      <c r="CY204" s="61"/>
      <c r="CZ204" s="61"/>
      <c r="DA204" s="61"/>
      <c r="DB204" s="72" t="str">
        <f t="shared" ref="DB204:FM204" si="3234">IF(V204="","","|n"&amp;DB$2&amp;"+"&amp;V204&amp;DB$1)</f>
        <v/>
      </c>
      <c r="DC204" s="72" t="str">
        <f t="shared" si="3234"/>
        <v/>
      </c>
      <c r="DD204" s="72" t="str">
        <f t="shared" si="3234"/>
        <v/>
      </c>
      <c r="DE204" s="72" t="str">
        <f t="shared" si="3234"/>
        <v/>
      </c>
      <c r="DF204" s="72" t="str">
        <f t="shared" si="3234"/>
        <v/>
      </c>
      <c r="DG204" s="72" t="str">
        <f t="shared" si="3234"/>
        <v/>
      </c>
      <c r="DH204" s="72" t="str">
        <f t="shared" si="3234"/>
        <v/>
      </c>
      <c r="DI204" s="72" t="str">
        <f t="shared" si="3234"/>
        <v/>
      </c>
      <c r="DJ204" s="72" t="str">
        <f t="shared" si="3234"/>
        <v/>
      </c>
      <c r="DK204" s="72" t="str">
        <f t="shared" si="3234"/>
        <v/>
      </c>
      <c r="DL204" s="72" t="str">
        <f t="shared" si="3234"/>
        <v/>
      </c>
      <c r="DM204" s="72" t="str">
        <f t="shared" si="3234"/>
        <v/>
      </c>
      <c r="DN204" s="72" t="str">
        <f t="shared" si="3234"/>
        <v/>
      </c>
      <c r="DO204" s="72" t="str">
        <f t="shared" si="3234"/>
        <v/>
      </c>
      <c r="DP204" s="72" t="str">
        <f t="shared" si="3234"/>
        <v/>
      </c>
      <c r="DQ204" s="72" t="str">
        <f t="shared" si="3234"/>
        <v/>
      </c>
      <c r="DR204" s="72" t="str">
        <f t="shared" si="3234"/>
        <v/>
      </c>
      <c r="DS204" s="72" t="str">
        <f t="shared" si="3234"/>
        <v/>
      </c>
      <c r="DT204" s="72" t="str">
        <f t="shared" si="3234"/>
        <v/>
      </c>
      <c r="DU204" s="72" t="str">
        <f t="shared" si="3234"/>
        <v/>
      </c>
      <c r="DV204" s="72" t="str">
        <f t="shared" si="3234"/>
        <v/>
      </c>
      <c r="DW204" s="72" t="str">
        <f t="shared" si="3234"/>
        <v/>
      </c>
      <c r="DX204" s="72" t="str">
        <f t="shared" si="3234"/>
        <v/>
      </c>
      <c r="DY204" s="72" t="str">
        <f t="shared" si="3234"/>
        <v/>
      </c>
      <c r="DZ204" s="72" t="str">
        <f t="shared" si="3234"/>
        <v/>
      </c>
      <c r="EA204" s="72" t="str">
        <f t="shared" si="3234"/>
        <v/>
      </c>
      <c r="EB204" s="72" t="str">
        <f t="shared" si="3234"/>
        <v/>
      </c>
      <c r="EC204" s="72" t="str">
        <f t="shared" si="3234"/>
        <v/>
      </c>
      <c r="ED204" s="72" t="str">
        <f t="shared" si="3234"/>
        <v/>
      </c>
      <c r="EE204" s="72" t="str">
        <f t="shared" si="3234"/>
        <v/>
      </c>
      <c r="EF204" s="72" t="str">
        <f t="shared" si="3234"/>
        <v/>
      </c>
      <c r="EG204" s="72" t="str">
        <f t="shared" si="3234"/>
        <v/>
      </c>
      <c r="EH204" s="72" t="str">
        <f t="shared" si="3234"/>
        <v/>
      </c>
      <c r="EI204" s="72" t="str">
        <f t="shared" si="3234"/>
        <v/>
      </c>
      <c r="EJ204" s="72" t="str">
        <f t="shared" si="3234"/>
        <v/>
      </c>
      <c r="EK204" s="72" t="str">
        <f t="shared" si="3234"/>
        <v/>
      </c>
      <c r="EL204" s="72" t="str">
        <f t="shared" si="3234"/>
        <v/>
      </c>
      <c r="EM204" s="72" t="str">
        <f t="shared" si="3234"/>
        <v/>
      </c>
      <c r="EN204" s="72" t="str">
        <f t="shared" si="3234"/>
        <v/>
      </c>
      <c r="EO204" s="72" t="str">
        <f t="shared" si="3234"/>
        <v/>
      </c>
      <c r="EP204" s="72" t="str">
        <f t="shared" si="3234"/>
        <v/>
      </c>
      <c r="EQ204" s="72" t="str">
        <f t="shared" si="3234"/>
        <v/>
      </c>
      <c r="ER204" s="72" t="str">
        <f t="shared" si="3234"/>
        <v/>
      </c>
      <c r="ES204" s="72" t="str">
        <f t="shared" si="3234"/>
        <v/>
      </c>
      <c r="ET204" s="72" t="str">
        <f t="shared" si="3234"/>
        <v/>
      </c>
      <c r="EU204" s="72" t="str">
        <f t="shared" si="3234"/>
        <v/>
      </c>
      <c r="EV204" s="72" t="str">
        <f t="shared" si="3234"/>
        <v/>
      </c>
      <c r="EW204" s="72" t="str">
        <f t="shared" si="3234"/>
        <v/>
      </c>
      <c r="EX204" s="72" t="str">
        <f t="shared" si="3234"/>
        <v/>
      </c>
      <c r="EY204" s="72" t="str">
        <f t="shared" si="3234"/>
        <v/>
      </c>
      <c r="EZ204" s="72" t="str">
        <f t="shared" si="3234"/>
        <v/>
      </c>
      <c r="FA204" s="72" t="str">
        <f t="shared" si="3234"/>
        <v/>
      </c>
      <c r="FB204" s="72" t="str">
        <f t="shared" si="3234"/>
        <v/>
      </c>
      <c r="FC204" s="72" t="str">
        <f t="shared" si="3234"/>
        <v/>
      </c>
      <c r="FD204" s="72" t="str">
        <f t="shared" si="3234"/>
        <v/>
      </c>
      <c r="FE204" s="72" t="str">
        <f t="shared" si="3234"/>
        <v/>
      </c>
      <c r="FF204" s="72" t="str">
        <f t="shared" si="3234"/>
        <v/>
      </c>
      <c r="FG204" s="72" t="str">
        <f t="shared" si="3234"/>
        <v/>
      </c>
      <c r="FH204" s="72" t="str">
        <f t="shared" si="3234"/>
        <v/>
      </c>
      <c r="FI204" s="72" t="str">
        <f t="shared" si="3234"/>
        <v/>
      </c>
      <c r="FJ204" s="72" t="str">
        <f t="shared" si="3234"/>
        <v/>
      </c>
      <c r="FK204" s="72" t="str">
        <f t="shared" si="3234"/>
        <v/>
      </c>
      <c r="FL204" s="72" t="str">
        <f t="shared" si="3234"/>
        <v/>
      </c>
      <c r="FM204" s="72" t="str">
        <f t="shared" si="3234"/>
        <v/>
      </c>
      <c r="FN204" s="72" t="str">
        <f t="shared" ref="FN204:FS204" si="3235">IF(CH204="","","|n"&amp;FN$2&amp;"+"&amp;CH204&amp;FN$1)</f>
        <v/>
      </c>
      <c r="FO204" s="72" t="str">
        <f t="shared" si="3235"/>
        <v/>
      </c>
      <c r="FP204" s="72" t="str">
        <f t="shared" si="3235"/>
        <v/>
      </c>
      <c r="FQ204" s="72" t="str">
        <f t="shared" si="3235"/>
        <v/>
      </c>
      <c r="FR204" s="72" t="str">
        <f t="shared" si="3235"/>
        <v/>
      </c>
      <c r="FS204" s="72" t="str">
        <f t="shared" si="3235"/>
        <v/>
      </c>
    </row>
    <row r="205" spans="1:175" ht="15">
      <c r="A205" s="81"/>
      <c r="B205" s="104" t="s">
        <v>724</v>
      </c>
      <c r="C205" s="81"/>
      <c r="T205" s="123" t="s">
        <v>719</v>
      </c>
      <c r="U205" s="88" t="str">
        <f t="shared" si="3157"/>
        <v>ReplaceableTextures\\CommandButtons\\BTNIZ0E.blp</v>
      </c>
      <c r="CN205" s="70" t="str">
        <f t="shared" si="3158"/>
        <v>InitUnitState('IZ0E',,,,,,,,,,)</v>
      </c>
      <c r="CO205" s="70" t="str">
        <f t="shared" si="3159"/>
        <v>InitUnitNormal('IZ0E',,,,,,,,,,)</v>
      </c>
      <c r="CP205" s="70" t="str">
        <f t="shared" si="3160"/>
        <v>InitUnitMagic('IZ0E',,,,,,,,,,)</v>
      </c>
      <c r="CQ205" s="70" t="str">
        <f t="shared" si="3161"/>
        <v>InitUnitAdd('IZ0E',,,,,,,,,,)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211&amp;CR$1&amp;")"</f>
        <v>InitEquipData('IZ0E',,"",,,,,'','','','','','',"ReplaceableTextures\\CommandButtons\\BTN001.blp")</v>
      </c>
      <c r="CU205" s="98" t="str">
        <f t="shared" si="3162"/>
        <v>|n</v>
      </c>
      <c r="CV205" s="71" t="str">
        <f t="shared" si="3163"/>
        <v>延缓敌军2分钟进攻时间。|n|n|Cff999999狗策划一直不想做这个功能，你们就省着点用吧~（逃|r</v>
      </c>
      <c r="CW205" s="61"/>
      <c r="CX205" s="61"/>
      <c r="CY205" s="61"/>
      <c r="CZ205" s="61"/>
      <c r="DA205" s="61"/>
      <c r="DB205" s="72" t="str">
        <f t="shared" ref="DB205:FM205" si="3236">IF(V205="","","|n"&amp;DB$2&amp;"+"&amp;V205&amp;DB$1)</f>
        <v/>
      </c>
      <c r="DC205" s="72" t="str">
        <f t="shared" si="3236"/>
        <v/>
      </c>
      <c r="DD205" s="72" t="str">
        <f t="shared" si="3236"/>
        <v/>
      </c>
      <c r="DE205" s="72" t="str">
        <f t="shared" si="3236"/>
        <v/>
      </c>
      <c r="DF205" s="72" t="str">
        <f t="shared" si="3236"/>
        <v/>
      </c>
      <c r="DG205" s="72" t="str">
        <f t="shared" si="3236"/>
        <v/>
      </c>
      <c r="DH205" s="72" t="str">
        <f t="shared" si="3236"/>
        <v/>
      </c>
      <c r="DI205" s="72" t="str">
        <f t="shared" si="3236"/>
        <v/>
      </c>
      <c r="DJ205" s="72" t="str">
        <f t="shared" si="3236"/>
        <v/>
      </c>
      <c r="DK205" s="72" t="str">
        <f t="shared" si="3236"/>
        <v/>
      </c>
      <c r="DL205" s="72" t="str">
        <f t="shared" si="3236"/>
        <v/>
      </c>
      <c r="DM205" s="72" t="str">
        <f t="shared" si="3236"/>
        <v/>
      </c>
      <c r="DN205" s="72" t="str">
        <f t="shared" si="3236"/>
        <v/>
      </c>
      <c r="DO205" s="72" t="str">
        <f t="shared" si="3236"/>
        <v/>
      </c>
      <c r="DP205" s="72" t="str">
        <f t="shared" si="3236"/>
        <v/>
      </c>
      <c r="DQ205" s="72" t="str">
        <f t="shared" si="3236"/>
        <v/>
      </c>
      <c r="DR205" s="72" t="str">
        <f t="shared" si="3236"/>
        <v/>
      </c>
      <c r="DS205" s="72" t="str">
        <f t="shared" si="3236"/>
        <v/>
      </c>
      <c r="DT205" s="72" t="str">
        <f t="shared" si="3236"/>
        <v/>
      </c>
      <c r="DU205" s="72" t="str">
        <f t="shared" si="3236"/>
        <v/>
      </c>
      <c r="DV205" s="72" t="str">
        <f t="shared" si="3236"/>
        <v/>
      </c>
      <c r="DW205" s="72" t="str">
        <f t="shared" si="3236"/>
        <v/>
      </c>
      <c r="DX205" s="72" t="str">
        <f t="shared" si="3236"/>
        <v/>
      </c>
      <c r="DY205" s="72" t="str">
        <f t="shared" si="3236"/>
        <v/>
      </c>
      <c r="DZ205" s="72" t="str">
        <f t="shared" si="3236"/>
        <v/>
      </c>
      <c r="EA205" s="72" t="str">
        <f t="shared" si="3236"/>
        <v/>
      </c>
      <c r="EB205" s="72" t="str">
        <f t="shared" si="3236"/>
        <v/>
      </c>
      <c r="EC205" s="72" t="str">
        <f t="shared" si="3236"/>
        <v/>
      </c>
      <c r="ED205" s="72" t="str">
        <f t="shared" si="3236"/>
        <v/>
      </c>
      <c r="EE205" s="72" t="str">
        <f t="shared" si="3236"/>
        <v/>
      </c>
      <c r="EF205" s="72" t="str">
        <f t="shared" si="3236"/>
        <v/>
      </c>
      <c r="EG205" s="72" t="str">
        <f t="shared" si="3236"/>
        <v/>
      </c>
      <c r="EH205" s="72" t="str">
        <f t="shared" si="3236"/>
        <v/>
      </c>
      <c r="EI205" s="72" t="str">
        <f t="shared" si="3236"/>
        <v/>
      </c>
      <c r="EJ205" s="72" t="str">
        <f t="shared" si="3236"/>
        <v/>
      </c>
      <c r="EK205" s="72" t="str">
        <f t="shared" si="3236"/>
        <v/>
      </c>
      <c r="EL205" s="72" t="str">
        <f t="shared" si="3236"/>
        <v/>
      </c>
      <c r="EM205" s="72" t="str">
        <f t="shared" si="3236"/>
        <v/>
      </c>
      <c r="EN205" s="72" t="str">
        <f t="shared" si="3236"/>
        <v/>
      </c>
      <c r="EO205" s="72" t="str">
        <f t="shared" si="3236"/>
        <v/>
      </c>
      <c r="EP205" s="72" t="str">
        <f t="shared" si="3236"/>
        <v/>
      </c>
      <c r="EQ205" s="72" t="str">
        <f t="shared" si="3236"/>
        <v/>
      </c>
      <c r="ER205" s="72" t="str">
        <f t="shared" si="3236"/>
        <v/>
      </c>
      <c r="ES205" s="72" t="str">
        <f t="shared" si="3236"/>
        <v/>
      </c>
      <c r="ET205" s="72" t="str">
        <f t="shared" si="3236"/>
        <v/>
      </c>
      <c r="EU205" s="72" t="str">
        <f t="shared" si="3236"/>
        <v/>
      </c>
      <c r="EV205" s="72" t="str">
        <f t="shared" si="3236"/>
        <v/>
      </c>
      <c r="EW205" s="72" t="str">
        <f t="shared" si="3236"/>
        <v/>
      </c>
      <c r="EX205" s="72" t="str">
        <f t="shared" si="3236"/>
        <v/>
      </c>
      <c r="EY205" s="72" t="str">
        <f t="shared" si="3236"/>
        <v/>
      </c>
      <c r="EZ205" s="72" t="str">
        <f t="shared" si="3236"/>
        <v/>
      </c>
      <c r="FA205" s="72" t="str">
        <f t="shared" si="3236"/>
        <v/>
      </c>
      <c r="FB205" s="72" t="str">
        <f t="shared" si="3236"/>
        <v/>
      </c>
      <c r="FC205" s="72" t="str">
        <f t="shared" si="3236"/>
        <v/>
      </c>
      <c r="FD205" s="72" t="str">
        <f t="shared" si="3236"/>
        <v/>
      </c>
      <c r="FE205" s="72" t="str">
        <f t="shared" si="3236"/>
        <v/>
      </c>
      <c r="FF205" s="72" t="str">
        <f t="shared" si="3236"/>
        <v/>
      </c>
      <c r="FG205" s="72" t="str">
        <f t="shared" si="3236"/>
        <v/>
      </c>
      <c r="FH205" s="72" t="str">
        <f t="shared" si="3236"/>
        <v/>
      </c>
      <c r="FI205" s="72" t="str">
        <f t="shared" si="3236"/>
        <v/>
      </c>
      <c r="FJ205" s="72" t="str">
        <f t="shared" si="3236"/>
        <v/>
      </c>
      <c r="FK205" s="72" t="str">
        <f t="shared" si="3236"/>
        <v/>
      </c>
      <c r="FL205" s="72" t="str">
        <f t="shared" si="3236"/>
        <v/>
      </c>
      <c r="FM205" s="72" t="str">
        <f t="shared" si="3236"/>
        <v/>
      </c>
      <c r="FN205" s="72" t="str">
        <f t="shared" ref="FN205:FS205" si="3237">IF(CH205="","","|n"&amp;FN$2&amp;"+"&amp;CH205&amp;FN$1)</f>
        <v/>
      </c>
      <c r="FO205" s="72" t="str">
        <f t="shared" si="3237"/>
        <v/>
      </c>
      <c r="FP205" s="72" t="str">
        <f t="shared" si="3237"/>
        <v/>
      </c>
      <c r="FQ205" s="72" t="str">
        <f t="shared" si="3237"/>
        <v/>
      </c>
      <c r="FR205" s="72" t="str">
        <f t="shared" si="3237"/>
        <v/>
      </c>
      <c r="FS205" s="72" t="str">
        <f t="shared" si="3237"/>
        <v/>
      </c>
    </row>
    <row r="206" spans="1:175" ht="15">
      <c r="A206" s="81"/>
      <c r="B206" s="104" t="s">
        <v>725</v>
      </c>
      <c r="C206" s="81"/>
      <c r="T206" s="123" t="s">
        <v>719</v>
      </c>
      <c r="U206" s="88" t="str">
        <f t="shared" si="3157"/>
        <v>ReplaceableTextures\\CommandButtons\\BTNIZ0F.blp</v>
      </c>
      <c r="CN206" s="70" t="str">
        <f t="shared" si="3158"/>
        <v>InitUnitState('IZ0F',,,,,,,,,,)</v>
      </c>
      <c r="CO206" s="70" t="str">
        <f t="shared" si="3159"/>
        <v>InitUnitNormal('IZ0F',,,,,,,,,,)</v>
      </c>
      <c r="CP206" s="70" t="str">
        <f t="shared" si="3160"/>
        <v>InitUnitMagic('IZ0F',,,,,,,,,,)</v>
      </c>
      <c r="CQ206" s="70" t="str">
        <f t="shared" si="3161"/>
        <v>InitUnitAdd('IZ0F',,,,,,,,,,)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215&amp;CR$1&amp;")"</f>
        <v>InitEquipData('IZ0F',,"",,,,,'','','','','','',"ReplaceableTextures\\CommandButtons\\BTNIN01.blp")</v>
      </c>
      <c r="CU206" s="98" t="str">
        <f t="shared" si="3162"/>
        <v>|n</v>
      </c>
      <c r="CV206" s="71" t="str">
        <f t="shared" si="3163"/>
        <v>延缓敌军2分钟进攻时间。|n|n|Cff999999狗策划一直不想做这个功能，你们就省着点用吧~（逃|r</v>
      </c>
      <c r="CW206" s="61"/>
      <c r="CX206" s="61"/>
      <c r="CY206" s="61"/>
      <c r="CZ206" s="61"/>
      <c r="DA206" s="61"/>
      <c r="DB206" s="72" t="str">
        <f t="shared" ref="DB206:FM206" si="3238">IF(V206="","","|n"&amp;DB$2&amp;"+"&amp;V206&amp;DB$1)</f>
        <v/>
      </c>
      <c r="DC206" s="72" t="str">
        <f t="shared" si="3238"/>
        <v/>
      </c>
      <c r="DD206" s="72" t="str">
        <f t="shared" si="3238"/>
        <v/>
      </c>
      <c r="DE206" s="72" t="str">
        <f t="shared" si="3238"/>
        <v/>
      </c>
      <c r="DF206" s="72" t="str">
        <f t="shared" si="3238"/>
        <v/>
      </c>
      <c r="DG206" s="72" t="str">
        <f t="shared" si="3238"/>
        <v/>
      </c>
      <c r="DH206" s="72" t="str">
        <f t="shared" si="3238"/>
        <v/>
      </c>
      <c r="DI206" s="72" t="str">
        <f t="shared" si="3238"/>
        <v/>
      </c>
      <c r="DJ206" s="72" t="str">
        <f t="shared" si="3238"/>
        <v/>
      </c>
      <c r="DK206" s="72" t="str">
        <f t="shared" si="3238"/>
        <v/>
      </c>
      <c r="DL206" s="72" t="str">
        <f t="shared" si="3238"/>
        <v/>
      </c>
      <c r="DM206" s="72" t="str">
        <f t="shared" si="3238"/>
        <v/>
      </c>
      <c r="DN206" s="72" t="str">
        <f t="shared" si="3238"/>
        <v/>
      </c>
      <c r="DO206" s="72" t="str">
        <f t="shared" si="3238"/>
        <v/>
      </c>
      <c r="DP206" s="72" t="str">
        <f t="shared" si="3238"/>
        <v/>
      </c>
      <c r="DQ206" s="72" t="str">
        <f t="shared" si="3238"/>
        <v/>
      </c>
      <c r="DR206" s="72" t="str">
        <f t="shared" si="3238"/>
        <v/>
      </c>
      <c r="DS206" s="72" t="str">
        <f t="shared" si="3238"/>
        <v/>
      </c>
      <c r="DT206" s="72" t="str">
        <f t="shared" si="3238"/>
        <v/>
      </c>
      <c r="DU206" s="72" t="str">
        <f t="shared" si="3238"/>
        <v/>
      </c>
      <c r="DV206" s="72" t="str">
        <f t="shared" si="3238"/>
        <v/>
      </c>
      <c r="DW206" s="72" t="str">
        <f t="shared" si="3238"/>
        <v/>
      </c>
      <c r="DX206" s="72" t="str">
        <f t="shared" si="3238"/>
        <v/>
      </c>
      <c r="DY206" s="72" t="str">
        <f t="shared" si="3238"/>
        <v/>
      </c>
      <c r="DZ206" s="72" t="str">
        <f t="shared" si="3238"/>
        <v/>
      </c>
      <c r="EA206" s="72" t="str">
        <f t="shared" si="3238"/>
        <v/>
      </c>
      <c r="EB206" s="72" t="str">
        <f t="shared" si="3238"/>
        <v/>
      </c>
      <c r="EC206" s="72" t="str">
        <f t="shared" si="3238"/>
        <v/>
      </c>
      <c r="ED206" s="72" t="str">
        <f t="shared" si="3238"/>
        <v/>
      </c>
      <c r="EE206" s="72" t="str">
        <f t="shared" si="3238"/>
        <v/>
      </c>
      <c r="EF206" s="72" t="str">
        <f t="shared" si="3238"/>
        <v/>
      </c>
      <c r="EG206" s="72" t="str">
        <f t="shared" si="3238"/>
        <v/>
      </c>
      <c r="EH206" s="72" t="str">
        <f t="shared" si="3238"/>
        <v/>
      </c>
      <c r="EI206" s="72" t="str">
        <f t="shared" si="3238"/>
        <v/>
      </c>
      <c r="EJ206" s="72" t="str">
        <f t="shared" si="3238"/>
        <v/>
      </c>
      <c r="EK206" s="72" t="str">
        <f t="shared" si="3238"/>
        <v/>
      </c>
      <c r="EL206" s="72" t="str">
        <f t="shared" si="3238"/>
        <v/>
      </c>
      <c r="EM206" s="72" t="str">
        <f t="shared" si="3238"/>
        <v/>
      </c>
      <c r="EN206" s="72" t="str">
        <f t="shared" si="3238"/>
        <v/>
      </c>
      <c r="EO206" s="72" t="str">
        <f t="shared" si="3238"/>
        <v/>
      </c>
      <c r="EP206" s="72" t="str">
        <f t="shared" si="3238"/>
        <v/>
      </c>
      <c r="EQ206" s="72" t="str">
        <f t="shared" si="3238"/>
        <v/>
      </c>
      <c r="ER206" s="72" t="str">
        <f t="shared" si="3238"/>
        <v/>
      </c>
      <c r="ES206" s="72" t="str">
        <f t="shared" si="3238"/>
        <v/>
      </c>
      <c r="ET206" s="72" t="str">
        <f t="shared" si="3238"/>
        <v/>
      </c>
      <c r="EU206" s="72" t="str">
        <f t="shared" si="3238"/>
        <v/>
      </c>
      <c r="EV206" s="72" t="str">
        <f t="shared" si="3238"/>
        <v/>
      </c>
      <c r="EW206" s="72" t="str">
        <f t="shared" si="3238"/>
        <v/>
      </c>
      <c r="EX206" s="72" t="str">
        <f t="shared" si="3238"/>
        <v/>
      </c>
      <c r="EY206" s="72" t="str">
        <f t="shared" si="3238"/>
        <v/>
      </c>
      <c r="EZ206" s="72" t="str">
        <f t="shared" si="3238"/>
        <v/>
      </c>
      <c r="FA206" s="72" t="str">
        <f t="shared" si="3238"/>
        <v/>
      </c>
      <c r="FB206" s="72" t="str">
        <f t="shared" si="3238"/>
        <v/>
      </c>
      <c r="FC206" s="72" t="str">
        <f t="shared" si="3238"/>
        <v/>
      </c>
      <c r="FD206" s="72" t="str">
        <f t="shared" si="3238"/>
        <v/>
      </c>
      <c r="FE206" s="72" t="str">
        <f t="shared" si="3238"/>
        <v/>
      </c>
      <c r="FF206" s="72" t="str">
        <f t="shared" si="3238"/>
        <v/>
      </c>
      <c r="FG206" s="72" t="str">
        <f t="shared" si="3238"/>
        <v/>
      </c>
      <c r="FH206" s="72" t="str">
        <f t="shared" si="3238"/>
        <v/>
      </c>
      <c r="FI206" s="72" t="str">
        <f t="shared" si="3238"/>
        <v/>
      </c>
      <c r="FJ206" s="72" t="str">
        <f t="shared" si="3238"/>
        <v/>
      </c>
      <c r="FK206" s="72" t="str">
        <f t="shared" si="3238"/>
        <v/>
      </c>
      <c r="FL206" s="72" t="str">
        <f t="shared" si="3238"/>
        <v/>
      </c>
      <c r="FM206" s="72" t="str">
        <f t="shared" si="3238"/>
        <v/>
      </c>
      <c r="FN206" s="72" t="str">
        <f t="shared" ref="FN206:FS206" si="3239">IF(CH206="","","|n"&amp;FN$2&amp;"+"&amp;CH206&amp;FN$1)</f>
        <v/>
      </c>
      <c r="FO206" s="72" t="str">
        <f t="shared" si="3239"/>
        <v/>
      </c>
      <c r="FP206" s="72" t="str">
        <f t="shared" si="3239"/>
        <v/>
      </c>
      <c r="FQ206" s="72" t="str">
        <f t="shared" si="3239"/>
        <v/>
      </c>
      <c r="FR206" s="72" t="str">
        <f t="shared" si="3239"/>
        <v/>
      </c>
      <c r="FS206" s="72" t="str">
        <f t="shared" si="3239"/>
        <v/>
      </c>
    </row>
    <row r="207" spans="1:175" ht="15">
      <c r="A207" s="81"/>
      <c r="B207" s="104" t="s">
        <v>726</v>
      </c>
      <c r="C207" s="81"/>
      <c r="T207" s="123" t="s">
        <v>719</v>
      </c>
      <c r="U207" s="88" t="str">
        <f t="shared" si="3157"/>
        <v>ReplaceableTextures\\CommandButtons\\BTNIZ0G.blp</v>
      </c>
      <c r="CN207" s="70" t="str">
        <f t="shared" si="3158"/>
        <v>InitUnitState('IZ0G',,,,,,,,,,)</v>
      </c>
      <c r="CO207" s="70" t="str">
        <f t="shared" si="3159"/>
        <v>InitUnitNormal('IZ0G',,,,,,,,,,)</v>
      </c>
      <c r="CP207" s="70" t="str">
        <f t="shared" si="3160"/>
        <v>InitUnitMagic('IZ0G',,,,,,,,,,)</v>
      </c>
      <c r="CQ207" s="70" t="str">
        <f t="shared" si="3161"/>
        <v>InitUnitAdd('IZ0G',,,,,,,,,,)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216&amp;CR$1&amp;")"</f>
        <v>InitEquipData('IZ0G',,"",,,,,'','','','','','',"ReplaceableTextures\\CommandButtons\\BTNIN02.blp")</v>
      </c>
      <c r="CU207" s="98" t="str">
        <f t="shared" si="3162"/>
        <v>|n</v>
      </c>
      <c r="CV207" s="71" t="str">
        <f t="shared" si="3163"/>
        <v>延缓敌军2分钟进攻时间。|n|n|Cff999999狗策划一直不想做这个功能，你们就省着点用吧~（逃|r</v>
      </c>
      <c r="CW207" s="61"/>
      <c r="CX207" s="61"/>
      <c r="CY207" s="61"/>
      <c r="CZ207" s="61"/>
      <c r="DA207" s="61"/>
      <c r="DB207" s="72" t="str">
        <f t="shared" ref="DB207:FM207" si="3240">IF(V207="","","|n"&amp;DB$2&amp;"+"&amp;V207&amp;DB$1)</f>
        <v/>
      </c>
      <c r="DC207" s="72" t="str">
        <f t="shared" si="3240"/>
        <v/>
      </c>
      <c r="DD207" s="72" t="str">
        <f t="shared" si="3240"/>
        <v/>
      </c>
      <c r="DE207" s="72" t="str">
        <f t="shared" si="3240"/>
        <v/>
      </c>
      <c r="DF207" s="72" t="str">
        <f t="shared" si="3240"/>
        <v/>
      </c>
      <c r="DG207" s="72" t="str">
        <f t="shared" si="3240"/>
        <v/>
      </c>
      <c r="DH207" s="72" t="str">
        <f t="shared" si="3240"/>
        <v/>
      </c>
      <c r="DI207" s="72" t="str">
        <f t="shared" si="3240"/>
        <v/>
      </c>
      <c r="DJ207" s="72" t="str">
        <f t="shared" si="3240"/>
        <v/>
      </c>
      <c r="DK207" s="72" t="str">
        <f t="shared" si="3240"/>
        <v/>
      </c>
      <c r="DL207" s="72" t="str">
        <f t="shared" si="3240"/>
        <v/>
      </c>
      <c r="DM207" s="72" t="str">
        <f t="shared" si="3240"/>
        <v/>
      </c>
      <c r="DN207" s="72" t="str">
        <f t="shared" si="3240"/>
        <v/>
      </c>
      <c r="DO207" s="72" t="str">
        <f t="shared" si="3240"/>
        <v/>
      </c>
      <c r="DP207" s="72" t="str">
        <f t="shared" si="3240"/>
        <v/>
      </c>
      <c r="DQ207" s="72" t="str">
        <f t="shared" si="3240"/>
        <v/>
      </c>
      <c r="DR207" s="72" t="str">
        <f t="shared" si="3240"/>
        <v/>
      </c>
      <c r="DS207" s="72" t="str">
        <f t="shared" si="3240"/>
        <v/>
      </c>
      <c r="DT207" s="72" t="str">
        <f t="shared" si="3240"/>
        <v/>
      </c>
      <c r="DU207" s="72" t="str">
        <f t="shared" si="3240"/>
        <v/>
      </c>
      <c r="DV207" s="72" t="str">
        <f t="shared" si="3240"/>
        <v/>
      </c>
      <c r="DW207" s="72" t="str">
        <f t="shared" si="3240"/>
        <v/>
      </c>
      <c r="DX207" s="72" t="str">
        <f t="shared" si="3240"/>
        <v/>
      </c>
      <c r="DY207" s="72" t="str">
        <f t="shared" si="3240"/>
        <v/>
      </c>
      <c r="DZ207" s="72" t="str">
        <f t="shared" si="3240"/>
        <v/>
      </c>
      <c r="EA207" s="72" t="str">
        <f t="shared" si="3240"/>
        <v/>
      </c>
      <c r="EB207" s="72" t="str">
        <f t="shared" si="3240"/>
        <v/>
      </c>
      <c r="EC207" s="72" t="str">
        <f t="shared" si="3240"/>
        <v/>
      </c>
      <c r="ED207" s="72" t="str">
        <f t="shared" si="3240"/>
        <v/>
      </c>
      <c r="EE207" s="72" t="str">
        <f t="shared" si="3240"/>
        <v/>
      </c>
      <c r="EF207" s="72" t="str">
        <f t="shared" si="3240"/>
        <v/>
      </c>
      <c r="EG207" s="72" t="str">
        <f t="shared" si="3240"/>
        <v/>
      </c>
      <c r="EH207" s="72" t="str">
        <f t="shared" si="3240"/>
        <v/>
      </c>
      <c r="EI207" s="72" t="str">
        <f t="shared" si="3240"/>
        <v/>
      </c>
      <c r="EJ207" s="72" t="str">
        <f t="shared" si="3240"/>
        <v/>
      </c>
      <c r="EK207" s="72" t="str">
        <f t="shared" si="3240"/>
        <v/>
      </c>
      <c r="EL207" s="72" t="str">
        <f t="shared" si="3240"/>
        <v/>
      </c>
      <c r="EM207" s="72" t="str">
        <f t="shared" si="3240"/>
        <v/>
      </c>
      <c r="EN207" s="72" t="str">
        <f t="shared" si="3240"/>
        <v/>
      </c>
      <c r="EO207" s="72" t="str">
        <f t="shared" si="3240"/>
        <v/>
      </c>
      <c r="EP207" s="72" t="str">
        <f t="shared" si="3240"/>
        <v/>
      </c>
      <c r="EQ207" s="72" t="str">
        <f t="shared" si="3240"/>
        <v/>
      </c>
      <c r="ER207" s="72" t="str">
        <f t="shared" si="3240"/>
        <v/>
      </c>
      <c r="ES207" s="72" t="str">
        <f t="shared" si="3240"/>
        <v/>
      </c>
      <c r="ET207" s="72" t="str">
        <f t="shared" si="3240"/>
        <v/>
      </c>
      <c r="EU207" s="72" t="str">
        <f t="shared" si="3240"/>
        <v/>
      </c>
      <c r="EV207" s="72" t="str">
        <f t="shared" si="3240"/>
        <v/>
      </c>
      <c r="EW207" s="72" t="str">
        <f t="shared" si="3240"/>
        <v/>
      </c>
      <c r="EX207" s="72" t="str">
        <f t="shared" si="3240"/>
        <v/>
      </c>
      <c r="EY207" s="72" t="str">
        <f t="shared" si="3240"/>
        <v/>
      </c>
      <c r="EZ207" s="72" t="str">
        <f t="shared" si="3240"/>
        <v/>
      </c>
      <c r="FA207" s="72" t="str">
        <f t="shared" si="3240"/>
        <v/>
      </c>
      <c r="FB207" s="72" t="str">
        <f t="shared" si="3240"/>
        <v/>
      </c>
      <c r="FC207" s="72" t="str">
        <f t="shared" si="3240"/>
        <v/>
      </c>
      <c r="FD207" s="72" t="str">
        <f t="shared" si="3240"/>
        <v/>
      </c>
      <c r="FE207" s="72" t="str">
        <f t="shared" si="3240"/>
        <v/>
      </c>
      <c r="FF207" s="72" t="str">
        <f t="shared" si="3240"/>
        <v/>
      </c>
      <c r="FG207" s="72" t="str">
        <f t="shared" si="3240"/>
        <v/>
      </c>
      <c r="FH207" s="72" t="str">
        <f t="shared" si="3240"/>
        <v/>
      </c>
      <c r="FI207" s="72" t="str">
        <f t="shared" si="3240"/>
        <v/>
      </c>
      <c r="FJ207" s="72" t="str">
        <f t="shared" si="3240"/>
        <v/>
      </c>
      <c r="FK207" s="72" t="str">
        <f t="shared" si="3240"/>
        <v/>
      </c>
      <c r="FL207" s="72" t="str">
        <f t="shared" si="3240"/>
        <v/>
      </c>
      <c r="FM207" s="72" t="str">
        <f t="shared" si="3240"/>
        <v/>
      </c>
      <c r="FN207" s="72" t="str">
        <f t="shared" ref="FN207:FS207" si="3241">IF(CH207="","","|n"&amp;FN$2&amp;"+"&amp;CH207&amp;FN$1)</f>
        <v/>
      </c>
      <c r="FO207" s="72" t="str">
        <f t="shared" si="3241"/>
        <v/>
      </c>
      <c r="FP207" s="72" t="str">
        <f t="shared" si="3241"/>
        <v/>
      </c>
      <c r="FQ207" s="72" t="str">
        <f t="shared" si="3241"/>
        <v/>
      </c>
      <c r="FR207" s="72" t="str">
        <f t="shared" si="3241"/>
        <v/>
      </c>
      <c r="FS207" s="72" t="str">
        <f t="shared" si="3241"/>
        <v/>
      </c>
    </row>
    <row r="208" spans="1:175" ht="15">
      <c r="A208" s="81"/>
      <c r="B208" s="104" t="s">
        <v>727</v>
      </c>
      <c r="C208" s="81" t="s">
        <v>728</v>
      </c>
      <c r="T208" s="9" t="s">
        <v>729</v>
      </c>
      <c r="U208" s="88" t="str">
        <f t="shared" si="3157"/>
        <v>ReplaceableTextures\\CommandButtons\\BTNIZ01.blp</v>
      </c>
      <c r="CN208" s="70" t="str">
        <f t="shared" ref="CN208:CN225" si="3242">"InitUnitState('"&amp;B208&amp;"',"&amp;V208&amp;","&amp;W208&amp;","&amp;X208&amp;","&amp;Y208&amp;","&amp;Z208&amp;","&amp;AA208&amp;","&amp;AB208&amp;","&amp;AC208&amp;","&amp;AD208&amp;","&amp;AE208&amp;")"</f>
        <v>InitUnitState('IZ01',,,,,,,,,,)</v>
      </c>
      <c r="CO208" s="70" t="str">
        <f t="shared" ref="CO208:CO225" si="3243">"InitUnitNormal('"&amp;B208&amp;"',"&amp;AF208&amp;","&amp;AG208&amp;","&amp;AH208&amp;","&amp;AI208&amp;","&amp;AJ208&amp;","&amp;AK208&amp;","&amp;AL208&amp;","&amp;AM208&amp;","&amp;AN208&amp;","&amp;AO208&amp;")"</f>
        <v>InitUnitNormal('IZ01',,,,,,,,,,)</v>
      </c>
      <c r="CP208" s="70" t="str">
        <f t="shared" ref="CP208:CP225" si="3244">"InitUnitMagic('"&amp;B208&amp;"',"&amp;AP208&amp;","&amp;AQ208&amp;","&amp;AR208&amp;","&amp;AS208&amp;","&amp;AT208&amp;","&amp;AU208&amp;","&amp;AV208&amp;","&amp;AW208&amp;","&amp;BI208&amp;","&amp;BJ208&amp;")"</f>
        <v>InitUnitMagic('IZ01',,,,,,,,,,)</v>
      </c>
      <c r="CQ208" s="70" t="str">
        <f t="shared" ref="CQ208:CQ225" si="3245">"InitUnitAdd('"&amp;B208&amp;"',"&amp;BK208&amp;","&amp;BL208&amp;","&amp;BM208&amp;","&amp;BN208&amp;","&amp;BO208&amp;","&amp;BP208&amp;","&amp;BQ208&amp;","&amp;BR208&amp;","&amp;BS208&amp;","&amp;BT208&amp;")"</f>
        <v>InitUnitAdd('IZ01',,,,,,,,,,)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209&amp;CR$1&amp;")"</f>
        <v>InitEquipData('IZ01',,"",,,,,'','','','','','',"ReplaceableTextures\\CommandButtons\\BTN023.blp")</v>
      </c>
      <c r="CU208" s="98" t="str">
        <f t="shared" ref="CU208:CU216" si="3246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71" t="str">
        <f t="shared" ref="CV208:CV216" si="3247">T208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08" s="61"/>
      <c r="CX208" s="61"/>
      <c r="CY208" s="61"/>
      <c r="CZ208" s="61"/>
      <c r="DA208" s="61"/>
      <c r="DB208" s="72" t="str">
        <f t="shared" ref="DB208:FM208" si="3248">IF(V208="","","|n"&amp;DB$2&amp;"+"&amp;V208&amp;DB$1)</f>
        <v/>
      </c>
      <c r="DC208" s="72" t="str">
        <f t="shared" si="3248"/>
        <v/>
      </c>
      <c r="DD208" s="72" t="str">
        <f t="shared" si="3248"/>
        <v/>
      </c>
      <c r="DE208" s="72" t="str">
        <f t="shared" si="3248"/>
        <v/>
      </c>
      <c r="DF208" s="72" t="str">
        <f t="shared" si="3248"/>
        <v/>
      </c>
      <c r="DG208" s="72" t="str">
        <f t="shared" si="3248"/>
        <v/>
      </c>
      <c r="DH208" s="72" t="str">
        <f t="shared" si="3248"/>
        <v/>
      </c>
      <c r="DI208" s="72" t="str">
        <f t="shared" si="3248"/>
        <v/>
      </c>
      <c r="DJ208" s="72" t="str">
        <f t="shared" si="3248"/>
        <v/>
      </c>
      <c r="DK208" s="72" t="str">
        <f t="shared" si="3248"/>
        <v/>
      </c>
      <c r="DL208" s="72" t="str">
        <f t="shared" si="3248"/>
        <v/>
      </c>
      <c r="DM208" s="72" t="str">
        <f t="shared" si="3248"/>
        <v/>
      </c>
      <c r="DN208" s="72" t="str">
        <f t="shared" si="3248"/>
        <v/>
      </c>
      <c r="DO208" s="72" t="str">
        <f t="shared" si="3248"/>
        <v/>
      </c>
      <c r="DP208" s="72" t="str">
        <f t="shared" si="3248"/>
        <v/>
      </c>
      <c r="DQ208" s="72" t="str">
        <f t="shared" si="3248"/>
        <v/>
      </c>
      <c r="DR208" s="72" t="str">
        <f t="shared" si="3248"/>
        <v/>
      </c>
      <c r="DS208" s="72" t="str">
        <f t="shared" si="3248"/>
        <v/>
      </c>
      <c r="DT208" s="72" t="str">
        <f t="shared" si="3248"/>
        <v/>
      </c>
      <c r="DU208" s="72" t="str">
        <f t="shared" si="3248"/>
        <v/>
      </c>
      <c r="DV208" s="72" t="str">
        <f t="shared" si="3248"/>
        <v/>
      </c>
      <c r="DW208" s="72" t="str">
        <f t="shared" si="3248"/>
        <v/>
      </c>
      <c r="DX208" s="72" t="str">
        <f t="shared" si="3248"/>
        <v/>
      </c>
      <c r="DY208" s="72" t="str">
        <f t="shared" si="3248"/>
        <v/>
      </c>
      <c r="DZ208" s="72" t="str">
        <f t="shared" si="3248"/>
        <v/>
      </c>
      <c r="EA208" s="72" t="str">
        <f t="shared" si="3248"/>
        <v/>
      </c>
      <c r="EB208" s="72" t="str">
        <f t="shared" si="3248"/>
        <v/>
      </c>
      <c r="EC208" s="72" t="str">
        <f t="shared" si="3248"/>
        <v/>
      </c>
      <c r="ED208" s="72" t="str">
        <f t="shared" si="3248"/>
        <v/>
      </c>
      <c r="EE208" s="72" t="str">
        <f t="shared" si="3248"/>
        <v/>
      </c>
      <c r="EF208" s="72" t="str">
        <f t="shared" si="3248"/>
        <v/>
      </c>
      <c r="EG208" s="72" t="str">
        <f t="shared" si="3248"/>
        <v/>
      </c>
      <c r="EH208" s="72" t="str">
        <f t="shared" si="3248"/>
        <v/>
      </c>
      <c r="EI208" s="72" t="str">
        <f t="shared" si="3248"/>
        <v/>
      </c>
      <c r="EJ208" s="72" t="str">
        <f t="shared" si="3248"/>
        <v/>
      </c>
      <c r="EK208" s="72" t="str">
        <f t="shared" si="3248"/>
        <v/>
      </c>
      <c r="EL208" s="72" t="str">
        <f t="shared" si="3248"/>
        <v/>
      </c>
      <c r="EM208" s="72" t="str">
        <f t="shared" si="3248"/>
        <v/>
      </c>
      <c r="EN208" s="72" t="str">
        <f t="shared" si="3248"/>
        <v/>
      </c>
      <c r="EO208" s="72" t="str">
        <f t="shared" si="3248"/>
        <v/>
      </c>
      <c r="EP208" s="72" t="str">
        <f t="shared" si="3248"/>
        <v/>
      </c>
      <c r="EQ208" s="72" t="str">
        <f t="shared" si="3248"/>
        <v/>
      </c>
      <c r="ER208" s="72" t="str">
        <f t="shared" si="3248"/>
        <v/>
      </c>
      <c r="ES208" s="72" t="str">
        <f t="shared" si="3248"/>
        <v/>
      </c>
      <c r="ET208" s="72" t="str">
        <f t="shared" si="3248"/>
        <v/>
      </c>
      <c r="EU208" s="72" t="str">
        <f t="shared" si="3248"/>
        <v/>
      </c>
      <c r="EV208" s="72" t="str">
        <f t="shared" si="3248"/>
        <v/>
      </c>
      <c r="EW208" s="72" t="str">
        <f t="shared" si="3248"/>
        <v/>
      </c>
      <c r="EX208" s="72" t="str">
        <f t="shared" si="3248"/>
        <v/>
      </c>
      <c r="EY208" s="72" t="str">
        <f t="shared" si="3248"/>
        <v/>
      </c>
      <c r="EZ208" s="72" t="str">
        <f t="shared" si="3248"/>
        <v/>
      </c>
      <c r="FA208" s="72" t="str">
        <f t="shared" si="3248"/>
        <v/>
      </c>
      <c r="FB208" s="72" t="str">
        <f t="shared" si="3248"/>
        <v/>
      </c>
      <c r="FC208" s="72" t="str">
        <f t="shared" si="3248"/>
        <v/>
      </c>
      <c r="FD208" s="72" t="str">
        <f t="shared" si="3248"/>
        <v/>
      </c>
      <c r="FE208" s="72" t="str">
        <f t="shared" si="3248"/>
        <v/>
      </c>
      <c r="FF208" s="72" t="str">
        <f t="shared" si="3248"/>
        <v/>
      </c>
      <c r="FG208" s="72" t="str">
        <f t="shared" si="3248"/>
        <v/>
      </c>
      <c r="FH208" s="72" t="str">
        <f t="shared" si="3248"/>
        <v/>
      </c>
      <c r="FI208" s="72" t="str">
        <f t="shared" si="3248"/>
        <v/>
      </c>
      <c r="FJ208" s="72" t="str">
        <f t="shared" si="3248"/>
        <v/>
      </c>
      <c r="FK208" s="72" t="str">
        <f t="shared" si="3248"/>
        <v/>
      </c>
      <c r="FL208" s="72" t="str">
        <f t="shared" si="3248"/>
        <v/>
      </c>
      <c r="FM208" s="72" t="str">
        <f t="shared" si="3248"/>
        <v/>
      </c>
      <c r="FN208" s="72" t="str">
        <f t="shared" ref="FN208:FS208" si="3249">IF(CH208="","","|n"&amp;FN$2&amp;"+"&amp;CH208&amp;FN$1)</f>
        <v/>
      </c>
      <c r="FO208" s="72" t="str">
        <f t="shared" si="3249"/>
        <v/>
      </c>
      <c r="FP208" s="72" t="str">
        <f t="shared" si="3249"/>
        <v/>
      </c>
      <c r="FQ208" s="72" t="str">
        <f t="shared" si="3249"/>
        <v/>
      </c>
      <c r="FR208" s="72" t="str">
        <f t="shared" si="3249"/>
        <v/>
      </c>
      <c r="FS208" s="72" t="str">
        <f t="shared" si="3249"/>
        <v/>
      </c>
    </row>
    <row r="209" spans="1:175" ht="15">
      <c r="A209" s="81"/>
      <c r="B209" s="104" t="s">
        <v>730</v>
      </c>
      <c r="C209" s="81" t="s">
        <v>731</v>
      </c>
      <c r="T209" s="136" t="s">
        <v>732</v>
      </c>
      <c r="U209" s="137" t="s">
        <v>733</v>
      </c>
      <c r="CN209" s="70" t="str">
        <f t="shared" si="3242"/>
        <v>InitUnitState('IS01',,,,,,,,,,)</v>
      </c>
      <c r="CO209" s="70" t="str">
        <f t="shared" si="3243"/>
        <v>InitUnitNormal('IS01',,,,,,,,,,)</v>
      </c>
      <c r="CP209" s="70" t="str">
        <f t="shared" si="3244"/>
        <v>InitUnitMagic('IS01',,,,,,,,,,)</v>
      </c>
      <c r="CQ209" s="70" t="str">
        <f t="shared" si="3245"/>
        <v>InitUnitAdd('IS01',,,,,,,,,,)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InitEquipData('IS01',,"",,,,,'','','','','','',"ReplaceableTextures\\CommandButtons\\BTN020.blp")</v>
      </c>
      <c r="CU209" s="98" t="str">
        <f t="shared" si="3246"/>
        <v>|n</v>
      </c>
      <c r="CV209" s="71" t="str">
        <f t="shared" si="3247"/>
        <v>高概率获得D级技能，低概率获得|Cff00ff7fC级技能|r</v>
      </c>
      <c r="CW209" s="61"/>
      <c r="CX209" s="61"/>
      <c r="CY209" s="61"/>
      <c r="CZ209" s="61"/>
      <c r="DA209" s="61"/>
      <c r="DB209" s="72" t="str">
        <f t="shared" ref="DB209:DK210" si="3250">IF(V209="","","|n"&amp;DB$2&amp;"+"&amp;V209&amp;DB$1)</f>
        <v/>
      </c>
      <c r="DC209" s="72" t="str">
        <f t="shared" si="3250"/>
        <v/>
      </c>
      <c r="DD209" s="72" t="str">
        <f t="shared" si="3250"/>
        <v/>
      </c>
      <c r="DE209" s="72" t="str">
        <f t="shared" si="3250"/>
        <v/>
      </c>
      <c r="DF209" s="72" t="str">
        <f t="shared" si="3250"/>
        <v/>
      </c>
      <c r="DG209" s="72" t="str">
        <f t="shared" si="3250"/>
        <v/>
      </c>
      <c r="DH209" s="72" t="str">
        <f t="shared" si="3250"/>
        <v/>
      </c>
      <c r="DI209" s="72" t="str">
        <f t="shared" si="3250"/>
        <v/>
      </c>
      <c r="DJ209" s="72" t="str">
        <f t="shared" si="3250"/>
        <v/>
      </c>
      <c r="DK209" s="72" t="str">
        <f t="shared" si="3250"/>
        <v/>
      </c>
      <c r="DL209" s="72" t="str">
        <f t="shared" ref="DL209:DU210" si="3251">IF(AF209="","","|n"&amp;DL$2&amp;"+"&amp;AF209&amp;DL$1)</f>
        <v/>
      </c>
      <c r="DM209" s="72" t="str">
        <f t="shared" si="3251"/>
        <v/>
      </c>
      <c r="DN209" s="72" t="str">
        <f t="shared" si="3251"/>
        <v/>
      </c>
      <c r="DO209" s="72" t="str">
        <f t="shared" si="3251"/>
        <v/>
      </c>
      <c r="DP209" s="72" t="str">
        <f t="shared" si="3251"/>
        <v/>
      </c>
      <c r="DQ209" s="72" t="str">
        <f t="shared" si="3251"/>
        <v/>
      </c>
      <c r="DR209" s="72" t="str">
        <f t="shared" si="3251"/>
        <v/>
      </c>
      <c r="DS209" s="72" t="str">
        <f t="shared" si="3251"/>
        <v/>
      </c>
      <c r="DT209" s="72" t="str">
        <f t="shared" si="3251"/>
        <v/>
      </c>
      <c r="DU209" s="72" t="str">
        <f t="shared" si="3251"/>
        <v/>
      </c>
      <c r="DV209" s="72" t="str">
        <f t="shared" ref="DV209:EE210" si="3252">IF(AP209="","","|n"&amp;DV$2&amp;"+"&amp;AP209&amp;DV$1)</f>
        <v/>
      </c>
      <c r="DW209" s="72" t="str">
        <f t="shared" si="3252"/>
        <v/>
      </c>
      <c r="DX209" s="72" t="str">
        <f t="shared" si="3252"/>
        <v/>
      </c>
      <c r="DY209" s="72" t="str">
        <f t="shared" si="3252"/>
        <v/>
      </c>
      <c r="DZ209" s="72" t="str">
        <f t="shared" si="3252"/>
        <v/>
      </c>
      <c r="EA209" s="72" t="str">
        <f t="shared" si="3252"/>
        <v/>
      </c>
      <c r="EB209" s="72" t="str">
        <f t="shared" si="3252"/>
        <v/>
      </c>
      <c r="EC209" s="72" t="str">
        <f t="shared" si="3252"/>
        <v/>
      </c>
      <c r="ED209" s="72" t="str">
        <f t="shared" si="3252"/>
        <v/>
      </c>
      <c r="EE209" s="72" t="str">
        <f t="shared" si="3252"/>
        <v/>
      </c>
      <c r="EF209" s="72" t="str">
        <f t="shared" ref="EF209:EO210" si="3253">IF(AZ209="","","|n"&amp;EF$2&amp;"+"&amp;AZ209&amp;EF$1)</f>
        <v/>
      </c>
      <c r="EG209" s="72" t="str">
        <f t="shared" si="3253"/>
        <v/>
      </c>
      <c r="EH209" s="72" t="str">
        <f t="shared" si="3253"/>
        <v/>
      </c>
      <c r="EI209" s="72" t="str">
        <f t="shared" si="3253"/>
        <v/>
      </c>
      <c r="EJ209" s="72" t="str">
        <f t="shared" si="3253"/>
        <v/>
      </c>
      <c r="EK209" s="72" t="str">
        <f t="shared" si="3253"/>
        <v/>
      </c>
      <c r="EL209" s="72" t="str">
        <f t="shared" si="3253"/>
        <v/>
      </c>
      <c r="EM209" s="72" t="str">
        <f t="shared" si="3253"/>
        <v/>
      </c>
      <c r="EN209" s="72" t="str">
        <f t="shared" si="3253"/>
        <v/>
      </c>
      <c r="EO209" s="72" t="str">
        <f t="shared" si="3253"/>
        <v/>
      </c>
      <c r="EP209" s="72" t="str">
        <f t="shared" ref="EP209:EY210" si="3254">IF(BJ209="","","|n"&amp;EP$2&amp;"+"&amp;BJ209&amp;EP$1)</f>
        <v/>
      </c>
      <c r="EQ209" s="72" t="str">
        <f t="shared" si="3254"/>
        <v/>
      </c>
      <c r="ER209" s="72" t="str">
        <f t="shared" si="3254"/>
        <v/>
      </c>
      <c r="ES209" s="72" t="str">
        <f t="shared" si="3254"/>
        <v/>
      </c>
      <c r="ET209" s="72" t="str">
        <f t="shared" si="3254"/>
        <v/>
      </c>
      <c r="EU209" s="72" t="str">
        <f t="shared" si="3254"/>
        <v/>
      </c>
      <c r="EV209" s="72" t="str">
        <f t="shared" si="3254"/>
        <v/>
      </c>
      <c r="EW209" s="72" t="str">
        <f t="shared" si="3254"/>
        <v/>
      </c>
      <c r="EX209" s="72" t="str">
        <f t="shared" si="3254"/>
        <v/>
      </c>
      <c r="EY209" s="72" t="str">
        <f t="shared" si="3254"/>
        <v/>
      </c>
      <c r="EZ209" s="72" t="str">
        <f t="shared" ref="EZ209:FI210" si="3255">IF(BT209="","","|n"&amp;EZ$2&amp;"+"&amp;BT209&amp;EZ$1)</f>
        <v/>
      </c>
      <c r="FA209" s="72" t="str">
        <f t="shared" si="3255"/>
        <v/>
      </c>
      <c r="FB209" s="72" t="str">
        <f t="shared" si="3255"/>
        <v/>
      </c>
      <c r="FC209" s="72" t="str">
        <f t="shared" si="3255"/>
        <v/>
      </c>
      <c r="FD209" s="72" t="str">
        <f t="shared" si="3255"/>
        <v/>
      </c>
      <c r="FE209" s="72" t="str">
        <f t="shared" si="3255"/>
        <v/>
      </c>
      <c r="FF209" s="72" t="str">
        <f t="shared" si="3255"/>
        <v/>
      </c>
      <c r="FG209" s="72" t="str">
        <f t="shared" si="3255"/>
        <v/>
      </c>
      <c r="FH209" s="72" t="str">
        <f t="shared" si="3255"/>
        <v/>
      </c>
      <c r="FI209" s="72" t="str">
        <f t="shared" si="3255"/>
        <v/>
      </c>
      <c r="FJ209" s="72" t="str">
        <f t="shared" ref="FJ209:FS210" si="3256">IF(CD209="","","|n"&amp;FJ$2&amp;"+"&amp;CD209&amp;FJ$1)</f>
        <v/>
      </c>
      <c r="FK209" s="72" t="str">
        <f t="shared" si="3256"/>
        <v/>
      </c>
      <c r="FL209" s="72" t="str">
        <f t="shared" si="3256"/>
        <v/>
      </c>
      <c r="FM209" s="72" t="str">
        <f t="shared" si="3256"/>
        <v/>
      </c>
      <c r="FN209" s="72" t="str">
        <f t="shared" si="3256"/>
        <v/>
      </c>
      <c r="FO209" s="72" t="str">
        <f t="shared" si="3256"/>
        <v/>
      </c>
      <c r="FP209" s="72" t="str">
        <f t="shared" si="3256"/>
        <v/>
      </c>
      <c r="FQ209" s="72" t="str">
        <f t="shared" si="3256"/>
        <v/>
      </c>
      <c r="FR209" s="72" t="str">
        <f t="shared" si="3256"/>
        <v/>
      </c>
      <c r="FS209" s="72" t="str">
        <f t="shared" si="3256"/>
        <v/>
      </c>
    </row>
    <row r="210" spans="1:175" ht="15">
      <c r="A210" s="81"/>
      <c r="B210" s="104" t="s">
        <v>734</v>
      </c>
      <c r="C210" s="81" t="s">
        <v>735</v>
      </c>
      <c r="T210" s="136" t="s">
        <v>736</v>
      </c>
      <c r="U210" s="137" t="s">
        <v>737</v>
      </c>
      <c r="CN210" s="70" t="str">
        <f t="shared" si="3242"/>
        <v>InitUnitState('IS02',,,,,,,,,,)</v>
      </c>
      <c r="CO210" s="70" t="str">
        <f t="shared" si="3243"/>
        <v>InitUnitNormal('IS02',,,,,,,,,,)</v>
      </c>
      <c r="CP210" s="70" t="str">
        <f t="shared" si="3244"/>
        <v>InitUnitMagic('IS02',,,,,,,,,,)</v>
      </c>
      <c r="CQ210" s="70" t="str">
        <f t="shared" si="3245"/>
        <v>InitUnitAdd('IS02',,,,,,,,,,)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InitEquipData('IS02',,"",,,,,'','','','','','',"ReplaceableTextures\\CommandButtons\\BTN001.blp")</v>
      </c>
      <c r="CU210" s="98" t="str">
        <f t="shared" si="3246"/>
        <v>|n</v>
      </c>
      <c r="CV210" s="71" t="str">
        <f t="shared" si="3247"/>
        <v>较高概率获得D级技能，高概率获得|Cff00ff7fC级技能|r，极低概率获得|Cff2693ffB级技能|r。</v>
      </c>
      <c r="CW210" s="61"/>
      <c r="CX210" s="61"/>
      <c r="CY210" s="61"/>
      <c r="CZ210" s="61"/>
      <c r="DA210" s="61"/>
      <c r="DB210" s="72" t="str">
        <f t="shared" si="3250"/>
        <v/>
      </c>
      <c r="DC210" s="72" t="str">
        <f t="shared" si="3250"/>
        <v/>
      </c>
      <c r="DD210" s="72" t="str">
        <f t="shared" si="3250"/>
        <v/>
      </c>
      <c r="DE210" s="72" t="str">
        <f t="shared" si="3250"/>
        <v/>
      </c>
      <c r="DF210" s="72" t="str">
        <f t="shared" si="3250"/>
        <v/>
      </c>
      <c r="DG210" s="72" t="str">
        <f t="shared" si="3250"/>
        <v/>
      </c>
      <c r="DH210" s="72" t="str">
        <f t="shared" si="3250"/>
        <v/>
      </c>
      <c r="DI210" s="72" t="str">
        <f t="shared" si="3250"/>
        <v/>
      </c>
      <c r="DJ210" s="72" t="str">
        <f t="shared" si="3250"/>
        <v/>
      </c>
      <c r="DK210" s="72" t="str">
        <f t="shared" si="3250"/>
        <v/>
      </c>
      <c r="DL210" s="72" t="str">
        <f t="shared" si="3251"/>
        <v/>
      </c>
      <c r="DM210" s="72" t="str">
        <f t="shared" si="3251"/>
        <v/>
      </c>
      <c r="DN210" s="72" t="str">
        <f t="shared" si="3251"/>
        <v/>
      </c>
      <c r="DO210" s="72" t="str">
        <f t="shared" si="3251"/>
        <v/>
      </c>
      <c r="DP210" s="72" t="str">
        <f t="shared" si="3251"/>
        <v/>
      </c>
      <c r="DQ210" s="72" t="str">
        <f t="shared" si="3251"/>
        <v/>
      </c>
      <c r="DR210" s="72" t="str">
        <f t="shared" si="3251"/>
        <v/>
      </c>
      <c r="DS210" s="72" t="str">
        <f t="shared" si="3251"/>
        <v/>
      </c>
      <c r="DT210" s="72" t="str">
        <f t="shared" si="3251"/>
        <v/>
      </c>
      <c r="DU210" s="72" t="str">
        <f t="shared" si="3251"/>
        <v/>
      </c>
      <c r="DV210" s="72" t="str">
        <f t="shared" si="3252"/>
        <v/>
      </c>
      <c r="DW210" s="72" t="str">
        <f t="shared" si="3252"/>
        <v/>
      </c>
      <c r="DX210" s="72" t="str">
        <f t="shared" si="3252"/>
        <v/>
      </c>
      <c r="DY210" s="72" t="str">
        <f t="shared" si="3252"/>
        <v/>
      </c>
      <c r="DZ210" s="72" t="str">
        <f t="shared" si="3252"/>
        <v/>
      </c>
      <c r="EA210" s="72" t="str">
        <f t="shared" si="3252"/>
        <v/>
      </c>
      <c r="EB210" s="72" t="str">
        <f t="shared" si="3252"/>
        <v/>
      </c>
      <c r="EC210" s="72" t="str">
        <f t="shared" si="3252"/>
        <v/>
      </c>
      <c r="ED210" s="72" t="str">
        <f t="shared" si="3252"/>
        <v/>
      </c>
      <c r="EE210" s="72" t="str">
        <f t="shared" si="3252"/>
        <v/>
      </c>
      <c r="EF210" s="72" t="str">
        <f t="shared" si="3253"/>
        <v/>
      </c>
      <c r="EG210" s="72" t="str">
        <f t="shared" si="3253"/>
        <v/>
      </c>
      <c r="EH210" s="72" t="str">
        <f t="shared" si="3253"/>
        <v/>
      </c>
      <c r="EI210" s="72" t="str">
        <f t="shared" si="3253"/>
        <v/>
      </c>
      <c r="EJ210" s="72" t="str">
        <f t="shared" si="3253"/>
        <v/>
      </c>
      <c r="EK210" s="72" t="str">
        <f t="shared" si="3253"/>
        <v/>
      </c>
      <c r="EL210" s="72" t="str">
        <f t="shared" si="3253"/>
        <v/>
      </c>
      <c r="EM210" s="72" t="str">
        <f t="shared" si="3253"/>
        <v/>
      </c>
      <c r="EN210" s="72" t="str">
        <f t="shared" si="3253"/>
        <v/>
      </c>
      <c r="EO210" s="72" t="str">
        <f t="shared" si="3253"/>
        <v/>
      </c>
      <c r="EP210" s="72" t="str">
        <f t="shared" si="3254"/>
        <v/>
      </c>
      <c r="EQ210" s="72" t="str">
        <f t="shared" si="3254"/>
        <v/>
      </c>
      <c r="ER210" s="72" t="str">
        <f t="shared" si="3254"/>
        <v/>
      </c>
      <c r="ES210" s="72" t="str">
        <f t="shared" si="3254"/>
        <v/>
      </c>
      <c r="ET210" s="72" t="str">
        <f t="shared" si="3254"/>
        <v/>
      </c>
      <c r="EU210" s="72" t="str">
        <f t="shared" si="3254"/>
        <v/>
      </c>
      <c r="EV210" s="72" t="str">
        <f t="shared" si="3254"/>
        <v/>
      </c>
      <c r="EW210" s="72" t="str">
        <f t="shared" si="3254"/>
        <v/>
      </c>
      <c r="EX210" s="72" t="str">
        <f t="shared" si="3254"/>
        <v/>
      </c>
      <c r="EY210" s="72" t="str">
        <f t="shared" si="3254"/>
        <v/>
      </c>
      <c r="EZ210" s="72" t="str">
        <f t="shared" si="3255"/>
        <v/>
      </c>
      <c r="FA210" s="72" t="str">
        <f t="shared" si="3255"/>
        <v/>
      </c>
      <c r="FB210" s="72" t="str">
        <f t="shared" si="3255"/>
        <v/>
      </c>
      <c r="FC210" s="72" t="str">
        <f t="shared" si="3255"/>
        <v/>
      </c>
      <c r="FD210" s="72" t="str">
        <f t="shared" si="3255"/>
        <v/>
      </c>
      <c r="FE210" s="72" t="str">
        <f t="shared" si="3255"/>
        <v/>
      </c>
      <c r="FF210" s="72" t="str">
        <f t="shared" si="3255"/>
        <v/>
      </c>
      <c r="FG210" s="72" t="str">
        <f t="shared" si="3255"/>
        <v/>
      </c>
      <c r="FH210" s="72" t="str">
        <f t="shared" si="3255"/>
        <v/>
      </c>
      <c r="FI210" s="72" t="str">
        <f t="shared" si="3255"/>
        <v/>
      </c>
      <c r="FJ210" s="72" t="str">
        <f t="shared" si="3256"/>
        <v/>
      </c>
      <c r="FK210" s="72" t="str">
        <f t="shared" si="3256"/>
        <v/>
      </c>
      <c r="FL210" s="72" t="str">
        <f t="shared" si="3256"/>
        <v/>
      </c>
      <c r="FM210" s="72" t="str">
        <f t="shared" si="3256"/>
        <v/>
      </c>
      <c r="FN210" s="72" t="str">
        <f t="shared" si="3256"/>
        <v/>
      </c>
      <c r="FO210" s="72" t="str">
        <f t="shared" si="3256"/>
        <v/>
      </c>
      <c r="FP210" s="72" t="str">
        <f t="shared" si="3256"/>
        <v/>
      </c>
      <c r="FQ210" s="72" t="str">
        <f t="shared" si="3256"/>
        <v/>
      </c>
      <c r="FR210" s="72" t="str">
        <f t="shared" si="3256"/>
        <v/>
      </c>
      <c r="FS210" s="72" t="str">
        <f t="shared" si="3256"/>
        <v/>
      </c>
    </row>
    <row r="211" spans="1:175" ht="15">
      <c r="A211" s="81"/>
      <c r="B211" s="104" t="s">
        <v>738</v>
      </c>
      <c r="C211" s="81" t="s">
        <v>739</v>
      </c>
      <c r="T211" s="136" t="s">
        <v>740</v>
      </c>
      <c r="U211" s="137" t="s">
        <v>741</v>
      </c>
      <c r="CN211" s="70" t="str">
        <f t="shared" si="3242"/>
        <v>InitUnitState('IS03',,,,,,,,,,)</v>
      </c>
      <c r="CO211" s="70" t="str">
        <f t="shared" si="3243"/>
        <v>InitUnitNormal('IS03',,,,,,,,,,)</v>
      </c>
      <c r="CP211" s="70" t="str">
        <f t="shared" si="3244"/>
        <v>InitUnitMagic('IS03',,,,,,,,,,)</v>
      </c>
      <c r="CQ211" s="70" t="str">
        <f t="shared" si="3245"/>
        <v>InitUnitAdd('IS03',,,,,,,,,,)</v>
      </c>
      <c r="CR211" s="70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si="3246"/>
        <v>|n</v>
      </c>
      <c r="CV211" s="71" t="str">
        <f t="shared" si="3247"/>
        <v>低概率获得C级技能，高概率获得|Cff00ff7fB级技能|r，低概率获得|Cff2693ffA级技能|r。</v>
      </c>
      <c r="CW211" s="61"/>
      <c r="CX211" s="61"/>
      <c r="CY211" s="61"/>
      <c r="CZ211" s="61"/>
      <c r="DA211" s="61"/>
      <c r="DB211" s="72" t="str">
        <f t="shared" ref="DB211:DK216" si="3257">IF(V211="","","|n"&amp;DB$2&amp;"+"&amp;V211&amp;DB$1)</f>
        <v/>
      </c>
      <c r="DC211" s="72" t="str">
        <f t="shared" si="3257"/>
        <v/>
      </c>
      <c r="DD211" s="72" t="str">
        <f t="shared" si="3257"/>
        <v/>
      </c>
      <c r="DE211" s="72" t="str">
        <f t="shared" si="3257"/>
        <v/>
      </c>
      <c r="DF211" s="72" t="str">
        <f t="shared" si="3257"/>
        <v/>
      </c>
      <c r="DG211" s="72" t="str">
        <f t="shared" si="3257"/>
        <v/>
      </c>
      <c r="DH211" s="72" t="str">
        <f t="shared" si="3257"/>
        <v/>
      </c>
      <c r="DI211" s="72" t="str">
        <f t="shared" si="3257"/>
        <v/>
      </c>
      <c r="DJ211" s="72" t="str">
        <f t="shared" si="3257"/>
        <v/>
      </c>
      <c r="DK211" s="72" t="str">
        <f t="shared" si="3257"/>
        <v/>
      </c>
      <c r="DL211" s="72" t="str">
        <f t="shared" ref="DL211:DU216" si="3258">IF(AF211="","","|n"&amp;DL$2&amp;"+"&amp;AF211&amp;DL$1)</f>
        <v/>
      </c>
      <c r="DM211" s="72" t="str">
        <f t="shared" si="3258"/>
        <v/>
      </c>
      <c r="DN211" s="72" t="str">
        <f t="shared" si="3258"/>
        <v/>
      </c>
      <c r="DO211" s="72" t="str">
        <f t="shared" si="3258"/>
        <v/>
      </c>
      <c r="DP211" s="72" t="str">
        <f t="shared" si="3258"/>
        <v/>
      </c>
      <c r="DQ211" s="72" t="str">
        <f t="shared" si="3258"/>
        <v/>
      </c>
      <c r="DR211" s="72" t="str">
        <f t="shared" si="3258"/>
        <v/>
      </c>
      <c r="DS211" s="72" t="str">
        <f t="shared" si="3258"/>
        <v/>
      </c>
      <c r="DT211" s="72" t="str">
        <f t="shared" si="3258"/>
        <v/>
      </c>
      <c r="DU211" s="72" t="str">
        <f t="shared" si="3258"/>
        <v/>
      </c>
      <c r="DV211" s="72" t="str">
        <f t="shared" ref="DV211:EE216" si="3259">IF(AP211="","","|n"&amp;DV$2&amp;"+"&amp;AP211&amp;DV$1)</f>
        <v/>
      </c>
      <c r="DW211" s="72" t="str">
        <f t="shared" si="3259"/>
        <v/>
      </c>
      <c r="DX211" s="72" t="str">
        <f t="shared" si="3259"/>
        <v/>
      </c>
      <c r="DY211" s="72" t="str">
        <f t="shared" si="3259"/>
        <v/>
      </c>
      <c r="DZ211" s="72" t="str">
        <f t="shared" si="3259"/>
        <v/>
      </c>
      <c r="EA211" s="72" t="str">
        <f t="shared" si="3259"/>
        <v/>
      </c>
      <c r="EB211" s="72" t="str">
        <f t="shared" si="3259"/>
        <v/>
      </c>
      <c r="EC211" s="72" t="str">
        <f t="shared" si="3259"/>
        <v/>
      </c>
      <c r="ED211" s="72" t="str">
        <f t="shared" si="3259"/>
        <v/>
      </c>
      <c r="EE211" s="72" t="str">
        <f t="shared" si="3259"/>
        <v/>
      </c>
      <c r="EF211" s="72" t="str">
        <f t="shared" ref="EF211:EO216" si="3260">IF(AZ211="","","|n"&amp;EF$2&amp;"+"&amp;AZ211&amp;EF$1)</f>
        <v/>
      </c>
      <c r="EG211" s="72" t="str">
        <f t="shared" si="3260"/>
        <v/>
      </c>
      <c r="EH211" s="72" t="str">
        <f t="shared" si="3260"/>
        <v/>
      </c>
      <c r="EI211" s="72" t="str">
        <f t="shared" si="3260"/>
        <v/>
      </c>
      <c r="EJ211" s="72" t="str">
        <f t="shared" si="3260"/>
        <v/>
      </c>
      <c r="EK211" s="72" t="str">
        <f t="shared" si="3260"/>
        <v/>
      </c>
      <c r="EL211" s="72" t="str">
        <f t="shared" si="3260"/>
        <v/>
      </c>
      <c r="EM211" s="72" t="str">
        <f t="shared" si="3260"/>
        <v/>
      </c>
      <c r="EN211" s="72" t="str">
        <f t="shared" si="3260"/>
        <v/>
      </c>
      <c r="EO211" s="72" t="str">
        <f t="shared" si="3260"/>
        <v/>
      </c>
      <c r="EP211" s="72" t="str">
        <f t="shared" ref="EP211:EY216" si="3261">IF(BJ211="","","|n"&amp;EP$2&amp;"+"&amp;BJ211&amp;EP$1)</f>
        <v/>
      </c>
      <c r="EQ211" s="72" t="str">
        <f t="shared" si="3261"/>
        <v/>
      </c>
      <c r="ER211" s="72" t="str">
        <f t="shared" si="3261"/>
        <v/>
      </c>
      <c r="ES211" s="72" t="str">
        <f t="shared" si="3261"/>
        <v/>
      </c>
      <c r="ET211" s="72" t="str">
        <f t="shared" si="3261"/>
        <v/>
      </c>
      <c r="EU211" s="72" t="str">
        <f t="shared" si="3261"/>
        <v/>
      </c>
      <c r="EV211" s="72" t="str">
        <f t="shared" si="3261"/>
        <v/>
      </c>
      <c r="EW211" s="72" t="str">
        <f t="shared" si="3261"/>
        <v/>
      </c>
      <c r="EX211" s="72" t="str">
        <f t="shared" si="3261"/>
        <v/>
      </c>
      <c r="EY211" s="72" t="str">
        <f t="shared" si="3261"/>
        <v/>
      </c>
      <c r="EZ211" s="72" t="str">
        <f t="shared" ref="EZ211:FI216" si="3262">IF(BT211="","","|n"&amp;EZ$2&amp;"+"&amp;BT211&amp;EZ$1)</f>
        <v/>
      </c>
      <c r="FA211" s="72" t="str">
        <f t="shared" si="3262"/>
        <v/>
      </c>
      <c r="FB211" s="72" t="str">
        <f t="shared" si="3262"/>
        <v/>
      </c>
      <c r="FC211" s="72" t="str">
        <f t="shared" si="3262"/>
        <v/>
      </c>
      <c r="FD211" s="72" t="str">
        <f t="shared" si="3262"/>
        <v/>
      </c>
      <c r="FE211" s="72" t="str">
        <f t="shared" si="3262"/>
        <v/>
      </c>
      <c r="FF211" s="72" t="str">
        <f t="shared" si="3262"/>
        <v/>
      </c>
      <c r="FG211" s="72" t="str">
        <f t="shared" si="3262"/>
        <v/>
      </c>
      <c r="FH211" s="72" t="str">
        <f t="shared" si="3262"/>
        <v/>
      </c>
      <c r="FI211" s="72" t="str">
        <f t="shared" si="3262"/>
        <v/>
      </c>
      <c r="FJ211" s="72" t="str">
        <f t="shared" ref="FJ211:FS216" si="3263">IF(CD211="","","|n"&amp;FJ$2&amp;"+"&amp;CD211&amp;FJ$1)</f>
        <v/>
      </c>
      <c r="FK211" s="72" t="str">
        <f t="shared" si="3263"/>
        <v/>
      </c>
      <c r="FL211" s="72" t="str">
        <f t="shared" si="3263"/>
        <v/>
      </c>
      <c r="FM211" s="72" t="str">
        <f t="shared" si="3263"/>
        <v/>
      </c>
      <c r="FN211" s="72" t="str">
        <f t="shared" si="3263"/>
        <v/>
      </c>
      <c r="FO211" s="72" t="str">
        <f t="shared" si="3263"/>
        <v/>
      </c>
      <c r="FP211" s="72" t="str">
        <f t="shared" si="3263"/>
        <v/>
      </c>
      <c r="FQ211" s="72" t="str">
        <f t="shared" si="3263"/>
        <v/>
      </c>
      <c r="FR211" s="72" t="str">
        <f t="shared" si="3263"/>
        <v/>
      </c>
      <c r="FS211" s="72" t="str">
        <f t="shared" si="3263"/>
        <v/>
      </c>
    </row>
    <row r="212" spans="1:175" ht="15">
      <c r="A212" s="81"/>
      <c r="B212" s="104" t="s">
        <v>742</v>
      </c>
      <c r="C212" s="81" t="s">
        <v>743</v>
      </c>
      <c r="T212" s="136" t="s">
        <v>732</v>
      </c>
      <c r="U212" s="137" t="s">
        <v>744</v>
      </c>
      <c r="CN212" s="70" t="str">
        <f t="shared" ref="CN212:CN214" si="3264">"InitUnitState('"&amp;B212&amp;"',"&amp;V212&amp;","&amp;W212&amp;","&amp;X212&amp;","&amp;Y212&amp;","&amp;Z212&amp;","&amp;AA212&amp;","&amp;AB212&amp;","&amp;AC212&amp;","&amp;AD212&amp;","&amp;AE212&amp;")"</f>
        <v>InitUnitState('IS06',,,,,,,,,,)</v>
      </c>
      <c r="CO212" s="70" t="str">
        <f t="shared" ref="CO212:CO214" si="3265">"InitUnitNormal('"&amp;B212&amp;"',"&amp;AF212&amp;","&amp;AG212&amp;","&amp;AH212&amp;","&amp;AI212&amp;","&amp;AJ212&amp;","&amp;AK212&amp;","&amp;AL212&amp;","&amp;AM212&amp;","&amp;AN212&amp;","&amp;AO212&amp;")"</f>
        <v>InitUnitNormal('IS06',,,,,,,,,,)</v>
      </c>
      <c r="CP212" s="70" t="str">
        <f t="shared" ref="CP212:CP214" si="3266">"InitUnitMagic('"&amp;B212&amp;"',"&amp;AP212&amp;","&amp;AQ212&amp;","&amp;AR212&amp;","&amp;AS212&amp;","&amp;AT212&amp;","&amp;AU212&amp;","&amp;AV212&amp;","&amp;AW212&amp;","&amp;BI212&amp;","&amp;BJ212&amp;")"</f>
        <v>InitUnitMagic('IS06',,,,,,,,,,)</v>
      </c>
      <c r="CQ212" s="70" t="str">
        <f t="shared" ref="CQ212:CQ214" si="3267">"InitUnitAdd('"&amp;B212&amp;"',"&amp;BK212&amp;","&amp;BL212&amp;","&amp;BM212&amp;","&amp;BN212&amp;","&amp;BO212&amp;","&amp;BP212&amp;","&amp;BQ212&amp;","&amp;BR212&amp;","&amp;BS212&amp;","&amp;BT212&amp;")"</f>
        <v>InitUnitAdd('IS06',,,,,,,,,,)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InitEquipData('IS06',,"",,,,,'','','','','','',"ReplaceableTextures\\CommandButtons\\BTN021.blp")</v>
      </c>
      <c r="CU212" s="98" t="str">
        <f t="shared" ref="CU212:CU214" si="3268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71" t="str">
        <f t="shared" ref="CV212:CV214" si="3269">T212</f>
        <v>高概率获得D级技能，低概率获得|Cff00ff7fC级技能|r</v>
      </c>
      <c r="CW212" s="61"/>
      <c r="CX212" s="61"/>
      <c r="CY212" s="61"/>
      <c r="CZ212" s="61"/>
      <c r="DA212" s="61"/>
      <c r="DB212" s="72" t="str">
        <f t="shared" si="3257"/>
        <v/>
      </c>
      <c r="DC212" s="72" t="str">
        <f t="shared" si="3257"/>
        <v/>
      </c>
      <c r="DD212" s="72" t="str">
        <f t="shared" si="3257"/>
        <v/>
      </c>
      <c r="DE212" s="72" t="str">
        <f t="shared" si="3257"/>
        <v/>
      </c>
      <c r="DF212" s="72" t="str">
        <f t="shared" si="3257"/>
        <v/>
      </c>
      <c r="DG212" s="72" t="str">
        <f t="shared" si="3257"/>
        <v/>
      </c>
      <c r="DH212" s="72" t="str">
        <f t="shared" si="3257"/>
        <v/>
      </c>
      <c r="DI212" s="72" t="str">
        <f t="shared" si="3257"/>
        <v/>
      </c>
      <c r="DJ212" s="72" t="str">
        <f t="shared" si="3257"/>
        <v/>
      </c>
      <c r="DK212" s="72" t="str">
        <f t="shared" si="3257"/>
        <v/>
      </c>
      <c r="DL212" s="72" t="str">
        <f t="shared" si="3258"/>
        <v/>
      </c>
      <c r="DM212" s="72" t="str">
        <f t="shared" si="3258"/>
        <v/>
      </c>
      <c r="DN212" s="72" t="str">
        <f t="shared" si="3258"/>
        <v/>
      </c>
      <c r="DO212" s="72" t="str">
        <f t="shared" si="3258"/>
        <v/>
      </c>
      <c r="DP212" s="72" t="str">
        <f t="shared" si="3258"/>
        <v/>
      </c>
      <c r="DQ212" s="72" t="str">
        <f t="shared" si="3258"/>
        <v/>
      </c>
      <c r="DR212" s="72" t="str">
        <f t="shared" si="3258"/>
        <v/>
      </c>
      <c r="DS212" s="72" t="str">
        <f t="shared" si="3258"/>
        <v/>
      </c>
      <c r="DT212" s="72" t="str">
        <f t="shared" si="3258"/>
        <v/>
      </c>
      <c r="DU212" s="72" t="str">
        <f t="shared" si="3258"/>
        <v/>
      </c>
      <c r="DV212" s="72" t="str">
        <f t="shared" si="3259"/>
        <v/>
      </c>
      <c r="DW212" s="72" t="str">
        <f t="shared" si="3259"/>
        <v/>
      </c>
      <c r="DX212" s="72" t="str">
        <f t="shared" si="3259"/>
        <v/>
      </c>
      <c r="DY212" s="72" t="str">
        <f t="shared" si="3259"/>
        <v/>
      </c>
      <c r="DZ212" s="72" t="str">
        <f t="shared" si="3259"/>
        <v/>
      </c>
      <c r="EA212" s="72" t="str">
        <f t="shared" si="3259"/>
        <v/>
      </c>
      <c r="EB212" s="72" t="str">
        <f t="shared" si="3259"/>
        <v/>
      </c>
      <c r="EC212" s="72" t="str">
        <f t="shared" si="3259"/>
        <v/>
      </c>
      <c r="ED212" s="72" t="str">
        <f t="shared" si="3259"/>
        <v/>
      </c>
      <c r="EE212" s="72" t="str">
        <f t="shared" si="3259"/>
        <v/>
      </c>
      <c r="EF212" s="72" t="str">
        <f t="shared" si="3260"/>
        <v/>
      </c>
      <c r="EG212" s="72" t="str">
        <f t="shared" si="3260"/>
        <v/>
      </c>
      <c r="EH212" s="72" t="str">
        <f t="shared" si="3260"/>
        <v/>
      </c>
      <c r="EI212" s="72" t="str">
        <f t="shared" si="3260"/>
        <v/>
      </c>
      <c r="EJ212" s="72" t="str">
        <f t="shared" si="3260"/>
        <v/>
      </c>
      <c r="EK212" s="72" t="str">
        <f t="shared" si="3260"/>
        <v/>
      </c>
      <c r="EL212" s="72" t="str">
        <f t="shared" si="3260"/>
        <v/>
      </c>
      <c r="EM212" s="72" t="str">
        <f t="shared" si="3260"/>
        <v/>
      </c>
      <c r="EN212" s="72" t="str">
        <f t="shared" si="3260"/>
        <v/>
      </c>
      <c r="EO212" s="72" t="str">
        <f t="shared" si="3260"/>
        <v/>
      </c>
      <c r="EP212" s="72" t="str">
        <f t="shared" si="3261"/>
        <v/>
      </c>
      <c r="EQ212" s="72" t="str">
        <f t="shared" si="3261"/>
        <v/>
      </c>
      <c r="ER212" s="72" t="str">
        <f t="shared" si="3261"/>
        <v/>
      </c>
      <c r="ES212" s="72" t="str">
        <f t="shared" si="3261"/>
        <v/>
      </c>
      <c r="ET212" s="72" t="str">
        <f t="shared" si="3261"/>
        <v/>
      </c>
      <c r="EU212" s="72" t="str">
        <f t="shared" si="3261"/>
        <v/>
      </c>
      <c r="EV212" s="72" t="str">
        <f t="shared" si="3261"/>
        <v/>
      </c>
      <c r="EW212" s="72" t="str">
        <f t="shared" si="3261"/>
        <v/>
      </c>
      <c r="EX212" s="72" t="str">
        <f t="shared" si="3261"/>
        <v/>
      </c>
      <c r="EY212" s="72" t="str">
        <f t="shared" si="3261"/>
        <v/>
      </c>
      <c r="EZ212" s="72" t="str">
        <f t="shared" si="3262"/>
        <v/>
      </c>
      <c r="FA212" s="72" t="str">
        <f t="shared" si="3262"/>
        <v/>
      </c>
      <c r="FB212" s="72" t="str">
        <f t="shared" si="3262"/>
        <v/>
      </c>
      <c r="FC212" s="72" t="str">
        <f t="shared" si="3262"/>
        <v/>
      </c>
      <c r="FD212" s="72" t="str">
        <f t="shared" si="3262"/>
        <v/>
      </c>
      <c r="FE212" s="72" t="str">
        <f t="shared" si="3262"/>
        <v/>
      </c>
      <c r="FF212" s="72" t="str">
        <f t="shared" si="3262"/>
        <v/>
      </c>
      <c r="FG212" s="72" t="str">
        <f t="shared" si="3262"/>
        <v/>
      </c>
      <c r="FH212" s="72" t="str">
        <f t="shared" si="3262"/>
        <v/>
      </c>
      <c r="FI212" s="72" t="str">
        <f t="shared" si="3262"/>
        <v/>
      </c>
      <c r="FJ212" s="72" t="str">
        <f t="shared" si="3263"/>
        <v/>
      </c>
      <c r="FK212" s="72" t="str">
        <f t="shared" si="3263"/>
        <v/>
      </c>
      <c r="FL212" s="72" t="str">
        <f t="shared" si="3263"/>
        <v/>
      </c>
      <c r="FM212" s="72" t="str">
        <f t="shared" si="3263"/>
        <v/>
      </c>
      <c r="FN212" s="72" t="str">
        <f t="shared" si="3263"/>
        <v/>
      </c>
      <c r="FO212" s="72" t="str">
        <f t="shared" si="3263"/>
        <v/>
      </c>
      <c r="FP212" s="72" t="str">
        <f t="shared" si="3263"/>
        <v/>
      </c>
      <c r="FQ212" s="72" t="str">
        <f t="shared" si="3263"/>
        <v/>
      </c>
      <c r="FR212" s="72" t="str">
        <f t="shared" si="3263"/>
        <v/>
      </c>
      <c r="FS212" s="72" t="str">
        <f t="shared" si="3263"/>
        <v/>
      </c>
    </row>
    <row r="213" spans="1:175" ht="15">
      <c r="A213" s="81"/>
      <c r="B213" s="104" t="s">
        <v>745</v>
      </c>
      <c r="C213" s="81" t="s">
        <v>746</v>
      </c>
      <c r="T213" s="136" t="s">
        <v>736</v>
      </c>
      <c r="U213" s="137" t="s">
        <v>747</v>
      </c>
      <c r="CN213" s="70" t="str">
        <f t="shared" si="3264"/>
        <v>InitUnitState('IS07',,,,,,,,,,)</v>
      </c>
      <c r="CO213" s="70" t="str">
        <f t="shared" si="3265"/>
        <v>InitUnitNormal('IS07',,,,,,,,,,)</v>
      </c>
      <c r="CP213" s="70" t="str">
        <f t="shared" si="3266"/>
        <v>InitUnitMagic('IS07',,,,,,,,,,)</v>
      </c>
      <c r="CQ213" s="70" t="str">
        <f t="shared" si="3267"/>
        <v>InitUnitAdd('IS07',,,,,,,,,,)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InitEquipData('IS07',,"",,,,,'','','','','','',"ReplaceableTextures\\CommandButtons\\BTN002.blp")</v>
      </c>
      <c r="CU213" s="98" t="str">
        <f t="shared" si="3268"/>
        <v>|n</v>
      </c>
      <c r="CV213" s="71" t="str">
        <f t="shared" si="3269"/>
        <v>较高概率获得D级技能，高概率获得|Cff00ff7fC级技能|r，极低概率获得|Cff2693ffB级技能|r。</v>
      </c>
      <c r="CW213" s="61"/>
      <c r="CX213" s="61"/>
      <c r="CY213" s="61"/>
      <c r="CZ213" s="61"/>
      <c r="DA213" s="61"/>
      <c r="DB213" s="72" t="str">
        <f t="shared" si="3257"/>
        <v/>
      </c>
      <c r="DC213" s="72" t="str">
        <f t="shared" si="3257"/>
        <v/>
      </c>
      <c r="DD213" s="72" t="str">
        <f t="shared" si="3257"/>
        <v/>
      </c>
      <c r="DE213" s="72" t="str">
        <f t="shared" si="3257"/>
        <v/>
      </c>
      <c r="DF213" s="72" t="str">
        <f t="shared" si="3257"/>
        <v/>
      </c>
      <c r="DG213" s="72" t="str">
        <f t="shared" si="3257"/>
        <v/>
      </c>
      <c r="DH213" s="72" t="str">
        <f t="shared" si="3257"/>
        <v/>
      </c>
      <c r="DI213" s="72" t="str">
        <f t="shared" si="3257"/>
        <v/>
      </c>
      <c r="DJ213" s="72" t="str">
        <f t="shared" si="3257"/>
        <v/>
      </c>
      <c r="DK213" s="72" t="str">
        <f t="shared" si="3257"/>
        <v/>
      </c>
      <c r="DL213" s="72" t="str">
        <f t="shared" si="3258"/>
        <v/>
      </c>
      <c r="DM213" s="72" t="str">
        <f t="shared" si="3258"/>
        <v/>
      </c>
      <c r="DN213" s="72" t="str">
        <f t="shared" si="3258"/>
        <v/>
      </c>
      <c r="DO213" s="72" t="str">
        <f t="shared" si="3258"/>
        <v/>
      </c>
      <c r="DP213" s="72" t="str">
        <f t="shared" si="3258"/>
        <v/>
      </c>
      <c r="DQ213" s="72" t="str">
        <f t="shared" si="3258"/>
        <v/>
      </c>
      <c r="DR213" s="72" t="str">
        <f t="shared" si="3258"/>
        <v/>
      </c>
      <c r="DS213" s="72" t="str">
        <f t="shared" si="3258"/>
        <v/>
      </c>
      <c r="DT213" s="72" t="str">
        <f t="shared" si="3258"/>
        <v/>
      </c>
      <c r="DU213" s="72" t="str">
        <f t="shared" si="3258"/>
        <v/>
      </c>
      <c r="DV213" s="72" t="str">
        <f t="shared" si="3259"/>
        <v/>
      </c>
      <c r="DW213" s="72" t="str">
        <f t="shared" si="3259"/>
        <v/>
      </c>
      <c r="DX213" s="72" t="str">
        <f t="shared" si="3259"/>
        <v/>
      </c>
      <c r="DY213" s="72" t="str">
        <f t="shared" si="3259"/>
        <v/>
      </c>
      <c r="DZ213" s="72" t="str">
        <f t="shared" si="3259"/>
        <v/>
      </c>
      <c r="EA213" s="72" t="str">
        <f t="shared" si="3259"/>
        <v/>
      </c>
      <c r="EB213" s="72" t="str">
        <f t="shared" si="3259"/>
        <v/>
      </c>
      <c r="EC213" s="72" t="str">
        <f t="shared" si="3259"/>
        <v/>
      </c>
      <c r="ED213" s="72" t="str">
        <f t="shared" si="3259"/>
        <v/>
      </c>
      <c r="EE213" s="72" t="str">
        <f t="shared" si="3259"/>
        <v/>
      </c>
      <c r="EF213" s="72" t="str">
        <f t="shared" si="3260"/>
        <v/>
      </c>
      <c r="EG213" s="72" t="str">
        <f t="shared" si="3260"/>
        <v/>
      </c>
      <c r="EH213" s="72" t="str">
        <f t="shared" si="3260"/>
        <v/>
      </c>
      <c r="EI213" s="72" t="str">
        <f t="shared" si="3260"/>
        <v/>
      </c>
      <c r="EJ213" s="72" t="str">
        <f t="shared" si="3260"/>
        <v/>
      </c>
      <c r="EK213" s="72" t="str">
        <f t="shared" si="3260"/>
        <v/>
      </c>
      <c r="EL213" s="72" t="str">
        <f t="shared" si="3260"/>
        <v/>
      </c>
      <c r="EM213" s="72" t="str">
        <f t="shared" si="3260"/>
        <v/>
      </c>
      <c r="EN213" s="72" t="str">
        <f t="shared" si="3260"/>
        <v/>
      </c>
      <c r="EO213" s="72" t="str">
        <f t="shared" si="3260"/>
        <v/>
      </c>
      <c r="EP213" s="72" t="str">
        <f t="shared" si="3261"/>
        <v/>
      </c>
      <c r="EQ213" s="72" t="str">
        <f t="shared" si="3261"/>
        <v/>
      </c>
      <c r="ER213" s="72" t="str">
        <f t="shared" si="3261"/>
        <v/>
      </c>
      <c r="ES213" s="72" t="str">
        <f t="shared" si="3261"/>
        <v/>
      </c>
      <c r="ET213" s="72" t="str">
        <f t="shared" si="3261"/>
        <v/>
      </c>
      <c r="EU213" s="72" t="str">
        <f t="shared" si="3261"/>
        <v/>
      </c>
      <c r="EV213" s="72" t="str">
        <f t="shared" si="3261"/>
        <v/>
      </c>
      <c r="EW213" s="72" t="str">
        <f t="shared" si="3261"/>
        <v/>
      </c>
      <c r="EX213" s="72" t="str">
        <f t="shared" si="3261"/>
        <v/>
      </c>
      <c r="EY213" s="72" t="str">
        <f t="shared" si="3261"/>
        <v/>
      </c>
      <c r="EZ213" s="72" t="str">
        <f t="shared" si="3262"/>
        <v/>
      </c>
      <c r="FA213" s="72" t="str">
        <f t="shared" si="3262"/>
        <v/>
      </c>
      <c r="FB213" s="72" t="str">
        <f t="shared" si="3262"/>
        <v/>
      </c>
      <c r="FC213" s="72" t="str">
        <f t="shared" si="3262"/>
        <v/>
      </c>
      <c r="FD213" s="72" t="str">
        <f t="shared" si="3262"/>
        <v/>
      </c>
      <c r="FE213" s="72" t="str">
        <f t="shared" si="3262"/>
        <v/>
      </c>
      <c r="FF213" s="72" t="str">
        <f t="shared" si="3262"/>
        <v/>
      </c>
      <c r="FG213" s="72" t="str">
        <f t="shared" si="3262"/>
        <v/>
      </c>
      <c r="FH213" s="72" t="str">
        <f t="shared" si="3262"/>
        <v/>
      </c>
      <c r="FI213" s="72" t="str">
        <f t="shared" si="3262"/>
        <v/>
      </c>
      <c r="FJ213" s="72" t="str">
        <f t="shared" si="3263"/>
        <v/>
      </c>
      <c r="FK213" s="72" t="str">
        <f t="shared" si="3263"/>
        <v/>
      </c>
      <c r="FL213" s="72" t="str">
        <f t="shared" si="3263"/>
        <v/>
      </c>
      <c r="FM213" s="72" t="str">
        <f t="shared" si="3263"/>
        <v/>
      </c>
      <c r="FN213" s="72" t="str">
        <f t="shared" si="3263"/>
        <v/>
      </c>
      <c r="FO213" s="72" t="str">
        <f t="shared" si="3263"/>
        <v/>
      </c>
      <c r="FP213" s="72" t="str">
        <f t="shared" si="3263"/>
        <v/>
      </c>
      <c r="FQ213" s="72" t="str">
        <f t="shared" si="3263"/>
        <v/>
      </c>
      <c r="FR213" s="72" t="str">
        <f t="shared" si="3263"/>
        <v/>
      </c>
      <c r="FS213" s="72" t="str">
        <f t="shared" si="3263"/>
        <v/>
      </c>
    </row>
    <row r="214" spans="1:175" ht="15">
      <c r="A214" s="81"/>
      <c r="B214" s="104" t="s">
        <v>748</v>
      </c>
      <c r="C214" s="81" t="s">
        <v>749</v>
      </c>
      <c r="T214" s="136" t="s">
        <v>740</v>
      </c>
      <c r="U214" s="137" t="s">
        <v>750</v>
      </c>
      <c r="CN214" s="70" t="str">
        <f t="shared" si="3264"/>
        <v>InitUnitState('IS08',,,,,,,,,,)</v>
      </c>
      <c r="CO214" s="70" t="str">
        <f t="shared" si="3265"/>
        <v>InitUnitNormal('IS08',,,,,,,,,,)</v>
      </c>
      <c r="CP214" s="70" t="str">
        <f t="shared" si="3266"/>
        <v>InitUnitMagic('IS08',,,,,,,,,,)</v>
      </c>
      <c r="CQ214" s="70" t="str">
        <f t="shared" si="3267"/>
        <v>InitUnitAdd('IS08',,,,,,,,,,)</v>
      </c>
      <c r="CR214" s="70" t="e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#REF!&amp;CR$1&amp;")"</f>
        <v>#REF!</v>
      </c>
      <c r="CU214" s="98" t="str">
        <f t="shared" si="3268"/>
        <v>|n</v>
      </c>
      <c r="CV214" s="71" t="str">
        <f t="shared" si="3269"/>
        <v>低概率获得C级技能，高概率获得|Cff00ff7fB级技能|r，低概率获得|Cff2693ffA级技能|r。</v>
      </c>
      <c r="CW214" s="61"/>
      <c r="CX214" s="61"/>
      <c r="CY214" s="61"/>
      <c r="CZ214" s="61"/>
      <c r="DA214" s="61"/>
      <c r="DB214" s="72" t="str">
        <f t="shared" ref="DB214" si="3270">IF(V214="","","|n"&amp;DB$2&amp;"+"&amp;V214&amp;DB$1)</f>
        <v/>
      </c>
      <c r="DC214" s="72" t="str">
        <f t="shared" ref="DC214" si="3271">IF(W214="","","|n"&amp;DC$2&amp;"+"&amp;W214&amp;DC$1)</f>
        <v/>
      </c>
      <c r="DD214" s="72" t="str">
        <f t="shared" ref="DD214" si="3272">IF(X214="","","|n"&amp;DD$2&amp;"+"&amp;X214&amp;DD$1)</f>
        <v/>
      </c>
      <c r="DE214" s="72" t="str">
        <f t="shared" ref="DE214" si="3273">IF(Y214="","","|n"&amp;DE$2&amp;"+"&amp;Y214&amp;DE$1)</f>
        <v/>
      </c>
      <c r="DF214" s="72" t="str">
        <f t="shared" ref="DF214" si="3274">IF(Z214="","","|n"&amp;DF$2&amp;"+"&amp;Z214&amp;DF$1)</f>
        <v/>
      </c>
      <c r="DG214" s="72" t="str">
        <f t="shared" ref="DG214" si="3275">IF(AA214="","","|n"&amp;DG$2&amp;"+"&amp;AA214&amp;DG$1)</f>
        <v/>
      </c>
      <c r="DH214" s="72" t="str">
        <f t="shared" ref="DH214" si="3276">IF(AB214="","","|n"&amp;DH$2&amp;"+"&amp;AB214&amp;DH$1)</f>
        <v/>
      </c>
      <c r="DI214" s="72" t="str">
        <f t="shared" ref="DI214" si="3277">IF(AC214="","","|n"&amp;DI$2&amp;"+"&amp;AC214&amp;DI$1)</f>
        <v/>
      </c>
      <c r="DJ214" s="72" t="str">
        <f t="shared" ref="DJ214" si="3278">IF(AD214="","","|n"&amp;DJ$2&amp;"+"&amp;AD214&amp;DJ$1)</f>
        <v/>
      </c>
      <c r="DK214" s="72" t="str">
        <f t="shared" ref="DK214" si="3279">IF(AE214="","","|n"&amp;DK$2&amp;"+"&amp;AE214&amp;DK$1)</f>
        <v/>
      </c>
      <c r="DL214" s="72" t="str">
        <f t="shared" ref="DL214" si="3280">IF(AF214="","","|n"&amp;DL$2&amp;"+"&amp;AF214&amp;DL$1)</f>
        <v/>
      </c>
      <c r="DM214" s="72" t="str">
        <f t="shared" ref="DM214" si="3281">IF(AG214="","","|n"&amp;DM$2&amp;"+"&amp;AG214&amp;DM$1)</f>
        <v/>
      </c>
      <c r="DN214" s="72" t="str">
        <f t="shared" ref="DN214" si="3282">IF(AH214="","","|n"&amp;DN$2&amp;"+"&amp;AH214&amp;DN$1)</f>
        <v/>
      </c>
      <c r="DO214" s="72" t="str">
        <f t="shared" ref="DO214" si="3283">IF(AI214="","","|n"&amp;DO$2&amp;"+"&amp;AI214&amp;DO$1)</f>
        <v/>
      </c>
      <c r="DP214" s="72" t="str">
        <f t="shared" ref="DP214" si="3284">IF(AJ214="","","|n"&amp;DP$2&amp;"+"&amp;AJ214&amp;DP$1)</f>
        <v/>
      </c>
      <c r="DQ214" s="72" t="str">
        <f t="shared" ref="DQ214" si="3285">IF(AK214="","","|n"&amp;DQ$2&amp;"+"&amp;AK214&amp;DQ$1)</f>
        <v/>
      </c>
      <c r="DR214" s="72" t="str">
        <f t="shared" ref="DR214" si="3286">IF(AL214="","","|n"&amp;DR$2&amp;"+"&amp;AL214&amp;DR$1)</f>
        <v/>
      </c>
      <c r="DS214" s="72" t="str">
        <f t="shared" ref="DS214" si="3287">IF(AM214="","","|n"&amp;DS$2&amp;"+"&amp;AM214&amp;DS$1)</f>
        <v/>
      </c>
      <c r="DT214" s="72" t="str">
        <f t="shared" ref="DT214" si="3288">IF(AN214="","","|n"&amp;DT$2&amp;"+"&amp;AN214&amp;DT$1)</f>
        <v/>
      </c>
      <c r="DU214" s="72" t="str">
        <f t="shared" ref="DU214" si="3289">IF(AO214="","","|n"&amp;DU$2&amp;"+"&amp;AO214&amp;DU$1)</f>
        <v/>
      </c>
      <c r="DV214" s="72" t="str">
        <f t="shared" ref="DV214" si="3290">IF(AP214="","","|n"&amp;DV$2&amp;"+"&amp;AP214&amp;DV$1)</f>
        <v/>
      </c>
      <c r="DW214" s="72" t="str">
        <f t="shared" ref="DW214" si="3291">IF(AQ214="","","|n"&amp;DW$2&amp;"+"&amp;AQ214&amp;DW$1)</f>
        <v/>
      </c>
      <c r="DX214" s="72" t="str">
        <f t="shared" ref="DX214" si="3292">IF(AR214="","","|n"&amp;DX$2&amp;"+"&amp;AR214&amp;DX$1)</f>
        <v/>
      </c>
      <c r="DY214" s="72" t="str">
        <f t="shared" ref="DY214" si="3293">IF(AS214="","","|n"&amp;DY$2&amp;"+"&amp;AS214&amp;DY$1)</f>
        <v/>
      </c>
      <c r="DZ214" s="72" t="str">
        <f t="shared" ref="DZ214" si="3294">IF(AT214="","","|n"&amp;DZ$2&amp;"+"&amp;AT214&amp;DZ$1)</f>
        <v/>
      </c>
      <c r="EA214" s="72" t="str">
        <f t="shared" ref="EA214" si="3295">IF(AU214="","","|n"&amp;EA$2&amp;"+"&amp;AU214&amp;EA$1)</f>
        <v/>
      </c>
      <c r="EB214" s="72" t="str">
        <f t="shared" ref="EB214" si="3296">IF(AV214="","","|n"&amp;EB$2&amp;"+"&amp;AV214&amp;EB$1)</f>
        <v/>
      </c>
      <c r="EC214" s="72" t="str">
        <f t="shared" ref="EC214" si="3297">IF(AW214="","","|n"&amp;EC$2&amp;"+"&amp;AW214&amp;EC$1)</f>
        <v/>
      </c>
      <c r="ED214" s="72" t="str">
        <f t="shared" ref="ED214" si="3298">IF(AX214="","","|n"&amp;ED$2&amp;"+"&amp;AX214&amp;ED$1)</f>
        <v/>
      </c>
      <c r="EE214" s="72" t="str">
        <f t="shared" ref="EE214" si="3299">IF(AY214="","","|n"&amp;EE$2&amp;"+"&amp;AY214&amp;EE$1)</f>
        <v/>
      </c>
      <c r="EF214" s="72" t="str">
        <f t="shared" ref="EF214" si="3300">IF(AZ214="","","|n"&amp;EF$2&amp;"+"&amp;AZ214&amp;EF$1)</f>
        <v/>
      </c>
      <c r="EG214" s="72" t="str">
        <f t="shared" ref="EG214" si="3301">IF(BA214="","","|n"&amp;EG$2&amp;"+"&amp;BA214&amp;EG$1)</f>
        <v/>
      </c>
      <c r="EH214" s="72" t="str">
        <f t="shared" ref="EH214" si="3302">IF(BB214="","","|n"&amp;EH$2&amp;"+"&amp;BB214&amp;EH$1)</f>
        <v/>
      </c>
      <c r="EI214" s="72" t="str">
        <f t="shared" ref="EI214" si="3303">IF(BC214="","","|n"&amp;EI$2&amp;"+"&amp;BC214&amp;EI$1)</f>
        <v/>
      </c>
      <c r="EJ214" s="72" t="str">
        <f t="shared" ref="EJ214" si="3304">IF(BD214="","","|n"&amp;EJ$2&amp;"+"&amp;BD214&amp;EJ$1)</f>
        <v/>
      </c>
      <c r="EK214" s="72" t="str">
        <f t="shared" ref="EK214" si="3305">IF(BE214="","","|n"&amp;EK$2&amp;"+"&amp;BE214&amp;EK$1)</f>
        <v/>
      </c>
      <c r="EL214" s="72" t="str">
        <f t="shared" ref="EL214" si="3306">IF(BF214="","","|n"&amp;EL$2&amp;"+"&amp;BF214&amp;EL$1)</f>
        <v/>
      </c>
      <c r="EM214" s="72" t="str">
        <f t="shared" ref="EM214" si="3307">IF(BG214="","","|n"&amp;EM$2&amp;"+"&amp;BG214&amp;EM$1)</f>
        <v/>
      </c>
      <c r="EN214" s="72" t="str">
        <f t="shared" ref="EN214" si="3308">IF(BH214="","","|n"&amp;EN$2&amp;"+"&amp;BH214&amp;EN$1)</f>
        <v/>
      </c>
      <c r="EO214" s="72" t="str">
        <f t="shared" ref="EO214" si="3309">IF(BI214="","","|n"&amp;EO$2&amp;"+"&amp;BI214&amp;EO$1)</f>
        <v/>
      </c>
      <c r="EP214" s="72" t="str">
        <f t="shared" ref="EP214" si="3310">IF(BJ214="","","|n"&amp;EP$2&amp;"+"&amp;BJ214&amp;EP$1)</f>
        <v/>
      </c>
      <c r="EQ214" s="72" t="str">
        <f t="shared" ref="EQ214" si="3311">IF(BK214="","","|n"&amp;EQ$2&amp;"+"&amp;BK214&amp;EQ$1)</f>
        <v/>
      </c>
      <c r="ER214" s="72" t="str">
        <f t="shared" ref="ER214" si="3312">IF(BL214="","","|n"&amp;ER$2&amp;"+"&amp;BL214&amp;ER$1)</f>
        <v/>
      </c>
      <c r="ES214" s="72" t="str">
        <f t="shared" ref="ES214" si="3313">IF(BM214="","","|n"&amp;ES$2&amp;"+"&amp;BM214&amp;ES$1)</f>
        <v/>
      </c>
      <c r="ET214" s="72" t="str">
        <f t="shared" ref="ET214" si="3314">IF(BN214="","","|n"&amp;ET$2&amp;"+"&amp;BN214&amp;ET$1)</f>
        <v/>
      </c>
      <c r="EU214" s="72" t="str">
        <f t="shared" ref="EU214" si="3315">IF(BO214="","","|n"&amp;EU$2&amp;"+"&amp;BO214&amp;EU$1)</f>
        <v/>
      </c>
      <c r="EV214" s="72" t="str">
        <f t="shared" ref="EV214" si="3316">IF(BP214="","","|n"&amp;EV$2&amp;"+"&amp;BP214&amp;EV$1)</f>
        <v/>
      </c>
      <c r="EW214" s="72" t="str">
        <f t="shared" ref="EW214" si="3317">IF(BQ214="","","|n"&amp;EW$2&amp;"+"&amp;BQ214&amp;EW$1)</f>
        <v/>
      </c>
      <c r="EX214" s="72" t="str">
        <f t="shared" ref="EX214" si="3318">IF(BR214="","","|n"&amp;EX$2&amp;"+"&amp;BR214&amp;EX$1)</f>
        <v/>
      </c>
      <c r="EY214" s="72" t="str">
        <f t="shared" ref="EY214" si="3319">IF(BS214="","","|n"&amp;EY$2&amp;"+"&amp;BS214&amp;EY$1)</f>
        <v/>
      </c>
      <c r="EZ214" s="72" t="str">
        <f t="shared" ref="EZ214" si="3320">IF(BT214="","","|n"&amp;EZ$2&amp;"+"&amp;BT214&amp;EZ$1)</f>
        <v/>
      </c>
      <c r="FA214" s="72" t="str">
        <f t="shared" ref="FA214" si="3321">IF(BU214="","","|n"&amp;FA$2&amp;"+"&amp;BU214&amp;FA$1)</f>
        <v/>
      </c>
      <c r="FB214" s="72" t="str">
        <f t="shared" ref="FB214" si="3322">IF(BV214="","","|n"&amp;FB$2&amp;"+"&amp;BV214&amp;FB$1)</f>
        <v/>
      </c>
      <c r="FC214" s="72" t="str">
        <f t="shared" ref="FC214" si="3323">IF(BW214="","","|n"&amp;FC$2&amp;"+"&amp;BW214&amp;FC$1)</f>
        <v/>
      </c>
      <c r="FD214" s="72" t="str">
        <f t="shared" ref="FD214" si="3324">IF(BX214="","","|n"&amp;FD$2&amp;"+"&amp;BX214&amp;FD$1)</f>
        <v/>
      </c>
      <c r="FE214" s="72" t="str">
        <f t="shared" ref="FE214" si="3325">IF(BY214="","","|n"&amp;FE$2&amp;"+"&amp;BY214&amp;FE$1)</f>
        <v/>
      </c>
      <c r="FF214" s="72" t="str">
        <f t="shared" ref="FF214" si="3326">IF(BZ214="","","|n"&amp;FF$2&amp;"+"&amp;BZ214&amp;FF$1)</f>
        <v/>
      </c>
      <c r="FG214" s="72" t="str">
        <f t="shared" ref="FG214" si="3327">IF(CA214="","","|n"&amp;FG$2&amp;"+"&amp;CA214&amp;FG$1)</f>
        <v/>
      </c>
      <c r="FH214" s="72" t="str">
        <f t="shared" ref="FH214" si="3328">IF(CB214="","","|n"&amp;FH$2&amp;"+"&amp;CB214&amp;FH$1)</f>
        <v/>
      </c>
      <c r="FI214" s="72" t="str">
        <f t="shared" ref="FI214" si="3329">IF(CC214="","","|n"&amp;FI$2&amp;"+"&amp;CC214&amp;FI$1)</f>
        <v/>
      </c>
      <c r="FJ214" s="72" t="str">
        <f t="shared" ref="FJ214" si="3330">IF(CD214="","","|n"&amp;FJ$2&amp;"+"&amp;CD214&amp;FJ$1)</f>
        <v/>
      </c>
      <c r="FK214" s="72" t="str">
        <f t="shared" ref="FK214" si="3331">IF(CE214="","","|n"&amp;FK$2&amp;"+"&amp;CE214&amp;FK$1)</f>
        <v/>
      </c>
      <c r="FL214" s="72" t="str">
        <f t="shared" ref="FL214" si="3332">IF(CF214="","","|n"&amp;FL$2&amp;"+"&amp;CF214&amp;FL$1)</f>
        <v/>
      </c>
      <c r="FM214" s="72" t="str">
        <f t="shared" ref="FM214" si="3333">IF(CG214="","","|n"&amp;FM$2&amp;"+"&amp;CG214&amp;FM$1)</f>
        <v/>
      </c>
      <c r="FN214" s="72" t="str">
        <f t="shared" ref="FN214" si="3334">IF(CH214="","","|n"&amp;FN$2&amp;"+"&amp;CH214&amp;FN$1)</f>
        <v/>
      </c>
      <c r="FO214" s="72" t="str">
        <f t="shared" ref="FO214" si="3335">IF(CI214="","","|n"&amp;FO$2&amp;"+"&amp;CI214&amp;FO$1)</f>
        <v/>
      </c>
      <c r="FP214" s="72" t="str">
        <f t="shared" ref="FP214" si="3336">IF(CJ214="","","|n"&amp;FP$2&amp;"+"&amp;CJ214&amp;FP$1)</f>
        <v/>
      </c>
      <c r="FQ214" s="72" t="str">
        <f t="shared" ref="FQ214" si="3337">IF(CK214="","","|n"&amp;FQ$2&amp;"+"&amp;CK214&amp;FQ$1)</f>
        <v/>
      </c>
      <c r="FR214" s="72" t="str">
        <f t="shared" ref="FR214" si="3338">IF(CL214="","","|n"&amp;FR$2&amp;"+"&amp;CL214&amp;FR$1)</f>
        <v/>
      </c>
      <c r="FS214" s="72" t="str">
        <f t="shared" ref="FS214" si="3339">IF(CM214="","","|n"&amp;FS$2&amp;"+"&amp;CM214&amp;FS$1)</f>
        <v/>
      </c>
    </row>
    <row r="215" spans="1:175" ht="15">
      <c r="A215" s="81"/>
      <c r="B215" s="104" t="s">
        <v>751</v>
      </c>
      <c r="C215" s="81" t="s">
        <v>752</v>
      </c>
      <c r="T215" s="123" t="s">
        <v>753</v>
      </c>
      <c r="U215" s="88" t="s">
        <v>754</v>
      </c>
      <c r="CN215" s="70" t="str">
        <f t="shared" si="3242"/>
        <v>InitUnitState('IS21',,,,,,,,,,)</v>
      </c>
      <c r="CO215" s="70" t="str">
        <f t="shared" si="3243"/>
        <v>InitUnitNormal('IS21',,,,,,,,,,)</v>
      </c>
      <c r="CP215" s="70" t="str">
        <f t="shared" si="3244"/>
        <v>InitUnitMagic('IS21',,,,,,,,,,)</v>
      </c>
      <c r="CQ215" s="70" t="str">
        <f t="shared" si="3245"/>
        <v>InitUnitAdd('IS21',,,,,,,,,,)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InitEquipData('IS21',,"",,,,,'','','','','','',"ReplaceableTextures\\CommandButtons\\BTNIN02.blp")</v>
      </c>
      <c r="CU215" s="98" t="str">
        <f t="shared" si="3246"/>
        <v>|n</v>
      </c>
      <c r="CV215" s="71" t="str">
        <f t="shared" si="3247"/>
        <v>为|Cffffd24dQ技能|r附魔一条|Cffffd24d随机属性|r。</v>
      </c>
      <c r="CW215" s="61"/>
      <c r="CX215" s="61"/>
      <c r="CY215" s="61"/>
      <c r="CZ215" s="61"/>
      <c r="DA215" s="61"/>
      <c r="DB215" s="72" t="str">
        <f t="shared" si="3257"/>
        <v/>
      </c>
      <c r="DC215" s="72" t="str">
        <f t="shared" si="3257"/>
        <v/>
      </c>
      <c r="DD215" s="72" t="str">
        <f t="shared" si="3257"/>
        <v/>
      </c>
      <c r="DE215" s="72" t="str">
        <f t="shared" si="3257"/>
        <v/>
      </c>
      <c r="DF215" s="72" t="str">
        <f t="shared" si="3257"/>
        <v/>
      </c>
      <c r="DG215" s="72" t="str">
        <f t="shared" si="3257"/>
        <v/>
      </c>
      <c r="DH215" s="72" t="str">
        <f t="shared" si="3257"/>
        <v/>
      </c>
      <c r="DI215" s="72" t="str">
        <f t="shared" si="3257"/>
        <v/>
      </c>
      <c r="DJ215" s="72" t="str">
        <f t="shared" si="3257"/>
        <v/>
      </c>
      <c r="DK215" s="72" t="str">
        <f t="shared" si="3257"/>
        <v/>
      </c>
      <c r="DL215" s="72" t="str">
        <f t="shared" si="3258"/>
        <v/>
      </c>
      <c r="DM215" s="72" t="str">
        <f t="shared" si="3258"/>
        <v/>
      </c>
      <c r="DN215" s="72" t="str">
        <f t="shared" si="3258"/>
        <v/>
      </c>
      <c r="DO215" s="72" t="str">
        <f t="shared" si="3258"/>
        <v/>
      </c>
      <c r="DP215" s="72" t="str">
        <f t="shared" si="3258"/>
        <v/>
      </c>
      <c r="DQ215" s="72" t="str">
        <f t="shared" si="3258"/>
        <v/>
      </c>
      <c r="DR215" s="72" t="str">
        <f t="shared" si="3258"/>
        <v/>
      </c>
      <c r="DS215" s="72" t="str">
        <f t="shared" si="3258"/>
        <v/>
      </c>
      <c r="DT215" s="72" t="str">
        <f t="shared" si="3258"/>
        <v/>
      </c>
      <c r="DU215" s="72" t="str">
        <f t="shared" si="3258"/>
        <v/>
      </c>
      <c r="DV215" s="72" t="str">
        <f t="shared" si="3259"/>
        <v/>
      </c>
      <c r="DW215" s="72" t="str">
        <f t="shared" si="3259"/>
        <v/>
      </c>
      <c r="DX215" s="72" t="str">
        <f t="shared" si="3259"/>
        <v/>
      </c>
      <c r="DY215" s="72" t="str">
        <f t="shared" si="3259"/>
        <v/>
      </c>
      <c r="DZ215" s="72" t="str">
        <f t="shared" si="3259"/>
        <v/>
      </c>
      <c r="EA215" s="72" t="str">
        <f t="shared" si="3259"/>
        <v/>
      </c>
      <c r="EB215" s="72" t="str">
        <f t="shared" si="3259"/>
        <v/>
      </c>
      <c r="EC215" s="72" t="str">
        <f t="shared" si="3259"/>
        <v/>
      </c>
      <c r="ED215" s="72" t="str">
        <f t="shared" si="3259"/>
        <v/>
      </c>
      <c r="EE215" s="72" t="str">
        <f t="shared" si="3259"/>
        <v/>
      </c>
      <c r="EF215" s="72" t="str">
        <f t="shared" si="3260"/>
        <v/>
      </c>
      <c r="EG215" s="72" t="str">
        <f t="shared" si="3260"/>
        <v/>
      </c>
      <c r="EH215" s="72" t="str">
        <f t="shared" si="3260"/>
        <v/>
      </c>
      <c r="EI215" s="72" t="str">
        <f t="shared" si="3260"/>
        <v/>
      </c>
      <c r="EJ215" s="72" t="str">
        <f t="shared" si="3260"/>
        <v/>
      </c>
      <c r="EK215" s="72" t="str">
        <f t="shared" si="3260"/>
        <v/>
      </c>
      <c r="EL215" s="72" t="str">
        <f t="shared" si="3260"/>
        <v/>
      </c>
      <c r="EM215" s="72" t="str">
        <f t="shared" si="3260"/>
        <v/>
      </c>
      <c r="EN215" s="72" t="str">
        <f t="shared" si="3260"/>
        <v/>
      </c>
      <c r="EO215" s="72" t="str">
        <f t="shared" si="3260"/>
        <v/>
      </c>
      <c r="EP215" s="72" t="str">
        <f t="shared" si="3261"/>
        <v/>
      </c>
      <c r="EQ215" s="72" t="str">
        <f t="shared" si="3261"/>
        <v/>
      </c>
      <c r="ER215" s="72" t="str">
        <f t="shared" si="3261"/>
        <v/>
      </c>
      <c r="ES215" s="72" t="str">
        <f t="shared" si="3261"/>
        <v/>
      </c>
      <c r="ET215" s="72" t="str">
        <f t="shared" si="3261"/>
        <v/>
      </c>
      <c r="EU215" s="72" t="str">
        <f t="shared" si="3261"/>
        <v/>
      </c>
      <c r="EV215" s="72" t="str">
        <f t="shared" si="3261"/>
        <v/>
      </c>
      <c r="EW215" s="72" t="str">
        <f t="shared" si="3261"/>
        <v/>
      </c>
      <c r="EX215" s="72" t="str">
        <f t="shared" si="3261"/>
        <v/>
      </c>
      <c r="EY215" s="72" t="str">
        <f t="shared" si="3261"/>
        <v/>
      </c>
      <c r="EZ215" s="72" t="str">
        <f t="shared" si="3262"/>
        <v/>
      </c>
      <c r="FA215" s="72" t="str">
        <f t="shared" si="3262"/>
        <v/>
      </c>
      <c r="FB215" s="72" t="str">
        <f t="shared" si="3262"/>
        <v/>
      </c>
      <c r="FC215" s="72" t="str">
        <f t="shared" si="3262"/>
        <v/>
      </c>
      <c r="FD215" s="72" t="str">
        <f t="shared" si="3262"/>
        <v/>
      </c>
      <c r="FE215" s="72" t="str">
        <f t="shared" si="3262"/>
        <v/>
      </c>
      <c r="FF215" s="72" t="str">
        <f t="shared" si="3262"/>
        <v/>
      </c>
      <c r="FG215" s="72" t="str">
        <f t="shared" si="3262"/>
        <v/>
      </c>
      <c r="FH215" s="72" t="str">
        <f t="shared" si="3262"/>
        <v/>
      </c>
      <c r="FI215" s="72" t="str">
        <f t="shared" si="3262"/>
        <v/>
      </c>
      <c r="FJ215" s="72" t="str">
        <f t="shared" si="3263"/>
        <v/>
      </c>
      <c r="FK215" s="72" t="str">
        <f t="shared" si="3263"/>
        <v/>
      </c>
      <c r="FL215" s="72" t="str">
        <f t="shared" si="3263"/>
        <v/>
      </c>
      <c r="FM215" s="72" t="str">
        <f t="shared" si="3263"/>
        <v/>
      </c>
      <c r="FN215" s="72" t="str">
        <f t="shared" si="3263"/>
        <v/>
      </c>
      <c r="FO215" s="72" t="str">
        <f t="shared" si="3263"/>
        <v/>
      </c>
      <c r="FP215" s="72" t="str">
        <f t="shared" si="3263"/>
        <v/>
      </c>
      <c r="FQ215" s="72" t="str">
        <f t="shared" si="3263"/>
        <v/>
      </c>
      <c r="FR215" s="72" t="str">
        <f t="shared" si="3263"/>
        <v/>
      </c>
      <c r="FS215" s="72" t="str">
        <f t="shared" si="3263"/>
        <v/>
      </c>
    </row>
    <row r="216" spans="1:175" ht="15">
      <c r="A216" s="81"/>
      <c r="B216" s="104" t="s">
        <v>755</v>
      </c>
      <c r="C216" s="81" t="s">
        <v>756</v>
      </c>
      <c r="T216" s="123" t="s">
        <v>757</v>
      </c>
      <c r="U216" s="88" t="s">
        <v>758</v>
      </c>
      <c r="CN216" s="70" t="str">
        <f t="shared" si="3242"/>
        <v>InitUnitState('IS22',,,,,,,,,,)</v>
      </c>
      <c r="CO216" s="70" t="str">
        <f t="shared" si="3243"/>
        <v>InitUnitNormal('IS22',,,,,,,,,,)</v>
      </c>
      <c r="CP216" s="70" t="str">
        <f t="shared" si="3244"/>
        <v>InitUnitMagic('IS22',,,,,,,,,,)</v>
      </c>
      <c r="CQ216" s="70" t="str">
        <f t="shared" si="3245"/>
        <v>InitUnitAdd('IS22',,,,,,,,,,)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InitEquipData('IS22',,"",,,,,'','','','','','',"ReplaceableTextures\\CommandButtons\\BTNIN03.blp")</v>
      </c>
      <c r="CU216" s="98" t="str">
        <f t="shared" si="3246"/>
        <v>|n</v>
      </c>
      <c r="CV216" s="71" t="str">
        <f t="shared" si="3247"/>
        <v>为|Cffffd24dW技能|r附魔一条|Cffffd24d随机属性|r。</v>
      </c>
      <c r="CW216" s="61"/>
      <c r="CX216" s="61"/>
      <c r="CY216" s="61"/>
      <c r="CZ216" s="61"/>
      <c r="DA216" s="61"/>
      <c r="DB216" s="72" t="str">
        <f t="shared" si="3257"/>
        <v/>
      </c>
      <c r="DC216" s="72" t="str">
        <f t="shared" si="3257"/>
        <v/>
      </c>
      <c r="DD216" s="72" t="str">
        <f t="shared" si="3257"/>
        <v/>
      </c>
      <c r="DE216" s="72" t="str">
        <f t="shared" si="3257"/>
        <v/>
      </c>
      <c r="DF216" s="72" t="str">
        <f t="shared" si="3257"/>
        <v/>
      </c>
      <c r="DG216" s="72" t="str">
        <f t="shared" si="3257"/>
        <v/>
      </c>
      <c r="DH216" s="72" t="str">
        <f t="shared" si="3257"/>
        <v/>
      </c>
      <c r="DI216" s="72" t="str">
        <f t="shared" si="3257"/>
        <v/>
      </c>
      <c r="DJ216" s="72" t="str">
        <f t="shared" si="3257"/>
        <v/>
      </c>
      <c r="DK216" s="72" t="str">
        <f t="shared" si="3257"/>
        <v/>
      </c>
      <c r="DL216" s="72" t="str">
        <f t="shared" si="3258"/>
        <v/>
      </c>
      <c r="DM216" s="72" t="str">
        <f t="shared" si="3258"/>
        <v/>
      </c>
      <c r="DN216" s="72" t="str">
        <f t="shared" si="3258"/>
        <v/>
      </c>
      <c r="DO216" s="72" t="str">
        <f t="shared" si="3258"/>
        <v/>
      </c>
      <c r="DP216" s="72" t="str">
        <f t="shared" si="3258"/>
        <v/>
      </c>
      <c r="DQ216" s="72" t="str">
        <f t="shared" si="3258"/>
        <v/>
      </c>
      <c r="DR216" s="72" t="str">
        <f t="shared" si="3258"/>
        <v/>
      </c>
      <c r="DS216" s="72" t="str">
        <f t="shared" si="3258"/>
        <v/>
      </c>
      <c r="DT216" s="72" t="str">
        <f t="shared" si="3258"/>
        <v/>
      </c>
      <c r="DU216" s="72" t="str">
        <f t="shared" si="3258"/>
        <v/>
      </c>
      <c r="DV216" s="72" t="str">
        <f t="shared" si="3259"/>
        <v/>
      </c>
      <c r="DW216" s="72" t="str">
        <f t="shared" si="3259"/>
        <v/>
      </c>
      <c r="DX216" s="72" t="str">
        <f t="shared" si="3259"/>
        <v/>
      </c>
      <c r="DY216" s="72" t="str">
        <f t="shared" si="3259"/>
        <v/>
      </c>
      <c r="DZ216" s="72" t="str">
        <f t="shared" si="3259"/>
        <v/>
      </c>
      <c r="EA216" s="72" t="str">
        <f t="shared" si="3259"/>
        <v/>
      </c>
      <c r="EB216" s="72" t="str">
        <f t="shared" si="3259"/>
        <v/>
      </c>
      <c r="EC216" s="72" t="str">
        <f t="shared" si="3259"/>
        <v/>
      </c>
      <c r="ED216" s="72" t="str">
        <f t="shared" si="3259"/>
        <v/>
      </c>
      <c r="EE216" s="72" t="str">
        <f t="shared" si="3259"/>
        <v/>
      </c>
      <c r="EF216" s="72" t="str">
        <f t="shared" si="3260"/>
        <v/>
      </c>
      <c r="EG216" s="72" t="str">
        <f t="shared" si="3260"/>
        <v/>
      </c>
      <c r="EH216" s="72" t="str">
        <f t="shared" si="3260"/>
        <v/>
      </c>
      <c r="EI216" s="72" t="str">
        <f t="shared" si="3260"/>
        <v/>
      </c>
      <c r="EJ216" s="72" t="str">
        <f t="shared" si="3260"/>
        <v/>
      </c>
      <c r="EK216" s="72" t="str">
        <f t="shared" si="3260"/>
        <v/>
      </c>
      <c r="EL216" s="72" t="str">
        <f t="shared" si="3260"/>
        <v/>
      </c>
      <c r="EM216" s="72" t="str">
        <f t="shared" si="3260"/>
        <v/>
      </c>
      <c r="EN216" s="72" t="str">
        <f t="shared" si="3260"/>
        <v/>
      </c>
      <c r="EO216" s="72" t="str">
        <f t="shared" si="3260"/>
        <v/>
      </c>
      <c r="EP216" s="72" t="str">
        <f t="shared" si="3261"/>
        <v/>
      </c>
      <c r="EQ216" s="72" t="str">
        <f t="shared" si="3261"/>
        <v/>
      </c>
      <c r="ER216" s="72" t="str">
        <f t="shared" si="3261"/>
        <v/>
      </c>
      <c r="ES216" s="72" t="str">
        <f t="shared" si="3261"/>
        <v/>
      </c>
      <c r="ET216" s="72" t="str">
        <f t="shared" si="3261"/>
        <v/>
      </c>
      <c r="EU216" s="72" t="str">
        <f t="shared" si="3261"/>
        <v/>
      </c>
      <c r="EV216" s="72" t="str">
        <f t="shared" si="3261"/>
        <v/>
      </c>
      <c r="EW216" s="72" t="str">
        <f t="shared" si="3261"/>
        <v/>
      </c>
      <c r="EX216" s="72" t="str">
        <f t="shared" si="3261"/>
        <v/>
      </c>
      <c r="EY216" s="72" t="str">
        <f t="shared" si="3261"/>
        <v/>
      </c>
      <c r="EZ216" s="72" t="str">
        <f t="shared" si="3262"/>
        <v/>
      </c>
      <c r="FA216" s="72" t="str">
        <f t="shared" si="3262"/>
        <v/>
      </c>
      <c r="FB216" s="72" t="str">
        <f t="shared" si="3262"/>
        <v/>
      </c>
      <c r="FC216" s="72" t="str">
        <f t="shared" si="3262"/>
        <v/>
      </c>
      <c r="FD216" s="72" t="str">
        <f t="shared" si="3262"/>
        <v/>
      </c>
      <c r="FE216" s="72" t="str">
        <f t="shared" si="3262"/>
        <v/>
      </c>
      <c r="FF216" s="72" t="str">
        <f t="shared" si="3262"/>
        <v/>
      </c>
      <c r="FG216" s="72" t="str">
        <f t="shared" si="3262"/>
        <v/>
      </c>
      <c r="FH216" s="72" t="str">
        <f t="shared" si="3262"/>
        <v/>
      </c>
      <c r="FI216" s="72" t="str">
        <f t="shared" si="3262"/>
        <v/>
      </c>
      <c r="FJ216" s="72" t="str">
        <f t="shared" si="3263"/>
        <v/>
      </c>
      <c r="FK216" s="72" t="str">
        <f t="shared" si="3263"/>
        <v/>
      </c>
      <c r="FL216" s="72" t="str">
        <f t="shared" si="3263"/>
        <v/>
      </c>
      <c r="FM216" s="72" t="str">
        <f t="shared" si="3263"/>
        <v/>
      </c>
      <c r="FN216" s="72" t="str">
        <f t="shared" si="3263"/>
        <v/>
      </c>
      <c r="FO216" s="72" t="str">
        <f t="shared" si="3263"/>
        <v/>
      </c>
      <c r="FP216" s="72" t="str">
        <f t="shared" si="3263"/>
        <v/>
      </c>
      <c r="FQ216" s="72" t="str">
        <f t="shared" si="3263"/>
        <v/>
      </c>
      <c r="FR216" s="72" t="str">
        <f t="shared" si="3263"/>
        <v/>
      </c>
      <c r="FS216" s="72" t="str">
        <f t="shared" si="3263"/>
        <v/>
      </c>
    </row>
    <row r="217" spans="1:175" ht="15">
      <c r="A217" s="81"/>
      <c r="B217" s="104" t="s">
        <v>759</v>
      </c>
      <c r="C217" s="81" t="s">
        <v>760</v>
      </c>
      <c r="T217" s="123" t="s">
        <v>761</v>
      </c>
      <c r="U217" s="88" t="s">
        <v>762</v>
      </c>
      <c r="CN217" s="70" t="str">
        <f t="shared" si="3242"/>
        <v>InitUnitState('IS23',,,,,,,,,,)</v>
      </c>
      <c r="CO217" s="70" t="str">
        <f t="shared" si="3243"/>
        <v>InitUnitNormal('IS23',,,,,,,,,,)</v>
      </c>
      <c r="CP217" s="70" t="str">
        <f t="shared" si="3244"/>
        <v>InitUnitMagic('IS23',,,,,,,,,,)</v>
      </c>
      <c r="CQ217" s="70" t="str">
        <f t="shared" si="3245"/>
        <v>InitUnitAdd('IS23',,,,,,,,,,)</v>
      </c>
      <c r="CR217" s="70" t="e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#REF!&amp;CR$1&amp;")"</f>
        <v>#REF!</v>
      </c>
      <c r="CU217" s="98" t="str">
        <f t="shared" ref="CU217:CU220" si="334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71" t="str">
        <f t="shared" ref="CV217:CV220" si="3341">T217</f>
        <v>为|Cffffd24dE技能|r附魔一条|Cffffd24d随机属性|r。</v>
      </c>
      <c r="CW217" s="61"/>
      <c r="CX217" s="61"/>
      <c r="CY217" s="61"/>
      <c r="CZ217" s="61"/>
      <c r="DA217" s="61"/>
      <c r="DB217" s="72" t="str">
        <f t="shared" ref="DB217" si="3342">IF(V217="","","|n"&amp;DB$2&amp;"+"&amp;V217&amp;DB$1)</f>
        <v/>
      </c>
      <c r="DC217" s="72" t="str">
        <f t="shared" ref="DC217" si="3343">IF(W217="","","|n"&amp;DC$2&amp;"+"&amp;W217&amp;DC$1)</f>
        <v/>
      </c>
      <c r="DD217" s="72" t="str">
        <f t="shared" ref="DD217" si="3344">IF(X217="","","|n"&amp;DD$2&amp;"+"&amp;X217&amp;DD$1)</f>
        <v/>
      </c>
      <c r="DE217" s="72" t="str">
        <f t="shared" ref="DE217" si="3345">IF(Y217="","","|n"&amp;DE$2&amp;"+"&amp;Y217&amp;DE$1)</f>
        <v/>
      </c>
      <c r="DF217" s="72" t="str">
        <f t="shared" ref="DF217" si="3346">IF(Z217="","","|n"&amp;DF$2&amp;"+"&amp;Z217&amp;DF$1)</f>
        <v/>
      </c>
      <c r="DG217" s="72" t="str">
        <f t="shared" ref="DG217" si="3347">IF(AA217="","","|n"&amp;DG$2&amp;"+"&amp;AA217&amp;DG$1)</f>
        <v/>
      </c>
      <c r="DH217" s="72" t="str">
        <f t="shared" ref="DH217" si="3348">IF(AB217="","","|n"&amp;DH$2&amp;"+"&amp;AB217&amp;DH$1)</f>
        <v/>
      </c>
      <c r="DI217" s="72" t="str">
        <f t="shared" ref="DI217" si="3349">IF(AC217="","","|n"&amp;DI$2&amp;"+"&amp;AC217&amp;DI$1)</f>
        <v/>
      </c>
      <c r="DJ217" s="72" t="str">
        <f t="shared" ref="DJ217" si="3350">IF(AD217="","","|n"&amp;DJ$2&amp;"+"&amp;AD217&amp;DJ$1)</f>
        <v/>
      </c>
      <c r="DK217" s="72" t="str">
        <f t="shared" ref="DK217" si="3351">IF(AE217="","","|n"&amp;DK$2&amp;"+"&amp;AE217&amp;DK$1)</f>
        <v/>
      </c>
      <c r="DL217" s="72" t="str">
        <f t="shared" ref="DL217" si="3352">IF(AF217="","","|n"&amp;DL$2&amp;"+"&amp;AF217&amp;DL$1)</f>
        <v/>
      </c>
      <c r="DM217" s="72" t="str">
        <f t="shared" ref="DM217" si="3353">IF(AG217="","","|n"&amp;DM$2&amp;"+"&amp;AG217&amp;DM$1)</f>
        <v/>
      </c>
      <c r="DN217" s="72" t="str">
        <f t="shared" ref="DN217" si="3354">IF(AH217="","","|n"&amp;DN$2&amp;"+"&amp;AH217&amp;DN$1)</f>
        <v/>
      </c>
      <c r="DO217" s="72" t="str">
        <f t="shared" ref="DO217" si="3355">IF(AI217="","","|n"&amp;DO$2&amp;"+"&amp;AI217&amp;DO$1)</f>
        <v/>
      </c>
      <c r="DP217" s="72" t="str">
        <f t="shared" ref="DP217" si="3356">IF(AJ217="","","|n"&amp;DP$2&amp;"+"&amp;AJ217&amp;DP$1)</f>
        <v/>
      </c>
      <c r="DQ217" s="72" t="str">
        <f t="shared" ref="DQ217" si="3357">IF(AK217="","","|n"&amp;DQ$2&amp;"+"&amp;AK217&amp;DQ$1)</f>
        <v/>
      </c>
      <c r="DR217" s="72" t="str">
        <f t="shared" ref="DR217" si="3358">IF(AL217="","","|n"&amp;DR$2&amp;"+"&amp;AL217&amp;DR$1)</f>
        <v/>
      </c>
      <c r="DS217" s="72" t="str">
        <f t="shared" ref="DS217" si="3359">IF(AM217="","","|n"&amp;DS$2&amp;"+"&amp;AM217&amp;DS$1)</f>
        <v/>
      </c>
      <c r="DT217" s="72" t="str">
        <f t="shared" ref="DT217" si="3360">IF(AN217="","","|n"&amp;DT$2&amp;"+"&amp;AN217&amp;DT$1)</f>
        <v/>
      </c>
      <c r="DU217" s="72" t="str">
        <f t="shared" ref="DU217" si="3361">IF(AO217="","","|n"&amp;DU$2&amp;"+"&amp;AO217&amp;DU$1)</f>
        <v/>
      </c>
      <c r="DV217" s="72" t="str">
        <f t="shared" ref="DV217" si="3362">IF(AP217="","","|n"&amp;DV$2&amp;"+"&amp;AP217&amp;DV$1)</f>
        <v/>
      </c>
      <c r="DW217" s="72" t="str">
        <f t="shared" ref="DW217" si="3363">IF(AQ217="","","|n"&amp;DW$2&amp;"+"&amp;AQ217&amp;DW$1)</f>
        <v/>
      </c>
      <c r="DX217" s="72" t="str">
        <f t="shared" ref="DX217" si="3364">IF(AR217="","","|n"&amp;DX$2&amp;"+"&amp;AR217&amp;DX$1)</f>
        <v/>
      </c>
      <c r="DY217" s="72" t="str">
        <f t="shared" ref="DY217" si="3365">IF(AS217="","","|n"&amp;DY$2&amp;"+"&amp;AS217&amp;DY$1)</f>
        <v/>
      </c>
      <c r="DZ217" s="72" t="str">
        <f t="shared" ref="DZ217" si="3366">IF(AT217="","","|n"&amp;DZ$2&amp;"+"&amp;AT217&amp;DZ$1)</f>
        <v/>
      </c>
      <c r="EA217" s="72" t="str">
        <f t="shared" ref="EA217" si="3367">IF(AU217="","","|n"&amp;EA$2&amp;"+"&amp;AU217&amp;EA$1)</f>
        <v/>
      </c>
      <c r="EB217" s="72" t="str">
        <f t="shared" ref="EB217" si="3368">IF(AV217="","","|n"&amp;EB$2&amp;"+"&amp;AV217&amp;EB$1)</f>
        <v/>
      </c>
      <c r="EC217" s="72" t="str">
        <f t="shared" ref="EC217" si="3369">IF(AW217="","","|n"&amp;EC$2&amp;"+"&amp;AW217&amp;EC$1)</f>
        <v/>
      </c>
      <c r="ED217" s="72" t="str">
        <f t="shared" ref="ED217" si="3370">IF(AX217="","","|n"&amp;ED$2&amp;"+"&amp;AX217&amp;ED$1)</f>
        <v/>
      </c>
      <c r="EE217" s="72" t="str">
        <f t="shared" ref="EE217" si="3371">IF(AY217="","","|n"&amp;EE$2&amp;"+"&amp;AY217&amp;EE$1)</f>
        <v/>
      </c>
      <c r="EF217" s="72" t="str">
        <f t="shared" ref="EF217" si="3372">IF(AZ217="","","|n"&amp;EF$2&amp;"+"&amp;AZ217&amp;EF$1)</f>
        <v/>
      </c>
      <c r="EG217" s="72" t="str">
        <f t="shared" ref="EG217" si="3373">IF(BA217="","","|n"&amp;EG$2&amp;"+"&amp;BA217&amp;EG$1)</f>
        <v/>
      </c>
      <c r="EH217" s="72" t="str">
        <f t="shared" ref="EH217" si="3374">IF(BB217="","","|n"&amp;EH$2&amp;"+"&amp;BB217&amp;EH$1)</f>
        <v/>
      </c>
      <c r="EI217" s="72" t="str">
        <f t="shared" ref="EI217" si="3375">IF(BC217="","","|n"&amp;EI$2&amp;"+"&amp;BC217&amp;EI$1)</f>
        <v/>
      </c>
      <c r="EJ217" s="72" t="str">
        <f t="shared" ref="EJ217" si="3376">IF(BD217="","","|n"&amp;EJ$2&amp;"+"&amp;BD217&amp;EJ$1)</f>
        <v/>
      </c>
      <c r="EK217" s="72" t="str">
        <f t="shared" ref="EK217" si="3377">IF(BE217="","","|n"&amp;EK$2&amp;"+"&amp;BE217&amp;EK$1)</f>
        <v/>
      </c>
      <c r="EL217" s="72" t="str">
        <f t="shared" ref="EL217" si="3378">IF(BF217="","","|n"&amp;EL$2&amp;"+"&amp;BF217&amp;EL$1)</f>
        <v/>
      </c>
      <c r="EM217" s="72" t="str">
        <f t="shared" ref="EM217" si="3379">IF(BG217="","","|n"&amp;EM$2&amp;"+"&amp;BG217&amp;EM$1)</f>
        <v/>
      </c>
      <c r="EN217" s="72" t="str">
        <f t="shared" ref="EN217" si="3380">IF(BH217="","","|n"&amp;EN$2&amp;"+"&amp;BH217&amp;EN$1)</f>
        <v/>
      </c>
      <c r="EO217" s="72" t="str">
        <f t="shared" ref="EO217" si="3381">IF(BI217="","","|n"&amp;EO$2&amp;"+"&amp;BI217&amp;EO$1)</f>
        <v/>
      </c>
      <c r="EP217" s="72" t="str">
        <f t="shared" ref="EP217" si="3382">IF(BJ217="","","|n"&amp;EP$2&amp;"+"&amp;BJ217&amp;EP$1)</f>
        <v/>
      </c>
      <c r="EQ217" s="72" t="str">
        <f t="shared" ref="EQ217" si="3383">IF(BK217="","","|n"&amp;EQ$2&amp;"+"&amp;BK217&amp;EQ$1)</f>
        <v/>
      </c>
      <c r="ER217" s="72" t="str">
        <f t="shared" ref="ER217" si="3384">IF(BL217="","","|n"&amp;ER$2&amp;"+"&amp;BL217&amp;ER$1)</f>
        <v/>
      </c>
      <c r="ES217" s="72" t="str">
        <f t="shared" ref="ES217" si="3385">IF(BM217="","","|n"&amp;ES$2&amp;"+"&amp;BM217&amp;ES$1)</f>
        <v/>
      </c>
      <c r="ET217" s="72" t="str">
        <f t="shared" ref="ET217" si="3386">IF(BN217="","","|n"&amp;ET$2&amp;"+"&amp;BN217&amp;ET$1)</f>
        <v/>
      </c>
      <c r="EU217" s="72" t="str">
        <f t="shared" ref="EU217" si="3387">IF(BO217="","","|n"&amp;EU$2&amp;"+"&amp;BO217&amp;EU$1)</f>
        <v/>
      </c>
      <c r="EV217" s="72" t="str">
        <f t="shared" ref="EV217" si="3388">IF(BP217="","","|n"&amp;EV$2&amp;"+"&amp;BP217&amp;EV$1)</f>
        <v/>
      </c>
      <c r="EW217" s="72" t="str">
        <f t="shared" ref="EW217" si="3389">IF(BQ217="","","|n"&amp;EW$2&amp;"+"&amp;BQ217&amp;EW$1)</f>
        <v/>
      </c>
      <c r="EX217" s="72" t="str">
        <f t="shared" ref="EX217" si="3390">IF(BR217="","","|n"&amp;EX$2&amp;"+"&amp;BR217&amp;EX$1)</f>
        <v/>
      </c>
      <c r="EY217" s="72" t="str">
        <f t="shared" ref="EY217" si="3391">IF(BS217="","","|n"&amp;EY$2&amp;"+"&amp;BS217&amp;EY$1)</f>
        <v/>
      </c>
      <c r="EZ217" s="72" t="str">
        <f t="shared" ref="EZ217" si="3392">IF(BT217="","","|n"&amp;EZ$2&amp;"+"&amp;BT217&amp;EZ$1)</f>
        <v/>
      </c>
      <c r="FA217" s="72" t="str">
        <f t="shared" ref="FA217" si="3393">IF(BU217="","","|n"&amp;FA$2&amp;"+"&amp;BU217&amp;FA$1)</f>
        <v/>
      </c>
      <c r="FB217" s="72" t="str">
        <f t="shared" ref="FB217" si="3394">IF(BV217="","","|n"&amp;FB$2&amp;"+"&amp;BV217&amp;FB$1)</f>
        <v/>
      </c>
      <c r="FC217" s="72" t="str">
        <f t="shared" ref="FC217" si="3395">IF(BW217="","","|n"&amp;FC$2&amp;"+"&amp;BW217&amp;FC$1)</f>
        <v/>
      </c>
      <c r="FD217" s="72" t="str">
        <f t="shared" ref="FD217" si="3396">IF(BX217="","","|n"&amp;FD$2&amp;"+"&amp;BX217&amp;FD$1)</f>
        <v/>
      </c>
      <c r="FE217" s="72" t="str">
        <f t="shared" ref="FE217" si="3397">IF(BY217="","","|n"&amp;FE$2&amp;"+"&amp;BY217&amp;FE$1)</f>
        <v/>
      </c>
      <c r="FF217" s="72" t="str">
        <f t="shared" ref="FF217" si="3398">IF(BZ217="","","|n"&amp;FF$2&amp;"+"&amp;BZ217&amp;FF$1)</f>
        <v/>
      </c>
      <c r="FG217" s="72" t="str">
        <f t="shared" ref="FG217" si="3399">IF(CA217="","","|n"&amp;FG$2&amp;"+"&amp;CA217&amp;FG$1)</f>
        <v/>
      </c>
      <c r="FH217" s="72" t="str">
        <f t="shared" ref="FH217" si="3400">IF(CB217="","","|n"&amp;FH$2&amp;"+"&amp;CB217&amp;FH$1)</f>
        <v/>
      </c>
      <c r="FI217" s="72" t="str">
        <f t="shared" ref="FI217" si="3401">IF(CC217="","","|n"&amp;FI$2&amp;"+"&amp;CC217&amp;FI$1)</f>
        <v/>
      </c>
      <c r="FJ217" s="72" t="str">
        <f t="shared" ref="FJ217" si="3402">IF(CD217="","","|n"&amp;FJ$2&amp;"+"&amp;CD217&amp;FJ$1)</f>
        <v/>
      </c>
      <c r="FK217" s="72" t="str">
        <f t="shared" ref="FK217" si="3403">IF(CE217="","","|n"&amp;FK$2&amp;"+"&amp;CE217&amp;FK$1)</f>
        <v/>
      </c>
      <c r="FL217" s="72" t="str">
        <f t="shared" ref="FL217" si="3404">IF(CF217="","","|n"&amp;FL$2&amp;"+"&amp;CF217&amp;FL$1)</f>
        <v/>
      </c>
      <c r="FM217" s="72" t="str">
        <f t="shared" ref="FM217" si="3405">IF(CG217="","","|n"&amp;FM$2&amp;"+"&amp;CG217&amp;FM$1)</f>
        <v/>
      </c>
      <c r="FN217" s="72" t="str">
        <f t="shared" ref="FN217" si="3406">IF(CH217="","","|n"&amp;FN$2&amp;"+"&amp;CH217&amp;FN$1)</f>
        <v/>
      </c>
      <c r="FO217" s="72" t="str">
        <f t="shared" ref="FO217" si="3407">IF(CI217="","","|n"&amp;FO$2&amp;"+"&amp;CI217&amp;FO$1)</f>
        <v/>
      </c>
      <c r="FP217" s="72" t="str">
        <f t="shared" ref="FP217" si="3408">IF(CJ217="","","|n"&amp;FP$2&amp;"+"&amp;CJ217&amp;FP$1)</f>
        <v/>
      </c>
      <c r="FQ217" s="72" t="str">
        <f t="shared" ref="FQ217" si="3409">IF(CK217="","","|n"&amp;FQ$2&amp;"+"&amp;CK217&amp;FQ$1)</f>
        <v/>
      </c>
      <c r="FR217" s="72" t="str">
        <f t="shared" ref="FR217" si="3410">IF(CL217="","","|n"&amp;FR$2&amp;"+"&amp;CL217&amp;FR$1)</f>
        <v/>
      </c>
      <c r="FS217" s="72" t="str">
        <f t="shared" ref="FS217" si="3411">IF(CM217="","","|n"&amp;FS$2&amp;"+"&amp;CM217&amp;FS$1)</f>
        <v/>
      </c>
    </row>
    <row r="218" spans="1:175" ht="15">
      <c r="A218" s="81"/>
      <c r="B218" s="104" t="s">
        <v>763</v>
      </c>
      <c r="C218" s="81" t="s">
        <v>764</v>
      </c>
      <c r="T218" s="123" t="s">
        <v>753</v>
      </c>
      <c r="U218" s="88" t="s">
        <v>765</v>
      </c>
      <c r="CN218" s="70" t="str">
        <f t="shared" si="3242"/>
        <v>InitUnitState('IS24',,,,,,,,,,)</v>
      </c>
      <c r="CO218" s="70" t="str">
        <f t="shared" si="3243"/>
        <v>InitUnitNormal('IS24',,,,,,,,,,)</v>
      </c>
      <c r="CP218" s="70" t="str">
        <f t="shared" si="3244"/>
        <v>InitUnitMagic('IS24',,,,,,,,,,)</v>
      </c>
      <c r="CQ218" s="70" t="str">
        <f t="shared" si="3245"/>
        <v>InitUnitAdd('IS24',,,,,,,,,,)</v>
      </c>
      <c r="CR218" s="70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InitEquipData('IS24',,"",,,,,'','','','','','',"ReplaceableTextures\\CommandButtons\\BTN010.blp")</v>
      </c>
      <c r="CU218" s="98" t="str">
        <f t="shared" si="3340"/>
        <v>|n</v>
      </c>
      <c r="CV218" s="71" t="str">
        <f t="shared" si="3341"/>
        <v>为|Cffffd24dQ技能|r附魔一条|Cffffd24d随机属性|r。</v>
      </c>
      <c r="CW218" s="61"/>
      <c r="CX218" s="61"/>
      <c r="CY218" s="61"/>
      <c r="CZ218" s="61"/>
      <c r="DA218" s="61"/>
      <c r="DB218" s="72" t="str">
        <f t="shared" ref="DB218:FM218" si="3412">IF(V218="","","|n"&amp;DB$2&amp;"+"&amp;V218&amp;DB$1)</f>
        <v/>
      </c>
      <c r="DC218" s="72" t="str">
        <f t="shared" si="3412"/>
        <v/>
      </c>
      <c r="DD218" s="72" t="str">
        <f t="shared" si="3412"/>
        <v/>
      </c>
      <c r="DE218" s="72" t="str">
        <f t="shared" si="3412"/>
        <v/>
      </c>
      <c r="DF218" s="72" t="str">
        <f t="shared" si="3412"/>
        <v/>
      </c>
      <c r="DG218" s="72" t="str">
        <f t="shared" si="3412"/>
        <v/>
      </c>
      <c r="DH218" s="72" t="str">
        <f t="shared" si="3412"/>
        <v/>
      </c>
      <c r="DI218" s="72" t="str">
        <f t="shared" si="3412"/>
        <v/>
      </c>
      <c r="DJ218" s="72" t="str">
        <f t="shared" si="3412"/>
        <v/>
      </c>
      <c r="DK218" s="72" t="str">
        <f t="shared" si="3412"/>
        <v/>
      </c>
      <c r="DL218" s="72" t="str">
        <f t="shared" si="3412"/>
        <v/>
      </c>
      <c r="DM218" s="72" t="str">
        <f t="shared" si="3412"/>
        <v/>
      </c>
      <c r="DN218" s="72" t="str">
        <f t="shared" si="3412"/>
        <v/>
      </c>
      <c r="DO218" s="72" t="str">
        <f t="shared" si="3412"/>
        <v/>
      </c>
      <c r="DP218" s="72" t="str">
        <f t="shared" si="3412"/>
        <v/>
      </c>
      <c r="DQ218" s="72" t="str">
        <f t="shared" si="3412"/>
        <v/>
      </c>
      <c r="DR218" s="72" t="str">
        <f t="shared" si="3412"/>
        <v/>
      </c>
      <c r="DS218" s="72" t="str">
        <f t="shared" si="3412"/>
        <v/>
      </c>
      <c r="DT218" s="72" t="str">
        <f t="shared" si="3412"/>
        <v/>
      </c>
      <c r="DU218" s="72" t="str">
        <f t="shared" si="3412"/>
        <v/>
      </c>
      <c r="DV218" s="72" t="str">
        <f t="shared" si="3412"/>
        <v/>
      </c>
      <c r="DW218" s="72" t="str">
        <f t="shared" si="3412"/>
        <v/>
      </c>
      <c r="DX218" s="72" t="str">
        <f t="shared" si="3412"/>
        <v/>
      </c>
      <c r="DY218" s="72" t="str">
        <f t="shared" si="3412"/>
        <v/>
      </c>
      <c r="DZ218" s="72" t="str">
        <f t="shared" si="3412"/>
        <v/>
      </c>
      <c r="EA218" s="72" t="str">
        <f t="shared" si="3412"/>
        <v/>
      </c>
      <c r="EB218" s="72" t="str">
        <f t="shared" si="3412"/>
        <v/>
      </c>
      <c r="EC218" s="72" t="str">
        <f t="shared" si="3412"/>
        <v/>
      </c>
      <c r="ED218" s="72" t="str">
        <f t="shared" si="3412"/>
        <v/>
      </c>
      <c r="EE218" s="72" t="str">
        <f t="shared" si="3412"/>
        <v/>
      </c>
      <c r="EF218" s="72" t="str">
        <f t="shared" si="3412"/>
        <v/>
      </c>
      <c r="EG218" s="72" t="str">
        <f t="shared" si="3412"/>
        <v/>
      </c>
      <c r="EH218" s="72" t="str">
        <f t="shared" si="3412"/>
        <v/>
      </c>
      <c r="EI218" s="72" t="str">
        <f t="shared" si="3412"/>
        <v/>
      </c>
      <c r="EJ218" s="72" t="str">
        <f t="shared" si="3412"/>
        <v/>
      </c>
      <c r="EK218" s="72" t="str">
        <f t="shared" si="3412"/>
        <v/>
      </c>
      <c r="EL218" s="72" t="str">
        <f t="shared" si="3412"/>
        <v/>
      </c>
      <c r="EM218" s="72" t="str">
        <f t="shared" si="3412"/>
        <v/>
      </c>
      <c r="EN218" s="72" t="str">
        <f t="shared" si="3412"/>
        <v/>
      </c>
      <c r="EO218" s="72" t="str">
        <f t="shared" si="3412"/>
        <v/>
      </c>
      <c r="EP218" s="72" t="str">
        <f t="shared" si="3412"/>
        <v/>
      </c>
      <c r="EQ218" s="72" t="str">
        <f t="shared" si="3412"/>
        <v/>
      </c>
      <c r="ER218" s="72" t="str">
        <f t="shared" si="3412"/>
        <v/>
      </c>
      <c r="ES218" s="72" t="str">
        <f t="shared" si="3412"/>
        <v/>
      </c>
      <c r="ET218" s="72" t="str">
        <f t="shared" si="3412"/>
        <v/>
      </c>
      <c r="EU218" s="72" t="str">
        <f t="shared" si="3412"/>
        <v/>
      </c>
      <c r="EV218" s="72" t="str">
        <f t="shared" si="3412"/>
        <v/>
      </c>
      <c r="EW218" s="72" t="str">
        <f t="shared" si="3412"/>
        <v/>
      </c>
      <c r="EX218" s="72" t="str">
        <f t="shared" si="3412"/>
        <v/>
      </c>
      <c r="EY218" s="72" t="str">
        <f t="shared" si="3412"/>
        <v/>
      </c>
      <c r="EZ218" s="72" t="str">
        <f t="shared" si="3412"/>
        <v/>
      </c>
      <c r="FA218" s="72" t="str">
        <f t="shared" si="3412"/>
        <v/>
      </c>
      <c r="FB218" s="72" t="str">
        <f t="shared" si="3412"/>
        <v/>
      </c>
      <c r="FC218" s="72" t="str">
        <f t="shared" si="3412"/>
        <v/>
      </c>
      <c r="FD218" s="72" t="str">
        <f t="shared" si="3412"/>
        <v/>
      </c>
      <c r="FE218" s="72" t="str">
        <f t="shared" si="3412"/>
        <v/>
      </c>
      <c r="FF218" s="72" t="str">
        <f t="shared" si="3412"/>
        <v/>
      </c>
      <c r="FG218" s="72" t="str">
        <f t="shared" si="3412"/>
        <v/>
      </c>
      <c r="FH218" s="72" t="str">
        <f t="shared" si="3412"/>
        <v/>
      </c>
      <c r="FI218" s="72" t="str">
        <f t="shared" si="3412"/>
        <v/>
      </c>
      <c r="FJ218" s="72" t="str">
        <f t="shared" si="3412"/>
        <v/>
      </c>
      <c r="FK218" s="72" t="str">
        <f t="shared" si="3412"/>
        <v/>
      </c>
      <c r="FL218" s="72" t="str">
        <f t="shared" si="3412"/>
        <v/>
      </c>
      <c r="FM218" s="72" t="str">
        <f t="shared" si="3412"/>
        <v/>
      </c>
      <c r="FN218" s="72" t="str">
        <f t="shared" ref="FN218:FS218" si="3413">IF(CH218="","","|n"&amp;FN$2&amp;"+"&amp;CH218&amp;FN$1)</f>
        <v/>
      </c>
      <c r="FO218" s="72" t="str">
        <f t="shared" si="3413"/>
        <v/>
      </c>
      <c r="FP218" s="72" t="str">
        <f t="shared" si="3413"/>
        <v/>
      </c>
      <c r="FQ218" s="72" t="str">
        <f t="shared" si="3413"/>
        <v/>
      </c>
      <c r="FR218" s="72" t="str">
        <f t="shared" si="3413"/>
        <v/>
      </c>
      <c r="FS218" s="72" t="str">
        <f t="shared" si="3413"/>
        <v/>
      </c>
    </row>
    <row r="219" spans="1:175" ht="15">
      <c r="A219" s="81"/>
      <c r="B219" s="104" t="s">
        <v>766</v>
      </c>
      <c r="C219" s="104" t="s">
        <v>767</v>
      </c>
      <c r="T219" s="123" t="s">
        <v>757</v>
      </c>
      <c r="U219" s="88" t="s">
        <v>768</v>
      </c>
      <c r="CN219" s="70" t="str">
        <f t="shared" si="3242"/>
        <v>InitUnitState('IS25',,,,,,,,,,)</v>
      </c>
      <c r="CO219" s="70" t="str">
        <f t="shared" si="3243"/>
        <v>InitUnitNormal('IS25',,,,,,,,,,)</v>
      </c>
      <c r="CP219" s="70" t="str">
        <f t="shared" si="3244"/>
        <v>InitUnitMagic('IS25',,,,,,,,,,)</v>
      </c>
      <c r="CQ219" s="70" t="str">
        <f t="shared" si="3245"/>
        <v>InitUnitAdd('IS25',,,,,,,,,,)</v>
      </c>
      <c r="CR219" s="70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InitEquipData('IS25',,"",,,,,'','','','','','',"ReplaceableTextures\\CommandButtons\\BTN011.blp")</v>
      </c>
      <c r="CU219" s="98" t="str">
        <f t="shared" si="3340"/>
        <v>|n</v>
      </c>
      <c r="CV219" s="71" t="str">
        <f t="shared" si="3341"/>
        <v>为|Cffffd24dW技能|r附魔一条|Cffffd24d随机属性|r。</v>
      </c>
      <c r="CW219" s="61"/>
      <c r="CX219" s="61"/>
      <c r="CY219" s="61"/>
      <c r="CZ219" s="61"/>
      <c r="DA219" s="61"/>
      <c r="DB219" s="72" t="str">
        <f t="shared" ref="DB219:FM219" si="3414">IF(V219="","","|n"&amp;DB$2&amp;"+"&amp;V219&amp;DB$1)</f>
        <v/>
      </c>
      <c r="DC219" s="72" t="str">
        <f t="shared" si="3414"/>
        <v/>
      </c>
      <c r="DD219" s="72" t="str">
        <f t="shared" si="3414"/>
        <v/>
      </c>
      <c r="DE219" s="72" t="str">
        <f t="shared" si="3414"/>
        <v/>
      </c>
      <c r="DF219" s="72" t="str">
        <f t="shared" si="3414"/>
        <v/>
      </c>
      <c r="DG219" s="72" t="str">
        <f t="shared" si="3414"/>
        <v/>
      </c>
      <c r="DH219" s="72" t="str">
        <f t="shared" si="3414"/>
        <v/>
      </c>
      <c r="DI219" s="72" t="str">
        <f t="shared" si="3414"/>
        <v/>
      </c>
      <c r="DJ219" s="72" t="str">
        <f t="shared" si="3414"/>
        <v/>
      </c>
      <c r="DK219" s="72" t="str">
        <f t="shared" si="3414"/>
        <v/>
      </c>
      <c r="DL219" s="72" t="str">
        <f t="shared" si="3414"/>
        <v/>
      </c>
      <c r="DM219" s="72" t="str">
        <f t="shared" si="3414"/>
        <v/>
      </c>
      <c r="DN219" s="72" t="str">
        <f t="shared" si="3414"/>
        <v/>
      </c>
      <c r="DO219" s="72" t="str">
        <f t="shared" si="3414"/>
        <v/>
      </c>
      <c r="DP219" s="72" t="str">
        <f t="shared" si="3414"/>
        <v/>
      </c>
      <c r="DQ219" s="72" t="str">
        <f t="shared" si="3414"/>
        <v/>
      </c>
      <c r="DR219" s="72" t="str">
        <f t="shared" si="3414"/>
        <v/>
      </c>
      <c r="DS219" s="72" t="str">
        <f t="shared" si="3414"/>
        <v/>
      </c>
      <c r="DT219" s="72" t="str">
        <f t="shared" si="3414"/>
        <v/>
      </c>
      <c r="DU219" s="72" t="str">
        <f t="shared" si="3414"/>
        <v/>
      </c>
      <c r="DV219" s="72" t="str">
        <f t="shared" si="3414"/>
        <v/>
      </c>
      <c r="DW219" s="72" t="str">
        <f t="shared" si="3414"/>
        <v/>
      </c>
      <c r="DX219" s="72" t="str">
        <f t="shared" si="3414"/>
        <v/>
      </c>
      <c r="DY219" s="72" t="str">
        <f t="shared" si="3414"/>
        <v/>
      </c>
      <c r="DZ219" s="72" t="str">
        <f t="shared" si="3414"/>
        <v/>
      </c>
      <c r="EA219" s="72" t="str">
        <f t="shared" si="3414"/>
        <v/>
      </c>
      <c r="EB219" s="72" t="str">
        <f t="shared" si="3414"/>
        <v/>
      </c>
      <c r="EC219" s="72" t="str">
        <f t="shared" si="3414"/>
        <v/>
      </c>
      <c r="ED219" s="72" t="str">
        <f t="shared" si="3414"/>
        <v/>
      </c>
      <c r="EE219" s="72" t="str">
        <f t="shared" si="3414"/>
        <v/>
      </c>
      <c r="EF219" s="72" t="str">
        <f t="shared" si="3414"/>
        <v/>
      </c>
      <c r="EG219" s="72" t="str">
        <f t="shared" si="3414"/>
        <v/>
      </c>
      <c r="EH219" s="72" t="str">
        <f t="shared" si="3414"/>
        <v/>
      </c>
      <c r="EI219" s="72" t="str">
        <f t="shared" si="3414"/>
        <v/>
      </c>
      <c r="EJ219" s="72" t="str">
        <f t="shared" si="3414"/>
        <v/>
      </c>
      <c r="EK219" s="72" t="str">
        <f t="shared" si="3414"/>
        <v/>
      </c>
      <c r="EL219" s="72" t="str">
        <f t="shared" si="3414"/>
        <v/>
      </c>
      <c r="EM219" s="72" t="str">
        <f t="shared" si="3414"/>
        <v/>
      </c>
      <c r="EN219" s="72" t="str">
        <f t="shared" si="3414"/>
        <v/>
      </c>
      <c r="EO219" s="72" t="str">
        <f t="shared" si="3414"/>
        <v/>
      </c>
      <c r="EP219" s="72" t="str">
        <f t="shared" si="3414"/>
        <v/>
      </c>
      <c r="EQ219" s="72" t="str">
        <f t="shared" si="3414"/>
        <v/>
      </c>
      <c r="ER219" s="72" t="str">
        <f t="shared" si="3414"/>
        <v/>
      </c>
      <c r="ES219" s="72" t="str">
        <f t="shared" si="3414"/>
        <v/>
      </c>
      <c r="ET219" s="72" t="str">
        <f t="shared" si="3414"/>
        <v/>
      </c>
      <c r="EU219" s="72" t="str">
        <f t="shared" si="3414"/>
        <v/>
      </c>
      <c r="EV219" s="72" t="str">
        <f t="shared" si="3414"/>
        <v/>
      </c>
      <c r="EW219" s="72" t="str">
        <f t="shared" si="3414"/>
        <v/>
      </c>
      <c r="EX219" s="72" t="str">
        <f t="shared" si="3414"/>
        <v/>
      </c>
      <c r="EY219" s="72" t="str">
        <f t="shared" si="3414"/>
        <v/>
      </c>
      <c r="EZ219" s="72" t="str">
        <f t="shared" si="3414"/>
        <v/>
      </c>
      <c r="FA219" s="72" t="str">
        <f t="shared" si="3414"/>
        <v/>
      </c>
      <c r="FB219" s="72" t="str">
        <f t="shared" si="3414"/>
        <v/>
      </c>
      <c r="FC219" s="72" t="str">
        <f t="shared" si="3414"/>
        <v/>
      </c>
      <c r="FD219" s="72" t="str">
        <f t="shared" si="3414"/>
        <v/>
      </c>
      <c r="FE219" s="72" t="str">
        <f t="shared" si="3414"/>
        <v/>
      </c>
      <c r="FF219" s="72" t="str">
        <f t="shared" si="3414"/>
        <v/>
      </c>
      <c r="FG219" s="72" t="str">
        <f t="shared" si="3414"/>
        <v/>
      </c>
      <c r="FH219" s="72" t="str">
        <f t="shared" si="3414"/>
        <v/>
      </c>
      <c r="FI219" s="72" t="str">
        <f t="shared" si="3414"/>
        <v/>
      </c>
      <c r="FJ219" s="72" t="str">
        <f t="shared" si="3414"/>
        <v/>
      </c>
      <c r="FK219" s="72" t="str">
        <f t="shared" si="3414"/>
        <v/>
      </c>
      <c r="FL219" s="72" t="str">
        <f t="shared" si="3414"/>
        <v/>
      </c>
      <c r="FM219" s="72" t="str">
        <f t="shared" si="3414"/>
        <v/>
      </c>
      <c r="FN219" s="72" t="str">
        <f t="shared" ref="FN219:FS219" si="3415">IF(CH219="","","|n"&amp;FN$2&amp;"+"&amp;CH219&amp;FN$1)</f>
        <v/>
      </c>
      <c r="FO219" s="72" t="str">
        <f t="shared" si="3415"/>
        <v/>
      </c>
      <c r="FP219" s="72" t="str">
        <f t="shared" si="3415"/>
        <v/>
      </c>
      <c r="FQ219" s="72" t="str">
        <f t="shared" si="3415"/>
        <v/>
      </c>
      <c r="FR219" s="72" t="str">
        <f t="shared" si="3415"/>
        <v/>
      </c>
      <c r="FS219" s="72" t="str">
        <f t="shared" si="3415"/>
        <v/>
      </c>
    </row>
    <row r="220" spans="1:175" ht="15">
      <c r="A220" s="81"/>
      <c r="B220" s="104" t="s">
        <v>769</v>
      </c>
      <c r="C220" s="104" t="s">
        <v>770</v>
      </c>
      <c r="T220" s="123" t="s">
        <v>761</v>
      </c>
      <c r="U220" s="88" t="s">
        <v>771</v>
      </c>
      <c r="CN220" s="70" t="str">
        <f t="shared" si="3242"/>
        <v>InitUnitState('IS26',,,,,,,,,,)</v>
      </c>
      <c r="CO220" s="70" t="str">
        <f t="shared" si="3243"/>
        <v>InitUnitNormal('IS26',,,,,,,,,,)</v>
      </c>
      <c r="CP220" s="70" t="str">
        <f t="shared" si="3244"/>
        <v>InitUnitMagic('IS26',,,,,,,,,,)</v>
      </c>
      <c r="CQ220" s="70" t="str">
        <f t="shared" si="3245"/>
        <v>InitUnitAdd('IS26',,,,,,,,,,)</v>
      </c>
      <c r="CR220" s="70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8" t="str">
        <f t="shared" si="3340"/>
        <v>|n</v>
      </c>
      <c r="CV220" s="71" t="str">
        <f t="shared" si="3341"/>
        <v>为|Cffffd24dE技能|r附魔一条|Cffffd24d随机属性|r。</v>
      </c>
      <c r="CW220" s="61"/>
      <c r="CX220" s="61"/>
      <c r="CY220" s="61"/>
      <c r="CZ220" s="61"/>
      <c r="DA220" s="61"/>
      <c r="DB220" s="72" t="str">
        <f t="shared" ref="DB220:FM220" si="3416">IF(V220="","","|n"&amp;DB$2&amp;"+"&amp;V220&amp;DB$1)</f>
        <v/>
      </c>
      <c r="DC220" s="72" t="str">
        <f t="shared" si="3416"/>
        <v/>
      </c>
      <c r="DD220" s="72" t="str">
        <f t="shared" si="3416"/>
        <v/>
      </c>
      <c r="DE220" s="72" t="str">
        <f t="shared" si="3416"/>
        <v/>
      </c>
      <c r="DF220" s="72" t="str">
        <f t="shared" si="3416"/>
        <v/>
      </c>
      <c r="DG220" s="72" t="str">
        <f t="shared" si="3416"/>
        <v/>
      </c>
      <c r="DH220" s="72" t="str">
        <f t="shared" si="3416"/>
        <v/>
      </c>
      <c r="DI220" s="72" t="str">
        <f t="shared" si="3416"/>
        <v/>
      </c>
      <c r="DJ220" s="72" t="str">
        <f t="shared" si="3416"/>
        <v/>
      </c>
      <c r="DK220" s="72" t="str">
        <f t="shared" si="3416"/>
        <v/>
      </c>
      <c r="DL220" s="72" t="str">
        <f t="shared" si="3416"/>
        <v/>
      </c>
      <c r="DM220" s="72" t="str">
        <f t="shared" si="3416"/>
        <v/>
      </c>
      <c r="DN220" s="72" t="str">
        <f t="shared" si="3416"/>
        <v/>
      </c>
      <c r="DO220" s="72" t="str">
        <f t="shared" si="3416"/>
        <v/>
      </c>
      <c r="DP220" s="72" t="str">
        <f t="shared" si="3416"/>
        <v/>
      </c>
      <c r="DQ220" s="72" t="str">
        <f t="shared" si="3416"/>
        <v/>
      </c>
      <c r="DR220" s="72" t="str">
        <f t="shared" si="3416"/>
        <v/>
      </c>
      <c r="DS220" s="72" t="str">
        <f t="shared" si="3416"/>
        <v/>
      </c>
      <c r="DT220" s="72" t="str">
        <f t="shared" si="3416"/>
        <v/>
      </c>
      <c r="DU220" s="72" t="str">
        <f t="shared" si="3416"/>
        <v/>
      </c>
      <c r="DV220" s="72" t="str">
        <f t="shared" si="3416"/>
        <v/>
      </c>
      <c r="DW220" s="72" t="str">
        <f t="shared" si="3416"/>
        <v/>
      </c>
      <c r="DX220" s="72" t="str">
        <f t="shared" si="3416"/>
        <v/>
      </c>
      <c r="DY220" s="72" t="str">
        <f t="shared" si="3416"/>
        <v/>
      </c>
      <c r="DZ220" s="72" t="str">
        <f t="shared" si="3416"/>
        <v/>
      </c>
      <c r="EA220" s="72" t="str">
        <f t="shared" si="3416"/>
        <v/>
      </c>
      <c r="EB220" s="72" t="str">
        <f t="shared" si="3416"/>
        <v/>
      </c>
      <c r="EC220" s="72" t="str">
        <f t="shared" si="3416"/>
        <v/>
      </c>
      <c r="ED220" s="72" t="str">
        <f t="shared" si="3416"/>
        <v/>
      </c>
      <c r="EE220" s="72" t="str">
        <f t="shared" si="3416"/>
        <v/>
      </c>
      <c r="EF220" s="72" t="str">
        <f t="shared" si="3416"/>
        <v/>
      </c>
      <c r="EG220" s="72" t="str">
        <f t="shared" si="3416"/>
        <v/>
      </c>
      <c r="EH220" s="72" t="str">
        <f t="shared" si="3416"/>
        <v/>
      </c>
      <c r="EI220" s="72" t="str">
        <f t="shared" si="3416"/>
        <v/>
      </c>
      <c r="EJ220" s="72" t="str">
        <f t="shared" si="3416"/>
        <v/>
      </c>
      <c r="EK220" s="72" t="str">
        <f t="shared" si="3416"/>
        <v/>
      </c>
      <c r="EL220" s="72" t="str">
        <f t="shared" si="3416"/>
        <v/>
      </c>
      <c r="EM220" s="72" t="str">
        <f t="shared" si="3416"/>
        <v/>
      </c>
      <c r="EN220" s="72" t="str">
        <f t="shared" si="3416"/>
        <v/>
      </c>
      <c r="EO220" s="72" t="str">
        <f t="shared" si="3416"/>
        <v/>
      </c>
      <c r="EP220" s="72" t="str">
        <f t="shared" si="3416"/>
        <v/>
      </c>
      <c r="EQ220" s="72" t="str">
        <f t="shared" si="3416"/>
        <v/>
      </c>
      <c r="ER220" s="72" t="str">
        <f t="shared" si="3416"/>
        <v/>
      </c>
      <c r="ES220" s="72" t="str">
        <f t="shared" si="3416"/>
        <v/>
      </c>
      <c r="ET220" s="72" t="str">
        <f t="shared" si="3416"/>
        <v/>
      </c>
      <c r="EU220" s="72" t="str">
        <f t="shared" si="3416"/>
        <v/>
      </c>
      <c r="EV220" s="72" t="str">
        <f t="shared" si="3416"/>
        <v/>
      </c>
      <c r="EW220" s="72" t="str">
        <f t="shared" si="3416"/>
        <v/>
      </c>
      <c r="EX220" s="72" t="str">
        <f t="shared" si="3416"/>
        <v/>
      </c>
      <c r="EY220" s="72" t="str">
        <f t="shared" si="3416"/>
        <v/>
      </c>
      <c r="EZ220" s="72" t="str">
        <f t="shared" si="3416"/>
        <v/>
      </c>
      <c r="FA220" s="72" t="str">
        <f t="shared" si="3416"/>
        <v/>
      </c>
      <c r="FB220" s="72" t="str">
        <f t="shared" si="3416"/>
        <v/>
      </c>
      <c r="FC220" s="72" t="str">
        <f t="shared" si="3416"/>
        <v/>
      </c>
      <c r="FD220" s="72" t="str">
        <f t="shared" si="3416"/>
        <v/>
      </c>
      <c r="FE220" s="72" t="str">
        <f t="shared" si="3416"/>
        <v/>
      </c>
      <c r="FF220" s="72" t="str">
        <f t="shared" si="3416"/>
        <v/>
      </c>
      <c r="FG220" s="72" t="str">
        <f t="shared" si="3416"/>
        <v/>
      </c>
      <c r="FH220" s="72" t="str">
        <f t="shared" si="3416"/>
        <v/>
      </c>
      <c r="FI220" s="72" t="str">
        <f t="shared" si="3416"/>
        <v/>
      </c>
      <c r="FJ220" s="72" t="str">
        <f t="shared" si="3416"/>
        <v/>
      </c>
      <c r="FK220" s="72" t="str">
        <f t="shared" si="3416"/>
        <v/>
      </c>
      <c r="FL220" s="72" t="str">
        <f t="shared" si="3416"/>
        <v/>
      </c>
      <c r="FM220" s="72" t="str">
        <f t="shared" si="3416"/>
        <v/>
      </c>
      <c r="FN220" s="72" t="str">
        <f t="shared" ref="FN220:FS220" si="3417">IF(CH220="","","|n"&amp;FN$2&amp;"+"&amp;CH220&amp;FN$1)</f>
        <v/>
      </c>
      <c r="FO220" s="72" t="str">
        <f t="shared" si="3417"/>
        <v/>
      </c>
      <c r="FP220" s="72" t="str">
        <f t="shared" si="3417"/>
        <v/>
      </c>
      <c r="FQ220" s="72" t="str">
        <f t="shared" si="3417"/>
        <v/>
      </c>
      <c r="FR220" s="72" t="str">
        <f t="shared" si="3417"/>
        <v/>
      </c>
      <c r="FS220" s="72" t="str">
        <f t="shared" si="3417"/>
        <v/>
      </c>
    </row>
    <row r="221" spans="1:175" ht="15">
      <c r="A221" s="81"/>
      <c r="B221" s="104" t="s">
        <v>772</v>
      </c>
      <c r="C221" s="81" t="s">
        <v>773</v>
      </c>
      <c r="T221" s="123" t="str">
        <f t="shared" ref="T221:T223" si="3418">C221</f>
        <v>|CffFF0000占星|r</v>
      </c>
      <c r="U221" s="88" t="str">
        <f t="shared" ref="U221" si="3419">"ReplaceableTextures\\CommandButtons\\BTN"&amp;B221&amp;".blp"</f>
        <v>ReplaceableTextures\\CommandButtons\\BTNIS11.blp</v>
      </c>
      <c r="CN221" s="70" t="str">
        <f t="shared" si="3242"/>
        <v>InitUnitState('IS11',,,,,,,,,,)</v>
      </c>
      <c r="CO221" s="70" t="str">
        <f t="shared" si="3243"/>
        <v>InitUnitNormal('IS11',,,,,,,,,,)</v>
      </c>
      <c r="CP221" s="70" t="str">
        <f t="shared" si="3244"/>
        <v>InitUnitMagic('IS11',,,,,,,,,,)</v>
      </c>
      <c r="CQ221" s="70" t="str">
        <f t="shared" si="3245"/>
        <v>InitUnitAdd('IS11',,,,,,,,,,)</v>
      </c>
      <c r="CR221" s="70" t="e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#REF!&amp;CR$1&amp;")"</f>
        <v>#REF!</v>
      </c>
      <c r="CU221" s="98" t="str">
        <f t="shared" ref="CU221:CU225" si="3420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71" t="str">
        <f t="shared" ref="CV221:CV225" si="3421">T221</f>
        <v>|CffFF0000占星|r</v>
      </c>
      <c r="CW221" s="61"/>
      <c r="CX221" s="61"/>
      <c r="CY221" s="61"/>
      <c r="CZ221" s="61"/>
      <c r="DA221" s="61"/>
      <c r="DB221" s="72" t="str">
        <f t="shared" ref="DB221" si="3422">IF(V221="","","|n"&amp;DB$2&amp;"+"&amp;V221&amp;DB$1)</f>
        <v/>
      </c>
      <c r="DC221" s="72" t="str">
        <f t="shared" ref="DC221" si="3423">IF(W221="","","|n"&amp;DC$2&amp;"+"&amp;W221&amp;DC$1)</f>
        <v/>
      </c>
      <c r="DD221" s="72" t="str">
        <f t="shared" ref="DD221" si="3424">IF(X221="","","|n"&amp;DD$2&amp;"+"&amp;X221&amp;DD$1)</f>
        <v/>
      </c>
      <c r="DE221" s="72" t="str">
        <f t="shared" ref="DE221" si="3425">IF(Y221="","","|n"&amp;DE$2&amp;"+"&amp;Y221&amp;DE$1)</f>
        <v/>
      </c>
      <c r="DF221" s="72" t="str">
        <f t="shared" ref="DF221" si="3426">IF(Z221="","","|n"&amp;DF$2&amp;"+"&amp;Z221&amp;DF$1)</f>
        <v/>
      </c>
      <c r="DG221" s="72" t="str">
        <f t="shared" ref="DG221" si="3427">IF(AA221="","","|n"&amp;DG$2&amp;"+"&amp;AA221&amp;DG$1)</f>
        <v/>
      </c>
      <c r="DH221" s="72" t="str">
        <f t="shared" ref="DH221" si="3428">IF(AB221="","","|n"&amp;DH$2&amp;"+"&amp;AB221&amp;DH$1)</f>
        <v/>
      </c>
      <c r="DI221" s="72" t="str">
        <f t="shared" ref="DI221" si="3429">IF(AC221="","","|n"&amp;DI$2&amp;"+"&amp;AC221&amp;DI$1)</f>
        <v/>
      </c>
      <c r="DJ221" s="72" t="str">
        <f t="shared" ref="DJ221" si="3430">IF(AD221="","","|n"&amp;DJ$2&amp;"+"&amp;AD221&amp;DJ$1)</f>
        <v/>
      </c>
      <c r="DK221" s="72" t="str">
        <f t="shared" ref="DK221" si="3431">IF(AE221="","","|n"&amp;DK$2&amp;"+"&amp;AE221&amp;DK$1)</f>
        <v/>
      </c>
      <c r="DL221" s="72" t="str">
        <f t="shared" ref="DL221" si="3432">IF(AF221="","","|n"&amp;DL$2&amp;"+"&amp;AF221&amp;DL$1)</f>
        <v/>
      </c>
      <c r="DM221" s="72" t="str">
        <f t="shared" ref="DM221" si="3433">IF(AG221="","","|n"&amp;DM$2&amp;"+"&amp;AG221&amp;DM$1)</f>
        <v/>
      </c>
      <c r="DN221" s="72" t="str">
        <f t="shared" ref="DN221" si="3434">IF(AH221="","","|n"&amp;DN$2&amp;"+"&amp;AH221&amp;DN$1)</f>
        <v/>
      </c>
      <c r="DO221" s="72" t="str">
        <f t="shared" ref="DO221" si="3435">IF(AI221="","","|n"&amp;DO$2&amp;"+"&amp;AI221&amp;DO$1)</f>
        <v/>
      </c>
      <c r="DP221" s="72" t="str">
        <f t="shared" ref="DP221" si="3436">IF(AJ221="","","|n"&amp;DP$2&amp;"+"&amp;AJ221&amp;DP$1)</f>
        <v/>
      </c>
      <c r="DQ221" s="72" t="str">
        <f t="shared" ref="DQ221" si="3437">IF(AK221="","","|n"&amp;DQ$2&amp;"+"&amp;AK221&amp;DQ$1)</f>
        <v/>
      </c>
      <c r="DR221" s="72" t="str">
        <f t="shared" ref="DR221" si="3438">IF(AL221="","","|n"&amp;DR$2&amp;"+"&amp;AL221&amp;DR$1)</f>
        <v/>
      </c>
      <c r="DS221" s="72" t="str">
        <f t="shared" ref="DS221" si="3439">IF(AM221="","","|n"&amp;DS$2&amp;"+"&amp;AM221&amp;DS$1)</f>
        <v/>
      </c>
      <c r="DT221" s="72" t="str">
        <f t="shared" ref="DT221" si="3440">IF(AN221="","","|n"&amp;DT$2&amp;"+"&amp;AN221&amp;DT$1)</f>
        <v/>
      </c>
      <c r="DU221" s="72" t="str">
        <f t="shared" ref="DU221" si="3441">IF(AO221="","","|n"&amp;DU$2&amp;"+"&amp;AO221&amp;DU$1)</f>
        <v/>
      </c>
      <c r="DV221" s="72" t="str">
        <f t="shared" ref="DV221" si="3442">IF(AP221="","","|n"&amp;DV$2&amp;"+"&amp;AP221&amp;DV$1)</f>
        <v/>
      </c>
      <c r="DW221" s="72" t="str">
        <f t="shared" ref="DW221" si="3443">IF(AQ221="","","|n"&amp;DW$2&amp;"+"&amp;AQ221&amp;DW$1)</f>
        <v/>
      </c>
      <c r="DX221" s="72" t="str">
        <f t="shared" ref="DX221" si="3444">IF(AR221="","","|n"&amp;DX$2&amp;"+"&amp;AR221&amp;DX$1)</f>
        <v/>
      </c>
      <c r="DY221" s="72" t="str">
        <f t="shared" ref="DY221" si="3445">IF(AS221="","","|n"&amp;DY$2&amp;"+"&amp;AS221&amp;DY$1)</f>
        <v/>
      </c>
      <c r="DZ221" s="72" t="str">
        <f t="shared" ref="DZ221" si="3446">IF(AT221="","","|n"&amp;DZ$2&amp;"+"&amp;AT221&amp;DZ$1)</f>
        <v/>
      </c>
      <c r="EA221" s="72" t="str">
        <f t="shared" ref="EA221" si="3447">IF(AU221="","","|n"&amp;EA$2&amp;"+"&amp;AU221&amp;EA$1)</f>
        <v/>
      </c>
      <c r="EB221" s="72" t="str">
        <f t="shared" ref="EB221" si="3448">IF(AV221="","","|n"&amp;EB$2&amp;"+"&amp;AV221&amp;EB$1)</f>
        <v/>
      </c>
      <c r="EC221" s="72" t="str">
        <f t="shared" ref="EC221" si="3449">IF(AW221="","","|n"&amp;EC$2&amp;"+"&amp;AW221&amp;EC$1)</f>
        <v/>
      </c>
      <c r="ED221" s="72" t="str">
        <f t="shared" ref="ED221" si="3450">IF(AX221="","","|n"&amp;ED$2&amp;"+"&amp;AX221&amp;ED$1)</f>
        <v/>
      </c>
      <c r="EE221" s="72" t="str">
        <f t="shared" ref="EE221" si="3451">IF(AY221="","","|n"&amp;EE$2&amp;"+"&amp;AY221&amp;EE$1)</f>
        <v/>
      </c>
      <c r="EF221" s="72" t="str">
        <f t="shared" ref="EF221" si="3452">IF(AZ221="","","|n"&amp;EF$2&amp;"+"&amp;AZ221&amp;EF$1)</f>
        <v/>
      </c>
      <c r="EG221" s="72" t="str">
        <f t="shared" ref="EG221" si="3453">IF(BA221="","","|n"&amp;EG$2&amp;"+"&amp;BA221&amp;EG$1)</f>
        <v/>
      </c>
      <c r="EH221" s="72" t="str">
        <f t="shared" ref="EH221" si="3454">IF(BB221="","","|n"&amp;EH$2&amp;"+"&amp;BB221&amp;EH$1)</f>
        <v/>
      </c>
      <c r="EI221" s="72" t="str">
        <f t="shared" ref="EI221" si="3455">IF(BC221="","","|n"&amp;EI$2&amp;"+"&amp;BC221&amp;EI$1)</f>
        <v/>
      </c>
      <c r="EJ221" s="72" t="str">
        <f t="shared" ref="EJ221" si="3456">IF(BD221="","","|n"&amp;EJ$2&amp;"+"&amp;BD221&amp;EJ$1)</f>
        <v/>
      </c>
      <c r="EK221" s="72" t="str">
        <f t="shared" ref="EK221" si="3457">IF(BE221="","","|n"&amp;EK$2&amp;"+"&amp;BE221&amp;EK$1)</f>
        <v/>
      </c>
      <c r="EL221" s="72" t="str">
        <f t="shared" ref="EL221" si="3458">IF(BF221="","","|n"&amp;EL$2&amp;"+"&amp;BF221&amp;EL$1)</f>
        <v/>
      </c>
      <c r="EM221" s="72" t="str">
        <f t="shared" ref="EM221" si="3459">IF(BG221="","","|n"&amp;EM$2&amp;"+"&amp;BG221&amp;EM$1)</f>
        <v/>
      </c>
      <c r="EN221" s="72" t="str">
        <f t="shared" ref="EN221" si="3460">IF(BH221="","","|n"&amp;EN$2&amp;"+"&amp;BH221&amp;EN$1)</f>
        <v/>
      </c>
      <c r="EO221" s="72" t="str">
        <f t="shared" ref="EO221" si="3461">IF(BI221="","","|n"&amp;EO$2&amp;"+"&amp;BI221&amp;EO$1)</f>
        <v/>
      </c>
      <c r="EP221" s="72" t="str">
        <f t="shared" ref="EP221" si="3462">IF(BJ221="","","|n"&amp;EP$2&amp;"+"&amp;BJ221&amp;EP$1)</f>
        <v/>
      </c>
      <c r="EQ221" s="72" t="str">
        <f t="shared" ref="EQ221" si="3463">IF(BK221="","","|n"&amp;EQ$2&amp;"+"&amp;BK221&amp;EQ$1)</f>
        <v/>
      </c>
      <c r="ER221" s="72" t="str">
        <f t="shared" ref="ER221" si="3464">IF(BL221="","","|n"&amp;ER$2&amp;"+"&amp;BL221&amp;ER$1)</f>
        <v/>
      </c>
      <c r="ES221" s="72" t="str">
        <f t="shared" ref="ES221" si="3465">IF(BM221="","","|n"&amp;ES$2&amp;"+"&amp;BM221&amp;ES$1)</f>
        <v/>
      </c>
      <c r="ET221" s="72" t="str">
        <f t="shared" ref="ET221" si="3466">IF(BN221="","","|n"&amp;ET$2&amp;"+"&amp;BN221&amp;ET$1)</f>
        <v/>
      </c>
      <c r="EU221" s="72" t="str">
        <f t="shared" ref="EU221" si="3467">IF(BO221="","","|n"&amp;EU$2&amp;"+"&amp;BO221&amp;EU$1)</f>
        <v/>
      </c>
      <c r="EV221" s="72" t="str">
        <f t="shared" ref="EV221" si="3468">IF(BP221="","","|n"&amp;EV$2&amp;"+"&amp;BP221&amp;EV$1)</f>
        <v/>
      </c>
      <c r="EW221" s="72" t="str">
        <f t="shared" ref="EW221" si="3469">IF(BQ221="","","|n"&amp;EW$2&amp;"+"&amp;BQ221&amp;EW$1)</f>
        <v/>
      </c>
      <c r="EX221" s="72" t="str">
        <f t="shared" ref="EX221" si="3470">IF(BR221="","","|n"&amp;EX$2&amp;"+"&amp;BR221&amp;EX$1)</f>
        <v/>
      </c>
      <c r="EY221" s="72" t="str">
        <f t="shared" ref="EY221" si="3471">IF(BS221="","","|n"&amp;EY$2&amp;"+"&amp;BS221&amp;EY$1)</f>
        <v/>
      </c>
      <c r="EZ221" s="72" t="str">
        <f t="shared" ref="EZ221" si="3472">IF(BT221="","","|n"&amp;EZ$2&amp;"+"&amp;BT221&amp;EZ$1)</f>
        <v/>
      </c>
      <c r="FA221" s="72" t="str">
        <f t="shared" ref="FA221" si="3473">IF(BU221="","","|n"&amp;FA$2&amp;"+"&amp;BU221&amp;FA$1)</f>
        <v/>
      </c>
      <c r="FB221" s="72" t="str">
        <f t="shared" ref="FB221" si="3474">IF(BV221="","","|n"&amp;FB$2&amp;"+"&amp;BV221&amp;FB$1)</f>
        <v/>
      </c>
      <c r="FC221" s="72" t="str">
        <f t="shared" ref="FC221" si="3475">IF(BW221="","","|n"&amp;FC$2&amp;"+"&amp;BW221&amp;FC$1)</f>
        <v/>
      </c>
      <c r="FD221" s="72" t="str">
        <f t="shared" ref="FD221" si="3476">IF(BX221="","","|n"&amp;FD$2&amp;"+"&amp;BX221&amp;FD$1)</f>
        <v/>
      </c>
      <c r="FE221" s="72" t="str">
        <f t="shared" ref="FE221" si="3477">IF(BY221="","","|n"&amp;FE$2&amp;"+"&amp;BY221&amp;FE$1)</f>
        <v/>
      </c>
      <c r="FF221" s="72" t="str">
        <f t="shared" ref="FF221" si="3478">IF(BZ221="","","|n"&amp;FF$2&amp;"+"&amp;BZ221&amp;FF$1)</f>
        <v/>
      </c>
      <c r="FG221" s="72" t="str">
        <f t="shared" ref="FG221" si="3479">IF(CA221="","","|n"&amp;FG$2&amp;"+"&amp;CA221&amp;FG$1)</f>
        <v/>
      </c>
      <c r="FH221" s="72" t="str">
        <f t="shared" ref="FH221" si="3480">IF(CB221="","","|n"&amp;FH$2&amp;"+"&amp;CB221&amp;FH$1)</f>
        <v/>
      </c>
      <c r="FI221" s="72" t="str">
        <f t="shared" ref="FI221" si="3481">IF(CC221="","","|n"&amp;FI$2&amp;"+"&amp;CC221&amp;FI$1)</f>
        <v/>
      </c>
      <c r="FJ221" s="72" t="str">
        <f t="shared" ref="FJ221" si="3482">IF(CD221="","","|n"&amp;FJ$2&amp;"+"&amp;CD221&amp;FJ$1)</f>
        <v/>
      </c>
      <c r="FK221" s="72" t="str">
        <f t="shared" ref="FK221" si="3483">IF(CE221="","","|n"&amp;FK$2&amp;"+"&amp;CE221&amp;FK$1)</f>
        <v/>
      </c>
      <c r="FL221" s="72" t="str">
        <f t="shared" ref="FL221" si="3484">IF(CF221="","","|n"&amp;FL$2&amp;"+"&amp;CF221&amp;FL$1)</f>
        <v/>
      </c>
      <c r="FM221" s="72" t="str">
        <f t="shared" ref="FM221" si="3485">IF(CG221="","","|n"&amp;FM$2&amp;"+"&amp;CG221&amp;FM$1)</f>
        <v/>
      </c>
      <c r="FN221" s="72" t="str">
        <f t="shared" ref="FN221" si="3486">IF(CH221="","","|n"&amp;FN$2&amp;"+"&amp;CH221&amp;FN$1)</f>
        <v/>
      </c>
      <c r="FO221" s="72" t="str">
        <f t="shared" ref="FO221" si="3487">IF(CI221="","","|n"&amp;FO$2&amp;"+"&amp;CI221&amp;FO$1)</f>
        <v/>
      </c>
      <c r="FP221" s="72" t="str">
        <f t="shared" ref="FP221" si="3488">IF(CJ221="","","|n"&amp;FP$2&amp;"+"&amp;CJ221&amp;FP$1)</f>
        <v/>
      </c>
      <c r="FQ221" s="72" t="str">
        <f t="shared" ref="FQ221" si="3489">IF(CK221="","","|n"&amp;FQ$2&amp;"+"&amp;CK221&amp;FQ$1)</f>
        <v/>
      </c>
      <c r="FR221" s="72" t="str">
        <f t="shared" ref="FR221" si="3490">IF(CL221="","","|n"&amp;FR$2&amp;"+"&amp;CL221&amp;FR$1)</f>
        <v/>
      </c>
      <c r="FS221" s="72" t="str">
        <f t="shared" ref="FS221" si="3491">IF(CM221="","","|n"&amp;FS$2&amp;"+"&amp;CM221&amp;FS$1)</f>
        <v/>
      </c>
    </row>
    <row r="222" spans="1:175" ht="15">
      <c r="A222" s="81"/>
      <c r="B222" s="104" t="s">
        <v>774</v>
      </c>
      <c r="C222" s="81" t="s">
        <v>775</v>
      </c>
      <c r="T222" s="123" t="str">
        <f t="shared" si="3418"/>
        <v>|CffFFD24D兽魂抽奖|r</v>
      </c>
      <c r="U222" s="88" t="s">
        <v>776</v>
      </c>
      <c r="CN222" s="70" t="str">
        <f t="shared" si="3242"/>
        <v>InitUnitState('IS12',,,,,,,,,,)</v>
      </c>
      <c r="CO222" s="70" t="str">
        <f t="shared" si="3243"/>
        <v>InitUnitNormal('IS12',,,,,,,,,,)</v>
      </c>
      <c r="CP222" s="70" t="str">
        <f t="shared" si="3244"/>
        <v>InitUnitMagic('IS12',,,,,,,,,,)</v>
      </c>
      <c r="CQ222" s="70" t="str">
        <f t="shared" si="3245"/>
        <v>InitUnitAdd('IS12',,,,,,,,,,)</v>
      </c>
      <c r="CR222" s="70" t="e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#REF!&amp;CR$1&amp;")"</f>
        <v>#REF!</v>
      </c>
      <c r="CU222" s="98" t="str">
        <f t="shared" si="3420"/>
        <v>|n</v>
      </c>
      <c r="CV222" s="71" t="str">
        <f t="shared" si="3421"/>
        <v>|CffFFD24D兽魂抽奖|r</v>
      </c>
      <c r="CW222" s="61"/>
      <c r="CX222" s="61"/>
      <c r="CY222" s="61"/>
      <c r="CZ222" s="61"/>
      <c r="DA222" s="61"/>
      <c r="DB222" s="72" t="str">
        <f t="shared" ref="DB222:EG222" si="3492">IF(V222="","","|n"&amp;DB$2&amp;"+"&amp;V222&amp;DB$1)</f>
        <v/>
      </c>
      <c r="DC222" s="72" t="str">
        <f t="shared" si="3492"/>
        <v/>
      </c>
      <c r="DD222" s="72" t="str">
        <f t="shared" si="3492"/>
        <v/>
      </c>
      <c r="DE222" s="72" t="str">
        <f t="shared" si="3492"/>
        <v/>
      </c>
      <c r="DF222" s="72" t="str">
        <f t="shared" si="3492"/>
        <v/>
      </c>
      <c r="DG222" s="72" t="str">
        <f t="shared" si="3492"/>
        <v/>
      </c>
      <c r="DH222" s="72" t="str">
        <f t="shared" si="3492"/>
        <v/>
      </c>
      <c r="DI222" s="72" t="str">
        <f t="shared" si="3492"/>
        <v/>
      </c>
      <c r="DJ222" s="72" t="str">
        <f t="shared" si="3492"/>
        <v/>
      </c>
      <c r="DK222" s="72" t="str">
        <f t="shared" si="3492"/>
        <v/>
      </c>
      <c r="DL222" s="72" t="str">
        <f t="shared" si="3492"/>
        <v/>
      </c>
      <c r="DM222" s="72" t="str">
        <f t="shared" si="3492"/>
        <v/>
      </c>
      <c r="DN222" s="72" t="str">
        <f t="shared" si="3492"/>
        <v/>
      </c>
      <c r="DO222" s="72" t="str">
        <f t="shared" si="3492"/>
        <v/>
      </c>
      <c r="DP222" s="72" t="str">
        <f t="shared" si="3492"/>
        <v/>
      </c>
      <c r="DQ222" s="72" t="str">
        <f t="shared" si="3492"/>
        <v/>
      </c>
      <c r="DR222" s="72" t="str">
        <f t="shared" si="3492"/>
        <v/>
      </c>
      <c r="DS222" s="72" t="str">
        <f t="shared" si="3492"/>
        <v/>
      </c>
      <c r="DT222" s="72" t="str">
        <f t="shared" si="3492"/>
        <v/>
      </c>
      <c r="DU222" s="72" t="str">
        <f t="shared" si="3492"/>
        <v/>
      </c>
      <c r="DV222" s="72" t="str">
        <f t="shared" si="3492"/>
        <v/>
      </c>
      <c r="DW222" s="72" t="str">
        <f t="shared" si="3492"/>
        <v/>
      </c>
      <c r="DX222" s="72" t="str">
        <f t="shared" si="3492"/>
        <v/>
      </c>
      <c r="DY222" s="72" t="str">
        <f t="shared" si="3492"/>
        <v/>
      </c>
      <c r="DZ222" s="72" t="str">
        <f t="shared" si="3492"/>
        <v/>
      </c>
      <c r="EA222" s="72" t="str">
        <f t="shared" si="3492"/>
        <v/>
      </c>
      <c r="EB222" s="72" t="str">
        <f t="shared" si="3492"/>
        <v/>
      </c>
      <c r="EC222" s="72" t="str">
        <f t="shared" si="3492"/>
        <v/>
      </c>
      <c r="ED222" s="72" t="str">
        <f t="shared" si="3492"/>
        <v/>
      </c>
      <c r="EE222" s="72" t="str">
        <f t="shared" si="3492"/>
        <v/>
      </c>
      <c r="EF222" s="72" t="str">
        <f t="shared" si="3492"/>
        <v/>
      </c>
      <c r="EG222" s="72" t="str">
        <f t="shared" si="3492"/>
        <v/>
      </c>
      <c r="EH222" s="72" t="str">
        <f t="shared" ref="EH222:FM222" si="3493">IF(BB222="","","|n"&amp;EH$2&amp;"+"&amp;BB222&amp;EH$1)</f>
        <v/>
      </c>
      <c r="EI222" s="72" t="str">
        <f t="shared" si="3493"/>
        <v/>
      </c>
      <c r="EJ222" s="72" t="str">
        <f t="shared" si="3493"/>
        <v/>
      </c>
      <c r="EK222" s="72" t="str">
        <f t="shared" si="3493"/>
        <v/>
      </c>
      <c r="EL222" s="72" t="str">
        <f t="shared" si="3493"/>
        <v/>
      </c>
      <c r="EM222" s="72" t="str">
        <f t="shared" si="3493"/>
        <v/>
      </c>
      <c r="EN222" s="72" t="str">
        <f t="shared" si="3493"/>
        <v/>
      </c>
      <c r="EO222" s="72" t="str">
        <f t="shared" si="3493"/>
        <v/>
      </c>
      <c r="EP222" s="72" t="str">
        <f t="shared" si="3493"/>
        <v/>
      </c>
      <c r="EQ222" s="72" t="str">
        <f t="shared" si="3493"/>
        <v/>
      </c>
      <c r="ER222" s="72" t="str">
        <f t="shared" si="3493"/>
        <v/>
      </c>
      <c r="ES222" s="72" t="str">
        <f t="shared" si="3493"/>
        <v/>
      </c>
      <c r="ET222" s="72" t="str">
        <f t="shared" si="3493"/>
        <v/>
      </c>
      <c r="EU222" s="72" t="str">
        <f t="shared" si="3493"/>
        <v/>
      </c>
      <c r="EV222" s="72" t="str">
        <f t="shared" si="3493"/>
        <v/>
      </c>
      <c r="EW222" s="72" t="str">
        <f t="shared" si="3493"/>
        <v/>
      </c>
      <c r="EX222" s="72" t="str">
        <f t="shared" si="3493"/>
        <v/>
      </c>
      <c r="EY222" s="72" t="str">
        <f t="shared" si="3493"/>
        <v/>
      </c>
      <c r="EZ222" s="72" t="str">
        <f t="shared" si="3493"/>
        <v/>
      </c>
      <c r="FA222" s="72" t="str">
        <f t="shared" si="3493"/>
        <v/>
      </c>
      <c r="FB222" s="72" t="str">
        <f t="shared" si="3493"/>
        <v/>
      </c>
      <c r="FC222" s="72" t="str">
        <f t="shared" si="3493"/>
        <v/>
      </c>
      <c r="FD222" s="72" t="str">
        <f t="shared" si="3493"/>
        <v/>
      </c>
      <c r="FE222" s="72" t="str">
        <f t="shared" si="3493"/>
        <v/>
      </c>
      <c r="FF222" s="72" t="str">
        <f t="shared" si="3493"/>
        <v/>
      </c>
      <c r="FG222" s="72" t="str">
        <f t="shared" si="3493"/>
        <v/>
      </c>
      <c r="FH222" s="72" t="str">
        <f t="shared" si="3493"/>
        <v/>
      </c>
      <c r="FI222" s="72" t="str">
        <f t="shared" si="3493"/>
        <v/>
      </c>
      <c r="FJ222" s="72" t="str">
        <f t="shared" si="3493"/>
        <v/>
      </c>
      <c r="FK222" s="72" t="str">
        <f t="shared" si="3493"/>
        <v/>
      </c>
      <c r="FL222" s="72" t="str">
        <f t="shared" si="3493"/>
        <v/>
      </c>
      <c r="FM222" s="72" t="str">
        <f t="shared" si="3493"/>
        <v/>
      </c>
      <c r="FN222" s="72" t="str">
        <f t="shared" ref="FN222:FS222" si="3494">IF(CH222="","","|n"&amp;FN$2&amp;"+"&amp;CH222&amp;FN$1)</f>
        <v/>
      </c>
      <c r="FO222" s="72" t="str">
        <f t="shared" si="3494"/>
        <v/>
      </c>
      <c r="FP222" s="72" t="str">
        <f t="shared" si="3494"/>
        <v/>
      </c>
      <c r="FQ222" s="72" t="str">
        <f t="shared" si="3494"/>
        <v/>
      </c>
      <c r="FR222" s="72" t="str">
        <f t="shared" si="3494"/>
        <v/>
      </c>
      <c r="FS222" s="72" t="str">
        <f t="shared" si="3494"/>
        <v/>
      </c>
    </row>
    <row r="223" spans="1:175" ht="15">
      <c r="A223" s="81"/>
      <c r="B223" s="104" t="s">
        <v>777</v>
      </c>
      <c r="C223" s="81" t="s">
        <v>775</v>
      </c>
      <c r="T223" s="123" t="str">
        <f t="shared" si="3418"/>
        <v>|CffFFD24D兽魂抽奖|r</v>
      </c>
      <c r="U223" s="88" t="s">
        <v>776</v>
      </c>
      <c r="CN223" s="70" t="str">
        <f t="shared" si="3242"/>
        <v>InitUnitState('IZ0C',,,,,,,,,,)</v>
      </c>
      <c r="CO223" s="70" t="str">
        <f t="shared" si="3243"/>
        <v>InitUnitNormal('IZ0C',,,,,,,,,,)</v>
      </c>
      <c r="CP223" s="70" t="str">
        <f t="shared" si="3244"/>
        <v>InitUnitMagic('IZ0C',,,,,,,,,,)</v>
      </c>
      <c r="CQ223" s="70" t="str">
        <f t="shared" si="3245"/>
        <v>InitUnitAdd('IZ0C',,,,,,,,,,)</v>
      </c>
      <c r="CR223" s="70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8" t="str">
        <f t="shared" si="3420"/>
        <v>|n</v>
      </c>
      <c r="CV223" s="71" t="str">
        <f t="shared" si="3421"/>
        <v>|CffFFD24D兽魂抽奖|r</v>
      </c>
      <c r="CW223" s="61"/>
      <c r="CX223" s="61"/>
      <c r="CY223" s="61"/>
      <c r="CZ223" s="61"/>
      <c r="DA223" s="61"/>
      <c r="DB223" s="72" t="str">
        <f t="shared" ref="DB223:FM223" si="3495">IF(V223="","","|n"&amp;DB$2&amp;"+"&amp;V223&amp;DB$1)</f>
        <v/>
      </c>
      <c r="DC223" s="72" t="str">
        <f t="shared" si="3495"/>
        <v/>
      </c>
      <c r="DD223" s="72" t="str">
        <f t="shared" si="3495"/>
        <v/>
      </c>
      <c r="DE223" s="72" t="str">
        <f t="shared" si="3495"/>
        <v/>
      </c>
      <c r="DF223" s="72" t="str">
        <f t="shared" si="3495"/>
        <v/>
      </c>
      <c r="DG223" s="72" t="str">
        <f t="shared" si="3495"/>
        <v/>
      </c>
      <c r="DH223" s="72" t="str">
        <f t="shared" si="3495"/>
        <v/>
      </c>
      <c r="DI223" s="72" t="str">
        <f t="shared" si="3495"/>
        <v/>
      </c>
      <c r="DJ223" s="72" t="str">
        <f t="shared" si="3495"/>
        <v/>
      </c>
      <c r="DK223" s="72" t="str">
        <f t="shared" si="3495"/>
        <v/>
      </c>
      <c r="DL223" s="72" t="str">
        <f t="shared" si="3495"/>
        <v/>
      </c>
      <c r="DM223" s="72" t="str">
        <f t="shared" si="3495"/>
        <v/>
      </c>
      <c r="DN223" s="72" t="str">
        <f t="shared" si="3495"/>
        <v/>
      </c>
      <c r="DO223" s="72" t="str">
        <f t="shared" si="3495"/>
        <v/>
      </c>
      <c r="DP223" s="72" t="str">
        <f t="shared" si="3495"/>
        <v/>
      </c>
      <c r="DQ223" s="72" t="str">
        <f t="shared" si="3495"/>
        <v/>
      </c>
      <c r="DR223" s="72" t="str">
        <f t="shared" si="3495"/>
        <v/>
      </c>
      <c r="DS223" s="72" t="str">
        <f t="shared" si="3495"/>
        <v/>
      </c>
      <c r="DT223" s="72" t="str">
        <f t="shared" si="3495"/>
        <v/>
      </c>
      <c r="DU223" s="72" t="str">
        <f t="shared" si="3495"/>
        <v/>
      </c>
      <c r="DV223" s="72" t="str">
        <f t="shared" si="3495"/>
        <v/>
      </c>
      <c r="DW223" s="72" t="str">
        <f t="shared" si="3495"/>
        <v/>
      </c>
      <c r="DX223" s="72" t="str">
        <f t="shared" si="3495"/>
        <v/>
      </c>
      <c r="DY223" s="72" t="str">
        <f t="shared" si="3495"/>
        <v/>
      </c>
      <c r="DZ223" s="72" t="str">
        <f t="shared" si="3495"/>
        <v/>
      </c>
      <c r="EA223" s="72" t="str">
        <f t="shared" si="3495"/>
        <v/>
      </c>
      <c r="EB223" s="72" t="str">
        <f t="shared" si="3495"/>
        <v/>
      </c>
      <c r="EC223" s="72" t="str">
        <f t="shared" si="3495"/>
        <v/>
      </c>
      <c r="ED223" s="72" t="str">
        <f t="shared" si="3495"/>
        <v/>
      </c>
      <c r="EE223" s="72" t="str">
        <f t="shared" si="3495"/>
        <v/>
      </c>
      <c r="EF223" s="72" t="str">
        <f t="shared" si="3495"/>
        <v/>
      </c>
      <c r="EG223" s="72" t="str">
        <f t="shared" si="3495"/>
        <v/>
      </c>
      <c r="EH223" s="72" t="str">
        <f t="shared" si="3495"/>
        <v/>
      </c>
      <c r="EI223" s="72" t="str">
        <f t="shared" si="3495"/>
        <v/>
      </c>
      <c r="EJ223" s="72" t="str">
        <f t="shared" si="3495"/>
        <v/>
      </c>
      <c r="EK223" s="72" t="str">
        <f t="shared" si="3495"/>
        <v/>
      </c>
      <c r="EL223" s="72" t="str">
        <f t="shared" si="3495"/>
        <v/>
      </c>
      <c r="EM223" s="72" t="str">
        <f t="shared" si="3495"/>
        <v/>
      </c>
      <c r="EN223" s="72" t="str">
        <f t="shared" si="3495"/>
        <v/>
      </c>
      <c r="EO223" s="72" t="str">
        <f t="shared" si="3495"/>
        <v/>
      </c>
      <c r="EP223" s="72" t="str">
        <f t="shared" si="3495"/>
        <v/>
      </c>
      <c r="EQ223" s="72" t="str">
        <f t="shared" si="3495"/>
        <v/>
      </c>
      <c r="ER223" s="72" t="str">
        <f t="shared" si="3495"/>
        <v/>
      </c>
      <c r="ES223" s="72" t="str">
        <f t="shared" si="3495"/>
        <v/>
      </c>
      <c r="ET223" s="72" t="str">
        <f t="shared" si="3495"/>
        <v/>
      </c>
      <c r="EU223" s="72" t="str">
        <f t="shared" si="3495"/>
        <v/>
      </c>
      <c r="EV223" s="72" t="str">
        <f t="shared" si="3495"/>
        <v/>
      </c>
      <c r="EW223" s="72" t="str">
        <f t="shared" si="3495"/>
        <v/>
      </c>
      <c r="EX223" s="72" t="str">
        <f t="shared" si="3495"/>
        <v/>
      </c>
      <c r="EY223" s="72" t="str">
        <f t="shared" si="3495"/>
        <v/>
      </c>
      <c r="EZ223" s="72" t="str">
        <f t="shared" si="3495"/>
        <v/>
      </c>
      <c r="FA223" s="72" t="str">
        <f t="shared" si="3495"/>
        <v/>
      </c>
      <c r="FB223" s="72" t="str">
        <f t="shared" si="3495"/>
        <v/>
      </c>
      <c r="FC223" s="72" t="str">
        <f t="shared" si="3495"/>
        <v/>
      </c>
      <c r="FD223" s="72" t="str">
        <f t="shared" si="3495"/>
        <v/>
      </c>
      <c r="FE223" s="72" t="str">
        <f t="shared" si="3495"/>
        <v/>
      </c>
      <c r="FF223" s="72" t="str">
        <f t="shared" si="3495"/>
        <v/>
      </c>
      <c r="FG223" s="72" t="str">
        <f t="shared" si="3495"/>
        <v/>
      </c>
      <c r="FH223" s="72" t="str">
        <f t="shared" si="3495"/>
        <v/>
      </c>
      <c r="FI223" s="72" t="str">
        <f t="shared" si="3495"/>
        <v/>
      </c>
      <c r="FJ223" s="72" t="str">
        <f t="shared" si="3495"/>
        <v/>
      </c>
      <c r="FK223" s="72" t="str">
        <f t="shared" si="3495"/>
        <v/>
      </c>
      <c r="FL223" s="72" t="str">
        <f t="shared" si="3495"/>
        <v/>
      </c>
      <c r="FM223" s="72" t="str">
        <f t="shared" si="3495"/>
        <v/>
      </c>
      <c r="FN223" s="72" t="str">
        <f t="shared" ref="FN223:FS223" si="3496">IF(CH223="","","|n"&amp;FN$2&amp;"+"&amp;CH223&amp;FN$1)</f>
        <v/>
      </c>
      <c r="FO223" s="72" t="str">
        <f t="shared" si="3496"/>
        <v/>
      </c>
      <c r="FP223" s="72" t="str">
        <f t="shared" si="3496"/>
        <v/>
      </c>
      <c r="FQ223" s="72" t="str">
        <f t="shared" si="3496"/>
        <v/>
      </c>
      <c r="FR223" s="72" t="str">
        <f t="shared" si="3496"/>
        <v/>
      </c>
      <c r="FS223" s="72" t="str">
        <f t="shared" si="3496"/>
        <v/>
      </c>
    </row>
    <row r="224" spans="1:175" ht="15">
      <c r="A224" s="81"/>
      <c r="B224" s="104" t="s">
        <v>778</v>
      </c>
      <c r="C224" s="81" t="s">
        <v>779</v>
      </c>
      <c r="T224" s="123" t="s">
        <v>780</v>
      </c>
      <c r="U224" s="88" t="s">
        <v>776</v>
      </c>
      <c r="CN224" s="70" t="str">
        <f t="shared" si="3242"/>
        <v>InitUnitState('IZ10',,,,,,,,,,)</v>
      </c>
      <c r="CO224" s="70" t="str">
        <f t="shared" si="3243"/>
        <v>InitUnitNormal('IZ10',,,,,,,,,,)</v>
      </c>
      <c r="CP224" s="70" t="str">
        <f t="shared" si="3244"/>
        <v>InitUnitMagic('IZ10',,,,,,,,,,)</v>
      </c>
      <c r="CQ224" s="70" t="str">
        <f t="shared" si="3245"/>
        <v>InitUnitAdd('IZ10',,,,,,,,,,)</v>
      </c>
      <c r="CR224" s="70" t="e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#REF!&amp;CR$1&amp;")"</f>
        <v>#REF!</v>
      </c>
      <c r="CU224" s="98" t="str">
        <f t="shared" si="3420"/>
        <v>|n</v>
      </c>
      <c r="CV224" s="71" t="str">
        <f t="shared" si="3421"/>
        <v>|CffF0F0F0有几率获得|r|Cffffd24d好东西|r|Cfff0f0f0，也有可能|r|Cffcccccc打水漂|r|Cfff0f0f0。|n|n|r|Cff00ff7f观今夜星象，抽就完事了...|r</v>
      </c>
      <c r="CW224" s="61"/>
      <c r="CX224" s="61"/>
      <c r="CY224" s="61"/>
      <c r="CZ224" s="61"/>
      <c r="DA224" s="61"/>
      <c r="DB224" s="72" t="str">
        <f t="shared" ref="DB224:FM224" si="3497">IF(V224="","","|n"&amp;DB$2&amp;"+"&amp;V224&amp;DB$1)</f>
        <v/>
      </c>
      <c r="DC224" s="72" t="str">
        <f t="shared" si="3497"/>
        <v/>
      </c>
      <c r="DD224" s="72" t="str">
        <f t="shared" si="3497"/>
        <v/>
      </c>
      <c r="DE224" s="72" t="str">
        <f t="shared" si="3497"/>
        <v/>
      </c>
      <c r="DF224" s="72" t="str">
        <f t="shared" si="3497"/>
        <v/>
      </c>
      <c r="DG224" s="72" t="str">
        <f t="shared" si="3497"/>
        <v/>
      </c>
      <c r="DH224" s="72" t="str">
        <f t="shared" si="3497"/>
        <v/>
      </c>
      <c r="DI224" s="72" t="str">
        <f t="shared" si="3497"/>
        <v/>
      </c>
      <c r="DJ224" s="72" t="str">
        <f t="shared" si="3497"/>
        <v/>
      </c>
      <c r="DK224" s="72" t="str">
        <f t="shared" si="3497"/>
        <v/>
      </c>
      <c r="DL224" s="72" t="str">
        <f t="shared" si="3497"/>
        <v/>
      </c>
      <c r="DM224" s="72" t="str">
        <f t="shared" si="3497"/>
        <v/>
      </c>
      <c r="DN224" s="72" t="str">
        <f t="shared" si="3497"/>
        <v/>
      </c>
      <c r="DO224" s="72" t="str">
        <f t="shared" si="3497"/>
        <v/>
      </c>
      <c r="DP224" s="72" t="str">
        <f t="shared" si="3497"/>
        <v/>
      </c>
      <c r="DQ224" s="72" t="str">
        <f t="shared" si="3497"/>
        <v/>
      </c>
      <c r="DR224" s="72" t="str">
        <f t="shared" si="3497"/>
        <v/>
      </c>
      <c r="DS224" s="72" t="str">
        <f t="shared" si="3497"/>
        <v/>
      </c>
      <c r="DT224" s="72" t="str">
        <f t="shared" si="3497"/>
        <v/>
      </c>
      <c r="DU224" s="72" t="str">
        <f t="shared" si="3497"/>
        <v/>
      </c>
      <c r="DV224" s="72" t="str">
        <f t="shared" si="3497"/>
        <v/>
      </c>
      <c r="DW224" s="72" t="str">
        <f t="shared" si="3497"/>
        <v/>
      </c>
      <c r="DX224" s="72" t="str">
        <f t="shared" si="3497"/>
        <v/>
      </c>
      <c r="DY224" s="72" t="str">
        <f t="shared" si="3497"/>
        <v/>
      </c>
      <c r="DZ224" s="72" t="str">
        <f t="shared" si="3497"/>
        <v/>
      </c>
      <c r="EA224" s="72" t="str">
        <f t="shared" si="3497"/>
        <v/>
      </c>
      <c r="EB224" s="72" t="str">
        <f t="shared" si="3497"/>
        <v/>
      </c>
      <c r="EC224" s="72" t="str">
        <f t="shared" si="3497"/>
        <v/>
      </c>
      <c r="ED224" s="72" t="str">
        <f t="shared" si="3497"/>
        <v/>
      </c>
      <c r="EE224" s="72" t="str">
        <f t="shared" si="3497"/>
        <v/>
      </c>
      <c r="EF224" s="72" t="str">
        <f t="shared" si="3497"/>
        <v/>
      </c>
      <c r="EG224" s="72" t="str">
        <f t="shared" si="3497"/>
        <v/>
      </c>
      <c r="EH224" s="72" t="str">
        <f t="shared" si="3497"/>
        <v/>
      </c>
      <c r="EI224" s="72" t="str">
        <f t="shared" si="3497"/>
        <v/>
      </c>
      <c r="EJ224" s="72" t="str">
        <f t="shared" si="3497"/>
        <v/>
      </c>
      <c r="EK224" s="72" t="str">
        <f t="shared" si="3497"/>
        <v/>
      </c>
      <c r="EL224" s="72" t="str">
        <f t="shared" si="3497"/>
        <v/>
      </c>
      <c r="EM224" s="72" t="str">
        <f t="shared" si="3497"/>
        <v/>
      </c>
      <c r="EN224" s="72" t="str">
        <f t="shared" si="3497"/>
        <v/>
      </c>
      <c r="EO224" s="72" t="str">
        <f t="shared" si="3497"/>
        <v/>
      </c>
      <c r="EP224" s="72" t="str">
        <f t="shared" si="3497"/>
        <v/>
      </c>
      <c r="EQ224" s="72" t="str">
        <f t="shared" si="3497"/>
        <v/>
      </c>
      <c r="ER224" s="72" t="str">
        <f t="shared" si="3497"/>
        <v/>
      </c>
      <c r="ES224" s="72" t="str">
        <f t="shared" si="3497"/>
        <v/>
      </c>
      <c r="ET224" s="72" t="str">
        <f t="shared" si="3497"/>
        <v/>
      </c>
      <c r="EU224" s="72" t="str">
        <f t="shared" si="3497"/>
        <v/>
      </c>
      <c r="EV224" s="72" t="str">
        <f t="shared" si="3497"/>
        <v/>
      </c>
      <c r="EW224" s="72" t="str">
        <f t="shared" si="3497"/>
        <v/>
      </c>
      <c r="EX224" s="72" t="str">
        <f t="shared" si="3497"/>
        <v/>
      </c>
      <c r="EY224" s="72" t="str">
        <f t="shared" si="3497"/>
        <v/>
      </c>
      <c r="EZ224" s="72" t="str">
        <f t="shared" si="3497"/>
        <v/>
      </c>
      <c r="FA224" s="72" t="str">
        <f t="shared" si="3497"/>
        <v/>
      </c>
      <c r="FB224" s="72" t="str">
        <f t="shared" si="3497"/>
        <v/>
      </c>
      <c r="FC224" s="72" t="str">
        <f t="shared" si="3497"/>
        <v/>
      </c>
      <c r="FD224" s="72" t="str">
        <f t="shared" si="3497"/>
        <v/>
      </c>
      <c r="FE224" s="72" t="str">
        <f t="shared" si="3497"/>
        <v/>
      </c>
      <c r="FF224" s="72" t="str">
        <f t="shared" si="3497"/>
        <v/>
      </c>
      <c r="FG224" s="72" t="str">
        <f t="shared" si="3497"/>
        <v/>
      </c>
      <c r="FH224" s="72" t="str">
        <f t="shared" si="3497"/>
        <v/>
      </c>
      <c r="FI224" s="72" t="str">
        <f t="shared" si="3497"/>
        <v/>
      </c>
      <c r="FJ224" s="72" t="str">
        <f t="shared" si="3497"/>
        <v/>
      </c>
      <c r="FK224" s="72" t="str">
        <f t="shared" si="3497"/>
        <v/>
      </c>
      <c r="FL224" s="72" t="str">
        <f t="shared" si="3497"/>
        <v/>
      </c>
      <c r="FM224" s="72" t="str">
        <f t="shared" si="3497"/>
        <v/>
      </c>
      <c r="FN224" s="72" t="str">
        <f t="shared" ref="FN224:FS224" si="3498">IF(CH224="","","|n"&amp;FN$2&amp;"+"&amp;CH224&amp;FN$1)</f>
        <v/>
      </c>
      <c r="FO224" s="72" t="str">
        <f t="shared" si="3498"/>
        <v/>
      </c>
      <c r="FP224" s="72" t="str">
        <f t="shared" si="3498"/>
        <v/>
      </c>
      <c r="FQ224" s="72" t="str">
        <f t="shared" si="3498"/>
        <v/>
      </c>
      <c r="FR224" s="72" t="str">
        <f t="shared" si="3498"/>
        <v/>
      </c>
      <c r="FS224" s="72" t="str">
        <f t="shared" si="3498"/>
        <v/>
      </c>
    </row>
    <row r="225" spans="1:175" ht="15">
      <c r="A225" s="81"/>
      <c r="B225" s="104" t="s">
        <v>781</v>
      </c>
      <c r="C225" s="81" t="s">
        <v>782</v>
      </c>
      <c r="T225" s="123" t="s">
        <v>783</v>
      </c>
      <c r="U225" s="88" t="s">
        <v>776</v>
      </c>
      <c r="CN225" s="70" t="str">
        <f t="shared" si="3242"/>
        <v>InitUnitState('IZ11',,,,,,,,,,)</v>
      </c>
      <c r="CO225" s="70" t="str">
        <f t="shared" si="3243"/>
        <v>InitUnitNormal('IZ11',,,,,,,,,,)</v>
      </c>
      <c r="CP225" s="70" t="str">
        <f t="shared" si="3244"/>
        <v>InitUnitMagic('IZ11',,,,,,,,,,)</v>
      </c>
      <c r="CQ225" s="70" t="str">
        <f t="shared" si="3245"/>
        <v>InitUnitAdd('IZ11',,,,,,,,,,)</v>
      </c>
      <c r="CR225" s="70" t="e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#REF!&amp;CR$1&amp;")"</f>
        <v>#REF!</v>
      </c>
      <c r="CU225" s="98" t="str">
        <f t="shared" si="3420"/>
        <v>|n</v>
      </c>
      <c r="CV225" s="71" t="str">
        <f t="shared" si="3421"/>
        <v>|CffF0F0F0有几率获得|r|Cffffd24d很多好东西|r|Cfff0f0f0，也有可能|r|Cffcccccc打很多水漂|r|Cfff0f0f0。|n|n|r|Cff00ff7f观今夜星象，使劲抽就完事了...|r</v>
      </c>
      <c r="CW225" s="61"/>
      <c r="CX225" s="61"/>
      <c r="CY225" s="61"/>
      <c r="CZ225" s="61"/>
      <c r="DA225" s="61"/>
      <c r="DB225" s="72" t="str">
        <f t="shared" ref="DB225:FM225" si="3499">IF(V225="","","|n"&amp;DB$2&amp;"+"&amp;V225&amp;DB$1)</f>
        <v/>
      </c>
      <c r="DC225" s="72" t="str">
        <f t="shared" si="3499"/>
        <v/>
      </c>
      <c r="DD225" s="72" t="str">
        <f t="shared" si="3499"/>
        <v/>
      </c>
      <c r="DE225" s="72" t="str">
        <f t="shared" si="3499"/>
        <v/>
      </c>
      <c r="DF225" s="72" t="str">
        <f t="shared" si="3499"/>
        <v/>
      </c>
      <c r="DG225" s="72" t="str">
        <f t="shared" si="3499"/>
        <v/>
      </c>
      <c r="DH225" s="72" t="str">
        <f t="shared" si="3499"/>
        <v/>
      </c>
      <c r="DI225" s="72" t="str">
        <f t="shared" si="3499"/>
        <v/>
      </c>
      <c r="DJ225" s="72" t="str">
        <f t="shared" si="3499"/>
        <v/>
      </c>
      <c r="DK225" s="72" t="str">
        <f t="shared" si="3499"/>
        <v/>
      </c>
      <c r="DL225" s="72" t="str">
        <f t="shared" si="3499"/>
        <v/>
      </c>
      <c r="DM225" s="72" t="str">
        <f t="shared" si="3499"/>
        <v/>
      </c>
      <c r="DN225" s="72" t="str">
        <f t="shared" si="3499"/>
        <v/>
      </c>
      <c r="DO225" s="72" t="str">
        <f t="shared" si="3499"/>
        <v/>
      </c>
      <c r="DP225" s="72" t="str">
        <f t="shared" si="3499"/>
        <v/>
      </c>
      <c r="DQ225" s="72" t="str">
        <f t="shared" si="3499"/>
        <v/>
      </c>
      <c r="DR225" s="72" t="str">
        <f t="shared" si="3499"/>
        <v/>
      </c>
      <c r="DS225" s="72" t="str">
        <f t="shared" si="3499"/>
        <v/>
      </c>
      <c r="DT225" s="72" t="str">
        <f t="shared" si="3499"/>
        <v/>
      </c>
      <c r="DU225" s="72" t="str">
        <f t="shared" si="3499"/>
        <v/>
      </c>
      <c r="DV225" s="72" t="str">
        <f t="shared" si="3499"/>
        <v/>
      </c>
      <c r="DW225" s="72" t="str">
        <f t="shared" si="3499"/>
        <v/>
      </c>
      <c r="DX225" s="72" t="str">
        <f t="shared" si="3499"/>
        <v/>
      </c>
      <c r="DY225" s="72" t="str">
        <f t="shared" si="3499"/>
        <v/>
      </c>
      <c r="DZ225" s="72" t="str">
        <f t="shared" si="3499"/>
        <v/>
      </c>
      <c r="EA225" s="72" t="str">
        <f t="shared" si="3499"/>
        <v/>
      </c>
      <c r="EB225" s="72" t="str">
        <f t="shared" si="3499"/>
        <v/>
      </c>
      <c r="EC225" s="72" t="str">
        <f t="shared" si="3499"/>
        <v/>
      </c>
      <c r="ED225" s="72" t="str">
        <f t="shared" si="3499"/>
        <v/>
      </c>
      <c r="EE225" s="72" t="str">
        <f t="shared" si="3499"/>
        <v/>
      </c>
      <c r="EF225" s="72" t="str">
        <f t="shared" si="3499"/>
        <v/>
      </c>
      <c r="EG225" s="72" t="str">
        <f t="shared" si="3499"/>
        <v/>
      </c>
      <c r="EH225" s="72" t="str">
        <f t="shared" si="3499"/>
        <v/>
      </c>
      <c r="EI225" s="72" t="str">
        <f t="shared" si="3499"/>
        <v/>
      </c>
      <c r="EJ225" s="72" t="str">
        <f t="shared" si="3499"/>
        <v/>
      </c>
      <c r="EK225" s="72" t="str">
        <f t="shared" si="3499"/>
        <v/>
      </c>
      <c r="EL225" s="72" t="str">
        <f t="shared" si="3499"/>
        <v/>
      </c>
      <c r="EM225" s="72" t="str">
        <f t="shared" si="3499"/>
        <v/>
      </c>
      <c r="EN225" s="72" t="str">
        <f t="shared" si="3499"/>
        <v/>
      </c>
      <c r="EO225" s="72" t="str">
        <f t="shared" si="3499"/>
        <v/>
      </c>
      <c r="EP225" s="72" t="str">
        <f t="shared" si="3499"/>
        <v/>
      </c>
      <c r="EQ225" s="72" t="str">
        <f t="shared" si="3499"/>
        <v/>
      </c>
      <c r="ER225" s="72" t="str">
        <f t="shared" si="3499"/>
        <v/>
      </c>
      <c r="ES225" s="72" t="str">
        <f t="shared" si="3499"/>
        <v/>
      </c>
      <c r="ET225" s="72" t="str">
        <f t="shared" si="3499"/>
        <v/>
      </c>
      <c r="EU225" s="72" t="str">
        <f t="shared" si="3499"/>
        <v/>
      </c>
      <c r="EV225" s="72" t="str">
        <f t="shared" si="3499"/>
        <v/>
      </c>
      <c r="EW225" s="72" t="str">
        <f t="shared" si="3499"/>
        <v/>
      </c>
      <c r="EX225" s="72" t="str">
        <f t="shared" si="3499"/>
        <v/>
      </c>
      <c r="EY225" s="72" t="str">
        <f t="shared" si="3499"/>
        <v/>
      </c>
      <c r="EZ225" s="72" t="str">
        <f t="shared" si="3499"/>
        <v/>
      </c>
      <c r="FA225" s="72" t="str">
        <f t="shared" si="3499"/>
        <v/>
      </c>
      <c r="FB225" s="72" t="str">
        <f t="shared" si="3499"/>
        <v/>
      </c>
      <c r="FC225" s="72" t="str">
        <f t="shared" si="3499"/>
        <v/>
      </c>
      <c r="FD225" s="72" t="str">
        <f t="shared" si="3499"/>
        <v/>
      </c>
      <c r="FE225" s="72" t="str">
        <f t="shared" si="3499"/>
        <v/>
      </c>
      <c r="FF225" s="72" t="str">
        <f t="shared" si="3499"/>
        <v/>
      </c>
      <c r="FG225" s="72" t="str">
        <f t="shared" si="3499"/>
        <v/>
      </c>
      <c r="FH225" s="72" t="str">
        <f t="shared" si="3499"/>
        <v/>
      </c>
      <c r="FI225" s="72" t="str">
        <f t="shared" si="3499"/>
        <v/>
      </c>
      <c r="FJ225" s="72" t="str">
        <f t="shared" si="3499"/>
        <v/>
      </c>
      <c r="FK225" s="72" t="str">
        <f t="shared" si="3499"/>
        <v/>
      </c>
      <c r="FL225" s="72" t="str">
        <f t="shared" si="3499"/>
        <v/>
      </c>
      <c r="FM225" s="72" t="str">
        <f t="shared" si="3499"/>
        <v/>
      </c>
      <c r="FN225" s="72" t="str">
        <f t="shared" ref="FN225:FS225" si="3500">IF(CH225="","","|n"&amp;FN$2&amp;"+"&amp;CH225&amp;FN$1)</f>
        <v/>
      </c>
      <c r="FO225" s="72" t="str">
        <f t="shared" si="3500"/>
        <v/>
      </c>
      <c r="FP225" s="72" t="str">
        <f t="shared" si="3500"/>
        <v/>
      </c>
      <c r="FQ225" s="72" t="str">
        <f t="shared" si="3500"/>
        <v/>
      </c>
      <c r="FR225" s="72" t="str">
        <f t="shared" si="3500"/>
        <v/>
      </c>
      <c r="FS225" s="72" t="str">
        <f t="shared" si="3500"/>
        <v/>
      </c>
    </row>
    <row r="226" spans="1:175" ht="15">
      <c r="A226" s="81"/>
      <c r="B226" s="104" t="s">
        <v>784</v>
      </c>
      <c r="C226" s="81" t="s">
        <v>785</v>
      </c>
      <c r="T226" s="138" t="s">
        <v>1032</v>
      </c>
      <c r="U226" s="88" t="s">
        <v>309</v>
      </c>
      <c r="CN226" s="70" t="str">
        <f t="shared" ref="CN226" si="3501">"InitUnitState('"&amp;B226&amp;"',"&amp;V226&amp;","&amp;W226&amp;","&amp;X226&amp;","&amp;Y226&amp;","&amp;Z226&amp;","&amp;AA226&amp;","&amp;AB226&amp;","&amp;AC226&amp;","&amp;AD226&amp;","&amp;AE226&amp;")"</f>
        <v>InitUnitState('IS13',,,,,,,,,,)</v>
      </c>
      <c r="CO226" s="70" t="str">
        <f t="shared" ref="CO226" si="3502">"InitUnitNormal('"&amp;B226&amp;"',"&amp;AF226&amp;","&amp;AG226&amp;","&amp;AH226&amp;","&amp;AI226&amp;","&amp;AJ226&amp;","&amp;AK226&amp;","&amp;AL226&amp;","&amp;AM226&amp;","&amp;AN226&amp;","&amp;AO226&amp;")"</f>
        <v>InitUnitNormal('IS13',,,,,,,,,,)</v>
      </c>
      <c r="CP226" s="70" t="str">
        <f t="shared" ref="CP226" si="3503">"InitUnitMagic('"&amp;B226&amp;"',"&amp;AP226&amp;","&amp;AQ226&amp;","&amp;AR226&amp;","&amp;AS226&amp;","&amp;AT226&amp;","&amp;AU226&amp;","&amp;AV226&amp;","&amp;AW226&amp;","&amp;BI226&amp;","&amp;BJ226&amp;")"</f>
        <v>InitUnitMagic('IS13',,,,,,,,,,)</v>
      </c>
      <c r="CQ226" s="70" t="str">
        <f t="shared" ref="CQ226" si="3504">"InitUnitAdd('"&amp;B226&amp;"',"&amp;BK226&amp;","&amp;BL226&amp;","&amp;BM226&amp;","&amp;BN226&amp;","&amp;BO226&amp;","&amp;BP226&amp;","&amp;BQ226&amp;","&amp;BR226&amp;","&amp;BS226&amp;","&amp;BT226&amp;")"</f>
        <v>InitUnitAdd('IS13',,,,,,,,,,)</v>
      </c>
      <c r="CR226" s="70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8" t="str">
        <f t="shared" ref="CU226:CU228" si="3505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71" t="str">
        <f t="shared" ref="CV226:CV228" si="3506">T226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26" s="61"/>
      <c r="CX226" s="61"/>
      <c r="CY226" s="61"/>
      <c r="CZ226" s="61"/>
      <c r="DA226" s="61"/>
      <c r="DB226" s="72" t="str">
        <f t="shared" ref="DB226" si="3507">IF(V226="","","|n"&amp;DB$2&amp;"+"&amp;V226&amp;DB$1)</f>
        <v/>
      </c>
      <c r="DC226" s="72" t="str">
        <f t="shared" ref="DC226" si="3508">IF(W226="","","|n"&amp;DC$2&amp;"+"&amp;W226&amp;DC$1)</f>
        <v/>
      </c>
      <c r="DD226" s="72" t="str">
        <f t="shared" ref="DD226" si="3509">IF(X226="","","|n"&amp;DD$2&amp;"+"&amp;X226&amp;DD$1)</f>
        <v/>
      </c>
      <c r="DE226" s="72" t="str">
        <f t="shared" ref="DE226" si="3510">IF(Y226="","","|n"&amp;DE$2&amp;"+"&amp;Y226&amp;DE$1)</f>
        <v/>
      </c>
      <c r="DF226" s="72" t="str">
        <f t="shared" ref="DF226" si="3511">IF(Z226="","","|n"&amp;DF$2&amp;"+"&amp;Z226&amp;DF$1)</f>
        <v/>
      </c>
      <c r="DG226" s="72" t="str">
        <f t="shared" ref="DG226" si="3512">IF(AA226="","","|n"&amp;DG$2&amp;"+"&amp;AA226&amp;DG$1)</f>
        <v/>
      </c>
      <c r="DH226" s="72" t="str">
        <f t="shared" ref="DH226" si="3513">IF(AB226="","","|n"&amp;DH$2&amp;"+"&amp;AB226&amp;DH$1)</f>
        <v/>
      </c>
      <c r="DI226" s="72" t="str">
        <f t="shared" ref="DI226" si="3514">IF(AC226="","","|n"&amp;DI$2&amp;"+"&amp;AC226&amp;DI$1)</f>
        <v/>
      </c>
      <c r="DJ226" s="72" t="str">
        <f t="shared" ref="DJ226" si="3515">IF(AD226="","","|n"&amp;DJ$2&amp;"+"&amp;AD226&amp;DJ$1)</f>
        <v/>
      </c>
      <c r="DK226" s="72" t="str">
        <f t="shared" ref="DK226" si="3516">IF(AE226="","","|n"&amp;DK$2&amp;"+"&amp;AE226&amp;DK$1)</f>
        <v/>
      </c>
      <c r="DL226" s="72" t="str">
        <f t="shared" ref="DL226" si="3517">IF(AF226="","","|n"&amp;DL$2&amp;"+"&amp;AF226&amp;DL$1)</f>
        <v/>
      </c>
      <c r="DM226" s="72" t="str">
        <f t="shared" ref="DM226" si="3518">IF(AG226="","","|n"&amp;DM$2&amp;"+"&amp;AG226&amp;DM$1)</f>
        <v/>
      </c>
      <c r="DN226" s="72" t="str">
        <f t="shared" ref="DN226" si="3519">IF(AH226="","","|n"&amp;DN$2&amp;"+"&amp;AH226&amp;DN$1)</f>
        <v/>
      </c>
      <c r="DO226" s="72" t="str">
        <f t="shared" ref="DO226" si="3520">IF(AI226="","","|n"&amp;DO$2&amp;"+"&amp;AI226&amp;DO$1)</f>
        <v/>
      </c>
      <c r="DP226" s="72" t="str">
        <f t="shared" ref="DP226" si="3521">IF(AJ226="","","|n"&amp;DP$2&amp;"+"&amp;AJ226&amp;DP$1)</f>
        <v/>
      </c>
      <c r="DQ226" s="72" t="str">
        <f t="shared" ref="DQ226" si="3522">IF(AK226="","","|n"&amp;DQ$2&amp;"+"&amp;AK226&amp;DQ$1)</f>
        <v/>
      </c>
      <c r="DR226" s="72" t="str">
        <f t="shared" ref="DR226" si="3523">IF(AL226="","","|n"&amp;DR$2&amp;"+"&amp;AL226&amp;DR$1)</f>
        <v/>
      </c>
      <c r="DS226" s="72" t="str">
        <f t="shared" ref="DS226" si="3524">IF(AM226="","","|n"&amp;DS$2&amp;"+"&amp;AM226&amp;DS$1)</f>
        <v/>
      </c>
      <c r="DT226" s="72" t="str">
        <f t="shared" ref="DT226" si="3525">IF(AN226="","","|n"&amp;DT$2&amp;"+"&amp;AN226&amp;DT$1)</f>
        <v/>
      </c>
      <c r="DU226" s="72" t="str">
        <f t="shared" ref="DU226" si="3526">IF(AO226="","","|n"&amp;DU$2&amp;"+"&amp;AO226&amp;DU$1)</f>
        <v/>
      </c>
      <c r="DV226" s="72" t="str">
        <f t="shared" ref="DV226" si="3527">IF(AP226="","","|n"&amp;DV$2&amp;"+"&amp;AP226&amp;DV$1)</f>
        <v/>
      </c>
      <c r="DW226" s="72" t="str">
        <f t="shared" ref="DW226" si="3528">IF(AQ226="","","|n"&amp;DW$2&amp;"+"&amp;AQ226&amp;DW$1)</f>
        <v/>
      </c>
      <c r="DX226" s="72" t="str">
        <f t="shared" ref="DX226" si="3529">IF(AR226="","","|n"&amp;DX$2&amp;"+"&amp;AR226&amp;DX$1)</f>
        <v/>
      </c>
      <c r="DY226" s="72" t="str">
        <f t="shared" ref="DY226" si="3530">IF(AS226="","","|n"&amp;DY$2&amp;"+"&amp;AS226&amp;DY$1)</f>
        <v/>
      </c>
      <c r="DZ226" s="72" t="str">
        <f t="shared" ref="DZ226" si="3531">IF(AT226="","","|n"&amp;DZ$2&amp;"+"&amp;AT226&amp;DZ$1)</f>
        <v/>
      </c>
      <c r="EA226" s="72" t="str">
        <f t="shared" ref="EA226" si="3532">IF(AU226="","","|n"&amp;EA$2&amp;"+"&amp;AU226&amp;EA$1)</f>
        <v/>
      </c>
      <c r="EB226" s="72" t="str">
        <f t="shared" ref="EB226" si="3533">IF(AV226="","","|n"&amp;EB$2&amp;"+"&amp;AV226&amp;EB$1)</f>
        <v/>
      </c>
      <c r="EC226" s="72" t="str">
        <f t="shared" ref="EC226" si="3534">IF(AW226="","","|n"&amp;EC$2&amp;"+"&amp;AW226&amp;EC$1)</f>
        <v/>
      </c>
      <c r="ED226" s="72" t="str">
        <f t="shared" ref="ED226" si="3535">IF(AX226="","","|n"&amp;ED$2&amp;"+"&amp;AX226&amp;ED$1)</f>
        <v/>
      </c>
      <c r="EE226" s="72" t="str">
        <f t="shared" ref="EE226" si="3536">IF(AY226="","","|n"&amp;EE$2&amp;"+"&amp;AY226&amp;EE$1)</f>
        <v/>
      </c>
      <c r="EF226" s="72" t="str">
        <f t="shared" ref="EF226" si="3537">IF(AZ226="","","|n"&amp;EF$2&amp;"+"&amp;AZ226&amp;EF$1)</f>
        <v/>
      </c>
      <c r="EG226" s="72" t="str">
        <f t="shared" ref="EG226" si="3538">IF(BA226="","","|n"&amp;EG$2&amp;"+"&amp;BA226&amp;EG$1)</f>
        <v/>
      </c>
      <c r="EH226" s="72" t="str">
        <f t="shared" ref="EH226" si="3539">IF(BB226="","","|n"&amp;EH$2&amp;"+"&amp;BB226&amp;EH$1)</f>
        <v/>
      </c>
      <c r="EI226" s="72" t="str">
        <f t="shared" ref="EI226" si="3540">IF(BC226="","","|n"&amp;EI$2&amp;"+"&amp;BC226&amp;EI$1)</f>
        <v/>
      </c>
      <c r="EJ226" s="72" t="str">
        <f t="shared" ref="EJ226" si="3541">IF(BD226="","","|n"&amp;EJ$2&amp;"+"&amp;BD226&amp;EJ$1)</f>
        <v/>
      </c>
      <c r="EK226" s="72" t="str">
        <f t="shared" ref="EK226" si="3542">IF(BE226="","","|n"&amp;EK$2&amp;"+"&amp;BE226&amp;EK$1)</f>
        <v/>
      </c>
      <c r="EL226" s="72" t="str">
        <f t="shared" ref="EL226" si="3543">IF(BF226="","","|n"&amp;EL$2&amp;"+"&amp;BF226&amp;EL$1)</f>
        <v/>
      </c>
      <c r="EM226" s="72" t="str">
        <f t="shared" ref="EM226" si="3544">IF(BG226="","","|n"&amp;EM$2&amp;"+"&amp;BG226&amp;EM$1)</f>
        <v/>
      </c>
      <c r="EN226" s="72" t="str">
        <f t="shared" ref="EN226" si="3545">IF(BH226="","","|n"&amp;EN$2&amp;"+"&amp;BH226&amp;EN$1)</f>
        <v/>
      </c>
      <c r="EO226" s="72" t="str">
        <f t="shared" ref="EO226" si="3546">IF(BI226="","","|n"&amp;EO$2&amp;"+"&amp;BI226&amp;EO$1)</f>
        <v/>
      </c>
      <c r="EP226" s="72" t="str">
        <f t="shared" ref="EP226" si="3547">IF(BJ226="","","|n"&amp;EP$2&amp;"+"&amp;BJ226&amp;EP$1)</f>
        <v/>
      </c>
      <c r="EQ226" s="72" t="str">
        <f t="shared" ref="EQ226" si="3548">IF(BK226="","","|n"&amp;EQ$2&amp;"+"&amp;BK226&amp;EQ$1)</f>
        <v/>
      </c>
      <c r="ER226" s="72" t="str">
        <f t="shared" ref="ER226" si="3549">IF(BL226="","","|n"&amp;ER$2&amp;"+"&amp;BL226&amp;ER$1)</f>
        <v/>
      </c>
      <c r="ES226" s="72" t="str">
        <f t="shared" ref="ES226" si="3550">IF(BM226="","","|n"&amp;ES$2&amp;"+"&amp;BM226&amp;ES$1)</f>
        <v/>
      </c>
      <c r="ET226" s="72" t="str">
        <f t="shared" ref="ET226" si="3551">IF(BN226="","","|n"&amp;ET$2&amp;"+"&amp;BN226&amp;ET$1)</f>
        <v/>
      </c>
      <c r="EU226" s="72" t="str">
        <f t="shared" ref="EU226" si="3552">IF(BO226="","","|n"&amp;EU$2&amp;"+"&amp;BO226&amp;EU$1)</f>
        <v/>
      </c>
      <c r="EV226" s="72" t="str">
        <f t="shared" ref="EV226" si="3553">IF(BP226="","","|n"&amp;EV$2&amp;"+"&amp;BP226&amp;EV$1)</f>
        <v/>
      </c>
      <c r="EW226" s="72" t="str">
        <f t="shared" ref="EW226" si="3554">IF(BQ226="","","|n"&amp;EW$2&amp;"+"&amp;BQ226&amp;EW$1)</f>
        <v/>
      </c>
      <c r="EX226" s="72" t="str">
        <f t="shared" ref="EX226" si="3555">IF(BR226="","","|n"&amp;EX$2&amp;"+"&amp;BR226&amp;EX$1)</f>
        <v/>
      </c>
      <c r="EY226" s="72" t="str">
        <f t="shared" ref="EY226" si="3556">IF(BS226="","","|n"&amp;EY$2&amp;"+"&amp;BS226&amp;EY$1)</f>
        <v/>
      </c>
      <c r="EZ226" s="72" t="str">
        <f t="shared" ref="EZ226" si="3557">IF(BT226="","","|n"&amp;EZ$2&amp;"+"&amp;BT226&amp;EZ$1)</f>
        <v/>
      </c>
      <c r="FA226" s="72" t="str">
        <f t="shared" ref="FA226" si="3558">IF(BU226="","","|n"&amp;FA$2&amp;"+"&amp;BU226&amp;FA$1)</f>
        <v/>
      </c>
      <c r="FB226" s="72" t="str">
        <f t="shared" ref="FB226" si="3559">IF(BV226="","","|n"&amp;FB$2&amp;"+"&amp;BV226&amp;FB$1)</f>
        <v/>
      </c>
      <c r="FC226" s="72" t="str">
        <f t="shared" ref="FC226" si="3560">IF(BW226="","","|n"&amp;FC$2&amp;"+"&amp;BW226&amp;FC$1)</f>
        <v/>
      </c>
      <c r="FD226" s="72" t="str">
        <f t="shared" ref="FD226" si="3561">IF(BX226="","","|n"&amp;FD$2&amp;"+"&amp;BX226&amp;FD$1)</f>
        <v/>
      </c>
      <c r="FE226" s="72" t="str">
        <f t="shared" ref="FE226" si="3562">IF(BY226="","","|n"&amp;FE$2&amp;"+"&amp;BY226&amp;FE$1)</f>
        <v/>
      </c>
      <c r="FF226" s="72" t="str">
        <f t="shared" ref="FF226" si="3563">IF(BZ226="","","|n"&amp;FF$2&amp;"+"&amp;BZ226&amp;FF$1)</f>
        <v/>
      </c>
      <c r="FG226" s="72" t="str">
        <f t="shared" ref="FG226" si="3564">IF(CA226="","","|n"&amp;FG$2&amp;"+"&amp;CA226&amp;FG$1)</f>
        <v/>
      </c>
      <c r="FH226" s="72" t="str">
        <f t="shared" ref="FH226" si="3565">IF(CB226="","","|n"&amp;FH$2&amp;"+"&amp;CB226&amp;FH$1)</f>
        <v/>
      </c>
      <c r="FI226" s="72" t="str">
        <f t="shared" ref="FI226" si="3566">IF(CC226="","","|n"&amp;FI$2&amp;"+"&amp;CC226&amp;FI$1)</f>
        <v/>
      </c>
      <c r="FJ226" s="72" t="str">
        <f t="shared" ref="FJ226" si="3567">IF(CD226="","","|n"&amp;FJ$2&amp;"+"&amp;CD226&amp;FJ$1)</f>
        <v/>
      </c>
      <c r="FK226" s="72" t="str">
        <f t="shared" ref="FK226" si="3568">IF(CE226="","","|n"&amp;FK$2&amp;"+"&amp;CE226&amp;FK$1)</f>
        <v/>
      </c>
      <c r="FL226" s="72" t="str">
        <f t="shared" ref="FL226" si="3569">IF(CF226="","","|n"&amp;FL$2&amp;"+"&amp;CF226&amp;FL$1)</f>
        <v/>
      </c>
      <c r="FM226" s="72" t="str">
        <f t="shared" ref="FM226" si="3570">IF(CG226="","","|n"&amp;FM$2&amp;"+"&amp;CG226&amp;FM$1)</f>
        <v/>
      </c>
      <c r="FN226" s="72" t="str">
        <f t="shared" ref="FN226" si="3571">IF(CH226="","","|n"&amp;FN$2&amp;"+"&amp;CH226&amp;FN$1)</f>
        <v/>
      </c>
      <c r="FO226" s="72" t="str">
        <f t="shared" ref="FO226" si="3572">IF(CI226="","","|n"&amp;FO$2&amp;"+"&amp;CI226&amp;FO$1)</f>
        <v/>
      </c>
      <c r="FP226" s="72" t="str">
        <f t="shared" ref="FP226" si="3573">IF(CJ226="","","|n"&amp;FP$2&amp;"+"&amp;CJ226&amp;FP$1)</f>
        <v/>
      </c>
      <c r="FQ226" s="72" t="str">
        <f t="shared" ref="FQ226" si="3574">IF(CK226="","","|n"&amp;FQ$2&amp;"+"&amp;CK226&amp;FQ$1)</f>
        <v/>
      </c>
      <c r="FR226" s="72" t="str">
        <f t="shared" ref="FR226" si="3575">IF(CL226="","","|n"&amp;FR$2&amp;"+"&amp;CL226&amp;FR$1)</f>
        <v/>
      </c>
      <c r="FS226" s="72" t="str">
        <f t="shared" ref="FS226" si="3576">IF(CM226="","","|n"&amp;FS$2&amp;"+"&amp;CM226&amp;FS$1)</f>
        <v/>
      </c>
    </row>
    <row r="227" spans="1:175" ht="15">
      <c r="A227" s="81"/>
      <c r="B227" s="104" t="s">
        <v>786</v>
      </c>
      <c r="C227" s="81" t="s">
        <v>787</v>
      </c>
      <c r="T227" s="136" t="s">
        <v>788</v>
      </c>
      <c r="U227" s="111" t="s">
        <v>789</v>
      </c>
      <c r="CN227" s="70" t="str">
        <f t="shared" ref="CN227:CN231" si="3577">"InitUnitState('"&amp;B227&amp;"',"&amp;V227&amp;","&amp;W227&amp;","&amp;X227&amp;","&amp;Y227&amp;","&amp;Z227&amp;","&amp;AA227&amp;","&amp;AB227&amp;","&amp;AC227&amp;","&amp;AD227&amp;","&amp;AE227&amp;")"</f>
        <v>InitUnitState('IS14',,,,,,,,,,)</v>
      </c>
      <c r="CO227" s="70" t="str">
        <f t="shared" ref="CO227:CO231" si="3578">"InitUnitNormal('"&amp;B227&amp;"',"&amp;AF227&amp;","&amp;AG227&amp;","&amp;AH227&amp;","&amp;AI227&amp;","&amp;AJ227&amp;","&amp;AK227&amp;","&amp;AL227&amp;","&amp;AM227&amp;","&amp;AN227&amp;","&amp;AO227&amp;")"</f>
        <v>InitUnitNormal('IS14',,,,,,,,,,)</v>
      </c>
      <c r="CP227" s="70" t="str">
        <f t="shared" ref="CP227:CP231" si="3579">"InitUnitMagic('"&amp;B227&amp;"',"&amp;AP227&amp;","&amp;AQ227&amp;","&amp;AR227&amp;","&amp;AS227&amp;","&amp;AT227&amp;","&amp;AU227&amp;","&amp;AV227&amp;","&amp;AW227&amp;","&amp;BI227&amp;","&amp;BJ227&amp;")"</f>
        <v>InitUnitMagic('IS14',,,,,,,,,,)</v>
      </c>
      <c r="CQ227" s="70" t="str">
        <f t="shared" ref="CQ227:CQ231" si="3580">"InitUnitAdd('"&amp;B227&amp;"',"&amp;BK227&amp;","&amp;BL227&amp;","&amp;BM227&amp;","&amp;BN227&amp;","&amp;BO227&amp;","&amp;BP227&amp;","&amp;BQ227&amp;","&amp;BR227&amp;","&amp;BS227&amp;","&amp;BT227&amp;")"</f>
        <v>InitUnitAdd('IS14',,,,,,,,,,)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215&amp;CR$1&amp;")"</f>
        <v>InitEquipData('IS14',,"",,,,,'','','','','','',"ReplaceableTextures\\CommandButtons\\BTNIN01.blp")</v>
      </c>
      <c r="CU227" s="98" t="str">
        <f t="shared" si="3505"/>
        <v>|n</v>
      </c>
      <c r="CV227" s="71" t="str">
        <f t="shared" si="3506"/>
        <v>|cffffcc00升级消耗：|r150+等级*150杀敌数|n|n|cff00ff7f最高升至10级|r</v>
      </c>
      <c r="CW227" s="61"/>
      <c r="CX227" s="61"/>
      <c r="CY227" s="61"/>
      <c r="CZ227" s="61"/>
      <c r="DA227" s="61"/>
      <c r="DB227" s="72" t="str">
        <f t="shared" ref="DB227:EG228" si="3581">IF(V227="","","|n"&amp;DB$2&amp;"+"&amp;V227&amp;DB$1)</f>
        <v/>
      </c>
      <c r="DC227" s="72" t="str">
        <f t="shared" si="3581"/>
        <v/>
      </c>
      <c r="DD227" s="72" t="str">
        <f t="shared" si="3581"/>
        <v/>
      </c>
      <c r="DE227" s="72" t="str">
        <f t="shared" si="3581"/>
        <v/>
      </c>
      <c r="DF227" s="72" t="str">
        <f t="shared" si="3581"/>
        <v/>
      </c>
      <c r="DG227" s="72" t="str">
        <f t="shared" si="3581"/>
        <v/>
      </c>
      <c r="DH227" s="72" t="str">
        <f t="shared" si="3581"/>
        <v/>
      </c>
      <c r="DI227" s="72" t="str">
        <f t="shared" si="3581"/>
        <v/>
      </c>
      <c r="DJ227" s="72" t="str">
        <f t="shared" si="3581"/>
        <v/>
      </c>
      <c r="DK227" s="72" t="str">
        <f t="shared" si="3581"/>
        <v/>
      </c>
      <c r="DL227" s="72" t="str">
        <f t="shared" si="3581"/>
        <v/>
      </c>
      <c r="DM227" s="72" t="str">
        <f t="shared" si="3581"/>
        <v/>
      </c>
      <c r="DN227" s="72" t="str">
        <f t="shared" si="3581"/>
        <v/>
      </c>
      <c r="DO227" s="72" t="str">
        <f t="shared" si="3581"/>
        <v/>
      </c>
      <c r="DP227" s="72" t="str">
        <f t="shared" si="3581"/>
        <v/>
      </c>
      <c r="DQ227" s="72" t="str">
        <f t="shared" si="3581"/>
        <v/>
      </c>
      <c r="DR227" s="72" t="str">
        <f t="shared" si="3581"/>
        <v/>
      </c>
      <c r="DS227" s="72" t="str">
        <f t="shared" si="3581"/>
        <v/>
      </c>
      <c r="DT227" s="72" t="str">
        <f t="shared" si="3581"/>
        <v/>
      </c>
      <c r="DU227" s="72" t="str">
        <f t="shared" si="3581"/>
        <v/>
      </c>
      <c r="DV227" s="72" t="str">
        <f t="shared" si="3581"/>
        <v/>
      </c>
      <c r="DW227" s="72" t="str">
        <f t="shared" si="3581"/>
        <v/>
      </c>
      <c r="DX227" s="72" t="str">
        <f t="shared" si="3581"/>
        <v/>
      </c>
      <c r="DY227" s="72" t="str">
        <f t="shared" si="3581"/>
        <v/>
      </c>
      <c r="DZ227" s="72" t="str">
        <f t="shared" si="3581"/>
        <v/>
      </c>
      <c r="EA227" s="72" t="str">
        <f t="shared" si="3581"/>
        <v/>
      </c>
      <c r="EB227" s="72" t="str">
        <f t="shared" si="3581"/>
        <v/>
      </c>
      <c r="EC227" s="72" t="str">
        <f t="shared" si="3581"/>
        <v/>
      </c>
      <c r="ED227" s="72" t="str">
        <f t="shared" si="3581"/>
        <v/>
      </c>
      <c r="EE227" s="72" t="str">
        <f t="shared" si="3581"/>
        <v/>
      </c>
      <c r="EF227" s="72" t="str">
        <f t="shared" si="3581"/>
        <v/>
      </c>
      <c r="EG227" s="72" t="str">
        <f t="shared" si="3581"/>
        <v/>
      </c>
      <c r="EH227" s="72" t="str">
        <f t="shared" ref="EH227:FM228" si="3582">IF(BB227="","","|n"&amp;EH$2&amp;"+"&amp;BB227&amp;EH$1)</f>
        <v/>
      </c>
      <c r="EI227" s="72" t="str">
        <f t="shared" si="3582"/>
        <v/>
      </c>
      <c r="EJ227" s="72" t="str">
        <f t="shared" si="3582"/>
        <v/>
      </c>
      <c r="EK227" s="72" t="str">
        <f t="shared" si="3582"/>
        <v/>
      </c>
      <c r="EL227" s="72" t="str">
        <f t="shared" si="3582"/>
        <v/>
      </c>
      <c r="EM227" s="72" t="str">
        <f t="shared" si="3582"/>
        <v/>
      </c>
      <c r="EN227" s="72" t="str">
        <f t="shared" si="3582"/>
        <v/>
      </c>
      <c r="EO227" s="72" t="str">
        <f t="shared" si="3582"/>
        <v/>
      </c>
      <c r="EP227" s="72" t="str">
        <f t="shared" si="3582"/>
        <v/>
      </c>
      <c r="EQ227" s="72" t="str">
        <f t="shared" si="3582"/>
        <v/>
      </c>
      <c r="ER227" s="72" t="str">
        <f t="shared" si="3582"/>
        <v/>
      </c>
      <c r="ES227" s="72" t="str">
        <f t="shared" si="3582"/>
        <v/>
      </c>
      <c r="ET227" s="72" t="str">
        <f t="shared" si="3582"/>
        <v/>
      </c>
      <c r="EU227" s="72" t="str">
        <f t="shared" si="3582"/>
        <v/>
      </c>
      <c r="EV227" s="72" t="str">
        <f t="shared" si="3582"/>
        <v/>
      </c>
      <c r="EW227" s="72" t="str">
        <f t="shared" si="3582"/>
        <v/>
      </c>
      <c r="EX227" s="72" t="str">
        <f t="shared" si="3582"/>
        <v/>
      </c>
      <c r="EY227" s="72" t="str">
        <f t="shared" si="3582"/>
        <v/>
      </c>
      <c r="EZ227" s="72" t="str">
        <f t="shared" si="3582"/>
        <v/>
      </c>
      <c r="FA227" s="72" t="str">
        <f t="shared" si="3582"/>
        <v/>
      </c>
      <c r="FB227" s="72" t="str">
        <f t="shared" si="3582"/>
        <v/>
      </c>
      <c r="FC227" s="72" t="str">
        <f t="shared" si="3582"/>
        <v/>
      </c>
      <c r="FD227" s="72" t="str">
        <f t="shared" si="3582"/>
        <v/>
      </c>
      <c r="FE227" s="72" t="str">
        <f t="shared" si="3582"/>
        <v/>
      </c>
      <c r="FF227" s="72" t="str">
        <f t="shared" si="3582"/>
        <v/>
      </c>
      <c r="FG227" s="72" t="str">
        <f t="shared" si="3582"/>
        <v/>
      </c>
      <c r="FH227" s="72" t="str">
        <f t="shared" si="3582"/>
        <v/>
      </c>
      <c r="FI227" s="72" t="str">
        <f t="shared" si="3582"/>
        <v/>
      </c>
      <c r="FJ227" s="72" t="str">
        <f t="shared" si="3582"/>
        <v/>
      </c>
      <c r="FK227" s="72" t="str">
        <f t="shared" si="3582"/>
        <v/>
      </c>
      <c r="FL227" s="72" t="str">
        <f t="shared" si="3582"/>
        <v/>
      </c>
      <c r="FM227" s="72" t="str">
        <f t="shared" si="3582"/>
        <v/>
      </c>
      <c r="FN227" s="72" t="str">
        <f t="shared" ref="FN227:FS228" si="3583">IF(CH227="","","|n"&amp;FN$2&amp;"+"&amp;CH227&amp;FN$1)</f>
        <v/>
      </c>
      <c r="FO227" s="72" t="str">
        <f t="shared" si="3583"/>
        <v/>
      </c>
      <c r="FP227" s="72" t="str">
        <f t="shared" si="3583"/>
        <v/>
      </c>
      <c r="FQ227" s="72" t="str">
        <f t="shared" si="3583"/>
        <v/>
      </c>
      <c r="FR227" s="72" t="str">
        <f t="shared" si="3583"/>
        <v/>
      </c>
      <c r="FS227" s="72" t="str">
        <f t="shared" si="3583"/>
        <v/>
      </c>
    </row>
    <row r="228" spans="1:175" ht="15">
      <c r="A228" s="81"/>
      <c r="B228" s="125" t="s">
        <v>790</v>
      </c>
      <c r="C228" s="126" t="s">
        <v>791</v>
      </c>
      <c r="T228" s="139" t="s">
        <v>792</v>
      </c>
      <c r="U228" s="88" t="str">
        <f t="shared" ref="U228" si="3584">"ReplaceableTextures\\CommandButtons\\BTN"&amp;B228&amp;".blp"</f>
        <v>ReplaceableTextures\\CommandButtons\\BTNIB00.blp</v>
      </c>
      <c r="CN228" s="70" t="str">
        <f t="shared" ref="CN228" si="3585">"InitUnitState('"&amp;B228&amp;"',"&amp;V228&amp;","&amp;W228&amp;","&amp;X228&amp;","&amp;Y228&amp;","&amp;Z228&amp;","&amp;AA228&amp;","&amp;AB228&amp;","&amp;AC228&amp;","&amp;AD228&amp;","&amp;AE228&amp;")"</f>
        <v>InitUnitState('IB00',,,,,,,,,,)</v>
      </c>
      <c r="CO228" s="70" t="str">
        <f t="shared" ref="CO228" si="3586">"InitUnitNormal('"&amp;B228&amp;"',"&amp;AF228&amp;","&amp;AG228&amp;","&amp;AH228&amp;","&amp;AI228&amp;","&amp;AJ228&amp;","&amp;AK228&amp;","&amp;AL228&amp;","&amp;AM228&amp;","&amp;AN228&amp;","&amp;AO228&amp;")"</f>
        <v>InitUnitNormal('IB00',,,,,,,,,,)</v>
      </c>
      <c r="CP228" s="70" t="str">
        <f t="shared" ref="CP228" si="3587">"InitUnitMagic('"&amp;B228&amp;"',"&amp;AP228&amp;","&amp;AQ228&amp;","&amp;AR228&amp;","&amp;AS228&amp;","&amp;AT228&amp;","&amp;AU228&amp;","&amp;AV228&amp;","&amp;AW228&amp;","&amp;BI228&amp;","&amp;BJ228&amp;")"</f>
        <v>InitUnitMagic('IB00',,,,,,,,,,)</v>
      </c>
      <c r="CQ228" s="70" t="str">
        <f t="shared" ref="CQ228" si="3588">"InitUnitAdd('"&amp;B228&amp;"',"&amp;BK228&amp;","&amp;BL228&amp;","&amp;BM228&amp;","&amp;BN228&amp;","&amp;BO228&amp;","&amp;BP228&amp;","&amp;BQ228&amp;","&amp;BR228&amp;","&amp;BS228&amp;","&amp;BT228&amp;")"</f>
        <v>InitUnitAdd('IB00',,,,,,,,,,)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InitEquipData('IB00',,"",,,,,'','','','','','',"ReplaceableTextures\\CommandButtons\\BTNIB01.blp")</v>
      </c>
      <c r="CU228" s="98" t="str">
        <f t="shared" si="3505"/>
        <v>|n</v>
      </c>
      <c r="CV228" s="71" t="str">
        <f t="shared" si="3506"/>
        <v>|cffffcc33平台名称带有“星耀”开局自动激活！|n|n|r奖励：|n|cffffcc00每秒金币+1|n每秒攻击+1|n每秒生命+5|r</v>
      </c>
      <c r="CW228" s="61"/>
      <c r="CX228" s="61"/>
      <c r="CY228" s="61"/>
      <c r="CZ228" s="61"/>
      <c r="DA228" s="61"/>
      <c r="DB228" s="72" t="str">
        <f t="shared" si="3581"/>
        <v/>
      </c>
      <c r="DC228" s="72" t="str">
        <f t="shared" si="3581"/>
        <v/>
      </c>
      <c r="DD228" s="72" t="str">
        <f t="shared" si="3581"/>
        <v/>
      </c>
      <c r="DE228" s="72" t="str">
        <f t="shared" si="3581"/>
        <v/>
      </c>
      <c r="DF228" s="72" t="str">
        <f t="shared" si="3581"/>
        <v/>
      </c>
      <c r="DG228" s="72" t="str">
        <f t="shared" si="3581"/>
        <v/>
      </c>
      <c r="DH228" s="72" t="str">
        <f t="shared" si="3581"/>
        <v/>
      </c>
      <c r="DI228" s="72" t="str">
        <f t="shared" si="3581"/>
        <v/>
      </c>
      <c r="DJ228" s="72" t="str">
        <f t="shared" si="3581"/>
        <v/>
      </c>
      <c r="DK228" s="72" t="str">
        <f t="shared" si="3581"/>
        <v/>
      </c>
      <c r="DL228" s="72" t="str">
        <f t="shared" si="3581"/>
        <v/>
      </c>
      <c r="DM228" s="72" t="str">
        <f t="shared" si="3581"/>
        <v/>
      </c>
      <c r="DN228" s="72" t="str">
        <f t="shared" si="3581"/>
        <v/>
      </c>
      <c r="DO228" s="72" t="str">
        <f t="shared" si="3581"/>
        <v/>
      </c>
      <c r="DP228" s="72" t="str">
        <f t="shared" si="3581"/>
        <v/>
      </c>
      <c r="DQ228" s="72" t="str">
        <f t="shared" si="3581"/>
        <v/>
      </c>
      <c r="DR228" s="72" t="str">
        <f t="shared" si="3581"/>
        <v/>
      </c>
      <c r="DS228" s="72" t="str">
        <f t="shared" si="3581"/>
        <v/>
      </c>
      <c r="DT228" s="72" t="str">
        <f t="shared" si="3581"/>
        <v/>
      </c>
      <c r="DU228" s="72" t="str">
        <f t="shared" si="3581"/>
        <v/>
      </c>
      <c r="DV228" s="72" t="str">
        <f t="shared" si="3581"/>
        <v/>
      </c>
      <c r="DW228" s="72" t="str">
        <f t="shared" si="3581"/>
        <v/>
      </c>
      <c r="DX228" s="72" t="str">
        <f t="shared" si="3581"/>
        <v/>
      </c>
      <c r="DY228" s="72" t="str">
        <f t="shared" si="3581"/>
        <v/>
      </c>
      <c r="DZ228" s="72" t="str">
        <f t="shared" si="3581"/>
        <v/>
      </c>
      <c r="EA228" s="72" t="str">
        <f t="shared" si="3581"/>
        <v/>
      </c>
      <c r="EB228" s="72" t="str">
        <f t="shared" si="3581"/>
        <v/>
      </c>
      <c r="EC228" s="72" t="str">
        <f t="shared" si="3581"/>
        <v/>
      </c>
      <c r="ED228" s="72" t="str">
        <f t="shared" si="3581"/>
        <v/>
      </c>
      <c r="EE228" s="72" t="str">
        <f t="shared" si="3581"/>
        <v/>
      </c>
      <c r="EF228" s="72" t="str">
        <f t="shared" si="3581"/>
        <v/>
      </c>
      <c r="EG228" s="72" t="str">
        <f t="shared" si="3581"/>
        <v/>
      </c>
      <c r="EH228" s="72" t="str">
        <f t="shared" si="3582"/>
        <v/>
      </c>
      <c r="EI228" s="72" t="str">
        <f t="shared" si="3582"/>
        <v/>
      </c>
      <c r="EJ228" s="72" t="str">
        <f t="shared" si="3582"/>
        <v/>
      </c>
      <c r="EK228" s="72" t="str">
        <f t="shared" si="3582"/>
        <v/>
      </c>
      <c r="EL228" s="72" t="str">
        <f t="shared" si="3582"/>
        <v/>
      </c>
      <c r="EM228" s="72" t="str">
        <f t="shared" si="3582"/>
        <v/>
      </c>
      <c r="EN228" s="72" t="str">
        <f t="shared" si="3582"/>
        <v/>
      </c>
      <c r="EO228" s="72" t="str">
        <f t="shared" si="3582"/>
        <v/>
      </c>
      <c r="EP228" s="72" t="str">
        <f t="shared" si="3582"/>
        <v/>
      </c>
      <c r="EQ228" s="72" t="str">
        <f t="shared" si="3582"/>
        <v/>
      </c>
      <c r="ER228" s="72" t="str">
        <f t="shared" si="3582"/>
        <v/>
      </c>
      <c r="ES228" s="72" t="str">
        <f t="shared" si="3582"/>
        <v/>
      </c>
      <c r="ET228" s="72" t="str">
        <f t="shared" si="3582"/>
        <v/>
      </c>
      <c r="EU228" s="72" t="str">
        <f t="shared" si="3582"/>
        <v/>
      </c>
      <c r="EV228" s="72" t="str">
        <f t="shared" si="3582"/>
        <v/>
      </c>
      <c r="EW228" s="72" t="str">
        <f t="shared" si="3582"/>
        <v/>
      </c>
      <c r="EX228" s="72" t="str">
        <f t="shared" si="3582"/>
        <v/>
      </c>
      <c r="EY228" s="72" t="str">
        <f t="shared" si="3582"/>
        <v/>
      </c>
      <c r="EZ228" s="72" t="str">
        <f t="shared" si="3582"/>
        <v/>
      </c>
      <c r="FA228" s="72" t="str">
        <f t="shared" si="3582"/>
        <v/>
      </c>
      <c r="FB228" s="72" t="str">
        <f t="shared" si="3582"/>
        <v/>
      </c>
      <c r="FC228" s="72" t="str">
        <f t="shared" si="3582"/>
        <v/>
      </c>
      <c r="FD228" s="72" t="str">
        <f t="shared" si="3582"/>
        <v/>
      </c>
      <c r="FE228" s="72" t="str">
        <f t="shared" si="3582"/>
        <v/>
      </c>
      <c r="FF228" s="72" t="str">
        <f t="shared" si="3582"/>
        <v/>
      </c>
      <c r="FG228" s="72" t="str">
        <f t="shared" si="3582"/>
        <v/>
      </c>
      <c r="FH228" s="72" t="str">
        <f t="shared" si="3582"/>
        <v/>
      </c>
      <c r="FI228" s="72" t="str">
        <f t="shared" si="3582"/>
        <v/>
      </c>
      <c r="FJ228" s="72" t="str">
        <f t="shared" si="3582"/>
        <v/>
      </c>
      <c r="FK228" s="72" t="str">
        <f t="shared" si="3582"/>
        <v/>
      </c>
      <c r="FL228" s="72" t="str">
        <f t="shared" si="3582"/>
        <v/>
      </c>
      <c r="FM228" s="72" t="str">
        <f t="shared" si="3582"/>
        <v/>
      </c>
      <c r="FN228" s="72" t="str">
        <f t="shared" si="3583"/>
        <v/>
      </c>
      <c r="FO228" s="72" t="str">
        <f t="shared" si="3583"/>
        <v/>
      </c>
      <c r="FP228" s="72" t="str">
        <f t="shared" si="3583"/>
        <v/>
      </c>
      <c r="FQ228" s="72" t="str">
        <f t="shared" si="3583"/>
        <v/>
      </c>
      <c r="FR228" s="72" t="str">
        <f t="shared" si="3583"/>
        <v/>
      </c>
      <c r="FS228" s="72" t="str">
        <f t="shared" si="3583"/>
        <v/>
      </c>
    </row>
    <row r="229" spans="1:175" ht="15">
      <c r="A229" s="81"/>
      <c r="B229" s="82" t="s">
        <v>793</v>
      </c>
      <c r="C229" s="127" t="s">
        <v>794</v>
      </c>
      <c r="T229" s="139" t="s">
        <v>795</v>
      </c>
      <c r="U229" s="88" t="str">
        <f t="shared" ref="U229:U237" si="3589">"ReplaceableTextures\\CommandButtons\\BTN"&amp;B229&amp;".blp"</f>
        <v>ReplaceableTextures\\CommandButtons\\BTNIB01.blp</v>
      </c>
      <c r="CN229" s="70" t="str">
        <f t="shared" si="3577"/>
        <v>InitUnitState('IB01',,,,,,,,,,)</v>
      </c>
      <c r="CO229" s="70" t="str">
        <f t="shared" si="3578"/>
        <v>InitUnitNormal('IB01',,,,,,,,,,)</v>
      </c>
      <c r="CP229" s="70" t="str">
        <f t="shared" si="3579"/>
        <v>InitUnitMagic('IB01',,,,,,,,,,)</v>
      </c>
      <c r="CQ229" s="70" t="str">
        <f t="shared" si="3580"/>
        <v>InitUnitAdd('IB01',,,,,,,,,,)</v>
      </c>
      <c r="CR229" s="70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230&amp;CR$1&amp;")"</f>
        <v>InitEquipData('IB01',,"",,,,,'','','','','','',"ReplaceableTextures\\CommandButtons\\BTNIB02.blp")</v>
      </c>
      <c r="CU229" s="98" t="str">
        <f t="shared" ref="CU229:CU238" si="3590">CONCATENATE(DB229,DC229,DD229,DE229,DF229,DG229,DH229,DI229,DJ229,DK229,DL229,DM229,DN229,DO229,DP229,DQ229,DR229,DS229,DT229,DU229,DV229,DW229,DX229,DY229,DZ229,EA229,EB229,EC229,ED229,EE229,EF229,EG229,EH229,EI229,EJ229,EK229,EL229,EM229,EN229,EO229,EP229&amp;"|n")</f>
        <v>|n</v>
      </c>
      <c r="CV229" s="71" t="str">
        <f t="shared" ref="CV229:CV238" si="3591">T229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29" s="61"/>
      <c r="CX229" s="61"/>
      <c r="CY229" s="61"/>
      <c r="CZ229" s="61"/>
      <c r="DA229" s="61"/>
      <c r="DB229" s="72" t="str">
        <f t="shared" ref="DB229:DB236" si="3592">IF(V229="","","|n"&amp;DB$2&amp;"+"&amp;V229&amp;DB$1)</f>
        <v/>
      </c>
      <c r="DC229" s="72" t="str">
        <f t="shared" ref="DC229:DC236" si="3593">IF(W229="","","|n"&amp;DC$2&amp;"+"&amp;W229&amp;DC$1)</f>
        <v/>
      </c>
      <c r="DD229" s="72" t="str">
        <f t="shared" ref="DD229:DD236" si="3594">IF(X229="","","|n"&amp;DD$2&amp;"+"&amp;X229&amp;DD$1)</f>
        <v/>
      </c>
      <c r="DE229" s="72" t="str">
        <f t="shared" ref="DE229:DE236" si="3595">IF(Y229="","","|n"&amp;DE$2&amp;"+"&amp;Y229&amp;DE$1)</f>
        <v/>
      </c>
      <c r="DF229" s="72" t="str">
        <f t="shared" ref="DF229:DF236" si="3596">IF(Z229="","","|n"&amp;DF$2&amp;"+"&amp;Z229&amp;DF$1)</f>
        <v/>
      </c>
      <c r="DG229" s="72" t="str">
        <f t="shared" ref="DG229:DG236" si="3597">IF(AA229="","","|n"&amp;DG$2&amp;"+"&amp;AA229&amp;DG$1)</f>
        <v/>
      </c>
      <c r="DH229" s="72" t="str">
        <f t="shared" ref="DH229:DH236" si="3598">IF(AB229="","","|n"&amp;DH$2&amp;"+"&amp;AB229&amp;DH$1)</f>
        <v/>
      </c>
      <c r="DI229" s="72" t="str">
        <f t="shared" ref="DI229:DI236" si="3599">IF(AC229="","","|n"&amp;DI$2&amp;"+"&amp;AC229&amp;DI$1)</f>
        <v/>
      </c>
      <c r="DJ229" s="72" t="str">
        <f t="shared" ref="DJ229:DJ236" si="3600">IF(AD229="","","|n"&amp;DJ$2&amp;"+"&amp;AD229&amp;DJ$1)</f>
        <v/>
      </c>
      <c r="DK229" s="72" t="str">
        <f t="shared" ref="DK229:DK236" si="3601">IF(AE229="","","|n"&amp;DK$2&amp;"+"&amp;AE229&amp;DK$1)</f>
        <v/>
      </c>
      <c r="DL229" s="72" t="str">
        <f t="shared" ref="DL229:DL236" si="3602">IF(AF229="","","|n"&amp;DL$2&amp;"+"&amp;AF229&amp;DL$1)</f>
        <v/>
      </c>
      <c r="DM229" s="72" t="str">
        <f t="shared" ref="DM229:DM236" si="3603">IF(AG229="","","|n"&amp;DM$2&amp;"+"&amp;AG229&amp;DM$1)</f>
        <v/>
      </c>
      <c r="DN229" s="72" t="str">
        <f t="shared" ref="DN229:DN236" si="3604">IF(AH229="","","|n"&amp;DN$2&amp;"+"&amp;AH229&amp;DN$1)</f>
        <v/>
      </c>
      <c r="DO229" s="72" t="str">
        <f t="shared" ref="DO229:DO236" si="3605">IF(AI229="","","|n"&amp;DO$2&amp;"+"&amp;AI229&amp;DO$1)</f>
        <v/>
      </c>
      <c r="DP229" s="72" t="str">
        <f t="shared" ref="DP229:DP236" si="3606">IF(AJ229="","","|n"&amp;DP$2&amp;"+"&amp;AJ229&amp;DP$1)</f>
        <v/>
      </c>
      <c r="DQ229" s="72" t="str">
        <f t="shared" ref="DQ229:DQ236" si="3607">IF(AK229="","","|n"&amp;DQ$2&amp;"+"&amp;AK229&amp;DQ$1)</f>
        <v/>
      </c>
      <c r="DR229" s="72" t="str">
        <f t="shared" ref="DR229:DR236" si="3608">IF(AL229="","","|n"&amp;DR$2&amp;"+"&amp;AL229&amp;DR$1)</f>
        <v/>
      </c>
      <c r="DS229" s="72" t="str">
        <f t="shared" ref="DS229:DS236" si="3609">IF(AM229="","","|n"&amp;DS$2&amp;"+"&amp;AM229&amp;DS$1)</f>
        <v/>
      </c>
      <c r="DT229" s="72" t="str">
        <f t="shared" ref="DT229:DT236" si="3610">IF(AN229="","","|n"&amp;DT$2&amp;"+"&amp;AN229&amp;DT$1)</f>
        <v/>
      </c>
      <c r="DU229" s="72" t="str">
        <f t="shared" ref="DU229:DU236" si="3611">IF(AO229="","","|n"&amp;DU$2&amp;"+"&amp;AO229&amp;DU$1)</f>
        <v/>
      </c>
      <c r="DV229" s="72" t="str">
        <f t="shared" ref="DV229:DV236" si="3612">IF(AP229="","","|n"&amp;DV$2&amp;"+"&amp;AP229&amp;DV$1)</f>
        <v/>
      </c>
      <c r="DW229" s="72" t="str">
        <f t="shared" ref="DW229:DW236" si="3613">IF(AQ229="","","|n"&amp;DW$2&amp;"+"&amp;AQ229&amp;DW$1)</f>
        <v/>
      </c>
      <c r="DX229" s="72" t="str">
        <f t="shared" ref="DX229:DX236" si="3614">IF(AR229="","","|n"&amp;DX$2&amp;"+"&amp;AR229&amp;DX$1)</f>
        <v/>
      </c>
      <c r="DY229" s="72" t="str">
        <f t="shared" ref="DY229:DY236" si="3615">IF(AS229="","","|n"&amp;DY$2&amp;"+"&amp;AS229&amp;DY$1)</f>
        <v/>
      </c>
      <c r="DZ229" s="72" t="str">
        <f t="shared" ref="DZ229:DZ236" si="3616">IF(AT229="","","|n"&amp;DZ$2&amp;"+"&amp;AT229&amp;DZ$1)</f>
        <v/>
      </c>
      <c r="EA229" s="72" t="str">
        <f t="shared" ref="EA229:EA236" si="3617">IF(AU229="","","|n"&amp;EA$2&amp;"+"&amp;AU229&amp;EA$1)</f>
        <v/>
      </c>
      <c r="EB229" s="72" t="str">
        <f t="shared" ref="EB229:EB236" si="3618">IF(AV229="","","|n"&amp;EB$2&amp;"+"&amp;AV229&amp;EB$1)</f>
        <v/>
      </c>
      <c r="EC229" s="72" t="str">
        <f t="shared" ref="EC229:EC236" si="3619">IF(AW229="","","|n"&amp;EC$2&amp;"+"&amp;AW229&amp;EC$1)</f>
        <v/>
      </c>
      <c r="ED229" s="72" t="str">
        <f t="shared" ref="ED229:ED236" si="3620">IF(AX229="","","|n"&amp;ED$2&amp;"+"&amp;AX229&amp;ED$1)</f>
        <v/>
      </c>
      <c r="EE229" s="72" t="str">
        <f t="shared" ref="EE229:EE236" si="3621">IF(AY229="","","|n"&amp;EE$2&amp;"+"&amp;AY229&amp;EE$1)</f>
        <v/>
      </c>
      <c r="EF229" s="72" t="str">
        <f t="shared" ref="EF229:EF236" si="3622">IF(AZ229="","","|n"&amp;EF$2&amp;"+"&amp;AZ229&amp;EF$1)</f>
        <v/>
      </c>
      <c r="EG229" s="72" t="str">
        <f t="shared" ref="EG229:EG236" si="3623">IF(BA229="","","|n"&amp;EG$2&amp;"+"&amp;BA229&amp;EG$1)</f>
        <v/>
      </c>
      <c r="EH229" s="72" t="str">
        <f t="shared" ref="EH229:EH236" si="3624">IF(BB229="","","|n"&amp;EH$2&amp;"+"&amp;BB229&amp;EH$1)</f>
        <v/>
      </c>
      <c r="EI229" s="72" t="str">
        <f t="shared" ref="EI229:EI236" si="3625">IF(BC229="","","|n"&amp;EI$2&amp;"+"&amp;BC229&amp;EI$1)</f>
        <v/>
      </c>
      <c r="EJ229" s="72" t="str">
        <f t="shared" ref="EJ229:EJ236" si="3626">IF(BD229="","","|n"&amp;EJ$2&amp;"+"&amp;BD229&amp;EJ$1)</f>
        <v/>
      </c>
      <c r="EK229" s="72" t="str">
        <f t="shared" ref="EK229:EK236" si="3627">IF(BE229="","","|n"&amp;EK$2&amp;"+"&amp;BE229&amp;EK$1)</f>
        <v/>
      </c>
      <c r="EL229" s="72" t="str">
        <f t="shared" ref="EL229:EL236" si="3628">IF(BF229="","","|n"&amp;EL$2&amp;"+"&amp;BF229&amp;EL$1)</f>
        <v/>
      </c>
      <c r="EM229" s="72" t="str">
        <f t="shared" ref="EM229:EM236" si="3629">IF(BG229="","","|n"&amp;EM$2&amp;"+"&amp;BG229&amp;EM$1)</f>
        <v/>
      </c>
      <c r="EN229" s="72" t="str">
        <f t="shared" ref="EN229:EN236" si="3630">IF(BH229="","","|n"&amp;EN$2&amp;"+"&amp;BH229&amp;EN$1)</f>
        <v/>
      </c>
      <c r="EO229" s="72" t="str">
        <f t="shared" ref="EO229:EO236" si="3631">IF(BI229="","","|n"&amp;EO$2&amp;"+"&amp;BI229&amp;EO$1)</f>
        <v/>
      </c>
      <c r="EP229" s="72" t="str">
        <f t="shared" ref="EP229:EP236" si="3632">IF(BJ229="","","|n"&amp;EP$2&amp;"+"&amp;BJ229&amp;EP$1)</f>
        <v/>
      </c>
      <c r="EQ229" s="72" t="str">
        <f t="shared" ref="EQ229:EQ236" si="3633">IF(BK229="","","|n"&amp;EQ$2&amp;"+"&amp;BK229&amp;EQ$1)</f>
        <v/>
      </c>
      <c r="ER229" s="72" t="str">
        <f t="shared" ref="ER229:ER236" si="3634">IF(BL229="","","|n"&amp;ER$2&amp;"+"&amp;BL229&amp;ER$1)</f>
        <v/>
      </c>
      <c r="ES229" s="72" t="str">
        <f t="shared" ref="ES229:ES236" si="3635">IF(BM229="","","|n"&amp;ES$2&amp;"+"&amp;BM229&amp;ES$1)</f>
        <v/>
      </c>
      <c r="ET229" s="72" t="str">
        <f t="shared" ref="ET229:ET236" si="3636">IF(BN229="","","|n"&amp;ET$2&amp;"+"&amp;BN229&amp;ET$1)</f>
        <v/>
      </c>
      <c r="EU229" s="72" t="str">
        <f t="shared" ref="EU229:EU236" si="3637">IF(BO229="","","|n"&amp;EU$2&amp;"+"&amp;BO229&amp;EU$1)</f>
        <v/>
      </c>
      <c r="EV229" s="72" t="str">
        <f t="shared" ref="EV229:EV236" si="3638">IF(BP229="","","|n"&amp;EV$2&amp;"+"&amp;BP229&amp;EV$1)</f>
        <v/>
      </c>
      <c r="EW229" s="72" t="str">
        <f t="shared" ref="EW229:EW236" si="3639">IF(BQ229="","","|n"&amp;EW$2&amp;"+"&amp;BQ229&amp;EW$1)</f>
        <v/>
      </c>
      <c r="EX229" s="72" t="str">
        <f t="shared" ref="EX229:EX236" si="3640">IF(BR229="","","|n"&amp;EX$2&amp;"+"&amp;BR229&amp;EX$1)</f>
        <v/>
      </c>
      <c r="EY229" s="72" t="str">
        <f t="shared" ref="EY229:EY236" si="3641">IF(BS229="","","|n"&amp;EY$2&amp;"+"&amp;BS229&amp;EY$1)</f>
        <v/>
      </c>
      <c r="EZ229" s="72" t="str">
        <f t="shared" ref="EZ229:EZ236" si="3642">IF(BT229="","","|n"&amp;EZ$2&amp;"+"&amp;BT229&amp;EZ$1)</f>
        <v/>
      </c>
      <c r="FA229" s="72" t="str">
        <f t="shared" ref="FA229:FA236" si="3643">IF(BU229="","","|n"&amp;FA$2&amp;"+"&amp;BU229&amp;FA$1)</f>
        <v/>
      </c>
      <c r="FB229" s="72" t="str">
        <f t="shared" ref="FB229:FB236" si="3644">IF(BV229="","","|n"&amp;FB$2&amp;"+"&amp;BV229&amp;FB$1)</f>
        <v/>
      </c>
      <c r="FC229" s="72" t="str">
        <f t="shared" ref="FC229:FC236" si="3645">IF(BW229="","","|n"&amp;FC$2&amp;"+"&amp;BW229&amp;FC$1)</f>
        <v/>
      </c>
      <c r="FD229" s="72" t="str">
        <f t="shared" ref="FD229:FD236" si="3646">IF(BX229="","","|n"&amp;FD$2&amp;"+"&amp;BX229&amp;FD$1)</f>
        <v/>
      </c>
      <c r="FE229" s="72" t="str">
        <f t="shared" ref="FE229:FE236" si="3647">IF(BY229="","","|n"&amp;FE$2&amp;"+"&amp;BY229&amp;FE$1)</f>
        <v/>
      </c>
      <c r="FF229" s="72" t="str">
        <f t="shared" ref="FF229:FF236" si="3648">IF(BZ229="","","|n"&amp;FF$2&amp;"+"&amp;BZ229&amp;FF$1)</f>
        <v/>
      </c>
      <c r="FG229" s="72" t="str">
        <f t="shared" ref="FG229:FG236" si="3649">IF(CA229="","","|n"&amp;FG$2&amp;"+"&amp;CA229&amp;FG$1)</f>
        <v/>
      </c>
      <c r="FH229" s="72" t="str">
        <f t="shared" ref="FH229:FH236" si="3650">IF(CB229="","","|n"&amp;FH$2&amp;"+"&amp;CB229&amp;FH$1)</f>
        <v/>
      </c>
      <c r="FI229" s="72" t="str">
        <f t="shared" ref="FI229:FI236" si="3651">IF(CC229="","","|n"&amp;FI$2&amp;"+"&amp;CC229&amp;FI$1)</f>
        <v/>
      </c>
      <c r="FJ229" s="72" t="str">
        <f t="shared" ref="FJ229:FJ236" si="3652">IF(CD229="","","|n"&amp;FJ$2&amp;"+"&amp;CD229&amp;FJ$1)</f>
        <v/>
      </c>
      <c r="FK229" s="72" t="str">
        <f t="shared" ref="FK229:FK236" si="3653">IF(CE229="","","|n"&amp;FK$2&amp;"+"&amp;CE229&amp;FK$1)</f>
        <v/>
      </c>
      <c r="FL229" s="72" t="str">
        <f t="shared" ref="FL229:FL236" si="3654">IF(CF229="","","|n"&amp;FL$2&amp;"+"&amp;CF229&amp;FL$1)</f>
        <v/>
      </c>
      <c r="FM229" s="72" t="str">
        <f t="shared" ref="FM229:FM236" si="3655">IF(CG229="","","|n"&amp;FM$2&amp;"+"&amp;CG229&amp;FM$1)</f>
        <v/>
      </c>
      <c r="FN229" s="72" t="str">
        <f t="shared" ref="FN229:FN236" si="3656">IF(CH229="","","|n"&amp;FN$2&amp;"+"&amp;CH229&amp;FN$1)</f>
        <v/>
      </c>
      <c r="FO229" s="72" t="str">
        <f t="shared" ref="FO229:FO236" si="3657">IF(CI229="","","|n"&amp;FO$2&amp;"+"&amp;CI229&amp;FO$1)</f>
        <v/>
      </c>
      <c r="FP229" s="72" t="str">
        <f t="shared" ref="FP229:FP236" si="3658">IF(CJ229="","","|n"&amp;FP$2&amp;"+"&amp;CJ229&amp;FP$1)</f>
        <v/>
      </c>
      <c r="FQ229" s="72" t="str">
        <f t="shared" ref="FQ229:FQ236" si="3659">IF(CK229="","","|n"&amp;FQ$2&amp;"+"&amp;CK229&amp;FQ$1)</f>
        <v/>
      </c>
      <c r="FR229" s="72" t="str">
        <f t="shared" ref="FR229:FR236" si="3660">IF(CL229="","","|n"&amp;FR$2&amp;"+"&amp;CL229&amp;FR$1)</f>
        <v/>
      </c>
      <c r="FS229" s="72" t="str">
        <f t="shared" ref="FS229:FS236" si="3661">IF(CM229="","","|n"&amp;FS$2&amp;"+"&amp;CM229&amp;FS$1)</f>
        <v/>
      </c>
    </row>
    <row r="230" spans="1:175" ht="15">
      <c r="A230" s="81"/>
      <c r="B230" s="82" t="s">
        <v>796</v>
      </c>
      <c r="C230" s="127" t="s">
        <v>797</v>
      </c>
      <c r="T230" s="139" t="s">
        <v>798</v>
      </c>
      <c r="U230" s="88" t="str">
        <f t="shared" si="3589"/>
        <v>ReplaceableTextures\\CommandButtons\\BTNIB02.blp</v>
      </c>
      <c r="CN230" s="70" t="str">
        <f t="shared" si="3577"/>
        <v>InitUnitState('IB02',,,,,,,,,,)</v>
      </c>
      <c r="CO230" s="70" t="str">
        <f t="shared" si="3578"/>
        <v>InitUnitNormal('IB02',,,,,,,,,,)</v>
      </c>
      <c r="CP230" s="70" t="str">
        <f t="shared" si="3579"/>
        <v>InitUnitMagic('IB02',,,,,,,,,,)</v>
      </c>
      <c r="CQ230" s="70" t="str">
        <f t="shared" si="3580"/>
        <v>InitUnitAdd('IB02',,,,,,,,,,)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231&amp;CR$1&amp;")"</f>
        <v>InitEquipData('IB02',,"",,,,,'','','','','','',"ReplaceableTextures\\CommandButtons\\BTNIB03.blp")</v>
      </c>
      <c r="CU230" s="98" t="str">
        <f t="shared" si="3590"/>
        <v>|n</v>
      </c>
      <c r="CV230" s="71" t="str">
        <f t="shared" si="3591"/>
        <v>加入《|cff00ffcc全民封神|r》官方QQ群，即可获得入群礼包码！|n|n输入礼包码即可获得：|n金币+1000，每秒攻击+2，每秒业力+2</v>
      </c>
      <c r="CW230" s="61"/>
      <c r="CX230" s="61"/>
      <c r="CY230" s="61"/>
      <c r="CZ230" s="61"/>
      <c r="DA230" s="61"/>
      <c r="DB230" s="72" t="str">
        <f t="shared" si="3592"/>
        <v/>
      </c>
      <c r="DC230" s="72" t="str">
        <f t="shared" si="3593"/>
        <v/>
      </c>
      <c r="DD230" s="72" t="str">
        <f t="shared" si="3594"/>
        <v/>
      </c>
      <c r="DE230" s="72" t="str">
        <f t="shared" si="3595"/>
        <v/>
      </c>
      <c r="DF230" s="72" t="str">
        <f t="shared" si="3596"/>
        <v/>
      </c>
      <c r="DG230" s="72" t="str">
        <f t="shared" si="3597"/>
        <v/>
      </c>
      <c r="DH230" s="72" t="str">
        <f t="shared" si="3598"/>
        <v/>
      </c>
      <c r="DI230" s="72" t="str">
        <f t="shared" si="3599"/>
        <v/>
      </c>
      <c r="DJ230" s="72" t="str">
        <f t="shared" si="3600"/>
        <v/>
      </c>
      <c r="DK230" s="72" t="str">
        <f t="shared" si="3601"/>
        <v/>
      </c>
      <c r="DL230" s="72" t="str">
        <f t="shared" si="3602"/>
        <v/>
      </c>
      <c r="DM230" s="72" t="str">
        <f t="shared" si="3603"/>
        <v/>
      </c>
      <c r="DN230" s="72" t="str">
        <f t="shared" si="3604"/>
        <v/>
      </c>
      <c r="DO230" s="72" t="str">
        <f t="shared" si="3605"/>
        <v/>
      </c>
      <c r="DP230" s="72" t="str">
        <f t="shared" si="3606"/>
        <v/>
      </c>
      <c r="DQ230" s="72" t="str">
        <f t="shared" si="3607"/>
        <v/>
      </c>
      <c r="DR230" s="72" t="str">
        <f t="shared" si="3608"/>
        <v/>
      </c>
      <c r="DS230" s="72" t="str">
        <f t="shared" si="3609"/>
        <v/>
      </c>
      <c r="DT230" s="72" t="str">
        <f t="shared" si="3610"/>
        <v/>
      </c>
      <c r="DU230" s="72" t="str">
        <f t="shared" si="3611"/>
        <v/>
      </c>
      <c r="DV230" s="72" t="str">
        <f t="shared" si="3612"/>
        <v/>
      </c>
      <c r="DW230" s="72" t="str">
        <f t="shared" si="3613"/>
        <v/>
      </c>
      <c r="DX230" s="72" t="str">
        <f t="shared" si="3614"/>
        <v/>
      </c>
      <c r="DY230" s="72" t="str">
        <f t="shared" si="3615"/>
        <v/>
      </c>
      <c r="DZ230" s="72" t="str">
        <f t="shared" si="3616"/>
        <v/>
      </c>
      <c r="EA230" s="72" t="str">
        <f t="shared" si="3617"/>
        <v/>
      </c>
      <c r="EB230" s="72" t="str">
        <f t="shared" si="3618"/>
        <v/>
      </c>
      <c r="EC230" s="72" t="str">
        <f t="shared" si="3619"/>
        <v/>
      </c>
      <c r="ED230" s="72" t="str">
        <f t="shared" si="3620"/>
        <v/>
      </c>
      <c r="EE230" s="72" t="str">
        <f t="shared" si="3621"/>
        <v/>
      </c>
      <c r="EF230" s="72" t="str">
        <f t="shared" si="3622"/>
        <v/>
      </c>
      <c r="EG230" s="72" t="str">
        <f t="shared" si="3623"/>
        <v/>
      </c>
      <c r="EH230" s="72" t="str">
        <f t="shared" si="3624"/>
        <v/>
      </c>
      <c r="EI230" s="72" t="str">
        <f t="shared" si="3625"/>
        <v/>
      </c>
      <c r="EJ230" s="72" t="str">
        <f t="shared" si="3626"/>
        <v/>
      </c>
      <c r="EK230" s="72" t="str">
        <f t="shared" si="3627"/>
        <v/>
      </c>
      <c r="EL230" s="72" t="str">
        <f t="shared" si="3628"/>
        <v/>
      </c>
      <c r="EM230" s="72" t="str">
        <f t="shared" si="3629"/>
        <v/>
      </c>
      <c r="EN230" s="72" t="str">
        <f t="shared" si="3630"/>
        <v/>
      </c>
      <c r="EO230" s="72" t="str">
        <f t="shared" si="3631"/>
        <v/>
      </c>
      <c r="EP230" s="72" t="str">
        <f t="shared" si="3632"/>
        <v/>
      </c>
      <c r="EQ230" s="72" t="str">
        <f t="shared" si="3633"/>
        <v/>
      </c>
      <c r="ER230" s="72" t="str">
        <f t="shared" si="3634"/>
        <v/>
      </c>
      <c r="ES230" s="72" t="str">
        <f t="shared" si="3635"/>
        <v/>
      </c>
      <c r="ET230" s="72" t="str">
        <f t="shared" si="3636"/>
        <v/>
      </c>
      <c r="EU230" s="72" t="str">
        <f t="shared" si="3637"/>
        <v/>
      </c>
      <c r="EV230" s="72" t="str">
        <f t="shared" si="3638"/>
        <v/>
      </c>
      <c r="EW230" s="72" t="str">
        <f t="shared" si="3639"/>
        <v/>
      </c>
      <c r="EX230" s="72" t="str">
        <f t="shared" si="3640"/>
        <v/>
      </c>
      <c r="EY230" s="72" t="str">
        <f t="shared" si="3641"/>
        <v/>
      </c>
      <c r="EZ230" s="72" t="str">
        <f t="shared" si="3642"/>
        <v/>
      </c>
      <c r="FA230" s="72" t="str">
        <f t="shared" si="3643"/>
        <v/>
      </c>
      <c r="FB230" s="72" t="str">
        <f t="shared" si="3644"/>
        <v/>
      </c>
      <c r="FC230" s="72" t="str">
        <f t="shared" si="3645"/>
        <v/>
      </c>
      <c r="FD230" s="72" t="str">
        <f t="shared" si="3646"/>
        <v/>
      </c>
      <c r="FE230" s="72" t="str">
        <f t="shared" si="3647"/>
        <v/>
      </c>
      <c r="FF230" s="72" t="str">
        <f t="shared" si="3648"/>
        <v/>
      </c>
      <c r="FG230" s="72" t="str">
        <f t="shared" si="3649"/>
        <v/>
      </c>
      <c r="FH230" s="72" t="str">
        <f t="shared" si="3650"/>
        <v/>
      </c>
      <c r="FI230" s="72" t="str">
        <f t="shared" si="3651"/>
        <v/>
      </c>
      <c r="FJ230" s="72" t="str">
        <f t="shared" si="3652"/>
        <v/>
      </c>
      <c r="FK230" s="72" t="str">
        <f t="shared" si="3653"/>
        <v/>
      </c>
      <c r="FL230" s="72" t="str">
        <f t="shared" si="3654"/>
        <v/>
      </c>
      <c r="FM230" s="72" t="str">
        <f t="shared" si="3655"/>
        <v/>
      </c>
      <c r="FN230" s="72" t="str">
        <f t="shared" si="3656"/>
        <v/>
      </c>
      <c r="FO230" s="72" t="str">
        <f t="shared" si="3657"/>
        <v/>
      </c>
      <c r="FP230" s="72" t="str">
        <f t="shared" si="3658"/>
        <v/>
      </c>
      <c r="FQ230" s="72" t="str">
        <f t="shared" si="3659"/>
        <v/>
      </c>
      <c r="FR230" s="72" t="str">
        <f t="shared" si="3660"/>
        <v/>
      </c>
      <c r="FS230" s="72" t="str">
        <f t="shared" si="3661"/>
        <v/>
      </c>
    </row>
    <row r="231" spans="1:175" ht="15">
      <c r="A231" s="81"/>
      <c r="B231" s="82" t="s">
        <v>799</v>
      </c>
      <c r="C231" s="127" t="s">
        <v>800</v>
      </c>
      <c r="T231" s="139" t="s">
        <v>801</v>
      </c>
      <c r="U231" s="88" t="str">
        <f t="shared" si="3589"/>
        <v>ReplaceableTextures\\CommandButtons\\BTNIB03.blp</v>
      </c>
      <c r="CN231" s="70" t="str">
        <f t="shared" si="3577"/>
        <v>InitUnitState('IB03',,,,,,,,,,)</v>
      </c>
      <c r="CO231" s="70" t="str">
        <f t="shared" si="3578"/>
        <v>InitUnitNormal('IB03',,,,,,,,,,)</v>
      </c>
      <c r="CP231" s="70" t="str">
        <f t="shared" si="3579"/>
        <v>InitUnitMagic('IB03',,,,,,,,,,)</v>
      </c>
      <c r="CQ231" s="70" t="str">
        <f t="shared" si="3580"/>
        <v>InitUnitAdd('IB03',,,,,,,,,,)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232&amp;CR$1&amp;")"</f>
        <v>InitEquipData('IB03',,"",,,,,'','','','','','',"ReplaceableTextures\\CommandButtons\\BTNIB04.blp")</v>
      </c>
      <c r="CU231" s="98" t="str">
        <f t="shared" si="3590"/>
        <v>|n</v>
      </c>
      <c r="CV231" s="71" t="str">
        <f t="shared" si="3591"/>
        <v>|cff99ccff给与地图有效评论建议|r即可领取：|n每秒生命+100，每秒业力+2|n|n|r|cff808080地图等级达到3级可领取|r</v>
      </c>
      <c r="CW231" s="61"/>
      <c r="CX231" s="61"/>
      <c r="CY231" s="61"/>
      <c r="CZ231" s="61"/>
      <c r="DA231" s="61"/>
      <c r="DB231" s="72" t="str">
        <f t="shared" si="3592"/>
        <v/>
      </c>
      <c r="DC231" s="72" t="str">
        <f t="shared" si="3593"/>
        <v/>
      </c>
      <c r="DD231" s="72" t="str">
        <f t="shared" si="3594"/>
        <v/>
      </c>
      <c r="DE231" s="72" t="str">
        <f t="shared" si="3595"/>
        <v/>
      </c>
      <c r="DF231" s="72" t="str">
        <f t="shared" si="3596"/>
        <v/>
      </c>
      <c r="DG231" s="72" t="str">
        <f t="shared" si="3597"/>
        <v/>
      </c>
      <c r="DH231" s="72" t="str">
        <f t="shared" si="3598"/>
        <v/>
      </c>
      <c r="DI231" s="72" t="str">
        <f t="shared" si="3599"/>
        <v/>
      </c>
      <c r="DJ231" s="72" t="str">
        <f t="shared" si="3600"/>
        <v/>
      </c>
      <c r="DK231" s="72" t="str">
        <f t="shared" si="3601"/>
        <v/>
      </c>
      <c r="DL231" s="72" t="str">
        <f t="shared" si="3602"/>
        <v/>
      </c>
      <c r="DM231" s="72" t="str">
        <f t="shared" si="3603"/>
        <v/>
      </c>
      <c r="DN231" s="72" t="str">
        <f t="shared" si="3604"/>
        <v/>
      </c>
      <c r="DO231" s="72" t="str">
        <f t="shared" si="3605"/>
        <v/>
      </c>
      <c r="DP231" s="72" t="str">
        <f t="shared" si="3606"/>
        <v/>
      </c>
      <c r="DQ231" s="72" t="str">
        <f t="shared" si="3607"/>
        <v/>
      </c>
      <c r="DR231" s="72" t="str">
        <f t="shared" si="3608"/>
        <v/>
      </c>
      <c r="DS231" s="72" t="str">
        <f t="shared" si="3609"/>
        <v/>
      </c>
      <c r="DT231" s="72" t="str">
        <f t="shared" si="3610"/>
        <v/>
      </c>
      <c r="DU231" s="72" t="str">
        <f t="shared" si="3611"/>
        <v/>
      </c>
      <c r="DV231" s="72" t="str">
        <f t="shared" si="3612"/>
        <v/>
      </c>
      <c r="DW231" s="72" t="str">
        <f t="shared" si="3613"/>
        <v/>
      </c>
      <c r="DX231" s="72" t="str">
        <f t="shared" si="3614"/>
        <v/>
      </c>
      <c r="DY231" s="72" t="str">
        <f t="shared" si="3615"/>
        <v/>
      </c>
      <c r="DZ231" s="72" t="str">
        <f t="shared" si="3616"/>
        <v/>
      </c>
      <c r="EA231" s="72" t="str">
        <f t="shared" si="3617"/>
        <v/>
      </c>
      <c r="EB231" s="72" t="str">
        <f t="shared" si="3618"/>
        <v/>
      </c>
      <c r="EC231" s="72" t="str">
        <f t="shared" si="3619"/>
        <v/>
      </c>
      <c r="ED231" s="72" t="str">
        <f t="shared" si="3620"/>
        <v/>
      </c>
      <c r="EE231" s="72" t="str">
        <f t="shared" si="3621"/>
        <v/>
      </c>
      <c r="EF231" s="72" t="str">
        <f t="shared" si="3622"/>
        <v/>
      </c>
      <c r="EG231" s="72" t="str">
        <f t="shared" si="3623"/>
        <v/>
      </c>
      <c r="EH231" s="72" t="str">
        <f t="shared" si="3624"/>
        <v/>
      </c>
      <c r="EI231" s="72" t="str">
        <f t="shared" si="3625"/>
        <v/>
      </c>
      <c r="EJ231" s="72" t="str">
        <f t="shared" si="3626"/>
        <v/>
      </c>
      <c r="EK231" s="72" t="str">
        <f t="shared" si="3627"/>
        <v/>
      </c>
      <c r="EL231" s="72" t="str">
        <f t="shared" si="3628"/>
        <v/>
      </c>
      <c r="EM231" s="72" t="str">
        <f t="shared" si="3629"/>
        <v/>
      </c>
      <c r="EN231" s="72" t="str">
        <f t="shared" si="3630"/>
        <v/>
      </c>
      <c r="EO231" s="72" t="str">
        <f t="shared" si="3631"/>
        <v/>
      </c>
      <c r="EP231" s="72" t="str">
        <f t="shared" si="3632"/>
        <v/>
      </c>
      <c r="EQ231" s="72" t="str">
        <f t="shared" si="3633"/>
        <v/>
      </c>
      <c r="ER231" s="72" t="str">
        <f t="shared" si="3634"/>
        <v/>
      </c>
      <c r="ES231" s="72" t="str">
        <f t="shared" si="3635"/>
        <v/>
      </c>
      <c r="ET231" s="72" t="str">
        <f t="shared" si="3636"/>
        <v/>
      </c>
      <c r="EU231" s="72" t="str">
        <f t="shared" si="3637"/>
        <v/>
      </c>
      <c r="EV231" s="72" t="str">
        <f t="shared" si="3638"/>
        <v/>
      </c>
      <c r="EW231" s="72" t="str">
        <f t="shared" si="3639"/>
        <v/>
      </c>
      <c r="EX231" s="72" t="str">
        <f t="shared" si="3640"/>
        <v/>
      </c>
      <c r="EY231" s="72" t="str">
        <f t="shared" si="3641"/>
        <v/>
      </c>
      <c r="EZ231" s="72" t="str">
        <f t="shared" si="3642"/>
        <v/>
      </c>
      <c r="FA231" s="72" t="str">
        <f t="shared" si="3643"/>
        <v/>
      </c>
      <c r="FB231" s="72" t="str">
        <f t="shared" si="3644"/>
        <v/>
      </c>
      <c r="FC231" s="72" t="str">
        <f t="shared" si="3645"/>
        <v/>
      </c>
      <c r="FD231" s="72" t="str">
        <f t="shared" si="3646"/>
        <v/>
      </c>
      <c r="FE231" s="72" t="str">
        <f t="shared" si="3647"/>
        <v/>
      </c>
      <c r="FF231" s="72" t="str">
        <f t="shared" si="3648"/>
        <v/>
      </c>
      <c r="FG231" s="72" t="str">
        <f t="shared" si="3649"/>
        <v/>
      </c>
      <c r="FH231" s="72" t="str">
        <f t="shared" si="3650"/>
        <v/>
      </c>
      <c r="FI231" s="72" t="str">
        <f t="shared" si="3651"/>
        <v/>
      </c>
      <c r="FJ231" s="72" t="str">
        <f t="shared" si="3652"/>
        <v/>
      </c>
      <c r="FK231" s="72" t="str">
        <f t="shared" si="3653"/>
        <v/>
      </c>
      <c r="FL231" s="72" t="str">
        <f t="shared" si="3654"/>
        <v/>
      </c>
      <c r="FM231" s="72" t="str">
        <f t="shared" si="3655"/>
        <v/>
      </c>
      <c r="FN231" s="72" t="str">
        <f t="shared" si="3656"/>
        <v/>
      </c>
      <c r="FO231" s="72" t="str">
        <f t="shared" si="3657"/>
        <v/>
      </c>
      <c r="FP231" s="72" t="str">
        <f t="shared" si="3658"/>
        <v/>
      </c>
      <c r="FQ231" s="72" t="str">
        <f t="shared" si="3659"/>
        <v/>
      </c>
      <c r="FR231" s="72" t="str">
        <f t="shared" si="3660"/>
        <v/>
      </c>
      <c r="FS231" s="72" t="str">
        <f t="shared" si="3661"/>
        <v/>
      </c>
    </row>
    <row r="232" spans="1:175" ht="15">
      <c r="A232" s="81"/>
      <c r="B232" s="82" t="s">
        <v>802</v>
      </c>
      <c r="C232" s="127" t="s">
        <v>803</v>
      </c>
      <c r="T232" s="139" t="s">
        <v>804</v>
      </c>
      <c r="U232" s="88" t="str">
        <f t="shared" si="3589"/>
        <v>ReplaceableTextures\\CommandButtons\\BTNIB04.blp</v>
      </c>
      <c r="CN232" s="70" t="str">
        <f t="shared" ref="CN232:CN239" si="3662">"InitUnitState('"&amp;B232&amp;"',"&amp;V232&amp;","&amp;W232&amp;","&amp;X232&amp;","&amp;Y232&amp;","&amp;Z232&amp;","&amp;AA232&amp;","&amp;AB232&amp;","&amp;AC232&amp;","&amp;AD232&amp;","&amp;AE232&amp;")"</f>
        <v>InitUnitState('IB04',,,,,,,,,,)</v>
      </c>
      <c r="CO232" s="70" t="str">
        <f t="shared" ref="CO232:CO239" si="3663">"InitUnitNormal('"&amp;B232&amp;"',"&amp;AF232&amp;","&amp;AG232&amp;","&amp;AH232&amp;","&amp;AI232&amp;","&amp;AJ232&amp;","&amp;AK232&amp;","&amp;AL232&amp;","&amp;AM232&amp;","&amp;AN232&amp;","&amp;AO232&amp;")"</f>
        <v>InitUnitNormal('IB04',,,,,,,,,,)</v>
      </c>
      <c r="CP232" s="70" t="str">
        <f t="shared" ref="CP232:CP239" si="3664">"InitUnitMagic('"&amp;B232&amp;"',"&amp;AP232&amp;","&amp;AQ232&amp;","&amp;AR232&amp;","&amp;AS232&amp;","&amp;AT232&amp;","&amp;AU232&amp;","&amp;AV232&amp;","&amp;AW232&amp;","&amp;BI232&amp;","&amp;BJ232&amp;")"</f>
        <v>InitUnitMagic('IB04',,,,,,,,,,)</v>
      </c>
      <c r="CQ232" s="70" t="str">
        <f t="shared" ref="CQ232:CQ239" si="3665">"InitUnitAdd('"&amp;B232&amp;"',"&amp;BK232&amp;","&amp;BL232&amp;","&amp;BM232&amp;","&amp;BN232&amp;","&amp;BO232&amp;","&amp;BP232&amp;","&amp;BQ232&amp;","&amp;BR232&amp;","&amp;BS232&amp;","&amp;BT232&amp;")"</f>
        <v>InitUnitAdd('IB04',,,,,,,,,,)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233&amp;CR$1&amp;")"</f>
        <v>InitEquipData('IB04',,"",,,,,'','','','','','',"ReplaceableTextures\\CommandButtons\\BTNIB05.blp")</v>
      </c>
      <c r="CU232" s="98" t="str">
        <f t="shared" si="3590"/>
        <v>|n</v>
      </c>
      <c r="CV232" s="71" t="str">
        <f t="shared" si="3591"/>
        <v>|cff99ccff房间大厅界面点击右上角《|r|cffcc99ff收藏|r|cff99ccff》后可领取该礼包。|n|n|r属性：|n|cffffcc33攻击伤害+5%|n技能伤害+5%|r</v>
      </c>
      <c r="CW232" s="61"/>
      <c r="CX232" s="61"/>
      <c r="CY232" s="61"/>
      <c r="CZ232" s="61"/>
      <c r="DA232" s="61"/>
      <c r="DB232" s="72" t="str">
        <f t="shared" si="3592"/>
        <v/>
      </c>
      <c r="DC232" s="72" t="str">
        <f t="shared" si="3593"/>
        <v/>
      </c>
      <c r="DD232" s="72" t="str">
        <f t="shared" si="3594"/>
        <v/>
      </c>
      <c r="DE232" s="72" t="str">
        <f t="shared" si="3595"/>
        <v/>
      </c>
      <c r="DF232" s="72" t="str">
        <f t="shared" si="3596"/>
        <v/>
      </c>
      <c r="DG232" s="72" t="str">
        <f t="shared" si="3597"/>
        <v/>
      </c>
      <c r="DH232" s="72" t="str">
        <f t="shared" si="3598"/>
        <v/>
      </c>
      <c r="DI232" s="72" t="str">
        <f t="shared" si="3599"/>
        <v/>
      </c>
      <c r="DJ232" s="72" t="str">
        <f t="shared" si="3600"/>
        <v/>
      </c>
      <c r="DK232" s="72" t="str">
        <f t="shared" si="3601"/>
        <v/>
      </c>
      <c r="DL232" s="72" t="str">
        <f t="shared" si="3602"/>
        <v/>
      </c>
      <c r="DM232" s="72" t="str">
        <f t="shared" si="3603"/>
        <v/>
      </c>
      <c r="DN232" s="72" t="str">
        <f t="shared" si="3604"/>
        <v/>
      </c>
      <c r="DO232" s="72" t="str">
        <f t="shared" si="3605"/>
        <v/>
      </c>
      <c r="DP232" s="72" t="str">
        <f t="shared" si="3606"/>
        <v/>
      </c>
      <c r="DQ232" s="72" t="str">
        <f t="shared" si="3607"/>
        <v/>
      </c>
      <c r="DR232" s="72" t="str">
        <f t="shared" si="3608"/>
        <v/>
      </c>
      <c r="DS232" s="72" t="str">
        <f t="shared" si="3609"/>
        <v/>
      </c>
      <c r="DT232" s="72" t="str">
        <f t="shared" si="3610"/>
        <v/>
      </c>
      <c r="DU232" s="72" t="str">
        <f t="shared" si="3611"/>
        <v/>
      </c>
      <c r="DV232" s="72" t="str">
        <f t="shared" si="3612"/>
        <v/>
      </c>
      <c r="DW232" s="72" t="str">
        <f t="shared" si="3613"/>
        <v/>
      </c>
      <c r="DX232" s="72" t="str">
        <f t="shared" si="3614"/>
        <v/>
      </c>
      <c r="DY232" s="72" t="str">
        <f t="shared" si="3615"/>
        <v/>
      </c>
      <c r="DZ232" s="72" t="str">
        <f t="shared" si="3616"/>
        <v/>
      </c>
      <c r="EA232" s="72" t="str">
        <f t="shared" si="3617"/>
        <v/>
      </c>
      <c r="EB232" s="72" t="str">
        <f t="shared" si="3618"/>
        <v/>
      </c>
      <c r="EC232" s="72" t="str">
        <f t="shared" si="3619"/>
        <v/>
      </c>
      <c r="ED232" s="72" t="str">
        <f t="shared" si="3620"/>
        <v/>
      </c>
      <c r="EE232" s="72" t="str">
        <f t="shared" si="3621"/>
        <v/>
      </c>
      <c r="EF232" s="72" t="str">
        <f t="shared" si="3622"/>
        <v/>
      </c>
      <c r="EG232" s="72" t="str">
        <f t="shared" si="3623"/>
        <v/>
      </c>
      <c r="EH232" s="72" t="str">
        <f t="shared" si="3624"/>
        <v/>
      </c>
      <c r="EI232" s="72" t="str">
        <f t="shared" si="3625"/>
        <v/>
      </c>
      <c r="EJ232" s="72" t="str">
        <f t="shared" si="3626"/>
        <v/>
      </c>
      <c r="EK232" s="72" t="str">
        <f t="shared" si="3627"/>
        <v/>
      </c>
      <c r="EL232" s="72" t="str">
        <f t="shared" si="3628"/>
        <v/>
      </c>
      <c r="EM232" s="72" t="str">
        <f t="shared" si="3629"/>
        <v/>
      </c>
      <c r="EN232" s="72" t="str">
        <f t="shared" si="3630"/>
        <v/>
      </c>
      <c r="EO232" s="72" t="str">
        <f t="shared" si="3631"/>
        <v/>
      </c>
      <c r="EP232" s="72" t="str">
        <f t="shared" si="3632"/>
        <v/>
      </c>
      <c r="EQ232" s="72" t="str">
        <f t="shared" si="3633"/>
        <v/>
      </c>
      <c r="ER232" s="72" t="str">
        <f t="shared" si="3634"/>
        <v/>
      </c>
      <c r="ES232" s="72" t="str">
        <f t="shared" si="3635"/>
        <v/>
      </c>
      <c r="ET232" s="72" t="str">
        <f t="shared" si="3636"/>
        <v/>
      </c>
      <c r="EU232" s="72" t="str">
        <f t="shared" si="3637"/>
        <v/>
      </c>
      <c r="EV232" s="72" t="str">
        <f t="shared" si="3638"/>
        <v/>
      </c>
      <c r="EW232" s="72" t="str">
        <f t="shared" si="3639"/>
        <v/>
      </c>
      <c r="EX232" s="72" t="str">
        <f t="shared" si="3640"/>
        <v/>
      </c>
      <c r="EY232" s="72" t="str">
        <f t="shared" si="3641"/>
        <v/>
      </c>
      <c r="EZ232" s="72" t="str">
        <f t="shared" si="3642"/>
        <v/>
      </c>
      <c r="FA232" s="72" t="str">
        <f t="shared" si="3643"/>
        <v/>
      </c>
      <c r="FB232" s="72" t="str">
        <f t="shared" si="3644"/>
        <v/>
      </c>
      <c r="FC232" s="72" t="str">
        <f t="shared" si="3645"/>
        <v/>
      </c>
      <c r="FD232" s="72" t="str">
        <f t="shared" si="3646"/>
        <v/>
      </c>
      <c r="FE232" s="72" t="str">
        <f t="shared" si="3647"/>
        <v/>
      </c>
      <c r="FF232" s="72" t="str">
        <f t="shared" si="3648"/>
        <v/>
      </c>
      <c r="FG232" s="72" t="str">
        <f t="shared" si="3649"/>
        <v/>
      </c>
      <c r="FH232" s="72" t="str">
        <f t="shared" si="3650"/>
        <v/>
      </c>
      <c r="FI232" s="72" t="str">
        <f t="shared" si="3651"/>
        <v/>
      </c>
      <c r="FJ232" s="72" t="str">
        <f t="shared" si="3652"/>
        <v/>
      </c>
      <c r="FK232" s="72" t="str">
        <f t="shared" si="3653"/>
        <v/>
      </c>
      <c r="FL232" s="72" t="str">
        <f t="shared" si="3654"/>
        <v/>
      </c>
      <c r="FM232" s="72" t="str">
        <f t="shared" si="3655"/>
        <v/>
      </c>
      <c r="FN232" s="72" t="str">
        <f t="shared" si="3656"/>
        <v/>
      </c>
      <c r="FO232" s="72" t="str">
        <f t="shared" si="3657"/>
        <v/>
      </c>
      <c r="FP232" s="72" t="str">
        <f t="shared" si="3658"/>
        <v/>
      </c>
      <c r="FQ232" s="72" t="str">
        <f t="shared" si="3659"/>
        <v/>
      </c>
      <c r="FR232" s="72" t="str">
        <f t="shared" si="3660"/>
        <v/>
      </c>
      <c r="FS232" s="72" t="str">
        <f t="shared" si="3661"/>
        <v/>
      </c>
    </row>
    <row r="233" spans="1:175" ht="15">
      <c r="A233" s="81"/>
      <c r="B233" s="82" t="s">
        <v>805</v>
      </c>
      <c r="C233" s="127" t="s">
        <v>806</v>
      </c>
      <c r="T233" s="139" t="s">
        <v>807</v>
      </c>
      <c r="U233" s="88" t="str">
        <f t="shared" si="3589"/>
        <v>ReplaceableTextures\\CommandButtons\\BTNIB05.blp</v>
      </c>
      <c r="CN233" s="70" t="str">
        <f t="shared" si="3662"/>
        <v>InitUnitState('IB05',,,,,,,,,,)</v>
      </c>
      <c r="CO233" s="70" t="str">
        <f t="shared" si="3663"/>
        <v>InitUnitNormal('IB05',,,,,,,,,,)</v>
      </c>
      <c r="CP233" s="70" t="str">
        <f t="shared" si="3664"/>
        <v>InitUnitMagic('IB05',,,,,,,,,,)</v>
      </c>
      <c r="CQ233" s="70" t="str">
        <f t="shared" si="3665"/>
        <v>InitUnitAdd('IB05',,,,,,,,,,)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258&amp;CR$1&amp;")"</f>
        <v>InitEquipData('IB05',,"",,,,,'','','','','','',"")</v>
      </c>
      <c r="CU233" s="98" t="str">
        <f t="shared" si="3590"/>
        <v>|n</v>
      </c>
      <c r="CV233" s="71" t="str">
        <f t="shared" si="3591"/>
        <v>|cff33ff00购买魔兽重制版可领取该礼包！|n|n|r奖励：|n招魂幡Lv3</v>
      </c>
      <c r="CW233" s="61"/>
      <c r="CX233" s="61"/>
      <c r="CY233" s="61"/>
      <c r="CZ233" s="61"/>
      <c r="DA233" s="61"/>
      <c r="DB233" s="72" t="str">
        <f t="shared" si="3592"/>
        <v/>
      </c>
      <c r="DC233" s="72" t="str">
        <f t="shared" si="3593"/>
        <v/>
      </c>
      <c r="DD233" s="72" t="str">
        <f t="shared" si="3594"/>
        <v/>
      </c>
      <c r="DE233" s="72" t="str">
        <f t="shared" si="3595"/>
        <v/>
      </c>
      <c r="DF233" s="72" t="str">
        <f t="shared" si="3596"/>
        <v/>
      </c>
      <c r="DG233" s="72" t="str">
        <f t="shared" si="3597"/>
        <v/>
      </c>
      <c r="DH233" s="72" t="str">
        <f t="shared" si="3598"/>
        <v/>
      </c>
      <c r="DI233" s="72" t="str">
        <f t="shared" si="3599"/>
        <v/>
      </c>
      <c r="DJ233" s="72" t="str">
        <f t="shared" si="3600"/>
        <v/>
      </c>
      <c r="DK233" s="72" t="str">
        <f t="shared" si="3601"/>
        <v/>
      </c>
      <c r="DL233" s="72" t="str">
        <f t="shared" si="3602"/>
        <v/>
      </c>
      <c r="DM233" s="72" t="str">
        <f t="shared" si="3603"/>
        <v/>
      </c>
      <c r="DN233" s="72" t="str">
        <f t="shared" si="3604"/>
        <v/>
      </c>
      <c r="DO233" s="72" t="str">
        <f t="shared" si="3605"/>
        <v/>
      </c>
      <c r="DP233" s="72" t="str">
        <f t="shared" si="3606"/>
        <v/>
      </c>
      <c r="DQ233" s="72" t="str">
        <f t="shared" si="3607"/>
        <v/>
      </c>
      <c r="DR233" s="72" t="str">
        <f t="shared" si="3608"/>
        <v/>
      </c>
      <c r="DS233" s="72" t="str">
        <f t="shared" si="3609"/>
        <v/>
      </c>
      <c r="DT233" s="72" t="str">
        <f t="shared" si="3610"/>
        <v/>
      </c>
      <c r="DU233" s="72" t="str">
        <f t="shared" si="3611"/>
        <v/>
      </c>
      <c r="DV233" s="72" t="str">
        <f t="shared" si="3612"/>
        <v/>
      </c>
      <c r="DW233" s="72" t="str">
        <f t="shared" si="3613"/>
        <v/>
      </c>
      <c r="DX233" s="72" t="str">
        <f t="shared" si="3614"/>
        <v/>
      </c>
      <c r="DY233" s="72" t="str">
        <f t="shared" si="3615"/>
        <v/>
      </c>
      <c r="DZ233" s="72" t="str">
        <f t="shared" si="3616"/>
        <v/>
      </c>
      <c r="EA233" s="72" t="str">
        <f t="shared" si="3617"/>
        <v/>
      </c>
      <c r="EB233" s="72" t="str">
        <f t="shared" si="3618"/>
        <v/>
      </c>
      <c r="EC233" s="72" t="str">
        <f t="shared" si="3619"/>
        <v/>
      </c>
      <c r="ED233" s="72" t="str">
        <f t="shared" si="3620"/>
        <v/>
      </c>
      <c r="EE233" s="72" t="str">
        <f t="shared" si="3621"/>
        <v/>
      </c>
      <c r="EF233" s="72" t="str">
        <f t="shared" si="3622"/>
        <v/>
      </c>
      <c r="EG233" s="72" t="str">
        <f t="shared" si="3623"/>
        <v/>
      </c>
      <c r="EH233" s="72" t="str">
        <f t="shared" si="3624"/>
        <v/>
      </c>
      <c r="EI233" s="72" t="str">
        <f t="shared" si="3625"/>
        <v/>
      </c>
      <c r="EJ233" s="72" t="str">
        <f t="shared" si="3626"/>
        <v/>
      </c>
      <c r="EK233" s="72" t="str">
        <f t="shared" si="3627"/>
        <v/>
      </c>
      <c r="EL233" s="72" t="str">
        <f t="shared" si="3628"/>
        <v/>
      </c>
      <c r="EM233" s="72" t="str">
        <f t="shared" si="3629"/>
        <v/>
      </c>
      <c r="EN233" s="72" t="str">
        <f t="shared" si="3630"/>
        <v/>
      </c>
      <c r="EO233" s="72" t="str">
        <f t="shared" si="3631"/>
        <v/>
      </c>
      <c r="EP233" s="72" t="str">
        <f t="shared" si="3632"/>
        <v/>
      </c>
      <c r="EQ233" s="72" t="str">
        <f t="shared" si="3633"/>
        <v/>
      </c>
      <c r="ER233" s="72" t="str">
        <f t="shared" si="3634"/>
        <v/>
      </c>
      <c r="ES233" s="72" t="str">
        <f t="shared" si="3635"/>
        <v/>
      </c>
      <c r="ET233" s="72" t="str">
        <f t="shared" si="3636"/>
        <v/>
      </c>
      <c r="EU233" s="72" t="str">
        <f t="shared" si="3637"/>
        <v/>
      </c>
      <c r="EV233" s="72" t="str">
        <f t="shared" si="3638"/>
        <v/>
      </c>
      <c r="EW233" s="72" t="str">
        <f t="shared" si="3639"/>
        <v/>
      </c>
      <c r="EX233" s="72" t="str">
        <f t="shared" si="3640"/>
        <v/>
      </c>
      <c r="EY233" s="72" t="str">
        <f t="shared" si="3641"/>
        <v/>
      </c>
      <c r="EZ233" s="72" t="str">
        <f t="shared" si="3642"/>
        <v/>
      </c>
      <c r="FA233" s="72" t="str">
        <f t="shared" si="3643"/>
        <v/>
      </c>
      <c r="FB233" s="72" t="str">
        <f t="shared" si="3644"/>
        <v/>
      </c>
      <c r="FC233" s="72" t="str">
        <f t="shared" si="3645"/>
        <v/>
      </c>
      <c r="FD233" s="72" t="str">
        <f t="shared" si="3646"/>
        <v/>
      </c>
      <c r="FE233" s="72" t="str">
        <f t="shared" si="3647"/>
        <v/>
      </c>
      <c r="FF233" s="72" t="str">
        <f t="shared" si="3648"/>
        <v/>
      </c>
      <c r="FG233" s="72" t="str">
        <f t="shared" si="3649"/>
        <v/>
      </c>
      <c r="FH233" s="72" t="str">
        <f t="shared" si="3650"/>
        <v/>
      </c>
      <c r="FI233" s="72" t="str">
        <f t="shared" si="3651"/>
        <v/>
      </c>
      <c r="FJ233" s="72" t="str">
        <f t="shared" si="3652"/>
        <v/>
      </c>
      <c r="FK233" s="72" t="str">
        <f t="shared" si="3653"/>
        <v/>
      </c>
      <c r="FL233" s="72" t="str">
        <f t="shared" si="3654"/>
        <v/>
      </c>
      <c r="FM233" s="72" t="str">
        <f t="shared" si="3655"/>
        <v/>
      </c>
      <c r="FN233" s="72" t="str">
        <f t="shared" si="3656"/>
        <v/>
      </c>
      <c r="FO233" s="72" t="str">
        <f t="shared" si="3657"/>
        <v/>
      </c>
      <c r="FP233" s="72" t="str">
        <f t="shared" si="3658"/>
        <v/>
      </c>
      <c r="FQ233" s="72" t="str">
        <f t="shared" si="3659"/>
        <v/>
      </c>
      <c r="FR233" s="72" t="str">
        <f t="shared" si="3660"/>
        <v/>
      </c>
      <c r="FS233" s="72" t="str">
        <f t="shared" si="3661"/>
        <v/>
      </c>
    </row>
    <row r="234" spans="1:175" ht="15">
      <c r="A234" s="81"/>
      <c r="B234" s="82" t="s">
        <v>808</v>
      </c>
      <c r="C234" s="127" t="s">
        <v>809</v>
      </c>
      <c r="T234" s="139" t="s">
        <v>810</v>
      </c>
      <c r="U234" s="88" t="str">
        <f t="shared" si="3589"/>
        <v>ReplaceableTextures\\CommandButtons\\BTNIB06.blp</v>
      </c>
      <c r="CN234" s="70" t="str">
        <f t="shared" si="3662"/>
        <v>InitUnitState('IB06',,,,,,,,,,)</v>
      </c>
      <c r="CO234" s="70" t="str">
        <f t="shared" si="3663"/>
        <v>InitUnitNormal('IB06',,,,,,,,,,)</v>
      </c>
      <c r="CP234" s="70" t="str">
        <f t="shared" si="3664"/>
        <v>InitUnitMagic('IB06',,,,,,,,,,)</v>
      </c>
      <c r="CQ234" s="70" t="str">
        <f t="shared" si="3665"/>
        <v>InitUnitAdd('IB06',,,,,,,,,,)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InitEquipData('IB06',,"",,,,,'','','','','','',"ReplaceableTextures\\CommandButtons\\BTNIB07.blp")</v>
      </c>
      <c r="CU234" s="98" t="str">
        <f t="shared" si="3590"/>
        <v>|n</v>
      </c>
      <c r="CV234" s="71" t="str">
        <f t="shared" si="3591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</v>
      </c>
      <c r="CW234" s="61"/>
      <c r="CX234" s="61"/>
      <c r="CY234" s="61"/>
      <c r="CZ234" s="61"/>
      <c r="DA234" s="61"/>
      <c r="DB234" s="72" t="str">
        <f t="shared" si="3592"/>
        <v/>
      </c>
      <c r="DC234" s="72" t="str">
        <f t="shared" si="3593"/>
        <v/>
      </c>
      <c r="DD234" s="72" t="str">
        <f t="shared" si="3594"/>
        <v/>
      </c>
      <c r="DE234" s="72" t="str">
        <f t="shared" si="3595"/>
        <v/>
      </c>
      <c r="DF234" s="72" t="str">
        <f t="shared" si="3596"/>
        <v/>
      </c>
      <c r="DG234" s="72" t="str">
        <f t="shared" si="3597"/>
        <v/>
      </c>
      <c r="DH234" s="72" t="str">
        <f t="shared" si="3598"/>
        <v/>
      </c>
      <c r="DI234" s="72" t="str">
        <f t="shared" si="3599"/>
        <v/>
      </c>
      <c r="DJ234" s="72" t="str">
        <f t="shared" si="3600"/>
        <v/>
      </c>
      <c r="DK234" s="72" t="str">
        <f t="shared" si="3601"/>
        <v/>
      </c>
      <c r="DL234" s="72" t="str">
        <f t="shared" si="3602"/>
        <v/>
      </c>
      <c r="DM234" s="72" t="str">
        <f t="shared" si="3603"/>
        <v/>
      </c>
      <c r="DN234" s="72" t="str">
        <f t="shared" si="3604"/>
        <v/>
      </c>
      <c r="DO234" s="72" t="str">
        <f t="shared" si="3605"/>
        <v/>
      </c>
      <c r="DP234" s="72" t="str">
        <f t="shared" si="3606"/>
        <v/>
      </c>
      <c r="DQ234" s="72" t="str">
        <f t="shared" si="3607"/>
        <v/>
      </c>
      <c r="DR234" s="72" t="str">
        <f t="shared" si="3608"/>
        <v/>
      </c>
      <c r="DS234" s="72" t="str">
        <f t="shared" si="3609"/>
        <v/>
      </c>
      <c r="DT234" s="72" t="str">
        <f t="shared" si="3610"/>
        <v/>
      </c>
      <c r="DU234" s="72" t="str">
        <f t="shared" si="3611"/>
        <v/>
      </c>
      <c r="DV234" s="72" t="str">
        <f t="shared" si="3612"/>
        <v/>
      </c>
      <c r="DW234" s="72" t="str">
        <f t="shared" si="3613"/>
        <v/>
      </c>
      <c r="DX234" s="72" t="str">
        <f t="shared" si="3614"/>
        <v/>
      </c>
      <c r="DY234" s="72" t="str">
        <f t="shared" si="3615"/>
        <v/>
      </c>
      <c r="DZ234" s="72" t="str">
        <f t="shared" si="3616"/>
        <v/>
      </c>
      <c r="EA234" s="72" t="str">
        <f t="shared" si="3617"/>
        <v/>
      </c>
      <c r="EB234" s="72" t="str">
        <f t="shared" si="3618"/>
        <v/>
      </c>
      <c r="EC234" s="72" t="str">
        <f t="shared" si="3619"/>
        <v/>
      </c>
      <c r="ED234" s="72" t="str">
        <f t="shared" si="3620"/>
        <v/>
      </c>
      <c r="EE234" s="72" t="str">
        <f t="shared" si="3621"/>
        <v/>
      </c>
      <c r="EF234" s="72" t="str">
        <f t="shared" si="3622"/>
        <v/>
      </c>
      <c r="EG234" s="72" t="str">
        <f t="shared" si="3623"/>
        <v/>
      </c>
      <c r="EH234" s="72" t="str">
        <f t="shared" si="3624"/>
        <v/>
      </c>
      <c r="EI234" s="72" t="str">
        <f t="shared" si="3625"/>
        <v/>
      </c>
      <c r="EJ234" s="72" t="str">
        <f t="shared" si="3626"/>
        <v/>
      </c>
      <c r="EK234" s="72" t="str">
        <f t="shared" si="3627"/>
        <v/>
      </c>
      <c r="EL234" s="72" t="str">
        <f t="shared" si="3628"/>
        <v/>
      </c>
      <c r="EM234" s="72" t="str">
        <f t="shared" si="3629"/>
        <v/>
      </c>
      <c r="EN234" s="72" t="str">
        <f t="shared" si="3630"/>
        <v/>
      </c>
      <c r="EO234" s="72" t="str">
        <f t="shared" si="3631"/>
        <v/>
      </c>
      <c r="EP234" s="72" t="str">
        <f t="shared" si="3632"/>
        <v/>
      </c>
      <c r="EQ234" s="72" t="str">
        <f t="shared" si="3633"/>
        <v/>
      </c>
      <c r="ER234" s="72" t="str">
        <f t="shared" si="3634"/>
        <v/>
      </c>
      <c r="ES234" s="72" t="str">
        <f t="shared" si="3635"/>
        <v/>
      </c>
      <c r="ET234" s="72" t="str">
        <f t="shared" si="3636"/>
        <v/>
      </c>
      <c r="EU234" s="72" t="str">
        <f t="shared" si="3637"/>
        <v/>
      </c>
      <c r="EV234" s="72" t="str">
        <f t="shared" si="3638"/>
        <v/>
      </c>
      <c r="EW234" s="72" t="str">
        <f t="shared" si="3639"/>
        <v/>
      </c>
      <c r="EX234" s="72" t="str">
        <f t="shared" si="3640"/>
        <v/>
      </c>
      <c r="EY234" s="72" t="str">
        <f t="shared" si="3641"/>
        <v/>
      </c>
      <c r="EZ234" s="72" t="str">
        <f t="shared" si="3642"/>
        <v/>
      </c>
      <c r="FA234" s="72" t="str">
        <f t="shared" si="3643"/>
        <v/>
      </c>
      <c r="FB234" s="72" t="str">
        <f t="shared" si="3644"/>
        <v/>
      </c>
      <c r="FC234" s="72" t="str">
        <f t="shared" si="3645"/>
        <v/>
      </c>
      <c r="FD234" s="72" t="str">
        <f t="shared" si="3646"/>
        <v/>
      </c>
      <c r="FE234" s="72" t="str">
        <f t="shared" si="3647"/>
        <v/>
      </c>
      <c r="FF234" s="72" t="str">
        <f t="shared" si="3648"/>
        <v/>
      </c>
      <c r="FG234" s="72" t="str">
        <f t="shared" si="3649"/>
        <v/>
      </c>
      <c r="FH234" s="72" t="str">
        <f t="shared" si="3650"/>
        <v/>
      </c>
      <c r="FI234" s="72" t="str">
        <f t="shared" si="3651"/>
        <v/>
      </c>
      <c r="FJ234" s="72" t="str">
        <f t="shared" si="3652"/>
        <v/>
      </c>
      <c r="FK234" s="72" t="str">
        <f t="shared" si="3653"/>
        <v/>
      </c>
      <c r="FL234" s="72" t="str">
        <f t="shared" si="3654"/>
        <v/>
      </c>
      <c r="FM234" s="72" t="str">
        <f t="shared" si="3655"/>
        <v/>
      </c>
      <c r="FN234" s="72" t="str">
        <f t="shared" si="3656"/>
        <v/>
      </c>
      <c r="FO234" s="72" t="str">
        <f t="shared" si="3657"/>
        <v/>
      </c>
      <c r="FP234" s="72" t="str">
        <f t="shared" si="3658"/>
        <v/>
      </c>
      <c r="FQ234" s="72" t="str">
        <f t="shared" si="3659"/>
        <v/>
      </c>
      <c r="FR234" s="72" t="str">
        <f t="shared" si="3660"/>
        <v/>
      </c>
      <c r="FS234" s="72" t="str">
        <f t="shared" si="3661"/>
        <v/>
      </c>
    </row>
    <row r="235" spans="1:175" ht="15">
      <c r="A235" s="81"/>
      <c r="B235" s="82" t="s">
        <v>811</v>
      </c>
      <c r="C235" s="127" t="s">
        <v>812</v>
      </c>
      <c r="T235" s="139" t="s">
        <v>813</v>
      </c>
      <c r="U235" s="88" t="str">
        <f t="shared" si="3589"/>
        <v>ReplaceableTextures\\CommandButtons\\BTNIB07.blp</v>
      </c>
      <c r="CN235" s="70" t="str">
        <f t="shared" si="3662"/>
        <v>InitUnitState('IB07',,,,,,,,,,)</v>
      </c>
      <c r="CO235" s="70" t="str">
        <f t="shared" si="3663"/>
        <v>InitUnitNormal('IB07',,,,,,,,,,)</v>
      </c>
      <c r="CP235" s="70" t="str">
        <f t="shared" si="3664"/>
        <v>InitUnitMagic('IB07',,,,,,,,,,)</v>
      </c>
      <c r="CQ235" s="70" t="str">
        <f t="shared" si="3665"/>
        <v>InitUnitAdd('IB07',,,,,,,,,,)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InitEquipData('IB07',,"",,,,,'','','','','','',"ReplaceableTextures\\CommandButtons\\BTNIB08.blp")</v>
      </c>
      <c r="CU235" s="98" t="str">
        <f t="shared" si="3590"/>
        <v>|n</v>
      </c>
      <c r="CV235" s="71" t="str">
        <f t="shared" si="3591"/>
        <v>加入以下公会可领取：|n|cFF33FF00星耀俱乐部|n星悦俱乐部|n北斗俱乐部|nVVIP俱乐部|nMVP公会|n|n|cffffffff开局即可获得：|n|cFFFFCC33每秒生命+200.|n每秒业力+10.|n被动触发概率+2%.|n技能冷却-10%</v>
      </c>
      <c r="CW235" s="61"/>
      <c r="CX235" s="61"/>
      <c r="CY235" s="61"/>
      <c r="CZ235" s="61"/>
      <c r="DA235" s="61"/>
      <c r="DB235" s="72" t="str">
        <f t="shared" si="3592"/>
        <v/>
      </c>
      <c r="DC235" s="72" t="str">
        <f t="shared" si="3593"/>
        <v/>
      </c>
      <c r="DD235" s="72" t="str">
        <f t="shared" si="3594"/>
        <v/>
      </c>
      <c r="DE235" s="72" t="str">
        <f t="shared" si="3595"/>
        <v/>
      </c>
      <c r="DF235" s="72" t="str">
        <f t="shared" si="3596"/>
        <v/>
      </c>
      <c r="DG235" s="72" t="str">
        <f t="shared" si="3597"/>
        <v/>
      </c>
      <c r="DH235" s="72" t="str">
        <f t="shared" si="3598"/>
        <v/>
      </c>
      <c r="DI235" s="72" t="str">
        <f t="shared" si="3599"/>
        <v/>
      </c>
      <c r="DJ235" s="72" t="str">
        <f t="shared" si="3600"/>
        <v/>
      </c>
      <c r="DK235" s="72" t="str">
        <f t="shared" si="3601"/>
        <v/>
      </c>
      <c r="DL235" s="72" t="str">
        <f t="shared" si="3602"/>
        <v/>
      </c>
      <c r="DM235" s="72" t="str">
        <f t="shared" si="3603"/>
        <v/>
      </c>
      <c r="DN235" s="72" t="str">
        <f t="shared" si="3604"/>
        <v/>
      </c>
      <c r="DO235" s="72" t="str">
        <f t="shared" si="3605"/>
        <v/>
      </c>
      <c r="DP235" s="72" t="str">
        <f t="shared" si="3606"/>
        <v/>
      </c>
      <c r="DQ235" s="72" t="str">
        <f t="shared" si="3607"/>
        <v/>
      </c>
      <c r="DR235" s="72" t="str">
        <f t="shared" si="3608"/>
        <v/>
      </c>
      <c r="DS235" s="72" t="str">
        <f t="shared" si="3609"/>
        <v/>
      </c>
      <c r="DT235" s="72" t="str">
        <f t="shared" si="3610"/>
        <v/>
      </c>
      <c r="DU235" s="72" t="str">
        <f t="shared" si="3611"/>
        <v/>
      </c>
      <c r="DV235" s="72" t="str">
        <f t="shared" si="3612"/>
        <v/>
      </c>
      <c r="DW235" s="72" t="str">
        <f t="shared" si="3613"/>
        <v/>
      </c>
      <c r="DX235" s="72" t="str">
        <f t="shared" si="3614"/>
        <v/>
      </c>
      <c r="DY235" s="72" t="str">
        <f t="shared" si="3615"/>
        <v/>
      </c>
      <c r="DZ235" s="72" t="str">
        <f t="shared" si="3616"/>
        <v/>
      </c>
      <c r="EA235" s="72" t="str">
        <f t="shared" si="3617"/>
        <v/>
      </c>
      <c r="EB235" s="72" t="str">
        <f t="shared" si="3618"/>
        <v/>
      </c>
      <c r="EC235" s="72" t="str">
        <f t="shared" si="3619"/>
        <v/>
      </c>
      <c r="ED235" s="72" t="str">
        <f t="shared" si="3620"/>
        <v/>
      </c>
      <c r="EE235" s="72" t="str">
        <f t="shared" si="3621"/>
        <v/>
      </c>
      <c r="EF235" s="72" t="str">
        <f t="shared" si="3622"/>
        <v/>
      </c>
      <c r="EG235" s="72" t="str">
        <f t="shared" si="3623"/>
        <v/>
      </c>
      <c r="EH235" s="72" t="str">
        <f t="shared" si="3624"/>
        <v/>
      </c>
      <c r="EI235" s="72" t="str">
        <f t="shared" si="3625"/>
        <v/>
      </c>
      <c r="EJ235" s="72" t="str">
        <f t="shared" si="3626"/>
        <v/>
      </c>
      <c r="EK235" s="72" t="str">
        <f t="shared" si="3627"/>
        <v/>
      </c>
      <c r="EL235" s="72" t="str">
        <f t="shared" si="3628"/>
        <v/>
      </c>
      <c r="EM235" s="72" t="str">
        <f t="shared" si="3629"/>
        <v/>
      </c>
      <c r="EN235" s="72" t="str">
        <f t="shared" si="3630"/>
        <v/>
      </c>
      <c r="EO235" s="72" t="str">
        <f t="shared" si="3631"/>
        <v/>
      </c>
      <c r="EP235" s="72" t="str">
        <f t="shared" si="3632"/>
        <v/>
      </c>
      <c r="EQ235" s="72" t="str">
        <f t="shared" si="3633"/>
        <v/>
      </c>
      <c r="ER235" s="72" t="str">
        <f t="shared" si="3634"/>
        <v/>
      </c>
      <c r="ES235" s="72" t="str">
        <f t="shared" si="3635"/>
        <v/>
      </c>
      <c r="ET235" s="72" t="str">
        <f t="shared" si="3636"/>
        <v/>
      </c>
      <c r="EU235" s="72" t="str">
        <f t="shared" si="3637"/>
        <v/>
      </c>
      <c r="EV235" s="72" t="str">
        <f t="shared" si="3638"/>
        <v/>
      </c>
      <c r="EW235" s="72" t="str">
        <f t="shared" si="3639"/>
        <v/>
      </c>
      <c r="EX235" s="72" t="str">
        <f t="shared" si="3640"/>
        <v/>
      </c>
      <c r="EY235" s="72" t="str">
        <f t="shared" si="3641"/>
        <v/>
      </c>
      <c r="EZ235" s="72" t="str">
        <f t="shared" si="3642"/>
        <v/>
      </c>
      <c r="FA235" s="72" t="str">
        <f t="shared" si="3643"/>
        <v/>
      </c>
      <c r="FB235" s="72" t="str">
        <f t="shared" si="3644"/>
        <v/>
      </c>
      <c r="FC235" s="72" t="str">
        <f t="shared" si="3645"/>
        <v/>
      </c>
      <c r="FD235" s="72" t="str">
        <f t="shared" si="3646"/>
        <v/>
      </c>
      <c r="FE235" s="72" t="str">
        <f t="shared" si="3647"/>
        <v/>
      </c>
      <c r="FF235" s="72" t="str">
        <f t="shared" si="3648"/>
        <v/>
      </c>
      <c r="FG235" s="72" t="str">
        <f t="shared" si="3649"/>
        <v/>
      </c>
      <c r="FH235" s="72" t="str">
        <f t="shared" si="3650"/>
        <v/>
      </c>
      <c r="FI235" s="72" t="str">
        <f t="shared" si="3651"/>
        <v/>
      </c>
      <c r="FJ235" s="72" t="str">
        <f t="shared" si="3652"/>
        <v/>
      </c>
      <c r="FK235" s="72" t="str">
        <f t="shared" si="3653"/>
        <v/>
      </c>
      <c r="FL235" s="72" t="str">
        <f t="shared" si="3654"/>
        <v/>
      </c>
      <c r="FM235" s="72" t="str">
        <f t="shared" si="3655"/>
        <v/>
      </c>
      <c r="FN235" s="72" t="str">
        <f t="shared" si="3656"/>
        <v/>
      </c>
      <c r="FO235" s="72" t="str">
        <f t="shared" si="3657"/>
        <v/>
      </c>
      <c r="FP235" s="72" t="str">
        <f t="shared" si="3658"/>
        <v/>
      </c>
      <c r="FQ235" s="72" t="str">
        <f t="shared" si="3659"/>
        <v/>
      </c>
      <c r="FR235" s="72" t="str">
        <f t="shared" si="3660"/>
        <v/>
      </c>
      <c r="FS235" s="72" t="str">
        <f t="shared" si="3661"/>
        <v/>
      </c>
    </row>
    <row r="236" spans="1:175" ht="15">
      <c r="A236" s="81"/>
      <c r="B236" s="82" t="s">
        <v>814</v>
      </c>
      <c r="C236" s="127" t="s">
        <v>815</v>
      </c>
      <c r="T236" s="139" t="s">
        <v>816</v>
      </c>
      <c r="U236" s="88" t="str">
        <f t="shared" si="3589"/>
        <v>ReplaceableTextures\\CommandButtons\\BTNIB08.blp</v>
      </c>
      <c r="CN236" s="70" t="str">
        <f t="shared" si="3662"/>
        <v>InitUnitState('IB08',,,,,,,,,,)</v>
      </c>
      <c r="CO236" s="70" t="str">
        <f t="shared" si="3663"/>
        <v>InitUnitNormal('IB08',,,,,,,,,,)</v>
      </c>
      <c r="CP236" s="70" t="str">
        <f t="shared" si="3664"/>
        <v>InitUnitMagic('IB08',,,,,,,,,,)</v>
      </c>
      <c r="CQ236" s="70" t="str">
        <f t="shared" si="3665"/>
        <v>InitUnitAdd('IB08',,,,,,,,,,)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261&amp;CR$1&amp;")"</f>
        <v>InitEquipData('IB08',,"",,,,,'','','','','','',"")</v>
      </c>
      <c r="CU236" s="98" t="str">
        <f t="shared" si="3590"/>
        <v>|n</v>
      </c>
      <c r="CV236" s="71" t="str">
        <f t="shared" si="3591"/>
        <v>|cff99ccff游戏中输入《|r|cff33ff00魔芝RPG|r|cff99ccff》领取本礼包！|r|n|n|r奖励：|n|cffffcc00练功房怪物数量+1|r</v>
      </c>
      <c r="CW236" s="61"/>
      <c r="CX236" s="61"/>
      <c r="CY236" s="61"/>
      <c r="CZ236" s="61"/>
      <c r="DA236" s="61"/>
      <c r="DB236" s="72" t="str">
        <f t="shared" si="3592"/>
        <v/>
      </c>
      <c r="DC236" s="72" t="str">
        <f t="shared" si="3593"/>
        <v/>
      </c>
      <c r="DD236" s="72" t="str">
        <f t="shared" si="3594"/>
        <v/>
      </c>
      <c r="DE236" s="72" t="str">
        <f t="shared" si="3595"/>
        <v/>
      </c>
      <c r="DF236" s="72" t="str">
        <f t="shared" si="3596"/>
        <v/>
      </c>
      <c r="DG236" s="72" t="str">
        <f t="shared" si="3597"/>
        <v/>
      </c>
      <c r="DH236" s="72" t="str">
        <f t="shared" si="3598"/>
        <v/>
      </c>
      <c r="DI236" s="72" t="str">
        <f t="shared" si="3599"/>
        <v/>
      </c>
      <c r="DJ236" s="72" t="str">
        <f t="shared" si="3600"/>
        <v/>
      </c>
      <c r="DK236" s="72" t="str">
        <f t="shared" si="3601"/>
        <v/>
      </c>
      <c r="DL236" s="72" t="str">
        <f t="shared" si="3602"/>
        <v/>
      </c>
      <c r="DM236" s="72" t="str">
        <f t="shared" si="3603"/>
        <v/>
      </c>
      <c r="DN236" s="72" t="str">
        <f t="shared" si="3604"/>
        <v/>
      </c>
      <c r="DO236" s="72" t="str">
        <f t="shared" si="3605"/>
        <v/>
      </c>
      <c r="DP236" s="72" t="str">
        <f t="shared" si="3606"/>
        <v/>
      </c>
      <c r="DQ236" s="72" t="str">
        <f t="shared" si="3607"/>
        <v/>
      </c>
      <c r="DR236" s="72" t="str">
        <f t="shared" si="3608"/>
        <v/>
      </c>
      <c r="DS236" s="72" t="str">
        <f t="shared" si="3609"/>
        <v/>
      </c>
      <c r="DT236" s="72" t="str">
        <f t="shared" si="3610"/>
        <v/>
      </c>
      <c r="DU236" s="72" t="str">
        <f t="shared" si="3611"/>
        <v/>
      </c>
      <c r="DV236" s="72" t="str">
        <f t="shared" si="3612"/>
        <v/>
      </c>
      <c r="DW236" s="72" t="str">
        <f t="shared" si="3613"/>
        <v/>
      </c>
      <c r="DX236" s="72" t="str">
        <f t="shared" si="3614"/>
        <v/>
      </c>
      <c r="DY236" s="72" t="str">
        <f t="shared" si="3615"/>
        <v/>
      </c>
      <c r="DZ236" s="72" t="str">
        <f t="shared" si="3616"/>
        <v/>
      </c>
      <c r="EA236" s="72" t="str">
        <f t="shared" si="3617"/>
        <v/>
      </c>
      <c r="EB236" s="72" t="str">
        <f t="shared" si="3618"/>
        <v/>
      </c>
      <c r="EC236" s="72" t="str">
        <f t="shared" si="3619"/>
        <v/>
      </c>
      <c r="ED236" s="72" t="str">
        <f t="shared" si="3620"/>
        <v/>
      </c>
      <c r="EE236" s="72" t="str">
        <f t="shared" si="3621"/>
        <v/>
      </c>
      <c r="EF236" s="72" t="str">
        <f t="shared" si="3622"/>
        <v/>
      </c>
      <c r="EG236" s="72" t="str">
        <f t="shared" si="3623"/>
        <v/>
      </c>
      <c r="EH236" s="72" t="str">
        <f t="shared" si="3624"/>
        <v/>
      </c>
      <c r="EI236" s="72" t="str">
        <f t="shared" si="3625"/>
        <v/>
      </c>
      <c r="EJ236" s="72" t="str">
        <f t="shared" si="3626"/>
        <v/>
      </c>
      <c r="EK236" s="72" t="str">
        <f t="shared" si="3627"/>
        <v/>
      </c>
      <c r="EL236" s="72" t="str">
        <f t="shared" si="3628"/>
        <v/>
      </c>
      <c r="EM236" s="72" t="str">
        <f t="shared" si="3629"/>
        <v/>
      </c>
      <c r="EN236" s="72" t="str">
        <f t="shared" si="3630"/>
        <v/>
      </c>
      <c r="EO236" s="72" t="str">
        <f t="shared" si="3631"/>
        <v/>
      </c>
      <c r="EP236" s="72" t="str">
        <f t="shared" si="3632"/>
        <v/>
      </c>
      <c r="EQ236" s="72" t="str">
        <f t="shared" si="3633"/>
        <v/>
      </c>
      <c r="ER236" s="72" t="str">
        <f t="shared" si="3634"/>
        <v/>
      </c>
      <c r="ES236" s="72" t="str">
        <f t="shared" si="3635"/>
        <v/>
      </c>
      <c r="ET236" s="72" t="str">
        <f t="shared" si="3636"/>
        <v/>
      </c>
      <c r="EU236" s="72" t="str">
        <f t="shared" si="3637"/>
        <v/>
      </c>
      <c r="EV236" s="72" t="str">
        <f t="shared" si="3638"/>
        <v/>
      </c>
      <c r="EW236" s="72" t="str">
        <f t="shared" si="3639"/>
        <v/>
      </c>
      <c r="EX236" s="72" t="str">
        <f t="shared" si="3640"/>
        <v/>
      </c>
      <c r="EY236" s="72" t="str">
        <f t="shared" si="3641"/>
        <v/>
      </c>
      <c r="EZ236" s="72" t="str">
        <f t="shared" si="3642"/>
        <v/>
      </c>
      <c r="FA236" s="72" t="str">
        <f t="shared" si="3643"/>
        <v/>
      </c>
      <c r="FB236" s="72" t="str">
        <f t="shared" si="3644"/>
        <v/>
      </c>
      <c r="FC236" s="72" t="str">
        <f t="shared" si="3645"/>
        <v/>
      </c>
      <c r="FD236" s="72" t="str">
        <f t="shared" si="3646"/>
        <v/>
      </c>
      <c r="FE236" s="72" t="str">
        <f t="shared" si="3647"/>
        <v/>
      </c>
      <c r="FF236" s="72" t="str">
        <f t="shared" si="3648"/>
        <v/>
      </c>
      <c r="FG236" s="72" t="str">
        <f t="shared" si="3649"/>
        <v/>
      </c>
      <c r="FH236" s="72" t="str">
        <f t="shared" si="3650"/>
        <v/>
      </c>
      <c r="FI236" s="72" t="str">
        <f t="shared" si="3651"/>
        <v/>
      </c>
      <c r="FJ236" s="72" t="str">
        <f t="shared" si="3652"/>
        <v/>
      </c>
      <c r="FK236" s="72" t="str">
        <f t="shared" si="3653"/>
        <v/>
      </c>
      <c r="FL236" s="72" t="str">
        <f t="shared" si="3654"/>
        <v/>
      </c>
      <c r="FM236" s="72" t="str">
        <f t="shared" si="3655"/>
        <v/>
      </c>
      <c r="FN236" s="72" t="str">
        <f t="shared" si="3656"/>
        <v/>
      </c>
      <c r="FO236" s="72" t="str">
        <f t="shared" si="3657"/>
        <v/>
      </c>
      <c r="FP236" s="72" t="str">
        <f t="shared" si="3658"/>
        <v/>
      </c>
      <c r="FQ236" s="72" t="str">
        <f t="shared" si="3659"/>
        <v/>
      </c>
      <c r="FR236" s="72" t="str">
        <f t="shared" si="3660"/>
        <v/>
      </c>
      <c r="FS236" s="72" t="str">
        <f t="shared" si="3661"/>
        <v/>
      </c>
    </row>
    <row r="237" spans="1:175" ht="14.4">
      <c r="A237" s="81"/>
      <c r="B237" s="82" t="s">
        <v>817</v>
      </c>
      <c r="C237" s="127" t="s">
        <v>818</v>
      </c>
      <c r="T237" s="140"/>
      <c r="U237" s="88" t="str">
        <f t="shared" si="3589"/>
        <v>ReplaceableTextures\\CommandButtons\\BTNIB09.blp</v>
      </c>
      <c r="CN237" s="70" t="str">
        <f t="shared" si="3662"/>
        <v>InitUnitState('IB09',,,,,,,,,,)</v>
      </c>
      <c r="CO237" s="70" t="str">
        <f t="shared" si="3663"/>
        <v>InitUnitNormal('IB09',,,,,,,,,,)</v>
      </c>
      <c r="CP237" s="70" t="str">
        <f t="shared" si="3664"/>
        <v>InitUnitMagic('IB09',,,,,,,,,,)</v>
      </c>
      <c r="CQ237" s="70" t="str">
        <f t="shared" si="3665"/>
        <v>InitUnitAdd('IB09',,,,,,,,,,)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262&amp;CR$1&amp;")"</f>
        <v>InitEquipData('IB09',,"",,,,,'','','','','','',"")</v>
      </c>
      <c r="CU237" s="98" t="str">
        <f t="shared" si="3590"/>
        <v>|n</v>
      </c>
      <c r="CV237" s="71">
        <f t="shared" si="3591"/>
        <v>0</v>
      </c>
      <c r="CW237" s="61"/>
      <c r="CX237" s="61"/>
      <c r="CY237" s="61"/>
      <c r="CZ237" s="61"/>
      <c r="DA237" s="61"/>
      <c r="DB237" s="72" t="str">
        <f t="shared" ref="DB237:FM238" si="3666">IF(V237="","","|n"&amp;DB$2&amp;"+"&amp;V237&amp;DB$1)</f>
        <v/>
      </c>
      <c r="DC237" s="72" t="str">
        <f t="shared" si="3666"/>
        <v/>
      </c>
      <c r="DD237" s="72" t="str">
        <f t="shared" si="3666"/>
        <v/>
      </c>
      <c r="DE237" s="72" t="str">
        <f t="shared" si="3666"/>
        <v/>
      </c>
      <c r="DF237" s="72" t="str">
        <f t="shared" si="3666"/>
        <v/>
      </c>
      <c r="DG237" s="72" t="str">
        <f t="shared" si="3666"/>
        <v/>
      </c>
      <c r="DH237" s="72" t="str">
        <f t="shared" si="3666"/>
        <v/>
      </c>
      <c r="DI237" s="72" t="str">
        <f t="shared" si="3666"/>
        <v/>
      </c>
      <c r="DJ237" s="72" t="str">
        <f t="shared" si="3666"/>
        <v/>
      </c>
      <c r="DK237" s="72" t="str">
        <f t="shared" si="3666"/>
        <v/>
      </c>
      <c r="DL237" s="72" t="str">
        <f t="shared" si="3666"/>
        <v/>
      </c>
      <c r="DM237" s="72" t="str">
        <f t="shared" si="3666"/>
        <v/>
      </c>
      <c r="DN237" s="72" t="str">
        <f t="shared" si="3666"/>
        <v/>
      </c>
      <c r="DO237" s="72" t="str">
        <f t="shared" si="3666"/>
        <v/>
      </c>
      <c r="DP237" s="72" t="str">
        <f t="shared" si="3666"/>
        <v/>
      </c>
      <c r="DQ237" s="72" t="str">
        <f t="shared" si="3666"/>
        <v/>
      </c>
      <c r="DR237" s="72" t="str">
        <f t="shared" si="3666"/>
        <v/>
      </c>
      <c r="DS237" s="72" t="str">
        <f t="shared" si="3666"/>
        <v/>
      </c>
      <c r="DT237" s="72" t="str">
        <f t="shared" si="3666"/>
        <v/>
      </c>
      <c r="DU237" s="72" t="str">
        <f t="shared" si="3666"/>
        <v/>
      </c>
      <c r="DV237" s="72" t="str">
        <f t="shared" si="3666"/>
        <v/>
      </c>
      <c r="DW237" s="72" t="str">
        <f t="shared" si="3666"/>
        <v/>
      </c>
      <c r="DX237" s="72" t="str">
        <f t="shared" si="3666"/>
        <v/>
      </c>
      <c r="DY237" s="72" t="str">
        <f t="shared" si="3666"/>
        <v/>
      </c>
      <c r="DZ237" s="72" t="str">
        <f t="shared" si="3666"/>
        <v/>
      </c>
      <c r="EA237" s="72" t="str">
        <f t="shared" si="3666"/>
        <v/>
      </c>
      <c r="EB237" s="72" t="str">
        <f t="shared" si="3666"/>
        <v/>
      </c>
      <c r="EC237" s="72" t="str">
        <f t="shared" si="3666"/>
        <v/>
      </c>
      <c r="ED237" s="72" t="str">
        <f t="shared" si="3666"/>
        <v/>
      </c>
      <c r="EE237" s="72" t="str">
        <f t="shared" si="3666"/>
        <v/>
      </c>
      <c r="EF237" s="72" t="str">
        <f t="shared" si="3666"/>
        <v/>
      </c>
      <c r="EG237" s="72" t="str">
        <f t="shared" si="3666"/>
        <v/>
      </c>
      <c r="EH237" s="72" t="str">
        <f t="shared" si="3666"/>
        <v/>
      </c>
      <c r="EI237" s="72" t="str">
        <f t="shared" si="3666"/>
        <v/>
      </c>
      <c r="EJ237" s="72" t="str">
        <f t="shared" si="3666"/>
        <v/>
      </c>
      <c r="EK237" s="72" t="str">
        <f t="shared" si="3666"/>
        <v/>
      </c>
      <c r="EL237" s="72" t="str">
        <f t="shared" si="3666"/>
        <v/>
      </c>
      <c r="EM237" s="72" t="str">
        <f t="shared" si="3666"/>
        <v/>
      </c>
      <c r="EN237" s="72" t="str">
        <f t="shared" si="3666"/>
        <v/>
      </c>
      <c r="EO237" s="72" t="str">
        <f t="shared" si="3666"/>
        <v/>
      </c>
      <c r="EP237" s="72" t="str">
        <f t="shared" si="3666"/>
        <v/>
      </c>
      <c r="EQ237" s="72" t="str">
        <f t="shared" si="3666"/>
        <v/>
      </c>
      <c r="ER237" s="72" t="str">
        <f t="shared" si="3666"/>
        <v/>
      </c>
      <c r="ES237" s="72" t="str">
        <f t="shared" si="3666"/>
        <v/>
      </c>
      <c r="ET237" s="72" t="str">
        <f t="shared" si="3666"/>
        <v/>
      </c>
      <c r="EU237" s="72" t="str">
        <f t="shared" si="3666"/>
        <v/>
      </c>
      <c r="EV237" s="72" t="str">
        <f t="shared" si="3666"/>
        <v/>
      </c>
      <c r="EW237" s="72" t="str">
        <f t="shared" si="3666"/>
        <v/>
      </c>
      <c r="EX237" s="72" t="str">
        <f t="shared" si="3666"/>
        <v/>
      </c>
      <c r="EY237" s="72" t="str">
        <f t="shared" si="3666"/>
        <v/>
      </c>
      <c r="EZ237" s="72" t="str">
        <f t="shared" si="3666"/>
        <v/>
      </c>
      <c r="FA237" s="72" t="str">
        <f t="shared" si="3666"/>
        <v/>
      </c>
      <c r="FB237" s="72" t="str">
        <f t="shared" si="3666"/>
        <v/>
      </c>
      <c r="FC237" s="72" t="str">
        <f t="shared" si="3666"/>
        <v/>
      </c>
      <c r="FD237" s="72" t="str">
        <f t="shared" si="3666"/>
        <v/>
      </c>
      <c r="FE237" s="72" t="str">
        <f t="shared" si="3666"/>
        <v/>
      </c>
      <c r="FF237" s="72" t="str">
        <f t="shared" si="3666"/>
        <v/>
      </c>
      <c r="FG237" s="72" t="str">
        <f t="shared" si="3666"/>
        <v/>
      </c>
      <c r="FH237" s="72" t="str">
        <f t="shared" si="3666"/>
        <v/>
      </c>
      <c r="FI237" s="72" t="str">
        <f t="shared" si="3666"/>
        <v/>
      </c>
      <c r="FJ237" s="72" t="str">
        <f t="shared" si="3666"/>
        <v/>
      </c>
      <c r="FK237" s="72" t="str">
        <f t="shared" si="3666"/>
        <v/>
      </c>
      <c r="FL237" s="72" t="str">
        <f t="shared" si="3666"/>
        <v/>
      </c>
      <c r="FM237" s="72" t="str">
        <f t="shared" si="3666"/>
        <v/>
      </c>
      <c r="FN237" s="72" t="str">
        <f t="shared" ref="FN237:FS238" si="3667">IF(CH237="","","|n"&amp;FN$2&amp;"+"&amp;CH237&amp;FN$1)</f>
        <v/>
      </c>
      <c r="FO237" s="72" t="str">
        <f t="shared" si="3667"/>
        <v/>
      </c>
      <c r="FP237" s="72" t="str">
        <f t="shared" si="3667"/>
        <v/>
      </c>
      <c r="FQ237" s="72" t="str">
        <f t="shared" si="3667"/>
        <v/>
      </c>
      <c r="FR237" s="72" t="str">
        <f t="shared" si="3667"/>
        <v/>
      </c>
      <c r="FS237" s="72" t="str">
        <f t="shared" si="3667"/>
        <v/>
      </c>
    </row>
    <row r="238" spans="1:175" ht="15">
      <c r="A238" s="81"/>
      <c r="B238" s="128" t="s">
        <v>819</v>
      </c>
      <c r="C238" s="127" t="str">
        <f>"已领取"&amp;C228</f>
        <v>已领取星耀福利</v>
      </c>
      <c r="T238" s="139" t="str">
        <f>T228&amp;"|N|N|cff00ff00已领取该礼包"</f>
        <v>|cffffcc33平台名称带有“星耀”开局自动激活！|n|n|r奖励：|n|cffffcc00每秒金币+1|n每秒攻击+1|n每秒生命+5|r|N|N|cff00ff00已领取该礼包</v>
      </c>
      <c r="U238" s="81" t="s">
        <v>820</v>
      </c>
      <c r="CN238" s="70" t="str">
        <f t="shared" ref="CN238" si="3668">"InitUnitState('"&amp;B238&amp;"',"&amp;V238&amp;","&amp;W238&amp;","&amp;X238&amp;","&amp;Y238&amp;","&amp;Z238&amp;","&amp;AA238&amp;","&amp;AB238&amp;","&amp;AC238&amp;","&amp;AD238&amp;","&amp;AE238&amp;")"</f>
        <v>InitUnitState('IB50',,,,,,,,,,)</v>
      </c>
      <c r="CO238" s="70" t="str">
        <f t="shared" ref="CO238" si="3669">"InitUnitNormal('"&amp;B238&amp;"',"&amp;AF238&amp;","&amp;AG238&amp;","&amp;AH238&amp;","&amp;AI238&amp;","&amp;AJ238&amp;","&amp;AK238&amp;","&amp;AL238&amp;","&amp;AM238&amp;","&amp;AN238&amp;","&amp;AO238&amp;")"</f>
        <v>InitUnitNormal('IB50',,,,,,,,,,)</v>
      </c>
      <c r="CP238" s="70" t="str">
        <f t="shared" ref="CP238" si="3670">"InitUnitMagic('"&amp;B238&amp;"',"&amp;AP238&amp;","&amp;AQ238&amp;","&amp;AR238&amp;","&amp;AS238&amp;","&amp;AT238&amp;","&amp;AU238&amp;","&amp;AV238&amp;","&amp;AW238&amp;","&amp;BI238&amp;","&amp;BJ238&amp;")"</f>
        <v>InitUnitMagic('IB50',,,,,,,,,,)</v>
      </c>
      <c r="CQ238" s="70" t="str">
        <f t="shared" ref="CQ238" si="3671">"InitUnitAdd('"&amp;B238&amp;"',"&amp;BK238&amp;","&amp;BL238&amp;","&amp;BM238&amp;","&amp;BN238&amp;","&amp;BO238&amp;","&amp;BP238&amp;","&amp;BQ238&amp;","&amp;BR238&amp;","&amp;BS238&amp;","&amp;BT238&amp;")"</f>
        <v>InitUnitAdd('IB50',,,,,,,,,,)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InitEquipData('IB50',,"",,,,,'','','','','','',"ReplaceableTextures\\commandButtons\\BTNLBUI01.blp")</v>
      </c>
      <c r="CU238" s="98" t="str">
        <f t="shared" si="3590"/>
        <v>|n</v>
      </c>
      <c r="CV238" s="71" t="str">
        <f t="shared" si="3591"/>
        <v>|cffffcc33平台名称带有“星耀”开局自动激活！|n|n|r奖励：|n|cffffcc00每秒金币+1|n每秒攻击+1|n每秒生命+5|r|N|N|cff00ff00已领取该礼包</v>
      </c>
      <c r="CW238" s="61"/>
      <c r="CX238" s="61"/>
      <c r="CY238" s="61"/>
      <c r="CZ238" s="61"/>
      <c r="DA238" s="61"/>
      <c r="DB238" s="72" t="str">
        <f t="shared" si="3666"/>
        <v/>
      </c>
      <c r="DC238" s="72" t="str">
        <f t="shared" si="3666"/>
        <v/>
      </c>
      <c r="DD238" s="72" t="str">
        <f t="shared" si="3666"/>
        <v/>
      </c>
      <c r="DE238" s="72" t="str">
        <f t="shared" si="3666"/>
        <v/>
      </c>
      <c r="DF238" s="72" t="str">
        <f t="shared" si="3666"/>
        <v/>
      </c>
      <c r="DG238" s="72" t="str">
        <f t="shared" si="3666"/>
        <v/>
      </c>
      <c r="DH238" s="72" t="str">
        <f t="shared" si="3666"/>
        <v/>
      </c>
      <c r="DI238" s="72" t="str">
        <f t="shared" si="3666"/>
        <v/>
      </c>
      <c r="DJ238" s="72" t="str">
        <f t="shared" si="3666"/>
        <v/>
      </c>
      <c r="DK238" s="72" t="str">
        <f t="shared" si="3666"/>
        <v/>
      </c>
      <c r="DL238" s="72" t="str">
        <f t="shared" si="3666"/>
        <v/>
      </c>
      <c r="DM238" s="72" t="str">
        <f t="shared" si="3666"/>
        <v/>
      </c>
      <c r="DN238" s="72" t="str">
        <f t="shared" si="3666"/>
        <v/>
      </c>
      <c r="DO238" s="72" t="str">
        <f t="shared" si="3666"/>
        <v/>
      </c>
      <c r="DP238" s="72" t="str">
        <f t="shared" si="3666"/>
        <v/>
      </c>
      <c r="DQ238" s="72" t="str">
        <f t="shared" si="3666"/>
        <v/>
      </c>
      <c r="DR238" s="72" t="str">
        <f t="shared" si="3666"/>
        <v/>
      </c>
      <c r="DS238" s="72" t="str">
        <f t="shared" si="3666"/>
        <v/>
      </c>
      <c r="DT238" s="72" t="str">
        <f t="shared" si="3666"/>
        <v/>
      </c>
      <c r="DU238" s="72" t="str">
        <f t="shared" si="3666"/>
        <v/>
      </c>
      <c r="DV238" s="72" t="str">
        <f t="shared" si="3666"/>
        <v/>
      </c>
      <c r="DW238" s="72" t="str">
        <f t="shared" si="3666"/>
        <v/>
      </c>
      <c r="DX238" s="72" t="str">
        <f t="shared" si="3666"/>
        <v/>
      </c>
      <c r="DY238" s="72" t="str">
        <f t="shared" si="3666"/>
        <v/>
      </c>
      <c r="DZ238" s="72" t="str">
        <f t="shared" si="3666"/>
        <v/>
      </c>
      <c r="EA238" s="72" t="str">
        <f t="shared" si="3666"/>
        <v/>
      </c>
      <c r="EB238" s="72" t="str">
        <f t="shared" si="3666"/>
        <v/>
      </c>
      <c r="EC238" s="72" t="str">
        <f t="shared" si="3666"/>
        <v/>
      </c>
      <c r="ED238" s="72" t="str">
        <f t="shared" si="3666"/>
        <v/>
      </c>
      <c r="EE238" s="72" t="str">
        <f t="shared" si="3666"/>
        <v/>
      </c>
      <c r="EF238" s="72" t="str">
        <f t="shared" si="3666"/>
        <v/>
      </c>
      <c r="EG238" s="72" t="str">
        <f t="shared" si="3666"/>
        <v/>
      </c>
      <c r="EH238" s="72" t="str">
        <f t="shared" si="3666"/>
        <v/>
      </c>
      <c r="EI238" s="72" t="str">
        <f t="shared" si="3666"/>
        <v/>
      </c>
      <c r="EJ238" s="72" t="str">
        <f t="shared" si="3666"/>
        <v/>
      </c>
      <c r="EK238" s="72" t="str">
        <f t="shared" si="3666"/>
        <v/>
      </c>
      <c r="EL238" s="72" t="str">
        <f t="shared" si="3666"/>
        <v/>
      </c>
      <c r="EM238" s="72" t="str">
        <f t="shared" si="3666"/>
        <v/>
      </c>
      <c r="EN238" s="72" t="str">
        <f t="shared" si="3666"/>
        <v/>
      </c>
      <c r="EO238" s="72" t="str">
        <f t="shared" si="3666"/>
        <v/>
      </c>
      <c r="EP238" s="72" t="str">
        <f t="shared" si="3666"/>
        <v/>
      </c>
      <c r="EQ238" s="72" t="str">
        <f t="shared" si="3666"/>
        <v/>
      </c>
      <c r="ER238" s="72" t="str">
        <f t="shared" si="3666"/>
        <v/>
      </c>
      <c r="ES238" s="72" t="str">
        <f t="shared" si="3666"/>
        <v/>
      </c>
      <c r="ET238" s="72" t="str">
        <f t="shared" si="3666"/>
        <v/>
      </c>
      <c r="EU238" s="72" t="str">
        <f t="shared" si="3666"/>
        <v/>
      </c>
      <c r="EV238" s="72" t="str">
        <f t="shared" si="3666"/>
        <v/>
      </c>
      <c r="EW238" s="72" t="str">
        <f t="shared" si="3666"/>
        <v/>
      </c>
      <c r="EX238" s="72" t="str">
        <f t="shared" si="3666"/>
        <v/>
      </c>
      <c r="EY238" s="72" t="str">
        <f t="shared" si="3666"/>
        <v/>
      </c>
      <c r="EZ238" s="72" t="str">
        <f t="shared" si="3666"/>
        <v/>
      </c>
      <c r="FA238" s="72" t="str">
        <f t="shared" si="3666"/>
        <v/>
      </c>
      <c r="FB238" s="72" t="str">
        <f t="shared" si="3666"/>
        <v/>
      </c>
      <c r="FC238" s="72" t="str">
        <f t="shared" si="3666"/>
        <v/>
      </c>
      <c r="FD238" s="72" t="str">
        <f t="shared" si="3666"/>
        <v/>
      </c>
      <c r="FE238" s="72" t="str">
        <f t="shared" si="3666"/>
        <v/>
      </c>
      <c r="FF238" s="72" t="str">
        <f t="shared" si="3666"/>
        <v/>
      </c>
      <c r="FG238" s="72" t="str">
        <f t="shared" si="3666"/>
        <v/>
      </c>
      <c r="FH238" s="72" t="str">
        <f t="shared" si="3666"/>
        <v/>
      </c>
      <c r="FI238" s="72" t="str">
        <f t="shared" si="3666"/>
        <v/>
      </c>
      <c r="FJ238" s="72" t="str">
        <f t="shared" si="3666"/>
        <v/>
      </c>
      <c r="FK238" s="72" t="str">
        <f t="shared" si="3666"/>
        <v/>
      </c>
      <c r="FL238" s="72" t="str">
        <f t="shared" si="3666"/>
        <v/>
      </c>
      <c r="FM238" s="72" t="str">
        <f t="shared" si="3666"/>
        <v/>
      </c>
      <c r="FN238" s="72" t="str">
        <f t="shared" si="3667"/>
        <v/>
      </c>
      <c r="FO238" s="72" t="str">
        <f t="shared" si="3667"/>
        <v/>
      </c>
      <c r="FP238" s="72" t="str">
        <f t="shared" si="3667"/>
        <v/>
      </c>
      <c r="FQ238" s="72" t="str">
        <f t="shared" si="3667"/>
        <v/>
      </c>
      <c r="FR238" s="72" t="str">
        <f t="shared" si="3667"/>
        <v/>
      </c>
      <c r="FS238" s="72" t="str">
        <f t="shared" si="3667"/>
        <v/>
      </c>
    </row>
    <row r="239" spans="1:175" ht="15">
      <c r="A239" s="81"/>
      <c r="B239" s="129" t="s">
        <v>821</v>
      </c>
      <c r="C239" s="127" t="str">
        <f>"已领取"&amp;C229</f>
        <v>已领取公众号礼包</v>
      </c>
      <c r="T239" s="139" t="str">
        <f>T229&amp;"|N|N|cff00ff00已领取该礼包"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39" s="81" t="s">
        <v>820</v>
      </c>
      <c r="CN239" s="70" t="str">
        <f t="shared" si="3662"/>
        <v>InitUnitState('IB51',,,,,,,,,,)</v>
      </c>
      <c r="CO239" s="70" t="str">
        <f t="shared" si="3663"/>
        <v>InitUnitNormal('IB51',,,,,,,,,,)</v>
      </c>
      <c r="CP239" s="70" t="str">
        <f t="shared" si="3664"/>
        <v>InitUnitMagic('IB51',,,,,,,,,,)</v>
      </c>
      <c r="CQ239" s="70" t="str">
        <f t="shared" si="3665"/>
        <v>InitUnitAdd('IB51',,,,,,,,,,)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InitEquipData('IB51',,"",,,,,'','','','','','',"ReplaceableTextures\\commandButtons\\BTNLBUI01.blp")</v>
      </c>
      <c r="CU239" s="98" t="str">
        <f t="shared" ref="CU239:CU247" si="3672">CONCATENATE(DB239,DC239,DD239,DE239,DF239,DG239,DH239,DI239,DJ239,DK239,DL239,DM239,DN239,DO239,DP239,DQ239,DR239,DS239,DT239,DU239,DV239,DW239,DX239,DY239,DZ239,EA239,EB239,EC239,ED239,EE239,EF239,EG239,EH239,EI239,EJ239,EK239,EL239,EM239,EN239,EO239,EP239&amp;"|n")</f>
        <v>|n</v>
      </c>
      <c r="CV239" s="71" t="str">
        <f t="shared" ref="CV239:CV252" si="3673">T239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39" s="61"/>
      <c r="CX239" s="61"/>
      <c r="CY239" s="61"/>
      <c r="CZ239" s="61"/>
      <c r="DA239" s="61"/>
      <c r="DB239" s="72" t="str">
        <f t="shared" ref="DB239:DB245" si="3674">IF(V239="","","|n"&amp;DB$2&amp;"+"&amp;V239&amp;DB$1)</f>
        <v/>
      </c>
      <c r="DC239" s="72" t="str">
        <f t="shared" ref="DC239:DC245" si="3675">IF(W239="","","|n"&amp;DC$2&amp;"+"&amp;W239&amp;DC$1)</f>
        <v/>
      </c>
      <c r="DD239" s="72" t="str">
        <f t="shared" ref="DD239:DD245" si="3676">IF(X239="","","|n"&amp;DD$2&amp;"+"&amp;X239&amp;DD$1)</f>
        <v/>
      </c>
      <c r="DE239" s="72" t="str">
        <f t="shared" ref="DE239:DE245" si="3677">IF(Y239="","","|n"&amp;DE$2&amp;"+"&amp;Y239&amp;DE$1)</f>
        <v/>
      </c>
      <c r="DF239" s="72" t="str">
        <f t="shared" ref="DF239:DF245" si="3678">IF(Z239="","","|n"&amp;DF$2&amp;"+"&amp;Z239&amp;DF$1)</f>
        <v/>
      </c>
      <c r="DG239" s="72" t="str">
        <f t="shared" ref="DG239:DG245" si="3679">IF(AA239="","","|n"&amp;DG$2&amp;"+"&amp;AA239&amp;DG$1)</f>
        <v/>
      </c>
      <c r="DH239" s="72" t="str">
        <f t="shared" ref="DH239:DH245" si="3680">IF(AB239="","","|n"&amp;DH$2&amp;"+"&amp;AB239&amp;DH$1)</f>
        <v/>
      </c>
      <c r="DI239" s="72" t="str">
        <f t="shared" ref="DI239:DI245" si="3681">IF(AC239="","","|n"&amp;DI$2&amp;"+"&amp;AC239&amp;DI$1)</f>
        <v/>
      </c>
      <c r="DJ239" s="72" t="str">
        <f t="shared" ref="DJ239:DJ245" si="3682">IF(AD239="","","|n"&amp;DJ$2&amp;"+"&amp;AD239&amp;DJ$1)</f>
        <v/>
      </c>
      <c r="DK239" s="72" t="str">
        <f t="shared" ref="DK239:DK245" si="3683">IF(AE239="","","|n"&amp;DK$2&amp;"+"&amp;AE239&amp;DK$1)</f>
        <v/>
      </c>
      <c r="DL239" s="72" t="str">
        <f t="shared" ref="DL239:DL245" si="3684">IF(AF239="","","|n"&amp;DL$2&amp;"+"&amp;AF239&amp;DL$1)</f>
        <v/>
      </c>
      <c r="DM239" s="72" t="str">
        <f t="shared" ref="DM239:DM245" si="3685">IF(AG239="","","|n"&amp;DM$2&amp;"+"&amp;AG239&amp;DM$1)</f>
        <v/>
      </c>
      <c r="DN239" s="72" t="str">
        <f t="shared" ref="DN239:DN245" si="3686">IF(AH239="","","|n"&amp;DN$2&amp;"+"&amp;AH239&amp;DN$1)</f>
        <v/>
      </c>
      <c r="DO239" s="72" t="str">
        <f t="shared" ref="DO239:DO245" si="3687">IF(AI239="","","|n"&amp;DO$2&amp;"+"&amp;AI239&amp;DO$1)</f>
        <v/>
      </c>
      <c r="DP239" s="72" t="str">
        <f t="shared" ref="DP239:DP245" si="3688">IF(AJ239="","","|n"&amp;DP$2&amp;"+"&amp;AJ239&amp;DP$1)</f>
        <v/>
      </c>
      <c r="DQ239" s="72" t="str">
        <f t="shared" ref="DQ239:DQ245" si="3689">IF(AK239="","","|n"&amp;DQ$2&amp;"+"&amp;AK239&amp;DQ$1)</f>
        <v/>
      </c>
      <c r="DR239" s="72" t="str">
        <f t="shared" ref="DR239:DR245" si="3690">IF(AL239="","","|n"&amp;DR$2&amp;"+"&amp;AL239&amp;DR$1)</f>
        <v/>
      </c>
      <c r="DS239" s="72" t="str">
        <f t="shared" ref="DS239:DS245" si="3691">IF(AM239="","","|n"&amp;DS$2&amp;"+"&amp;AM239&amp;DS$1)</f>
        <v/>
      </c>
      <c r="DT239" s="72" t="str">
        <f t="shared" ref="DT239:DT245" si="3692">IF(AN239="","","|n"&amp;DT$2&amp;"+"&amp;AN239&amp;DT$1)</f>
        <v/>
      </c>
      <c r="DU239" s="72" t="str">
        <f t="shared" ref="DU239:DU245" si="3693">IF(AO239="","","|n"&amp;DU$2&amp;"+"&amp;AO239&amp;DU$1)</f>
        <v/>
      </c>
      <c r="DV239" s="72" t="str">
        <f t="shared" ref="DV239:DV245" si="3694">IF(AP239="","","|n"&amp;DV$2&amp;"+"&amp;AP239&amp;DV$1)</f>
        <v/>
      </c>
      <c r="DW239" s="72" t="str">
        <f t="shared" ref="DW239:DW245" si="3695">IF(AQ239="","","|n"&amp;DW$2&amp;"+"&amp;AQ239&amp;DW$1)</f>
        <v/>
      </c>
      <c r="DX239" s="72" t="str">
        <f t="shared" ref="DX239:DX245" si="3696">IF(AR239="","","|n"&amp;DX$2&amp;"+"&amp;AR239&amp;DX$1)</f>
        <v/>
      </c>
      <c r="DY239" s="72" t="str">
        <f t="shared" ref="DY239:DY245" si="3697">IF(AS239="","","|n"&amp;DY$2&amp;"+"&amp;AS239&amp;DY$1)</f>
        <v/>
      </c>
      <c r="DZ239" s="72" t="str">
        <f t="shared" ref="DZ239:DZ245" si="3698">IF(AT239="","","|n"&amp;DZ$2&amp;"+"&amp;AT239&amp;DZ$1)</f>
        <v/>
      </c>
      <c r="EA239" s="72" t="str">
        <f t="shared" ref="EA239:EA245" si="3699">IF(AU239="","","|n"&amp;EA$2&amp;"+"&amp;AU239&amp;EA$1)</f>
        <v/>
      </c>
      <c r="EB239" s="72" t="str">
        <f t="shared" ref="EB239:EB245" si="3700">IF(AV239="","","|n"&amp;EB$2&amp;"+"&amp;AV239&amp;EB$1)</f>
        <v/>
      </c>
      <c r="EC239" s="72" t="str">
        <f t="shared" ref="EC239:EC245" si="3701">IF(AW239="","","|n"&amp;EC$2&amp;"+"&amp;AW239&amp;EC$1)</f>
        <v/>
      </c>
      <c r="ED239" s="72" t="str">
        <f t="shared" ref="ED239:ED245" si="3702">IF(AX239="","","|n"&amp;ED$2&amp;"+"&amp;AX239&amp;ED$1)</f>
        <v/>
      </c>
      <c r="EE239" s="72" t="str">
        <f t="shared" ref="EE239:EE245" si="3703">IF(AY239="","","|n"&amp;EE$2&amp;"+"&amp;AY239&amp;EE$1)</f>
        <v/>
      </c>
      <c r="EF239" s="72" t="str">
        <f t="shared" ref="EF239:EF245" si="3704">IF(AZ239="","","|n"&amp;EF$2&amp;"+"&amp;AZ239&amp;EF$1)</f>
        <v/>
      </c>
      <c r="EG239" s="72" t="str">
        <f t="shared" ref="EG239:EG245" si="3705">IF(BA239="","","|n"&amp;EG$2&amp;"+"&amp;BA239&amp;EG$1)</f>
        <v/>
      </c>
      <c r="EH239" s="72" t="str">
        <f t="shared" ref="EH239:EH245" si="3706">IF(BB239="","","|n"&amp;EH$2&amp;"+"&amp;BB239&amp;EH$1)</f>
        <v/>
      </c>
      <c r="EI239" s="72" t="str">
        <f t="shared" ref="EI239:EI245" si="3707">IF(BC239="","","|n"&amp;EI$2&amp;"+"&amp;BC239&amp;EI$1)</f>
        <v/>
      </c>
      <c r="EJ239" s="72" t="str">
        <f t="shared" ref="EJ239:EJ245" si="3708">IF(BD239="","","|n"&amp;EJ$2&amp;"+"&amp;BD239&amp;EJ$1)</f>
        <v/>
      </c>
      <c r="EK239" s="72" t="str">
        <f t="shared" ref="EK239:EK245" si="3709">IF(BE239="","","|n"&amp;EK$2&amp;"+"&amp;BE239&amp;EK$1)</f>
        <v/>
      </c>
      <c r="EL239" s="72" t="str">
        <f t="shared" ref="EL239:EL245" si="3710">IF(BF239="","","|n"&amp;EL$2&amp;"+"&amp;BF239&amp;EL$1)</f>
        <v/>
      </c>
      <c r="EM239" s="72" t="str">
        <f t="shared" ref="EM239:EM245" si="3711">IF(BG239="","","|n"&amp;EM$2&amp;"+"&amp;BG239&amp;EM$1)</f>
        <v/>
      </c>
      <c r="EN239" s="72" t="str">
        <f t="shared" ref="EN239:EN245" si="3712">IF(BH239="","","|n"&amp;EN$2&amp;"+"&amp;BH239&amp;EN$1)</f>
        <v/>
      </c>
      <c r="EO239" s="72" t="str">
        <f t="shared" ref="EO239:EO245" si="3713">IF(BI239="","","|n"&amp;EO$2&amp;"+"&amp;BI239&amp;EO$1)</f>
        <v/>
      </c>
      <c r="EP239" s="72" t="str">
        <f t="shared" ref="EP239:EP245" si="3714">IF(BJ239="","","|n"&amp;EP$2&amp;"+"&amp;BJ239&amp;EP$1)</f>
        <v/>
      </c>
      <c r="EQ239" s="72" t="str">
        <f t="shared" ref="EQ239:EQ245" si="3715">IF(BK239="","","|n"&amp;EQ$2&amp;"+"&amp;BK239&amp;EQ$1)</f>
        <v/>
      </c>
      <c r="ER239" s="72" t="str">
        <f t="shared" ref="ER239:ER245" si="3716">IF(BL239="","","|n"&amp;ER$2&amp;"+"&amp;BL239&amp;ER$1)</f>
        <v/>
      </c>
      <c r="ES239" s="72" t="str">
        <f t="shared" ref="ES239:ES245" si="3717">IF(BM239="","","|n"&amp;ES$2&amp;"+"&amp;BM239&amp;ES$1)</f>
        <v/>
      </c>
      <c r="ET239" s="72" t="str">
        <f t="shared" ref="ET239:ET245" si="3718">IF(BN239="","","|n"&amp;ET$2&amp;"+"&amp;BN239&amp;ET$1)</f>
        <v/>
      </c>
      <c r="EU239" s="72" t="str">
        <f t="shared" ref="EU239:EU245" si="3719">IF(BO239="","","|n"&amp;EU$2&amp;"+"&amp;BO239&amp;EU$1)</f>
        <v/>
      </c>
      <c r="EV239" s="72" t="str">
        <f t="shared" ref="EV239:EV245" si="3720">IF(BP239="","","|n"&amp;EV$2&amp;"+"&amp;BP239&amp;EV$1)</f>
        <v/>
      </c>
      <c r="EW239" s="72" t="str">
        <f t="shared" ref="EW239:EW245" si="3721">IF(BQ239="","","|n"&amp;EW$2&amp;"+"&amp;BQ239&amp;EW$1)</f>
        <v/>
      </c>
      <c r="EX239" s="72" t="str">
        <f t="shared" ref="EX239:EX245" si="3722">IF(BR239="","","|n"&amp;EX$2&amp;"+"&amp;BR239&amp;EX$1)</f>
        <v/>
      </c>
      <c r="EY239" s="72" t="str">
        <f t="shared" ref="EY239:EY245" si="3723">IF(BS239="","","|n"&amp;EY$2&amp;"+"&amp;BS239&amp;EY$1)</f>
        <v/>
      </c>
      <c r="EZ239" s="72" t="str">
        <f t="shared" ref="EZ239:EZ245" si="3724">IF(BT239="","","|n"&amp;EZ$2&amp;"+"&amp;BT239&amp;EZ$1)</f>
        <v/>
      </c>
      <c r="FA239" s="72" t="str">
        <f t="shared" ref="FA239:FA245" si="3725">IF(BU239="","","|n"&amp;FA$2&amp;"+"&amp;BU239&amp;FA$1)</f>
        <v/>
      </c>
      <c r="FB239" s="72" t="str">
        <f t="shared" ref="FB239:FB245" si="3726">IF(BV239="","","|n"&amp;FB$2&amp;"+"&amp;BV239&amp;FB$1)</f>
        <v/>
      </c>
      <c r="FC239" s="72" t="str">
        <f t="shared" ref="FC239:FC245" si="3727">IF(BW239="","","|n"&amp;FC$2&amp;"+"&amp;BW239&amp;FC$1)</f>
        <v/>
      </c>
      <c r="FD239" s="72" t="str">
        <f t="shared" ref="FD239:FD245" si="3728">IF(BX239="","","|n"&amp;FD$2&amp;"+"&amp;BX239&amp;FD$1)</f>
        <v/>
      </c>
      <c r="FE239" s="72" t="str">
        <f t="shared" ref="FE239:FE245" si="3729">IF(BY239="","","|n"&amp;FE$2&amp;"+"&amp;BY239&amp;FE$1)</f>
        <v/>
      </c>
      <c r="FF239" s="72" t="str">
        <f t="shared" ref="FF239:FF245" si="3730">IF(BZ239="","","|n"&amp;FF$2&amp;"+"&amp;BZ239&amp;FF$1)</f>
        <v/>
      </c>
      <c r="FG239" s="72" t="str">
        <f t="shared" ref="FG239:FG245" si="3731">IF(CA239="","","|n"&amp;FG$2&amp;"+"&amp;CA239&amp;FG$1)</f>
        <v/>
      </c>
      <c r="FH239" s="72" t="str">
        <f t="shared" ref="FH239:FH245" si="3732">IF(CB239="","","|n"&amp;FH$2&amp;"+"&amp;CB239&amp;FH$1)</f>
        <v/>
      </c>
      <c r="FI239" s="72" t="str">
        <f t="shared" ref="FI239:FI245" si="3733">IF(CC239="","","|n"&amp;FI$2&amp;"+"&amp;CC239&amp;FI$1)</f>
        <v/>
      </c>
      <c r="FJ239" s="72" t="str">
        <f t="shared" ref="FJ239:FJ245" si="3734">IF(CD239="","","|n"&amp;FJ$2&amp;"+"&amp;CD239&amp;FJ$1)</f>
        <v/>
      </c>
      <c r="FK239" s="72" t="str">
        <f t="shared" ref="FK239:FK245" si="3735">IF(CE239="","","|n"&amp;FK$2&amp;"+"&amp;CE239&amp;FK$1)</f>
        <v/>
      </c>
      <c r="FL239" s="72" t="str">
        <f t="shared" ref="FL239:FL245" si="3736">IF(CF239="","","|n"&amp;FL$2&amp;"+"&amp;CF239&amp;FL$1)</f>
        <v/>
      </c>
      <c r="FM239" s="72" t="str">
        <f t="shared" ref="FM239:FM245" si="3737">IF(CG239="","","|n"&amp;FM$2&amp;"+"&amp;CG239&amp;FM$1)</f>
        <v/>
      </c>
      <c r="FN239" s="72" t="str">
        <f t="shared" ref="FN239:FN245" si="3738">IF(CH239="","","|n"&amp;FN$2&amp;"+"&amp;CH239&amp;FN$1)</f>
        <v/>
      </c>
      <c r="FO239" s="72" t="str">
        <f t="shared" ref="FO239:FO245" si="3739">IF(CI239="","","|n"&amp;FO$2&amp;"+"&amp;CI239&amp;FO$1)</f>
        <v/>
      </c>
      <c r="FP239" s="72" t="str">
        <f t="shared" ref="FP239:FP245" si="3740">IF(CJ239="","","|n"&amp;FP$2&amp;"+"&amp;CJ239&amp;FP$1)</f>
        <v/>
      </c>
      <c r="FQ239" s="72" t="str">
        <f t="shared" ref="FQ239:FQ245" si="3741">IF(CK239="","","|n"&amp;FQ$2&amp;"+"&amp;CK239&amp;FQ$1)</f>
        <v/>
      </c>
      <c r="FR239" s="72" t="str">
        <f t="shared" ref="FR239:FR245" si="3742">IF(CL239="","","|n"&amp;FR$2&amp;"+"&amp;CL239&amp;FR$1)</f>
        <v/>
      </c>
      <c r="FS239" s="72" t="str">
        <f t="shared" ref="FS239:FS245" si="3743">IF(CM239="","","|n"&amp;FS$2&amp;"+"&amp;CM239&amp;FS$1)</f>
        <v/>
      </c>
    </row>
    <row r="240" spans="1:175" ht="15">
      <c r="A240" s="81"/>
      <c r="B240" s="129" t="s">
        <v>822</v>
      </c>
      <c r="C240" s="127" t="str">
        <f t="shared" ref="C240:C247" si="3744">"已领取"&amp;C230</f>
        <v>已领取入群礼包</v>
      </c>
      <c r="T240" s="139" t="str">
        <f t="shared" ref="T240:T247" si="3745">T230&amp;"|N|N|cff00ff00已领取该礼包"</f>
        <v>加入《|cff00ffcc全民封神|r》官方QQ群，即可获得入群礼包码！|n|n输入礼包码即可获得：|n金币+1000，每秒攻击+2，每秒业力+2|N|N|cff00ff00已领取该礼包</v>
      </c>
      <c r="U240" s="81" t="s">
        <v>820</v>
      </c>
      <c r="CN240" s="70" t="str">
        <f t="shared" ref="CN240:CN247" si="3746">"InitUnitState('"&amp;B240&amp;"',"&amp;V240&amp;","&amp;W240&amp;","&amp;X240&amp;","&amp;Y240&amp;","&amp;Z240&amp;","&amp;AA240&amp;","&amp;AB240&amp;","&amp;AC240&amp;","&amp;AD240&amp;","&amp;AE240&amp;")"</f>
        <v>InitUnitState('IB52',,,,,,,,,,)</v>
      </c>
      <c r="CO240" s="70" t="str">
        <f t="shared" ref="CO240:CO247" si="3747">"InitUnitNormal('"&amp;B240&amp;"',"&amp;AF240&amp;","&amp;AG240&amp;","&amp;AH240&amp;","&amp;AI240&amp;","&amp;AJ240&amp;","&amp;AK240&amp;","&amp;AL240&amp;","&amp;AM240&amp;","&amp;AN240&amp;","&amp;AO240&amp;")"</f>
        <v>InitUnitNormal('IB52',,,,,,,,,,)</v>
      </c>
      <c r="CP240" s="70" t="str">
        <f t="shared" ref="CP240:CP247" si="3748">"InitUnitMagic('"&amp;B240&amp;"',"&amp;AP240&amp;","&amp;AQ240&amp;","&amp;AR240&amp;","&amp;AS240&amp;","&amp;AT240&amp;","&amp;AU240&amp;","&amp;AV240&amp;","&amp;AW240&amp;","&amp;BI240&amp;","&amp;BJ240&amp;")"</f>
        <v>InitUnitMagic('IB52',,,,,,,,,,)</v>
      </c>
      <c r="CQ240" s="70" t="str">
        <f t="shared" ref="CQ240:CQ247" si="3749">"InitUnitAdd('"&amp;B240&amp;"',"&amp;BK240&amp;","&amp;BL240&amp;","&amp;BM240&amp;","&amp;BN240&amp;","&amp;BO240&amp;","&amp;BP240&amp;","&amp;BQ240&amp;","&amp;BR240&amp;","&amp;BS240&amp;","&amp;BT240&amp;")"</f>
        <v>InitUnitAdd('IB52',,,,,,,,,,)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InitEquipData('IB52',,"",,,,,'','','','','','',"ReplaceableTextures\\commandButtons\\BTNLBUI01.blp")</v>
      </c>
      <c r="CU240" s="98" t="str">
        <f t="shared" si="3672"/>
        <v>|n</v>
      </c>
      <c r="CV240" s="71" t="str">
        <f t="shared" si="3673"/>
        <v>加入《|cff00ffcc全民封神|r》官方QQ群，即可获得入群礼包码！|n|n输入礼包码即可获得：|n金币+1000，每秒攻击+2，每秒业力+2|N|N|cff00ff00已领取该礼包</v>
      </c>
      <c r="CW240" s="61"/>
      <c r="CX240" s="61"/>
      <c r="CY240" s="61"/>
      <c r="CZ240" s="61"/>
      <c r="DA240" s="61"/>
      <c r="DB240" s="72" t="str">
        <f t="shared" si="3674"/>
        <v/>
      </c>
      <c r="DC240" s="72" t="str">
        <f t="shared" si="3675"/>
        <v/>
      </c>
      <c r="DD240" s="72" t="str">
        <f t="shared" si="3676"/>
        <v/>
      </c>
      <c r="DE240" s="72" t="str">
        <f t="shared" si="3677"/>
        <v/>
      </c>
      <c r="DF240" s="72" t="str">
        <f t="shared" si="3678"/>
        <v/>
      </c>
      <c r="DG240" s="72" t="str">
        <f t="shared" si="3679"/>
        <v/>
      </c>
      <c r="DH240" s="72" t="str">
        <f t="shared" si="3680"/>
        <v/>
      </c>
      <c r="DI240" s="72" t="str">
        <f t="shared" si="3681"/>
        <v/>
      </c>
      <c r="DJ240" s="72" t="str">
        <f t="shared" si="3682"/>
        <v/>
      </c>
      <c r="DK240" s="72" t="str">
        <f t="shared" si="3683"/>
        <v/>
      </c>
      <c r="DL240" s="72" t="str">
        <f t="shared" si="3684"/>
        <v/>
      </c>
      <c r="DM240" s="72" t="str">
        <f t="shared" si="3685"/>
        <v/>
      </c>
      <c r="DN240" s="72" t="str">
        <f t="shared" si="3686"/>
        <v/>
      </c>
      <c r="DO240" s="72" t="str">
        <f t="shared" si="3687"/>
        <v/>
      </c>
      <c r="DP240" s="72" t="str">
        <f t="shared" si="3688"/>
        <v/>
      </c>
      <c r="DQ240" s="72" t="str">
        <f t="shared" si="3689"/>
        <v/>
      </c>
      <c r="DR240" s="72" t="str">
        <f t="shared" si="3690"/>
        <v/>
      </c>
      <c r="DS240" s="72" t="str">
        <f t="shared" si="3691"/>
        <v/>
      </c>
      <c r="DT240" s="72" t="str">
        <f t="shared" si="3692"/>
        <v/>
      </c>
      <c r="DU240" s="72" t="str">
        <f t="shared" si="3693"/>
        <v/>
      </c>
      <c r="DV240" s="72" t="str">
        <f t="shared" si="3694"/>
        <v/>
      </c>
      <c r="DW240" s="72" t="str">
        <f t="shared" si="3695"/>
        <v/>
      </c>
      <c r="DX240" s="72" t="str">
        <f t="shared" si="3696"/>
        <v/>
      </c>
      <c r="DY240" s="72" t="str">
        <f t="shared" si="3697"/>
        <v/>
      </c>
      <c r="DZ240" s="72" t="str">
        <f t="shared" si="3698"/>
        <v/>
      </c>
      <c r="EA240" s="72" t="str">
        <f t="shared" si="3699"/>
        <v/>
      </c>
      <c r="EB240" s="72" t="str">
        <f t="shared" si="3700"/>
        <v/>
      </c>
      <c r="EC240" s="72" t="str">
        <f t="shared" si="3701"/>
        <v/>
      </c>
      <c r="ED240" s="72" t="str">
        <f t="shared" si="3702"/>
        <v/>
      </c>
      <c r="EE240" s="72" t="str">
        <f t="shared" si="3703"/>
        <v/>
      </c>
      <c r="EF240" s="72" t="str">
        <f t="shared" si="3704"/>
        <v/>
      </c>
      <c r="EG240" s="72" t="str">
        <f t="shared" si="3705"/>
        <v/>
      </c>
      <c r="EH240" s="72" t="str">
        <f t="shared" si="3706"/>
        <v/>
      </c>
      <c r="EI240" s="72" t="str">
        <f t="shared" si="3707"/>
        <v/>
      </c>
      <c r="EJ240" s="72" t="str">
        <f t="shared" si="3708"/>
        <v/>
      </c>
      <c r="EK240" s="72" t="str">
        <f t="shared" si="3709"/>
        <v/>
      </c>
      <c r="EL240" s="72" t="str">
        <f t="shared" si="3710"/>
        <v/>
      </c>
      <c r="EM240" s="72" t="str">
        <f t="shared" si="3711"/>
        <v/>
      </c>
      <c r="EN240" s="72" t="str">
        <f t="shared" si="3712"/>
        <v/>
      </c>
      <c r="EO240" s="72" t="str">
        <f t="shared" si="3713"/>
        <v/>
      </c>
      <c r="EP240" s="72" t="str">
        <f t="shared" si="3714"/>
        <v/>
      </c>
      <c r="EQ240" s="72" t="str">
        <f t="shared" si="3715"/>
        <v/>
      </c>
      <c r="ER240" s="72" t="str">
        <f t="shared" si="3716"/>
        <v/>
      </c>
      <c r="ES240" s="72" t="str">
        <f t="shared" si="3717"/>
        <v/>
      </c>
      <c r="ET240" s="72" t="str">
        <f t="shared" si="3718"/>
        <v/>
      </c>
      <c r="EU240" s="72" t="str">
        <f t="shared" si="3719"/>
        <v/>
      </c>
      <c r="EV240" s="72" t="str">
        <f t="shared" si="3720"/>
        <v/>
      </c>
      <c r="EW240" s="72" t="str">
        <f t="shared" si="3721"/>
        <v/>
      </c>
      <c r="EX240" s="72" t="str">
        <f t="shared" si="3722"/>
        <v/>
      </c>
      <c r="EY240" s="72" t="str">
        <f t="shared" si="3723"/>
        <v/>
      </c>
      <c r="EZ240" s="72" t="str">
        <f t="shared" si="3724"/>
        <v/>
      </c>
      <c r="FA240" s="72" t="str">
        <f t="shared" si="3725"/>
        <v/>
      </c>
      <c r="FB240" s="72" t="str">
        <f t="shared" si="3726"/>
        <v/>
      </c>
      <c r="FC240" s="72" t="str">
        <f t="shared" si="3727"/>
        <v/>
      </c>
      <c r="FD240" s="72" t="str">
        <f t="shared" si="3728"/>
        <v/>
      </c>
      <c r="FE240" s="72" t="str">
        <f t="shared" si="3729"/>
        <v/>
      </c>
      <c r="FF240" s="72" t="str">
        <f t="shared" si="3730"/>
        <v/>
      </c>
      <c r="FG240" s="72" t="str">
        <f t="shared" si="3731"/>
        <v/>
      </c>
      <c r="FH240" s="72" t="str">
        <f t="shared" si="3732"/>
        <v/>
      </c>
      <c r="FI240" s="72" t="str">
        <f t="shared" si="3733"/>
        <v/>
      </c>
      <c r="FJ240" s="72" t="str">
        <f t="shared" si="3734"/>
        <v/>
      </c>
      <c r="FK240" s="72" t="str">
        <f t="shared" si="3735"/>
        <v/>
      </c>
      <c r="FL240" s="72" t="str">
        <f t="shared" si="3736"/>
        <v/>
      </c>
      <c r="FM240" s="72" t="str">
        <f t="shared" si="3737"/>
        <v/>
      </c>
      <c r="FN240" s="72" t="str">
        <f t="shared" si="3738"/>
        <v/>
      </c>
      <c r="FO240" s="72" t="str">
        <f t="shared" si="3739"/>
        <v/>
      </c>
      <c r="FP240" s="72" t="str">
        <f t="shared" si="3740"/>
        <v/>
      </c>
      <c r="FQ240" s="72" t="str">
        <f t="shared" si="3741"/>
        <v/>
      </c>
      <c r="FR240" s="72" t="str">
        <f t="shared" si="3742"/>
        <v/>
      </c>
      <c r="FS240" s="72" t="str">
        <f t="shared" si="3743"/>
        <v/>
      </c>
    </row>
    <row r="241" spans="1:175" ht="15">
      <c r="A241" s="81"/>
      <c r="B241" s="129" t="s">
        <v>823</v>
      </c>
      <c r="C241" s="127" t="str">
        <f t="shared" si="3744"/>
        <v>已领取拜年礼包</v>
      </c>
      <c r="T241" s="139" t="str">
        <f t="shared" si="3745"/>
        <v>|cff99ccff给与地图有效评论建议|r即可领取：|n每秒生命+100，每秒业力+2|n|n|r|cff808080地图等级达到3级可领取|r|N|N|cff00ff00已领取该礼包</v>
      </c>
      <c r="U241" s="81" t="s">
        <v>820</v>
      </c>
      <c r="CN241" s="70" t="str">
        <f t="shared" si="3746"/>
        <v>InitUnitState('IB53',,,,,,,,,,)</v>
      </c>
      <c r="CO241" s="70" t="str">
        <f t="shared" si="3747"/>
        <v>InitUnitNormal('IB53',,,,,,,,,,)</v>
      </c>
      <c r="CP241" s="70" t="str">
        <f t="shared" si="3748"/>
        <v>InitUnitMagic('IB53',,,,,,,,,,)</v>
      </c>
      <c r="CQ241" s="70" t="str">
        <f t="shared" si="3749"/>
        <v>InitUnitAdd('IB53',,,,,,,,,,)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InitEquipData('IB53',,"",,,,,'','','','','','',"ReplaceableTextures\\commandButtons\\BTNLBUI01.blp")</v>
      </c>
      <c r="CU241" s="98" t="str">
        <f t="shared" si="3672"/>
        <v>|n</v>
      </c>
      <c r="CV241" s="71" t="str">
        <f t="shared" si="3673"/>
        <v>|cff99ccff给与地图有效评论建议|r即可领取：|n每秒生命+100，每秒业力+2|n|n|r|cff808080地图等级达到3级可领取|r|N|N|cff00ff00已领取该礼包</v>
      </c>
      <c r="CW241" s="61"/>
      <c r="CX241" s="61"/>
      <c r="CY241" s="61"/>
      <c r="CZ241" s="61"/>
      <c r="DA241" s="61"/>
      <c r="DB241" s="72" t="str">
        <f t="shared" si="3674"/>
        <v/>
      </c>
      <c r="DC241" s="72" t="str">
        <f t="shared" si="3675"/>
        <v/>
      </c>
      <c r="DD241" s="72" t="str">
        <f t="shared" si="3676"/>
        <v/>
      </c>
      <c r="DE241" s="72" t="str">
        <f t="shared" si="3677"/>
        <v/>
      </c>
      <c r="DF241" s="72" t="str">
        <f t="shared" si="3678"/>
        <v/>
      </c>
      <c r="DG241" s="72" t="str">
        <f t="shared" si="3679"/>
        <v/>
      </c>
      <c r="DH241" s="72" t="str">
        <f t="shared" si="3680"/>
        <v/>
      </c>
      <c r="DI241" s="72" t="str">
        <f t="shared" si="3681"/>
        <v/>
      </c>
      <c r="DJ241" s="72" t="str">
        <f t="shared" si="3682"/>
        <v/>
      </c>
      <c r="DK241" s="72" t="str">
        <f t="shared" si="3683"/>
        <v/>
      </c>
      <c r="DL241" s="72" t="str">
        <f t="shared" si="3684"/>
        <v/>
      </c>
      <c r="DM241" s="72" t="str">
        <f t="shared" si="3685"/>
        <v/>
      </c>
      <c r="DN241" s="72" t="str">
        <f t="shared" si="3686"/>
        <v/>
      </c>
      <c r="DO241" s="72" t="str">
        <f t="shared" si="3687"/>
        <v/>
      </c>
      <c r="DP241" s="72" t="str">
        <f t="shared" si="3688"/>
        <v/>
      </c>
      <c r="DQ241" s="72" t="str">
        <f t="shared" si="3689"/>
        <v/>
      </c>
      <c r="DR241" s="72" t="str">
        <f t="shared" si="3690"/>
        <v/>
      </c>
      <c r="DS241" s="72" t="str">
        <f t="shared" si="3691"/>
        <v/>
      </c>
      <c r="DT241" s="72" t="str">
        <f t="shared" si="3692"/>
        <v/>
      </c>
      <c r="DU241" s="72" t="str">
        <f t="shared" si="3693"/>
        <v/>
      </c>
      <c r="DV241" s="72" t="str">
        <f t="shared" si="3694"/>
        <v/>
      </c>
      <c r="DW241" s="72" t="str">
        <f t="shared" si="3695"/>
        <v/>
      </c>
      <c r="DX241" s="72" t="str">
        <f t="shared" si="3696"/>
        <v/>
      </c>
      <c r="DY241" s="72" t="str">
        <f t="shared" si="3697"/>
        <v/>
      </c>
      <c r="DZ241" s="72" t="str">
        <f t="shared" si="3698"/>
        <v/>
      </c>
      <c r="EA241" s="72" t="str">
        <f t="shared" si="3699"/>
        <v/>
      </c>
      <c r="EB241" s="72" t="str">
        <f t="shared" si="3700"/>
        <v/>
      </c>
      <c r="EC241" s="72" t="str">
        <f t="shared" si="3701"/>
        <v/>
      </c>
      <c r="ED241" s="72" t="str">
        <f t="shared" si="3702"/>
        <v/>
      </c>
      <c r="EE241" s="72" t="str">
        <f t="shared" si="3703"/>
        <v/>
      </c>
      <c r="EF241" s="72" t="str">
        <f t="shared" si="3704"/>
        <v/>
      </c>
      <c r="EG241" s="72" t="str">
        <f t="shared" si="3705"/>
        <v/>
      </c>
      <c r="EH241" s="72" t="str">
        <f t="shared" si="3706"/>
        <v/>
      </c>
      <c r="EI241" s="72" t="str">
        <f t="shared" si="3707"/>
        <v/>
      </c>
      <c r="EJ241" s="72" t="str">
        <f t="shared" si="3708"/>
        <v/>
      </c>
      <c r="EK241" s="72" t="str">
        <f t="shared" si="3709"/>
        <v/>
      </c>
      <c r="EL241" s="72" t="str">
        <f t="shared" si="3710"/>
        <v/>
      </c>
      <c r="EM241" s="72" t="str">
        <f t="shared" si="3711"/>
        <v/>
      </c>
      <c r="EN241" s="72" t="str">
        <f t="shared" si="3712"/>
        <v/>
      </c>
      <c r="EO241" s="72" t="str">
        <f t="shared" si="3713"/>
        <v/>
      </c>
      <c r="EP241" s="72" t="str">
        <f t="shared" si="3714"/>
        <v/>
      </c>
      <c r="EQ241" s="72" t="str">
        <f t="shared" si="3715"/>
        <v/>
      </c>
      <c r="ER241" s="72" t="str">
        <f t="shared" si="3716"/>
        <v/>
      </c>
      <c r="ES241" s="72" t="str">
        <f t="shared" si="3717"/>
        <v/>
      </c>
      <c r="ET241" s="72" t="str">
        <f t="shared" si="3718"/>
        <v/>
      </c>
      <c r="EU241" s="72" t="str">
        <f t="shared" si="3719"/>
        <v/>
      </c>
      <c r="EV241" s="72" t="str">
        <f t="shared" si="3720"/>
        <v/>
      </c>
      <c r="EW241" s="72" t="str">
        <f t="shared" si="3721"/>
        <v/>
      </c>
      <c r="EX241" s="72" t="str">
        <f t="shared" si="3722"/>
        <v/>
      </c>
      <c r="EY241" s="72" t="str">
        <f t="shared" si="3723"/>
        <v/>
      </c>
      <c r="EZ241" s="72" t="str">
        <f t="shared" si="3724"/>
        <v/>
      </c>
      <c r="FA241" s="72" t="str">
        <f t="shared" si="3725"/>
        <v/>
      </c>
      <c r="FB241" s="72" t="str">
        <f t="shared" si="3726"/>
        <v/>
      </c>
      <c r="FC241" s="72" t="str">
        <f t="shared" si="3727"/>
        <v/>
      </c>
      <c r="FD241" s="72" t="str">
        <f t="shared" si="3728"/>
        <v/>
      </c>
      <c r="FE241" s="72" t="str">
        <f t="shared" si="3729"/>
        <v/>
      </c>
      <c r="FF241" s="72" t="str">
        <f t="shared" si="3730"/>
        <v/>
      </c>
      <c r="FG241" s="72" t="str">
        <f t="shared" si="3731"/>
        <v/>
      </c>
      <c r="FH241" s="72" t="str">
        <f t="shared" si="3732"/>
        <v/>
      </c>
      <c r="FI241" s="72" t="str">
        <f t="shared" si="3733"/>
        <v/>
      </c>
      <c r="FJ241" s="72" t="str">
        <f t="shared" si="3734"/>
        <v/>
      </c>
      <c r="FK241" s="72" t="str">
        <f t="shared" si="3735"/>
        <v/>
      </c>
      <c r="FL241" s="72" t="str">
        <f t="shared" si="3736"/>
        <v/>
      </c>
      <c r="FM241" s="72" t="str">
        <f t="shared" si="3737"/>
        <v/>
      </c>
      <c r="FN241" s="72" t="str">
        <f t="shared" si="3738"/>
        <v/>
      </c>
      <c r="FO241" s="72" t="str">
        <f t="shared" si="3739"/>
        <v/>
      </c>
      <c r="FP241" s="72" t="str">
        <f t="shared" si="3740"/>
        <v/>
      </c>
      <c r="FQ241" s="72" t="str">
        <f t="shared" si="3741"/>
        <v/>
      </c>
      <c r="FR241" s="72" t="str">
        <f t="shared" si="3742"/>
        <v/>
      </c>
      <c r="FS241" s="72" t="str">
        <f t="shared" si="3743"/>
        <v/>
      </c>
    </row>
    <row r="242" spans="1:175" ht="15">
      <c r="A242" s="81"/>
      <c r="B242" s="129" t="s">
        <v>824</v>
      </c>
      <c r="C242" s="127" t="str">
        <f t="shared" si="3744"/>
        <v>已领取收藏礼包</v>
      </c>
      <c r="T242" s="139" t="str">
        <f t="shared" si="3745"/>
        <v>|cff99ccff房间大厅界面点击右上角《|r|cffcc99ff收藏|r|cff99ccff》后可领取该礼包。|n|n|r属性：|n|cffffcc33攻击伤害+5%|n技能伤害+5%|r|N|N|cff00ff00已领取该礼包</v>
      </c>
      <c r="U242" s="81" t="s">
        <v>820</v>
      </c>
      <c r="CN242" s="70" t="str">
        <f t="shared" si="3746"/>
        <v>InitUnitState('IB54',,,,,,,,,,)</v>
      </c>
      <c r="CO242" s="70" t="str">
        <f t="shared" si="3747"/>
        <v>InitUnitNormal('IB54',,,,,,,,,,)</v>
      </c>
      <c r="CP242" s="70" t="str">
        <f t="shared" si="3748"/>
        <v>InitUnitMagic('IB54',,,,,,,,,,)</v>
      </c>
      <c r="CQ242" s="70" t="str">
        <f t="shared" si="3749"/>
        <v>InitUnitAdd('IB54',,,,,,,,,,)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243&amp;CR$1&amp;")"</f>
        <v>InitEquipData('IB54',,"",,,,,'','','','','','',"ReplaceableTextures\\commandButtons\\BTNLBUI01.blp")</v>
      </c>
      <c r="CU242" s="98" t="str">
        <f t="shared" si="3672"/>
        <v>|n</v>
      </c>
      <c r="CV242" s="71" t="str">
        <f t="shared" si="3673"/>
        <v>|cff99ccff房间大厅界面点击右上角《|r|cffcc99ff收藏|r|cff99ccff》后可领取该礼包。|n|n|r属性：|n|cffffcc33攻击伤害+5%|n技能伤害+5%|r|N|N|cff00ff00已领取该礼包</v>
      </c>
      <c r="CW242" s="61"/>
      <c r="CX242" s="61"/>
      <c r="CY242" s="61"/>
      <c r="CZ242" s="61"/>
      <c r="DA242" s="61"/>
      <c r="DB242" s="72" t="str">
        <f t="shared" si="3674"/>
        <v/>
      </c>
      <c r="DC242" s="72" t="str">
        <f t="shared" si="3675"/>
        <v/>
      </c>
      <c r="DD242" s="72" t="str">
        <f t="shared" si="3676"/>
        <v/>
      </c>
      <c r="DE242" s="72" t="str">
        <f t="shared" si="3677"/>
        <v/>
      </c>
      <c r="DF242" s="72" t="str">
        <f t="shared" si="3678"/>
        <v/>
      </c>
      <c r="DG242" s="72" t="str">
        <f t="shared" si="3679"/>
        <v/>
      </c>
      <c r="DH242" s="72" t="str">
        <f t="shared" si="3680"/>
        <v/>
      </c>
      <c r="DI242" s="72" t="str">
        <f t="shared" si="3681"/>
        <v/>
      </c>
      <c r="DJ242" s="72" t="str">
        <f t="shared" si="3682"/>
        <v/>
      </c>
      <c r="DK242" s="72" t="str">
        <f t="shared" si="3683"/>
        <v/>
      </c>
      <c r="DL242" s="72" t="str">
        <f t="shared" si="3684"/>
        <v/>
      </c>
      <c r="DM242" s="72" t="str">
        <f t="shared" si="3685"/>
        <v/>
      </c>
      <c r="DN242" s="72" t="str">
        <f t="shared" si="3686"/>
        <v/>
      </c>
      <c r="DO242" s="72" t="str">
        <f t="shared" si="3687"/>
        <v/>
      </c>
      <c r="DP242" s="72" t="str">
        <f t="shared" si="3688"/>
        <v/>
      </c>
      <c r="DQ242" s="72" t="str">
        <f t="shared" si="3689"/>
        <v/>
      </c>
      <c r="DR242" s="72" t="str">
        <f t="shared" si="3690"/>
        <v/>
      </c>
      <c r="DS242" s="72" t="str">
        <f t="shared" si="3691"/>
        <v/>
      </c>
      <c r="DT242" s="72" t="str">
        <f t="shared" si="3692"/>
        <v/>
      </c>
      <c r="DU242" s="72" t="str">
        <f t="shared" si="3693"/>
        <v/>
      </c>
      <c r="DV242" s="72" t="str">
        <f t="shared" si="3694"/>
        <v/>
      </c>
      <c r="DW242" s="72" t="str">
        <f t="shared" si="3695"/>
        <v/>
      </c>
      <c r="DX242" s="72" t="str">
        <f t="shared" si="3696"/>
        <v/>
      </c>
      <c r="DY242" s="72" t="str">
        <f t="shared" si="3697"/>
        <v/>
      </c>
      <c r="DZ242" s="72" t="str">
        <f t="shared" si="3698"/>
        <v/>
      </c>
      <c r="EA242" s="72" t="str">
        <f t="shared" si="3699"/>
        <v/>
      </c>
      <c r="EB242" s="72" t="str">
        <f t="shared" si="3700"/>
        <v/>
      </c>
      <c r="EC242" s="72" t="str">
        <f t="shared" si="3701"/>
        <v/>
      </c>
      <c r="ED242" s="72" t="str">
        <f t="shared" si="3702"/>
        <v/>
      </c>
      <c r="EE242" s="72" t="str">
        <f t="shared" si="3703"/>
        <v/>
      </c>
      <c r="EF242" s="72" t="str">
        <f t="shared" si="3704"/>
        <v/>
      </c>
      <c r="EG242" s="72" t="str">
        <f t="shared" si="3705"/>
        <v/>
      </c>
      <c r="EH242" s="72" t="str">
        <f t="shared" si="3706"/>
        <v/>
      </c>
      <c r="EI242" s="72" t="str">
        <f t="shared" si="3707"/>
        <v/>
      </c>
      <c r="EJ242" s="72" t="str">
        <f t="shared" si="3708"/>
        <v/>
      </c>
      <c r="EK242" s="72" t="str">
        <f t="shared" si="3709"/>
        <v/>
      </c>
      <c r="EL242" s="72" t="str">
        <f t="shared" si="3710"/>
        <v/>
      </c>
      <c r="EM242" s="72" t="str">
        <f t="shared" si="3711"/>
        <v/>
      </c>
      <c r="EN242" s="72" t="str">
        <f t="shared" si="3712"/>
        <v/>
      </c>
      <c r="EO242" s="72" t="str">
        <f t="shared" si="3713"/>
        <v/>
      </c>
      <c r="EP242" s="72" t="str">
        <f t="shared" si="3714"/>
        <v/>
      </c>
      <c r="EQ242" s="72" t="str">
        <f t="shared" si="3715"/>
        <v/>
      </c>
      <c r="ER242" s="72" t="str">
        <f t="shared" si="3716"/>
        <v/>
      </c>
      <c r="ES242" s="72" t="str">
        <f t="shared" si="3717"/>
        <v/>
      </c>
      <c r="ET242" s="72" t="str">
        <f t="shared" si="3718"/>
        <v/>
      </c>
      <c r="EU242" s="72" t="str">
        <f t="shared" si="3719"/>
        <v/>
      </c>
      <c r="EV242" s="72" t="str">
        <f t="shared" si="3720"/>
        <v/>
      </c>
      <c r="EW242" s="72" t="str">
        <f t="shared" si="3721"/>
        <v/>
      </c>
      <c r="EX242" s="72" t="str">
        <f t="shared" si="3722"/>
        <v/>
      </c>
      <c r="EY242" s="72" t="str">
        <f t="shared" si="3723"/>
        <v/>
      </c>
      <c r="EZ242" s="72" t="str">
        <f t="shared" si="3724"/>
        <v/>
      </c>
      <c r="FA242" s="72" t="str">
        <f t="shared" si="3725"/>
        <v/>
      </c>
      <c r="FB242" s="72" t="str">
        <f t="shared" si="3726"/>
        <v/>
      </c>
      <c r="FC242" s="72" t="str">
        <f t="shared" si="3727"/>
        <v/>
      </c>
      <c r="FD242" s="72" t="str">
        <f t="shared" si="3728"/>
        <v/>
      </c>
      <c r="FE242" s="72" t="str">
        <f t="shared" si="3729"/>
        <v/>
      </c>
      <c r="FF242" s="72" t="str">
        <f t="shared" si="3730"/>
        <v/>
      </c>
      <c r="FG242" s="72" t="str">
        <f t="shared" si="3731"/>
        <v/>
      </c>
      <c r="FH242" s="72" t="str">
        <f t="shared" si="3732"/>
        <v/>
      </c>
      <c r="FI242" s="72" t="str">
        <f t="shared" si="3733"/>
        <v/>
      </c>
      <c r="FJ242" s="72" t="str">
        <f t="shared" si="3734"/>
        <v/>
      </c>
      <c r="FK242" s="72" t="str">
        <f t="shared" si="3735"/>
        <v/>
      </c>
      <c r="FL242" s="72" t="str">
        <f t="shared" si="3736"/>
        <v/>
      </c>
      <c r="FM242" s="72" t="str">
        <f t="shared" si="3737"/>
        <v/>
      </c>
      <c r="FN242" s="72" t="str">
        <f t="shared" si="3738"/>
        <v/>
      </c>
      <c r="FO242" s="72" t="str">
        <f t="shared" si="3739"/>
        <v/>
      </c>
      <c r="FP242" s="72" t="str">
        <f t="shared" si="3740"/>
        <v/>
      </c>
      <c r="FQ242" s="72" t="str">
        <f t="shared" si="3741"/>
        <v/>
      </c>
      <c r="FR242" s="72" t="str">
        <f t="shared" si="3742"/>
        <v/>
      </c>
      <c r="FS242" s="72" t="str">
        <f t="shared" si="3743"/>
        <v/>
      </c>
    </row>
    <row r="243" spans="1:175" ht="15">
      <c r="A243" s="81"/>
      <c r="B243" s="129" t="s">
        <v>825</v>
      </c>
      <c r="C243" s="127" t="str">
        <f t="shared" si="3744"/>
        <v>已领取重置版礼包</v>
      </c>
      <c r="T243" s="139" t="str">
        <f t="shared" si="3745"/>
        <v>|cff33ff00购买魔兽重制版可领取该礼包！|n|n|r奖励：|n招魂幡Lv3|N|N|cff00ff00已领取该礼包</v>
      </c>
      <c r="U243" s="81" t="s">
        <v>820</v>
      </c>
      <c r="CN243" s="70" t="str">
        <f t="shared" si="3746"/>
        <v>InitUnitState('IB55',,,,,,,,,,)</v>
      </c>
      <c r="CO243" s="70" t="str">
        <f t="shared" si="3747"/>
        <v>InitUnitNormal('IB55',,,,,,,,,,)</v>
      </c>
      <c r="CP243" s="70" t="str">
        <f t="shared" si="3748"/>
        <v>InitUnitMagic('IB55',,,,,,,,,,)</v>
      </c>
      <c r="CQ243" s="70" t="str">
        <f t="shared" si="3749"/>
        <v>InitUnitAdd('IB55',,,,,,,,,,)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266&amp;CR$1&amp;")"</f>
        <v>InitEquipData('IB55',,"",,,,,'','','','','','',"")</v>
      </c>
      <c r="CU243" s="98" t="str">
        <f t="shared" si="3672"/>
        <v>|n</v>
      </c>
      <c r="CV243" s="71" t="str">
        <f t="shared" si="3673"/>
        <v>|cff33ff00购买魔兽重制版可领取该礼包！|n|n|r奖励：|n招魂幡Lv3|N|N|cff00ff00已领取该礼包</v>
      </c>
      <c r="CW243" s="61"/>
      <c r="CX243" s="61"/>
      <c r="CY243" s="61"/>
      <c r="CZ243" s="61"/>
      <c r="DA243" s="61"/>
      <c r="DB243" s="72" t="str">
        <f t="shared" si="3674"/>
        <v/>
      </c>
      <c r="DC243" s="72" t="str">
        <f t="shared" si="3675"/>
        <v/>
      </c>
      <c r="DD243" s="72" t="str">
        <f t="shared" si="3676"/>
        <v/>
      </c>
      <c r="DE243" s="72" t="str">
        <f t="shared" si="3677"/>
        <v/>
      </c>
      <c r="DF243" s="72" t="str">
        <f t="shared" si="3678"/>
        <v/>
      </c>
      <c r="DG243" s="72" t="str">
        <f t="shared" si="3679"/>
        <v/>
      </c>
      <c r="DH243" s="72" t="str">
        <f t="shared" si="3680"/>
        <v/>
      </c>
      <c r="DI243" s="72" t="str">
        <f t="shared" si="3681"/>
        <v/>
      </c>
      <c r="DJ243" s="72" t="str">
        <f t="shared" si="3682"/>
        <v/>
      </c>
      <c r="DK243" s="72" t="str">
        <f t="shared" si="3683"/>
        <v/>
      </c>
      <c r="DL243" s="72" t="str">
        <f t="shared" si="3684"/>
        <v/>
      </c>
      <c r="DM243" s="72" t="str">
        <f t="shared" si="3685"/>
        <v/>
      </c>
      <c r="DN243" s="72" t="str">
        <f t="shared" si="3686"/>
        <v/>
      </c>
      <c r="DO243" s="72" t="str">
        <f t="shared" si="3687"/>
        <v/>
      </c>
      <c r="DP243" s="72" t="str">
        <f t="shared" si="3688"/>
        <v/>
      </c>
      <c r="DQ243" s="72" t="str">
        <f t="shared" si="3689"/>
        <v/>
      </c>
      <c r="DR243" s="72" t="str">
        <f t="shared" si="3690"/>
        <v/>
      </c>
      <c r="DS243" s="72" t="str">
        <f t="shared" si="3691"/>
        <v/>
      </c>
      <c r="DT243" s="72" t="str">
        <f t="shared" si="3692"/>
        <v/>
      </c>
      <c r="DU243" s="72" t="str">
        <f t="shared" si="3693"/>
        <v/>
      </c>
      <c r="DV243" s="72" t="str">
        <f t="shared" si="3694"/>
        <v/>
      </c>
      <c r="DW243" s="72" t="str">
        <f t="shared" si="3695"/>
        <v/>
      </c>
      <c r="DX243" s="72" t="str">
        <f t="shared" si="3696"/>
        <v/>
      </c>
      <c r="DY243" s="72" t="str">
        <f t="shared" si="3697"/>
        <v/>
      </c>
      <c r="DZ243" s="72" t="str">
        <f t="shared" si="3698"/>
        <v/>
      </c>
      <c r="EA243" s="72" t="str">
        <f t="shared" si="3699"/>
        <v/>
      </c>
      <c r="EB243" s="72" t="str">
        <f t="shared" si="3700"/>
        <v/>
      </c>
      <c r="EC243" s="72" t="str">
        <f t="shared" si="3701"/>
        <v/>
      </c>
      <c r="ED243" s="72" t="str">
        <f t="shared" si="3702"/>
        <v/>
      </c>
      <c r="EE243" s="72" t="str">
        <f t="shared" si="3703"/>
        <v/>
      </c>
      <c r="EF243" s="72" t="str">
        <f t="shared" si="3704"/>
        <v/>
      </c>
      <c r="EG243" s="72" t="str">
        <f t="shared" si="3705"/>
        <v/>
      </c>
      <c r="EH243" s="72" t="str">
        <f t="shared" si="3706"/>
        <v/>
      </c>
      <c r="EI243" s="72" t="str">
        <f t="shared" si="3707"/>
        <v/>
      </c>
      <c r="EJ243" s="72" t="str">
        <f t="shared" si="3708"/>
        <v/>
      </c>
      <c r="EK243" s="72" t="str">
        <f t="shared" si="3709"/>
        <v/>
      </c>
      <c r="EL243" s="72" t="str">
        <f t="shared" si="3710"/>
        <v/>
      </c>
      <c r="EM243" s="72" t="str">
        <f t="shared" si="3711"/>
        <v/>
      </c>
      <c r="EN243" s="72" t="str">
        <f t="shared" si="3712"/>
        <v/>
      </c>
      <c r="EO243" s="72" t="str">
        <f t="shared" si="3713"/>
        <v/>
      </c>
      <c r="EP243" s="72" t="str">
        <f t="shared" si="3714"/>
        <v/>
      </c>
      <c r="EQ243" s="72" t="str">
        <f t="shared" si="3715"/>
        <v/>
      </c>
      <c r="ER243" s="72" t="str">
        <f t="shared" si="3716"/>
        <v/>
      </c>
      <c r="ES243" s="72" t="str">
        <f t="shared" si="3717"/>
        <v/>
      </c>
      <c r="ET243" s="72" t="str">
        <f t="shared" si="3718"/>
        <v/>
      </c>
      <c r="EU243" s="72" t="str">
        <f t="shared" si="3719"/>
        <v/>
      </c>
      <c r="EV243" s="72" t="str">
        <f t="shared" si="3720"/>
        <v/>
      </c>
      <c r="EW243" s="72" t="str">
        <f t="shared" si="3721"/>
        <v/>
      </c>
      <c r="EX243" s="72" t="str">
        <f t="shared" si="3722"/>
        <v/>
      </c>
      <c r="EY243" s="72" t="str">
        <f t="shared" si="3723"/>
        <v/>
      </c>
      <c r="EZ243" s="72" t="str">
        <f t="shared" si="3724"/>
        <v/>
      </c>
      <c r="FA243" s="72" t="str">
        <f t="shared" si="3725"/>
        <v/>
      </c>
      <c r="FB243" s="72" t="str">
        <f t="shared" si="3726"/>
        <v/>
      </c>
      <c r="FC243" s="72" t="str">
        <f t="shared" si="3727"/>
        <v/>
      </c>
      <c r="FD243" s="72" t="str">
        <f t="shared" si="3728"/>
        <v/>
      </c>
      <c r="FE243" s="72" t="str">
        <f t="shared" si="3729"/>
        <v/>
      </c>
      <c r="FF243" s="72" t="str">
        <f t="shared" si="3730"/>
        <v/>
      </c>
      <c r="FG243" s="72" t="str">
        <f t="shared" si="3731"/>
        <v/>
      </c>
      <c r="FH243" s="72" t="str">
        <f t="shared" si="3732"/>
        <v/>
      </c>
      <c r="FI243" s="72" t="str">
        <f t="shared" si="3733"/>
        <v/>
      </c>
      <c r="FJ243" s="72" t="str">
        <f t="shared" si="3734"/>
        <v/>
      </c>
      <c r="FK243" s="72" t="str">
        <f t="shared" si="3735"/>
        <v/>
      </c>
      <c r="FL243" s="72" t="str">
        <f t="shared" si="3736"/>
        <v/>
      </c>
      <c r="FM243" s="72" t="str">
        <f t="shared" si="3737"/>
        <v/>
      </c>
      <c r="FN243" s="72" t="str">
        <f t="shared" si="3738"/>
        <v/>
      </c>
      <c r="FO243" s="72" t="str">
        <f t="shared" si="3739"/>
        <v/>
      </c>
      <c r="FP243" s="72" t="str">
        <f t="shared" si="3740"/>
        <v/>
      </c>
      <c r="FQ243" s="72" t="str">
        <f t="shared" si="3741"/>
        <v/>
      </c>
      <c r="FR243" s="72" t="str">
        <f t="shared" si="3742"/>
        <v/>
      </c>
      <c r="FS243" s="72" t="str">
        <f t="shared" si="3743"/>
        <v/>
      </c>
    </row>
    <row r="244" spans="1:175" ht="15">
      <c r="A244" s="81"/>
      <c r="B244" s="129" t="s">
        <v>826</v>
      </c>
      <c r="C244" s="127" t="str">
        <f t="shared" si="3744"/>
        <v>已领取公会福利</v>
      </c>
      <c r="T244" s="139" t="str">
        <f t="shared" si="3745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U244" s="81" t="s">
        <v>820</v>
      </c>
      <c r="CN244" s="70" t="str">
        <f t="shared" si="3746"/>
        <v>InitUnitState('IB56',,,,,,,,,,)</v>
      </c>
      <c r="CO244" s="70" t="str">
        <f t="shared" si="3747"/>
        <v>InitUnitNormal('IB56',,,,,,,,,,)</v>
      </c>
      <c r="CP244" s="70" t="str">
        <f t="shared" si="3748"/>
        <v>InitUnitMagic('IB56',,,,,,,,,,)</v>
      </c>
      <c r="CQ244" s="70" t="str">
        <f t="shared" si="3749"/>
        <v>InitUnitAdd('IB56',,,,,,,,,,)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InitEquipData('IB56',,"",,,,,'','','','','','',"ReplaceableTextures\\commandButtons\\BTNLBUI01.blp")</v>
      </c>
      <c r="CU244" s="98" t="str">
        <f t="shared" si="3672"/>
        <v>|n</v>
      </c>
      <c r="CV244" s="71" t="str">
        <f t="shared" si="3673"/>
        <v>加入以下公会可领取：|n|cff33ff00墨汁联盟①萌|n….|n墨汁联盟①⑨萌|n墨汁联盟x号|n星耀俱乐部|n星悦俱乐部|n北斗俱乐部|nVVIP俱乐部|nMVP公会|n皓月公会|nGu公会|n锦衣卫公会|n|n|r开局即可获得：|n|cffffcc33每秒生命+50|n被动触发概率+1%|n技能冷却-5%|r|N|N|cff00ff00已领取该礼包</v>
      </c>
      <c r="CW244" s="61"/>
      <c r="CX244" s="61"/>
      <c r="CY244" s="61"/>
      <c r="CZ244" s="61"/>
      <c r="DA244" s="61"/>
      <c r="DB244" s="72" t="str">
        <f t="shared" si="3674"/>
        <v/>
      </c>
      <c r="DC244" s="72" t="str">
        <f t="shared" si="3675"/>
        <v/>
      </c>
      <c r="DD244" s="72" t="str">
        <f t="shared" si="3676"/>
        <v/>
      </c>
      <c r="DE244" s="72" t="str">
        <f t="shared" si="3677"/>
        <v/>
      </c>
      <c r="DF244" s="72" t="str">
        <f t="shared" si="3678"/>
        <v/>
      </c>
      <c r="DG244" s="72" t="str">
        <f t="shared" si="3679"/>
        <v/>
      </c>
      <c r="DH244" s="72" t="str">
        <f t="shared" si="3680"/>
        <v/>
      </c>
      <c r="DI244" s="72" t="str">
        <f t="shared" si="3681"/>
        <v/>
      </c>
      <c r="DJ244" s="72" t="str">
        <f t="shared" si="3682"/>
        <v/>
      </c>
      <c r="DK244" s="72" t="str">
        <f t="shared" si="3683"/>
        <v/>
      </c>
      <c r="DL244" s="72" t="str">
        <f t="shared" si="3684"/>
        <v/>
      </c>
      <c r="DM244" s="72" t="str">
        <f t="shared" si="3685"/>
        <v/>
      </c>
      <c r="DN244" s="72" t="str">
        <f t="shared" si="3686"/>
        <v/>
      </c>
      <c r="DO244" s="72" t="str">
        <f t="shared" si="3687"/>
        <v/>
      </c>
      <c r="DP244" s="72" t="str">
        <f t="shared" si="3688"/>
        <v/>
      </c>
      <c r="DQ244" s="72" t="str">
        <f t="shared" si="3689"/>
        <v/>
      </c>
      <c r="DR244" s="72" t="str">
        <f t="shared" si="3690"/>
        <v/>
      </c>
      <c r="DS244" s="72" t="str">
        <f t="shared" si="3691"/>
        <v/>
      </c>
      <c r="DT244" s="72" t="str">
        <f t="shared" si="3692"/>
        <v/>
      </c>
      <c r="DU244" s="72" t="str">
        <f t="shared" si="3693"/>
        <v/>
      </c>
      <c r="DV244" s="72" t="str">
        <f t="shared" si="3694"/>
        <v/>
      </c>
      <c r="DW244" s="72" t="str">
        <f t="shared" si="3695"/>
        <v/>
      </c>
      <c r="DX244" s="72" t="str">
        <f t="shared" si="3696"/>
        <v/>
      </c>
      <c r="DY244" s="72" t="str">
        <f t="shared" si="3697"/>
        <v/>
      </c>
      <c r="DZ244" s="72" t="str">
        <f t="shared" si="3698"/>
        <v/>
      </c>
      <c r="EA244" s="72" t="str">
        <f t="shared" si="3699"/>
        <v/>
      </c>
      <c r="EB244" s="72" t="str">
        <f t="shared" si="3700"/>
        <v/>
      </c>
      <c r="EC244" s="72" t="str">
        <f t="shared" si="3701"/>
        <v/>
      </c>
      <c r="ED244" s="72" t="str">
        <f t="shared" si="3702"/>
        <v/>
      </c>
      <c r="EE244" s="72" t="str">
        <f t="shared" si="3703"/>
        <v/>
      </c>
      <c r="EF244" s="72" t="str">
        <f t="shared" si="3704"/>
        <v/>
      </c>
      <c r="EG244" s="72" t="str">
        <f t="shared" si="3705"/>
        <v/>
      </c>
      <c r="EH244" s="72" t="str">
        <f t="shared" si="3706"/>
        <v/>
      </c>
      <c r="EI244" s="72" t="str">
        <f t="shared" si="3707"/>
        <v/>
      </c>
      <c r="EJ244" s="72" t="str">
        <f t="shared" si="3708"/>
        <v/>
      </c>
      <c r="EK244" s="72" t="str">
        <f t="shared" si="3709"/>
        <v/>
      </c>
      <c r="EL244" s="72" t="str">
        <f t="shared" si="3710"/>
        <v/>
      </c>
      <c r="EM244" s="72" t="str">
        <f t="shared" si="3711"/>
        <v/>
      </c>
      <c r="EN244" s="72" t="str">
        <f t="shared" si="3712"/>
        <v/>
      </c>
      <c r="EO244" s="72" t="str">
        <f t="shared" si="3713"/>
        <v/>
      </c>
      <c r="EP244" s="72" t="str">
        <f t="shared" si="3714"/>
        <v/>
      </c>
      <c r="EQ244" s="72" t="str">
        <f t="shared" si="3715"/>
        <v/>
      </c>
      <c r="ER244" s="72" t="str">
        <f t="shared" si="3716"/>
        <v/>
      </c>
      <c r="ES244" s="72" t="str">
        <f t="shared" si="3717"/>
        <v/>
      </c>
      <c r="ET244" s="72" t="str">
        <f t="shared" si="3718"/>
        <v/>
      </c>
      <c r="EU244" s="72" t="str">
        <f t="shared" si="3719"/>
        <v/>
      </c>
      <c r="EV244" s="72" t="str">
        <f t="shared" si="3720"/>
        <v/>
      </c>
      <c r="EW244" s="72" t="str">
        <f t="shared" si="3721"/>
        <v/>
      </c>
      <c r="EX244" s="72" t="str">
        <f t="shared" si="3722"/>
        <v/>
      </c>
      <c r="EY244" s="72" t="str">
        <f t="shared" si="3723"/>
        <v/>
      </c>
      <c r="EZ244" s="72" t="str">
        <f t="shared" si="3724"/>
        <v/>
      </c>
      <c r="FA244" s="72" t="str">
        <f t="shared" si="3725"/>
        <v/>
      </c>
      <c r="FB244" s="72" t="str">
        <f t="shared" si="3726"/>
        <v/>
      </c>
      <c r="FC244" s="72" t="str">
        <f t="shared" si="3727"/>
        <v/>
      </c>
      <c r="FD244" s="72" t="str">
        <f t="shared" si="3728"/>
        <v/>
      </c>
      <c r="FE244" s="72" t="str">
        <f t="shared" si="3729"/>
        <v/>
      </c>
      <c r="FF244" s="72" t="str">
        <f t="shared" si="3730"/>
        <v/>
      </c>
      <c r="FG244" s="72" t="str">
        <f t="shared" si="3731"/>
        <v/>
      </c>
      <c r="FH244" s="72" t="str">
        <f t="shared" si="3732"/>
        <v/>
      </c>
      <c r="FI244" s="72" t="str">
        <f t="shared" si="3733"/>
        <v/>
      </c>
      <c r="FJ244" s="72" t="str">
        <f t="shared" si="3734"/>
        <v/>
      </c>
      <c r="FK244" s="72" t="str">
        <f t="shared" si="3735"/>
        <v/>
      </c>
      <c r="FL244" s="72" t="str">
        <f t="shared" si="3736"/>
        <v/>
      </c>
      <c r="FM244" s="72" t="str">
        <f t="shared" si="3737"/>
        <v/>
      </c>
      <c r="FN244" s="72" t="str">
        <f t="shared" si="3738"/>
        <v/>
      </c>
      <c r="FO244" s="72" t="str">
        <f t="shared" si="3739"/>
        <v/>
      </c>
      <c r="FP244" s="72" t="str">
        <f t="shared" si="3740"/>
        <v/>
      </c>
      <c r="FQ244" s="72" t="str">
        <f t="shared" si="3741"/>
        <v/>
      </c>
      <c r="FR244" s="72" t="str">
        <f t="shared" si="3742"/>
        <v/>
      </c>
      <c r="FS244" s="72" t="str">
        <f t="shared" si="3743"/>
        <v/>
      </c>
    </row>
    <row r="245" spans="1:175" ht="15">
      <c r="A245" s="81"/>
      <c r="B245" s="129" t="s">
        <v>827</v>
      </c>
      <c r="C245" s="127" t="str">
        <f t="shared" si="3744"/>
        <v>已领取星耀礼包</v>
      </c>
      <c r="T245" s="139" t="str">
        <f t="shared" si="3745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U245" s="81" t="s">
        <v>820</v>
      </c>
      <c r="CN245" s="70" t="str">
        <f t="shared" si="3746"/>
        <v>InitUnitState('IB57',,,,,,,,,,)</v>
      </c>
      <c r="CO245" s="70" t="str">
        <f t="shared" si="3747"/>
        <v>InitUnitNormal('IB57',,,,,,,,,,)</v>
      </c>
      <c r="CP245" s="70" t="str">
        <f t="shared" si="3748"/>
        <v>InitUnitMagic('IB57',,,,,,,,,,)</v>
      </c>
      <c r="CQ245" s="70" t="str">
        <f t="shared" si="3749"/>
        <v>InitUnitAdd('IB57',,,,,,,,,,)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247&amp;CR$1&amp;")"</f>
        <v>InitEquipData('IB57',,"",,,,,'','','','','','',"ReplaceableTextures\\commandButtons\\BTNLBUI01.blp")</v>
      </c>
      <c r="CU245" s="98" t="str">
        <f t="shared" si="3672"/>
        <v>|n</v>
      </c>
      <c r="CV245" s="71" t="str">
        <f t="shared" si="3673"/>
        <v>加入以下公会可领取：|n|cFF33FF00星耀俱乐部|n星悦俱乐部|n北斗俱乐部|nVVIP俱乐部|nMVP公会|n|n|cffffffff开局即可获得：|n|cFFFFCC33每秒生命+200.|n每秒业力+10.|n被动触发概率+2%.|n技能冷却-10%|N|N|cff00ff00已领取该礼包</v>
      </c>
      <c r="CW245" s="61"/>
      <c r="CX245" s="61"/>
      <c r="CY245" s="61"/>
      <c r="CZ245" s="61"/>
      <c r="DA245" s="61"/>
      <c r="DB245" s="72" t="str">
        <f t="shared" si="3674"/>
        <v/>
      </c>
      <c r="DC245" s="72" t="str">
        <f t="shared" si="3675"/>
        <v/>
      </c>
      <c r="DD245" s="72" t="str">
        <f t="shared" si="3676"/>
        <v/>
      </c>
      <c r="DE245" s="72" t="str">
        <f t="shared" si="3677"/>
        <v/>
      </c>
      <c r="DF245" s="72" t="str">
        <f t="shared" si="3678"/>
        <v/>
      </c>
      <c r="DG245" s="72" t="str">
        <f t="shared" si="3679"/>
        <v/>
      </c>
      <c r="DH245" s="72" t="str">
        <f t="shared" si="3680"/>
        <v/>
      </c>
      <c r="DI245" s="72" t="str">
        <f t="shared" si="3681"/>
        <v/>
      </c>
      <c r="DJ245" s="72" t="str">
        <f t="shared" si="3682"/>
        <v/>
      </c>
      <c r="DK245" s="72" t="str">
        <f t="shared" si="3683"/>
        <v/>
      </c>
      <c r="DL245" s="72" t="str">
        <f t="shared" si="3684"/>
        <v/>
      </c>
      <c r="DM245" s="72" t="str">
        <f t="shared" si="3685"/>
        <v/>
      </c>
      <c r="DN245" s="72" t="str">
        <f t="shared" si="3686"/>
        <v/>
      </c>
      <c r="DO245" s="72" t="str">
        <f t="shared" si="3687"/>
        <v/>
      </c>
      <c r="DP245" s="72" t="str">
        <f t="shared" si="3688"/>
        <v/>
      </c>
      <c r="DQ245" s="72" t="str">
        <f t="shared" si="3689"/>
        <v/>
      </c>
      <c r="DR245" s="72" t="str">
        <f t="shared" si="3690"/>
        <v/>
      </c>
      <c r="DS245" s="72" t="str">
        <f t="shared" si="3691"/>
        <v/>
      </c>
      <c r="DT245" s="72" t="str">
        <f t="shared" si="3692"/>
        <v/>
      </c>
      <c r="DU245" s="72" t="str">
        <f t="shared" si="3693"/>
        <v/>
      </c>
      <c r="DV245" s="72" t="str">
        <f t="shared" si="3694"/>
        <v/>
      </c>
      <c r="DW245" s="72" t="str">
        <f t="shared" si="3695"/>
        <v/>
      </c>
      <c r="DX245" s="72" t="str">
        <f t="shared" si="3696"/>
        <v/>
      </c>
      <c r="DY245" s="72" t="str">
        <f t="shared" si="3697"/>
        <v/>
      </c>
      <c r="DZ245" s="72" t="str">
        <f t="shared" si="3698"/>
        <v/>
      </c>
      <c r="EA245" s="72" t="str">
        <f t="shared" si="3699"/>
        <v/>
      </c>
      <c r="EB245" s="72" t="str">
        <f t="shared" si="3700"/>
        <v/>
      </c>
      <c r="EC245" s="72" t="str">
        <f t="shared" si="3701"/>
        <v/>
      </c>
      <c r="ED245" s="72" t="str">
        <f t="shared" si="3702"/>
        <v/>
      </c>
      <c r="EE245" s="72" t="str">
        <f t="shared" si="3703"/>
        <v/>
      </c>
      <c r="EF245" s="72" t="str">
        <f t="shared" si="3704"/>
        <v/>
      </c>
      <c r="EG245" s="72" t="str">
        <f t="shared" si="3705"/>
        <v/>
      </c>
      <c r="EH245" s="72" t="str">
        <f t="shared" si="3706"/>
        <v/>
      </c>
      <c r="EI245" s="72" t="str">
        <f t="shared" si="3707"/>
        <v/>
      </c>
      <c r="EJ245" s="72" t="str">
        <f t="shared" si="3708"/>
        <v/>
      </c>
      <c r="EK245" s="72" t="str">
        <f t="shared" si="3709"/>
        <v/>
      </c>
      <c r="EL245" s="72" t="str">
        <f t="shared" si="3710"/>
        <v/>
      </c>
      <c r="EM245" s="72" t="str">
        <f t="shared" si="3711"/>
        <v/>
      </c>
      <c r="EN245" s="72" t="str">
        <f t="shared" si="3712"/>
        <v/>
      </c>
      <c r="EO245" s="72" t="str">
        <f t="shared" si="3713"/>
        <v/>
      </c>
      <c r="EP245" s="72" t="str">
        <f t="shared" si="3714"/>
        <v/>
      </c>
      <c r="EQ245" s="72" t="str">
        <f t="shared" si="3715"/>
        <v/>
      </c>
      <c r="ER245" s="72" t="str">
        <f t="shared" si="3716"/>
        <v/>
      </c>
      <c r="ES245" s="72" t="str">
        <f t="shared" si="3717"/>
        <v/>
      </c>
      <c r="ET245" s="72" t="str">
        <f t="shared" si="3718"/>
        <v/>
      </c>
      <c r="EU245" s="72" t="str">
        <f t="shared" si="3719"/>
        <v/>
      </c>
      <c r="EV245" s="72" t="str">
        <f t="shared" si="3720"/>
        <v/>
      </c>
      <c r="EW245" s="72" t="str">
        <f t="shared" si="3721"/>
        <v/>
      </c>
      <c r="EX245" s="72" t="str">
        <f t="shared" si="3722"/>
        <v/>
      </c>
      <c r="EY245" s="72" t="str">
        <f t="shared" si="3723"/>
        <v/>
      </c>
      <c r="EZ245" s="72" t="str">
        <f t="shared" si="3724"/>
        <v/>
      </c>
      <c r="FA245" s="72" t="str">
        <f t="shared" si="3725"/>
        <v/>
      </c>
      <c r="FB245" s="72" t="str">
        <f t="shared" si="3726"/>
        <v/>
      </c>
      <c r="FC245" s="72" t="str">
        <f t="shared" si="3727"/>
        <v/>
      </c>
      <c r="FD245" s="72" t="str">
        <f t="shared" si="3728"/>
        <v/>
      </c>
      <c r="FE245" s="72" t="str">
        <f t="shared" si="3729"/>
        <v/>
      </c>
      <c r="FF245" s="72" t="str">
        <f t="shared" si="3730"/>
        <v/>
      </c>
      <c r="FG245" s="72" t="str">
        <f t="shared" si="3731"/>
        <v/>
      </c>
      <c r="FH245" s="72" t="str">
        <f t="shared" si="3732"/>
        <v/>
      </c>
      <c r="FI245" s="72" t="str">
        <f t="shared" si="3733"/>
        <v/>
      </c>
      <c r="FJ245" s="72" t="str">
        <f t="shared" si="3734"/>
        <v/>
      </c>
      <c r="FK245" s="72" t="str">
        <f t="shared" si="3735"/>
        <v/>
      </c>
      <c r="FL245" s="72" t="str">
        <f t="shared" si="3736"/>
        <v/>
      </c>
      <c r="FM245" s="72" t="str">
        <f t="shared" si="3737"/>
        <v/>
      </c>
      <c r="FN245" s="72" t="str">
        <f t="shared" si="3738"/>
        <v/>
      </c>
      <c r="FO245" s="72" t="str">
        <f t="shared" si="3739"/>
        <v/>
      </c>
      <c r="FP245" s="72" t="str">
        <f t="shared" si="3740"/>
        <v/>
      </c>
      <c r="FQ245" s="72" t="str">
        <f t="shared" si="3741"/>
        <v/>
      </c>
      <c r="FR245" s="72" t="str">
        <f t="shared" si="3742"/>
        <v/>
      </c>
      <c r="FS245" s="72" t="str">
        <f t="shared" si="3743"/>
        <v/>
      </c>
    </row>
    <row r="246" spans="1:175" ht="15">
      <c r="A246" s="81"/>
      <c r="B246" s="129" t="s">
        <v>828</v>
      </c>
      <c r="C246" s="127" t="str">
        <f t="shared" si="3744"/>
        <v>已领取魔芝RPG礼包</v>
      </c>
      <c r="T246" s="139" t="str">
        <f t="shared" si="3745"/>
        <v>|cff99ccff游戏中输入《|r|cff33ff00魔芝RPG|r|cff99ccff》领取本礼包！|r|n|n|r奖励：|n|cffffcc00练功房怪物数量+1|r|N|N|cff00ff00已领取该礼包</v>
      </c>
      <c r="U246" s="81" t="s">
        <v>820</v>
      </c>
      <c r="CN246" s="70" t="str">
        <f t="shared" si="3746"/>
        <v>InitUnitState('IB58',,,,,,,,,,)</v>
      </c>
      <c r="CO246" s="70" t="str">
        <f t="shared" si="3747"/>
        <v>InitUnitNormal('IB58',,,,,,,,,,)</v>
      </c>
      <c r="CP246" s="70" t="str">
        <f t="shared" si="3748"/>
        <v>InitUnitMagic('IB58',,,,,,,,,,)</v>
      </c>
      <c r="CQ246" s="70" t="str">
        <f t="shared" si="3749"/>
        <v>InitUnitAdd('IB58',,,,,,,,,,)</v>
      </c>
      <c r="CR246" s="70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268&amp;CR$1&amp;")"</f>
        <v>InitEquipData('IB58',,"",,,,,'','','','','','',"")</v>
      </c>
      <c r="CU246" s="98" t="str">
        <f t="shared" si="3672"/>
        <v>|n</v>
      </c>
      <c r="CV246" s="71" t="str">
        <f t="shared" si="3673"/>
        <v>|cff99ccff游戏中输入《|r|cff33ff00魔芝RPG|r|cff99ccff》领取本礼包！|r|n|n|r奖励：|n|cffffcc00练功房怪物数量+1|r|N|N|cff00ff00已领取该礼包</v>
      </c>
      <c r="CW246" s="61"/>
      <c r="CX246" s="61"/>
      <c r="CY246" s="61"/>
      <c r="CZ246" s="61"/>
      <c r="DA246" s="61"/>
      <c r="DB246" s="72" t="str">
        <f t="shared" ref="DB246:FM246" si="3750">IF(V246="","","|n"&amp;DB$2&amp;"+"&amp;V246&amp;DB$1)</f>
        <v/>
      </c>
      <c r="DC246" s="72" t="str">
        <f t="shared" si="3750"/>
        <v/>
      </c>
      <c r="DD246" s="72" t="str">
        <f t="shared" si="3750"/>
        <v/>
      </c>
      <c r="DE246" s="72" t="str">
        <f t="shared" si="3750"/>
        <v/>
      </c>
      <c r="DF246" s="72" t="str">
        <f t="shared" si="3750"/>
        <v/>
      </c>
      <c r="DG246" s="72" t="str">
        <f t="shared" si="3750"/>
        <v/>
      </c>
      <c r="DH246" s="72" t="str">
        <f t="shared" si="3750"/>
        <v/>
      </c>
      <c r="DI246" s="72" t="str">
        <f t="shared" si="3750"/>
        <v/>
      </c>
      <c r="DJ246" s="72" t="str">
        <f t="shared" si="3750"/>
        <v/>
      </c>
      <c r="DK246" s="72" t="str">
        <f t="shared" si="3750"/>
        <v/>
      </c>
      <c r="DL246" s="72" t="str">
        <f t="shared" si="3750"/>
        <v/>
      </c>
      <c r="DM246" s="72" t="str">
        <f t="shared" si="3750"/>
        <v/>
      </c>
      <c r="DN246" s="72" t="str">
        <f t="shared" si="3750"/>
        <v/>
      </c>
      <c r="DO246" s="72" t="str">
        <f t="shared" si="3750"/>
        <v/>
      </c>
      <c r="DP246" s="72" t="str">
        <f t="shared" si="3750"/>
        <v/>
      </c>
      <c r="DQ246" s="72" t="str">
        <f t="shared" si="3750"/>
        <v/>
      </c>
      <c r="DR246" s="72" t="str">
        <f t="shared" si="3750"/>
        <v/>
      </c>
      <c r="DS246" s="72" t="str">
        <f t="shared" si="3750"/>
        <v/>
      </c>
      <c r="DT246" s="72" t="str">
        <f t="shared" si="3750"/>
        <v/>
      </c>
      <c r="DU246" s="72" t="str">
        <f t="shared" si="3750"/>
        <v/>
      </c>
      <c r="DV246" s="72" t="str">
        <f t="shared" si="3750"/>
        <v/>
      </c>
      <c r="DW246" s="72" t="str">
        <f t="shared" si="3750"/>
        <v/>
      </c>
      <c r="DX246" s="72" t="str">
        <f t="shared" si="3750"/>
        <v/>
      </c>
      <c r="DY246" s="72" t="str">
        <f t="shared" si="3750"/>
        <v/>
      </c>
      <c r="DZ246" s="72" t="str">
        <f t="shared" si="3750"/>
        <v/>
      </c>
      <c r="EA246" s="72" t="str">
        <f t="shared" si="3750"/>
        <v/>
      </c>
      <c r="EB246" s="72" t="str">
        <f t="shared" si="3750"/>
        <v/>
      </c>
      <c r="EC246" s="72" t="str">
        <f t="shared" si="3750"/>
        <v/>
      </c>
      <c r="ED246" s="72" t="str">
        <f t="shared" si="3750"/>
        <v/>
      </c>
      <c r="EE246" s="72" t="str">
        <f t="shared" si="3750"/>
        <v/>
      </c>
      <c r="EF246" s="72" t="str">
        <f t="shared" si="3750"/>
        <v/>
      </c>
      <c r="EG246" s="72" t="str">
        <f t="shared" si="3750"/>
        <v/>
      </c>
      <c r="EH246" s="72" t="str">
        <f t="shared" si="3750"/>
        <v/>
      </c>
      <c r="EI246" s="72" t="str">
        <f t="shared" si="3750"/>
        <v/>
      </c>
      <c r="EJ246" s="72" t="str">
        <f t="shared" si="3750"/>
        <v/>
      </c>
      <c r="EK246" s="72" t="str">
        <f t="shared" si="3750"/>
        <v/>
      </c>
      <c r="EL246" s="72" t="str">
        <f t="shared" si="3750"/>
        <v/>
      </c>
      <c r="EM246" s="72" t="str">
        <f t="shared" si="3750"/>
        <v/>
      </c>
      <c r="EN246" s="72" t="str">
        <f t="shared" si="3750"/>
        <v/>
      </c>
      <c r="EO246" s="72" t="str">
        <f t="shared" si="3750"/>
        <v/>
      </c>
      <c r="EP246" s="72" t="str">
        <f t="shared" si="3750"/>
        <v/>
      </c>
      <c r="EQ246" s="72" t="str">
        <f t="shared" si="3750"/>
        <v/>
      </c>
      <c r="ER246" s="72" t="str">
        <f t="shared" si="3750"/>
        <v/>
      </c>
      <c r="ES246" s="72" t="str">
        <f t="shared" si="3750"/>
        <v/>
      </c>
      <c r="ET246" s="72" t="str">
        <f t="shared" si="3750"/>
        <v/>
      </c>
      <c r="EU246" s="72" t="str">
        <f t="shared" si="3750"/>
        <v/>
      </c>
      <c r="EV246" s="72" t="str">
        <f t="shared" si="3750"/>
        <v/>
      </c>
      <c r="EW246" s="72" t="str">
        <f t="shared" si="3750"/>
        <v/>
      </c>
      <c r="EX246" s="72" t="str">
        <f t="shared" si="3750"/>
        <v/>
      </c>
      <c r="EY246" s="72" t="str">
        <f t="shared" si="3750"/>
        <v/>
      </c>
      <c r="EZ246" s="72" t="str">
        <f t="shared" si="3750"/>
        <v/>
      </c>
      <c r="FA246" s="72" t="str">
        <f t="shared" si="3750"/>
        <v/>
      </c>
      <c r="FB246" s="72" t="str">
        <f t="shared" si="3750"/>
        <v/>
      </c>
      <c r="FC246" s="72" t="str">
        <f t="shared" si="3750"/>
        <v/>
      </c>
      <c r="FD246" s="72" t="str">
        <f t="shared" si="3750"/>
        <v/>
      </c>
      <c r="FE246" s="72" t="str">
        <f t="shared" si="3750"/>
        <v/>
      </c>
      <c r="FF246" s="72" t="str">
        <f t="shared" si="3750"/>
        <v/>
      </c>
      <c r="FG246" s="72" t="str">
        <f t="shared" si="3750"/>
        <v/>
      </c>
      <c r="FH246" s="72" t="str">
        <f t="shared" si="3750"/>
        <v/>
      </c>
      <c r="FI246" s="72" t="str">
        <f t="shared" si="3750"/>
        <v/>
      </c>
      <c r="FJ246" s="72" t="str">
        <f t="shared" si="3750"/>
        <v/>
      </c>
      <c r="FK246" s="72" t="str">
        <f t="shared" si="3750"/>
        <v/>
      </c>
      <c r="FL246" s="72" t="str">
        <f t="shared" si="3750"/>
        <v/>
      </c>
      <c r="FM246" s="72" t="str">
        <f t="shared" si="3750"/>
        <v/>
      </c>
      <c r="FN246" s="72" t="str">
        <f t="shared" ref="FN246:FS246" si="3751">IF(CH246="","","|n"&amp;FN$2&amp;"+"&amp;CH246&amp;FN$1)</f>
        <v/>
      </c>
      <c r="FO246" s="72" t="str">
        <f t="shared" si="3751"/>
        <v/>
      </c>
      <c r="FP246" s="72" t="str">
        <f t="shared" si="3751"/>
        <v/>
      </c>
      <c r="FQ246" s="72" t="str">
        <f t="shared" si="3751"/>
        <v/>
      </c>
      <c r="FR246" s="72" t="str">
        <f t="shared" si="3751"/>
        <v/>
      </c>
      <c r="FS246" s="72" t="str">
        <f t="shared" si="3751"/>
        <v/>
      </c>
    </row>
    <row r="247" spans="1:175" ht="15">
      <c r="A247" s="81"/>
      <c r="B247" s="129" t="s">
        <v>829</v>
      </c>
      <c r="C247" s="127" t="str">
        <f t="shared" si="3744"/>
        <v>已领取老铁礼包</v>
      </c>
      <c r="T247" s="139" t="str">
        <f t="shared" si="3745"/>
        <v>|N|N|cff00ff00已领取该礼包</v>
      </c>
      <c r="U247" s="81" t="s">
        <v>820</v>
      </c>
      <c r="CN247" s="70" t="str">
        <f t="shared" si="3746"/>
        <v>InitUnitState('IB59',,,,,,,,,,)</v>
      </c>
      <c r="CO247" s="70" t="str">
        <f t="shared" si="3747"/>
        <v>InitUnitNormal('IB59',,,,,,,,,,)</v>
      </c>
      <c r="CP247" s="70" t="str">
        <f t="shared" si="3748"/>
        <v>InitUnitMagic('IB59',,,,,,,,,,)</v>
      </c>
      <c r="CQ247" s="70" t="str">
        <f t="shared" si="3749"/>
        <v>InitUnitAdd('IB59',,,,,,,,,,)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269&amp;CR$1&amp;")"</f>
        <v>InitEquipData('IB59',,"",,,,,'','','','','','',"")</v>
      </c>
      <c r="CU247" s="98" t="str">
        <f t="shared" si="3672"/>
        <v>|n</v>
      </c>
      <c r="CV247" s="71" t="str">
        <f t="shared" si="3673"/>
        <v>|N|N|cff00ff00已领取该礼包</v>
      </c>
      <c r="CW247" s="61"/>
      <c r="CX247" s="61"/>
      <c r="CY247" s="61"/>
      <c r="CZ247" s="61"/>
      <c r="DA247" s="61"/>
      <c r="DB247" s="72" t="str">
        <f t="shared" ref="DB247:FM251" si="3752">IF(V247="","","|n"&amp;DB$2&amp;"+"&amp;V247&amp;DB$1)</f>
        <v/>
      </c>
      <c r="DC247" s="72" t="str">
        <f t="shared" si="3752"/>
        <v/>
      </c>
      <c r="DD247" s="72" t="str">
        <f t="shared" si="3752"/>
        <v/>
      </c>
      <c r="DE247" s="72" t="str">
        <f t="shared" si="3752"/>
        <v/>
      </c>
      <c r="DF247" s="72" t="str">
        <f t="shared" si="3752"/>
        <v/>
      </c>
      <c r="DG247" s="72" t="str">
        <f t="shared" si="3752"/>
        <v/>
      </c>
      <c r="DH247" s="72" t="str">
        <f t="shared" si="3752"/>
        <v/>
      </c>
      <c r="DI247" s="72" t="str">
        <f t="shared" si="3752"/>
        <v/>
      </c>
      <c r="DJ247" s="72" t="str">
        <f t="shared" si="3752"/>
        <v/>
      </c>
      <c r="DK247" s="72" t="str">
        <f t="shared" si="3752"/>
        <v/>
      </c>
      <c r="DL247" s="72" t="str">
        <f t="shared" si="3752"/>
        <v/>
      </c>
      <c r="DM247" s="72" t="str">
        <f t="shared" si="3752"/>
        <v/>
      </c>
      <c r="DN247" s="72" t="str">
        <f t="shared" si="3752"/>
        <v/>
      </c>
      <c r="DO247" s="72" t="str">
        <f t="shared" si="3752"/>
        <v/>
      </c>
      <c r="DP247" s="72" t="str">
        <f t="shared" si="3752"/>
        <v/>
      </c>
      <c r="DQ247" s="72" t="str">
        <f t="shared" si="3752"/>
        <v/>
      </c>
      <c r="DR247" s="72" t="str">
        <f t="shared" si="3752"/>
        <v/>
      </c>
      <c r="DS247" s="72" t="str">
        <f t="shared" si="3752"/>
        <v/>
      </c>
      <c r="DT247" s="72" t="str">
        <f t="shared" si="3752"/>
        <v/>
      </c>
      <c r="DU247" s="72" t="str">
        <f t="shared" si="3752"/>
        <v/>
      </c>
      <c r="DV247" s="72" t="str">
        <f t="shared" si="3752"/>
        <v/>
      </c>
      <c r="DW247" s="72" t="str">
        <f t="shared" si="3752"/>
        <v/>
      </c>
      <c r="DX247" s="72" t="str">
        <f t="shared" si="3752"/>
        <v/>
      </c>
      <c r="DY247" s="72" t="str">
        <f t="shared" si="3752"/>
        <v/>
      </c>
      <c r="DZ247" s="72" t="str">
        <f t="shared" si="3752"/>
        <v/>
      </c>
      <c r="EA247" s="72" t="str">
        <f t="shared" si="3752"/>
        <v/>
      </c>
      <c r="EB247" s="72" t="str">
        <f t="shared" si="3752"/>
        <v/>
      </c>
      <c r="EC247" s="72" t="str">
        <f t="shared" si="3752"/>
        <v/>
      </c>
      <c r="ED247" s="72" t="str">
        <f t="shared" si="3752"/>
        <v/>
      </c>
      <c r="EE247" s="72" t="str">
        <f t="shared" si="3752"/>
        <v/>
      </c>
      <c r="EF247" s="72" t="str">
        <f t="shared" si="3752"/>
        <v/>
      </c>
      <c r="EG247" s="72" t="str">
        <f t="shared" si="3752"/>
        <v/>
      </c>
      <c r="EH247" s="72" t="str">
        <f t="shared" si="3752"/>
        <v/>
      </c>
      <c r="EI247" s="72" t="str">
        <f t="shared" si="3752"/>
        <v/>
      </c>
      <c r="EJ247" s="72" t="str">
        <f t="shared" si="3752"/>
        <v/>
      </c>
      <c r="EK247" s="72" t="str">
        <f t="shared" si="3752"/>
        <v/>
      </c>
      <c r="EL247" s="72" t="str">
        <f t="shared" si="3752"/>
        <v/>
      </c>
      <c r="EM247" s="72" t="str">
        <f t="shared" si="3752"/>
        <v/>
      </c>
      <c r="EN247" s="72" t="str">
        <f t="shared" si="3752"/>
        <v/>
      </c>
      <c r="EO247" s="72" t="str">
        <f t="shared" si="3752"/>
        <v/>
      </c>
      <c r="EP247" s="72" t="str">
        <f t="shared" si="3752"/>
        <v/>
      </c>
      <c r="EQ247" s="72" t="str">
        <f t="shared" si="3752"/>
        <v/>
      </c>
      <c r="ER247" s="72" t="str">
        <f t="shared" si="3752"/>
        <v/>
      </c>
      <c r="ES247" s="72" t="str">
        <f t="shared" si="3752"/>
        <v/>
      </c>
      <c r="ET247" s="72" t="str">
        <f t="shared" si="3752"/>
        <v/>
      </c>
      <c r="EU247" s="72" t="str">
        <f t="shared" si="3752"/>
        <v/>
      </c>
      <c r="EV247" s="72" t="str">
        <f t="shared" si="3752"/>
        <v/>
      </c>
      <c r="EW247" s="72" t="str">
        <f t="shared" si="3752"/>
        <v/>
      </c>
      <c r="EX247" s="72" t="str">
        <f t="shared" si="3752"/>
        <v/>
      </c>
      <c r="EY247" s="72" t="str">
        <f t="shared" si="3752"/>
        <v/>
      </c>
      <c r="EZ247" s="72" t="str">
        <f t="shared" si="3752"/>
        <v/>
      </c>
      <c r="FA247" s="72" t="str">
        <f t="shared" si="3752"/>
        <v/>
      </c>
      <c r="FB247" s="72" t="str">
        <f t="shared" si="3752"/>
        <v/>
      </c>
      <c r="FC247" s="72" t="str">
        <f t="shared" si="3752"/>
        <v/>
      </c>
      <c r="FD247" s="72" t="str">
        <f t="shared" si="3752"/>
        <v/>
      </c>
      <c r="FE247" s="72" t="str">
        <f t="shared" si="3752"/>
        <v/>
      </c>
      <c r="FF247" s="72" t="str">
        <f t="shared" si="3752"/>
        <v/>
      </c>
      <c r="FG247" s="72" t="str">
        <f t="shared" si="3752"/>
        <v/>
      </c>
      <c r="FH247" s="72" t="str">
        <f t="shared" si="3752"/>
        <v/>
      </c>
      <c r="FI247" s="72" t="str">
        <f t="shared" si="3752"/>
        <v/>
      </c>
      <c r="FJ247" s="72" t="str">
        <f t="shared" si="3752"/>
        <v/>
      </c>
      <c r="FK247" s="72" t="str">
        <f t="shared" si="3752"/>
        <v/>
      </c>
      <c r="FL247" s="72" t="str">
        <f t="shared" si="3752"/>
        <v/>
      </c>
      <c r="FM247" s="72" t="str">
        <f t="shared" si="3752"/>
        <v/>
      </c>
      <c r="FN247" s="72" t="str">
        <f t="shared" ref="FN247:FS251" si="3753">IF(CH247="","","|n"&amp;FN$2&amp;"+"&amp;CH247&amp;FN$1)</f>
        <v/>
      </c>
      <c r="FO247" s="72" t="str">
        <f t="shared" si="3753"/>
        <v/>
      </c>
      <c r="FP247" s="72" t="str">
        <f t="shared" si="3753"/>
        <v/>
      </c>
      <c r="FQ247" s="72" t="str">
        <f t="shared" si="3753"/>
        <v/>
      </c>
      <c r="FR247" s="72" t="str">
        <f t="shared" si="3753"/>
        <v/>
      </c>
      <c r="FS247" s="72" t="str">
        <f t="shared" si="3753"/>
        <v/>
      </c>
    </row>
    <row r="248" spans="1:175" ht="15.6">
      <c r="A248" s="73"/>
      <c r="B248" s="130" t="s">
        <v>830</v>
      </c>
      <c r="C248" s="130" t="s">
        <v>831</v>
      </c>
      <c r="E248" s="103"/>
      <c r="F248" s="102"/>
      <c r="S248" s="110"/>
      <c r="T248" s="130" t="s">
        <v>831</v>
      </c>
      <c r="U248" s="137" t="s">
        <v>832</v>
      </c>
      <c r="V248" s="81"/>
      <c r="Z248" s="81"/>
      <c r="AG248" s="113"/>
      <c r="AL248" s="113"/>
      <c r="BC248" s="114"/>
      <c r="BD248" s="114"/>
      <c r="CU248" s="98" t="str">
        <f t="shared" ref="CU248" si="3754">CONCATENATE(DB248,DC248,DD248,DE248,DF248,DG248,DH248,DI248,DJ248,DK248,DL248,DM248,DN248,DO248,DP248,DQ248,DR248,DS248,DT248,DU248,DV248,DW248,DX248,DY248,DZ248,EA248,EB248,EC248,ED248,EE248,EF248,EG248,EH248,EI248,EJ248,EK248,EL248,EM248,EN248,EO248,EP248,EQ248,ER248,ES248,ET248,EU248,EV248,EW248,EX248,EY248,EZ248,FA248,FB248,FC248,FD248,FE248,FF248,FG248,FH248,FI248,FJ248,FK248,FL248,FM248,FN248,FO248,FP248,FQ248,FR248,FS248&amp;"|n")</f>
        <v>|n</v>
      </c>
      <c r="CV248" s="71" t="str">
        <f t="shared" ref="CV248" si="3755">T248</f>
        <v>积分兑换-永久</v>
      </c>
      <c r="CW248" s="61"/>
      <c r="CX248" s="61"/>
      <c r="CY248" s="61"/>
      <c r="CZ248" s="61"/>
      <c r="DA248" s="61"/>
      <c r="DB248" s="72" t="str">
        <f t="shared" ref="DB248" si="3756">IF(V248="","","|n"&amp;DB$2&amp;"+"&amp;V248&amp;DB$1)</f>
        <v/>
      </c>
      <c r="DC248" s="72" t="str">
        <f t="shared" ref="DC248" si="3757">IF(W248="","","|n"&amp;DC$2&amp;"+"&amp;W248&amp;DC$1)</f>
        <v/>
      </c>
      <c r="DD248" s="72" t="str">
        <f t="shared" ref="DD248" si="3758">IF(X248="","","|n"&amp;DD$2&amp;"+"&amp;X248&amp;DD$1)</f>
        <v/>
      </c>
      <c r="DE248" s="72" t="str">
        <f t="shared" ref="DE248" si="3759">IF(Y248="","","|n"&amp;DE$2&amp;"+"&amp;Y248&amp;DE$1)</f>
        <v/>
      </c>
      <c r="DF248" s="72" t="str">
        <f t="shared" ref="DF248" si="3760">IF(Z248="","","|n"&amp;DF$2&amp;"+"&amp;Z248&amp;DF$1)</f>
        <v/>
      </c>
      <c r="DG248" s="72" t="str">
        <f t="shared" ref="DG248" si="3761">IF(AA248="","","|n"&amp;DG$2&amp;"+"&amp;AA248&amp;DG$1)</f>
        <v/>
      </c>
      <c r="DH248" s="72" t="str">
        <f t="shared" ref="DH248" si="3762">IF(AB248="","","|n"&amp;DH$2&amp;"+"&amp;AB248&amp;DH$1)</f>
        <v/>
      </c>
      <c r="DI248" s="72" t="str">
        <f t="shared" ref="DI248" si="3763">IF(AC248="","","|n"&amp;DI$2&amp;"+"&amp;AC248&amp;DI$1)</f>
        <v/>
      </c>
      <c r="DJ248" s="72" t="str">
        <f t="shared" ref="DJ248" si="3764">IF(AD248="","","|n"&amp;DJ$2&amp;"+"&amp;AD248&amp;DJ$1)</f>
        <v/>
      </c>
      <c r="DK248" s="72" t="str">
        <f t="shared" ref="DK248" si="3765">IF(AE248="","","|n"&amp;DK$2&amp;"+"&amp;AE248&amp;DK$1)</f>
        <v/>
      </c>
      <c r="DL248" s="72" t="str">
        <f t="shared" ref="DL248" si="3766">IF(AF248="","","|n"&amp;DL$2&amp;"+"&amp;AF248&amp;DL$1)</f>
        <v/>
      </c>
      <c r="DM248" s="72" t="str">
        <f t="shared" ref="DM248" si="3767">IF(AG248="","","|n"&amp;DM$2&amp;"+"&amp;AG248&amp;DM$1)</f>
        <v/>
      </c>
      <c r="DN248" s="72" t="str">
        <f t="shared" ref="DN248" si="3768">IF(AH248="","","|n"&amp;DN$2&amp;"+"&amp;AH248&amp;DN$1)</f>
        <v/>
      </c>
      <c r="DO248" s="72" t="str">
        <f t="shared" ref="DO248" si="3769">IF(AI248="","","|n"&amp;DO$2&amp;"+"&amp;AI248&amp;DO$1)</f>
        <v/>
      </c>
      <c r="DP248" s="72" t="str">
        <f t="shared" ref="DP248" si="3770">IF(AJ248="","","|n"&amp;DP$2&amp;"+"&amp;AJ248&amp;DP$1)</f>
        <v/>
      </c>
      <c r="DQ248" s="72" t="str">
        <f t="shared" ref="DQ248" si="3771">IF(AK248="","","|n"&amp;DQ$2&amp;"+"&amp;AK248&amp;DQ$1)</f>
        <v/>
      </c>
      <c r="DR248" s="72" t="str">
        <f t="shared" ref="DR248" si="3772">IF(AL248="","","|n"&amp;DR$2&amp;"+"&amp;AL248&amp;DR$1)</f>
        <v/>
      </c>
      <c r="DS248" s="72" t="str">
        <f t="shared" ref="DS248" si="3773">IF(AM248="","","|n"&amp;DS$2&amp;"+"&amp;AM248&amp;DS$1)</f>
        <v/>
      </c>
      <c r="DT248" s="72" t="str">
        <f t="shared" ref="DT248" si="3774">IF(AN248="","","|n"&amp;DT$2&amp;"+"&amp;AN248&amp;DT$1)</f>
        <v/>
      </c>
      <c r="DU248" s="72" t="str">
        <f t="shared" ref="DU248" si="3775">IF(AO248="","","|n"&amp;DU$2&amp;"+"&amp;AO248&amp;DU$1)</f>
        <v/>
      </c>
      <c r="DV248" s="72" t="str">
        <f t="shared" ref="DV248" si="3776">IF(AP248="","","|n"&amp;DV$2&amp;"+"&amp;AP248&amp;DV$1)</f>
        <v/>
      </c>
      <c r="DW248" s="72" t="str">
        <f t="shared" ref="DW248" si="3777">IF(AQ248="","","|n"&amp;DW$2&amp;"+"&amp;AQ248&amp;DW$1)</f>
        <v/>
      </c>
      <c r="DX248" s="72" t="str">
        <f t="shared" ref="DX248" si="3778">IF(AR248="","","|n"&amp;DX$2&amp;"+"&amp;AR248&amp;DX$1)</f>
        <v/>
      </c>
      <c r="DY248" s="72" t="str">
        <f t="shared" ref="DY248" si="3779">IF(AS248="","","|n"&amp;DY$2&amp;"+"&amp;AS248&amp;DY$1)</f>
        <v/>
      </c>
      <c r="DZ248" s="72" t="str">
        <f t="shared" ref="DZ248" si="3780">IF(AT248="","","|n"&amp;DZ$2&amp;"+"&amp;AT248&amp;DZ$1)</f>
        <v/>
      </c>
      <c r="EA248" s="72" t="str">
        <f t="shared" ref="EA248" si="3781">IF(AU248="","","|n"&amp;EA$2&amp;"+"&amp;AU248&amp;EA$1)</f>
        <v/>
      </c>
      <c r="EB248" s="72" t="str">
        <f t="shared" ref="EB248" si="3782">IF(AV248="","","|n"&amp;EB$2&amp;"+"&amp;AV248&amp;EB$1)</f>
        <v/>
      </c>
      <c r="EC248" s="72" t="str">
        <f t="shared" ref="EC248" si="3783">IF(AW248="","","|n"&amp;EC$2&amp;"+"&amp;AW248&amp;EC$1)</f>
        <v/>
      </c>
      <c r="ED248" s="72" t="str">
        <f t="shared" ref="ED248" si="3784">IF(AX248="","","|n"&amp;ED$2&amp;"+"&amp;AX248&amp;ED$1)</f>
        <v/>
      </c>
      <c r="EE248" s="72" t="str">
        <f t="shared" ref="EE248" si="3785">IF(AY248="","","|n"&amp;EE$2&amp;"+"&amp;AY248&amp;EE$1)</f>
        <v/>
      </c>
      <c r="EF248" s="72" t="str">
        <f t="shared" ref="EF248" si="3786">IF(AZ248="","","|n"&amp;EF$2&amp;"+"&amp;AZ248&amp;EF$1)</f>
        <v/>
      </c>
      <c r="EG248" s="72" t="str">
        <f t="shared" ref="EG248" si="3787">IF(BA248="","","|n"&amp;EG$2&amp;"+"&amp;BA248&amp;EG$1)</f>
        <v/>
      </c>
      <c r="EH248" s="72" t="str">
        <f t="shared" ref="EH248" si="3788">IF(BB248="","","|n"&amp;EH$2&amp;"+"&amp;BB248&amp;EH$1)</f>
        <v/>
      </c>
      <c r="EI248" s="72" t="str">
        <f t="shared" ref="EI248" si="3789">IF(BC248="","","|n"&amp;EI$2&amp;"+"&amp;BC248&amp;EI$1)</f>
        <v/>
      </c>
      <c r="EJ248" s="72" t="str">
        <f t="shared" ref="EJ248" si="3790">IF(BD248="","","|n"&amp;EJ$2&amp;"+"&amp;BD248&amp;EJ$1)</f>
        <v/>
      </c>
      <c r="EK248" s="72" t="str">
        <f t="shared" ref="EK248" si="3791">IF(BE248="","","|n"&amp;EK$2&amp;"+"&amp;BE248&amp;EK$1)</f>
        <v/>
      </c>
      <c r="EL248" s="72" t="str">
        <f t="shared" ref="EL248" si="3792">IF(BF248="","","|n"&amp;EL$2&amp;"+"&amp;BF248&amp;EL$1)</f>
        <v/>
      </c>
      <c r="EM248" s="72" t="str">
        <f t="shared" ref="EM248" si="3793">IF(BG248="","","|n"&amp;EM$2&amp;"+"&amp;BG248&amp;EM$1)</f>
        <v/>
      </c>
      <c r="EN248" s="72" t="str">
        <f t="shared" ref="EN248" si="3794">IF(BH248="","","|n"&amp;EN$2&amp;"+"&amp;BH248&amp;EN$1)</f>
        <v/>
      </c>
      <c r="EO248" s="72" t="str">
        <f t="shared" ref="EO248" si="3795">IF(BI248="","","|n"&amp;EO$2&amp;"+"&amp;BI248&amp;EO$1)</f>
        <v/>
      </c>
      <c r="EP248" s="72" t="str">
        <f t="shared" ref="EP248" si="3796">IF(BJ248="","","|n"&amp;EP$2&amp;"+"&amp;BJ248&amp;EP$1)</f>
        <v/>
      </c>
      <c r="EQ248" s="72" t="str">
        <f t="shared" ref="EQ248" si="3797">IF(BK248="","","|n"&amp;EQ$2&amp;"+"&amp;BK248&amp;EQ$1)</f>
        <v/>
      </c>
      <c r="ER248" s="72" t="str">
        <f t="shared" ref="ER248" si="3798">IF(BL248="","","|n"&amp;ER$2&amp;"+"&amp;BL248&amp;ER$1)</f>
        <v/>
      </c>
      <c r="ES248" s="72" t="str">
        <f t="shared" ref="ES248" si="3799">IF(BM248="","","|n"&amp;ES$2&amp;"+"&amp;BM248&amp;ES$1)</f>
        <v/>
      </c>
      <c r="ET248" s="72" t="str">
        <f t="shared" ref="ET248" si="3800">IF(BN248="","","|n"&amp;ET$2&amp;"+"&amp;BN248&amp;ET$1)</f>
        <v/>
      </c>
      <c r="EU248" s="72" t="str">
        <f t="shared" ref="EU248" si="3801">IF(BO248="","","|n"&amp;EU$2&amp;"+"&amp;BO248&amp;EU$1)</f>
        <v/>
      </c>
      <c r="EV248" s="72" t="str">
        <f t="shared" ref="EV248" si="3802">IF(BP248="","","|n"&amp;EV$2&amp;"+"&amp;BP248&amp;EV$1)</f>
        <v/>
      </c>
      <c r="EW248" s="72" t="str">
        <f t="shared" ref="EW248" si="3803">IF(BQ248="","","|n"&amp;EW$2&amp;"+"&amp;BQ248&amp;EW$1)</f>
        <v/>
      </c>
      <c r="EX248" s="72" t="str">
        <f t="shared" ref="EX248" si="3804">IF(BR248="","","|n"&amp;EX$2&amp;"+"&amp;BR248&amp;EX$1)</f>
        <v/>
      </c>
      <c r="EY248" s="72" t="str">
        <f t="shared" ref="EY248" si="3805">IF(BS248="","","|n"&amp;EY$2&amp;"+"&amp;BS248&amp;EY$1)</f>
        <v/>
      </c>
      <c r="EZ248" s="72" t="str">
        <f t="shared" ref="EZ248" si="3806">IF(BT248="","","|n"&amp;EZ$2&amp;"+"&amp;BT248&amp;EZ$1)</f>
        <v/>
      </c>
      <c r="FA248" s="72" t="str">
        <f t="shared" ref="FA248" si="3807">IF(BU248="","","|n"&amp;FA$2&amp;"+"&amp;BU248&amp;FA$1)</f>
        <v/>
      </c>
      <c r="FB248" s="72" t="str">
        <f t="shared" ref="FB248" si="3808">IF(BV248="","","|n"&amp;FB$2&amp;"+"&amp;BV248&amp;FB$1)</f>
        <v/>
      </c>
      <c r="FC248" s="72" t="str">
        <f t="shared" ref="FC248" si="3809">IF(BW248="","","|n"&amp;FC$2&amp;"+"&amp;BW248&amp;FC$1)</f>
        <v/>
      </c>
      <c r="FD248" s="72" t="str">
        <f t="shared" ref="FD248" si="3810">IF(BX248="","","|n"&amp;FD$2&amp;"+"&amp;BX248&amp;FD$1)</f>
        <v/>
      </c>
      <c r="FE248" s="72" t="str">
        <f t="shared" ref="FE248" si="3811">IF(BY248="","","|n"&amp;FE$2&amp;"+"&amp;BY248&amp;FE$1)</f>
        <v/>
      </c>
      <c r="FF248" s="72" t="str">
        <f t="shared" ref="FF248" si="3812">IF(BZ248="","","|n"&amp;FF$2&amp;"+"&amp;BZ248&amp;FF$1)</f>
        <v/>
      </c>
      <c r="FG248" s="72" t="str">
        <f t="shared" ref="FG248" si="3813">IF(CA248="","","|n"&amp;FG$2&amp;"+"&amp;CA248&amp;FG$1)</f>
        <v/>
      </c>
      <c r="FH248" s="72" t="str">
        <f t="shared" ref="FH248" si="3814">IF(CB248="","","|n"&amp;FH$2&amp;"+"&amp;CB248&amp;FH$1)</f>
        <v/>
      </c>
      <c r="FI248" s="72" t="str">
        <f t="shared" ref="FI248" si="3815">IF(CC248="","","|n"&amp;FI$2&amp;"+"&amp;CC248&amp;FI$1)</f>
        <v/>
      </c>
      <c r="FJ248" s="72" t="str">
        <f t="shared" ref="FJ248" si="3816">IF(CD248="","","|n"&amp;FJ$2&amp;"+"&amp;CD248&amp;FJ$1)</f>
        <v/>
      </c>
      <c r="FK248" s="72" t="str">
        <f t="shared" ref="FK248" si="3817">IF(CE248="","","|n"&amp;FK$2&amp;"+"&amp;CE248&amp;FK$1)</f>
        <v/>
      </c>
      <c r="FL248" s="72" t="str">
        <f t="shared" ref="FL248" si="3818">IF(CF248="","","|n"&amp;FL$2&amp;"+"&amp;CF248&amp;FL$1)</f>
        <v/>
      </c>
      <c r="FM248" s="72" t="str">
        <f t="shared" ref="FM248" si="3819">IF(CG248="","","|n"&amp;FM$2&amp;"+"&amp;CG248&amp;FM$1)</f>
        <v/>
      </c>
      <c r="FN248" s="72" t="str">
        <f t="shared" ref="FN248" si="3820">IF(CH248="","","|n"&amp;FN$2&amp;"+"&amp;CH248&amp;FN$1)</f>
        <v/>
      </c>
      <c r="FO248" s="72" t="str">
        <f t="shared" ref="FO248" si="3821">IF(CI248="","","|n"&amp;FO$2&amp;"+"&amp;CI248&amp;FO$1)</f>
        <v/>
      </c>
      <c r="FP248" s="72" t="str">
        <f t="shared" ref="FP248" si="3822">IF(CJ248="","","|n"&amp;FP$2&amp;"+"&amp;CJ248&amp;FP$1)</f>
        <v/>
      </c>
      <c r="FQ248" s="72" t="str">
        <f t="shared" ref="FQ248" si="3823">IF(CK248="","","|n"&amp;FQ$2&amp;"+"&amp;CK248&amp;FQ$1)</f>
        <v/>
      </c>
      <c r="FR248" s="72" t="str">
        <f t="shared" ref="FR248" si="3824">IF(CL248="","","|n"&amp;FR$2&amp;"+"&amp;CL248&amp;FR$1)</f>
        <v/>
      </c>
      <c r="FS248" s="72" t="str">
        <f t="shared" ref="FS248" si="3825">IF(CM248="","","|n"&amp;FS$2&amp;"+"&amp;CM248&amp;FS$1)</f>
        <v/>
      </c>
    </row>
    <row r="249" spans="1:175" ht="15.6">
      <c r="A249" s="73"/>
      <c r="B249" s="131" t="s">
        <v>833</v>
      </c>
      <c r="C249" s="131" t="s">
        <v>834</v>
      </c>
      <c r="E249" s="103"/>
      <c r="F249" s="102"/>
      <c r="S249" s="110"/>
      <c r="T249" s="71" t="s">
        <v>835</v>
      </c>
      <c r="U249" s="88" t="str">
        <f t="shared" ref="U249:U252" si="3826">"ReplaceableTextures\\CommandButtons\\BTNR"&amp;RIGHT(B249,3)&amp;".blp"</f>
        <v>ReplaceableTextures\\CommandButtons\\BTNRY1C.blp</v>
      </c>
      <c r="V249" s="81"/>
      <c r="Z249" s="81"/>
      <c r="AG249" s="113"/>
      <c r="AL249" s="113"/>
      <c r="BC249" s="114"/>
      <c r="BD249" s="114"/>
      <c r="CU249" s="98" t="str">
        <f t="shared" ref="CU249:CU251" si="3827">CONCATENATE(DB249,DC249,DD249,DE249,DF249,DG249,DH249,DI249,DJ249,DK249,DL249,DM249,DN249,DO249,DP249,DQ249,DR249,DS249,DT249,DU249,DV249,DW249,DX249,DY249,DZ249,EA249,EB249,EC249,ED249,EE249,EF249,EG249,EH249,EI249,EJ249,EK249,EL249,EM249,EN249,EO249,EP249,EQ249,ER249,ES249,ET249,EU249,EV249,EW249,EX249,EY249,EZ249,FA249,FB249,FC249,FD249,FE249,FF249,FG249,FH249,FI249,FJ249,FK249,FL249,FM249,FN249,FO249,FP249,FQ249,FR249,FS249&amp;"|n")</f>
        <v>|n</v>
      </c>
      <c r="CV249" s="71" t="str">
        <f t="shared" si="3673"/>
        <v>代码生成</v>
      </c>
      <c r="CW249" s="61"/>
      <c r="CX249" s="61"/>
      <c r="CY249" s="61"/>
      <c r="CZ249" s="61"/>
      <c r="DA249" s="61"/>
      <c r="DB249" s="72" t="str">
        <f t="shared" si="3752"/>
        <v/>
      </c>
      <c r="DC249" s="72" t="str">
        <f t="shared" si="3752"/>
        <v/>
      </c>
      <c r="DD249" s="72" t="str">
        <f t="shared" si="3752"/>
        <v/>
      </c>
      <c r="DE249" s="72" t="str">
        <f t="shared" si="3752"/>
        <v/>
      </c>
      <c r="DF249" s="72" t="str">
        <f t="shared" si="3752"/>
        <v/>
      </c>
      <c r="DG249" s="72" t="str">
        <f t="shared" si="3752"/>
        <v/>
      </c>
      <c r="DH249" s="72" t="str">
        <f t="shared" si="3752"/>
        <v/>
      </c>
      <c r="DI249" s="72" t="str">
        <f t="shared" si="3752"/>
        <v/>
      </c>
      <c r="DJ249" s="72" t="str">
        <f t="shared" si="3752"/>
        <v/>
      </c>
      <c r="DK249" s="72" t="str">
        <f t="shared" si="3752"/>
        <v/>
      </c>
      <c r="DL249" s="72" t="str">
        <f t="shared" si="3752"/>
        <v/>
      </c>
      <c r="DM249" s="72" t="str">
        <f t="shared" si="3752"/>
        <v/>
      </c>
      <c r="DN249" s="72" t="str">
        <f t="shared" si="3752"/>
        <v/>
      </c>
      <c r="DO249" s="72" t="str">
        <f t="shared" si="3752"/>
        <v/>
      </c>
      <c r="DP249" s="72" t="str">
        <f t="shared" si="3752"/>
        <v/>
      </c>
      <c r="DQ249" s="72" t="str">
        <f t="shared" si="3752"/>
        <v/>
      </c>
      <c r="DR249" s="72" t="str">
        <f t="shared" si="3752"/>
        <v/>
      </c>
      <c r="DS249" s="72" t="str">
        <f t="shared" si="3752"/>
        <v/>
      </c>
      <c r="DT249" s="72" t="str">
        <f t="shared" si="3752"/>
        <v/>
      </c>
      <c r="DU249" s="72" t="str">
        <f t="shared" si="3752"/>
        <v/>
      </c>
      <c r="DV249" s="72" t="str">
        <f t="shared" si="3752"/>
        <v/>
      </c>
      <c r="DW249" s="72" t="str">
        <f t="shared" si="3752"/>
        <v/>
      </c>
      <c r="DX249" s="72" t="str">
        <f t="shared" si="3752"/>
        <v/>
      </c>
      <c r="DY249" s="72" t="str">
        <f t="shared" si="3752"/>
        <v/>
      </c>
      <c r="DZ249" s="72" t="str">
        <f t="shared" si="3752"/>
        <v/>
      </c>
      <c r="EA249" s="72" t="str">
        <f t="shared" si="3752"/>
        <v/>
      </c>
      <c r="EB249" s="72" t="str">
        <f t="shared" si="3752"/>
        <v/>
      </c>
      <c r="EC249" s="72" t="str">
        <f t="shared" si="3752"/>
        <v/>
      </c>
      <c r="ED249" s="72" t="str">
        <f t="shared" si="3752"/>
        <v/>
      </c>
      <c r="EE249" s="72" t="str">
        <f t="shared" si="3752"/>
        <v/>
      </c>
      <c r="EF249" s="72" t="str">
        <f t="shared" si="3752"/>
        <v/>
      </c>
      <c r="EG249" s="72" t="str">
        <f t="shared" si="3752"/>
        <v/>
      </c>
      <c r="EH249" s="72" t="str">
        <f t="shared" si="3752"/>
        <v/>
      </c>
      <c r="EI249" s="72" t="str">
        <f t="shared" si="3752"/>
        <v/>
      </c>
      <c r="EJ249" s="72" t="str">
        <f t="shared" si="3752"/>
        <v/>
      </c>
      <c r="EK249" s="72" t="str">
        <f t="shared" si="3752"/>
        <v/>
      </c>
      <c r="EL249" s="72" t="str">
        <f t="shared" si="3752"/>
        <v/>
      </c>
      <c r="EM249" s="72" t="str">
        <f t="shared" si="3752"/>
        <v/>
      </c>
      <c r="EN249" s="72" t="str">
        <f t="shared" si="3752"/>
        <v/>
      </c>
      <c r="EO249" s="72" t="str">
        <f t="shared" si="3752"/>
        <v/>
      </c>
      <c r="EP249" s="72" t="str">
        <f t="shared" si="3752"/>
        <v/>
      </c>
      <c r="EQ249" s="72" t="str">
        <f t="shared" si="3752"/>
        <v/>
      </c>
      <c r="ER249" s="72" t="str">
        <f t="shared" si="3752"/>
        <v/>
      </c>
      <c r="ES249" s="72" t="str">
        <f t="shared" si="3752"/>
        <v/>
      </c>
      <c r="ET249" s="72" t="str">
        <f t="shared" si="3752"/>
        <v/>
      </c>
      <c r="EU249" s="72" t="str">
        <f t="shared" si="3752"/>
        <v/>
      </c>
      <c r="EV249" s="72" t="str">
        <f t="shared" si="3752"/>
        <v/>
      </c>
      <c r="EW249" s="72" t="str">
        <f t="shared" si="3752"/>
        <v/>
      </c>
      <c r="EX249" s="72" t="str">
        <f t="shared" si="3752"/>
        <v/>
      </c>
      <c r="EY249" s="72" t="str">
        <f t="shared" si="3752"/>
        <v/>
      </c>
      <c r="EZ249" s="72" t="str">
        <f t="shared" si="3752"/>
        <v/>
      </c>
      <c r="FA249" s="72" t="str">
        <f t="shared" si="3752"/>
        <v/>
      </c>
      <c r="FB249" s="72" t="str">
        <f t="shared" si="3752"/>
        <v/>
      </c>
      <c r="FC249" s="72" t="str">
        <f t="shared" si="3752"/>
        <v/>
      </c>
      <c r="FD249" s="72" t="str">
        <f t="shared" si="3752"/>
        <v/>
      </c>
      <c r="FE249" s="72" t="str">
        <f t="shared" si="3752"/>
        <v/>
      </c>
      <c r="FF249" s="72" t="str">
        <f t="shared" si="3752"/>
        <v/>
      </c>
      <c r="FG249" s="72" t="str">
        <f t="shared" si="3752"/>
        <v/>
      </c>
      <c r="FH249" s="72" t="str">
        <f t="shared" si="3752"/>
        <v/>
      </c>
      <c r="FI249" s="72" t="str">
        <f t="shared" si="3752"/>
        <v/>
      </c>
      <c r="FJ249" s="72" t="str">
        <f t="shared" si="3752"/>
        <v/>
      </c>
      <c r="FK249" s="72" t="str">
        <f t="shared" si="3752"/>
        <v/>
      </c>
      <c r="FL249" s="72" t="str">
        <f t="shared" si="3752"/>
        <v/>
      </c>
      <c r="FM249" s="72" t="str">
        <f t="shared" si="3752"/>
        <v/>
      </c>
      <c r="FN249" s="72" t="str">
        <f t="shared" si="3753"/>
        <v/>
      </c>
      <c r="FO249" s="72" t="str">
        <f t="shared" si="3753"/>
        <v/>
      </c>
      <c r="FP249" s="72" t="str">
        <f t="shared" si="3753"/>
        <v/>
      </c>
      <c r="FQ249" s="72" t="str">
        <f t="shared" si="3753"/>
        <v/>
      </c>
      <c r="FR249" s="72" t="str">
        <f t="shared" si="3753"/>
        <v/>
      </c>
      <c r="FS249" s="72" t="str">
        <f t="shared" si="3753"/>
        <v/>
      </c>
    </row>
    <row r="250" spans="1:175" ht="17.399999999999999">
      <c r="A250" s="73"/>
      <c r="B250" s="132" t="s">
        <v>836</v>
      </c>
      <c r="C250" s="133" t="s">
        <v>837</v>
      </c>
      <c r="E250" s="103"/>
      <c r="F250" s="102"/>
      <c r="S250" s="110"/>
      <c r="T250" s="71" t="s">
        <v>835</v>
      </c>
      <c r="U250" s="88" t="str">
        <f t="shared" si="3826"/>
        <v>ReplaceableTextures\\CommandButtons\\BTNRY2C.blp</v>
      </c>
      <c r="V250" s="81"/>
      <c r="Z250" s="81"/>
      <c r="AG250" s="113"/>
      <c r="AL250" s="113"/>
      <c r="BC250" s="114"/>
      <c r="BD250" s="114"/>
      <c r="CU250" s="98" t="str">
        <f t="shared" ref="CU250" si="3828">CONCATENATE(DB250,DC250,DD250,DE250,DF250,DG250,DH250,DI250,DJ250,DK250,DL250,DM250,DN250,DO250,DP250,DQ250,DR250,DS250,DT250,DU250,DV250,DW250,DX250,DY250,DZ250,EA250,EB250,EC250,ED250,EE250,EF250,EG250,EH250,EI250,EJ250,EK250,EL250,EM250,EN250,EO250,EP250,EQ250,ER250,ES250,ET250,EU250,EV250,EW250,EX250,EY250,EZ250,FA250,FB250,FC250,FD250,FE250,FF250,FG250,FH250,FI250,FJ250,FK250,FL250,FM250,FN250,FO250,FP250,FQ250,FR250,FS250&amp;"|n")</f>
        <v>|n</v>
      </c>
      <c r="CV250" s="71" t="str">
        <f t="shared" si="3673"/>
        <v>代码生成</v>
      </c>
      <c r="CW250" s="61"/>
      <c r="CX250" s="61"/>
      <c r="CY250" s="61"/>
      <c r="CZ250" s="61"/>
      <c r="DA250" s="61"/>
      <c r="DB250" s="72" t="str">
        <f t="shared" ref="DB250" si="3829">IF(V250="","","|n"&amp;DB$2&amp;"+"&amp;V250&amp;DB$1)</f>
        <v/>
      </c>
      <c r="DC250" s="72" t="str">
        <f t="shared" ref="DC250" si="3830">IF(W250="","","|n"&amp;DC$2&amp;"+"&amp;W250&amp;DC$1)</f>
        <v/>
      </c>
      <c r="DD250" s="72" t="str">
        <f t="shared" ref="DD250" si="3831">IF(X250="","","|n"&amp;DD$2&amp;"+"&amp;X250&amp;DD$1)</f>
        <v/>
      </c>
      <c r="DE250" s="72" t="str">
        <f t="shared" ref="DE250" si="3832">IF(Y250="","","|n"&amp;DE$2&amp;"+"&amp;Y250&amp;DE$1)</f>
        <v/>
      </c>
      <c r="DF250" s="72" t="str">
        <f t="shared" ref="DF250" si="3833">IF(Z250="","","|n"&amp;DF$2&amp;"+"&amp;Z250&amp;DF$1)</f>
        <v/>
      </c>
      <c r="DG250" s="72" t="str">
        <f t="shared" ref="DG250" si="3834">IF(AA250="","","|n"&amp;DG$2&amp;"+"&amp;AA250&amp;DG$1)</f>
        <v/>
      </c>
      <c r="DH250" s="72" t="str">
        <f t="shared" ref="DH250" si="3835">IF(AB250="","","|n"&amp;DH$2&amp;"+"&amp;AB250&amp;DH$1)</f>
        <v/>
      </c>
      <c r="DI250" s="72" t="str">
        <f t="shared" ref="DI250" si="3836">IF(AC250="","","|n"&amp;DI$2&amp;"+"&amp;AC250&amp;DI$1)</f>
        <v/>
      </c>
      <c r="DJ250" s="72" t="str">
        <f t="shared" ref="DJ250" si="3837">IF(AD250="","","|n"&amp;DJ$2&amp;"+"&amp;AD250&amp;DJ$1)</f>
        <v/>
      </c>
      <c r="DK250" s="72" t="str">
        <f t="shared" ref="DK250" si="3838">IF(AE250="","","|n"&amp;DK$2&amp;"+"&amp;AE250&amp;DK$1)</f>
        <v/>
      </c>
      <c r="DL250" s="72" t="str">
        <f t="shared" ref="DL250" si="3839">IF(AF250="","","|n"&amp;DL$2&amp;"+"&amp;AF250&amp;DL$1)</f>
        <v/>
      </c>
      <c r="DM250" s="72" t="str">
        <f t="shared" ref="DM250" si="3840">IF(AG250="","","|n"&amp;DM$2&amp;"+"&amp;AG250&amp;DM$1)</f>
        <v/>
      </c>
      <c r="DN250" s="72" t="str">
        <f t="shared" ref="DN250" si="3841">IF(AH250="","","|n"&amp;DN$2&amp;"+"&amp;AH250&amp;DN$1)</f>
        <v/>
      </c>
      <c r="DO250" s="72" t="str">
        <f t="shared" ref="DO250" si="3842">IF(AI250="","","|n"&amp;DO$2&amp;"+"&amp;AI250&amp;DO$1)</f>
        <v/>
      </c>
      <c r="DP250" s="72" t="str">
        <f t="shared" ref="DP250" si="3843">IF(AJ250="","","|n"&amp;DP$2&amp;"+"&amp;AJ250&amp;DP$1)</f>
        <v/>
      </c>
      <c r="DQ250" s="72" t="str">
        <f t="shared" ref="DQ250" si="3844">IF(AK250="","","|n"&amp;DQ$2&amp;"+"&amp;AK250&amp;DQ$1)</f>
        <v/>
      </c>
      <c r="DR250" s="72" t="str">
        <f t="shared" ref="DR250" si="3845">IF(AL250="","","|n"&amp;DR$2&amp;"+"&amp;AL250&amp;DR$1)</f>
        <v/>
      </c>
      <c r="DS250" s="72" t="str">
        <f t="shared" ref="DS250" si="3846">IF(AM250="","","|n"&amp;DS$2&amp;"+"&amp;AM250&amp;DS$1)</f>
        <v/>
      </c>
      <c r="DT250" s="72" t="str">
        <f t="shared" ref="DT250" si="3847">IF(AN250="","","|n"&amp;DT$2&amp;"+"&amp;AN250&amp;DT$1)</f>
        <v/>
      </c>
      <c r="DU250" s="72" t="str">
        <f t="shared" ref="DU250" si="3848">IF(AO250="","","|n"&amp;DU$2&amp;"+"&amp;AO250&amp;DU$1)</f>
        <v/>
      </c>
      <c r="DV250" s="72" t="str">
        <f t="shared" ref="DV250" si="3849">IF(AP250="","","|n"&amp;DV$2&amp;"+"&amp;AP250&amp;DV$1)</f>
        <v/>
      </c>
      <c r="DW250" s="72" t="str">
        <f t="shared" ref="DW250" si="3850">IF(AQ250="","","|n"&amp;DW$2&amp;"+"&amp;AQ250&amp;DW$1)</f>
        <v/>
      </c>
      <c r="DX250" s="72" t="str">
        <f t="shared" ref="DX250" si="3851">IF(AR250="","","|n"&amp;DX$2&amp;"+"&amp;AR250&amp;DX$1)</f>
        <v/>
      </c>
      <c r="DY250" s="72" t="str">
        <f t="shared" ref="DY250" si="3852">IF(AS250="","","|n"&amp;DY$2&amp;"+"&amp;AS250&amp;DY$1)</f>
        <v/>
      </c>
      <c r="DZ250" s="72" t="str">
        <f t="shared" ref="DZ250" si="3853">IF(AT250="","","|n"&amp;DZ$2&amp;"+"&amp;AT250&amp;DZ$1)</f>
        <v/>
      </c>
      <c r="EA250" s="72" t="str">
        <f t="shared" ref="EA250" si="3854">IF(AU250="","","|n"&amp;EA$2&amp;"+"&amp;AU250&amp;EA$1)</f>
        <v/>
      </c>
      <c r="EB250" s="72" t="str">
        <f t="shared" ref="EB250" si="3855">IF(AV250="","","|n"&amp;EB$2&amp;"+"&amp;AV250&amp;EB$1)</f>
        <v/>
      </c>
      <c r="EC250" s="72" t="str">
        <f t="shared" ref="EC250" si="3856">IF(AW250="","","|n"&amp;EC$2&amp;"+"&amp;AW250&amp;EC$1)</f>
        <v/>
      </c>
      <c r="ED250" s="72" t="str">
        <f t="shared" ref="ED250" si="3857">IF(AX250="","","|n"&amp;ED$2&amp;"+"&amp;AX250&amp;ED$1)</f>
        <v/>
      </c>
      <c r="EE250" s="72" t="str">
        <f t="shared" ref="EE250" si="3858">IF(AY250="","","|n"&amp;EE$2&amp;"+"&amp;AY250&amp;EE$1)</f>
        <v/>
      </c>
      <c r="EF250" s="72" t="str">
        <f t="shared" ref="EF250" si="3859">IF(AZ250="","","|n"&amp;EF$2&amp;"+"&amp;AZ250&amp;EF$1)</f>
        <v/>
      </c>
      <c r="EG250" s="72" t="str">
        <f t="shared" ref="EG250" si="3860">IF(BA250="","","|n"&amp;EG$2&amp;"+"&amp;BA250&amp;EG$1)</f>
        <v/>
      </c>
      <c r="EH250" s="72" t="str">
        <f t="shared" ref="EH250" si="3861">IF(BB250="","","|n"&amp;EH$2&amp;"+"&amp;BB250&amp;EH$1)</f>
        <v/>
      </c>
      <c r="EI250" s="72" t="str">
        <f t="shared" ref="EI250" si="3862">IF(BC250="","","|n"&amp;EI$2&amp;"+"&amp;BC250&amp;EI$1)</f>
        <v/>
      </c>
      <c r="EJ250" s="72" t="str">
        <f t="shared" ref="EJ250" si="3863">IF(BD250="","","|n"&amp;EJ$2&amp;"+"&amp;BD250&amp;EJ$1)</f>
        <v/>
      </c>
      <c r="EK250" s="72" t="str">
        <f t="shared" ref="EK250" si="3864">IF(BE250="","","|n"&amp;EK$2&amp;"+"&amp;BE250&amp;EK$1)</f>
        <v/>
      </c>
      <c r="EL250" s="72" t="str">
        <f t="shared" ref="EL250" si="3865">IF(BF250="","","|n"&amp;EL$2&amp;"+"&amp;BF250&amp;EL$1)</f>
        <v/>
      </c>
      <c r="EM250" s="72" t="str">
        <f t="shared" ref="EM250" si="3866">IF(BG250="","","|n"&amp;EM$2&amp;"+"&amp;BG250&amp;EM$1)</f>
        <v/>
      </c>
      <c r="EN250" s="72" t="str">
        <f t="shared" ref="EN250" si="3867">IF(BH250="","","|n"&amp;EN$2&amp;"+"&amp;BH250&amp;EN$1)</f>
        <v/>
      </c>
      <c r="EO250" s="72" t="str">
        <f t="shared" ref="EO250" si="3868">IF(BI250="","","|n"&amp;EO$2&amp;"+"&amp;BI250&amp;EO$1)</f>
        <v/>
      </c>
      <c r="EP250" s="72" t="str">
        <f t="shared" ref="EP250" si="3869">IF(BJ250="","","|n"&amp;EP$2&amp;"+"&amp;BJ250&amp;EP$1)</f>
        <v/>
      </c>
      <c r="EQ250" s="72" t="str">
        <f t="shared" ref="EQ250" si="3870">IF(BK250="","","|n"&amp;EQ$2&amp;"+"&amp;BK250&amp;EQ$1)</f>
        <v/>
      </c>
      <c r="ER250" s="72" t="str">
        <f t="shared" ref="ER250" si="3871">IF(BL250="","","|n"&amp;ER$2&amp;"+"&amp;BL250&amp;ER$1)</f>
        <v/>
      </c>
      <c r="ES250" s="72" t="str">
        <f t="shared" ref="ES250" si="3872">IF(BM250="","","|n"&amp;ES$2&amp;"+"&amp;BM250&amp;ES$1)</f>
        <v/>
      </c>
      <c r="ET250" s="72" t="str">
        <f t="shared" ref="ET250" si="3873">IF(BN250="","","|n"&amp;ET$2&amp;"+"&amp;BN250&amp;ET$1)</f>
        <v/>
      </c>
      <c r="EU250" s="72" t="str">
        <f t="shared" ref="EU250" si="3874">IF(BO250="","","|n"&amp;EU$2&amp;"+"&amp;BO250&amp;EU$1)</f>
        <v/>
      </c>
      <c r="EV250" s="72" t="str">
        <f t="shared" ref="EV250" si="3875">IF(BP250="","","|n"&amp;EV$2&amp;"+"&amp;BP250&amp;EV$1)</f>
        <v/>
      </c>
      <c r="EW250" s="72" t="str">
        <f t="shared" ref="EW250" si="3876">IF(BQ250="","","|n"&amp;EW$2&amp;"+"&amp;BQ250&amp;EW$1)</f>
        <v/>
      </c>
      <c r="EX250" s="72" t="str">
        <f t="shared" ref="EX250" si="3877">IF(BR250="","","|n"&amp;EX$2&amp;"+"&amp;BR250&amp;EX$1)</f>
        <v/>
      </c>
      <c r="EY250" s="72" t="str">
        <f t="shared" ref="EY250" si="3878">IF(BS250="","","|n"&amp;EY$2&amp;"+"&amp;BS250&amp;EY$1)</f>
        <v/>
      </c>
      <c r="EZ250" s="72" t="str">
        <f t="shared" ref="EZ250" si="3879">IF(BT250="","","|n"&amp;EZ$2&amp;"+"&amp;BT250&amp;EZ$1)</f>
        <v/>
      </c>
      <c r="FA250" s="72" t="str">
        <f t="shared" ref="FA250" si="3880">IF(BU250="","","|n"&amp;FA$2&amp;"+"&amp;BU250&amp;FA$1)</f>
        <v/>
      </c>
      <c r="FB250" s="72" t="str">
        <f t="shared" ref="FB250" si="3881">IF(BV250="","","|n"&amp;FB$2&amp;"+"&amp;BV250&amp;FB$1)</f>
        <v/>
      </c>
      <c r="FC250" s="72" t="str">
        <f t="shared" ref="FC250" si="3882">IF(BW250="","","|n"&amp;FC$2&amp;"+"&amp;BW250&amp;FC$1)</f>
        <v/>
      </c>
      <c r="FD250" s="72" t="str">
        <f t="shared" ref="FD250" si="3883">IF(BX250="","","|n"&amp;FD$2&amp;"+"&amp;BX250&amp;FD$1)</f>
        <v/>
      </c>
      <c r="FE250" s="72" t="str">
        <f t="shared" ref="FE250" si="3884">IF(BY250="","","|n"&amp;FE$2&amp;"+"&amp;BY250&amp;FE$1)</f>
        <v/>
      </c>
      <c r="FF250" s="72" t="str">
        <f t="shared" ref="FF250" si="3885">IF(BZ250="","","|n"&amp;FF$2&amp;"+"&amp;BZ250&amp;FF$1)</f>
        <v/>
      </c>
      <c r="FG250" s="72" t="str">
        <f t="shared" ref="FG250" si="3886">IF(CA250="","","|n"&amp;FG$2&amp;"+"&amp;CA250&amp;FG$1)</f>
        <v/>
      </c>
      <c r="FH250" s="72" t="str">
        <f t="shared" ref="FH250" si="3887">IF(CB250="","","|n"&amp;FH$2&amp;"+"&amp;CB250&amp;FH$1)</f>
        <v/>
      </c>
      <c r="FI250" s="72" t="str">
        <f t="shared" ref="FI250" si="3888">IF(CC250="","","|n"&amp;FI$2&amp;"+"&amp;CC250&amp;FI$1)</f>
        <v/>
      </c>
      <c r="FJ250" s="72" t="str">
        <f t="shared" ref="FJ250" si="3889">IF(CD250="","","|n"&amp;FJ$2&amp;"+"&amp;CD250&amp;FJ$1)</f>
        <v/>
      </c>
      <c r="FK250" s="72" t="str">
        <f t="shared" ref="FK250" si="3890">IF(CE250="","","|n"&amp;FK$2&amp;"+"&amp;CE250&amp;FK$1)</f>
        <v/>
      </c>
      <c r="FL250" s="72" t="str">
        <f t="shared" ref="FL250" si="3891">IF(CF250="","","|n"&amp;FL$2&amp;"+"&amp;CF250&amp;FL$1)</f>
        <v/>
      </c>
      <c r="FM250" s="72" t="str">
        <f t="shared" ref="FM250" si="3892">IF(CG250="","","|n"&amp;FM$2&amp;"+"&amp;CG250&amp;FM$1)</f>
        <v/>
      </c>
      <c r="FN250" s="72" t="str">
        <f t="shared" ref="FN250" si="3893">IF(CH250="","","|n"&amp;FN$2&amp;"+"&amp;CH250&amp;FN$1)</f>
        <v/>
      </c>
      <c r="FO250" s="72" t="str">
        <f t="shared" ref="FO250" si="3894">IF(CI250="","","|n"&amp;FO$2&amp;"+"&amp;CI250&amp;FO$1)</f>
        <v/>
      </c>
      <c r="FP250" s="72" t="str">
        <f t="shared" ref="FP250" si="3895">IF(CJ250="","","|n"&amp;FP$2&amp;"+"&amp;CJ250&amp;FP$1)</f>
        <v/>
      </c>
      <c r="FQ250" s="72" t="str">
        <f t="shared" ref="FQ250" si="3896">IF(CK250="","","|n"&amp;FQ$2&amp;"+"&amp;CK250&amp;FQ$1)</f>
        <v/>
      </c>
      <c r="FR250" s="72" t="str">
        <f t="shared" ref="FR250" si="3897">IF(CL250="","","|n"&amp;FR$2&amp;"+"&amp;CL250&amp;FR$1)</f>
        <v/>
      </c>
      <c r="FS250" s="72" t="str">
        <f t="shared" ref="FS250" si="3898">IF(CM250="","","|n"&amp;FS$2&amp;"+"&amp;CM250&amp;FS$1)</f>
        <v/>
      </c>
    </row>
    <row r="251" spans="1:175" ht="15">
      <c r="A251" s="73"/>
      <c r="B251" s="132" t="s">
        <v>838</v>
      </c>
      <c r="C251" s="132" t="s">
        <v>839</v>
      </c>
      <c r="E251" s="103"/>
      <c r="F251" s="102"/>
      <c r="S251" s="110"/>
      <c r="T251" s="71" t="s">
        <v>835</v>
      </c>
      <c r="U251" s="88" t="str">
        <f t="shared" si="3826"/>
        <v>ReplaceableTextures\\CommandButtons\\BTNRY3C.blp</v>
      </c>
      <c r="V251" s="81"/>
      <c r="Z251" s="81"/>
      <c r="AG251" s="113"/>
      <c r="AL251" s="113"/>
      <c r="BC251" s="114"/>
      <c r="BD251" s="114"/>
      <c r="CU251" s="98" t="str">
        <f t="shared" si="3827"/>
        <v>|n</v>
      </c>
      <c r="CV251" s="71" t="str">
        <f t="shared" si="3673"/>
        <v>代码生成</v>
      </c>
      <c r="CW251" s="61"/>
      <c r="CX251" s="61"/>
      <c r="CY251" s="61"/>
      <c r="CZ251" s="61"/>
      <c r="DA251" s="61"/>
      <c r="DB251" s="72" t="str">
        <f t="shared" si="3752"/>
        <v/>
      </c>
      <c r="DC251" s="72" t="str">
        <f t="shared" si="3752"/>
        <v/>
      </c>
      <c r="DD251" s="72" t="str">
        <f t="shared" si="3752"/>
        <v/>
      </c>
      <c r="DE251" s="72" t="str">
        <f t="shared" si="3752"/>
        <v/>
      </c>
      <c r="DF251" s="72" t="str">
        <f t="shared" si="3752"/>
        <v/>
      </c>
      <c r="DG251" s="72" t="str">
        <f t="shared" si="3752"/>
        <v/>
      </c>
      <c r="DH251" s="72" t="str">
        <f t="shared" si="3752"/>
        <v/>
      </c>
      <c r="DI251" s="72" t="str">
        <f t="shared" si="3752"/>
        <v/>
      </c>
      <c r="DJ251" s="72" t="str">
        <f t="shared" si="3752"/>
        <v/>
      </c>
      <c r="DK251" s="72" t="str">
        <f t="shared" si="3752"/>
        <v/>
      </c>
      <c r="DL251" s="72" t="str">
        <f t="shared" si="3752"/>
        <v/>
      </c>
      <c r="DM251" s="72" t="str">
        <f t="shared" si="3752"/>
        <v/>
      </c>
      <c r="DN251" s="72" t="str">
        <f t="shared" si="3752"/>
        <v/>
      </c>
      <c r="DO251" s="72" t="str">
        <f t="shared" si="3752"/>
        <v/>
      </c>
      <c r="DP251" s="72" t="str">
        <f t="shared" si="3752"/>
        <v/>
      </c>
      <c r="DQ251" s="72" t="str">
        <f t="shared" si="3752"/>
        <v/>
      </c>
      <c r="DR251" s="72" t="str">
        <f t="shared" si="3752"/>
        <v/>
      </c>
      <c r="DS251" s="72" t="str">
        <f t="shared" si="3752"/>
        <v/>
      </c>
      <c r="DT251" s="72" t="str">
        <f t="shared" si="3752"/>
        <v/>
      </c>
      <c r="DU251" s="72" t="str">
        <f t="shared" si="3752"/>
        <v/>
      </c>
      <c r="DV251" s="72" t="str">
        <f t="shared" si="3752"/>
        <v/>
      </c>
      <c r="DW251" s="72" t="str">
        <f t="shared" si="3752"/>
        <v/>
      </c>
      <c r="DX251" s="72" t="str">
        <f t="shared" si="3752"/>
        <v/>
      </c>
      <c r="DY251" s="72" t="str">
        <f t="shared" si="3752"/>
        <v/>
      </c>
      <c r="DZ251" s="72" t="str">
        <f t="shared" si="3752"/>
        <v/>
      </c>
      <c r="EA251" s="72" t="str">
        <f t="shared" si="3752"/>
        <v/>
      </c>
      <c r="EB251" s="72" t="str">
        <f t="shared" si="3752"/>
        <v/>
      </c>
      <c r="EC251" s="72" t="str">
        <f t="shared" si="3752"/>
        <v/>
      </c>
      <c r="ED251" s="72" t="str">
        <f t="shared" si="3752"/>
        <v/>
      </c>
      <c r="EE251" s="72" t="str">
        <f t="shared" si="3752"/>
        <v/>
      </c>
      <c r="EF251" s="72" t="str">
        <f t="shared" si="3752"/>
        <v/>
      </c>
      <c r="EG251" s="72" t="str">
        <f t="shared" si="3752"/>
        <v/>
      </c>
      <c r="EH251" s="72" t="str">
        <f t="shared" si="3752"/>
        <v/>
      </c>
      <c r="EI251" s="72" t="str">
        <f t="shared" si="3752"/>
        <v/>
      </c>
      <c r="EJ251" s="72" t="str">
        <f t="shared" si="3752"/>
        <v/>
      </c>
      <c r="EK251" s="72" t="str">
        <f t="shared" si="3752"/>
        <v/>
      </c>
      <c r="EL251" s="72" t="str">
        <f t="shared" si="3752"/>
        <v/>
      </c>
      <c r="EM251" s="72" t="str">
        <f t="shared" si="3752"/>
        <v/>
      </c>
      <c r="EN251" s="72" t="str">
        <f t="shared" si="3752"/>
        <v/>
      </c>
      <c r="EO251" s="72" t="str">
        <f t="shared" si="3752"/>
        <v/>
      </c>
      <c r="EP251" s="72" t="str">
        <f t="shared" si="3752"/>
        <v/>
      </c>
      <c r="EQ251" s="72" t="str">
        <f t="shared" si="3752"/>
        <v/>
      </c>
      <c r="ER251" s="72" t="str">
        <f t="shared" si="3752"/>
        <v/>
      </c>
      <c r="ES251" s="72" t="str">
        <f t="shared" si="3752"/>
        <v/>
      </c>
      <c r="ET251" s="72" t="str">
        <f t="shared" si="3752"/>
        <v/>
      </c>
      <c r="EU251" s="72" t="str">
        <f t="shared" si="3752"/>
        <v/>
      </c>
      <c r="EV251" s="72" t="str">
        <f t="shared" si="3752"/>
        <v/>
      </c>
      <c r="EW251" s="72" t="str">
        <f t="shared" si="3752"/>
        <v/>
      </c>
      <c r="EX251" s="72" t="str">
        <f t="shared" si="3752"/>
        <v/>
      </c>
      <c r="EY251" s="72" t="str">
        <f t="shared" si="3752"/>
        <v/>
      </c>
      <c r="EZ251" s="72" t="str">
        <f t="shared" si="3752"/>
        <v/>
      </c>
      <c r="FA251" s="72" t="str">
        <f t="shared" si="3752"/>
        <v/>
      </c>
      <c r="FB251" s="72" t="str">
        <f t="shared" si="3752"/>
        <v/>
      </c>
      <c r="FC251" s="72" t="str">
        <f t="shared" si="3752"/>
        <v/>
      </c>
      <c r="FD251" s="72" t="str">
        <f t="shared" si="3752"/>
        <v/>
      </c>
      <c r="FE251" s="72" t="str">
        <f t="shared" si="3752"/>
        <v/>
      </c>
      <c r="FF251" s="72" t="str">
        <f t="shared" si="3752"/>
        <v/>
      </c>
      <c r="FG251" s="72" t="str">
        <f t="shared" si="3752"/>
        <v/>
      </c>
      <c r="FH251" s="72" t="str">
        <f t="shared" si="3752"/>
        <v/>
      </c>
      <c r="FI251" s="72" t="str">
        <f t="shared" si="3752"/>
        <v/>
      </c>
      <c r="FJ251" s="72" t="str">
        <f t="shared" si="3752"/>
        <v/>
      </c>
      <c r="FK251" s="72" t="str">
        <f t="shared" si="3752"/>
        <v/>
      </c>
      <c r="FL251" s="72" t="str">
        <f t="shared" si="3752"/>
        <v/>
      </c>
      <c r="FM251" s="72" t="str">
        <f t="shared" si="3752"/>
        <v/>
      </c>
      <c r="FN251" s="72" t="str">
        <f t="shared" si="3753"/>
        <v/>
      </c>
      <c r="FO251" s="72" t="str">
        <f t="shared" si="3753"/>
        <v/>
      </c>
      <c r="FP251" s="72" t="str">
        <f t="shared" si="3753"/>
        <v/>
      </c>
      <c r="FQ251" s="72" t="str">
        <f t="shared" si="3753"/>
        <v/>
      </c>
      <c r="FR251" s="72" t="str">
        <f t="shared" si="3753"/>
        <v/>
      </c>
      <c r="FS251" s="72" t="str">
        <f t="shared" si="3753"/>
        <v/>
      </c>
    </row>
    <row r="252" spans="1:175" ht="15">
      <c r="A252" s="73"/>
      <c r="B252" s="132" t="s">
        <v>840</v>
      </c>
      <c r="C252" s="132" t="s">
        <v>841</v>
      </c>
      <c r="E252" s="103"/>
      <c r="F252" s="102"/>
      <c r="S252" s="110"/>
      <c r="T252" s="71" t="s">
        <v>835</v>
      </c>
      <c r="U252" s="88" t="str">
        <f t="shared" si="3826"/>
        <v>ReplaceableTextures\\CommandButtons\\BTNRY4C.blp</v>
      </c>
      <c r="V252" s="81"/>
      <c r="Z252" s="81"/>
      <c r="AG252" s="113"/>
      <c r="AL252" s="113"/>
      <c r="BC252" s="114"/>
      <c r="BD252" s="114"/>
      <c r="CU252" s="98" t="str">
        <f t="shared" ref="CU252" si="3899">CONCATENATE(DB252,DC252,DD252,DE252,DF252,DG252,DH252,DI252,DJ252,DK252,DL252,DM252,DN252,DO252,DP252,DQ252,DR252,DS252,DT252,DU252,DV252,DW252,DX252,DY252,DZ252,EA252,EB252,EC252,ED252,EE252,EF252,EG252,EH252,EI252,EJ252,EK252,EL252,EM252,EN252,EO252,EP252,EQ252,ER252,ES252,ET252,EU252,EV252,EW252,EX252,EY252,EZ252,FA252,FB252,FC252,FD252,FE252,FF252,FG252,FH252,FI252,FJ252,FK252,FL252,FM252,FN252,FO252,FP252,FQ252,FR252,FS252&amp;"|n")</f>
        <v>|n</v>
      </c>
      <c r="CV252" s="71" t="str">
        <f t="shared" si="3673"/>
        <v>代码生成</v>
      </c>
      <c r="CW252" s="61"/>
      <c r="CX252" s="61"/>
      <c r="CY252" s="61"/>
      <c r="CZ252" s="61"/>
      <c r="DA252" s="61"/>
      <c r="DB252" s="72" t="str">
        <f t="shared" ref="DB252" si="3900">IF(V252="","","|n"&amp;DB$2&amp;"+"&amp;V252&amp;DB$1)</f>
        <v/>
      </c>
      <c r="DC252" s="72" t="str">
        <f t="shared" ref="DC252" si="3901">IF(W252="","","|n"&amp;DC$2&amp;"+"&amp;W252&amp;DC$1)</f>
        <v/>
      </c>
      <c r="DD252" s="72" t="str">
        <f t="shared" ref="DD252" si="3902">IF(X252="","","|n"&amp;DD$2&amp;"+"&amp;X252&amp;DD$1)</f>
        <v/>
      </c>
      <c r="DE252" s="72" t="str">
        <f t="shared" ref="DE252" si="3903">IF(Y252="","","|n"&amp;DE$2&amp;"+"&amp;Y252&amp;DE$1)</f>
        <v/>
      </c>
      <c r="DF252" s="72" t="str">
        <f t="shared" ref="DF252" si="3904">IF(Z252="","","|n"&amp;DF$2&amp;"+"&amp;Z252&amp;DF$1)</f>
        <v/>
      </c>
      <c r="DG252" s="72" t="str">
        <f t="shared" ref="DG252" si="3905">IF(AA252="","","|n"&amp;DG$2&amp;"+"&amp;AA252&amp;DG$1)</f>
        <v/>
      </c>
      <c r="DH252" s="72" t="str">
        <f t="shared" ref="DH252" si="3906">IF(AB252="","","|n"&amp;DH$2&amp;"+"&amp;AB252&amp;DH$1)</f>
        <v/>
      </c>
      <c r="DI252" s="72" t="str">
        <f t="shared" ref="DI252" si="3907">IF(AC252="","","|n"&amp;DI$2&amp;"+"&amp;AC252&amp;DI$1)</f>
        <v/>
      </c>
      <c r="DJ252" s="72" t="str">
        <f t="shared" ref="DJ252" si="3908">IF(AD252="","","|n"&amp;DJ$2&amp;"+"&amp;AD252&amp;DJ$1)</f>
        <v/>
      </c>
      <c r="DK252" s="72" t="str">
        <f t="shared" ref="DK252" si="3909">IF(AE252="","","|n"&amp;DK$2&amp;"+"&amp;AE252&amp;DK$1)</f>
        <v/>
      </c>
      <c r="DL252" s="72" t="str">
        <f t="shared" ref="DL252" si="3910">IF(AF252="","","|n"&amp;DL$2&amp;"+"&amp;AF252&amp;DL$1)</f>
        <v/>
      </c>
      <c r="DM252" s="72" t="str">
        <f t="shared" ref="DM252" si="3911">IF(AG252="","","|n"&amp;DM$2&amp;"+"&amp;AG252&amp;DM$1)</f>
        <v/>
      </c>
      <c r="DN252" s="72" t="str">
        <f t="shared" ref="DN252" si="3912">IF(AH252="","","|n"&amp;DN$2&amp;"+"&amp;AH252&amp;DN$1)</f>
        <v/>
      </c>
      <c r="DO252" s="72" t="str">
        <f t="shared" ref="DO252" si="3913">IF(AI252="","","|n"&amp;DO$2&amp;"+"&amp;AI252&amp;DO$1)</f>
        <v/>
      </c>
      <c r="DP252" s="72" t="str">
        <f t="shared" ref="DP252" si="3914">IF(AJ252="","","|n"&amp;DP$2&amp;"+"&amp;AJ252&amp;DP$1)</f>
        <v/>
      </c>
      <c r="DQ252" s="72" t="str">
        <f t="shared" ref="DQ252" si="3915">IF(AK252="","","|n"&amp;DQ$2&amp;"+"&amp;AK252&amp;DQ$1)</f>
        <v/>
      </c>
      <c r="DR252" s="72" t="str">
        <f t="shared" ref="DR252" si="3916">IF(AL252="","","|n"&amp;DR$2&amp;"+"&amp;AL252&amp;DR$1)</f>
        <v/>
      </c>
      <c r="DS252" s="72" t="str">
        <f t="shared" ref="DS252" si="3917">IF(AM252="","","|n"&amp;DS$2&amp;"+"&amp;AM252&amp;DS$1)</f>
        <v/>
      </c>
      <c r="DT252" s="72" t="str">
        <f t="shared" ref="DT252" si="3918">IF(AN252="","","|n"&amp;DT$2&amp;"+"&amp;AN252&amp;DT$1)</f>
        <v/>
      </c>
      <c r="DU252" s="72" t="str">
        <f t="shared" ref="DU252" si="3919">IF(AO252="","","|n"&amp;DU$2&amp;"+"&amp;AO252&amp;DU$1)</f>
        <v/>
      </c>
      <c r="DV252" s="72" t="str">
        <f t="shared" ref="DV252" si="3920">IF(AP252="","","|n"&amp;DV$2&amp;"+"&amp;AP252&amp;DV$1)</f>
        <v/>
      </c>
      <c r="DW252" s="72" t="str">
        <f t="shared" ref="DW252" si="3921">IF(AQ252="","","|n"&amp;DW$2&amp;"+"&amp;AQ252&amp;DW$1)</f>
        <v/>
      </c>
      <c r="DX252" s="72" t="str">
        <f t="shared" ref="DX252" si="3922">IF(AR252="","","|n"&amp;DX$2&amp;"+"&amp;AR252&amp;DX$1)</f>
        <v/>
      </c>
      <c r="DY252" s="72" t="str">
        <f t="shared" ref="DY252" si="3923">IF(AS252="","","|n"&amp;DY$2&amp;"+"&amp;AS252&amp;DY$1)</f>
        <v/>
      </c>
      <c r="DZ252" s="72" t="str">
        <f t="shared" ref="DZ252" si="3924">IF(AT252="","","|n"&amp;DZ$2&amp;"+"&amp;AT252&amp;DZ$1)</f>
        <v/>
      </c>
      <c r="EA252" s="72" t="str">
        <f t="shared" ref="EA252" si="3925">IF(AU252="","","|n"&amp;EA$2&amp;"+"&amp;AU252&amp;EA$1)</f>
        <v/>
      </c>
      <c r="EB252" s="72" t="str">
        <f t="shared" ref="EB252" si="3926">IF(AV252="","","|n"&amp;EB$2&amp;"+"&amp;AV252&amp;EB$1)</f>
        <v/>
      </c>
      <c r="EC252" s="72" t="str">
        <f t="shared" ref="EC252" si="3927">IF(AW252="","","|n"&amp;EC$2&amp;"+"&amp;AW252&amp;EC$1)</f>
        <v/>
      </c>
      <c r="ED252" s="72" t="str">
        <f t="shared" ref="ED252" si="3928">IF(AX252="","","|n"&amp;ED$2&amp;"+"&amp;AX252&amp;ED$1)</f>
        <v/>
      </c>
      <c r="EE252" s="72" t="str">
        <f t="shared" ref="EE252" si="3929">IF(AY252="","","|n"&amp;EE$2&amp;"+"&amp;AY252&amp;EE$1)</f>
        <v/>
      </c>
      <c r="EF252" s="72" t="str">
        <f t="shared" ref="EF252" si="3930">IF(AZ252="","","|n"&amp;EF$2&amp;"+"&amp;AZ252&amp;EF$1)</f>
        <v/>
      </c>
      <c r="EG252" s="72" t="str">
        <f t="shared" ref="EG252" si="3931">IF(BA252="","","|n"&amp;EG$2&amp;"+"&amp;BA252&amp;EG$1)</f>
        <v/>
      </c>
      <c r="EH252" s="72" t="str">
        <f t="shared" ref="EH252" si="3932">IF(BB252="","","|n"&amp;EH$2&amp;"+"&amp;BB252&amp;EH$1)</f>
        <v/>
      </c>
      <c r="EI252" s="72" t="str">
        <f t="shared" ref="EI252" si="3933">IF(BC252="","","|n"&amp;EI$2&amp;"+"&amp;BC252&amp;EI$1)</f>
        <v/>
      </c>
      <c r="EJ252" s="72" t="str">
        <f t="shared" ref="EJ252" si="3934">IF(BD252="","","|n"&amp;EJ$2&amp;"+"&amp;BD252&amp;EJ$1)</f>
        <v/>
      </c>
      <c r="EK252" s="72" t="str">
        <f t="shared" ref="EK252" si="3935">IF(BE252="","","|n"&amp;EK$2&amp;"+"&amp;BE252&amp;EK$1)</f>
        <v/>
      </c>
      <c r="EL252" s="72" t="str">
        <f t="shared" ref="EL252" si="3936">IF(BF252="","","|n"&amp;EL$2&amp;"+"&amp;BF252&amp;EL$1)</f>
        <v/>
      </c>
      <c r="EM252" s="72" t="str">
        <f t="shared" ref="EM252" si="3937">IF(BG252="","","|n"&amp;EM$2&amp;"+"&amp;BG252&amp;EM$1)</f>
        <v/>
      </c>
      <c r="EN252" s="72" t="str">
        <f t="shared" ref="EN252" si="3938">IF(BH252="","","|n"&amp;EN$2&amp;"+"&amp;BH252&amp;EN$1)</f>
        <v/>
      </c>
      <c r="EO252" s="72" t="str">
        <f t="shared" ref="EO252" si="3939">IF(BI252="","","|n"&amp;EO$2&amp;"+"&amp;BI252&amp;EO$1)</f>
        <v/>
      </c>
      <c r="EP252" s="72" t="str">
        <f t="shared" ref="EP252" si="3940">IF(BJ252="","","|n"&amp;EP$2&amp;"+"&amp;BJ252&amp;EP$1)</f>
        <v/>
      </c>
      <c r="EQ252" s="72" t="str">
        <f t="shared" ref="EQ252" si="3941">IF(BK252="","","|n"&amp;EQ$2&amp;"+"&amp;BK252&amp;EQ$1)</f>
        <v/>
      </c>
      <c r="ER252" s="72" t="str">
        <f t="shared" ref="ER252" si="3942">IF(BL252="","","|n"&amp;ER$2&amp;"+"&amp;BL252&amp;ER$1)</f>
        <v/>
      </c>
      <c r="ES252" s="72" t="str">
        <f t="shared" ref="ES252" si="3943">IF(BM252="","","|n"&amp;ES$2&amp;"+"&amp;BM252&amp;ES$1)</f>
        <v/>
      </c>
      <c r="ET252" s="72" t="str">
        <f t="shared" ref="ET252" si="3944">IF(BN252="","","|n"&amp;ET$2&amp;"+"&amp;BN252&amp;ET$1)</f>
        <v/>
      </c>
      <c r="EU252" s="72" t="str">
        <f t="shared" ref="EU252" si="3945">IF(BO252="","","|n"&amp;EU$2&amp;"+"&amp;BO252&amp;EU$1)</f>
        <v/>
      </c>
      <c r="EV252" s="72" t="str">
        <f t="shared" ref="EV252" si="3946">IF(BP252="","","|n"&amp;EV$2&amp;"+"&amp;BP252&amp;EV$1)</f>
        <v/>
      </c>
      <c r="EW252" s="72" t="str">
        <f t="shared" ref="EW252" si="3947">IF(BQ252="","","|n"&amp;EW$2&amp;"+"&amp;BQ252&amp;EW$1)</f>
        <v/>
      </c>
      <c r="EX252" s="72" t="str">
        <f t="shared" ref="EX252" si="3948">IF(BR252="","","|n"&amp;EX$2&amp;"+"&amp;BR252&amp;EX$1)</f>
        <v/>
      </c>
      <c r="EY252" s="72" t="str">
        <f t="shared" ref="EY252" si="3949">IF(BS252="","","|n"&amp;EY$2&amp;"+"&amp;BS252&amp;EY$1)</f>
        <v/>
      </c>
      <c r="EZ252" s="72" t="str">
        <f t="shared" ref="EZ252" si="3950">IF(BT252="","","|n"&amp;EZ$2&amp;"+"&amp;BT252&amp;EZ$1)</f>
        <v/>
      </c>
      <c r="FA252" s="72" t="str">
        <f t="shared" ref="FA252" si="3951">IF(BU252="","","|n"&amp;FA$2&amp;"+"&amp;BU252&amp;FA$1)</f>
        <v/>
      </c>
      <c r="FB252" s="72" t="str">
        <f t="shared" ref="FB252" si="3952">IF(BV252="","","|n"&amp;FB$2&amp;"+"&amp;BV252&amp;FB$1)</f>
        <v/>
      </c>
      <c r="FC252" s="72" t="str">
        <f t="shared" ref="FC252" si="3953">IF(BW252="","","|n"&amp;FC$2&amp;"+"&amp;BW252&amp;FC$1)</f>
        <v/>
      </c>
      <c r="FD252" s="72" t="str">
        <f t="shared" ref="FD252" si="3954">IF(BX252="","","|n"&amp;FD$2&amp;"+"&amp;BX252&amp;FD$1)</f>
        <v/>
      </c>
      <c r="FE252" s="72" t="str">
        <f t="shared" ref="FE252" si="3955">IF(BY252="","","|n"&amp;FE$2&amp;"+"&amp;BY252&amp;FE$1)</f>
        <v/>
      </c>
      <c r="FF252" s="72" t="str">
        <f t="shared" ref="FF252" si="3956">IF(BZ252="","","|n"&amp;FF$2&amp;"+"&amp;BZ252&amp;FF$1)</f>
        <v/>
      </c>
      <c r="FG252" s="72" t="str">
        <f t="shared" ref="FG252" si="3957">IF(CA252="","","|n"&amp;FG$2&amp;"+"&amp;CA252&amp;FG$1)</f>
        <v/>
      </c>
      <c r="FH252" s="72" t="str">
        <f t="shared" ref="FH252" si="3958">IF(CB252="","","|n"&amp;FH$2&amp;"+"&amp;CB252&amp;FH$1)</f>
        <v/>
      </c>
      <c r="FI252" s="72" t="str">
        <f t="shared" ref="FI252" si="3959">IF(CC252="","","|n"&amp;FI$2&amp;"+"&amp;CC252&amp;FI$1)</f>
        <v/>
      </c>
      <c r="FJ252" s="72" t="str">
        <f t="shared" ref="FJ252" si="3960">IF(CD252="","","|n"&amp;FJ$2&amp;"+"&amp;CD252&amp;FJ$1)</f>
        <v/>
      </c>
      <c r="FK252" s="72" t="str">
        <f t="shared" ref="FK252" si="3961">IF(CE252="","","|n"&amp;FK$2&amp;"+"&amp;CE252&amp;FK$1)</f>
        <v/>
      </c>
      <c r="FL252" s="72" t="str">
        <f t="shared" ref="FL252" si="3962">IF(CF252="","","|n"&amp;FL$2&amp;"+"&amp;CF252&amp;FL$1)</f>
        <v/>
      </c>
      <c r="FM252" s="72" t="str">
        <f t="shared" ref="FM252" si="3963">IF(CG252="","","|n"&amp;FM$2&amp;"+"&amp;CG252&amp;FM$1)</f>
        <v/>
      </c>
      <c r="FN252" s="72" t="str">
        <f t="shared" ref="FN252" si="3964">IF(CH252="","","|n"&amp;FN$2&amp;"+"&amp;CH252&amp;FN$1)</f>
        <v/>
      </c>
      <c r="FO252" s="72" t="str">
        <f t="shared" ref="FO252" si="3965">IF(CI252="","","|n"&amp;FO$2&amp;"+"&amp;CI252&amp;FO$1)</f>
        <v/>
      </c>
      <c r="FP252" s="72" t="str">
        <f t="shared" ref="FP252" si="3966">IF(CJ252="","","|n"&amp;FP$2&amp;"+"&amp;CJ252&amp;FP$1)</f>
        <v/>
      </c>
      <c r="FQ252" s="72" t="str">
        <f t="shared" ref="FQ252" si="3967">IF(CK252="","","|n"&amp;FQ$2&amp;"+"&amp;CK252&amp;FQ$1)</f>
        <v/>
      </c>
      <c r="FR252" s="72" t="str">
        <f t="shared" ref="FR252" si="3968">IF(CL252="","","|n"&amp;FR$2&amp;"+"&amp;CL252&amp;FR$1)</f>
        <v/>
      </c>
      <c r="FS252" s="72" t="str">
        <f t="shared" ref="FS252" si="3969">IF(CM252="","","|n"&amp;FS$2&amp;"+"&amp;CM252&amp;FS$1)</f>
        <v/>
      </c>
    </row>
    <row r="253" spans="1:175" ht="15">
      <c r="A253" s="134"/>
      <c r="B253" s="82" t="s">
        <v>842</v>
      </c>
      <c r="C253" s="71" t="s">
        <v>843</v>
      </c>
      <c r="T253" s="141"/>
      <c r="U253" s="88"/>
      <c r="CN253" s="70" t="str">
        <f t="shared" ref="CN253:CN279" si="3970">"InitUnitState('"&amp;B253&amp;"',"&amp;V253&amp;","&amp;W253&amp;","&amp;X253&amp;","&amp;Y253&amp;","&amp;Z253&amp;","&amp;AA253&amp;","&amp;AB253&amp;","&amp;AC253&amp;","&amp;AD253&amp;","&amp;AE253&amp;")"</f>
        <v>InitUnitState('IF01',,,,,,,,,,)</v>
      </c>
      <c r="CO253" s="70" t="str">
        <f t="shared" ref="CO253:CO279" si="3971">"InitUnitNormal('"&amp;B253&amp;"',"&amp;AF253&amp;","&amp;AG253&amp;","&amp;AH253&amp;","&amp;AI253&amp;","&amp;AJ253&amp;","&amp;AK253&amp;","&amp;AL253&amp;","&amp;AM253&amp;","&amp;AN253&amp;","&amp;AO253&amp;")"</f>
        <v>InitUnitNormal('IF01',,,,,,,,,,)</v>
      </c>
      <c r="CP253" s="70" t="str">
        <f t="shared" ref="CP253:CP279" si="3972">"InitUnitMagic('"&amp;B253&amp;"',"&amp;AP253&amp;","&amp;AQ253&amp;","&amp;AR253&amp;","&amp;AS253&amp;","&amp;AT253&amp;","&amp;AU253&amp;","&amp;AV253&amp;","&amp;AW253&amp;","&amp;BI253&amp;","&amp;BJ253&amp;")"</f>
        <v>InitUnitMagic('IF01',,,,,,,,,,)</v>
      </c>
      <c r="CQ253" s="70" t="str">
        <f t="shared" ref="CQ253:CQ279" si="3973">"InitUnitAdd('"&amp;B253&amp;"',"&amp;BK253&amp;","&amp;BL253&amp;","&amp;BM253&amp;","&amp;BN253&amp;","&amp;BO253&amp;","&amp;BP253&amp;","&amp;BQ253&amp;","&amp;BR253&amp;","&amp;BS253&amp;","&amp;BT253&amp;")"</f>
        <v>InitUnitAdd('IF01',,,,,,,,,,)</v>
      </c>
      <c r="CR253" s="70" t="str">
        <f t="shared" ref="CR253:CR295" si="3974"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InitEquipData('IF01',,"",,,,,'','','','','','',"")</v>
      </c>
      <c r="CU253" s="98" t="str">
        <f t="shared" ref="CU253:CU275" si="3975">CONCATENATE(DB253,DC253,DD253,DE253,DF253,DG253,DH253,DI253,DJ253,DK253,DL253,DM253,DN253,DO253,DP253,DQ253,DR253,DS253,DT253,DU253,DV253,DW253,DX253,DY253,DZ253,EA253,EB253,EC253,ED253,EE253,EF253,EG253,EH253,EI253,EJ253,EK253,EL253,EM253,EN253,EO253,EP253&amp;"|n")</f>
        <v>|n</v>
      </c>
      <c r="CW253" s="61"/>
      <c r="CX253" s="61"/>
      <c r="CY253" s="61"/>
      <c r="CZ253" s="61"/>
      <c r="DA253" s="61"/>
      <c r="DB253" s="72" t="str">
        <f t="shared" ref="DB253:DB275" si="3976">IF(V253="","","|n"&amp;DB$2&amp;"+"&amp;V253&amp;DB$1)</f>
        <v/>
      </c>
      <c r="DC253" s="72" t="str">
        <f t="shared" ref="DC253:DC275" si="3977">IF(W253="","","|n"&amp;DC$2&amp;"+"&amp;W253&amp;DC$1)</f>
        <v/>
      </c>
      <c r="DD253" s="72" t="str">
        <f t="shared" ref="DD253:DD275" si="3978">IF(X253="","","|n"&amp;DD$2&amp;"+"&amp;X253&amp;DD$1)</f>
        <v/>
      </c>
      <c r="DE253" s="72" t="str">
        <f t="shared" ref="DE253:DE275" si="3979">IF(Y253="","","|n"&amp;DE$2&amp;"+"&amp;Y253&amp;DE$1)</f>
        <v/>
      </c>
      <c r="DF253" s="72" t="str">
        <f t="shared" ref="DF253:DF275" si="3980">IF(Z253="","","|n"&amp;DF$2&amp;"+"&amp;Z253&amp;DF$1)</f>
        <v/>
      </c>
      <c r="DG253" s="72" t="str">
        <f t="shared" ref="DG253:DG275" si="3981">IF(AA253="","","|n"&amp;DG$2&amp;"+"&amp;AA253&amp;DG$1)</f>
        <v/>
      </c>
      <c r="DH253" s="72" t="str">
        <f t="shared" ref="DH253:DH275" si="3982">IF(AB253="","","|n"&amp;DH$2&amp;"+"&amp;AB253&amp;DH$1)</f>
        <v/>
      </c>
      <c r="DI253" s="72" t="str">
        <f t="shared" ref="DI253:DI275" si="3983">IF(AC253="","","|n"&amp;DI$2&amp;"+"&amp;AC253&amp;DI$1)</f>
        <v/>
      </c>
      <c r="DJ253" s="72" t="str">
        <f t="shared" ref="DJ253:DJ275" si="3984">IF(AD253="","","|n"&amp;DJ$2&amp;"+"&amp;AD253&amp;DJ$1)</f>
        <v/>
      </c>
      <c r="DK253" s="72" t="str">
        <f t="shared" ref="DK253:DK275" si="3985">IF(AE253="","","|n"&amp;DK$2&amp;"+"&amp;AE253&amp;DK$1)</f>
        <v/>
      </c>
      <c r="DL253" s="72" t="str">
        <f t="shared" ref="DL253:DL275" si="3986">IF(AF253="","","|n"&amp;DL$2&amp;"+"&amp;AF253&amp;DL$1)</f>
        <v/>
      </c>
      <c r="DM253" s="72" t="str">
        <f t="shared" ref="DM253:DM275" si="3987">IF(AG253="","","|n"&amp;DM$2&amp;"+"&amp;AG253&amp;DM$1)</f>
        <v/>
      </c>
      <c r="DN253" s="72" t="str">
        <f t="shared" ref="DN253:DN275" si="3988">IF(AH253="","","|n"&amp;DN$2&amp;"+"&amp;AH253&amp;DN$1)</f>
        <v/>
      </c>
      <c r="DO253" s="72" t="str">
        <f t="shared" ref="DO253:DO275" si="3989">IF(AI253="","","|n"&amp;DO$2&amp;"+"&amp;AI253&amp;DO$1)</f>
        <v/>
      </c>
      <c r="DP253" s="72" t="str">
        <f t="shared" ref="DP253:DP275" si="3990">IF(AJ253="","","|n"&amp;DP$2&amp;"+"&amp;AJ253&amp;DP$1)</f>
        <v/>
      </c>
      <c r="DQ253" s="72" t="str">
        <f t="shared" ref="DQ253:DQ275" si="3991">IF(AK253="","","|n"&amp;DQ$2&amp;"+"&amp;AK253&amp;DQ$1)</f>
        <v/>
      </c>
      <c r="DR253" s="72" t="str">
        <f t="shared" ref="DR253:DR275" si="3992">IF(AL253="","","|n"&amp;DR$2&amp;"+"&amp;AL253&amp;DR$1)</f>
        <v/>
      </c>
      <c r="DS253" s="72" t="str">
        <f t="shared" ref="DS253:DS275" si="3993">IF(AM253="","","|n"&amp;DS$2&amp;"+"&amp;AM253&amp;DS$1)</f>
        <v/>
      </c>
      <c r="DT253" s="72" t="str">
        <f t="shared" ref="DT253:DT275" si="3994">IF(AN253="","","|n"&amp;DT$2&amp;"+"&amp;AN253&amp;DT$1)</f>
        <v/>
      </c>
      <c r="DU253" s="72" t="str">
        <f t="shared" ref="DU253:DU275" si="3995">IF(AO253="","","|n"&amp;DU$2&amp;"+"&amp;AO253&amp;DU$1)</f>
        <v/>
      </c>
      <c r="DV253" s="72" t="str">
        <f t="shared" ref="DV253:DV275" si="3996">IF(AP253="","","|n"&amp;DV$2&amp;"+"&amp;AP253&amp;DV$1)</f>
        <v/>
      </c>
      <c r="DW253" s="72" t="str">
        <f t="shared" ref="DW253:DW275" si="3997">IF(AQ253="","","|n"&amp;DW$2&amp;"+"&amp;AQ253&amp;DW$1)</f>
        <v/>
      </c>
      <c r="DX253" s="72" t="str">
        <f t="shared" ref="DX253:DX275" si="3998">IF(AR253="","","|n"&amp;DX$2&amp;"+"&amp;AR253&amp;DX$1)</f>
        <v/>
      </c>
      <c r="DY253" s="72" t="str">
        <f t="shared" ref="DY253:DY275" si="3999">IF(AS253="","","|n"&amp;DY$2&amp;"+"&amp;AS253&amp;DY$1)</f>
        <v/>
      </c>
      <c r="DZ253" s="72" t="str">
        <f t="shared" ref="DZ253:DZ275" si="4000">IF(AT253="","","|n"&amp;DZ$2&amp;"+"&amp;AT253&amp;DZ$1)</f>
        <v/>
      </c>
      <c r="EA253" s="72" t="str">
        <f t="shared" ref="EA253:EA275" si="4001">IF(AU253="","","|n"&amp;EA$2&amp;"+"&amp;AU253&amp;EA$1)</f>
        <v/>
      </c>
      <c r="EB253" s="72" t="str">
        <f t="shared" ref="EB253:EB275" si="4002">IF(AV253="","","|n"&amp;EB$2&amp;"+"&amp;AV253&amp;EB$1)</f>
        <v/>
      </c>
      <c r="EC253" s="72" t="str">
        <f t="shared" ref="EC253:EC275" si="4003">IF(AW253="","","|n"&amp;EC$2&amp;"+"&amp;AW253&amp;EC$1)</f>
        <v/>
      </c>
      <c r="ED253" s="72" t="str">
        <f t="shared" ref="ED253:ED275" si="4004">IF(AX253="","","|n"&amp;ED$2&amp;"+"&amp;AX253&amp;ED$1)</f>
        <v/>
      </c>
      <c r="EE253" s="72" t="str">
        <f t="shared" ref="EE253:EE275" si="4005">IF(AY253="","","|n"&amp;EE$2&amp;"+"&amp;AY253&amp;EE$1)</f>
        <v/>
      </c>
      <c r="EF253" s="72" t="str">
        <f t="shared" ref="EF253:EF275" si="4006">IF(AZ253="","","|n"&amp;EF$2&amp;"+"&amp;AZ253&amp;EF$1)</f>
        <v/>
      </c>
      <c r="EG253" s="72" t="str">
        <f t="shared" ref="EG253:EG275" si="4007">IF(BA253="","","|n"&amp;EG$2&amp;"+"&amp;BA253&amp;EG$1)</f>
        <v/>
      </c>
      <c r="EH253" s="72" t="str">
        <f t="shared" ref="EH253:EH275" si="4008">IF(BB253="","","|n"&amp;EH$2&amp;"+"&amp;BB253&amp;EH$1)</f>
        <v/>
      </c>
      <c r="EI253" s="72" t="str">
        <f t="shared" ref="EI253:EI275" si="4009">IF(BC253="","","|n"&amp;EI$2&amp;"+"&amp;BC253&amp;EI$1)</f>
        <v/>
      </c>
      <c r="EJ253" s="72" t="str">
        <f t="shared" ref="EJ253:EJ275" si="4010">IF(BD253="","","|n"&amp;EJ$2&amp;"+"&amp;BD253&amp;EJ$1)</f>
        <v/>
      </c>
      <c r="EK253" s="72" t="str">
        <f t="shared" ref="EK253:EK275" si="4011">IF(BE253="","","|n"&amp;EK$2&amp;"+"&amp;BE253&amp;EK$1)</f>
        <v/>
      </c>
      <c r="EL253" s="72" t="str">
        <f t="shared" ref="EL253:EL275" si="4012">IF(BF253="","","|n"&amp;EL$2&amp;"+"&amp;BF253&amp;EL$1)</f>
        <v/>
      </c>
      <c r="EM253" s="72" t="str">
        <f t="shared" ref="EM253:EM275" si="4013">IF(BG253="","","|n"&amp;EM$2&amp;"+"&amp;BG253&amp;EM$1)</f>
        <v/>
      </c>
      <c r="EN253" s="72" t="str">
        <f t="shared" ref="EN253:EN275" si="4014">IF(BH253="","","|n"&amp;EN$2&amp;"+"&amp;BH253&amp;EN$1)</f>
        <v/>
      </c>
      <c r="EO253" s="72" t="str">
        <f t="shared" ref="EO253:EO275" si="4015">IF(BI253="","","|n"&amp;EO$2&amp;"+"&amp;BI253&amp;EO$1)</f>
        <v/>
      </c>
      <c r="EP253" s="72" t="str">
        <f t="shared" ref="EP253:EP275" si="4016">IF(BJ253="","","|n"&amp;EP$2&amp;"+"&amp;BJ253&amp;EP$1)</f>
        <v/>
      </c>
      <c r="EQ253" s="72" t="str">
        <f t="shared" ref="EQ253:EQ275" si="4017">IF(BK253="","","|n"&amp;EQ$2&amp;"+"&amp;BK253&amp;EQ$1)</f>
        <v/>
      </c>
      <c r="ER253" s="72" t="str">
        <f t="shared" ref="ER253:ER275" si="4018">IF(BL253="","","|n"&amp;ER$2&amp;"+"&amp;BL253&amp;ER$1)</f>
        <v/>
      </c>
      <c r="ES253" s="72" t="str">
        <f t="shared" ref="ES253:ES275" si="4019">IF(BM253="","","|n"&amp;ES$2&amp;"+"&amp;BM253&amp;ES$1)</f>
        <v/>
      </c>
      <c r="ET253" s="72" t="str">
        <f t="shared" ref="ET253:ET275" si="4020">IF(BN253="","","|n"&amp;ET$2&amp;"+"&amp;BN253&amp;ET$1)</f>
        <v/>
      </c>
      <c r="EU253" s="72" t="str">
        <f t="shared" ref="EU253:EU275" si="4021">IF(BO253="","","|n"&amp;EU$2&amp;"+"&amp;BO253&amp;EU$1)</f>
        <v/>
      </c>
      <c r="EV253" s="72" t="str">
        <f t="shared" ref="EV253:EV275" si="4022">IF(BP253="","","|n"&amp;EV$2&amp;"+"&amp;BP253&amp;EV$1)</f>
        <v/>
      </c>
      <c r="EW253" s="72" t="str">
        <f t="shared" ref="EW253:EW275" si="4023">IF(BQ253="","","|n"&amp;EW$2&amp;"+"&amp;BQ253&amp;EW$1)</f>
        <v/>
      </c>
      <c r="EX253" s="72" t="str">
        <f t="shared" ref="EX253:EX275" si="4024">IF(BR253="","","|n"&amp;EX$2&amp;"+"&amp;BR253&amp;EX$1)</f>
        <v/>
      </c>
      <c r="EY253" s="72" t="str">
        <f t="shared" ref="EY253:EY275" si="4025">IF(BS253="","","|n"&amp;EY$2&amp;"+"&amp;BS253&amp;EY$1)</f>
        <v/>
      </c>
      <c r="EZ253" s="72" t="str">
        <f t="shared" ref="EZ253:EZ275" si="4026">IF(BT253="","","|n"&amp;EZ$2&amp;"+"&amp;BT253&amp;EZ$1)</f>
        <v/>
      </c>
      <c r="FA253" s="72" t="str">
        <f t="shared" ref="FA253:FA275" si="4027">IF(BU253="","","|n"&amp;FA$2&amp;"+"&amp;BU253&amp;FA$1)</f>
        <v/>
      </c>
      <c r="FB253" s="72" t="str">
        <f t="shared" ref="FB253:FB275" si="4028">IF(BV253="","","|n"&amp;FB$2&amp;"+"&amp;BV253&amp;FB$1)</f>
        <v/>
      </c>
      <c r="FC253" s="72" t="str">
        <f t="shared" ref="FC253:FC275" si="4029">IF(BW253="","","|n"&amp;FC$2&amp;"+"&amp;BW253&amp;FC$1)</f>
        <v/>
      </c>
      <c r="FD253" s="72" t="str">
        <f t="shared" ref="FD253:FD275" si="4030">IF(BX253="","","|n"&amp;FD$2&amp;"+"&amp;BX253&amp;FD$1)</f>
        <v/>
      </c>
      <c r="FE253" s="72" t="str">
        <f t="shared" ref="FE253:FE275" si="4031">IF(BY253="","","|n"&amp;FE$2&amp;"+"&amp;BY253&amp;FE$1)</f>
        <v/>
      </c>
      <c r="FF253" s="72" t="str">
        <f t="shared" ref="FF253:FF275" si="4032">IF(BZ253="","","|n"&amp;FF$2&amp;"+"&amp;BZ253&amp;FF$1)</f>
        <v/>
      </c>
      <c r="FG253" s="72" t="str">
        <f t="shared" ref="FG253:FG275" si="4033">IF(CA253="","","|n"&amp;FG$2&amp;"+"&amp;CA253&amp;FG$1)</f>
        <v/>
      </c>
      <c r="FH253" s="72" t="str">
        <f t="shared" ref="FH253:FH275" si="4034">IF(CB253="","","|n"&amp;FH$2&amp;"+"&amp;CB253&amp;FH$1)</f>
        <v/>
      </c>
      <c r="FI253" s="72" t="str">
        <f t="shared" ref="FI253:FI275" si="4035">IF(CC253="","","|n"&amp;FI$2&amp;"+"&amp;CC253&amp;FI$1)</f>
        <v/>
      </c>
      <c r="FJ253" s="72" t="str">
        <f t="shared" ref="FJ253:FJ275" si="4036">IF(CD253="","","|n"&amp;FJ$2&amp;"+"&amp;CD253&amp;FJ$1)</f>
        <v/>
      </c>
      <c r="FK253" s="72" t="str">
        <f t="shared" ref="FK253:FK275" si="4037">IF(CE253="","","|n"&amp;FK$2&amp;"+"&amp;CE253&amp;FK$1)</f>
        <v/>
      </c>
      <c r="FL253" s="72" t="str">
        <f t="shared" ref="FL253:FL275" si="4038">IF(CF253="","","|n"&amp;FL$2&amp;"+"&amp;CF253&amp;FL$1)</f>
        <v/>
      </c>
      <c r="FM253" s="72" t="str">
        <f t="shared" ref="FM253:FM275" si="4039">IF(CG253="","","|n"&amp;FM$2&amp;"+"&amp;CG253&amp;FM$1)</f>
        <v/>
      </c>
      <c r="FN253" s="72" t="str">
        <f t="shared" ref="FN253:FN275" si="4040">IF(CH253="","","|n"&amp;FN$2&amp;"+"&amp;CH253&amp;FN$1)</f>
        <v/>
      </c>
      <c r="FO253" s="72" t="str">
        <f t="shared" ref="FO253:FO275" si="4041">IF(CI253="","","|n"&amp;FO$2&amp;"+"&amp;CI253&amp;FO$1)</f>
        <v/>
      </c>
      <c r="FP253" s="72" t="str">
        <f t="shared" ref="FP253:FP275" si="4042">IF(CJ253="","","|n"&amp;FP$2&amp;"+"&amp;CJ253&amp;FP$1)</f>
        <v/>
      </c>
      <c r="FQ253" s="72" t="str">
        <f t="shared" ref="FQ253:FQ275" si="4043">IF(CK253="","","|n"&amp;FQ$2&amp;"+"&amp;CK253&amp;FQ$1)</f>
        <v/>
      </c>
      <c r="FR253" s="72" t="str">
        <f t="shared" ref="FR253:FR275" si="4044">IF(CL253="","","|n"&amp;FR$2&amp;"+"&amp;CL253&amp;FR$1)</f>
        <v/>
      </c>
      <c r="FS253" s="72" t="str">
        <f t="shared" ref="FS253:FS275" si="4045">IF(CM253="","","|n"&amp;FS$2&amp;"+"&amp;CM253&amp;FS$1)</f>
        <v/>
      </c>
    </row>
    <row r="254" spans="1:175" ht="15">
      <c r="A254" s="134"/>
      <c r="B254" s="82" t="s">
        <v>844</v>
      </c>
      <c r="C254" s="71" t="s">
        <v>843</v>
      </c>
      <c r="T254" s="141"/>
      <c r="U254" s="88"/>
      <c r="CN254" s="70" t="str">
        <f t="shared" si="3970"/>
        <v>InitUnitState('IF02',,,,,,,,,,)</v>
      </c>
      <c r="CO254" s="70" t="str">
        <f t="shared" si="3971"/>
        <v>InitUnitNormal('IF02',,,,,,,,,,)</v>
      </c>
      <c r="CP254" s="70" t="str">
        <f t="shared" si="3972"/>
        <v>InitUnitMagic('IF02',,,,,,,,,,)</v>
      </c>
      <c r="CQ254" s="70" t="str">
        <f t="shared" si="3973"/>
        <v>InitUnitAdd('IF02',,,,,,,,,,)</v>
      </c>
      <c r="CR254" s="70" t="str">
        <f t="shared" si="3974"/>
        <v>InitEquipData('IF02',,"",,,,,'','','','','','',"")</v>
      </c>
      <c r="CU254" s="98" t="str">
        <f t="shared" si="3975"/>
        <v>|n</v>
      </c>
      <c r="CW254" s="61"/>
      <c r="CX254" s="61"/>
      <c r="CY254" s="61"/>
      <c r="CZ254" s="61"/>
      <c r="DA254" s="61"/>
      <c r="DB254" s="72" t="str">
        <f t="shared" si="3976"/>
        <v/>
      </c>
      <c r="DC254" s="72" t="str">
        <f t="shared" si="3977"/>
        <v/>
      </c>
      <c r="DD254" s="72" t="str">
        <f t="shared" si="3978"/>
        <v/>
      </c>
      <c r="DE254" s="72" t="str">
        <f t="shared" si="3979"/>
        <v/>
      </c>
      <c r="DF254" s="72" t="str">
        <f t="shared" si="3980"/>
        <v/>
      </c>
      <c r="DG254" s="72" t="str">
        <f t="shared" si="3981"/>
        <v/>
      </c>
      <c r="DH254" s="72" t="str">
        <f t="shared" si="3982"/>
        <v/>
      </c>
      <c r="DI254" s="72" t="str">
        <f t="shared" si="3983"/>
        <v/>
      </c>
      <c r="DJ254" s="72" t="str">
        <f t="shared" si="3984"/>
        <v/>
      </c>
      <c r="DK254" s="72" t="str">
        <f t="shared" si="3985"/>
        <v/>
      </c>
      <c r="DL254" s="72" t="str">
        <f t="shared" si="3986"/>
        <v/>
      </c>
      <c r="DM254" s="72" t="str">
        <f t="shared" si="3987"/>
        <v/>
      </c>
      <c r="DN254" s="72" t="str">
        <f t="shared" si="3988"/>
        <v/>
      </c>
      <c r="DO254" s="72" t="str">
        <f t="shared" si="3989"/>
        <v/>
      </c>
      <c r="DP254" s="72" t="str">
        <f t="shared" si="3990"/>
        <v/>
      </c>
      <c r="DQ254" s="72" t="str">
        <f t="shared" si="3991"/>
        <v/>
      </c>
      <c r="DR254" s="72" t="str">
        <f t="shared" si="3992"/>
        <v/>
      </c>
      <c r="DS254" s="72" t="str">
        <f t="shared" si="3993"/>
        <v/>
      </c>
      <c r="DT254" s="72" t="str">
        <f t="shared" si="3994"/>
        <v/>
      </c>
      <c r="DU254" s="72" t="str">
        <f t="shared" si="3995"/>
        <v/>
      </c>
      <c r="DV254" s="72" t="str">
        <f t="shared" si="3996"/>
        <v/>
      </c>
      <c r="DW254" s="72" t="str">
        <f t="shared" si="3997"/>
        <v/>
      </c>
      <c r="DX254" s="72" t="str">
        <f t="shared" si="3998"/>
        <v/>
      </c>
      <c r="DY254" s="72" t="str">
        <f t="shared" si="3999"/>
        <v/>
      </c>
      <c r="DZ254" s="72" t="str">
        <f t="shared" si="4000"/>
        <v/>
      </c>
      <c r="EA254" s="72" t="str">
        <f t="shared" si="4001"/>
        <v/>
      </c>
      <c r="EB254" s="72" t="str">
        <f t="shared" si="4002"/>
        <v/>
      </c>
      <c r="EC254" s="72" t="str">
        <f t="shared" si="4003"/>
        <v/>
      </c>
      <c r="ED254" s="72" t="str">
        <f t="shared" si="4004"/>
        <v/>
      </c>
      <c r="EE254" s="72" t="str">
        <f t="shared" si="4005"/>
        <v/>
      </c>
      <c r="EF254" s="72" t="str">
        <f t="shared" si="4006"/>
        <v/>
      </c>
      <c r="EG254" s="72" t="str">
        <f t="shared" si="4007"/>
        <v/>
      </c>
      <c r="EH254" s="72" t="str">
        <f t="shared" si="4008"/>
        <v/>
      </c>
      <c r="EI254" s="72" t="str">
        <f t="shared" si="4009"/>
        <v/>
      </c>
      <c r="EJ254" s="72" t="str">
        <f t="shared" si="4010"/>
        <v/>
      </c>
      <c r="EK254" s="72" t="str">
        <f t="shared" si="4011"/>
        <v/>
      </c>
      <c r="EL254" s="72" t="str">
        <f t="shared" si="4012"/>
        <v/>
      </c>
      <c r="EM254" s="72" t="str">
        <f t="shared" si="4013"/>
        <v/>
      </c>
      <c r="EN254" s="72" t="str">
        <f t="shared" si="4014"/>
        <v/>
      </c>
      <c r="EO254" s="72" t="str">
        <f t="shared" si="4015"/>
        <v/>
      </c>
      <c r="EP254" s="72" t="str">
        <f t="shared" si="4016"/>
        <v/>
      </c>
      <c r="EQ254" s="72" t="str">
        <f t="shared" si="4017"/>
        <v/>
      </c>
      <c r="ER254" s="72" t="str">
        <f t="shared" si="4018"/>
        <v/>
      </c>
      <c r="ES254" s="72" t="str">
        <f t="shared" si="4019"/>
        <v/>
      </c>
      <c r="ET254" s="72" t="str">
        <f t="shared" si="4020"/>
        <v/>
      </c>
      <c r="EU254" s="72" t="str">
        <f t="shared" si="4021"/>
        <v/>
      </c>
      <c r="EV254" s="72" t="str">
        <f t="shared" si="4022"/>
        <v/>
      </c>
      <c r="EW254" s="72" t="str">
        <f t="shared" si="4023"/>
        <v/>
      </c>
      <c r="EX254" s="72" t="str">
        <f t="shared" si="4024"/>
        <v/>
      </c>
      <c r="EY254" s="72" t="str">
        <f t="shared" si="4025"/>
        <v/>
      </c>
      <c r="EZ254" s="72" t="str">
        <f t="shared" si="4026"/>
        <v/>
      </c>
      <c r="FA254" s="72" t="str">
        <f t="shared" si="4027"/>
        <v/>
      </c>
      <c r="FB254" s="72" t="str">
        <f t="shared" si="4028"/>
        <v/>
      </c>
      <c r="FC254" s="72" t="str">
        <f t="shared" si="4029"/>
        <v/>
      </c>
      <c r="FD254" s="72" t="str">
        <f t="shared" si="4030"/>
        <v/>
      </c>
      <c r="FE254" s="72" t="str">
        <f t="shared" si="4031"/>
        <v/>
      </c>
      <c r="FF254" s="72" t="str">
        <f t="shared" si="4032"/>
        <v/>
      </c>
      <c r="FG254" s="72" t="str">
        <f t="shared" si="4033"/>
        <v/>
      </c>
      <c r="FH254" s="72" t="str">
        <f t="shared" si="4034"/>
        <v/>
      </c>
      <c r="FI254" s="72" t="str">
        <f t="shared" si="4035"/>
        <v/>
      </c>
      <c r="FJ254" s="72" t="str">
        <f t="shared" si="4036"/>
        <v/>
      </c>
      <c r="FK254" s="72" t="str">
        <f t="shared" si="4037"/>
        <v/>
      </c>
      <c r="FL254" s="72" t="str">
        <f t="shared" si="4038"/>
        <v/>
      </c>
      <c r="FM254" s="72" t="str">
        <f t="shared" si="4039"/>
        <v/>
      </c>
      <c r="FN254" s="72" t="str">
        <f t="shared" si="4040"/>
        <v/>
      </c>
      <c r="FO254" s="72" t="str">
        <f t="shared" si="4041"/>
        <v/>
      </c>
      <c r="FP254" s="72" t="str">
        <f t="shared" si="4042"/>
        <v/>
      </c>
      <c r="FQ254" s="72" t="str">
        <f t="shared" si="4043"/>
        <v/>
      </c>
      <c r="FR254" s="72" t="str">
        <f t="shared" si="4044"/>
        <v/>
      </c>
      <c r="FS254" s="72" t="str">
        <f t="shared" si="4045"/>
        <v/>
      </c>
    </row>
    <row r="255" spans="1:175" ht="15">
      <c r="A255" s="135"/>
      <c r="B255" s="82" t="s">
        <v>845</v>
      </c>
      <c r="C255" s="71" t="s">
        <v>843</v>
      </c>
      <c r="T255" s="142"/>
      <c r="U255" s="88"/>
      <c r="CN255" s="70" t="str">
        <f t="shared" si="3970"/>
        <v>InitUnitState('IF03',,,,,,,,,,)</v>
      </c>
      <c r="CO255" s="70" t="str">
        <f t="shared" si="3971"/>
        <v>InitUnitNormal('IF03',,,,,,,,,,)</v>
      </c>
      <c r="CP255" s="70" t="str">
        <f t="shared" si="3972"/>
        <v>InitUnitMagic('IF03',,,,,,,,,,)</v>
      </c>
      <c r="CQ255" s="70" t="str">
        <f t="shared" si="3973"/>
        <v>InitUnitAdd('IF03',,,,,,,,,,)</v>
      </c>
      <c r="CR255" s="70" t="str">
        <f t="shared" si="3974"/>
        <v>InitEquipData('IF03',,"",,,,,'','','','','','',"")</v>
      </c>
      <c r="CU255" s="98" t="str">
        <f t="shared" si="3975"/>
        <v>|n</v>
      </c>
      <c r="CW255" s="61"/>
      <c r="CX255" s="61"/>
      <c r="CY255" s="61"/>
      <c r="CZ255" s="61"/>
      <c r="DA255" s="61"/>
      <c r="DB255" s="72" t="str">
        <f t="shared" si="3976"/>
        <v/>
      </c>
      <c r="DC255" s="72" t="str">
        <f t="shared" si="3977"/>
        <v/>
      </c>
      <c r="DD255" s="72" t="str">
        <f t="shared" si="3978"/>
        <v/>
      </c>
      <c r="DE255" s="72" t="str">
        <f t="shared" si="3979"/>
        <v/>
      </c>
      <c r="DF255" s="72" t="str">
        <f t="shared" si="3980"/>
        <v/>
      </c>
      <c r="DG255" s="72" t="str">
        <f t="shared" si="3981"/>
        <v/>
      </c>
      <c r="DH255" s="72" t="str">
        <f t="shared" si="3982"/>
        <v/>
      </c>
      <c r="DI255" s="72" t="str">
        <f t="shared" si="3983"/>
        <v/>
      </c>
      <c r="DJ255" s="72" t="str">
        <f t="shared" si="3984"/>
        <v/>
      </c>
      <c r="DK255" s="72" t="str">
        <f t="shared" si="3985"/>
        <v/>
      </c>
      <c r="DL255" s="72" t="str">
        <f t="shared" si="3986"/>
        <v/>
      </c>
      <c r="DM255" s="72" t="str">
        <f t="shared" si="3987"/>
        <v/>
      </c>
      <c r="DN255" s="72" t="str">
        <f t="shared" si="3988"/>
        <v/>
      </c>
      <c r="DO255" s="72" t="str">
        <f t="shared" si="3989"/>
        <v/>
      </c>
      <c r="DP255" s="72" t="str">
        <f t="shared" si="3990"/>
        <v/>
      </c>
      <c r="DQ255" s="72" t="str">
        <f t="shared" si="3991"/>
        <v/>
      </c>
      <c r="DR255" s="72" t="str">
        <f t="shared" si="3992"/>
        <v/>
      </c>
      <c r="DS255" s="72" t="str">
        <f t="shared" si="3993"/>
        <v/>
      </c>
      <c r="DT255" s="72" t="str">
        <f t="shared" si="3994"/>
        <v/>
      </c>
      <c r="DU255" s="72" t="str">
        <f t="shared" si="3995"/>
        <v/>
      </c>
      <c r="DV255" s="72" t="str">
        <f t="shared" si="3996"/>
        <v/>
      </c>
      <c r="DW255" s="72" t="str">
        <f t="shared" si="3997"/>
        <v/>
      </c>
      <c r="DX255" s="72" t="str">
        <f t="shared" si="3998"/>
        <v/>
      </c>
      <c r="DY255" s="72" t="str">
        <f t="shared" si="3999"/>
        <v/>
      </c>
      <c r="DZ255" s="72" t="str">
        <f t="shared" si="4000"/>
        <v/>
      </c>
      <c r="EA255" s="72" t="str">
        <f t="shared" si="4001"/>
        <v/>
      </c>
      <c r="EB255" s="72" t="str">
        <f t="shared" si="4002"/>
        <v/>
      </c>
      <c r="EC255" s="72" t="str">
        <f t="shared" si="4003"/>
        <v/>
      </c>
      <c r="ED255" s="72" t="str">
        <f t="shared" si="4004"/>
        <v/>
      </c>
      <c r="EE255" s="72" t="str">
        <f t="shared" si="4005"/>
        <v/>
      </c>
      <c r="EF255" s="72" t="str">
        <f t="shared" si="4006"/>
        <v/>
      </c>
      <c r="EG255" s="72" t="str">
        <f t="shared" si="4007"/>
        <v/>
      </c>
      <c r="EH255" s="72" t="str">
        <f t="shared" si="4008"/>
        <v/>
      </c>
      <c r="EI255" s="72" t="str">
        <f t="shared" si="4009"/>
        <v/>
      </c>
      <c r="EJ255" s="72" t="str">
        <f t="shared" si="4010"/>
        <v/>
      </c>
      <c r="EK255" s="72" t="str">
        <f t="shared" si="4011"/>
        <v/>
      </c>
      <c r="EL255" s="72" t="str">
        <f t="shared" si="4012"/>
        <v/>
      </c>
      <c r="EM255" s="72" t="str">
        <f t="shared" si="4013"/>
        <v/>
      </c>
      <c r="EN255" s="72" t="str">
        <f t="shared" si="4014"/>
        <v/>
      </c>
      <c r="EO255" s="72" t="str">
        <f t="shared" si="4015"/>
        <v/>
      </c>
      <c r="EP255" s="72" t="str">
        <f t="shared" si="4016"/>
        <v/>
      </c>
      <c r="EQ255" s="72" t="str">
        <f t="shared" si="4017"/>
        <v/>
      </c>
      <c r="ER255" s="72" t="str">
        <f t="shared" si="4018"/>
        <v/>
      </c>
      <c r="ES255" s="72" t="str">
        <f t="shared" si="4019"/>
        <v/>
      </c>
      <c r="ET255" s="72" t="str">
        <f t="shared" si="4020"/>
        <v/>
      </c>
      <c r="EU255" s="72" t="str">
        <f t="shared" si="4021"/>
        <v/>
      </c>
      <c r="EV255" s="72" t="str">
        <f t="shared" si="4022"/>
        <v/>
      </c>
      <c r="EW255" s="72" t="str">
        <f t="shared" si="4023"/>
        <v/>
      </c>
      <c r="EX255" s="72" t="str">
        <f t="shared" si="4024"/>
        <v/>
      </c>
      <c r="EY255" s="72" t="str">
        <f t="shared" si="4025"/>
        <v/>
      </c>
      <c r="EZ255" s="72" t="str">
        <f t="shared" si="4026"/>
        <v/>
      </c>
      <c r="FA255" s="72" t="str">
        <f t="shared" si="4027"/>
        <v/>
      </c>
      <c r="FB255" s="72" t="str">
        <f t="shared" si="4028"/>
        <v/>
      </c>
      <c r="FC255" s="72" t="str">
        <f t="shared" si="4029"/>
        <v/>
      </c>
      <c r="FD255" s="72" t="str">
        <f t="shared" si="4030"/>
        <v/>
      </c>
      <c r="FE255" s="72" t="str">
        <f t="shared" si="4031"/>
        <v/>
      </c>
      <c r="FF255" s="72" t="str">
        <f t="shared" si="4032"/>
        <v/>
      </c>
      <c r="FG255" s="72" t="str">
        <f t="shared" si="4033"/>
        <v/>
      </c>
      <c r="FH255" s="72" t="str">
        <f t="shared" si="4034"/>
        <v/>
      </c>
      <c r="FI255" s="72" t="str">
        <f t="shared" si="4035"/>
        <v/>
      </c>
      <c r="FJ255" s="72" t="str">
        <f t="shared" si="4036"/>
        <v/>
      </c>
      <c r="FK255" s="72" t="str">
        <f t="shared" si="4037"/>
        <v/>
      </c>
      <c r="FL255" s="72" t="str">
        <f t="shared" si="4038"/>
        <v/>
      </c>
      <c r="FM255" s="72" t="str">
        <f t="shared" si="4039"/>
        <v/>
      </c>
      <c r="FN255" s="72" t="str">
        <f t="shared" si="4040"/>
        <v/>
      </c>
      <c r="FO255" s="72" t="str">
        <f t="shared" si="4041"/>
        <v/>
      </c>
      <c r="FP255" s="72" t="str">
        <f t="shared" si="4042"/>
        <v/>
      </c>
      <c r="FQ255" s="72" t="str">
        <f t="shared" si="4043"/>
        <v/>
      </c>
      <c r="FR255" s="72" t="str">
        <f t="shared" si="4044"/>
        <v/>
      </c>
      <c r="FS255" s="72" t="str">
        <f t="shared" si="4045"/>
        <v/>
      </c>
    </row>
    <row r="256" spans="1:175" ht="15">
      <c r="A256" s="135"/>
      <c r="B256" s="82" t="s">
        <v>846</v>
      </c>
      <c r="C256" s="71" t="s">
        <v>843</v>
      </c>
      <c r="T256" s="142"/>
      <c r="U256" s="88"/>
      <c r="CN256" s="70" t="str">
        <f t="shared" si="3970"/>
        <v>InitUnitState('IF04',,,,,,,,,,)</v>
      </c>
      <c r="CO256" s="70" t="str">
        <f t="shared" si="3971"/>
        <v>InitUnitNormal('IF04',,,,,,,,,,)</v>
      </c>
      <c r="CP256" s="70" t="str">
        <f t="shared" si="3972"/>
        <v>InitUnitMagic('IF04',,,,,,,,,,)</v>
      </c>
      <c r="CQ256" s="70" t="str">
        <f t="shared" si="3973"/>
        <v>InitUnitAdd('IF04',,,,,,,,,,)</v>
      </c>
      <c r="CR256" s="70" t="str">
        <f t="shared" si="3974"/>
        <v>InitEquipData('IF04',,"",,,,,'','','','','','',"")</v>
      </c>
      <c r="CU256" s="98" t="str">
        <f t="shared" si="3975"/>
        <v>|n</v>
      </c>
      <c r="CW256" s="61"/>
      <c r="CX256" s="61"/>
      <c r="CY256" s="61"/>
      <c r="CZ256" s="61"/>
      <c r="DA256" s="61"/>
      <c r="DB256" s="72" t="str">
        <f t="shared" si="3976"/>
        <v/>
      </c>
      <c r="DC256" s="72" t="str">
        <f t="shared" si="3977"/>
        <v/>
      </c>
      <c r="DD256" s="72" t="str">
        <f t="shared" si="3978"/>
        <v/>
      </c>
      <c r="DE256" s="72" t="str">
        <f t="shared" si="3979"/>
        <v/>
      </c>
      <c r="DF256" s="72" t="str">
        <f t="shared" si="3980"/>
        <v/>
      </c>
      <c r="DG256" s="72" t="str">
        <f t="shared" si="3981"/>
        <v/>
      </c>
      <c r="DH256" s="72" t="str">
        <f t="shared" si="3982"/>
        <v/>
      </c>
      <c r="DI256" s="72" t="str">
        <f t="shared" si="3983"/>
        <v/>
      </c>
      <c r="DJ256" s="72" t="str">
        <f t="shared" si="3984"/>
        <v/>
      </c>
      <c r="DK256" s="72" t="str">
        <f t="shared" si="3985"/>
        <v/>
      </c>
      <c r="DL256" s="72" t="str">
        <f t="shared" si="3986"/>
        <v/>
      </c>
      <c r="DM256" s="72" t="str">
        <f t="shared" si="3987"/>
        <v/>
      </c>
      <c r="DN256" s="72" t="str">
        <f t="shared" si="3988"/>
        <v/>
      </c>
      <c r="DO256" s="72" t="str">
        <f t="shared" si="3989"/>
        <v/>
      </c>
      <c r="DP256" s="72" t="str">
        <f t="shared" si="3990"/>
        <v/>
      </c>
      <c r="DQ256" s="72" t="str">
        <f t="shared" si="3991"/>
        <v/>
      </c>
      <c r="DR256" s="72" t="str">
        <f t="shared" si="3992"/>
        <v/>
      </c>
      <c r="DS256" s="72" t="str">
        <f t="shared" si="3993"/>
        <v/>
      </c>
      <c r="DT256" s="72" t="str">
        <f t="shared" si="3994"/>
        <v/>
      </c>
      <c r="DU256" s="72" t="str">
        <f t="shared" si="3995"/>
        <v/>
      </c>
      <c r="DV256" s="72" t="str">
        <f t="shared" si="3996"/>
        <v/>
      </c>
      <c r="DW256" s="72" t="str">
        <f t="shared" si="3997"/>
        <v/>
      </c>
      <c r="DX256" s="72" t="str">
        <f t="shared" si="3998"/>
        <v/>
      </c>
      <c r="DY256" s="72" t="str">
        <f t="shared" si="3999"/>
        <v/>
      </c>
      <c r="DZ256" s="72" t="str">
        <f t="shared" si="4000"/>
        <v/>
      </c>
      <c r="EA256" s="72" t="str">
        <f t="shared" si="4001"/>
        <v/>
      </c>
      <c r="EB256" s="72" t="str">
        <f t="shared" si="4002"/>
        <v/>
      </c>
      <c r="EC256" s="72" t="str">
        <f t="shared" si="4003"/>
        <v/>
      </c>
      <c r="ED256" s="72" t="str">
        <f t="shared" si="4004"/>
        <v/>
      </c>
      <c r="EE256" s="72" t="str">
        <f t="shared" si="4005"/>
        <v/>
      </c>
      <c r="EF256" s="72" t="str">
        <f t="shared" si="4006"/>
        <v/>
      </c>
      <c r="EG256" s="72" t="str">
        <f t="shared" si="4007"/>
        <v/>
      </c>
      <c r="EH256" s="72" t="str">
        <f t="shared" si="4008"/>
        <v/>
      </c>
      <c r="EI256" s="72" t="str">
        <f t="shared" si="4009"/>
        <v/>
      </c>
      <c r="EJ256" s="72" t="str">
        <f t="shared" si="4010"/>
        <v/>
      </c>
      <c r="EK256" s="72" t="str">
        <f t="shared" si="4011"/>
        <v/>
      </c>
      <c r="EL256" s="72" t="str">
        <f t="shared" si="4012"/>
        <v/>
      </c>
      <c r="EM256" s="72" t="str">
        <f t="shared" si="4013"/>
        <v/>
      </c>
      <c r="EN256" s="72" t="str">
        <f t="shared" si="4014"/>
        <v/>
      </c>
      <c r="EO256" s="72" t="str">
        <f t="shared" si="4015"/>
        <v/>
      </c>
      <c r="EP256" s="72" t="str">
        <f t="shared" si="4016"/>
        <v/>
      </c>
      <c r="EQ256" s="72" t="str">
        <f t="shared" si="4017"/>
        <v/>
      </c>
      <c r="ER256" s="72" t="str">
        <f t="shared" si="4018"/>
        <v/>
      </c>
      <c r="ES256" s="72" t="str">
        <f t="shared" si="4019"/>
        <v/>
      </c>
      <c r="ET256" s="72" t="str">
        <f t="shared" si="4020"/>
        <v/>
      </c>
      <c r="EU256" s="72" t="str">
        <f t="shared" si="4021"/>
        <v/>
      </c>
      <c r="EV256" s="72" t="str">
        <f t="shared" si="4022"/>
        <v/>
      </c>
      <c r="EW256" s="72" t="str">
        <f t="shared" si="4023"/>
        <v/>
      </c>
      <c r="EX256" s="72" t="str">
        <f t="shared" si="4024"/>
        <v/>
      </c>
      <c r="EY256" s="72" t="str">
        <f t="shared" si="4025"/>
        <v/>
      </c>
      <c r="EZ256" s="72" t="str">
        <f t="shared" si="4026"/>
        <v/>
      </c>
      <c r="FA256" s="72" t="str">
        <f t="shared" si="4027"/>
        <v/>
      </c>
      <c r="FB256" s="72" t="str">
        <f t="shared" si="4028"/>
        <v/>
      </c>
      <c r="FC256" s="72" t="str">
        <f t="shared" si="4029"/>
        <v/>
      </c>
      <c r="FD256" s="72" t="str">
        <f t="shared" si="4030"/>
        <v/>
      </c>
      <c r="FE256" s="72" t="str">
        <f t="shared" si="4031"/>
        <v/>
      </c>
      <c r="FF256" s="72" t="str">
        <f t="shared" si="4032"/>
        <v/>
      </c>
      <c r="FG256" s="72" t="str">
        <f t="shared" si="4033"/>
        <v/>
      </c>
      <c r="FH256" s="72" t="str">
        <f t="shared" si="4034"/>
        <v/>
      </c>
      <c r="FI256" s="72" t="str">
        <f t="shared" si="4035"/>
        <v/>
      </c>
      <c r="FJ256" s="72" t="str">
        <f t="shared" si="4036"/>
        <v/>
      </c>
      <c r="FK256" s="72" t="str">
        <f t="shared" si="4037"/>
        <v/>
      </c>
      <c r="FL256" s="72" t="str">
        <f t="shared" si="4038"/>
        <v/>
      </c>
      <c r="FM256" s="72" t="str">
        <f t="shared" si="4039"/>
        <v/>
      </c>
      <c r="FN256" s="72" t="str">
        <f t="shared" si="4040"/>
        <v/>
      </c>
      <c r="FO256" s="72" t="str">
        <f t="shared" si="4041"/>
        <v/>
      </c>
      <c r="FP256" s="72" t="str">
        <f t="shared" si="4042"/>
        <v/>
      </c>
      <c r="FQ256" s="72" t="str">
        <f t="shared" si="4043"/>
        <v/>
      </c>
      <c r="FR256" s="72" t="str">
        <f t="shared" si="4044"/>
        <v/>
      </c>
      <c r="FS256" s="72" t="str">
        <f t="shared" si="4045"/>
        <v/>
      </c>
    </row>
    <row r="257" spans="1:175" ht="15">
      <c r="A257" s="135"/>
      <c r="B257" s="82" t="s">
        <v>847</v>
      </c>
      <c r="C257" s="71" t="s">
        <v>843</v>
      </c>
      <c r="T257" s="142"/>
      <c r="U257" s="88"/>
      <c r="CN257" s="70" t="str">
        <f t="shared" si="3970"/>
        <v>InitUnitState('IF05',,,,,,,,,,)</v>
      </c>
      <c r="CO257" s="70" t="str">
        <f t="shared" si="3971"/>
        <v>InitUnitNormal('IF05',,,,,,,,,,)</v>
      </c>
      <c r="CP257" s="70" t="str">
        <f t="shared" si="3972"/>
        <v>InitUnitMagic('IF05',,,,,,,,,,)</v>
      </c>
      <c r="CQ257" s="70" t="str">
        <f t="shared" si="3973"/>
        <v>InitUnitAdd('IF05',,,,,,,,,,)</v>
      </c>
      <c r="CR257" s="70" t="str">
        <f t="shared" si="3974"/>
        <v>InitEquipData('IF05',,"",,,,,'','','','','','',"")</v>
      </c>
      <c r="CU257" s="98" t="str">
        <f t="shared" si="3975"/>
        <v>|n</v>
      </c>
      <c r="CW257" s="61"/>
      <c r="CX257" s="61"/>
      <c r="CY257" s="61"/>
      <c r="CZ257" s="61"/>
      <c r="DA257" s="61"/>
      <c r="DB257" s="72" t="str">
        <f t="shared" si="3976"/>
        <v/>
      </c>
      <c r="DC257" s="72" t="str">
        <f t="shared" si="3977"/>
        <v/>
      </c>
      <c r="DD257" s="72" t="str">
        <f t="shared" si="3978"/>
        <v/>
      </c>
      <c r="DE257" s="72" t="str">
        <f t="shared" si="3979"/>
        <v/>
      </c>
      <c r="DF257" s="72" t="str">
        <f t="shared" si="3980"/>
        <v/>
      </c>
      <c r="DG257" s="72" t="str">
        <f t="shared" si="3981"/>
        <v/>
      </c>
      <c r="DH257" s="72" t="str">
        <f t="shared" si="3982"/>
        <v/>
      </c>
      <c r="DI257" s="72" t="str">
        <f t="shared" si="3983"/>
        <v/>
      </c>
      <c r="DJ257" s="72" t="str">
        <f t="shared" si="3984"/>
        <v/>
      </c>
      <c r="DK257" s="72" t="str">
        <f t="shared" si="3985"/>
        <v/>
      </c>
      <c r="DL257" s="72" t="str">
        <f t="shared" si="3986"/>
        <v/>
      </c>
      <c r="DM257" s="72" t="str">
        <f t="shared" si="3987"/>
        <v/>
      </c>
      <c r="DN257" s="72" t="str">
        <f t="shared" si="3988"/>
        <v/>
      </c>
      <c r="DO257" s="72" t="str">
        <f t="shared" si="3989"/>
        <v/>
      </c>
      <c r="DP257" s="72" t="str">
        <f t="shared" si="3990"/>
        <v/>
      </c>
      <c r="DQ257" s="72" t="str">
        <f t="shared" si="3991"/>
        <v/>
      </c>
      <c r="DR257" s="72" t="str">
        <f t="shared" si="3992"/>
        <v/>
      </c>
      <c r="DS257" s="72" t="str">
        <f t="shared" si="3993"/>
        <v/>
      </c>
      <c r="DT257" s="72" t="str">
        <f t="shared" si="3994"/>
        <v/>
      </c>
      <c r="DU257" s="72" t="str">
        <f t="shared" si="3995"/>
        <v/>
      </c>
      <c r="DV257" s="72" t="str">
        <f t="shared" si="3996"/>
        <v/>
      </c>
      <c r="DW257" s="72" t="str">
        <f t="shared" si="3997"/>
        <v/>
      </c>
      <c r="DX257" s="72" t="str">
        <f t="shared" si="3998"/>
        <v/>
      </c>
      <c r="DY257" s="72" t="str">
        <f t="shared" si="3999"/>
        <v/>
      </c>
      <c r="DZ257" s="72" t="str">
        <f t="shared" si="4000"/>
        <v/>
      </c>
      <c r="EA257" s="72" t="str">
        <f t="shared" si="4001"/>
        <v/>
      </c>
      <c r="EB257" s="72" t="str">
        <f t="shared" si="4002"/>
        <v/>
      </c>
      <c r="EC257" s="72" t="str">
        <f t="shared" si="4003"/>
        <v/>
      </c>
      <c r="ED257" s="72" t="str">
        <f t="shared" si="4004"/>
        <v/>
      </c>
      <c r="EE257" s="72" t="str">
        <f t="shared" si="4005"/>
        <v/>
      </c>
      <c r="EF257" s="72" t="str">
        <f t="shared" si="4006"/>
        <v/>
      </c>
      <c r="EG257" s="72" t="str">
        <f t="shared" si="4007"/>
        <v/>
      </c>
      <c r="EH257" s="72" t="str">
        <f t="shared" si="4008"/>
        <v/>
      </c>
      <c r="EI257" s="72" t="str">
        <f t="shared" si="4009"/>
        <v/>
      </c>
      <c r="EJ257" s="72" t="str">
        <f t="shared" si="4010"/>
        <v/>
      </c>
      <c r="EK257" s="72" t="str">
        <f t="shared" si="4011"/>
        <v/>
      </c>
      <c r="EL257" s="72" t="str">
        <f t="shared" si="4012"/>
        <v/>
      </c>
      <c r="EM257" s="72" t="str">
        <f t="shared" si="4013"/>
        <v/>
      </c>
      <c r="EN257" s="72" t="str">
        <f t="shared" si="4014"/>
        <v/>
      </c>
      <c r="EO257" s="72" t="str">
        <f t="shared" si="4015"/>
        <v/>
      </c>
      <c r="EP257" s="72" t="str">
        <f t="shared" si="4016"/>
        <v/>
      </c>
      <c r="EQ257" s="72" t="str">
        <f t="shared" si="4017"/>
        <v/>
      </c>
      <c r="ER257" s="72" t="str">
        <f t="shared" si="4018"/>
        <v/>
      </c>
      <c r="ES257" s="72" t="str">
        <f t="shared" si="4019"/>
        <v/>
      </c>
      <c r="ET257" s="72" t="str">
        <f t="shared" si="4020"/>
        <v/>
      </c>
      <c r="EU257" s="72" t="str">
        <f t="shared" si="4021"/>
        <v/>
      </c>
      <c r="EV257" s="72" t="str">
        <f t="shared" si="4022"/>
        <v/>
      </c>
      <c r="EW257" s="72" t="str">
        <f t="shared" si="4023"/>
        <v/>
      </c>
      <c r="EX257" s="72" t="str">
        <f t="shared" si="4024"/>
        <v/>
      </c>
      <c r="EY257" s="72" t="str">
        <f t="shared" si="4025"/>
        <v/>
      </c>
      <c r="EZ257" s="72" t="str">
        <f t="shared" si="4026"/>
        <v/>
      </c>
      <c r="FA257" s="72" t="str">
        <f t="shared" si="4027"/>
        <v/>
      </c>
      <c r="FB257" s="72" t="str">
        <f t="shared" si="4028"/>
        <v/>
      </c>
      <c r="FC257" s="72" t="str">
        <f t="shared" si="4029"/>
        <v/>
      </c>
      <c r="FD257" s="72" t="str">
        <f t="shared" si="4030"/>
        <v/>
      </c>
      <c r="FE257" s="72" t="str">
        <f t="shared" si="4031"/>
        <v/>
      </c>
      <c r="FF257" s="72" t="str">
        <f t="shared" si="4032"/>
        <v/>
      </c>
      <c r="FG257" s="72" t="str">
        <f t="shared" si="4033"/>
        <v/>
      </c>
      <c r="FH257" s="72" t="str">
        <f t="shared" si="4034"/>
        <v/>
      </c>
      <c r="FI257" s="72" t="str">
        <f t="shared" si="4035"/>
        <v/>
      </c>
      <c r="FJ257" s="72" t="str">
        <f t="shared" si="4036"/>
        <v/>
      </c>
      <c r="FK257" s="72" t="str">
        <f t="shared" si="4037"/>
        <v/>
      </c>
      <c r="FL257" s="72" t="str">
        <f t="shared" si="4038"/>
        <v/>
      </c>
      <c r="FM257" s="72" t="str">
        <f t="shared" si="4039"/>
        <v/>
      </c>
      <c r="FN257" s="72" t="str">
        <f t="shared" si="4040"/>
        <v/>
      </c>
      <c r="FO257" s="72" t="str">
        <f t="shared" si="4041"/>
        <v/>
      </c>
      <c r="FP257" s="72" t="str">
        <f t="shared" si="4042"/>
        <v/>
      </c>
      <c r="FQ257" s="72" t="str">
        <f t="shared" si="4043"/>
        <v/>
      </c>
      <c r="FR257" s="72" t="str">
        <f t="shared" si="4044"/>
        <v/>
      </c>
      <c r="FS257" s="72" t="str">
        <f t="shared" si="4045"/>
        <v/>
      </c>
    </row>
    <row r="258" spans="1:175" ht="15">
      <c r="A258" s="135"/>
      <c r="B258" s="82" t="s">
        <v>848</v>
      </c>
      <c r="C258" s="71" t="s">
        <v>843</v>
      </c>
      <c r="T258" s="142"/>
      <c r="U258" s="88"/>
      <c r="CN258" s="70" t="str">
        <f t="shared" si="3970"/>
        <v>InitUnitState('IF06',,,,,,,,,,)</v>
      </c>
      <c r="CO258" s="70" t="str">
        <f t="shared" si="3971"/>
        <v>InitUnitNormal('IF06',,,,,,,,,,)</v>
      </c>
      <c r="CP258" s="70" t="str">
        <f t="shared" si="3972"/>
        <v>InitUnitMagic('IF06',,,,,,,,,,)</v>
      </c>
      <c r="CQ258" s="70" t="str">
        <f t="shared" si="3973"/>
        <v>InitUnitAdd('IF06',,,,,,,,,,)</v>
      </c>
      <c r="CR258" s="70" t="str">
        <f t="shared" si="3974"/>
        <v>InitEquipData('IF06',,"",,,,,'','','','','','',"")</v>
      </c>
      <c r="CU258" s="98" t="str">
        <f t="shared" si="3975"/>
        <v>|n</v>
      </c>
      <c r="CW258" s="61"/>
      <c r="CX258" s="61"/>
      <c r="CY258" s="61"/>
      <c r="CZ258" s="61"/>
      <c r="DA258" s="61"/>
      <c r="DB258" s="72" t="str">
        <f t="shared" si="3976"/>
        <v/>
      </c>
      <c r="DC258" s="72" t="str">
        <f t="shared" si="3977"/>
        <v/>
      </c>
      <c r="DD258" s="72" t="str">
        <f t="shared" si="3978"/>
        <v/>
      </c>
      <c r="DE258" s="72" t="str">
        <f t="shared" si="3979"/>
        <v/>
      </c>
      <c r="DF258" s="72" t="str">
        <f t="shared" si="3980"/>
        <v/>
      </c>
      <c r="DG258" s="72" t="str">
        <f t="shared" si="3981"/>
        <v/>
      </c>
      <c r="DH258" s="72" t="str">
        <f t="shared" si="3982"/>
        <v/>
      </c>
      <c r="DI258" s="72" t="str">
        <f t="shared" si="3983"/>
        <v/>
      </c>
      <c r="DJ258" s="72" t="str">
        <f t="shared" si="3984"/>
        <v/>
      </c>
      <c r="DK258" s="72" t="str">
        <f t="shared" si="3985"/>
        <v/>
      </c>
      <c r="DL258" s="72" t="str">
        <f t="shared" si="3986"/>
        <v/>
      </c>
      <c r="DM258" s="72" t="str">
        <f t="shared" si="3987"/>
        <v/>
      </c>
      <c r="DN258" s="72" t="str">
        <f t="shared" si="3988"/>
        <v/>
      </c>
      <c r="DO258" s="72" t="str">
        <f t="shared" si="3989"/>
        <v/>
      </c>
      <c r="DP258" s="72" t="str">
        <f t="shared" si="3990"/>
        <v/>
      </c>
      <c r="DQ258" s="72" t="str">
        <f t="shared" si="3991"/>
        <v/>
      </c>
      <c r="DR258" s="72" t="str">
        <f t="shared" si="3992"/>
        <v/>
      </c>
      <c r="DS258" s="72" t="str">
        <f t="shared" si="3993"/>
        <v/>
      </c>
      <c r="DT258" s="72" t="str">
        <f t="shared" si="3994"/>
        <v/>
      </c>
      <c r="DU258" s="72" t="str">
        <f t="shared" si="3995"/>
        <v/>
      </c>
      <c r="DV258" s="72" t="str">
        <f t="shared" si="3996"/>
        <v/>
      </c>
      <c r="DW258" s="72" t="str">
        <f t="shared" si="3997"/>
        <v/>
      </c>
      <c r="DX258" s="72" t="str">
        <f t="shared" si="3998"/>
        <v/>
      </c>
      <c r="DY258" s="72" t="str">
        <f t="shared" si="3999"/>
        <v/>
      </c>
      <c r="DZ258" s="72" t="str">
        <f t="shared" si="4000"/>
        <v/>
      </c>
      <c r="EA258" s="72" t="str">
        <f t="shared" si="4001"/>
        <v/>
      </c>
      <c r="EB258" s="72" t="str">
        <f t="shared" si="4002"/>
        <v/>
      </c>
      <c r="EC258" s="72" t="str">
        <f t="shared" si="4003"/>
        <v/>
      </c>
      <c r="ED258" s="72" t="str">
        <f t="shared" si="4004"/>
        <v/>
      </c>
      <c r="EE258" s="72" t="str">
        <f t="shared" si="4005"/>
        <v/>
      </c>
      <c r="EF258" s="72" t="str">
        <f t="shared" si="4006"/>
        <v/>
      </c>
      <c r="EG258" s="72" t="str">
        <f t="shared" si="4007"/>
        <v/>
      </c>
      <c r="EH258" s="72" t="str">
        <f t="shared" si="4008"/>
        <v/>
      </c>
      <c r="EI258" s="72" t="str">
        <f t="shared" si="4009"/>
        <v/>
      </c>
      <c r="EJ258" s="72" t="str">
        <f t="shared" si="4010"/>
        <v/>
      </c>
      <c r="EK258" s="72" t="str">
        <f t="shared" si="4011"/>
        <v/>
      </c>
      <c r="EL258" s="72" t="str">
        <f t="shared" si="4012"/>
        <v/>
      </c>
      <c r="EM258" s="72" t="str">
        <f t="shared" si="4013"/>
        <v/>
      </c>
      <c r="EN258" s="72" t="str">
        <f t="shared" si="4014"/>
        <v/>
      </c>
      <c r="EO258" s="72" t="str">
        <f t="shared" si="4015"/>
        <v/>
      </c>
      <c r="EP258" s="72" t="str">
        <f t="shared" si="4016"/>
        <v/>
      </c>
      <c r="EQ258" s="72" t="str">
        <f t="shared" si="4017"/>
        <v/>
      </c>
      <c r="ER258" s="72" t="str">
        <f t="shared" si="4018"/>
        <v/>
      </c>
      <c r="ES258" s="72" t="str">
        <f t="shared" si="4019"/>
        <v/>
      </c>
      <c r="ET258" s="72" t="str">
        <f t="shared" si="4020"/>
        <v/>
      </c>
      <c r="EU258" s="72" t="str">
        <f t="shared" si="4021"/>
        <v/>
      </c>
      <c r="EV258" s="72" t="str">
        <f t="shared" si="4022"/>
        <v/>
      </c>
      <c r="EW258" s="72" t="str">
        <f t="shared" si="4023"/>
        <v/>
      </c>
      <c r="EX258" s="72" t="str">
        <f t="shared" si="4024"/>
        <v/>
      </c>
      <c r="EY258" s="72" t="str">
        <f t="shared" si="4025"/>
        <v/>
      </c>
      <c r="EZ258" s="72" t="str">
        <f t="shared" si="4026"/>
        <v/>
      </c>
      <c r="FA258" s="72" t="str">
        <f t="shared" si="4027"/>
        <v/>
      </c>
      <c r="FB258" s="72" t="str">
        <f t="shared" si="4028"/>
        <v/>
      </c>
      <c r="FC258" s="72" t="str">
        <f t="shared" si="4029"/>
        <v/>
      </c>
      <c r="FD258" s="72" t="str">
        <f t="shared" si="4030"/>
        <v/>
      </c>
      <c r="FE258" s="72" t="str">
        <f t="shared" si="4031"/>
        <v/>
      </c>
      <c r="FF258" s="72" t="str">
        <f t="shared" si="4032"/>
        <v/>
      </c>
      <c r="FG258" s="72" t="str">
        <f t="shared" si="4033"/>
        <v/>
      </c>
      <c r="FH258" s="72" t="str">
        <f t="shared" si="4034"/>
        <v/>
      </c>
      <c r="FI258" s="72" t="str">
        <f t="shared" si="4035"/>
        <v/>
      </c>
      <c r="FJ258" s="72" t="str">
        <f t="shared" si="4036"/>
        <v/>
      </c>
      <c r="FK258" s="72" t="str">
        <f t="shared" si="4037"/>
        <v/>
      </c>
      <c r="FL258" s="72" t="str">
        <f t="shared" si="4038"/>
        <v/>
      </c>
      <c r="FM258" s="72" t="str">
        <f t="shared" si="4039"/>
        <v/>
      </c>
      <c r="FN258" s="72" t="str">
        <f t="shared" si="4040"/>
        <v/>
      </c>
      <c r="FO258" s="72" t="str">
        <f t="shared" si="4041"/>
        <v/>
      </c>
      <c r="FP258" s="72" t="str">
        <f t="shared" si="4042"/>
        <v/>
      </c>
      <c r="FQ258" s="72" t="str">
        <f t="shared" si="4043"/>
        <v/>
      </c>
      <c r="FR258" s="72" t="str">
        <f t="shared" si="4044"/>
        <v/>
      </c>
      <c r="FS258" s="72" t="str">
        <f t="shared" si="4045"/>
        <v/>
      </c>
    </row>
    <row r="259" spans="1:175" ht="15">
      <c r="A259" s="135"/>
      <c r="B259" s="82" t="s">
        <v>849</v>
      </c>
      <c r="C259" s="71" t="s">
        <v>843</v>
      </c>
      <c r="T259" s="142"/>
      <c r="U259" s="88"/>
      <c r="CN259" s="70" t="str">
        <f t="shared" si="3970"/>
        <v>InitUnitState('IF07',,,,,,,,,,)</v>
      </c>
      <c r="CO259" s="70" t="str">
        <f t="shared" si="3971"/>
        <v>InitUnitNormal('IF07',,,,,,,,,,)</v>
      </c>
      <c r="CP259" s="70" t="str">
        <f t="shared" si="3972"/>
        <v>InitUnitMagic('IF07',,,,,,,,,,)</v>
      </c>
      <c r="CQ259" s="70" t="str">
        <f t="shared" si="3973"/>
        <v>InitUnitAdd('IF07',,,,,,,,,,)</v>
      </c>
      <c r="CR259" s="70" t="str">
        <f t="shared" si="3974"/>
        <v>InitEquipData('IF07',,"",,,,,'','','','','','',"")</v>
      </c>
      <c r="CU259" s="98" t="str">
        <f t="shared" si="3975"/>
        <v>|n</v>
      </c>
      <c r="CW259" s="61"/>
      <c r="CX259" s="61"/>
      <c r="CY259" s="61"/>
      <c r="CZ259" s="61"/>
      <c r="DA259" s="61"/>
      <c r="DB259" s="72" t="str">
        <f t="shared" si="3976"/>
        <v/>
      </c>
      <c r="DC259" s="72" t="str">
        <f t="shared" si="3977"/>
        <v/>
      </c>
      <c r="DD259" s="72" t="str">
        <f t="shared" si="3978"/>
        <v/>
      </c>
      <c r="DE259" s="72" t="str">
        <f t="shared" si="3979"/>
        <v/>
      </c>
      <c r="DF259" s="72" t="str">
        <f t="shared" si="3980"/>
        <v/>
      </c>
      <c r="DG259" s="72" t="str">
        <f t="shared" si="3981"/>
        <v/>
      </c>
      <c r="DH259" s="72" t="str">
        <f t="shared" si="3982"/>
        <v/>
      </c>
      <c r="DI259" s="72" t="str">
        <f t="shared" si="3983"/>
        <v/>
      </c>
      <c r="DJ259" s="72" t="str">
        <f t="shared" si="3984"/>
        <v/>
      </c>
      <c r="DK259" s="72" t="str">
        <f t="shared" si="3985"/>
        <v/>
      </c>
      <c r="DL259" s="72" t="str">
        <f t="shared" si="3986"/>
        <v/>
      </c>
      <c r="DM259" s="72" t="str">
        <f t="shared" si="3987"/>
        <v/>
      </c>
      <c r="DN259" s="72" t="str">
        <f t="shared" si="3988"/>
        <v/>
      </c>
      <c r="DO259" s="72" t="str">
        <f t="shared" si="3989"/>
        <v/>
      </c>
      <c r="DP259" s="72" t="str">
        <f t="shared" si="3990"/>
        <v/>
      </c>
      <c r="DQ259" s="72" t="str">
        <f t="shared" si="3991"/>
        <v/>
      </c>
      <c r="DR259" s="72" t="str">
        <f t="shared" si="3992"/>
        <v/>
      </c>
      <c r="DS259" s="72" t="str">
        <f t="shared" si="3993"/>
        <v/>
      </c>
      <c r="DT259" s="72" t="str">
        <f t="shared" si="3994"/>
        <v/>
      </c>
      <c r="DU259" s="72" t="str">
        <f t="shared" si="3995"/>
        <v/>
      </c>
      <c r="DV259" s="72" t="str">
        <f t="shared" si="3996"/>
        <v/>
      </c>
      <c r="DW259" s="72" t="str">
        <f t="shared" si="3997"/>
        <v/>
      </c>
      <c r="DX259" s="72" t="str">
        <f t="shared" si="3998"/>
        <v/>
      </c>
      <c r="DY259" s="72" t="str">
        <f t="shared" si="3999"/>
        <v/>
      </c>
      <c r="DZ259" s="72" t="str">
        <f t="shared" si="4000"/>
        <v/>
      </c>
      <c r="EA259" s="72" t="str">
        <f t="shared" si="4001"/>
        <v/>
      </c>
      <c r="EB259" s="72" t="str">
        <f t="shared" si="4002"/>
        <v/>
      </c>
      <c r="EC259" s="72" t="str">
        <f t="shared" si="4003"/>
        <v/>
      </c>
      <c r="ED259" s="72" t="str">
        <f t="shared" si="4004"/>
        <v/>
      </c>
      <c r="EE259" s="72" t="str">
        <f t="shared" si="4005"/>
        <v/>
      </c>
      <c r="EF259" s="72" t="str">
        <f t="shared" si="4006"/>
        <v/>
      </c>
      <c r="EG259" s="72" t="str">
        <f t="shared" si="4007"/>
        <v/>
      </c>
      <c r="EH259" s="72" t="str">
        <f t="shared" si="4008"/>
        <v/>
      </c>
      <c r="EI259" s="72" t="str">
        <f t="shared" si="4009"/>
        <v/>
      </c>
      <c r="EJ259" s="72" t="str">
        <f t="shared" si="4010"/>
        <v/>
      </c>
      <c r="EK259" s="72" t="str">
        <f t="shared" si="4011"/>
        <v/>
      </c>
      <c r="EL259" s="72" t="str">
        <f t="shared" si="4012"/>
        <v/>
      </c>
      <c r="EM259" s="72" t="str">
        <f t="shared" si="4013"/>
        <v/>
      </c>
      <c r="EN259" s="72" t="str">
        <f t="shared" si="4014"/>
        <v/>
      </c>
      <c r="EO259" s="72" t="str">
        <f t="shared" si="4015"/>
        <v/>
      </c>
      <c r="EP259" s="72" t="str">
        <f t="shared" si="4016"/>
        <v/>
      </c>
      <c r="EQ259" s="72" t="str">
        <f t="shared" si="4017"/>
        <v/>
      </c>
      <c r="ER259" s="72" t="str">
        <f t="shared" si="4018"/>
        <v/>
      </c>
      <c r="ES259" s="72" t="str">
        <f t="shared" si="4019"/>
        <v/>
      </c>
      <c r="ET259" s="72" t="str">
        <f t="shared" si="4020"/>
        <v/>
      </c>
      <c r="EU259" s="72" t="str">
        <f t="shared" si="4021"/>
        <v/>
      </c>
      <c r="EV259" s="72" t="str">
        <f t="shared" si="4022"/>
        <v/>
      </c>
      <c r="EW259" s="72" t="str">
        <f t="shared" si="4023"/>
        <v/>
      </c>
      <c r="EX259" s="72" t="str">
        <f t="shared" si="4024"/>
        <v/>
      </c>
      <c r="EY259" s="72" t="str">
        <f t="shared" si="4025"/>
        <v/>
      </c>
      <c r="EZ259" s="72" t="str">
        <f t="shared" si="4026"/>
        <v/>
      </c>
      <c r="FA259" s="72" t="str">
        <f t="shared" si="4027"/>
        <v/>
      </c>
      <c r="FB259" s="72" t="str">
        <f t="shared" si="4028"/>
        <v/>
      </c>
      <c r="FC259" s="72" t="str">
        <f t="shared" si="4029"/>
        <v/>
      </c>
      <c r="FD259" s="72" t="str">
        <f t="shared" si="4030"/>
        <v/>
      </c>
      <c r="FE259" s="72" t="str">
        <f t="shared" si="4031"/>
        <v/>
      </c>
      <c r="FF259" s="72" t="str">
        <f t="shared" si="4032"/>
        <v/>
      </c>
      <c r="FG259" s="72" t="str">
        <f t="shared" si="4033"/>
        <v/>
      </c>
      <c r="FH259" s="72" t="str">
        <f t="shared" si="4034"/>
        <v/>
      </c>
      <c r="FI259" s="72" t="str">
        <f t="shared" si="4035"/>
        <v/>
      </c>
      <c r="FJ259" s="72" t="str">
        <f t="shared" si="4036"/>
        <v/>
      </c>
      <c r="FK259" s="72" t="str">
        <f t="shared" si="4037"/>
        <v/>
      </c>
      <c r="FL259" s="72" t="str">
        <f t="shared" si="4038"/>
        <v/>
      </c>
      <c r="FM259" s="72" t="str">
        <f t="shared" si="4039"/>
        <v/>
      </c>
      <c r="FN259" s="72" t="str">
        <f t="shared" si="4040"/>
        <v/>
      </c>
      <c r="FO259" s="72" t="str">
        <f t="shared" si="4041"/>
        <v/>
      </c>
      <c r="FP259" s="72" t="str">
        <f t="shared" si="4042"/>
        <v/>
      </c>
      <c r="FQ259" s="72" t="str">
        <f t="shared" si="4043"/>
        <v/>
      </c>
      <c r="FR259" s="72" t="str">
        <f t="shared" si="4044"/>
        <v/>
      </c>
      <c r="FS259" s="72" t="str">
        <f t="shared" si="4045"/>
        <v/>
      </c>
    </row>
    <row r="260" spans="1:175" ht="15">
      <c r="A260" s="135"/>
      <c r="B260" s="82" t="s">
        <v>850</v>
      </c>
      <c r="C260" s="71" t="s">
        <v>843</v>
      </c>
      <c r="T260" s="142"/>
      <c r="U260" s="88"/>
      <c r="CN260" s="70" t="str">
        <f t="shared" si="3970"/>
        <v>InitUnitState('IF08',,,,,,,,,,)</v>
      </c>
      <c r="CO260" s="70" t="str">
        <f t="shared" si="3971"/>
        <v>InitUnitNormal('IF08',,,,,,,,,,)</v>
      </c>
      <c r="CP260" s="70" t="str">
        <f t="shared" si="3972"/>
        <v>InitUnitMagic('IF08',,,,,,,,,,)</v>
      </c>
      <c r="CQ260" s="70" t="str">
        <f t="shared" si="3973"/>
        <v>InitUnitAdd('IF08',,,,,,,,,,)</v>
      </c>
      <c r="CR260" s="70" t="str">
        <f t="shared" si="3974"/>
        <v>InitEquipData('IF08',,"",,,,,'','','','','','',"")</v>
      </c>
      <c r="CU260" s="98" t="str">
        <f t="shared" si="3975"/>
        <v>|n</v>
      </c>
      <c r="CW260" s="61"/>
      <c r="CX260" s="61"/>
      <c r="CY260" s="61"/>
      <c r="CZ260" s="61"/>
      <c r="DA260" s="61"/>
      <c r="DB260" s="72" t="str">
        <f t="shared" si="3976"/>
        <v/>
      </c>
      <c r="DC260" s="72" t="str">
        <f t="shared" si="3977"/>
        <v/>
      </c>
      <c r="DD260" s="72" t="str">
        <f t="shared" si="3978"/>
        <v/>
      </c>
      <c r="DE260" s="72" t="str">
        <f t="shared" si="3979"/>
        <v/>
      </c>
      <c r="DF260" s="72" t="str">
        <f t="shared" si="3980"/>
        <v/>
      </c>
      <c r="DG260" s="72" t="str">
        <f t="shared" si="3981"/>
        <v/>
      </c>
      <c r="DH260" s="72" t="str">
        <f t="shared" si="3982"/>
        <v/>
      </c>
      <c r="DI260" s="72" t="str">
        <f t="shared" si="3983"/>
        <v/>
      </c>
      <c r="DJ260" s="72" t="str">
        <f t="shared" si="3984"/>
        <v/>
      </c>
      <c r="DK260" s="72" t="str">
        <f t="shared" si="3985"/>
        <v/>
      </c>
      <c r="DL260" s="72" t="str">
        <f t="shared" si="3986"/>
        <v/>
      </c>
      <c r="DM260" s="72" t="str">
        <f t="shared" si="3987"/>
        <v/>
      </c>
      <c r="DN260" s="72" t="str">
        <f t="shared" si="3988"/>
        <v/>
      </c>
      <c r="DO260" s="72" t="str">
        <f t="shared" si="3989"/>
        <v/>
      </c>
      <c r="DP260" s="72" t="str">
        <f t="shared" si="3990"/>
        <v/>
      </c>
      <c r="DQ260" s="72" t="str">
        <f t="shared" si="3991"/>
        <v/>
      </c>
      <c r="DR260" s="72" t="str">
        <f t="shared" si="3992"/>
        <v/>
      </c>
      <c r="DS260" s="72" t="str">
        <f t="shared" si="3993"/>
        <v/>
      </c>
      <c r="DT260" s="72" t="str">
        <f t="shared" si="3994"/>
        <v/>
      </c>
      <c r="DU260" s="72" t="str">
        <f t="shared" si="3995"/>
        <v/>
      </c>
      <c r="DV260" s="72" t="str">
        <f t="shared" si="3996"/>
        <v/>
      </c>
      <c r="DW260" s="72" t="str">
        <f t="shared" si="3997"/>
        <v/>
      </c>
      <c r="DX260" s="72" t="str">
        <f t="shared" si="3998"/>
        <v/>
      </c>
      <c r="DY260" s="72" t="str">
        <f t="shared" si="3999"/>
        <v/>
      </c>
      <c r="DZ260" s="72" t="str">
        <f t="shared" si="4000"/>
        <v/>
      </c>
      <c r="EA260" s="72" t="str">
        <f t="shared" si="4001"/>
        <v/>
      </c>
      <c r="EB260" s="72" t="str">
        <f t="shared" si="4002"/>
        <v/>
      </c>
      <c r="EC260" s="72" t="str">
        <f t="shared" si="4003"/>
        <v/>
      </c>
      <c r="ED260" s="72" t="str">
        <f t="shared" si="4004"/>
        <v/>
      </c>
      <c r="EE260" s="72" t="str">
        <f t="shared" si="4005"/>
        <v/>
      </c>
      <c r="EF260" s="72" t="str">
        <f t="shared" si="4006"/>
        <v/>
      </c>
      <c r="EG260" s="72" t="str">
        <f t="shared" si="4007"/>
        <v/>
      </c>
      <c r="EH260" s="72" t="str">
        <f t="shared" si="4008"/>
        <v/>
      </c>
      <c r="EI260" s="72" t="str">
        <f t="shared" si="4009"/>
        <v/>
      </c>
      <c r="EJ260" s="72" t="str">
        <f t="shared" si="4010"/>
        <v/>
      </c>
      <c r="EK260" s="72" t="str">
        <f t="shared" si="4011"/>
        <v/>
      </c>
      <c r="EL260" s="72" t="str">
        <f t="shared" si="4012"/>
        <v/>
      </c>
      <c r="EM260" s="72" t="str">
        <f t="shared" si="4013"/>
        <v/>
      </c>
      <c r="EN260" s="72" t="str">
        <f t="shared" si="4014"/>
        <v/>
      </c>
      <c r="EO260" s="72" t="str">
        <f t="shared" si="4015"/>
        <v/>
      </c>
      <c r="EP260" s="72" t="str">
        <f t="shared" si="4016"/>
        <v/>
      </c>
      <c r="EQ260" s="72" t="str">
        <f t="shared" si="4017"/>
        <v/>
      </c>
      <c r="ER260" s="72" t="str">
        <f t="shared" si="4018"/>
        <v/>
      </c>
      <c r="ES260" s="72" t="str">
        <f t="shared" si="4019"/>
        <v/>
      </c>
      <c r="ET260" s="72" t="str">
        <f t="shared" si="4020"/>
        <v/>
      </c>
      <c r="EU260" s="72" t="str">
        <f t="shared" si="4021"/>
        <v/>
      </c>
      <c r="EV260" s="72" t="str">
        <f t="shared" si="4022"/>
        <v/>
      </c>
      <c r="EW260" s="72" t="str">
        <f t="shared" si="4023"/>
        <v/>
      </c>
      <c r="EX260" s="72" t="str">
        <f t="shared" si="4024"/>
        <v/>
      </c>
      <c r="EY260" s="72" t="str">
        <f t="shared" si="4025"/>
        <v/>
      </c>
      <c r="EZ260" s="72" t="str">
        <f t="shared" si="4026"/>
        <v/>
      </c>
      <c r="FA260" s="72" t="str">
        <f t="shared" si="4027"/>
        <v/>
      </c>
      <c r="FB260" s="72" t="str">
        <f t="shared" si="4028"/>
        <v/>
      </c>
      <c r="FC260" s="72" t="str">
        <f t="shared" si="4029"/>
        <v/>
      </c>
      <c r="FD260" s="72" t="str">
        <f t="shared" si="4030"/>
        <v/>
      </c>
      <c r="FE260" s="72" t="str">
        <f t="shared" si="4031"/>
        <v/>
      </c>
      <c r="FF260" s="72" t="str">
        <f t="shared" si="4032"/>
        <v/>
      </c>
      <c r="FG260" s="72" t="str">
        <f t="shared" si="4033"/>
        <v/>
      </c>
      <c r="FH260" s="72" t="str">
        <f t="shared" si="4034"/>
        <v/>
      </c>
      <c r="FI260" s="72" t="str">
        <f t="shared" si="4035"/>
        <v/>
      </c>
      <c r="FJ260" s="72" t="str">
        <f t="shared" si="4036"/>
        <v/>
      </c>
      <c r="FK260" s="72" t="str">
        <f t="shared" si="4037"/>
        <v/>
      </c>
      <c r="FL260" s="72" t="str">
        <f t="shared" si="4038"/>
        <v/>
      </c>
      <c r="FM260" s="72" t="str">
        <f t="shared" si="4039"/>
        <v/>
      </c>
      <c r="FN260" s="72" t="str">
        <f t="shared" si="4040"/>
        <v/>
      </c>
      <c r="FO260" s="72" t="str">
        <f t="shared" si="4041"/>
        <v/>
      </c>
      <c r="FP260" s="72" t="str">
        <f t="shared" si="4042"/>
        <v/>
      </c>
      <c r="FQ260" s="72" t="str">
        <f t="shared" si="4043"/>
        <v/>
      </c>
      <c r="FR260" s="72" t="str">
        <f t="shared" si="4044"/>
        <v/>
      </c>
      <c r="FS260" s="72" t="str">
        <f t="shared" si="4045"/>
        <v/>
      </c>
    </row>
    <row r="261" spans="1:175" ht="15">
      <c r="A261" s="135"/>
      <c r="B261" s="82" t="s">
        <v>851</v>
      </c>
      <c r="C261" s="71" t="s">
        <v>843</v>
      </c>
      <c r="T261" s="142"/>
      <c r="U261" s="88"/>
      <c r="CN261" s="70" t="str">
        <f t="shared" si="3970"/>
        <v>InitUnitState('IF09',,,,,,,,,,)</v>
      </c>
      <c r="CO261" s="70" t="str">
        <f t="shared" si="3971"/>
        <v>InitUnitNormal('IF09',,,,,,,,,,)</v>
      </c>
      <c r="CP261" s="70" t="str">
        <f t="shared" si="3972"/>
        <v>InitUnitMagic('IF09',,,,,,,,,,)</v>
      </c>
      <c r="CQ261" s="70" t="str">
        <f t="shared" si="3973"/>
        <v>InitUnitAdd('IF09',,,,,,,,,,)</v>
      </c>
      <c r="CR261" s="70" t="str">
        <f t="shared" si="3974"/>
        <v>InitEquipData('IF09',,"",,,,,'','','','','','',"")</v>
      </c>
      <c r="CU261" s="98" t="str">
        <f t="shared" si="3975"/>
        <v>|n</v>
      </c>
      <c r="CW261" s="61"/>
      <c r="CX261" s="61"/>
      <c r="CY261" s="61"/>
      <c r="CZ261" s="61"/>
      <c r="DA261" s="61"/>
      <c r="DB261" s="72" t="str">
        <f t="shared" si="3976"/>
        <v/>
      </c>
      <c r="DC261" s="72" t="str">
        <f t="shared" si="3977"/>
        <v/>
      </c>
      <c r="DD261" s="72" t="str">
        <f t="shared" si="3978"/>
        <v/>
      </c>
      <c r="DE261" s="72" t="str">
        <f t="shared" si="3979"/>
        <v/>
      </c>
      <c r="DF261" s="72" t="str">
        <f t="shared" si="3980"/>
        <v/>
      </c>
      <c r="DG261" s="72" t="str">
        <f t="shared" si="3981"/>
        <v/>
      </c>
      <c r="DH261" s="72" t="str">
        <f t="shared" si="3982"/>
        <v/>
      </c>
      <c r="DI261" s="72" t="str">
        <f t="shared" si="3983"/>
        <v/>
      </c>
      <c r="DJ261" s="72" t="str">
        <f t="shared" si="3984"/>
        <v/>
      </c>
      <c r="DK261" s="72" t="str">
        <f t="shared" si="3985"/>
        <v/>
      </c>
      <c r="DL261" s="72" t="str">
        <f t="shared" si="3986"/>
        <v/>
      </c>
      <c r="DM261" s="72" t="str">
        <f t="shared" si="3987"/>
        <v/>
      </c>
      <c r="DN261" s="72" t="str">
        <f t="shared" si="3988"/>
        <v/>
      </c>
      <c r="DO261" s="72" t="str">
        <f t="shared" si="3989"/>
        <v/>
      </c>
      <c r="DP261" s="72" t="str">
        <f t="shared" si="3990"/>
        <v/>
      </c>
      <c r="DQ261" s="72" t="str">
        <f t="shared" si="3991"/>
        <v/>
      </c>
      <c r="DR261" s="72" t="str">
        <f t="shared" si="3992"/>
        <v/>
      </c>
      <c r="DS261" s="72" t="str">
        <f t="shared" si="3993"/>
        <v/>
      </c>
      <c r="DT261" s="72" t="str">
        <f t="shared" si="3994"/>
        <v/>
      </c>
      <c r="DU261" s="72" t="str">
        <f t="shared" si="3995"/>
        <v/>
      </c>
      <c r="DV261" s="72" t="str">
        <f t="shared" si="3996"/>
        <v/>
      </c>
      <c r="DW261" s="72" t="str">
        <f t="shared" si="3997"/>
        <v/>
      </c>
      <c r="DX261" s="72" t="str">
        <f t="shared" si="3998"/>
        <v/>
      </c>
      <c r="DY261" s="72" t="str">
        <f t="shared" si="3999"/>
        <v/>
      </c>
      <c r="DZ261" s="72" t="str">
        <f t="shared" si="4000"/>
        <v/>
      </c>
      <c r="EA261" s="72" t="str">
        <f t="shared" si="4001"/>
        <v/>
      </c>
      <c r="EB261" s="72" t="str">
        <f t="shared" si="4002"/>
        <v/>
      </c>
      <c r="EC261" s="72" t="str">
        <f t="shared" si="4003"/>
        <v/>
      </c>
      <c r="ED261" s="72" t="str">
        <f t="shared" si="4004"/>
        <v/>
      </c>
      <c r="EE261" s="72" t="str">
        <f t="shared" si="4005"/>
        <v/>
      </c>
      <c r="EF261" s="72" t="str">
        <f t="shared" si="4006"/>
        <v/>
      </c>
      <c r="EG261" s="72" t="str">
        <f t="shared" si="4007"/>
        <v/>
      </c>
      <c r="EH261" s="72" t="str">
        <f t="shared" si="4008"/>
        <v/>
      </c>
      <c r="EI261" s="72" t="str">
        <f t="shared" si="4009"/>
        <v/>
      </c>
      <c r="EJ261" s="72" t="str">
        <f t="shared" si="4010"/>
        <v/>
      </c>
      <c r="EK261" s="72" t="str">
        <f t="shared" si="4011"/>
        <v/>
      </c>
      <c r="EL261" s="72" t="str">
        <f t="shared" si="4012"/>
        <v/>
      </c>
      <c r="EM261" s="72" t="str">
        <f t="shared" si="4013"/>
        <v/>
      </c>
      <c r="EN261" s="72" t="str">
        <f t="shared" si="4014"/>
        <v/>
      </c>
      <c r="EO261" s="72" t="str">
        <f t="shared" si="4015"/>
        <v/>
      </c>
      <c r="EP261" s="72" t="str">
        <f t="shared" si="4016"/>
        <v/>
      </c>
      <c r="EQ261" s="72" t="str">
        <f t="shared" si="4017"/>
        <v/>
      </c>
      <c r="ER261" s="72" t="str">
        <f t="shared" si="4018"/>
        <v/>
      </c>
      <c r="ES261" s="72" t="str">
        <f t="shared" si="4019"/>
        <v/>
      </c>
      <c r="ET261" s="72" t="str">
        <f t="shared" si="4020"/>
        <v/>
      </c>
      <c r="EU261" s="72" t="str">
        <f t="shared" si="4021"/>
        <v/>
      </c>
      <c r="EV261" s="72" t="str">
        <f t="shared" si="4022"/>
        <v/>
      </c>
      <c r="EW261" s="72" t="str">
        <f t="shared" si="4023"/>
        <v/>
      </c>
      <c r="EX261" s="72" t="str">
        <f t="shared" si="4024"/>
        <v/>
      </c>
      <c r="EY261" s="72" t="str">
        <f t="shared" si="4025"/>
        <v/>
      </c>
      <c r="EZ261" s="72" t="str">
        <f t="shared" si="4026"/>
        <v/>
      </c>
      <c r="FA261" s="72" t="str">
        <f t="shared" si="4027"/>
        <v/>
      </c>
      <c r="FB261" s="72" t="str">
        <f t="shared" si="4028"/>
        <v/>
      </c>
      <c r="FC261" s="72" t="str">
        <f t="shared" si="4029"/>
        <v/>
      </c>
      <c r="FD261" s="72" t="str">
        <f t="shared" si="4030"/>
        <v/>
      </c>
      <c r="FE261" s="72" t="str">
        <f t="shared" si="4031"/>
        <v/>
      </c>
      <c r="FF261" s="72" t="str">
        <f t="shared" si="4032"/>
        <v/>
      </c>
      <c r="FG261" s="72" t="str">
        <f t="shared" si="4033"/>
        <v/>
      </c>
      <c r="FH261" s="72" t="str">
        <f t="shared" si="4034"/>
        <v/>
      </c>
      <c r="FI261" s="72" t="str">
        <f t="shared" si="4035"/>
        <v/>
      </c>
      <c r="FJ261" s="72" t="str">
        <f t="shared" si="4036"/>
        <v/>
      </c>
      <c r="FK261" s="72" t="str">
        <f t="shared" si="4037"/>
        <v/>
      </c>
      <c r="FL261" s="72" t="str">
        <f t="shared" si="4038"/>
        <v/>
      </c>
      <c r="FM261" s="72" t="str">
        <f t="shared" si="4039"/>
        <v/>
      </c>
      <c r="FN261" s="72" t="str">
        <f t="shared" si="4040"/>
        <v/>
      </c>
      <c r="FO261" s="72" t="str">
        <f t="shared" si="4041"/>
        <v/>
      </c>
      <c r="FP261" s="72" t="str">
        <f t="shared" si="4042"/>
        <v/>
      </c>
      <c r="FQ261" s="72" t="str">
        <f t="shared" si="4043"/>
        <v/>
      </c>
      <c r="FR261" s="72" t="str">
        <f t="shared" si="4044"/>
        <v/>
      </c>
      <c r="FS261" s="72" t="str">
        <f t="shared" si="4045"/>
        <v/>
      </c>
    </row>
    <row r="262" spans="1:175" ht="15">
      <c r="A262" s="135"/>
      <c r="B262" s="82" t="s">
        <v>852</v>
      </c>
      <c r="C262" s="71" t="s">
        <v>843</v>
      </c>
      <c r="T262" s="142"/>
      <c r="U262" s="88"/>
      <c r="CN262" s="70" t="str">
        <f t="shared" si="3970"/>
        <v>InitUnitState('IF10',,,,,,,,,,)</v>
      </c>
      <c r="CO262" s="70" t="str">
        <f t="shared" si="3971"/>
        <v>InitUnitNormal('IF10',,,,,,,,,,)</v>
      </c>
      <c r="CP262" s="70" t="str">
        <f t="shared" si="3972"/>
        <v>InitUnitMagic('IF10',,,,,,,,,,)</v>
      </c>
      <c r="CQ262" s="70" t="str">
        <f t="shared" si="3973"/>
        <v>InitUnitAdd('IF10',,,,,,,,,,)</v>
      </c>
      <c r="CR262" s="70" t="str">
        <f t="shared" si="3974"/>
        <v>InitEquipData('IF10',,"",,,,,'','','','','','',"")</v>
      </c>
      <c r="CU262" s="98" t="str">
        <f t="shared" si="3975"/>
        <v>|n</v>
      </c>
      <c r="CW262" s="61"/>
      <c r="CX262" s="61"/>
      <c r="CY262" s="61"/>
      <c r="CZ262" s="61"/>
      <c r="DA262" s="61"/>
      <c r="DB262" s="72" t="str">
        <f t="shared" si="3976"/>
        <v/>
      </c>
      <c r="DC262" s="72" t="str">
        <f t="shared" si="3977"/>
        <v/>
      </c>
      <c r="DD262" s="72" t="str">
        <f t="shared" si="3978"/>
        <v/>
      </c>
      <c r="DE262" s="72" t="str">
        <f t="shared" si="3979"/>
        <v/>
      </c>
      <c r="DF262" s="72" t="str">
        <f t="shared" si="3980"/>
        <v/>
      </c>
      <c r="DG262" s="72" t="str">
        <f t="shared" si="3981"/>
        <v/>
      </c>
      <c r="DH262" s="72" t="str">
        <f t="shared" si="3982"/>
        <v/>
      </c>
      <c r="DI262" s="72" t="str">
        <f t="shared" si="3983"/>
        <v/>
      </c>
      <c r="DJ262" s="72" t="str">
        <f t="shared" si="3984"/>
        <v/>
      </c>
      <c r="DK262" s="72" t="str">
        <f t="shared" si="3985"/>
        <v/>
      </c>
      <c r="DL262" s="72" t="str">
        <f t="shared" si="3986"/>
        <v/>
      </c>
      <c r="DM262" s="72" t="str">
        <f t="shared" si="3987"/>
        <v/>
      </c>
      <c r="DN262" s="72" t="str">
        <f t="shared" si="3988"/>
        <v/>
      </c>
      <c r="DO262" s="72" t="str">
        <f t="shared" si="3989"/>
        <v/>
      </c>
      <c r="DP262" s="72" t="str">
        <f t="shared" si="3990"/>
        <v/>
      </c>
      <c r="DQ262" s="72" t="str">
        <f t="shared" si="3991"/>
        <v/>
      </c>
      <c r="DR262" s="72" t="str">
        <f t="shared" si="3992"/>
        <v/>
      </c>
      <c r="DS262" s="72" t="str">
        <f t="shared" si="3993"/>
        <v/>
      </c>
      <c r="DT262" s="72" t="str">
        <f t="shared" si="3994"/>
        <v/>
      </c>
      <c r="DU262" s="72" t="str">
        <f t="shared" si="3995"/>
        <v/>
      </c>
      <c r="DV262" s="72" t="str">
        <f t="shared" si="3996"/>
        <v/>
      </c>
      <c r="DW262" s="72" t="str">
        <f t="shared" si="3997"/>
        <v/>
      </c>
      <c r="DX262" s="72" t="str">
        <f t="shared" si="3998"/>
        <v/>
      </c>
      <c r="DY262" s="72" t="str">
        <f t="shared" si="3999"/>
        <v/>
      </c>
      <c r="DZ262" s="72" t="str">
        <f t="shared" si="4000"/>
        <v/>
      </c>
      <c r="EA262" s="72" t="str">
        <f t="shared" si="4001"/>
        <v/>
      </c>
      <c r="EB262" s="72" t="str">
        <f t="shared" si="4002"/>
        <v/>
      </c>
      <c r="EC262" s="72" t="str">
        <f t="shared" si="4003"/>
        <v/>
      </c>
      <c r="ED262" s="72" t="str">
        <f t="shared" si="4004"/>
        <v/>
      </c>
      <c r="EE262" s="72" t="str">
        <f t="shared" si="4005"/>
        <v/>
      </c>
      <c r="EF262" s="72" t="str">
        <f t="shared" si="4006"/>
        <v/>
      </c>
      <c r="EG262" s="72" t="str">
        <f t="shared" si="4007"/>
        <v/>
      </c>
      <c r="EH262" s="72" t="str">
        <f t="shared" si="4008"/>
        <v/>
      </c>
      <c r="EI262" s="72" t="str">
        <f t="shared" si="4009"/>
        <v/>
      </c>
      <c r="EJ262" s="72" t="str">
        <f t="shared" si="4010"/>
        <v/>
      </c>
      <c r="EK262" s="72" t="str">
        <f t="shared" si="4011"/>
        <v/>
      </c>
      <c r="EL262" s="72" t="str">
        <f t="shared" si="4012"/>
        <v/>
      </c>
      <c r="EM262" s="72" t="str">
        <f t="shared" si="4013"/>
        <v/>
      </c>
      <c r="EN262" s="72" t="str">
        <f t="shared" si="4014"/>
        <v/>
      </c>
      <c r="EO262" s="72" t="str">
        <f t="shared" si="4015"/>
        <v/>
      </c>
      <c r="EP262" s="72" t="str">
        <f t="shared" si="4016"/>
        <v/>
      </c>
      <c r="EQ262" s="72" t="str">
        <f t="shared" si="4017"/>
        <v/>
      </c>
      <c r="ER262" s="72" t="str">
        <f t="shared" si="4018"/>
        <v/>
      </c>
      <c r="ES262" s="72" t="str">
        <f t="shared" si="4019"/>
        <v/>
      </c>
      <c r="ET262" s="72" t="str">
        <f t="shared" si="4020"/>
        <v/>
      </c>
      <c r="EU262" s="72" t="str">
        <f t="shared" si="4021"/>
        <v/>
      </c>
      <c r="EV262" s="72" t="str">
        <f t="shared" si="4022"/>
        <v/>
      </c>
      <c r="EW262" s="72" t="str">
        <f t="shared" si="4023"/>
        <v/>
      </c>
      <c r="EX262" s="72" t="str">
        <f t="shared" si="4024"/>
        <v/>
      </c>
      <c r="EY262" s="72" t="str">
        <f t="shared" si="4025"/>
        <v/>
      </c>
      <c r="EZ262" s="72" t="str">
        <f t="shared" si="4026"/>
        <v/>
      </c>
      <c r="FA262" s="72" t="str">
        <f t="shared" si="4027"/>
        <v/>
      </c>
      <c r="FB262" s="72" t="str">
        <f t="shared" si="4028"/>
        <v/>
      </c>
      <c r="FC262" s="72" t="str">
        <f t="shared" si="4029"/>
        <v/>
      </c>
      <c r="FD262" s="72" t="str">
        <f t="shared" si="4030"/>
        <v/>
      </c>
      <c r="FE262" s="72" t="str">
        <f t="shared" si="4031"/>
        <v/>
      </c>
      <c r="FF262" s="72" t="str">
        <f t="shared" si="4032"/>
        <v/>
      </c>
      <c r="FG262" s="72" t="str">
        <f t="shared" si="4033"/>
        <v/>
      </c>
      <c r="FH262" s="72" t="str">
        <f t="shared" si="4034"/>
        <v/>
      </c>
      <c r="FI262" s="72" t="str">
        <f t="shared" si="4035"/>
        <v/>
      </c>
      <c r="FJ262" s="72" t="str">
        <f t="shared" si="4036"/>
        <v/>
      </c>
      <c r="FK262" s="72" t="str">
        <f t="shared" si="4037"/>
        <v/>
      </c>
      <c r="FL262" s="72" t="str">
        <f t="shared" si="4038"/>
        <v/>
      </c>
      <c r="FM262" s="72" t="str">
        <f t="shared" si="4039"/>
        <v/>
      </c>
      <c r="FN262" s="72" t="str">
        <f t="shared" si="4040"/>
        <v/>
      </c>
      <c r="FO262" s="72" t="str">
        <f t="shared" si="4041"/>
        <v/>
      </c>
      <c r="FP262" s="72" t="str">
        <f t="shared" si="4042"/>
        <v/>
      </c>
      <c r="FQ262" s="72" t="str">
        <f t="shared" si="4043"/>
        <v/>
      </c>
      <c r="FR262" s="72" t="str">
        <f t="shared" si="4044"/>
        <v/>
      </c>
      <c r="FS262" s="72" t="str">
        <f t="shared" si="4045"/>
        <v/>
      </c>
    </row>
    <row r="263" spans="1:175" ht="15">
      <c r="A263" s="135"/>
      <c r="B263" s="82" t="s">
        <v>853</v>
      </c>
      <c r="C263" s="71" t="s">
        <v>843</v>
      </c>
      <c r="T263" s="142"/>
      <c r="U263" s="88"/>
      <c r="CN263" s="70" t="str">
        <f t="shared" si="3970"/>
        <v>InitUnitState('IF11',,,,,,,,,,)</v>
      </c>
      <c r="CO263" s="70" t="str">
        <f t="shared" si="3971"/>
        <v>InitUnitNormal('IF11',,,,,,,,,,)</v>
      </c>
      <c r="CP263" s="70" t="str">
        <f t="shared" si="3972"/>
        <v>InitUnitMagic('IF11',,,,,,,,,,)</v>
      </c>
      <c r="CQ263" s="70" t="str">
        <f t="shared" si="3973"/>
        <v>InitUnitAdd('IF11',,,,,,,,,,)</v>
      </c>
      <c r="CR263" s="70" t="str">
        <f t="shared" si="3974"/>
        <v>InitEquipData('IF11',,"",,,,,'','','','','','',"")</v>
      </c>
      <c r="CU263" s="98" t="str">
        <f t="shared" si="3975"/>
        <v>|n</v>
      </c>
      <c r="CW263" s="61"/>
      <c r="CX263" s="61"/>
      <c r="CY263" s="61"/>
      <c r="CZ263" s="61"/>
      <c r="DA263" s="61"/>
      <c r="DB263" s="72" t="str">
        <f t="shared" si="3976"/>
        <v/>
      </c>
      <c r="DC263" s="72" t="str">
        <f t="shared" si="3977"/>
        <v/>
      </c>
      <c r="DD263" s="72" t="str">
        <f t="shared" si="3978"/>
        <v/>
      </c>
      <c r="DE263" s="72" t="str">
        <f t="shared" si="3979"/>
        <v/>
      </c>
      <c r="DF263" s="72" t="str">
        <f t="shared" si="3980"/>
        <v/>
      </c>
      <c r="DG263" s="72" t="str">
        <f t="shared" si="3981"/>
        <v/>
      </c>
      <c r="DH263" s="72" t="str">
        <f t="shared" si="3982"/>
        <v/>
      </c>
      <c r="DI263" s="72" t="str">
        <f t="shared" si="3983"/>
        <v/>
      </c>
      <c r="DJ263" s="72" t="str">
        <f t="shared" si="3984"/>
        <v/>
      </c>
      <c r="DK263" s="72" t="str">
        <f t="shared" si="3985"/>
        <v/>
      </c>
      <c r="DL263" s="72" t="str">
        <f t="shared" si="3986"/>
        <v/>
      </c>
      <c r="DM263" s="72" t="str">
        <f t="shared" si="3987"/>
        <v/>
      </c>
      <c r="DN263" s="72" t="str">
        <f t="shared" si="3988"/>
        <v/>
      </c>
      <c r="DO263" s="72" t="str">
        <f t="shared" si="3989"/>
        <v/>
      </c>
      <c r="DP263" s="72" t="str">
        <f t="shared" si="3990"/>
        <v/>
      </c>
      <c r="DQ263" s="72" t="str">
        <f t="shared" si="3991"/>
        <v/>
      </c>
      <c r="DR263" s="72" t="str">
        <f t="shared" si="3992"/>
        <v/>
      </c>
      <c r="DS263" s="72" t="str">
        <f t="shared" si="3993"/>
        <v/>
      </c>
      <c r="DT263" s="72" t="str">
        <f t="shared" si="3994"/>
        <v/>
      </c>
      <c r="DU263" s="72" t="str">
        <f t="shared" si="3995"/>
        <v/>
      </c>
      <c r="DV263" s="72" t="str">
        <f t="shared" si="3996"/>
        <v/>
      </c>
      <c r="DW263" s="72" t="str">
        <f t="shared" si="3997"/>
        <v/>
      </c>
      <c r="DX263" s="72" t="str">
        <f t="shared" si="3998"/>
        <v/>
      </c>
      <c r="DY263" s="72" t="str">
        <f t="shared" si="3999"/>
        <v/>
      </c>
      <c r="DZ263" s="72" t="str">
        <f t="shared" si="4000"/>
        <v/>
      </c>
      <c r="EA263" s="72" t="str">
        <f t="shared" si="4001"/>
        <v/>
      </c>
      <c r="EB263" s="72" t="str">
        <f t="shared" si="4002"/>
        <v/>
      </c>
      <c r="EC263" s="72" t="str">
        <f t="shared" si="4003"/>
        <v/>
      </c>
      <c r="ED263" s="72" t="str">
        <f t="shared" si="4004"/>
        <v/>
      </c>
      <c r="EE263" s="72" t="str">
        <f t="shared" si="4005"/>
        <v/>
      </c>
      <c r="EF263" s="72" t="str">
        <f t="shared" si="4006"/>
        <v/>
      </c>
      <c r="EG263" s="72" t="str">
        <f t="shared" si="4007"/>
        <v/>
      </c>
      <c r="EH263" s="72" t="str">
        <f t="shared" si="4008"/>
        <v/>
      </c>
      <c r="EI263" s="72" t="str">
        <f t="shared" si="4009"/>
        <v/>
      </c>
      <c r="EJ263" s="72" t="str">
        <f t="shared" si="4010"/>
        <v/>
      </c>
      <c r="EK263" s="72" t="str">
        <f t="shared" si="4011"/>
        <v/>
      </c>
      <c r="EL263" s="72" t="str">
        <f t="shared" si="4012"/>
        <v/>
      </c>
      <c r="EM263" s="72" t="str">
        <f t="shared" si="4013"/>
        <v/>
      </c>
      <c r="EN263" s="72" t="str">
        <f t="shared" si="4014"/>
        <v/>
      </c>
      <c r="EO263" s="72" t="str">
        <f t="shared" si="4015"/>
        <v/>
      </c>
      <c r="EP263" s="72" t="str">
        <f t="shared" si="4016"/>
        <v/>
      </c>
      <c r="EQ263" s="72" t="str">
        <f t="shared" si="4017"/>
        <v/>
      </c>
      <c r="ER263" s="72" t="str">
        <f t="shared" si="4018"/>
        <v/>
      </c>
      <c r="ES263" s="72" t="str">
        <f t="shared" si="4019"/>
        <v/>
      </c>
      <c r="ET263" s="72" t="str">
        <f t="shared" si="4020"/>
        <v/>
      </c>
      <c r="EU263" s="72" t="str">
        <f t="shared" si="4021"/>
        <v/>
      </c>
      <c r="EV263" s="72" t="str">
        <f t="shared" si="4022"/>
        <v/>
      </c>
      <c r="EW263" s="72" t="str">
        <f t="shared" si="4023"/>
        <v/>
      </c>
      <c r="EX263" s="72" t="str">
        <f t="shared" si="4024"/>
        <v/>
      </c>
      <c r="EY263" s="72" t="str">
        <f t="shared" si="4025"/>
        <v/>
      </c>
      <c r="EZ263" s="72" t="str">
        <f t="shared" si="4026"/>
        <v/>
      </c>
      <c r="FA263" s="72" t="str">
        <f t="shared" si="4027"/>
        <v/>
      </c>
      <c r="FB263" s="72" t="str">
        <f t="shared" si="4028"/>
        <v/>
      </c>
      <c r="FC263" s="72" t="str">
        <f t="shared" si="4029"/>
        <v/>
      </c>
      <c r="FD263" s="72" t="str">
        <f t="shared" si="4030"/>
        <v/>
      </c>
      <c r="FE263" s="72" t="str">
        <f t="shared" si="4031"/>
        <v/>
      </c>
      <c r="FF263" s="72" t="str">
        <f t="shared" si="4032"/>
        <v/>
      </c>
      <c r="FG263" s="72" t="str">
        <f t="shared" si="4033"/>
        <v/>
      </c>
      <c r="FH263" s="72" t="str">
        <f t="shared" si="4034"/>
        <v/>
      </c>
      <c r="FI263" s="72" t="str">
        <f t="shared" si="4035"/>
        <v/>
      </c>
      <c r="FJ263" s="72" t="str">
        <f t="shared" si="4036"/>
        <v/>
      </c>
      <c r="FK263" s="72" t="str">
        <f t="shared" si="4037"/>
        <v/>
      </c>
      <c r="FL263" s="72" t="str">
        <f t="shared" si="4038"/>
        <v/>
      </c>
      <c r="FM263" s="72" t="str">
        <f t="shared" si="4039"/>
        <v/>
      </c>
      <c r="FN263" s="72" t="str">
        <f t="shared" si="4040"/>
        <v/>
      </c>
      <c r="FO263" s="72" t="str">
        <f t="shared" si="4041"/>
        <v/>
      </c>
      <c r="FP263" s="72" t="str">
        <f t="shared" si="4042"/>
        <v/>
      </c>
      <c r="FQ263" s="72" t="str">
        <f t="shared" si="4043"/>
        <v/>
      </c>
      <c r="FR263" s="72" t="str">
        <f t="shared" si="4044"/>
        <v/>
      </c>
      <c r="FS263" s="72" t="str">
        <f t="shared" si="4045"/>
        <v/>
      </c>
    </row>
    <row r="264" spans="1:175" ht="15">
      <c r="A264" s="134"/>
      <c r="B264" s="82" t="s">
        <v>854</v>
      </c>
      <c r="C264" s="71" t="s">
        <v>843</v>
      </c>
      <c r="T264" s="148"/>
      <c r="U264" s="88"/>
      <c r="CN264" s="70" t="str">
        <f t="shared" si="3970"/>
        <v>InitUnitState('IF12',,,,,,,,,,)</v>
      </c>
      <c r="CO264" s="70" t="str">
        <f t="shared" si="3971"/>
        <v>InitUnitNormal('IF12',,,,,,,,,,)</v>
      </c>
      <c r="CP264" s="70" t="str">
        <f t="shared" si="3972"/>
        <v>InitUnitMagic('IF12',,,,,,,,,,)</v>
      </c>
      <c r="CQ264" s="70" t="str">
        <f t="shared" si="3973"/>
        <v>InitUnitAdd('IF12',,,,,,,,,,)</v>
      </c>
      <c r="CR264" s="70" t="str">
        <f t="shared" si="3974"/>
        <v>InitEquipData('IF12',,"",,,,,'','','','','','',"")</v>
      </c>
      <c r="CU264" s="98" t="str">
        <f t="shared" si="3975"/>
        <v>|n</v>
      </c>
      <c r="CW264" s="61"/>
      <c r="CX264" s="61"/>
      <c r="CY264" s="61"/>
      <c r="CZ264" s="61"/>
      <c r="DA264" s="61"/>
      <c r="DB264" s="72" t="str">
        <f t="shared" si="3976"/>
        <v/>
      </c>
      <c r="DC264" s="72" t="str">
        <f t="shared" si="3977"/>
        <v/>
      </c>
      <c r="DD264" s="72" t="str">
        <f t="shared" si="3978"/>
        <v/>
      </c>
      <c r="DE264" s="72" t="str">
        <f t="shared" si="3979"/>
        <v/>
      </c>
      <c r="DF264" s="72" t="str">
        <f t="shared" si="3980"/>
        <v/>
      </c>
      <c r="DG264" s="72" t="str">
        <f t="shared" si="3981"/>
        <v/>
      </c>
      <c r="DH264" s="72" t="str">
        <f t="shared" si="3982"/>
        <v/>
      </c>
      <c r="DI264" s="72" t="str">
        <f t="shared" si="3983"/>
        <v/>
      </c>
      <c r="DJ264" s="72" t="str">
        <f t="shared" si="3984"/>
        <v/>
      </c>
      <c r="DK264" s="72" t="str">
        <f t="shared" si="3985"/>
        <v/>
      </c>
      <c r="DL264" s="72" t="str">
        <f t="shared" si="3986"/>
        <v/>
      </c>
      <c r="DM264" s="72" t="str">
        <f t="shared" si="3987"/>
        <v/>
      </c>
      <c r="DN264" s="72" t="str">
        <f t="shared" si="3988"/>
        <v/>
      </c>
      <c r="DO264" s="72" t="str">
        <f t="shared" si="3989"/>
        <v/>
      </c>
      <c r="DP264" s="72" t="str">
        <f t="shared" si="3990"/>
        <v/>
      </c>
      <c r="DQ264" s="72" t="str">
        <f t="shared" si="3991"/>
        <v/>
      </c>
      <c r="DR264" s="72" t="str">
        <f t="shared" si="3992"/>
        <v/>
      </c>
      <c r="DS264" s="72" t="str">
        <f t="shared" si="3993"/>
        <v/>
      </c>
      <c r="DT264" s="72" t="str">
        <f t="shared" si="3994"/>
        <v/>
      </c>
      <c r="DU264" s="72" t="str">
        <f t="shared" si="3995"/>
        <v/>
      </c>
      <c r="DV264" s="72" t="str">
        <f t="shared" si="3996"/>
        <v/>
      </c>
      <c r="DW264" s="72" t="str">
        <f t="shared" si="3997"/>
        <v/>
      </c>
      <c r="DX264" s="72" t="str">
        <f t="shared" si="3998"/>
        <v/>
      </c>
      <c r="DY264" s="72" t="str">
        <f t="shared" si="3999"/>
        <v/>
      </c>
      <c r="DZ264" s="72" t="str">
        <f t="shared" si="4000"/>
        <v/>
      </c>
      <c r="EA264" s="72" t="str">
        <f t="shared" si="4001"/>
        <v/>
      </c>
      <c r="EB264" s="72" t="str">
        <f t="shared" si="4002"/>
        <v/>
      </c>
      <c r="EC264" s="72" t="str">
        <f t="shared" si="4003"/>
        <v/>
      </c>
      <c r="ED264" s="72" t="str">
        <f t="shared" si="4004"/>
        <v/>
      </c>
      <c r="EE264" s="72" t="str">
        <f t="shared" si="4005"/>
        <v/>
      </c>
      <c r="EF264" s="72" t="str">
        <f t="shared" si="4006"/>
        <v/>
      </c>
      <c r="EG264" s="72" t="str">
        <f t="shared" si="4007"/>
        <v/>
      </c>
      <c r="EH264" s="72" t="str">
        <f t="shared" si="4008"/>
        <v/>
      </c>
      <c r="EI264" s="72" t="str">
        <f t="shared" si="4009"/>
        <v/>
      </c>
      <c r="EJ264" s="72" t="str">
        <f t="shared" si="4010"/>
        <v/>
      </c>
      <c r="EK264" s="72" t="str">
        <f t="shared" si="4011"/>
        <v/>
      </c>
      <c r="EL264" s="72" t="str">
        <f t="shared" si="4012"/>
        <v/>
      </c>
      <c r="EM264" s="72" t="str">
        <f t="shared" si="4013"/>
        <v/>
      </c>
      <c r="EN264" s="72" t="str">
        <f t="shared" si="4014"/>
        <v/>
      </c>
      <c r="EO264" s="72" t="str">
        <f t="shared" si="4015"/>
        <v/>
      </c>
      <c r="EP264" s="72" t="str">
        <f t="shared" si="4016"/>
        <v/>
      </c>
      <c r="EQ264" s="72" t="str">
        <f t="shared" si="4017"/>
        <v/>
      </c>
      <c r="ER264" s="72" t="str">
        <f t="shared" si="4018"/>
        <v/>
      </c>
      <c r="ES264" s="72" t="str">
        <f t="shared" si="4019"/>
        <v/>
      </c>
      <c r="ET264" s="72" t="str">
        <f t="shared" si="4020"/>
        <v/>
      </c>
      <c r="EU264" s="72" t="str">
        <f t="shared" si="4021"/>
        <v/>
      </c>
      <c r="EV264" s="72" t="str">
        <f t="shared" si="4022"/>
        <v/>
      </c>
      <c r="EW264" s="72" t="str">
        <f t="shared" si="4023"/>
        <v/>
      </c>
      <c r="EX264" s="72" t="str">
        <f t="shared" si="4024"/>
        <v/>
      </c>
      <c r="EY264" s="72" t="str">
        <f t="shared" si="4025"/>
        <v/>
      </c>
      <c r="EZ264" s="72" t="str">
        <f t="shared" si="4026"/>
        <v/>
      </c>
      <c r="FA264" s="72" t="str">
        <f t="shared" si="4027"/>
        <v/>
      </c>
      <c r="FB264" s="72" t="str">
        <f t="shared" si="4028"/>
        <v/>
      </c>
      <c r="FC264" s="72" t="str">
        <f t="shared" si="4029"/>
        <v/>
      </c>
      <c r="FD264" s="72" t="str">
        <f t="shared" si="4030"/>
        <v/>
      </c>
      <c r="FE264" s="72" t="str">
        <f t="shared" si="4031"/>
        <v/>
      </c>
      <c r="FF264" s="72" t="str">
        <f t="shared" si="4032"/>
        <v/>
      </c>
      <c r="FG264" s="72" t="str">
        <f t="shared" si="4033"/>
        <v/>
      </c>
      <c r="FH264" s="72" t="str">
        <f t="shared" si="4034"/>
        <v/>
      </c>
      <c r="FI264" s="72" t="str">
        <f t="shared" si="4035"/>
        <v/>
      </c>
      <c r="FJ264" s="72" t="str">
        <f t="shared" si="4036"/>
        <v/>
      </c>
      <c r="FK264" s="72" t="str">
        <f t="shared" si="4037"/>
        <v/>
      </c>
      <c r="FL264" s="72" t="str">
        <f t="shared" si="4038"/>
        <v/>
      </c>
      <c r="FM264" s="72" t="str">
        <f t="shared" si="4039"/>
        <v/>
      </c>
      <c r="FN264" s="72" t="str">
        <f t="shared" si="4040"/>
        <v/>
      </c>
      <c r="FO264" s="72" t="str">
        <f t="shared" si="4041"/>
        <v/>
      </c>
      <c r="FP264" s="72" t="str">
        <f t="shared" si="4042"/>
        <v/>
      </c>
      <c r="FQ264" s="72" t="str">
        <f t="shared" si="4043"/>
        <v/>
      </c>
      <c r="FR264" s="72" t="str">
        <f t="shared" si="4044"/>
        <v/>
      </c>
      <c r="FS264" s="72" t="str">
        <f t="shared" si="4045"/>
        <v/>
      </c>
    </row>
    <row r="265" spans="1:175" ht="15">
      <c r="A265" s="134"/>
      <c r="B265" s="82" t="s">
        <v>855</v>
      </c>
      <c r="C265" s="71" t="s">
        <v>843</v>
      </c>
      <c r="T265" s="148"/>
      <c r="U265" s="88"/>
      <c r="CN265" s="70" t="str">
        <f t="shared" si="3970"/>
        <v>InitUnitState('IF13',,,,,,,,,,)</v>
      </c>
      <c r="CO265" s="70" t="str">
        <f t="shared" si="3971"/>
        <v>InitUnitNormal('IF13',,,,,,,,,,)</v>
      </c>
      <c r="CP265" s="70" t="str">
        <f t="shared" si="3972"/>
        <v>InitUnitMagic('IF13',,,,,,,,,,)</v>
      </c>
      <c r="CQ265" s="70" t="str">
        <f t="shared" si="3973"/>
        <v>InitUnitAdd('IF13',,,,,,,,,,)</v>
      </c>
      <c r="CR265" s="70" t="str">
        <f t="shared" si="3974"/>
        <v>InitEquipData('IF13',,"",,,,,'','','','','','',"")</v>
      </c>
      <c r="CU265" s="98" t="str">
        <f t="shared" si="3975"/>
        <v>|n</v>
      </c>
      <c r="CW265" s="61"/>
      <c r="CX265" s="61"/>
      <c r="CY265" s="61"/>
      <c r="CZ265" s="61"/>
      <c r="DA265" s="61"/>
      <c r="DB265" s="72" t="str">
        <f t="shared" si="3976"/>
        <v/>
      </c>
      <c r="DC265" s="72" t="str">
        <f t="shared" si="3977"/>
        <v/>
      </c>
      <c r="DD265" s="72" t="str">
        <f t="shared" si="3978"/>
        <v/>
      </c>
      <c r="DE265" s="72" t="str">
        <f t="shared" si="3979"/>
        <v/>
      </c>
      <c r="DF265" s="72" t="str">
        <f t="shared" si="3980"/>
        <v/>
      </c>
      <c r="DG265" s="72" t="str">
        <f t="shared" si="3981"/>
        <v/>
      </c>
      <c r="DH265" s="72" t="str">
        <f t="shared" si="3982"/>
        <v/>
      </c>
      <c r="DI265" s="72" t="str">
        <f t="shared" si="3983"/>
        <v/>
      </c>
      <c r="DJ265" s="72" t="str">
        <f t="shared" si="3984"/>
        <v/>
      </c>
      <c r="DK265" s="72" t="str">
        <f t="shared" si="3985"/>
        <v/>
      </c>
      <c r="DL265" s="72" t="str">
        <f t="shared" si="3986"/>
        <v/>
      </c>
      <c r="DM265" s="72" t="str">
        <f t="shared" si="3987"/>
        <v/>
      </c>
      <c r="DN265" s="72" t="str">
        <f t="shared" si="3988"/>
        <v/>
      </c>
      <c r="DO265" s="72" t="str">
        <f t="shared" si="3989"/>
        <v/>
      </c>
      <c r="DP265" s="72" t="str">
        <f t="shared" si="3990"/>
        <v/>
      </c>
      <c r="DQ265" s="72" t="str">
        <f t="shared" si="3991"/>
        <v/>
      </c>
      <c r="DR265" s="72" t="str">
        <f t="shared" si="3992"/>
        <v/>
      </c>
      <c r="DS265" s="72" t="str">
        <f t="shared" si="3993"/>
        <v/>
      </c>
      <c r="DT265" s="72" t="str">
        <f t="shared" si="3994"/>
        <v/>
      </c>
      <c r="DU265" s="72" t="str">
        <f t="shared" si="3995"/>
        <v/>
      </c>
      <c r="DV265" s="72" t="str">
        <f t="shared" si="3996"/>
        <v/>
      </c>
      <c r="DW265" s="72" t="str">
        <f t="shared" si="3997"/>
        <v/>
      </c>
      <c r="DX265" s="72" t="str">
        <f t="shared" si="3998"/>
        <v/>
      </c>
      <c r="DY265" s="72" t="str">
        <f t="shared" si="3999"/>
        <v/>
      </c>
      <c r="DZ265" s="72" t="str">
        <f t="shared" si="4000"/>
        <v/>
      </c>
      <c r="EA265" s="72" t="str">
        <f t="shared" si="4001"/>
        <v/>
      </c>
      <c r="EB265" s="72" t="str">
        <f t="shared" si="4002"/>
        <v/>
      </c>
      <c r="EC265" s="72" t="str">
        <f t="shared" si="4003"/>
        <v/>
      </c>
      <c r="ED265" s="72" t="str">
        <f t="shared" si="4004"/>
        <v/>
      </c>
      <c r="EE265" s="72" t="str">
        <f t="shared" si="4005"/>
        <v/>
      </c>
      <c r="EF265" s="72" t="str">
        <f t="shared" si="4006"/>
        <v/>
      </c>
      <c r="EG265" s="72" t="str">
        <f t="shared" si="4007"/>
        <v/>
      </c>
      <c r="EH265" s="72" t="str">
        <f t="shared" si="4008"/>
        <v/>
      </c>
      <c r="EI265" s="72" t="str">
        <f t="shared" si="4009"/>
        <v/>
      </c>
      <c r="EJ265" s="72" t="str">
        <f t="shared" si="4010"/>
        <v/>
      </c>
      <c r="EK265" s="72" t="str">
        <f t="shared" si="4011"/>
        <v/>
      </c>
      <c r="EL265" s="72" t="str">
        <f t="shared" si="4012"/>
        <v/>
      </c>
      <c r="EM265" s="72" t="str">
        <f t="shared" si="4013"/>
        <v/>
      </c>
      <c r="EN265" s="72" t="str">
        <f t="shared" si="4014"/>
        <v/>
      </c>
      <c r="EO265" s="72" t="str">
        <f t="shared" si="4015"/>
        <v/>
      </c>
      <c r="EP265" s="72" t="str">
        <f t="shared" si="4016"/>
        <v/>
      </c>
      <c r="EQ265" s="72" t="str">
        <f t="shared" si="4017"/>
        <v/>
      </c>
      <c r="ER265" s="72" t="str">
        <f t="shared" si="4018"/>
        <v/>
      </c>
      <c r="ES265" s="72" t="str">
        <f t="shared" si="4019"/>
        <v/>
      </c>
      <c r="ET265" s="72" t="str">
        <f t="shared" si="4020"/>
        <v/>
      </c>
      <c r="EU265" s="72" t="str">
        <f t="shared" si="4021"/>
        <v/>
      </c>
      <c r="EV265" s="72" t="str">
        <f t="shared" si="4022"/>
        <v/>
      </c>
      <c r="EW265" s="72" t="str">
        <f t="shared" si="4023"/>
        <v/>
      </c>
      <c r="EX265" s="72" t="str">
        <f t="shared" si="4024"/>
        <v/>
      </c>
      <c r="EY265" s="72" t="str">
        <f t="shared" si="4025"/>
        <v/>
      </c>
      <c r="EZ265" s="72" t="str">
        <f t="shared" si="4026"/>
        <v/>
      </c>
      <c r="FA265" s="72" t="str">
        <f t="shared" si="4027"/>
        <v/>
      </c>
      <c r="FB265" s="72" t="str">
        <f t="shared" si="4028"/>
        <v/>
      </c>
      <c r="FC265" s="72" t="str">
        <f t="shared" si="4029"/>
        <v/>
      </c>
      <c r="FD265" s="72" t="str">
        <f t="shared" si="4030"/>
        <v/>
      </c>
      <c r="FE265" s="72" t="str">
        <f t="shared" si="4031"/>
        <v/>
      </c>
      <c r="FF265" s="72" t="str">
        <f t="shared" si="4032"/>
        <v/>
      </c>
      <c r="FG265" s="72" t="str">
        <f t="shared" si="4033"/>
        <v/>
      </c>
      <c r="FH265" s="72" t="str">
        <f t="shared" si="4034"/>
        <v/>
      </c>
      <c r="FI265" s="72" t="str">
        <f t="shared" si="4035"/>
        <v/>
      </c>
      <c r="FJ265" s="72" t="str">
        <f t="shared" si="4036"/>
        <v/>
      </c>
      <c r="FK265" s="72" t="str">
        <f t="shared" si="4037"/>
        <v/>
      </c>
      <c r="FL265" s="72" t="str">
        <f t="shared" si="4038"/>
        <v/>
      </c>
      <c r="FM265" s="72" t="str">
        <f t="shared" si="4039"/>
        <v/>
      </c>
      <c r="FN265" s="72" t="str">
        <f t="shared" si="4040"/>
        <v/>
      </c>
      <c r="FO265" s="72" t="str">
        <f t="shared" si="4041"/>
        <v/>
      </c>
      <c r="FP265" s="72" t="str">
        <f t="shared" si="4042"/>
        <v/>
      </c>
      <c r="FQ265" s="72" t="str">
        <f t="shared" si="4043"/>
        <v/>
      </c>
      <c r="FR265" s="72" t="str">
        <f t="shared" si="4044"/>
        <v/>
      </c>
      <c r="FS265" s="72" t="str">
        <f t="shared" si="4045"/>
        <v/>
      </c>
    </row>
    <row r="266" spans="1:175" ht="15">
      <c r="A266" s="134"/>
      <c r="B266" s="82" t="s">
        <v>856</v>
      </c>
      <c r="C266" s="71" t="s">
        <v>843</v>
      </c>
      <c r="T266" s="148"/>
      <c r="U266" s="88"/>
      <c r="CN266" s="70" t="str">
        <f t="shared" si="3970"/>
        <v>InitUnitState('IF14',,,,,,,,,,)</v>
      </c>
      <c r="CO266" s="70" t="str">
        <f t="shared" si="3971"/>
        <v>InitUnitNormal('IF14',,,,,,,,,,)</v>
      </c>
      <c r="CP266" s="70" t="str">
        <f t="shared" si="3972"/>
        <v>InitUnitMagic('IF14',,,,,,,,,,)</v>
      </c>
      <c r="CQ266" s="70" t="str">
        <f t="shared" si="3973"/>
        <v>InitUnitAdd('IF14',,,,,,,,,,)</v>
      </c>
      <c r="CR266" s="70" t="str">
        <f t="shared" si="3974"/>
        <v>InitEquipData('IF14',,"",,,,,'','','','','','',"")</v>
      </c>
      <c r="CU266" s="98" t="str">
        <f t="shared" si="3975"/>
        <v>|n</v>
      </c>
      <c r="CW266" s="61"/>
      <c r="CX266" s="61"/>
      <c r="CY266" s="61"/>
      <c r="CZ266" s="61"/>
      <c r="DA266" s="61"/>
      <c r="DB266" s="72" t="str">
        <f t="shared" si="3976"/>
        <v/>
      </c>
      <c r="DC266" s="72" t="str">
        <f t="shared" si="3977"/>
        <v/>
      </c>
      <c r="DD266" s="72" t="str">
        <f t="shared" si="3978"/>
        <v/>
      </c>
      <c r="DE266" s="72" t="str">
        <f t="shared" si="3979"/>
        <v/>
      </c>
      <c r="DF266" s="72" t="str">
        <f t="shared" si="3980"/>
        <v/>
      </c>
      <c r="DG266" s="72" t="str">
        <f t="shared" si="3981"/>
        <v/>
      </c>
      <c r="DH266" s="72" t="str">
        <f t="shared" si="3982"/>
        <v/>
      </c>
      <c r="DI266" s="72" t="str">
        <f t="shared" si="3983"/>
        <v/>
      </c>
      <c r="DJ266" s="72" t="str">
        <f t="shared" si="3984"/>
        <v/>
      </c>
      <c r="DK266" s="72" t="str">
        <f t="shared" si="3985"/>
        <v/>
      </c>
      <c r="DL266" s="72" t="str">
        <f t="shared" si="3986"/>
        <v/>
      </c>
      <c r="DM266" s="72" t="str">
        <f t="shared" si="3987"/>
        <v/>
      </c>
      <c r="DN266" s="72" t="str">
        <f t="shared" si="3988"/>
        <v/>
      </c>
      <c r="DO266" s="72" t="str">
        <f t="shared" si="3989"/>
        <v/>
      </c>
      <c r="DP266" s="72" t="str">
        <f t="shared" si="3990"/>
        <v/>
      </c>
      <c r="DQ266" s="72" t="str">
        <f t="shared" si="3991"/>
        <v/>
      </c>
      <c r="DR266" s="72" t="str">
        <f t="shared" si="3992"/>
        <v/>
      </c>
      <c r="DS266" s="72" t="str">
        <f t="shared" si="3993"/>
        <v/>
      </c>
      <c r="DT266" s="72" t="str">
        <f t="shared" si="3994"/>
        <v/>
      </c>
      <c r="DU266" s="72" t="str">
        <f t="shared" si="3995"/>
        <v/>
      </c>
      <c r="DV266" s="72" t="str">
        <f t="shared" si="3996"/>
        <v/>
      </c>
      <c r="DW266" s="72" t="str">
        <f t="shared" si="3997"/>
        <v/>
      </c>
      <c r="DX266" s="72" t="str">
        <f t="shared" si="3998"/>
        <v/>
      </c>
      <c r="DY266" s="72" t="str">
        <f t="shared" si="3999"/>
        <v/>
      </c>
      <c r="DZ266" s="72" t="str">
        <f t="shared" si="4000"/>
        <v/>
      </c>
      <c r="EA266" s="72" t="str">
        <f t="shared" si="4001"/>
        <v/>
      </c>
      <c r="EB266" s="72" t="str">
        <f t="shared" si="4002"/>
        <v/>
      </c>
      <c r="EC266" s="72" t="str">
        <f t="shared" si="4003"/>
        <v/>
      </c>
      <c r="ED266" s="72" t="str">
        <f t="shared" si="4004"/>
        <v/>
      </c>
      <c r="EE266" s="72" t="str">
        <f t="shared" si="4005"/>
        <v/>
      </c>
      <c r="EF266" s="72" t="str">
        <f t="shared" si="4006"/>
        <v/>
      </c>
      <c r="EG266" s="72" t="str">
        <f t="shared" si="4007"/>
        <v/>
      </c>
      <c r="EH266" s="72" t="str">
        <f t="shared" si="4008"/>
        <v/>
      </c>
      <c r="EI266" s="72" t="str">
        <f t="shared" si="4009"/>
        <v/>
      </c>
      <c r="EJ266" s="72" t="str">
        <f t="shared" si="4010"/>
        <v/>
      </c>
      <c r="EK266" s="72" t="str">
        <f t="shared" si="4011"/>
        <v/>
      </c>
      <c r="EL266" s="72" t="str">
        <f t="shared" si="4012"/>
        <v/>
      </c>
      <c r="EM266" s="72" t="str">
        <f t="shared" si="4013"/>
        <v/>
      </c>
      <c r="EN266" s="72" t="str">
        <f t="shared" si="4014"/>
        <v/>
      </c>
      <c r="EO266" s="72" t="str">
        <f t="shared" si="4015"/>
        <v/>
      </c>
      <c r="EP266" s="72" t="str">
        <f t="shared" si="4016"/>
        <v/>
      </c>
      <c r="EQ266" s="72" t="str">
        <f t="shared" si="4017"/>
        <v/>
      </c>
      <c r="ER266" s="72" t="str">
        <f t="shared" si="4018"/>
        <v/>
      </c>
      <c r="ES266" s="72" t="str">
        <f t="shared" si="4019"/>
        <v/>
      </c>
      <c r="ET266" s="72" t="str">
        <f t="shared" si="4020"/>
        <v/>
      </c>
      <c r="EU266" s="72" t="str">
        <f t="shared" si="4021"/>
        <v/>
      </c>
      <c r="EV266" s="72" t="str">
        <f t="shared" si="4022"/>
        <v/>
      </c>
      <c r="EW266" s="72" t="str">
        <f t="shared" si="4023"/>
        <v/>
      </c>
      <c r="EX266" s="72" t="str">
        <f t="shared" si="4024"/>
        <v/>
      </c>
      <c r="EY266" s="72" t="str">
        <f t="shared" si="4025"/>
        <v/>
      </c>
      <c r="EZ266" s="72" t="str">
        <f t="shared" si="4026"/>
        <v/>
      </c>
      <c r="FA266" s="72" t="str">
        <f t="shared" si="4027"/>
        <v/>
      </c>
      <c r="FB266" s="72" t="str">
        <f t="shared" si="4028"/>
        <v/>
      </c>
      <c r="FC266" s="72" t="str">
        <f t="shared" si="4029"/>
        <v/>
      </c>
      <c r="FD266" s="72" t="str">
        <f t="shared" si="4030"/>
        <v/>
      </c>
      <c r="FE266" s="72" t="str">
        <f t="shared" si="4031"/>
        <v/>
      </c>
      <c r="FF266" s="72" t="str">
        <f t="shared" si="4032"/>
        <v/>
      </c>
      <c r="FG266" s="72" t="str">
        <f t="shared" si="4033"/>
        <v/>
      </c>
      <c r="FH266" s="72" t="str">
        <f t="shared" si="4034"/>
        <v/>
      </c>
      <c r="FI266" s="72" t="str">
        <f t="shared" si="4035"/>
        <v/>
      </c>
      <c r="FJ266" s="72" t="str">
        <f t="shared" si="4036"/>
        <v/>
      </c>
      <c r="FK266" s="72" t="str">
        <f t="shared" si="4037"/>
        <v/>
      </c>
      <c r="FL266" s="72" t="str">
        <f t="shared" si="4038"/>
        <v/>
      </c>
      <c r="FM266" s="72" t="str">
        <f t="shared" si="4039"/>
        <v/>
      </c>
      <c r="FN266" s="72" t="str">
        <f t="shared" si="4040"/>
        <v/>
      </c>
      <c r="FO266" s="72" t="str">
        <f t="shared" si="4041"/>
        <v/>
      </c>
      <c r="FP266" s="72" t="str">
        <f t="shared" si="4042"/>
        <v/>
      </c>
      <c r="FQ266" s="72" t="str">
        <f t="shared" si="4043"/>
        <v/>
      </c>
      <c r="FR266" s="72" t="str">
        <f t="shared" si="4044"/>
        <v/>
      </c>
      <c r="FS266" s="72" t="str">
        <f t="shared" si="4045"/>
        <v/>
      </c>
    </row>
    <row r="267" spans="1:175" ht="15">
      <c r="A267" s="134"/>
      <c r="B267" s="82" t="s">
        <v>857</v>
      </c>
      <c r="C267" s="71" t="s">
        <v>843</v>
      </c>
      <c r="T267" s="148"/>
      <c r="U267" s="88"/>
      <c r="CN267" s="70" t="str">
        <f t="shared" si="3970"/>
        <v>InitUnitState('IF15',,,,,,,,,,)</v>
      </c>
      <c r="CO267" s="70" t="str">
        <f t="shared" si="3971"/>
        <v>InitUnitNormal('IF15',,,,,,,,,,)</v>
      </c>
      <c r="CP267" s="70" t="str">
        <f t="shared" si="3972"/>
        <v>InitUnitMagic('IF15',,,,,,,,,,)</v>
      </c>
      <c r="CQ267" s="70" t="str">
        <f t="shared" si="3973"/>
        <v>InitUnitAdd('IF15',,,,,,,,,,)</v>
      </c>
      <c r="CR267" s="70" t="str">
        <f t="shared" si="3974"/>
        <v>InitEquipData('IF15',,"",,,,,'','','','','','',"")</v>
      </c>
      <c r="CU267" s="98" t="str">
        <f t="shared" si="3975"/>
        <v>|n</v>
      </c>
      <c r="CW267" s="61"/>
      <c r="CX267" s="61"/>
      <c r="CY267" s="61"/>
      <c r="CZ267" s="61"/>
      <c r="DA267" s="61"/>
      <c r="DB267" s="72" t="str">
        <f t="shared" si="3976"/>
        <v/>
      </c>
      <c r="DC267" s="72" t="str">
        <f t="shared" si="3977"/>
        <v/>
      </c>
      <c r="DD267" s="72" t="str">
        <f t="shared" si="3978"/>
        <v/>
      </c>
      <c r="DE267" s="72" t="str">
        <f t="shared" si="3979"/>
        <v/>
      </c>
      <c r="DF267" s="72" t="str">
        <f t="shared" si="3980"/>
        <v/>
      </c>
      <c r="DG267" s="72" t="str">
        <f t="shared" si="3981"/>
        <v/>
      </c>
      <c r="DH267" s="72" t="str">
        <f t="shared" si="3982"/>
        <v/>
      </c>
      <c r="DI267" s="72" t="str">
        <f t="shared" si="3983"/>
        <v/>
      </c>
      <c r="DJ267" s="72" t="str">
        <f t="shared" si="3984"/>
        <v/>
      </c>
      <c r="DK267" s="72" t="str">
        <f t="shared" si="3985"/>
        <v/>
      </c>
      <c r="DL267" s="72" t="str">
        <f t="shared" si="3986"/>
        <v/>
      </c>
      <c r="DM267" s="72" t="str">
        <f t="shared" si="3987"/>
        <v/>
      </c>
      <c r="DN267" s="72" t="str">
        <f t="shared" si="3988"/>
        <v/>
      </c>
      <c r="DO267" s="72" t="str">
        <f t="shared" si="3989"/>
        <v/>
      </c>
      <c r="DP267" s="72" t="str">
        <f t="shared" si="3990"/>
        <v/>
      </c>
      <c r="DQ267" s="72" t="str">
        <f t="shared" si="3991"/>
        <v/>
      </c>
      <c r="DR267" s="72" t="str">
        <f t="shared" si="3992"/>
        <v/>
      </c>
      <c r="DS267" s="72" t="str">
        <f t="shared" si="3993"/>
        <v/>
      </c>
      <c r="DT267" s="72" t="str">
        <f t="shared" si="3994"/>
        <v/>
      </c>
      <c r="DU267" s="72" t="str">
        <f t="shared" si="3995"/>
        <v/>
      </c>
      <c r="DV267" s="72" t="str">
        <f t="shared" si="3996"/>
        <v/>
      </c>
      <c r="DW267" s="72" t="str">
        <f t="shared" si="3997"/>
        <v/>
      </c>
      <c r="DX267" s="72" t="str">
        <f t="shared" si="3998"/>
        <v/>
      </c>
      <c r="DY267" s="72" t="str">
        <f t="shared" si="3999"/>
        <v/>
      </c>
      <c r="DZ267" s="72" t="str">
        <f t="shared" si="4000"/>
        <v/>
      </c>
      <c r="EA267" s="72" t="str">
        <f t="shared" si="4001"/>
        <v/>
      </c>
      <c r="EB267" s="72" t="str">
        <f t="shared" si="4002"/>
        <v/>
      </c>
      <c r="EC267" s="72" t="str">
        <f t="shared" si="4003"/>
        <v/>
      </c>
      <c r="ED267" s="72" t="str">
        <f t="shared" si="4004"/>
        <v/>
      </c>
      <c r="EE267" s="72" t="str">
        <f t="shared" si="4005"/>
        <v/>
      </c>
      <c r="EF267" s="72" t="str">
        <f t="shared" si="4006"/>
        <v/>
      </c>
      <c r="EG267" s="72" t="str">
        <f t="shared" si="4007"/>
        <v/>
      </c>
      <c r="EH267" s="72" t="str">
        <f t="shared" si="4008"/>
        <v/>
      </c>
      <c r="EI267" s="72" t="str">
        <f t="shared" si="4009"/>
        <v/>
      </c>
      <c r="EJ267" s="72" t="str">
        <f t="shared" si="4010"/>
        <v/>
      </c>
      <c r="EK267" s="72" t="str">
        <f t="shared" si="4011"/>
        <v/>
      </c>
      <c r="EL267" s="72" t="str">
        <f t="shared" si="4012"/>
        <v/>
      </c>
      <c r="EM267" s="72" t="str">
        <f t="shared" si="4013"/>
        <v/>
      </c>
      <c r="EN267" s="72" t="str">
        <f t="shared" si="4014"/>
        <v/>
      </c>
      <c r="EO267" s="72" t="str">
        <f t="shared" si="4015"/>
        <v/>
      </c>
      <c r="EP267" s="72" t="str">
        <f t="shared" si="4016"/>
        <v/>
      </c>
      <c r="EQ267" s="72" t="str">
        <f t="shared" si="4017"/>
        <v/>
      </c>
      <c r="ER267" s="72" t="str">
        <f t="shared" si="4018"/>
        <v/>
      </c>
      <c r="ES267" s="72" t="str">
        <f t="shared" si="4019"/>
        <v/>
      </c>
      <c r="ET267" s="72" t="str">
        <f t="shared" si="4020"/>
        <v/>
      </c>
      <c r="EU267" s="72" t="str">
        <f t="shared" si="4021"/>
        <v/>
      </c>
      <c r="EV267" s="72" t="str">
        <f t="shared" si="4022"/>
        <v/>
      </c>
      <c r="EW267" s="72" t="str">
        <f t="shared" si="4023"/>
        <v/>
      </c>
      <c r="EX267" s="72" t="str">
        <f t="shared" si="4024"/>
        <v/>
      </c>
      <c r="EY267" s="72" t="str">
        <f t="shared" si="4025"/>
        <v/>
      </c>
      <c r="EZ267" s="72" t="str">
        <f t="shared" si="4026"/>
        <v/>
      </c>
      <c r="FA267" s="72" t="str">
        <f t="shared" si="4027"/>
        <v/>
      </c>
      <c r="FB267" s="72" t="str">
        <f t="shared" si="4028"/>
        <v/>
      </c>
      <c r="FC267" s="72" t="str">
        <f t="shared" si="4029"/>
        <v/>
      </c>
      <c r="FD267" s="72" t="str">
        <f t="shared" si="4030"/>
        <v/>
      </c>
      <c r="FE267" s="72" t="str">
        <f t="shared" si="4031"/>
        <v/>
      </c>
      <c r="FF267" s="72" t="str">
        <f t="shared" si="4032"/>
        <v/>
      </c>
      <c r="FG267" s="72" t="str">
        <f t="shared" si="4033"/>
        <v/>
      </c>
      <c r="FH267" s="72" t="str">
        <f t="shared" si="4034"/>
        <v/>
      </c>
      <c r="FI267" s="72" t="str">
        <f t="shared" si="4035"/>
        <v/>
      </c>
      <c r="FJ267" s="72" t="str">
        <f t="shared" si="4036"/>
        <v/>
      </c>
      <c r="FK267" s="72" t="str">
        <f t="shared" si="4037"/>
        <v/>
      </c>
      <c r="FL267" s="72" t="str">
        <f t="shared" si="4038"/>
        <v/>
      </c>
      <c r="FM267" s="72" t="str">
        <f t="shared" si="4039"/>
        <v/>
      </c>
      <c r="FN267" s="72" t="str">
        <f t="shared" si="4040"/>
        <v/>
      </c>
      <c r="FO267" s="72" t="str">
        <f t="shared" si="4041"/>
        <v/>
      </c>
      <c r="FP267" s="72" t="str">
        <f t="shared" si="4042"/>
        <v/>
      </c>
      <c r="FQ267" s="72" t="str">
        <f t="shared" si="4043"/>
        <v/>
      </c>
      <c r="FR267" s="72" t="str">
        <f t="shared" si="4044"/>
        <v/>
      </c>
      <c r="FS267" s="72" t="str">
        <f t="shared" si="4045"/>
        <v/>
      </c>
    </row>
    <row r="268" spans="1:175" ht="15">
      <c r="A268" s="134"/>
      <c r="B268" s="82" t="s">
        <v>858</v>
      </c>
      <c r="C268" s="71" t="s">
        <v>843</v>
      </c>
      <c r="T268" s="148"/>
      <c r="U268" s="88"/>
      <c r="CN268" s="70" t="str">
        <f t="shared" si="3970"/>
        <v>InitUnitState('IF16',,,,,,,,,,)</v>
      </c>
      <c r="CO268" s="70" t="str">
        <f t="shared" si="3971"/>
        <v>InitUnitNormal('IF16',,,,,,,,,,)</v>
      </c>
      <c r="CP268" s="70" t="str">
        <f t="shared" si="3972"/>
        <v>InitUnitMagic('IF16',,,,,,,,,,)</v>
      </c>
      <c r="CQ268" s="70" t="str">
        <f t="shared" si="3973"/>
        <v>InitUnitAdd('IF16',,,,,,,,,,)</v>
      </c>
      <c r="CR268" s="70" t="str">
        <f t="shared" si="3974"/>
        <v>InitEquipData('IF16',,"",,,,,'','','','','','',"")</v>
      </c>
      <c r="CU268" s="98" t="str">
        <f t="shared" si="3975"/>
        <v>|n</v>
      </c>
      <c r="CW268" s="61"/>
      <c r="CX268" s="61"/>
      <c r="CY268" s="61"/>
      <c r="CZ268" s="61"/>
      <c r="DA268" s="61"/>
      <c r="DB268" s="72" t="str">
        <f t="shared" si="3976"/>
        <v/>
      </c>
      <c r="DC268" s="72" t="str">
        <f t="shared" si="3977"/>
        <v/>
      </c>
      <c r="DD268" s="72" t="str">
        <f t="shared" si="3978"/>
        <v/>
      </c>
      <c r="DE268" s="72" t="str">
        <f t="shared" si="3979"/>
        <v/>
      </c>
      <c r="DF268" s="72" t="str">
        <f t="shared" si="3980"/>
        <v/>
      </c>
      <c r="DG268" s="72" t="str">
        <f t="shared" si="3981"/>
        <v/>
      </c>
      <c r="DH268" s="72" t="str">
        <f t="shared" si="3982"/>
        <v/>
      </c>
      <c r="DI268" s="72" t="str">
        <f t="shared" si="3983"/>
        <v/>
      </c>
      <c r="DJ268" s="72" t="str">
        <f t="shared" si="3984"/>
        <v/>
      </c>
      <c r="DK268" s="72" t="str">
        <f t="shared" si="3985"/>
        <v/>
      </c>
      <c r="DL268" s="72" t="str">
        <f t="shared" si="3986"/>
        <v/>
      </c>
      <c r="DM268" s="72" t="str">
        <f t="shared" si="3987"/>
        <v/>
      </c>
      <c r="DN268" s="72" t="str">
        <f t="shared" si="3988"/>
        <v/>
      </c>
      <c r="DO268" s="72" t="str">
        <f t="shared" si="3989"/>
        <v/>
      </c>
      <c r="DP268" s="72" t="str">
        <f t="shared" si="3990"/>
        <v/>
      </c>
      <c r="DQ268" s="72" t="str">
        <f t="shared" si="3991"/>
        <v/>
      </c>
      <c r="DR268" s="72" t="str">
        <f t="shared" si="3992"/>
        <v/>
      </c>
      <c r="DS268" s="72" t="str">
        <f t="shared" si="3993"/>
        <v/>
      </c>
      <c r="DT268" s="72" t="str">
        <f t="shared" si="3994"/>
        <v/>
      </c>
      <c r="DU268" s="72" t="str">
        <f t="shared" si="3995"/>
        <v/>
      </c>
      <c r="DV268" s="72" t="str">
        <f t="shared" si="3996"/>
        <v/>
      </c>
      <c r="DW268" s="72" t="str">
        <f t="shared" si="3997"/>
        <v/>
      </c>
      <c r="DX268" s="72" t="str">
        <f t="shared" si="3998"/>
        <v/>
      </c>
      <c r="DY268" s="72" t="str">
        <f t="shared" si="3999"/>
        <v/>
      </c>
      <c r="DZ268" s="72" t="str">
        <f t="shared" si="4000"/>
        <v/>
      </c>
      <c r="EA268" s="72" t="str">
        <f t="shared" si="4001"/>
        <v/>
      </c>
      <c r="EB268" s="72" t="str">
        <f t="shared" si="4002"/>
        <v/>
      </c>
      <c r="EC268" s="72" t="str">
        <f t="shared" si="4003"/>
        <v/>
      </c>
      <c r="ED268" s="72" t="str">
        <f t="shared" si="4004"/>
        <v/>
      </c>
      <c r="EE268" s="72" t="str">
        <f t="shared" si="4005"/>
        <v/>
      </c>
      <c r="EF268" s="72" t="str">
        <f t="shared" si="4006"/>
        <v/>
      </c>
      <c r="EG268" s="72" t="str">
        <f t="shared" si="4007"/>
        <v/>
      </c>
      <c r="EH268" s="72" t="str">
        <f t="shared" si="4008"/>
        <v/>
      </c>
      <c r="EI268" s="72" t="str">
        <f t="shared" si="4009"/>
        <v/>
      </c>
      <c r="EJ268" s="72" t="str">
        <f t="shared" si="4010"/>
        <v/>
      </c>
      <c r="EK268" s="72" t="str">
        <f t="shared" si="4011"/>
        <v/>
      </c>
      <c r="EL268" s="72" t="str">
        <f t="shared" si="4012"/>
        <v/>
      </c>
      <c r="EM268" s="72" t="str">
        <f t="shared" si="4013"/>
        <v/>
      </c>
      <c r="EN268" s="72" t="str">
        <f t="shared" si="4014"/>
        <v/>
      </c>
      <c r="EO268" s="72" t="str">
        <f t="shared" si="4015"/>
        <v/>
      </c>
      <c r="EP268" s="72" t="str">
        <f t="shared" si="4016"/>
        <v/>
      </c>
      <c r="EQ268" s="72" t="str">
        <f t="shared" si="4017"/>
        <v/>
      </c>
      <c r="ER268" s="72" t="str">
        <f t="shared" si="4018"/>
        <v/>
      </c>
      <c r="ES268" s="72" t="str">
        <f t="shared" si="4019"/>
        <v/>
      </c>
      <c r="ET268" s="72" t="str">
        <f t="shared" si="4020"/>
        <v/>
      </c>
      <c r="EU268" s="72" t="str">
        <f t="shared" si="4021"/>
        <v/>
      </c>
      <c r="EV268" s="72" t="str">
        <f t="shared" si="4022"/>
        <v/>
      </c>
      <c r="EW268" s="72" t="str">
        <f t="shared" si="4023"/>
        <v/>
      </c>
      <c r="EX268" s="72" t="str">
        <f t="shared" si="4024"/>
        <v/>
      </c>
      <c r="EY268" s="72" t="str">
        <f t="shared" si="4025"/>
        <v/>
      </c>
      <c r="EZ268" s="72" t="str">
        <f t="shared" si="4026"/>
        <v/>
      </c>
      <c r="FA268" s="72" t="str">
        <f t="shared" si="4027"/>
        <v/>
      </c>
      <c r="FB268" s="72" t="str">
        <f t="shared" si="4028"/>
        <v/>
      </c>
      <c r="FC268" s="72" t="str">
        <f t="shared" si="4029"/>
        <v/>
      </c>
      <c r="FD268" s="72" t="str">
        <f t="shared" si="4030"/>
        <v/>
      </c>
      <c r="FE268" s="72" t="str">
        <f t="shared" si="4031"/>
        <v/>
      </c>
      <c r="FF268" s="72" t="str">
        <f t="shared" si="4032"/>
        <v/>
      </c>
      <c r="FG268" s="72" t="str">
        <f t="shared" si="4033"/>
        <v/>
      </c>
      <c r="FH268" s="72" t="str">
        <f t="shared" si="4034"/>
        <v/>
      </c>
      <c r="FI268" s="72" t="str">
        <f t="shared" si="4035"/>
        <v/>
      </c>
      <c r="FJ268" s="72" t="str">
        <f t="shared" si="4036"/>
        <v/>
      </c>
      <c r="FK268" s="72" t="str">
        <f t="shared" si="4037"/>
        <v/>
      </c>
      <c r="FL268" s="72" t="str">
        <f t="shared" si="4038"/>
        <v/>
      </c>
      <c r="FM268" s="72" t="str">
        <f t="shared" si="4039"/>
        <v/>
      </c>
      <c r="FN268" s="72" t="str">
        <f t="shared" si="4040"/>
        <v/>
      </c>
      <c r="FO268" s="72" t="str">
        <f t="shared" si="4041"/>
        <v/>
      </c>
      <c r="FP268" s="72" t="str">
        <f t="shared" si="4042"/>
        <v/>
      </c>
      <c r="FQ268" s="72" t="str">
        <f t="shared" si="4043"/>
        <v/>
      </c>
      <c r="FR268" s="72" t="str">
        <f t="shared" si="4044"/>
        <v/>
      </c>
      <c r="FS268" s="72" t="str">
        <f t="shared" si="4045"/>
        <v/>
      </c>
    </row>
    <row r="269" spans="1:175" ht="15">
      <c r="A269" s="134"/>
      <c r="B269" s="82" t="s">
        <v>859</v>
      </c>
      <c r="C269" s="71" t="s">
        <v>843</v>
      </c>
      <c r="T269" s="148"/>
      <c r="U269" s="88"/>
      <c r="CN269" s="70" t="str">
        <f t="shared" si="3970"/>
        <v>InitUnitState('IF17',,,,,,,,,,)</v>
      </c>
      <c r="CO269" s="70" t="str">
        <f t="shared" si="3971"/>
        <v>InitUnitNormal('IF17',,,,,,,,,,)</v>
      </c>
      <c r="CP269" s="70" t="str">
        <f t="shared" si="3972"/>
        <v>InitUnitMagic('IF17',,,,,,,,,,)</v>
      </c>
      <c r="CQ269" s="70" t="str">
        <f t="shared" si="3973"/>
        <v>InitUnitAdd('IF17',,,,,,,,,,)</v>
      </c>
      <c r="CR269" s="70" t="str">
        <f t="shared" si="3974"/>
        <v>InitEquipData('IF17',,"",,,,,'','','','','','',"")</v>
      </c>
      <c r="CU269" s="98" t="str">
        <f t="shared" si="3975"/>
        <v>|n</v>
      </c>
      <c r="CW269" s="61"/>
      <c r="CX269" s="61"/>
      <c r="CY269" s="61"/>
      <c r="CZ269" s="61"/>
      <c r="DA269" s="61"/>
      <c r="DB269" s="72" t="str">
        <f t="shared" si="3976"/>
        <v/>
      </c>
      <c r="DC269" s="72" t="str">
        <f t="shared" si="3977"/>
        <v/>
      </c>
      <c r="DD269" s="72" t="str">
        <f t="shared" si="3978"/>
        <v/>
      </c>
      <c r="DE269" s="72" t="str">
        <f t="shared" si="3979"/>
        <v/>
      </c>
      <c r="DF269" s="72" t="str">
        <f t="shared" si="3980"/>
        <v/>
      </c>
      <c r="DG269" s="72" t="str">
        <f t="shared" si="3981"/>
        <v/>
      </c>
      <c r="DH269" s="72" t="str">
        <f t="shared" si="3982"/>
        <v/>
      </c>
      <c r="DI269" s="72" t="str">
        <f t="shared" si="3983"/>
        <v/>
      </c>
      <c r="DJ269" s="72" t="str">
        <f t="shared" si="3984"/>
        <v/>
      </c>
      <c r="DK269" s="72" t="str">
        <f t="shared" si="3985"/>
        <v/>
      </c>
      <c r="DL269" s="72" t="str">
        <f t="shared" si="3986"/>
        <v/>
      </c>
      <c r="DM269" s="72" t="str">
        <f t="shared" si="3987"/>
        <v/>
      </c>
      <c r="DN269" s="72" t="str">
        <f t="shared" si="3988"/>
        <v/>
      </c>
      <c r="DO269" s="72" t="str">
        <f t="shared" si="3989"/>
        <v/>
      </c>
      <c r="DP269" s="72" t="str">
        <f t="shared" si="3990"/>
        <v/>
      </c>
      <c r="DQ269" s="72" t="str">
        <f t="shared" si="3991"/>
        <v/>
      </c>
      <c r="DR269" s="72" t="str">
        <f t="shared" si="3992"/>
        <v/>
      </c>
      <c r="DS269" s="72" t="str">
        <f t="shared" si="3993"/>
        <v/>
      </c>
      <c r="DT269" s="72" t="str">
        <f t="shared" si="3994"/>
        <v/>
      </c>
      <c r="DU269" s="72" t="str">
        <f t="shared" si="3995"/>
        <v/>
      </c>
      <c r="DV269" s="72" t="str">
        <f t="shared" si="3996"/>
        <v/>
      </c>
      <c r="DW269" s="72" t="str">
        <f t="shared" si="3997"/>
        <v/>
      </c>
      <c r="DX269" s="72" t="str">
        <f t="shared" si="3998"/>
        <v/>
      </c>
      <c r="DY269" s="72" t="str">
        <f t="shared" si="3999"/>
        <v/>
      </c>
      <c r="DZ269" s="72" t="str">
        <f t="shared" si="4000"/>
        <v/>
      </c>
      <c r="EA269" s="72" t="str">
        <f t="shared" si="4001"/>
        <v/>
      </c>
      <c r="EB269" s="72" t="str">
        <f t="shared" si="4002"/>
        <v/>
      </c>
      <c r="EC269" s="72" t="str">
        <f t="shared" si="4003"/>
        <v/>
      </c>
      <c r="ED269" s="72" t="str">
        <f t="shared" si="4004"/>
        <v/>
      </c>
      <c r="EE269" s="72" t="str">
        <f t="shared" si="4005"/>
        <v/>
      </c>
      <c r="EF269" s="72" t="str">
        <f t="shared" si="4006"/>
        <v/>
      </c>
      <c r="EG269" s="72" t="str">
        <f t="shared" si="4007"/>
        <v/>
      </c>
      <c r="EH269" s="72" t="str">
        <f t="shared" si="4008"/>
        <v/>
      </c>
      <c r="EI269" s="72" t="str">
        <f t="shared" si="4009"/>
        <v/>
      </c>
      <c r="EJ269" s="72" t="str">
        <f t="shared" si="4010"/>
        <v/>
      </c>
      <c r="EK269" s="72" t="str">
        <f t="shared" si="4011"/>
        <v/>
      </c>
      <c r="EL269" s="72" t="str">
        <f t="shared" si="4012"/>
        <v/>
      </c>
      <c r="EM269" s="72" t="str">
        <f t="shared" si="4013"/>
        <v/>
      </c>
      <c r="EN269" s="72" t="str">
        <f t="shared" si="4014"/>
        <v/>
      </c>
      <c r="EO269" s="72" t="str">
        <f t="shared" si="4015"/>
        <v/>
      </c>
      <c r="EP269" s="72" t="str">
        <f t="shared" si="4016"/>
        <v/>
      </c>
      <c r="EQ269" s="72" t="str">
        <f t="shared" si="4017"/>
        <v/>
      </c>
      <c r="ER269" s="72" t="str">
        <f t="shared" si="4018"/>
        <v/>
      </c>
      <c r="ES269" s="72" t="str">
        <f t="shared" si="4019"/>
        <v/>
      </c>
      <c r="ET269" s="72" t="str">
        <f t="shared" si="4020"/>
        <v/>
      </c>
      <c r="EU269" s="72" t="str">
        <f t="shared" si="4021"/>
        <v/>
      </c>
      <c r="EV269" s="72" t="str">
        <f t="shared" si="4022"/>
        <v/>
      </c>
      <c r="EW269" s="72" t="str">
        <f t="shared" si="4023"/>
        <v/>
      </c>
      <c r="EX269" s="72" t="str">
        <f t="shared" si="4024"/>
        <v/>
      </c>
      <c r="EY269" s="72" t="str">
        <f t="shared" si="4025"/>
        <v/>
      </c>
      <c r="EZ269" s="72" t="str">
        <f t="shared" si="4026"/>
        <v/>
      </c>
      <c r="FA269" s="72" t="str">
        <f t="shared" si="4027"/>
        <v/>
      </c>
      <c r="FB269" s="72" t="str">
        <f t="shared" si="4028"/>
        <v/>
      </c>
      <c r="FC269" s="72" t="str">
        <f t="shared" si="4029"/>
        <v/>
      </c>
      <c r="FD269" s="72" t="str">
        <f t="shared" si="4030"/>
        <v/>
      </c>
      <c r="FE269" s="72" t="str">
        <f t="shared" si="4031"/>
        <v/>
      </c>
      <c r="FF269" s="72" t="str">
        <f t="shared" si="4032"/>
        <v/>
      </c>
      <c r="FG269" s="72" t="str">
        <f t="shared" si="4033"/>
        <v/>
      </c>
      <c r="FH269" s="72" t="str">
        <f t="shared" si="4034"/>
        <v/>
      </c>
      <c r="FI269" s="72" t="str">
        <f t="shared" si="4035"/>
        <v/>
      </c>
      <c r="FJ269" s="72" t="str">
        <f t="shared" si="4036"/>
        <v/>
      </c>
      <c r="FK269" s="72" t="str">
        <f t="shared" si="4037"/>
        <v/>
      </c>
      <c r="FL269" s="72" t="str">
        <f t="shared" si="4038"/>
        <v/>
      </c>
      <c r="FM269" s="72" t="str">
        <f t="shared" si="4039"/>
        <v/>
      </c>
      <c r="FN269" s="72" t="str">
        <f t="shared" si="4040"/>
        <v/>
      </c>
      <c r="FO269" s="72" t="str">
        <f t="shared" si="4041"/>
        <v/>
      </c>
      <c r="FP269" s="72" t="str">
        <f t="shared" si="4042"/>
        <v/>
      </c>
      <c r="FQ269" s="72" t="str">
        <f t="shared" si="4043"/>
        <v/>
      </c>
      <c r="FR269" s="72" t="str">
        <f t="shared" si="4044"/>
        <v/>
      </c>
      <c r="FS269" s="72" t="str">
        <f t="shared" si="4045"/>
        <v/>
      </c>
    </row>
    <row r="270" spans="1:175" ht="15">
      <c r="A270" s="134"/>
      <c r="B270" s="82" t="s">
        <v>860</v>
      </c>
      <c r="C270" s="71" t="s">
        <v>843</v>
      </c>
      <c r="T270" s="149"/>
      <c r="U270" s="88"/>
      <c r="CN270" s="70" t="str">
        <f t="shared" si="3970"/>
        <v>InitUnitState('IF18',,,,,,,,,,)</v>
      </c>
      <c r="CO270" s="70" t="str">
        <f t="shared" si="3971"/>
        <v>InitUnitNormal('IF18',,,,,,,,,,)</v>
      </c>
      <c r="CP270" s="70" t="str">
        <f t="shared" si="3972"/>
        <v>InitUnitMagic('IF18',,,,,,,,,,)</v>
      </c>
      <c r="CQ270" s="70" t="str">
        <f t="shared" si="3973"/>
        <v>InitUnitAdd('IF18',,,,,,,,,,)</v>
      </c>
      <c r="CR270" s="70" t="str">
        <f t="shared" si="3974"/>
        <v>InitEquipData('IF18',,"",,,,,'','','','','','',"")</v>
      </c>
      <c r="CU270" s="98" t="str">
        <f t="shared" si="3975"/>
        <v>|n</v>
      </c>
      <c r="CW270" s="61"/>
      <c r="CX270" s="61"/>
      <c r="CY270" s="61"/>
      <c r="CZ270" s="61"/>
      <c r="DA270" s="61"/>
      <c r="DB270" s="72" t="str">
        <f t="shared" si="3976"/>
        <v/>
      </c>
      <c r="DC270" s="72" t="str">
        <f t="shared" si="3977"/>
        <v/>
      </c>
      <c r="DD270" s="72" t="str">
        <f t="shared" si="3978"/>
        <v/>
      </c>
      <c r="DE270" s="72" t="str">
        <f t="shared" si="3979"/>
        <v/>
      </c>
      <c r="DF270" s="72" t="str">
        <f t="shared" si="3980"/>
        <v/>
      </c>
      <c r="DG270" s="72" t="str">
        <f t="shared" si="3981"/>
        <v/>
      </c>
      <c r="DH270" s="72" t="str">
        <f t="shared" si="3982"/>
        <v/>
      </c>
      <c r="DI270" s="72" t="str">
        <f t="shared" si="3983"/>
        <v/>
      </c>
      <c r="DJ270" s="72" t="str">
        <f t="shared" si="3984"/>
        <v/>
      </c>
      <c r="DK270" s="72" t="str">
        <f t="shared" si="3985"/>
        <v/>
      </c>
      <c r="DL270" s="72" t="str">
        <f t="shared" si="3986"/>
        <v/>
      </c>
      <c r="DM270" s="72" t="str">
        <f t="shared" si="3987"/>
        <v/>
      </c>
      <c r="DN270" s="72" t="str">
        <f t="shared" si="3988"/>
        <v/>
      </c>
      <c r="DO270" s="72" t="str">
        <f t="shared" si="3989"/>
        <v/>
      </c>
      <c r="DP270" s="72" t="str">
        <f t="shared" si="3990"/>
        <v/>
      </c>
      <c r="DQ270" s="72" t="str">
        <f t="shared" si="3991"/>
        <v/>
      </c>
      <c r="DR270" s="72" t="str">
        <f t="shared" si="3992"/>
        <v/>
      </c>
      <c r="DS270" s="72" t="str">
        <f t="shared" si="3993"/>
        <v/>
      </c>
      <c r="DT270" s="72" t="str">
        <f t="shared" si="3994"/>
        <v/>
      </c>
      <c r="DU270" s="72" t="str">
        <f t="shared" si="3995"/>
        <v/>
      </c>
      <c r="DV270" s="72" t="str">
        <f t="shared" si="3996"/>
        <v/>
      </c>
      <c r="DW270" s="72" t="str">
        <f t="shared" si="3997"/>
        <v/>
      </c>
      <c r="DX270" s="72" t="str">
        <f t="shared" si="3998"/>
        <v/>
      </c>
      <c r="DY270" s="72" t="str">
        <f t="shared" si="3999"/>
        <v/>
      </c>
      <c r="DZ270" s="72" t="str">
        <f t="shared" si="4000"/>
        <v/>
      </c>
      <c r="EA270" s="72" t="str">
        <f t="shared" si="4001"/>
        <v/>
      </c>
      <c r="EB270" s="72" t="str">
        <f t="shared" si="4002"/>
        <v/>
      </c>
      <c r="EC270" s="72" t="str">
        <f t="shared" si="4003"/>
        <v/>
      </c>
      <c r="ED270" s="72" t="str">
        <f t="shared" si="4004"/>
        <v/>
      </c>
      <c r="EE270" s="72" t="str">
        <f t="shared" si="4005"/>
        <v/>
      </c>
      <c r="EF270" s="72" t="str">
        <f t="shared" si="4006"/>
        <v/>
      </c>
      <c r="EG270" s="72" t="str">
        <f t="shared" si="4007"/>
        <v/>
      </c>
      <c r="EH270" s="72" t="str">
        <f t="shared" si="4008"/>
        <v/>
      </c>
      <c r="EI270" s="72" t="str">
        <f t="shared" si="4009"/>
        <v/>
      </c>
      <c r="EJ270" s="72" t="str">
        <f t="shared" si="4010"/>
        <v/>
      </c>
      <c r="EK270" s="72" t="str">
        <f t="shared" si="4011"/>
        <v/>
      </c>
      <c r="EL270" s="72" t="str">
        <f t="shared" si="4012"/>
        <v/>
      </c>
      <c r="EM270" s="72" t="str">
        <f t="shared" si="4013"/>
        <v/>
      </c>
      <c r="EN270" s="72" t="str">
        <f t="shared" si="4014"/>
        <v/>
      </c>
      <c r="EO270" s="72" t="str">
        <f t="shared" si="4015"/>
        <v/>
      </c>
      <c r="EP270" s="72" t="str">
        <f t="shared" si="4016"/>
        <v/>
      </c>
      <c r="EQ270" s="72" t="str">
        <f t="shared" si="4017"/>
        <v/>
      </c>
      <c r="ER270" s="72" t="str">
        <f t="shared" si="4018"/>
        <v/>
      </c>
      <c r="ES270" s="72" t="str">
        <f t="shared" si="4019"/>
        <v/>
      </c>
      <c r="ET270" s="72" t="str">
        <f t="shared" si="4020"/>
        <v/>
      </c>
      <c r="EU270" s="72" t="str">
        <f t="shared" si="4021"/>
        <v/>
      </c>
      <c r="EV270" s="72" t="str">
        <f t="shared" si="4022"/>
        <v/>
      </c>
      <c r="EW270" s="72" t="str">
        <f t="shared" si="4023"/>
        <v/>
      </c>
      <c r="EX270" s="72" t="str">
        <f t="shared" si="4024"/>
        <v/>
      </c>
      <c r="EY270" s="72" t="str">
        <f t="shared" si="4025"/>
        <v/>
      </c>
      <c r="EZ270" s="72" t="str">
        <f t="shared" si="4026"/>
        <v/>
      </c>
      <c r="FA270" s="72" t="str">
        <f t="shared" si="4027"/>
        <v/>
      </c>
      <c r="FB270" s="72" t="str">
        <f t="shared" si="4028"/>
        <v/>
      </c>
      <c r="FC270" s="72" t="str">
        <f t="shared" si="4029"/>
        <v/>
      </c>
      <c r="FD270" s="72" t="str">
        <f t="shared" si="4030"/>
        <v/>
      </c>
      <c r="FE270" s="72" t="str">
        <f t="shared" si="4031"/>
        <v/>
      </c>
      <c r="FF270" s="72" t="str">
        <f t="shared" si="4032"/>
        <v/>
      </c>
      <c r="FG270" s="72" t="str">
        <f t="shared" si="4033"/>
        <v/>
      </c>
      <c r="FH270" s="72" t="str">
        <f t="shared" si="4034"/>
        <v/>
      </c>
      <c r="FI270" s="72" t="str">
        <f t="shared" si="4035"/>
        <v/>
      </c>
      <c r="FJ270" s="72" t="str">
        <f t="shared" si="4036"/>
        <v/>
      </c>
      <c r="FK270" s="72" t="str">
        <f t="shared" si="4037"/>
        <v/>
      </c>
      <c r="FL270" s="72" t="str">
        <f t="shared" si="4038"/>
        <v/>
      </c>
      <c r="FM270" s="72" t="str">
        <f t="shared" si="4039"/>
        <v/>
      </c>
      <c r="FN270" s="72" t="str">
        <f t="shared" si="4040"/>
        <v/>
      </c>
      <c r="FO270" s="72" t="str">
        <f t="shared" si="4041"/>
        <v/>
      </c>
      <c r="FP270" s="72" t="str">
        <f t="shared" si="4042"/>
        <v/>
      </c>
      <c r="FQ270" s="72" t="str">
        <f t="shared" si="4043"/>
        <v/>
      </c>
      <c r="FR270" s="72" t="str">
        <f t="shared" si="4044"/>
        <v/>
      </c>
      <c r="FS270" s="72" t="str">
        <f t="shared" si="4045"/>
        <v/>
      </c>
    </row>
    <row r="271" spans="1:175" ht="15">
      <c r="A271" s="134"/>
      <c r="B271" s="82" t="s">
        <v>861</v>
      </c>
      <c r="C271" s="71" t="s">
        <v>843</v>
      </c>
      <c r="T271" s="149"/>
      <c r="U271" s="88"/>
      <c r="CN271" s="70" t="str">
        <f t="shared" si="3970"/>
        <v>InitUnitState('IF19',,,,,,,,,,)</v>
      </c>
      <c r="CO271" s="70" t="str">
        <f t="shared" si="3971"/>
        <v>InitUnitNormal('IF19',,,,,,,,,,)</v>
      </c>
      <c r="CP271" s="70" t="str">
        <f t="shared" si="3972"/>
        <v>InitUnitMagic('IF19',,,,,,,,,,)</v>
      </c>
      <c r="CQ271" s="70" t="str">
        <f t="shared" si="3973"/>
        <v>InitUnitAdd('IF19',,,,,,,,,,)</v>
      </c>
      <c r="CR271" s="70" t="str">
        <f t="shared" si="3974"/>
        <v>InitEquipData('IF19',,"",,,,,'','','','','','',"")</v>
      </c>
      <c r="CU271" s="98" t="str">
        <f t="shared" si="3975"/>
        <v>|n</v>
      </c>
      <c r="CW271" s="61"/>
      <c r="CX271" s="61"/>
      <c r="CY271" s="61"/>
      <c r="CZ271" s="61"/>
      <c r="DA271" s="61"/>
      <c r="DB271" s="72" t="str">
        <f t="shared" si="3976"/>
        <v/>
      </c>
      <c r="DC271" s="72" t="str">
        <f t="shared" si="3977"/>
        <v/>
      </c>
      <c r="DD271" s="72" t="str">
        <f t="shared" si="3978"/>
        <v/>
      </c>
      <c r="DE271" s="72" t="str">
        <f t="shared" si="3979"/>
        <v/>
      </c>
      <c r="DF271" s="72" t="str">
        <f t="shared" si="3980"/>
        <v/>
      </c>
      <c r="DG271" s="72" t="str">
        <f t="shared" si="3981"/>
        <v/>
      </c>
      <c r="DH271" s="72" t="str">
        <f t="shared" si="3982"/>
        <v/>
      </c>
      <c r="DI271" s="72" t="str">
        <f t="shared" si="3983"/>
        <v/>
      </c>
      <c r="DJ271" s="72" t="str">
        <f t="shared" si="3984"/>
        <v/>
      </c>
      <c r="DK271" s="72" t="str">
        <f t="shared" si="3985"/>
        <v/>
      </c>
      <c r="DL271" s="72" t="str">
        <f t="shared" si="3986"/>
        <v/>
      </c>
      <c r="DM271" s="72" t="str">
        <f t="shared" si="3987"/>
        <v/>
      </c>
      <c r="DN271" s="72" t="str">
        <f t="shared" si="3988"/>
        <v/>
      </c>
      <c r="DO271" s="72" t="str">
        <f t="shared" si="3989"/>
        <v/>
      </c>
      <c r="DP271" s="72" t="str">
        <f t="shared" si="3990"/>
        <v/>
      </c>
      <c r="DQ271" s="72" t="str">
        <f t="shared" si="3991"/>
        <v/>
      </c>
      <c r="DR271" s="72" t="str">
        <f t="shared" si="3992"/>
        <v/>
      </c>
      <c r="DS271" s="72" t="str">
        <f t="shared" si="3993"/>
        <v/>
      </c>
      <c r="DT271" s="72" t="str">
        <f t="shared" si="3994"/>
        <v/>
      </c>
      <c r="DU271" s="72" t="str">
        <f t="shared" si="3995"/>
        <v/>
      </c>
      <c r="DV271" s="72" t="str">
        <f t="shared" si="3996"/>
        <v/>
      </c>
      <c r="DW271" s="72" t="str">
        <f t="shared" si="3997"/>
        <v/>
      </c>
      <c r="DX271" s="72" t="str">
        <f t="shared" si="3998"/>
        <v/>
      </c>
      <c r="DY271" s="72" t="str">
        <f t="shared" si="3999"/>
        <v/>
      </c>
      <c r="DZ271" s="72" t="str">
        <f t="shared" si="4000"/>
        <v/>
      </c>
      <c r="EA271" s="72" t="str">
        <f t="shared" si="4001"/>
        <v/>
      </c>
      <c r="EB271" s="72" t="str">
        <f t="shared" si="4002"/>
        <v/>
      </c>
      <c r="EC271" s="72" t="str">
        <f t="shared" si="4003"/>
        <v/>
      </c>
      <c r="ED271" s="72" t="str">
        <f t="shared" si="4004"/>
        <v/>
      </c>
      <c r="EE271" s="72" t="str">
        <f t="shared" si="4005"/>
        <v/>
      </c>
      <c r="EF271" s="72" t="str">
        <f t="shared" si="4006"/>
        <v/>
      </c>
      <c r="EG271" s="72" t="str">
        <f t="shared" si="4007"/>
        <v/>
      </c>
      <c r="EH271" s="72" t="str">
        <f t="shared" si="4008"/>
        <v/>
      </c>
      <c r="EI271" s="72" t="str">
        <f t="shared" si="4009"/>
        <v/>
      </c>
      <c r="EJ271" s="72" t="str">
        <f t="shared" si="4010"/>
        <v/>
      </c>
      <c r="EK271" s="72" t="str">
        <f t="shared" si="4011"/>
        <v/>
      </c>
      <c r="EL271" s="72" t="str">
        <f t="shared" si="4012"/>
        <v/>
      </c>
      <c r="EM271" s="72" t="str">
        <f t="shared" si="4013"/>
        <v/>
      </c>
      <c r="EN271" s="72" t="str">
        <f t="shared" si="4014"/>
        <v/>
      </c>
      <c r="EO271" s="72" t="str">
        <f t="shared" si="4015"/>
        <v/>
      </c>
      <c r="EP271" s="72" t="str">
        <f t="shared" si="4016"/>
        <v/>
      </c>
      <c r="EQ271" s="72" t="str">
        <f t="shared" si="4017"/>
        <v/>
      </c>
      <c r="ER271" s="72" t="str">
        <f t="shared" si="4018"/>
        <v/>
      </c>
      <c r="ES271" s="72" t="str">
        <f t="shared" si="4019"/>
        <v/>
      </c>
      <c r="ET271" s="72" t="str">
        <f t="shared" si="4020"/>
        <v/>
      </c>
      <c r="EU271" s="72" t="str">
        <f t="shared" si="4021"/>
        <v/>
      </c>
      <c r="EV271" s="72" t="str">
        <f t="shared" si="4022"/>
        <v/>
      </c>
      <c r="EW271" s="72" t="str">
        <f t="shared" si="4023"/>
        <v/>
      </c>
      <c r="EX271" s="72" t="str">
        <f t="shared" si="4024"/>
        <v/>
      </c>
      <c r="EY271" s="72" t="str">
        <f t="shared" si="4025"/>
        <v/>
      </c>
      <c r="EZ271" s="72" t="str">
        <f t="shared" si="4026"/>
        <v/>
      </c>
      <c r="FA271" s="72" t="str">
        <f t="shared" si="4027"/>
        <v/>
      </c>
      <c r="FB271" s="72" t="str">
        <f t="shared" si="4028"/>
        <v/>
      </c>
      <c r="FC271" s="72" t="str">
        <f t="shared" si="4029"/>
        <v/>
      </c>
      <c r="FD271" s="72" t="str">
        <f t="shared" si="4030"/>
        <v/>
      </c>
      <c r="FE271" s="72" t="str">
        <f t="shared" si="4031"/>
        <v/>
      </c>
      <c r="FF271" s="72" t="str">
        <f t="shared" si="4032"/>
        <v/>
      </c>
      <c r="FG271" s="72" t="str">
        <f t="shared" si="4033"/>
        <v/>
      </c>
      <c r="FH271" s="72" t="str">
        <f t="shared" si="4034"/>
        <v/>
      </c>
      <c r="FI271" s="72" t="str">
        <f t="shared" si="4035"/>
        <v/>
      </c>
      <c r="FJ271" s="72" t="str">
        <f t="shared" si="4036"/>
        <v/>
      </c>
      <c r="FK271" s="72" t="str">
        <f t="shared" si="4037"/>
        <v/>
      </c>
      <c r="FL271" s="72" t="str">
        <f t="shared" si="4038"/>
        <v/>
      </c>
      <c r="FM271" s="72" t="str">
        <f t="shared" si="4039"/>
        <v/>
      </c>
      <c r="FN271" s="72" t="str">
        <f t="shared" si="4040"/>
        <v/>
      </c>
      <c r="FO271" s="72" t="str">
        <f t="shared" si="4041"/>
        <v/>
      </c>
      <c r="FP271" s="72" t="str">
        <f t="shared" si="4042"/>
        <v/>
      </c>
      <c r="FQ271" s="72" t="str">
        <f t="shared" si="4043"/>
        <v/>
      </c>
      <c r="FR271" s="72" t="str">
        <f t="shared" si="4044"/>
        <v/>
      </c>
      <c r="FS271" s="72" t="str">
        <f t="shared" si="4045"/>
        <v/>
      </c>
    </row>
    <row r="272" spans="1:175" ht="15">
      <c r="A272" s="134"/>
      <c r="B272" s="82" t="s">
        <v>862</v>
      </c>
      <c r="C272" s="71" t="s">
        <v>843</v>
      </c>
      <c r="T272" s="149"/>
      <c r="U272" s="88"/>
      <c r="CN272" s="70" t="str">
        <f t="shared" si="3970"/>
        <v>InitUnitState('IF20',,,,,,,,,,)</v>
      </c>
      <c r="CO272" s="70" t="str">
        <f t="shared" si="3971"/>
        <v>InitUnitNormal('IF20',,,,,,,,,,)</v>
      </c>
      <c r="CP272" s="70" t="str">
        <f t="shared" si="3972"/>
        <v>InitUnitMagic('IF20',,,,,,,,,,)</v>
      </c>
      <c r="CQ272" s="70" t="str">
        <f t="shared" si="3973"/>
        <v>InitUnitAdd('IF20',,,,,,,,,,)</v>
      </c>
      <c r="CR272" s="70" t="str">
        <f t="shared" si="3974"/>
        <v>InitEquipData('IF20',,"",,,,,'','','','','','',"")</v>
      </c>
      <c r="CU272" s="98" t="str">
        <f t="shared" si="3975"/>
        <v>|n</v>
      </c>
      <c r="CW272" s="61"/>
      <c r="CX272" s="61"/>
      <c r="CY272" s="61"/>
      <c r="CZ272" s="61"/>
      <c r="DA272" s="61"/>
      <c r="DB272" s="72" t="str">
        <f t="shared" si="3976"/>
        <v/>
      </c>
      <c r="DC272" s="72" t="str">
        <f t="shared" si="3977"/>
        <v/>
      </c>
      <c r="DD272" s="72" t="str">
        <f t="shared" si="3978"/>
        <v/>
      </c>
      <c r="DE272" s="72" t="str">
        <f t="shared" si="3979"/>
        <v/>
      </c>
      <c r="DF272" s="72" t="str">
        <f t="shared" si="3980"/>
        <v/>
      </c>
      <c r="DG272" s="72" t="str">
        <f t="shared" si="3981"/>
        <v/>
      </c>
      <c r="DH272" s="72" t="str">
        <f t="shared" si="3982"/>
        <v/>
      </c>
      <c r="DI272" s="72" t="str">
        <f t="shared" si="3983"/>
        <v/>
      </c>
      <c r="DJ272" s="72" t="str">
        <f t="shared" si="3984"/>
        <v/>
      </c>
      <c r="DK272" s="72" t="str">
        <f t="shared" si="3985"/>
        <v/>
      </c>
      <c r="DL272" s="72" t="str">
        <f t="shared" si="3986"/>
        <v/>
      </c>
      <c r="DM272" s="72" t="str">
        <f t="shared" si="3987"/>
        <v/>
      </c>
      <c r="DN272" s="72" t="str">
        <f t="shared" si="3988"/>
        <v/>
      </c>
      <c r="DO272" s="72" t="str">
        <f t="shared" si="3989"/>
        <v/>
      </c>
      <c r="DP272" s="72" t="str">
        <f t="shared" si="3990"/>
        <v/>
      </c>
      <c r="DQ272" s="72" t="str">
        <f t="shared" si="3991"/>
        <v/>
      </c>
      <c r="DR272" s="72" t="str">
        <f t="shared" si="3992"/>
        <v/>
      </c>
      <c r="DS272" s="72" t="str">
        <f t="shared" si="3993"/>
        <v/>
      </c>
      <c r="DT272" s="72" t="str">
        <f t="shared" si="3994"/>
        <v/>
      </c>
      <c r="DU272" s="72" t="str">
        <f t="shared" si="3995"/>
        <v/>
      </c>
      <c r="DV272" s="72" t="str">
        <f t="shared" si="3996"/>
        <v/>
      </c>
      <c r="DW272" s="72" t="str">
        <f t="shared" si="3997"/>
        <v/>
      </c>
      <c r="DX272" s="72" t="str">
        <f t="shared" si="3998"/>
        <v/>
      </c>
      <c r="DY272" s="72" t="str">
        <f t="shared" si="3999"/>
        <v/>
      </c>
      <c r="DZ272" s="72" t="str">
        <f t="shared" si="4000"/>
        <v/>
      </c>
      <c r="EA272" s="72" t="str">
        <f t="shared" si="4001"/>
        <v/>
      </c>
      <c r="EB272" s="72" t="str">
        <f t="shared" si="4002"/>
        <v/>
      </c>
      <c r="EC272" s="72" t="str">
        <f t="shared" si="4003"/>
        <v/>
      </c>
      <c r="ED272" s="72" t="str">
        <f t="shared" si="4004"/>
        <v/>
      </c>
      <c r="EE272" s="72" t="str">
        <f t="shared" si="4005"/>
        <v/>
      </c>
      <c r="EF272" s="72" t="str">
        <f t="shared" si="4006"/>
        <v/>
      </c>
      <c r="EG272" s="72" t="str">
        <f t="shared" si="4007"/>
        <v/>
      </c>
      <c r="EH272" s="72" t="str">
        <f t="shared" si="4008"/>
        <v/>
      </c>
      <c r="EI272" s="72" t="str">
        <f t="shared" si="4009"/>
        <v/>
      </c>
      <c r="EJ272" s="72" t="str">
        <f t="shared" si="4010"/>
        <v/>
      </c>
      <c r="EK272" s="72" t="str">
        <f t="shared" si="4011"/>
        <v/>
      </c>
      <c r="EL272" s="72" t="str">
        <f t="shared" si="4012"/>
        <v/>
      </c>
      <c r="EM272" s="72" t="str">
        <f t="shared" si="4013"/>
        <v/>
      </c>
      <c r="EN272" s="72" t="str">
        <f t="shared" si="4014"/>
        <v/>
      </c>
      <c r="EO272" s="72" t="str">
        <f t="shared" si="4015"/>
        <v/>
      </c>
      <c r="EP272" s="72" t="str">
        <f t="shared" si="4016"/>
        <v/>
      </c>
      <c r="EQ272" s="72" t="str">
        <f t="shared" si="4017"/>
        <v/>
      </c>
      <c r="ER272" s="72" t="str">
        <f t="shared" si="4018"/>
        <v/>
      </c>
      <c r="ES272" s="72" t="str">
        <f t="shared" si="4019"/>
        <v/>
      </c>
      <c r="ET272" s="72" t="str">
        <f t="shared" si="4020"/>
        <v/>
      </c>
      <c r="EU272" s="72" t="str">
        <f t="shared" si="4021"/>
        <v/>
      </c>
      <c r="EV272" s="72" t="str">
        <f t="shared" si="4022"/>
        <v/>
      </c>
      <c r="EW272" s="72" t="str">
        <f t="shared" si="4023"/>
        <v/>
      </c>
      <c r="EX272" s="72" t="str">
        <f t="shared" si="4024"/>
        <v/>
      </c>
      <c r="EY272" s="72" t="str">
        <f t="shared" si="4025"/>
        <v/>
      </c>
      <c r="EZ272" s="72" t="str">
        <f t="shared" si="4026"/>
        <v/>
      </c>
      <c r="FA272" s="72" t="str">
        <f t="shared" si="4027"/>
        <v/>
      </c>
      <c r="FB272" s="72" t="str">
        <f t="shared" si="4028"/>
        <v/>
      </c>
      <c r="FC272" s="72" t="str">
        <f t="shared" si="4029"/>
        <v/>
      </c>
      <c r="FD272" s="72" t="str">
        <f t="shared" si="4030"/>
        <v/>
      </c>
      <c r="FE272" s="72" t="str">
        <f t="shared" si="4031"/>
        <v/>
      </c>
      <c r="FF272" s="72" t="str">
        <f t="shared" si="4032"/>
        <v/>
      </c>
      <c r="FG272" s="72" t="str">
        <f t="shared" si="4033"/>
        <v/>
      </c>
      <c r="FH272" s="72" t="str">
        <f t="shared" si="4034"/>
        <v/>
      </c>
      <c r="FI272" s="72" t="str">
        <f t="shared" si="4035"/>
        <v/>
      </c>
      <c r="FJ272" s="72" t="str">
        <f t="shared" si="4036"/>
        <v/>
      </c>
      <c r="FK272" s="72" t="str">
        <f t="shared" si="4037"/>
        <v/>
      </c>
      <c r="FL272" s="72" t="str">
        <f t="shared" si="4038"/>
        <v/>
      </c>
      <c r="FM272" s="72" t="str">
        <f t="shared" si="4039"/>
        <v/>
      </c>
      <c r="FN272" s="72" t="str">
        <f t="shared" si="4040"/>
        <v/>
      </c>
      <c r="FO272" s="72" t="str">
        <f t="shared" si="4041"/>
        <v/>
      </c>
      <c r="FP272" s="72" t="str">
        <f t="shared" si="4042"/>
        <v/>
      </c>
      <c r="FQ272" s="72" t="str">
        <f t="shared" si="4043"/>
        <v/>
      </c>
      <c r="FR272" s="72" t="str">
        <f t="shared" si="4044"/>
        <v/>
      </c>
      <c r="FS272" s="72" t="str">
        <f t="shared" si="4045"/>
        <v/>
      </c>
    </row>
    <row r="273" spans="1:175">
      <c r="A273" s="82"/>
      <c r="B273" s="82" t="s">
        <v>863</v>
      </c>
      <c r="C273" s="71" t="s">
        <v>843</v>
      </c>
      <c r="T273" s="150"/>
      <c r="U273" s="88"/>
      <c r="CN273" s="70" t="str">
        <f t="shared" si="3970"/>
        <v>InitUnitState('IF21',,,,,,,,,,)</v>
      </c>
      <c r="CO273" s="70" t="str">
        <f t="shared" si="3971"/>
        <v>InitUnitNormal('IF21',,,,,,,,,,)</v>
      </c>
      <c r="CP273" s="70" t="str">
        <f t="shared" si="3972"/>
        <v>InitUnitMagic('IF21',,,,,,,,,,)</v>
      </c>
      <c r="CQ273" s="70" t="str">
        <f t="shared" si="3973"/>
        <v>InitUnitAdd('IF21',,,,,,,,,,)</v>
      </c>
      <c r="CR273" s="70" t="str">
        <f t="shared" si="3974"/>
        <v>InitEquipData('IF21',,"",,,,,'','','','','','',"")</v>
      </c>
      <c r="CU273" s="98" t="str">
        <f t="shared" si="3975"/>
        <v>|n</v>
      </c>
      <c r="CW273" s="61"/>
      <c r="CX273" s="61"/>
      <c r="CY273" s="61"/>
      <c r="CZ273" s="61"/>
      <c r="DA273" s="61"/>
      <c r="DB273" s="72" t="str">
        <f t="shared" si="3976"/>
        <v/>
      </c>
      <c r="DC273" s="72" t="str">
        <f t="shared" si="3977"/>
        <v/>
      </c>
      <c r="DD273" s="72" t="str">
        <f t="shared" si="3978"/>
        <v/>
      </c>
      <c r="DE273" s="72" t="str">
        <f t="shared" si="3979"/>
        <v/>
      </c>
      <c r="DF273" s="72" t="str">
        <f t="shared" si="3980"/>
        <v/>
      </c>
      <c r="DG273" s="72" t="str">
        <f t="shared" si="3981"/>
        <v/>
      </c>
      <c r="DH273" s="72" t="str">
        <f t="shared" si="3982"/>
        <v/>
      </c>
      <c r="DI273" s="72" t="str">
        <f t="shared" si="3983"/>
        <v/>
      </c>
      <c r="DJ273" s="72" t="str">
        <f t="shared" si="3984"/>
        <v/>
      </c>
      <c r="DK273" s="72" t="str">
        <f t="shared" si="3985"/>
        <v/>
      </c>
      <c r="DL273" s="72" t="str">
        <f t="shared" si="3986"/>
        <v/>
      </c>
      <c r="DM273" s="72" t="str">
        <f t="shared" si="3987"/>
        <v/>
      </c>
      <c r="DN273" s="72" t="str">
        <f t="shared" si="3988"/>
        <v/>
      </c>
      <c r="DO273" s="72" t="str">
        <f t="shared" si="3989"/>
        <v/>
      </c>
      <c r="DP273" s="72" t="str">
        <f t="shared" si="3990"/>
        <v/>
      </c>
      <c r="DQ273" s="72" t="str">
        <f t="shared" si="3991"/>
        <v/>
      </c>
      <c r="DR273" s="72" t="str">
        <f t="shared" si="3992"/>
        <v/>
      </c>
      <c r="DS273" s="72" t="str">
        <f t="shared" si="3993"/>
        <v/>
      </c>
      <c r="DT273" s="72" t="str">
        <f t="shared" si="3994"/>
        <v/>
      </c>
      <c r="DU273" s="72" t="str">
        <f t="shared" si="3995"/>
        <v/>
      </c>
      <c r="DV273" s="72" t="str">
        <f t="shared" si="3996"/>
        <v/>
      </c>
      <c r="DW273" s="72" t="str">
        <f t="shared" si="3997"/>
        <v/>
      </c>
      <c r="DX273" s="72" t="str">
        <f t="shared" si="3998"/>
        <v/>
      </c>
      <c r="DY273" s="72" t="str">
        <f t="shared" si="3999"/>
        <v/>
      </c>
      <c r="DZ273" s="72" t="str">
        <f t="shared" si="4000"/>
        <v/>
      </c>
      <c r="EA273" s="72" t="str">
        <f t="shared" si="4001"/>
        <v/>
      </c>
      <c r="EB273" s="72" t="str">
        <f t="shared" si="4002"/>
        <v/>
      </c>
      <c r="EC273" s="72" t="str">
        <f t="shared" si="4003"/>
        <v/>
      </c>
      <c r="ED273" s="72" t="str">
        <f t="shared" si="4004"/>
        <v/>
      </c>
      <c r="EE273" s="72" t="str">
        <f t="shared" si="4005"/>
        <v/>
      </c>
      <c r="EF273" s="72" t="str">
        <f t="shared" si="4006"/>
        <v/>
      </c>
      <c r="EG273" s="72" t="str">
        <f t="shared" si="4007"/>
        <v/>
      </c>
      <c r="EH273" s="72" t="str">
        <f t="shared" si="4008"/>
        <v/>
      </c>
      <c r="EI273" s="72" t="str">
        <f t="shared" si="4009"/>
        <v/>
      </c>
      <c r="EJ273" s="72" t="str">
        <f t="shared" si="4010"/>
        <v/>
      </c>
      <c r="EK273" s="72" t="str">
        <f t="shared" si="4011"/>
        <v/>
      </c>
      <c r="EL273" s="72" t="str">
        <f t="shared" si="4012"/>
        <v/>
      </c>
      <c r="EM273" s="72" t="str">
        <f t="shared" si="4013"/>
        <v/>
      </c>
      <c r="EN273" s="72" t="str">
        <f t="shared" si="4014"/>
        <v/>
      </c>
      <c r="EO273" s="72" t="str">
        <f t="shared" si="4015"/>
        <v/>
      </c>
      <c r="EP273" s="72" t="str">
        <f t="shared" si="4016"/>
        <v/>
      </c>
      <c r="EQ273" s="72" t="str">
        <f t="shared" si="4017"/>
        <v/>
      </c>
      <c r="ER273" s="72" t="str">
        <f t="shared" si="4018"/>
        <v/>
      </c>
      <c r="ES273" s="72" t="str">
        <f t="shared" si="4019"/>
        <v/>
      </c>
      <c r="ET273" s="72" t="str">
        <f t="shared" si="4020"/>
        <v/>
      </c>
      <c r="EU273" s="72" t="str">
        <f t="shared" si="4021"/>
        <v/>
      </c>
      <c r="EV273" s="72" t="str">
        <f t="shared" si="4022"/>
        <v/>
      </c>
      <c r="EW273" s="72" t="str">
        <f t="shared" si="4023"/>
        <v/>
      </c>
      <c r="EX273" s="72" t="str">
        <f t="shared" si="4024"/>
        <v/>
      </c>
      <c r="EY273" s="72" t="str">
        <f t="shared" si="4025"/>
        <v/>
      </c>
      <c r="EZ273" s="72" t="str">
        <f t="shared" si="4026"/>
        <v/>
      </c>
      <c r="FA273" s="72" t="str">
        <f t="shared" si="4027"/>
        <v/>
      </c>
      <c r="FB273" s="72" t="str">
        <f t="shared" si="4028"/>
        <v/>
      </c>
      <c r="FC273" s="72" t="str">
        <f t="shared" si="4029"/>
        <v/>
      </c>
      <c r="FD273" s="72" t="str">
        <f t="shared" si="4030"/>
        <v/>
      </c>
      <c r="FE273" s="72" t="str">
        <f t="shared" si="4031"/>
        <v/>
      </c>
      <c r="FF273" s="72" t="str">
        <f t="shared" si="4032"/>
        <v/>
      </c>
      <c r="FG273" s="72" t="str">
        <f t="shared" si="4033"/>
        <v/>
      </c>
      <c r="FH273" s="72" t="str">
        <f t="shared" si="4034"/>
        <v/>
      </c>
      <c r="FI273" s="72" t="str">
        <f t="shared" si="4035"/>
        <v/>
      </c>
      <c r="FJ273" s="72" t="str">
        <f t="shared" si="4036"/>
        <v/>
      </c>
      <c r="FK273" s="72" t="str">
        <f t="shared" si="4037"/>
        <v/>
      </c>
      <c r="FL273" s="72" t="str">
        <f t="shared" si="4038"/>
        <v/>
      </c>
      <c r="FM273" s="72" t="str">
        <f t="shared" si="4039"/>
        <v/>
      </c>
      <c r="FN273" s="72" t="str">
        <f t="shared" si="4040"/>
        <v/>
      </c>
      <c r="FO273" s="72" t="str">
        <f t="shared" si="4041"/>
        <v/>
      </c>
      <c r="FP273" s="72" t="str">
        <f t="shared" si="4042"/>
        <v/>
      </c>
      <c r="FQ273" s="72" t="str">
        <f t="shared" si="4043"/>
        <v/>
      </c>
      <c r="FR273" s="72" t="str">
        <f t="shared" si="4044"/>
        <v/>
      </c>
      <c r="FS273" s="72" t="str">
        <f t="shared" si="4045"/>
        <v/>
      </c>
    </row>
    <row r="274" spans="1:175">
      <c r="A274" s="82"/>
      <c r="B274" s="82" t="s">
        <v>864</v>
      </c>
      <c r="C274" s="71" t="s">
        <v>843</v>
      </c>
      <c r="T274" s="150"/>
      <c r="U274" s="88"/>
      <c r="CN274" s="70" t="str">
        <f t="shared" si="3970"/>
        <v>InitUnitState('IF22',,,,,,,,,,)</v>
      </c>
      <c r="CO274" s="70" t="str">
        <f t="shared" si="3971"/>
        <v>InitUnitNormal('IF22',,,,,,,,,,)</v>
      </c>
      <c r="CP274" s="70" t="str">
        <f t="shared" si="3972"/>
        <v>InitUnitMagic('IF22',,,,,,,,,,)</v>
      </c>
      <c r="CQ274" s="70" t="str">
        <f t="shared" si="3973"/>
        <v>InitUnitAdd('IF22',,,,,,,,,,)</v>
      </c>
      <c r="CR274" s="70" t="str">
        <f t="shared" si="3974"/>
        <v>InitEquipData('IF22',,"",,,,,'','','','','','',"")</v>
      </c>
      <c r="CU274" s="98" t="str">
        <f t="shared" si="3975"/>
        <v>|n</v>
      </c>
      <c r="CW274" s="61"/>
      <c r="CX274" s="61"/>
      <c r="CY274" s="61"/>
      <c r="CZ274" s="61"/>
      <c r="DA274" s="61"/>
      <c r="DB274" s="72" t="str">
        <f t="shared" si="3976"/>
        <v/>
      </c>
      <c r="DC274" s="72" t="str">
        <f t="shared" si="3977"/>
        <v/>
      </c>
      <c r="DD274" s="72" t="str">
        <f t="shared" si="3978"/>
        <v/>
      </c>
      <c r="DE274" s="72" t="str">
        <f t="shared" si="3979"/>
        <v/>
      </c>
      <c r="DF274" s="72" t="str">
        <f t="shared" si="3980"/>
        <v/>
      </c>
      <c r="DG274" s="72" t="str">
        <f t="shared" si="3981"/>
        <v/>
      </c>
      <c r="DH274" s="72" t="str">
        <f t="shared" si="3982"/>
        <v/>
      </c>
      <c r="DI274" s="72" t="str">
        <f t="shared" si="3983"/>
        <v/>
      </c>
      <c r="DJ274" s="72" t="str">
        <f t="shared" si="3984"/>
        <v/>
      </c>
      <c r="DK274" s="72" t="str">
        <f t="shared" si="3985"/>
        <v/>
      </c>
      <c r="DL274" s="72" t="str">
        <f t="shared" si="3986"/>
        <v/>
      </c>
      <c r="DM274" s="72" t="str">
        <f t="shared" si="3987"/>
        <v/>
      </c>
      <c r="DN274" s="72" t="str">
        <f t="shared" si="3988"/>
        <v/>
      </c>
      <c r="DO274" s="72" t="str">
        <f t="shared" si="3989"/>
        <v/>
      </c>
      <c r="DP274" s="72" t="str">
        <f t="shared" si="3990"/>
        <v/>
      </c>
      <c r="DQ274" s="72" t="str">
        <f t="shared" si="3991"/>
        <v/>
      </c>
      <c r="DR274" s="72" t="str">
        <f t="shared" si="3992"/>
        <v/>
      </c>
      <c r="DS274" s="72" t="str">
        <f t="shared" si="3993"/>
        <v/>
      </c>
      <c r="DT274" s="72" t="str">
        <f t="shared" si="3994"/>
        <v/>
      </c>
      <c r="DU274" s="72" t="str">
        <f t="shared" si="3995"/>
        <v/>
      </c>
      <c r="DV274" s="72" t="str">
        <f t="shared" si="3996"/>
        <v/>
      </c>
      <c r="DW274" s="72" t="str">
        <f t="shared" si="3997"/>
        <v/>
      </c>
      <c r="DX274" s="72" t="str">
        <f t="shared" si="3998"/>
        <v/>
      </c>
      <c r="DY274" s="72" t="str">
        <f t="shared" si="3999"/>
        <v/>
      </c>
      <c r="DZ274" s="72" t="str">
        <f t="shared" si="4000"/>
        <v/>
      </c>
      <c r="EA274" s="72" t="str">
        <f t="shared" si="4001"/>
        <v/>
      </c>
      <c r="EB274" s="72" t="str">
        <f t="shared" si="4002"/>
        <v/>
      </c>
      <c r="EC274" s="72" t="str">
        <f t="shared" si="4003"/>
        <v/>
      </c>
      <c r="ED274" s="72" t="str">
        <f t="shared" si="4004"/>
        <v/>
      </c>
      <c r="EE274" s="72" t="str">
        <f t="shared" si="4005"/>
        <v/>
      </c>
      <c r="EF274" s="72" t="str">
        <f t="shared" si="4006"/>
        <v/>
      </c>
      <c r="EG274" s="72" t="str">
        <f t="shared" si="4007"/>
        <v/>
      </c>
      <c r="EH274" s="72" t="str">
        <f t="shared" si="4008"/>
        <v/>
      </c>
      <c r="EI274" s="72" t="str">
        <f t="shared" si="4009"/>
        <v/>
      </c>
      <c r="EJ274" s="72" t="str">
        <f t="shared" si="4010"/>
        <v/>
      </c>
      <c r="EK274" s="72" t="str">
        <f t="shared" si="4011"/>
        <v/>
      </c>
      <c r="EL274" s="72" t="str">
        <f t="shared" si="4012"/>
        <v/>
      </c>
      <c r="EM274" s="72" t="str">
        <f t="shared" si="4013"/>
        <v/>
      </c>
      <c r="EN274" s="72" t="str">
        <f t="shared" si="4014"/>
        <v/>
      </c>
      <c r="EO274" s="72" t="str">
        <f t="shared" si="4015"/>
        <v/>
      </c>
      <c r="EP274" s="72" t="str">
        <f t="shared" si="4016"/>
        <v/>
      </c>
      <c r="EQ274" s="72" t="str">
        <f t="shared" si="4017"/>
        <v/>
      </c>
      <c r="ER274" s="72" t="str">
        <f t="shared" si="4018"/>
        <v/>
      </c>
      <c r="ES274" s="72" t="str">
        <f t="shared" si="4019"/>
        <v/>
      </c>
      <c r="ET274" s="72" t="str">
        <f t="shared" si="4020"/>
        <v/>
      </c>
      <c r="EU274" s="72" t="str">
        <f t="shared" si="4021"/>
        <v/>
      </c>
      <c r="EV274" s="72" t="str">
        <f t="shared" si="4022"/>
        <v/>
      </c>
      <c r="EW274" s="72" t="str">
        <f t="shared" si="4023"/>
        <v/>
      </c>
      <c r="EX274" s="72" t="str">
        <f t="shared" si="4024"/>
        <v/>
      </c>
      <c r="EY274" s="72" t="str">
        <f t="shared" si="4025"/>
        <v/>
      </c>
      <c r="EZ274" s="72" t="str">
        <f t="shared" si="4026"/>
        <v/>
      </c>
      <c r="FA274" s="72" t="str">
        <f t="shared" si="4027"/>
        <v/>
      </c>
      <c r="FB274" s="72" t="str">
        <f t="shared" si="4028"/>
        <v/>
      </c>
      <c r="FC274" s="72" t="str">
        <f t="shared" si="4029"/>
        <v/>
      </c>
      <c r="FD274" s="72" t="str">
        <f t="shared" si="4030"/>
        <v/>
      </c>
      <c r="FE274" s="72" t="str">
        <f t="shared" si="4031"/>
        <v/>
      </c>
      <c r="FF274" s="72" t="str">
        <f t="shared" si="4032"/>
        <v/>
      </c>
      <c r="FG274" s="72" t="str">
        <f t="shared" si="4033"/>
        <v/>
      </c>
      <c r="FH274" s="72" t="str">
        <f t="shared" si="4034"/>
        <v/>
      </c>
      <c r="FI274" s="72" t="str">
        <f t="shared" si="4035"/>
        <v/>
      </c>
      <c r="FJ274" s="72" t="str">
        <f t="shared" si="4036"/>
        <v/>
      </c>
      <c r="FK274" s="72" t="str">
        <f t="shared" si="4037"/>
        <v/>
      </c>
      <c r="FL274" s="72" t="str">
        <f t="shared" si="4038"/>
        <v/>
      </c>
      <c r="FM274" s="72" t="str">
        <f t="shared" si="4039"/>
        <v/>
      </c>
      <c r="FN274" s="72" t="str">
        <f t="shared" si="4040"/>
        <v/>
      </c>
      <c r="FO274" s="72" t="str">
        <f t="shared" si="4041"/>
        <v/>
      </c>
      <c r="FP274" s="72" t="str">
        <f t="shared" si="4042"/>
        <v/>
      </c>
      <c r="FQ274" s="72" t="str">
        <f t="shared" si="4043"/>
        <v/>
      </c>
      <c r="FR274" s="72" t="str">
        <f t="shared" si="4044"/>
        <v/>
      </c>
      <c r="FS274" s="72" t="str">
        <f t="shared" si="4045"/>
        <v/>
      </c>
    </row>
    <row r="275" spans="1:175">
      <c r="A275" s="82"/>
      <c r="B275" s="82" t="s">
        <v>865</v>
      </c>
      <c r="C275" s="71" t="s">
        <v>843</v>
      </c>
      <c r="T275" s="150"/>
      <c r="U275" s="88"/>
      <c r="CN275" s="70" t="str">
        <f t="shared" si="3970"/>
        <v>InitUnitState('IF23',,,,,,,,,,)</v>
      </c>
      <c r="CO275" s="70" t="str">
        <f t="shared" si="3971"/>
        <v>InitUnitNormal('IF23',,,,,,,,,,)</v>
      </c>
      <c r="CP275" s="70" t="str">
        <f t="shared" si="3972"/>
        <v>InitUnitMagic('IF23',,,,,,,,,,)</v>
      </c>
      <c r="CQ275" s="70" t="str">
        <f t="shared" si="3973"/>
        <v>InitUnitAdd('IF23',,,,,,,,,,)</v>
      </c>
      <c r="CR275" s="70" t="str">
        <f t="shared" si="3974"/>
        <v>InitEquipData('IF23',,"",,,,,'','','','','','',"")</v>
      </c>
      <c r="CU275" s="98" t="str">
        <f t="shared" si="3975"/>
        <v>|n</v>
      </c>
      <c r="CW275" s="61"/>
      <c r="CX275" s="61"/>
      <c r="CY275" s="61"/>
      <c r="CZ275" s="61"/>
      <c r="DA275" s="61"/>
      <c r="DB275" s="72" t="str">
        <f t="shared" si="3976"/>
        <v/>
      </c>
      <c r="DC275" s="72" t="str">
        <f t="shared" si="3977"/>
        <v/>
      </c>
      <c r="DD275" s="72" t="str">
        <f t="shared" si="3978"/>
        <v/>
      </c>
      <c r="DE275" s="72" t="str">
        <f t="shared" si="3979"/>
        <v/>
      </c>
      <c r="DF275" s="72" t="str">
        <f t="shared" si="3980"/>
        <v/>
      </c>
      <c r="DG275" s="72" t="str">
        <f t="shared" si="3981"/>
        <v/>
      </c>
      <c r="DH275" s="72" t="str">
        <f t="shared" si="3982"/>
        <v/>
      </c>
      <c r="DI275" s="72" t="str">
        <f t="shared" si="3983"/>
        <v/>
      </c>
      <c r="DJ275" s="72" t="str">
        <f t="shared" si="3984"/>
        <v/>
      </c>
      <c r="DK275" s="72" t="str">
        <f t="shared" si="3985"/>
        <v/>
      </c>
      <c r="DL275" s="72" t="str">
        <f t="shared" si="3986"/>
        <v/>
      </c>
      <c r="DM275" s="72" t="str">
        <f t="shared" si="3987"/>
        <v/>
      </c>
      <c r="DN275" s="72" t="str">
        <f t="shared" si="3988"/>
        <v/>
      </c>
      <c r="DO275" s="72" t="str">
        <f t="shared" si="3989"/>
        <v/>
      </c>
      <c r="DP275" s="72" t="str">
        <f t="shared" si="3990"/>
        <v/>
      </c>
      <c r="DQ275" s="72" t="str">
        <f t="shared" si="3991"/>
        <v/>
      </c>
      <c r="DR275" s="72" t="str">
        <f t="shared" si="3992"/>
        <v/>
      </c>
      <c r="DS275" s="72" t="str">
        <f t="shared" si="3993"/>
        <v/>
      </c>
      <c r="DT275" s="72" t="str">
        <f t="shared" si="3994"/>
        <v/>
      </c>
      <c r="DU275" s="72" t="str">
        <f t="shared" si="3995"/>
        <v/>
      </c>
      <c r="DV275" s="72" t="str">
        <f t="shared" si="3996"/>
        <v/>
      </c>
      <c r="DW275" s="72" t="str">
        <f t="shared" si="3997"/>
        <v/>
      </c>
      <c r="DX275" s="72" t="str">
        <f t="shared" si="3998"/>
        <v/>
      </c>
      <c r="DY275" s="72" t="str">
        <f t="shared" si="3999"/>
        <v/>
      </c>
      <c r="DZ275" s="72" t="str">
        <f t="shared" si="4000"/>
        <v/>
      </c>
      <c r="EA275" s="72" t="str">
        <f t="shared" si="4001"/>
        <v/>
      </c>
      <c r="EB275" s="72" t="str">
        <f t="shared" si="4002"/>
        <v/>
      </c>
      <c r="EC275" s="72" t="str">
        <f t="shared" si="4003"/>
        <v/>
      </c>
      <c r="ED275" s="72" t="str">
        <f t="shared" si="4004"/>
        <v/>
      </c>
      <c r="EE275" s="72" t="str">
        <f t="shared" si="4005"/>
        <v/>
      </c>
      <c r="EF275" s="72" t="str">
        <f t="shared" si="4006"/>
        <v/>
      </c>
      <c r="EG275" s="72" t="str">
        <f t="shared" si="4007"/>
        <v/>
      </c>
      <c r="EH275" s="72" t="str">
        <f t="shared" si="4008"/>
        <v/>
      </c>
      <c r="EI275" s="72" t="str">
        <f t="shared" si="4009"/>
        <v/>
      </c>
      <c r="EJ275" s="72" t="str">
        <f t="shared" si="4010"/>
        <v/>
      </c>
      <c r="EK275" s="72" t="str">
        <f t="shared" si="4011"/>
        <v/>
      </c>
      <c r="EL275" s="72" t="str">
        <f t="shared" si="4012"/>
        <v/>
      </c>
      <c r="EM275" s="72" t="str">
        <f t="shared" si="4013"/>
        <v/>
      </c>
      <c r="EN275" s="72" t="str">
        <f t="shared" si="4014"/>
        <v/>
      </c>
      <c r="EO275" s="72" t="str">
        <f t="shared" si="4015"/>
        <v/>
      </c>
      <c r="EP275" s="72" t="str">
        <f t="shared" si="4016"/>
        <v/>
      </c>
      <c r="EQ275" s="72" t="str">
        <f t="shared" si="4017"/>
        <v/>
      </c>
      <c r="ER275" s="72" t="str">
        <f t="shared" si="4018"/>
        <v/>
      </c>
      <c r="ES275" s="72" t="str">
        <f t="shared" si="4019"/>
        <v/>
      </c>
      <c r="ET275" s="72" t="str">
        <f t="shared" si="4020"/>
        <v/>
      </c>
      <c r="EU275" s="72" t="str">
        <f t="shared" si="4021"/>
        <v/>
      </c>
      <c r="EV275" s="72" t="str">
        <f t="shared" si="4022"/>
        <v/>
      </c>
      <c r="EW275" s="72" t="str">
        <f t="shared" si="4023"/>
        <v/>
      </c>
      <c r="EX275" s="72" t="str">
        <f t="shared" si="4024"/>
        <v/>
      </c>
      <c r="EY275" s="72" t="str">
        <f t="shared" si="4025"/>
        <v/>
      </c>
      <c r="EZ275" s="72" t="str">
        <f t="shared" si="4026"/>
        <v/>
      </c>
      <c r="FA275" s="72" t="str">
        <f t="shared" si="4027"/>
        <v/>
      </c>
      <c r="FB275" s="72" t="str">
        <f t="shared" si="4028"/>
        <v/>
      </c>
      <c r="FC275" s="72" t="str">
        <f t="shared" si="4029"/>
        <v/>
      </c>
      <c r="FD275" s="72" t="str">
        <f t="shared" si="4030"/>
        <v/>
      </c>
      <c r="FE275" s="72" t="str">
        <f t="shared" si="4031"/>
        <v/>
      </c>
      <c r="FF275" s="72" t="str">
        <f t="shared" si="4032"/>
        <v/>
      </c>
      <c r="FG275" s="72" t="str">
        <f t="shared" si="4033"/>
        <v/>
      </c>
      <c r="FH275" s="72" t="str">
        <f t="shared" si="4034"/>
        <v/>
      </c>
      <c r="FI275" s="72" t="str">
        <f t="shared" si="4035"/>
        <v/>
      </c>
      <c r="FJ275" s="72" t="str">
        <f t="shared" si="4036"/>
        <v/>
      </c>
      <c r="FK275" s="72" t="str">
        <f t="shared" si="4037"/>
        <v/>
      </c>
      <c r="FL275" s="72" t="str">
        <f t="shared" si="4038"/>
        <v/>
      </c>
      <c r="FM275" s="72" t="str">
        <f t="shared" si="4039"/>
        <v/>
      </c>
      <c r="FN275" s="72" t="str">
        <f t="shared" si="4040"/>
        <v/>
      </c>
      <c r="FO275" s="72" t="str">
        <f t="shared" si="4041"/>
        <v/>
      </c>
      <c r="FP275" s="72" t="str">
        <f t="shared" si="4042"/>
        <v/>
      </c>
      <c r="FQ275" s="72" t="str">
        <f t="shared" si="4043"/>
        <v/>
      </c>
      <c r="FR275" s="72" t="str">
        <f t="shared" si="4044"/>
        <v/>
      </c>
      <c r="FS275" s="72" t="str">
        <f t="shared" si="4045"/>
        <v/>
      </c>
    </row>
    <row r="276" spans="1:175">
      <c r="A276" s="82"/>
      <c r="B276" s="82" t="s">
        <v>866</v>
      </c>
      <c r="C276" s="71" t="s">
        <v>843</v>
      </c>
      <c r="T276" s="150"/>
      <c r="U276" s="88"/>
      <c r="CN276" s="70" t="str">
        <f t="shared" si="3970"/>
        <v>InitUnitState('IF24',,,,,,,,,,)</v>
      </c>
      <c r="CO276" s="70" t="str">
        <f t="shared" si="3971"/>
        <v>InitUnitNormal('IF24',,,,,,,,,,)</v>
      </c>
      <c r="CP276" s="70" t="str">
        <f t="shared" si="3972"/>
        <v>InitUnitMagic('IF24',,,,,,,,,,)</v>
      </c>
      <c r="CQ276" s="70" t="str">
        <f t="shared" si="3973"/>
        <v>InitUnitAdd('IF24',,,,,,,,,,)</v>
      </c>
      <c r="CR276" s="70" t="str">
        <f t="shared" si="3974"/>
        <v>InitEquipData('IF24',,"",,,,,'','','','','','',"")</v>
      </c>
      <c r="CU276" s="98" t="str">
        <f t="shared" ref="CU276:CU323" si="4046">CONCATENATE(DB276,DC276,DD276,DE276,DF276,DG276,DH276,DI276,DJ276,DK276,DL276,DM276,DN276,DO276,DP276,DQ276,DR276,DS276,DT276,DU276,DV276,DW276,DX276,DY276,DZ276,EA276,EB276,EC276,ED276,EE276,EF276,EG276,EH276,EI276,EJ276,EK276,EL276,EM276,EN276,EO276,EP276&amp;"|n")</f>
        <v>|n</v>
      </c>
      <c r="CW276" s="61"/>
      <c r="CX276" s="61"/>
      <c r="CY276" s="61"/>
      <c r="CZ276" s="61"/>
      <c r="DA276" s="61"/>
      <c r="DB276" s="72" t="str">
        <f t="shared" ref="DB276:DB323" si="4047">IF(V276="","","|n"&amp;DB$2&amp;"+"&amp;V276&amp;DB$1)</f>
        <v/>
      </c>
      <c r="DC276" s="72" t="str">
        <f t="shared" ref="DC276:DC323" si="4048">IF(W276="","","|n"&amp;DC$2&amp;"+"&amp;W276&amp;DC$1)</f>
        <v/>
      </c>
      <c r="DD276" s="72" t="str">
        <f t="shared" ref="DD276:DD323" si="4049">IF(X276="","","|n"&amp;DD$2&amp;"+"&amp;X276&amp;DD$1)</f>
        <v/>
      </c>
      <c r="DE276" s="72" t="str">
        <f t="shared" ref="DE276:DE323" si="4050">IF(Y276="","","|n"&amp;DE$2&amp;"+"&amp;Y276&amp;DE$1)</f>
        <v/>
      </c>
      <c r="DF276" s="72" t="str">
        <f t="shared" ref="DF276:DF323" si="4051">IF(Z276="","","|n"&amp;DF$2&amp;"+"&amp;Z276&amp;DF$1)</f>
        <v/>
      </c>
      <c r="DG276" s="72" t="str">
        <f t="shared" ref="DG276:DG323" si="4052">IF(AA276="","","|n"&amp;DG$2&amp;"+"&amp;AA276&amp;DG$1)</f>
        <v/>
      </c>
      <c r="DH276" s="72" t="str">
        <f t="shared" ref="DH276:DH323" si="4053">IF(AB276="","","|n"&amp;DH$2&amp;"+"&amp;AB276&amp;DH$1)</f>
        <v/>
      </c>
      <c r="DI276" s="72" t="str">
        <f t="shared" ref="DI276:DI323" si="4054">IF(AC276="","","|n"&amp;DI$2&amp;"+"&amp;AC276&amp;DI$1)</f>
        <v/>
      </c>
      <c r="DJ276" s="72" t="str">
        <f t="shared" ref="DJ276:DJ323" si="4055">IF(AD276="","","|n"&amp;DJ$2&amp;"+"&amp;AD276&amp;DJ$1)</f>
        <v/>
      </c>
      <c r="DK276" s="72" t="str">
        <f t="shared" ref="DK276:DK323" si="4056">IF(AE276="","","|n"&amp;DK$2&amp;"+"&amp;AE276&amp;DK$1)</f>
        <v/>
      </c>
      <c r="DL276" s="72" t="str">
        <f t="shared" ref="DL276:DL323" si="4057">IF(AF276="","","|n"&amp;DL$2&amp;"+"&amp;AF276&amp;DL$1)</f>
        <v/>
      </c>
      <c r="DM276" s="72" t="str">
        <f t="shared" ref="DM276:DM323" si="4058">IF(AG276="","","|n"&amp;DM$2&amp;"+"&amp;AG276&amp;DM$1)</f>
        <v/>
      </c>
      <c r="DN276" s="72" t="str">
        <f t="shared" ref="DN276:DN323" si="4059">IF(AH276="","","|n"&amp;DN$2&amp;"+"&amp;AH276&amp;DN$1)</f>
        <v/>
      </c>
      <c r="DO276" s="72" t="str">
        <f t="shared" ref="DO276:DO323" si="4060">IF(AI276="","","|n"&amp;DO$2&amp;"+"&amp;AI276&amp;DO$1)</f>
        <v/>
      </c>
      <c r="DP276" s="72" t="str">
        <f t="shared" ref="DP276:DP323" si="4061">IF(AJ276="","","|n"&amp;DP$2&amp;"+"&amp;AJ276&amp;DP$1)</f>
        <v/>
      </c>
      <c r="DQ276" s="72" t="str">
        <f t="shared" ref="DQ276:DQ323" si="4062">IF(AK276="","","|n"&amp;DQ$2&amp;"+"&amp;AK276&amp;DQ$1)</f>
        <v/>
      </c>
      <c r="DR276" s="72" t="str">
        <f t="shared" ref="DR276:DR323" si="4063">IF(AL276="","","|n"&amp;DR$2&amp;"+"&amp;AL276&amp;DR$1)</f>
        <v/>
      </c>
      <c r="DS276" s="72" t="str">
        <f t="shared" ref="DS276:DS323" si="4064">IF(AM276="","","|n"&amp;DS$2&amp;"+"&amp;AM276&amp;DS$1)</f>
        <v/>
      </c>
      <c r="DT276" s="72" t="str">
        <f t="shared" ref="DT276:DT323" si="4065">IF(AN276="","","|n"&amp;DT$2&amp;"+"&amp;AN276&amp;DT$1)</f>
        <v/>
      </c>
      <c r="DU276" s="72" t="str">
        <f t="shared" ref="DU276:DU323" si="4066">IF(AO276="","","|n"&amp;DU$2&amp;"+"&amp;AO276&amp;DU$1)</f>
        <v/>
      </c>
      <c r="DV276" s="72" t="str">
        <f t="shared" ref="DV276:DV323" si="4067">IF(AP276="","","|n"&amp;DV$2&amp;"+"&amp;AP276&amp;DV$1)</f>
        <v/>
      </c>
      <c r="DW276" s="72" t="str">
        <f t="shared" ref="DW276:DW323" si="4068">IF(AQ276="","","|n"&amp;DW$2&amp;"+"&amp;AQ276&amp;DW$1)</f>
        <v/>
      </c>
      <c r="DX276" s="72" t="str">
        <f t="shared" ref="DX276:DX323" si="4069">IF(AR276="","","|n"&amp;DX$2&amp;"+"&amp;AR276&amp;DX$1)</f>
        <v/>
      </c>
      <c r="DY276" s="72" t="str">
        <f t="shared" ref="DY276:DY323" si="4070">IF(AS276="","","|n"&amp;DY$2&amp;"+"&amp;AS276&amp;DY$1)</f>
        <v/>
      </c>
      <c r="DZ276" s="72" t="str">
        <f t="shared" ref="DZ276:DZ323" si="4071">IF(AT276="","","|n"&amp;DZ$2&amp;"+"&amp;AT276&amp;DZ$1)</f>
        <v/>
      </c>
      <c r="EA276" s="72" t="str">
        <f t="shared" ref="EA276:EA323" si="4072">IF(AU276="","","|n"&amp;EA$2&amp;"+"&amp;AU276&amp;EA$1)</f>
        <v/>
      </c>
      <c r="EB276" s="72" t="str">
        <f t="shared" ref="EB276:EB323" si="4073">IF(AV276="","","|n"&amp;EB$2&amp;"+"&amp;AV276&amp;EB$1)</f>
        <v/>
      </c>
      <c r="EC276" s="72" t="str">
        <f t="shared" ref="EC276:EC323" si="4074">IF(AW276="","","|n"&amp;EC$2&amp;"+"&amp;AW276&amp;EC$1)</f>
        <v/>
      </c>
      <c r="ED276" s="72" t="str">
        <f t="shared" ref="ED276:ED323" si="4075">IF(AX276="","","|n"&amp;ED$2&amp;"+"&amp;AX276&amp;ED$1)</f>
        <v/>
      </c>
      <c r="EE276" s="72" t="str">
        <f t="shared" ref="EE276:EE323" si="4076">IF(AY276="","","|n"&amp;EE$2&amp;"+"&amp;AY276&amp;EE$1)</f>
        <v/>
      </c>
      <c r="EF276" s="72" t="str">
        <f t="shared" ref="EF276:EF323" si="4077">IF(AZ276="","","|n"&amp;EF$2&amp;"+"&amp;AZ276&amp;EF$1)</f>
        <v/>
      </c>
      <c r="EG276" s="72" t="str">
        <f t="shared" ref="EG276:EG323" si="4078">IF(BA276="","","|n"&amp;EG$2&amp;"+"&amp;BA276&amp;EG$1)</f>
        <v/>
      </c>
      <c r="EH276" s="72" t="str">
        <f t="shared" ref="EH276:EH323" si="4079">IF(BB276="","","|n"&amp;EH$2&amp;"+"&amp;BB276&amp;EH$1)</f>
        <v/>
      </c>
      <c r="EI276" s="72" t="str">
        <f t="shared" ref="EI276:EI323" si="4080">IF(BC276="","","|n"&amp;EI$2&amp;"+"&amp;BC276&amp;EI$1)</f>
        <v/>
      </c>
      <c r="EJ276" s="72" t="str">
        <f t="shared" ref="EJ276:EJ323" si="4081">IF(BD276="","","|n"&amp;EJ$2&amp;"+"&amp;BD276&amp;EJ$1)</f>
        <v/>
      </c>
      <c r="EK276" s="72" t="str">
        <f t="shared" ref="EK276:EK323" si="4082">IF(BE276="","","|n"&amp;EK$2&amp;"+"&amp;BE276&amp;EK$1)</f>
        <v/>
      </c>
      <c r="EL276" s="72" t="str">
        <f t="shared" ref="EL276:EL323" si="4083">IF(BF276="","","|n"&amp;EL$2&amp;"+"&amp;BF276&amp;EL$1)</f>
        <v/>
      </c>
      <c r="EM276" s="72" t="str">
        <f t="shared" ref="EM276:EM323" si="4084">IF(BG276="","","|n"&amp;EM$2&amp;"+"&amp;BG276&amp;EM$1)</f>
        <v/>
      </c>
      <c r="EN276" s="72" t="str">
        <f t="shared" ref="EN276:EN323" si="4085">IF(BH276="","","|n"&amp;EN$2&amp;"+"&amp;BH276&amp;EN$1)</f>
        <v/>
      </c>
      <c r="EO276" s="72" t="str">
        <f t="shared" ref="EO276:EO323" si="4086">IF(BI276="","","|n"&amp;EO$2&amp;"+"&amp;BI276&amp;EO$1)</f>
        <v/>
      </c>
      <c r="EP276" s="72" t="str">
        <f t="shared" ref="EP276:EP323" si="4087">IF(BJ276="","","|n"&amp;EP$2&amp;"+"&amp;BJ276&amp;EP$1)</f>
        <v/>
      </c>
      <c r="EQ276" s="72" t="str">
        <f t="shared" ref="EQ276:EQ323" si="4088">IF(BK276="","","|n"&amp;EQ$2&amp;"+"&amp;BK276&amp;EQ$1)</f>
        <v/>
      </c>
      <c r="ER276" s="72" t="str">
        <f t="shared" ref="ER276:ER323" si="4089">IF(BL276="","","|n"&amp;ER$2&amp;"+"&amp;BL276&amp;ER$1)</f>
        <v/>
      </c>
      <c r="ES276" s="72" t="str">
        <f t="shared" ref="ES276:ES323" si="4090">IF(BM276="","","|n"&amp;ES$2&amp;"+"&amp;BM276&amp;ES$1)</f>
        <v/>
      </c>
      <c r="ET276" s="72" t="str">
        <f t="shared" ref="ET276:ET323" si="4091">IF(BN276="","","|n"&amp;ET$2&amp;"+"&amp;BN276&amp;ET$1)</f>
        <v/>
      </c>
      <c r="EU276" s="72" t="str">
        <f t="shared" ref="EU276:EU323" si="4092">IF(BO276="","","|n"&amp;EU$2&amp;"+"&amp;BO276&amp;EU$1)</f>
        <v/>
      </c>
      <c r="EV276" s="72" t="str">
        <f t="shared" ref="EV276:EV323" si="4093">IF(BP276="","","|n"&amp;EV$2&amp;"+"&amp;BP276&amp;EV$1)</f>
        <v/>
      </c>
      <c r="EW276" s="72" t="str">
        <f t="shared" ref="EW276:EW323" si="4094">IF(BQ276="","","|n"&amp;EW$2&amp;"+"&amp;BQ276&amp;EW$1)</f>
        <v/>
      </c>
      <c r="EX276" s="72" t="str">
        <f t="shared" ref="EX276:EX323" si="4095">IF(BR276="","","|n"&amp;EX$2&amp;"+"&amp;BR276&amp;EX$1)</f>
        <v/>
      </c>
      <c r="EY276" s="72" t="str">
        <f t="shared" ref="EY276:EY323" si="4096">IF(BS276="","","|n"&amp;EY$2&amp;"+"&amp;BS276&amp;EY$1)</f>
        <v/>
      </c>
      <c r="EZ276" s="72" t="str">
        <f t="shared" ref="EZ276:EZ323" si="4097">IF(BT276="","","|n"&amp;EZ$2&amp;"+"&amp;BT276&amp;EZ$1)</f>
        <v/>
      </c>
      <c r="FA276" s="72" t="str">
        <f t="shared" ref="FA276:FA323" si="4098">IF(BU276="","","|n"&amp;FA$2&amp;"+"&amp;BU276&amp;FA$1)</f>
        <v/>
      </c>
      <c r="FB276" s="72" t="str">
        <f t="shared" ref="FB276:FB323" si="4099">IF(BV276="","","|n"&amp;FB$2&amp;"+"&amp;BV276&amp;FB$1)</f>
        <v/>
      </c>
      <c r="FC276" s="72" t="str">
        <f t="shared" ref="FC276:FC323" si="4100">IF(BW276="","","|n"&amp;FC$2&amp;"+"&amp;BW276&amp;FC$1)</f>
        <v/>
      </c>
      <c r="FD276" s="72" t="str">
        <f t="shared" ref="FD276:FD323" si="4101">IF(BX276="","","|n"&amp;FD$2&amp;"+"&amp;BX276&amp;FD$1)</f>
        <v/>
      </c>
      <c r="FE276" s="72" t="str">
        <f t="shared" ref="FE276:FE323" si="4102">IF(BY276="","","|n"&amp;FE$2&amp;"+"&amp;BY276&amp;FE$1)</f>
        <v/>
      </c>
      <c r="FF276" s="72" t="str">
        <f t="shared" ref="FF276:FF323" si="4103">IF(BZ276="","","|n"&amp;FF$2&amp;"+"&amp;BZ276&amp;FF$1)</f>
        <v/>
      </c>
      <c r="FG276" s="72" t="str">
        <f t="shared" ref="FG276:FG323" si="4104">IF(CA276="","","|n"&amp;FG$2&amp;"+"&amp;CA276&amp;FG$1)</f>
        <v/>
      </c>
      <c r="FH276" s="72" t="str">
        <f t="shared" ref="FH276:FH323" si="4105">IF(CB276="","","|n"&amp;FH$2&amp;"+"&amp;CB276&amp;FH$1)</f>
        <v/>
      </c>
      <c r="FI276" s="72" t="str">
        <f t="shared" ref="FI276:FI323" si="4106">IF(CC276="","","|n"&amp;FI$2&amp;"+"&amp;CC276&amp;FI$1)</f>
        <v/>
      </c>
      <c r="FJ276" s="72" t="str">
        <f t="shared" ref="FJ276:FJ323" si="4107">IF(CD276="","","|n"&amp;FJ$2&amp;"+"&amp;CD276&amp;FJ$1)</f>
        <v/>
      </c>
      <c r="FK276" s="72" t="str">
        <f t="shared" ref="FK276:FK323" si="4108">IF(CE276="","","|n"&amp;FK$2&amp;"+"&amp;CE276&amp;FK$1)</f>
        <v/>
      </c>
      <c r="FL276" s="72" t="str">
        <f t="shared" ref="FL276:FL323" si="4109">IF(CF276="","","|n"&amp;FL$2&amp;"+"&amp;CF276&amp;FL$1)</f>
        <v/>
      </c>
      <c r="FM276" s="72" t="str">
        <f t="shared" ref="FM276:FM323" si="4110">IF(CG276="","","|n"&amp;FM$2&amp;"+"&amp;CG276&amp;FM$1)</f>
        <v/>
      </c>
      <c r="FN276" s="72" t="str">
        <f t="shared" ref="FN276:FN323" si="4111">IF(CH276="","","|n"&amp;FN$2&amp;"+"&amp;CH276&amp;FN$1)</f>
        <v/>
      </c>
      <c r="FO276" s="72" t="str">
        <f t="shared" ref="FO276:FO323" si="4112">IF(CI276="","","|n"&amp;FO$2&amp;"+"&amp;CI276&amp;FO$1)</f>
        <v/>
      </c>
      <c r="FP276" s="72" t="str">
        <f t="shared" ref="FP276:FP323" si="4113">IF(CJ276="","","|n"&amp;FP$2&amp;"+"&amp;CJ276&amp;FP$1)</f>
        <v/>
      </c>
      <c r="FQ276" s="72" t="str">
        <f t="shared" ref="FQ276:FQ323" si="4114">IF(CK276="","","|n"&amp;FQ$2&amp;"+"&amp;CK276&amp;FQ$1)</f>
        <v/>
      </c>
      <c r="FR276" s="72" t="str">
        <f t="shared" ref="FR276:FR323" si="4115">IF(CL276="","","|n"&amp;FR$2&amp;"+"&amp;CL276&amp;FR$1)</f>
        <v/>
      </c>
      <c r="FS276" s="72" t="str">
        <f t="shared" ref="FS276:FS323" si="4116">IF(CM276="","","|n"&amp;FS$2&amp;"+"&amp;CM276&amp;FS$1)</f>
        <v/>
      </c>
    </row>
    <row r="277" spans="1:175">
      <c r="A277" s="82"/>
      <c r="B277" s="82" t="s">
        <v>867</v>
      </c>
      <c r="C277" s="71" t="s">
        <v>843</v>
      </c>
      <c r="T277" s="150"/>
      <c r="U277" s="88"/>
      <c r="CN277" s="70" t="str">
        <f t="shared" si="3970"/>
        <v>InitUnitState('IF25',,,,,,,,,,)</v>
      </c>
      <c r="CO277" s="70" t="str">
        <f t="shared" si="3971"/>
        <v>InitUnitNormal('IF25',,,,,,,,,,)</v>
      </c>
      <c r="CP277" s="70" t="str">
        <f t="shared" si="3972"/>
        <v>InitUnitMagic('IF25',,,,,,,,,,)</v>
      </c>
      <c r="CQ277" s="70" t="str">
        <f t="shared" si="3973"/>
        <v>InitUnitAdd('IF25',,,,,,,,,,)</v>
      </c>
      <c r="CR277" s="70" t="str">
        <f t="shared" si="3974"/>
        <v>InitEquipData('IF25',,"",,,,,'','','','','','',"")</v>
      </c>
      <c r="CU277" s="98" t="str">
        <f t="shared" si="4046"/>
        <v>|n</v>
      </c>
      <c r="CW277" s="61"/>
      <c r="CX277" s="61"/>
      <c r="CY277" s="61"/>
      <c r="CZ277" s="61"/>
      <c r="DA277" s="61"/>
      <c r="DB277" s="72" t="str">
        <f t="shared" si="4047"/>
        <v/>
      </c>
      <c r="DC277" s="72" t="str">
        <f t="shared" si="4048"/>
        <v/>
      </c>
      <c r="DD277" s="72" t="str">
        <f t="shared" si="4049"/>
        <v/>
      </c>
      <c r="DE277" s="72" t="str">
        <f t="shared" si="4050"/>
        <v/>
      </c>
      <c r="DF277" s="72" t="str">
        <f t="shared" si="4051"/>
        <v/>
      </c>
      <c r="DG277" s="72" t="str">
        <f t="shared" si="4052"/>
        <v/>
      </c>
      <c r="DH277" s="72" t="str">
        <f t="shared" si="4053"/>
        <v/>
      </c>
      <c r="DI277" s="72" t="str">
        <f t="shared" si="4054"/>
        <v/>
      </c>
      <c r="DJ277" s="72" t="str">
        <f t="shared" si="4055"/>
        <v/>
      </c>
      <c r="DK277" s="72" t="str">
        <f t="shared" si="4056"/>
        <v/>
      </c>
      <c r="DL277" s="72" t="str">
        <f t="shared" si="4057"/>
        <v/>
      </c>
      <c r="DM277" s="72" t="str">
        <f t="shared" si="4058"/>
        <v/>
      </c>
      <c r="DN277" s="72" t="str">
        <f t="shared" si="4059"/>
        <v/>
      </c>
      <c r="DO277" s="72" t="str">
        <f t="shared" si="4060"/>
        <v/>
      </c>
      <c r="DP277" s="72" t="str">
        <f t="shared" si="4061"/>
        <v/>
      </c>
      <c r="DQ277" s="72" t="str">
        <f t="shared" si="4062"/>
        <v/>
      </c>
      <c r="DR277" s="72" t="str">
        <f t="shared" si="4063"/>
        <v/>
      </c>
      <c r="DS277" s="72" t="str">
        <f t="shared" si="4064"/>
        <v/>
      </c>
      <c r="DT277" s="72" t="str">
        <f t="shared" si="4065"/>
        <v/>
      </c>
      <c r="DU277" s="72" t="str">
        <f t="shared" si="4066"/>
        <v/>
      </c>
      <c r="DV277" s="72" t="str">
        <f t="shared" si="4067"/>
        <v/>
      </c>
      <c r="DW277" s="72" t="str">
        <f t="shared" si="4068"/>
        <v/>
      </c>
      <c r="DX277" s="72" t="str">
        <f t="shared" si="4069"/>
        <v/>
      </c>
      <c r="DY277" s="72" t="str">
        <f t="shared" si="4070"/>
        <v/>
      </c>
      <c r="DZ277" s="72" t="str">
        <f t="shared" si="4071"/>
        <v/>
      </c>
      <c r="EA277" s="72" t="str">
        <f t="shared" si="4072"/>
        <v/>
      </c>
      <c r="EB277" s="72" t="str">
        <f t="shared" si="4073"/>
        <v/>
      </c>
      <c r="EC277" s="72" t="str">
        <f t="shared" si="4074"/>
        <v/>
      </c>
      <c r="ED277" s="72" t="str">
        <f t="shared" si="4075"/>
        <v/>
      </c>
      <c r="EE277" s="72" t="str">
        <f t="shared" si="4076"/>
        <v/>
      </c>
      <c r="EF277" s="72" t="str">
        <f t="shared" si="4077"/>
        <v/>
      </c>
      <c r="EG277" s="72" t="str">
        <f t="shared" si="4078"/>
        <v/>
      </c>
      <c r="EH277" s="72" t="str">
        <f t="shared" si="4079"/>
        <v/>
      </c>
      <c r="EI277" s="72" t="str">
        <f t="shared" si="4080"/>
        <v/>
      </c>
      <c r="EJ277" s="72" t="str">
        <f t="shared" si="4081"/>
        <v/>
      </c>
      <c r="EK277" s="72" t="str">
        <f t="shared" si="4082"/>
        <v/>
      </c>
      <c r="EL277" s="72" t="str">
        <f t="shared" si="4083"/>
        <v/>
      </c>
      <c r="EM277" s="72" t="str">
        <f t="shared" si="4084"/>
        <v/>
      </c>
      <c r="EN277" s="72" t="str">
        <f t="shared" si="4085"/>
        <v/>
      </c>
      <c r="EO277" s="72" t="str">
        <f t="shared" si="4086"/>
        <v/>
      </c>
      <c r="EP277" s="72" t="str">
        <f t="shared" si="4087"/>
        <v/>
      </c>
      <c r="EQ277" s="72" t="str">
        <f t="shared" si="4088"/>
        <v/>
      </c>
      <c r="ER277" s="72" t="str">
        <f t="shared" si="4089"/>
        <v/>
      </c>
      <c r="ES277" s="72" t="str">
        <f t="shared" si="4090"/>
        <v/>
      </c>
      <c r="ET277" s="72" t="str">
        <f t="shared" si="4091"/>
        <v/>
      </c>
      <c r="EU277" s="72" t="str">
        <f t="shared" si="4092"/>
        <v/>
      </c>
      <c r="EV277" s="72" t="str">
        <f t="shared" si="4093"/>
        <v/>
      </c>
      <c r="EW277" s="72" t="str">
        <f t="shared" si="4094"/>
        <v/>
      </c>
      <c r="EX277" s="72" t="str">
        <f t="shared" si="4095"/>
        <v/>
      </c>
      <c r="EY277" s="72" t="str">
        <f t="shared" si="4096"/>
        <v/>
      </c>
      <c r="EZ277" s="72" t="str">
        <f t="shared" si="4097"/>
        <v/>
      </c>
      <c r="FA277" s="72" t="str">
        <f t="shared" si="4098"/>
        <v/>
      </c>
      <c r="FB277" s="72" t="str">
        <f t="shared" si="4099"/>
        <v/>
      </c>
      <c r="FC277" s="72" t="str">
        <f t="shared" si="4100"/>
        <v/>
      </c>
      <c r="FD277" s="72" t="str">
        <f t="shared" si="4101"/>
        <v/>
      </c>
      <c r="FE277" s="72" t="str">
        <f t="shared" si="4102"/>
        <v/>
      </c>
      <c r="FF277" s="72" t="str">
        <f t="shared" si="4103"/>
        <v/>
      </c>
      <c r="FG277" s="72" t="str">
        <f t="shared" si="4104"/>
        <v/>
      </c>
      <c r="FH277" s="72" t="str">
        <f t="shared" si="4105"/>
        <v/>
      </c>
      <c r="FI277" s="72" t="str">
        <f t="shared" si="4106"/>
        <v/>
      </c>
      <c r="FJ277" s="72" t="str">
        <f t="shared" si="4107"/>
        <v/>
      </c>
      <c r="FK277" s="72" t="str">
        <f t="shared" si="4108"/>
        <v/>
      </c>
      <c r="FL277" s="72" t="str">
        <f t="shared" si="4109"/>
        <v/>
      </c>
      <c r="FM277" s="72" t="str">
        <f t="shared" si="4110"/>
        <v/>
      </c>
      <c r="FN277" s="72" t="str">
        <f t="shared" si="4111"/>
        <v/>
      </c>
      <c r="FO277" s="72" t="str">
        <f t="shared" si="4112"/>
        <v/>
      </c>
      <c r="FP277" s="72" t="str">
        <f t="shared" si="4113"/>
        <v/>
      </c>
      <c r="FQ277" s="72" t="str">
        <f t="shared" si="4114"/>
        <v/>
      </c>
      <c r="FR277" s="72" t="str">
        <f t="shared" si="4115"/>
        <v/>
      </c>
      <c r="FS277" s="72" t="str">
        <f t="shared" si="4116"/>
        <v/>
      </c>
    </row>
    <row r="278" spans="1:175">
      <c r="A278" s="82"/>
      <c r="B278" s="82" t="s">
        <v>868</v>
      </c>
      <c r="C278" s="71" t="s">
        <v>843</v>
      </c>
      <c r="T278" s="150"/>
      <c r="U278" s="88"/>
      <c r="CN278" s="70" t="str">
        <f t="shared" si="3970"/>
        <v>InitUnitState('IF26',,,,,,,,,,)</v>
      </c>
      <c r="CO278" s="70" t="str">
        <f t="shared" si="3971"/>
        <v>InitUnitNormal('IF26',,,,,,,,,,)</v>
      </c>
      <c r="CP278" s="70" t="str">
        <f t="shared" si="3972"/>
        <v>InitUnitMagic('IF26',,,,,,,,,,)</v>
      </c>
      <c r="CQ278" s="70" t="str">
        <f t="shared" si="3973"/>
        <v>InitUnitAdd('IF26',,,,,,,,,,)</v>
      </c>
      <c r="CR278" s="70" t="str">
        <f t="shared" si="3974"/>
        <v>InitEquipData('IF26',,"",,,,,'','','','','','',"")</v>
      </c>
      <c r="CU278" s="98" t="str">
        <f t="shared" si="4046"/>
        <v>|n</v>
      </c>
      <c r="CW278" s="61"/>
      <c r="CX278" s="61"/>
      <c r="CY278" s="61"/>
      <c r="CZ278" s="61"/>
      <c r="DA278" s="61"/>
      <c r="DB278" s="72" t="str">
        <f t="shared" si="4047"/>
        <v/>
      </c>
      <c r="DC278" s="72" t="str">
        <f t="shared" si="4048"/>
        <v/>
      </c>
      <c r="DD278" s="72" t="str">
        <f t="shared" si="4049"/>
        <v/>
      </c>
      <c r="DE278" s="72" t="str">
        <f t="shared" si="4050"/>
        <v/>
      </c>
      <c r="DF278" s="72" t="str">
        <f t="shared" si="4051"/>
        <v/>
      </c>
      <c r="DG278" s="72" t="str">
        <f t="shared" si="4052"/>
        <v/>
      </c>
      <c r="DH278" s="72" t="str">
        <f t="shared" si="4053"/>
        <v/>
      </c>
      <c r="DI278" s="72" t="str">
        <f t="shared" si="4054"/>
        <v/>
      </c>
      <c r="DJ278" s="72" t="str">
        <f t="shared" si="4055"/>
        <v/>
      </c>
      <c r="DK278" s="72" t="str">
        <f t="shared" si="4056"/>
        <v/>
      </c>
      <c r="DL278" s="72" t="str">
        <f t="shared" si="4057"/>
        <v/>
      </c>
      <c r="DM278" s="72" t="str">
        <f t="shared" si="4058"/>
        <v/>
      </c>
      <c r="DN278" s="72" t="str">
        <f t="shared" si="4059"/>
        <v/>
      </c>
      <c r="DO278" s="72" t="str">
        <f t="shared" si="4060"/>
        <v/>
      </c>
      <c r="DP278" s="72" t="str">
        <f t="shared" si="4061"/>
        <v/>
      </c>
      <c r="DQ278" s="72" t="str">
        <f t="shared" si="4062"/>
        <v/>
      </c>
      <c r="DR278" s="72" t="str">
        <f t="shared" si="4063"/>
        <v/>
      </c>
      <c r="DS278" s="72" t="str">
        <f t="shared" si="4064"/>
        <v/>
      </c>
      <c r="DT278" s="72" t="str">
        <f t="shared" si="4065"/>
        <v/>
      </c>
      <c r="DU278" s="72" t="str">
        <f t="shared" si="4066"/>
        <v/>
      </c>
      <c r="DV278" s="72" t="str">
        <f t="shared" si="4067"/>
        <v/>
      </c>
      <c r="DW278" s="72" t="str">
        <f t="shared" si="4068"/>
        <v/>
      </c>
      <c r="DX278" s="72" t="str">
        <f t="shared" si="4069"/>
        <v/>
      </c>
      <c r="DY278" s="72" t="str">
        <f t="shared" si="4070"/>
        <v/>
      </c>
      <c r="DZ278" s="72" t="str">
        <f t="shared" si="4071"/>
        <v/>
      </c>
      <c r="EA278" s="72" t="str">
        <f t="shared" si="4072"/>
        <v/>
      </c>
      <c r="EB278" s="72" t="str">
        <f t="shared" si="4073"/>
        <v/>
      </c>
      <c r="EC278" s="72" t="str">
        <f t="shared" si="4074"/>
        <v/>
      </c>
      <c r="ED278" s="72" t="str">
        <f t="shared" si="4075"/>
        <v/>
      </c>
      <c r="EE278" s="72" t="str">
        <f t="shared" si="4076"/>
        <v/>
      </c>
      <c r="EF278" s="72" t="str">
        <f t="shared" si="4077"/>
        <v/>
      </c>
      <c r="EG278" s="72" t="str">
        <f t="shared" si="4078"/>
        <v/>
      </c>
      <c r="EH278" s="72" t="str">
        <f t="shared" si="4079"/>
        <v/>
      </c>
      <c r="EI278" s="72" t="str">
        <f t="shared" si="4080"/>
        <v/>
      </c>
      <c r="EJ278" s="72" t="str">
        <f t="shared" si="4081"/>
        <v/>
      </c>
      <c r="EK278" s="72" t="str">
        <f t="shared" si="4082"/>
        <v/>
      </c>
      <c r="EL278" s="72" t="str">
        <f t="shared" si="4083"/>
        <v/>
      </c>
      <c r="EM278" s="72" t="str">
        <f t="shared" si="4084"/>
        <v/>
      </c>
      <c r="EN278" s="72" t="str">
        <f t="shared" si="4085"/>
        <v/>
      </c>
      <c r="EO278" s="72" t="str">
        <f t="shared" si="4086"/>
        <v/>
      </c>
      <c r="EP278" s="72" t="str">
        <f t="shared" si="4087"/>
        <v/>
      </c>
      <c r="EQ278" s="72" t="str">
        <f t="shared" si="4088"/>
        <v/>
      </c>
      <c r="ER278" s="72" t="str">
        <f t="shared" si="4089"/>
        <v/>
      </c>
      <c r="ES278" s="72" t="str">
        <f t="shared" si="4090"/>
        <v/>
      </c>
      <c r="ET278" s="72" t="str">
        <f t="shared" si="4091"/>
        <v/>
      </c>
      <c r="EU278" s="72" t="str">
        <f t="shared" si="4092"/>
        <v/>
      </c>
      <c r="EV278" s="72" t="str">
        <f t="shared" si="4093"/>
        <v/>
      </c>
      <c r="EW278" s="72" t="str">
        <f t="shared" si="4094"/>
        <v/>
      </c>
      <c r="EX278" s="72" t="str">
        <f t="shared" si="4095"/>
        <v/>
      </c>
      <c r="EY278" s="72" t="str">
        <f t="shared" si="4096"/>
        <v/>
      </c>
      <c r="EZ278" s="72" t="str">
        <f t="shared" si="4097"/>
        <v/>
      </c>
      <c r="FA278" s="72" t="str">
        <f t="shared" si="4098"/>
        <v/>
      </c>
      <c r="FB278" s="72" t="str">
        <f t="shared" si="4099"/>
        <v/>
      </c>
      <c r="FC278" s="72" t="str">
        <f t="shared" si="4100"/>
        <v/>
      </c>
      <c r="FD278" s="72" t="str">
        <f t="shared" si="4101"/>
        <v/>
      </c>
      <c r="FE278" s="72" t="str">
        <f t="shared" si="4102"/>
        <v/>
      </c>
      <c r="FF278" s="72" t="str">
        <f t="shared" si="4103"/>
        <v/>
      </c>
      <c r="FG278" s="72" t="str">
        <f t="shared" si="4104"/>
        <v/>
      </c>
      <c r="FH278" s="72" t="str">
        <f t="shared" si="4105"/>
        <v/>
      </c>
      <c r="FI278" s="72" t="str">
        <f t="shared" si="4106"/>
        <v/>
      </c>
      <c r="FJ278" s="72" t="str">
        <f t="shared" si="4107"/>
        <v/>
      </c>
      <c r="FK278" s="72" t="str">
        <f t="shared" si="4108"/>
        <v/>
      </c>
      <c r="FL278" s="72" t="str">
        <f t="shared" si="4109"/>
        <v/>
      </c>
      <c r="FM278" s="72" t="str">
        <f t="shared" si="4110"/>
        <v/>
      </c>
      <c r="FN278" s="72" t="str">
        <f t="shared" si="4111"/>
        <v/>
      </c>
      <c r="FO278" s="72" t="str">
        <f t="shared" si="4112"/>
        <v/>
      </c>
      <c r="FP278" s="72" t="str">
        <f t="shared" si="4113"/>
        <v/>
      </c>
      <c r="FQ278" s="72" t="str">
        <f t="shared" si="4114"/>
        <v/>
      </c>
      <c r="FR278" s="72" t="str">
        <f t="shared" si="4115"/>
        <v/>
      </c>
      <c r="FS278" s="72" t="str">
        <f t="shared" si="4116"/>
        <v/>
      </c>
    </row>
    <row r="279" spans="1:175">
      <c r="A279" s="82"/>
      <c r="B279" s="82" t="s">
        <v>869</v>
      </c>
      <c r="C279" s="71" t="s">
        <v>843</v>
      </c>
      <c r="T279" s="150"/>
      <c r="U279" s="88"/>
      <c r="CN279" s="70" t="str">
        <f t="shared" si="3970"/>
        <v>InitUnitState('IF27',,,,,,,,,,)</v>
      </c>
      <c r="CO279" s="70" t="str">
        <f t="shared" si="3971"/>
        <v>InitUnitNormal('IF27',,,,,,,,,,)</v>
      </c>
      <c r="CP279" s="70" t="str">
        <f t="shared" si="3972"/>
        <v>InitUnitMagic('IF27',,,,,,,,,,)</v>
      </c>
      <c r="CQ279" s="70" t="str">
        <f t="shared" si="3973"/>
        <v>InitUnitAdd('IF27',,,,,,,,,,)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286&amp;CR$1&amp;")"</f>
        <v>InitEquipData('IF27',,"",,,,,'','','','','','',"")</v>
      </c>
      <c r="CU279" s="98" t="str">
        <f t="shared" si="4046"/>
        <v>|n</v>
      </c>
      <c r="CW279" s="61"/>
      <c r="CX279" s="61"/>
      <c r="CY279" s="61"/>
      <c r="CZ279" s="61"/>
      <c r="DA279" s="61"/>
      <c r="DB279" s="72" t="str">
        <f t="shared" si="4047"/>
        <v/>
      </c>
      <c r="DC279" s="72" t="str">
        <f t="shared" si="4048"/>
        <v/>
      </c>
      <c r="DD279" s="72" t="str">
        <f t="shared" si="4049"/>
        <v/>
      </c>
      <c r="DE279" s="72" t="str">
        <f t="shared" si="4050"/>
        <v/>
      </c>
      <c r="DF279" s="72" t="str">
        <f t="shared" si="4051"/>
        <v/>
      </c>
      <c r="DG279" s="72" t="str">
        <f t="shared" si="4052"/>
        <v/>
      </c>
      <c r="DH279" s="72" t="str">
        <f t="shared" si="4053"/>
        <v/>
      </c>
      <c r="DI279" s="72" t="str">
        <f t="shared" si="4054"/>
        <v/>
      </c>
      <c r="DJ279" s="72" t="str">
        <f t="shared" si="4055"/>
        <v/>
      </c>
      <c r="DK279" s="72" t="str">
        <f t="shared" si="4056"/>
        <v/>
      </c>
      <c r="DL279" s="72" t="str">
        <f t="shared" si="4057"/>
        <v/>
      </c>
      <c r="DM279" s="72" t="str">
        <f t="shared" si="4058"/>
        <v/>
      </c>
      <c r="DN279" s="72" t="str">
        <f t="shared" si="4059"/>
        <v/>
      </c>
      <c r="DO279" s="72" t="str">
        <f t="shared" si="4060"/>
        <v/>
      </c>
      <c r="DP279" s="72" t="str">
        <f t="shared" si="4061"/>
        <v/>
      </c>
      <c r="DQ279" s="72" t="str">
        <f t="shared" si="4062"/>
        <v/>
      </c>
      <c r="DR279" s="72" t="str">
        <f t="shared" si="4063"/>
        <v/>
      </c>
      <c r="DS279" s="72" t="str">
        <f t="shared" si="4064"/>
        <v/>
      </c>
      <c r="DT279" s="72" t="str">
        <f t="shared" si="4065"/>
        <v/>
      </c>
      <c r="DU279" s="72" t="str">
        <f t="shared" si="4066"/>
        <v/>
      </c>
      <c r="DV279" s="72" t="str">
        <f t="shared" si="4067"/>
        <v/>
      </c>
      <c r="DW279" s="72" t="str">
        <f t="shared" si="4068"/>
        <v/>
      </c>
      <c r="DX279" s="72" t="str">
        <f t="shared" si="4069"/>
        <v/>
      </c>
      <c r="DY279" s="72" t="str">
        <f t="shared" si="4070"/>
        <v/>
      </c>
      <c r="DZ279" s="72" t="str">
        <f t="shared" si="4071"/>
        <v/>
      </c>
      <c r="EA279" s="72" t="str">
        <f t="shared" si="4072"/>
        <v/>
      </c>
      <c r="EB279" s="72" t="str">
        <f t="shared" si="4073"/>
        <v/>
      </c>
      <c r="EC279" s="72" t="str">
        <f t="shared" si="4074"/>
        <v/>
      </c>
      <c r="ED279" s="72" t="str">
        <f t="shared" si="4075"/>
        <v/>
      </c>
      <c r="EE279" s="72" t="str">
        <f t="shared" si="4076"/>
        <v/>
      </c>
      <c r="EF279" s="72" t="str">
        <f t="shared" si="4077"/>
        <v/>
      </c>
      <c r="EG279" s="72" t="str">
        <f t="shared" si="4078"/>
        <v/>
      </c>
      <c r="EH279" s="72" t="str">
        <f t="shared" si="4079"/>
        <v/>
      </c>
      <c r="EI279" s="72" t="str">
        <f t="shared" si="4080"/>
        <v/>
      </c>
      <c r="EJ279" s="72" t="str">
        <f t="shared" si="4081"/>
        <v/>
      </c>
      <c r="EK279" s="72" t="str">
        <f t="shared" si="4082"/>
        <v/>
      </c>
      <c r="EL279" s="72" t="str">
        <f t="shared" si="4083"/>
        <v/>
      </c>
      <c r="EM279" s="72" t="str">
        <f t="shared" si="4084"/>
        <v/>
      </c>
      <c r="EN279" s="72" t="str">
        <f t="shared" si="4085"/>
        <v/>
      </c>
      <c r="EO279" s="72" t="str">
        <f t="shared" si="4086"/>
        <v/>
      </c>
      <c r="EP279" s="72" t="str">
        <f t="shared" si="4087"/>
        <v/>
      </c>
      <c r="EQ279" s="72" t="str">
        <f t="shared" si="4088"/>
        <v/>
      </c>
      <c r="ER279" s="72" t="str">
        <f t="shared" si="4089"/>
        <v/>
      </c>
      <c r="ES279" s="72" t="str">
        <f t="shared" si="4090"/>
        <v/>
      </c>
      <c r="ET279" s="72" t="str">
        <f t="shared" si="4091"/>
        <v/>
      </c>
      <c r="EU279" s="72" t="str">
        <f t="shared" si="4092"/>
        <v/>
      </c>
      <c r="EV279" s="72" t="str">
        <f t="shared" si="4093"/>
        <v/>
      </c>
      <c r="EW279" s="72" t="str">
        <f t="shared" si="4094"/>
        <v/>
      </c>
      <c r="EX279" s="72" t="str">
        <f t="shared" si="4095"/>
        <v/>
      </c>
      <c r="EY279" s="72" t="str">
        <f t="shared" si="4096"/>
        <v/>
      </c>
      <c r="EZ279" s="72" t="str">
        <f t="shared" si="4097"/>
        <v/>
      </c>
      <c r="FA279" s="72" t="str">
        <f t="shared" si="4098"/>
        <v/>
      </c>
      <c r="FB279" s="72" t="str">
        <f t="shared" si="4099"/>
        <v/>
      </c>
      <c r="FC279" s="72" t="str">
        <f t="shared" si="4100"/>
        <v/>
      </c>
      <c r="FD279" s="72" t="str">
        <f t="shared" si="4101"/>
        <v/>
      </c>
      <c r="FE279" s="72" t="str">
        <f t="shared" si="4102"/>
        <v/>
      </c>
      <c r="FF279" s="72" t="str">
        <f t="shared" si="4103"/>
        <v/>
      </c>
      <c r="FG279" s="72" t="str">
        <f t="shared" si="4104"/>
        <v/>
      </c>
      <c r="FH279" s="72" t="str">
        <f t="shared" si="4105"/>
        <v/>
      </c>
      <c r="FI279" s="72" t="str">
        <f t="shared" si="4106"/>
        <v/>
      </c>
      <c r="FJ279" s="72" t="str">
        <f t="shared" si="4107"/>
        <v/>
      </c>
      <c r="FK279" s="72" t="str">
        <f t="shared" si="4108"/>
        <v/>
      </c>
      <c r="FL279" s="72" t="str">
        <f t="shared" si="4109"/>
        <v/>
      </c>
      <c r="FM279" s="72" t="str">
        <f t="shared" si="4110"/>
        <v/>
      </c>
      <c r="FN279" s="72" t="str">
        <f t="shared" si="4111"/>
        <v/>
      </c>
      <c r="FO279" s="72" t="str">
        <f t="shared" si="4112"/>
        <v/>
      </c>
      <c r="FP279" s="72" t="str">
        <f t="shared" si="4113"/>
        <v/>
      </c>
      <c r="FQ279" s="72" t="str">
        <f t="shared" si="4114"/>
        <v/>
      </c>
      <c r="FR279" s="72" t="str">
        <f t="shared" si="4115"/>
        <v/>
      </c>
      <c r="FS279" s="72" t="str">
        <f t="shared" si="4116"/>
        <v/>
      </c>
    </row>
    <row r="280" spans="1:175">
      <c r="A280" s="82"/>
      <c r="B280" s="82" t="s">
        <v>870</v>
      </c>
      <c r="C280" s="71" t="s">
        <v>843</v>
      </c>
      <c r="T280" s="150"/>
      <c r="U280" s="88"/>
      <c r="CN280" s="70" t="str">
        <f t="shared" ref="CN280:CN285" si="4117">"InitUnitState('"&amp;B280&amp;"',"&amp;V280&amp;","&amp;W280&amp;","&amp;X280&amp;","&amp;Y280&amp;","&amp;Z280&amp;","&amp;AA280&amp;","&amp;AB280&amp;","&amp;AC280&amp;","&amp;AD280&amp;","&amp;AE280&amp;")"</f>
        <v>InitUnitState('IF28',,,,,,,,,,)</v>
      </c>
      <c r="CO280" s="70" t="str">
        <f t="shared" ref="CO280:CO285" si="4118">"InitUnitNormal('"&amp;B280&amp;"',"&amp;AF280&amp;","&amp;AG280&amp;","&amp;AH280&amp;","&amp;AI280&amp;","&amp;AJ280&amp;","&amp;AK280&amp;","&amp;AL280&amp;","&amp;AM280&amp;","&amp;AN280&amp;","&amp;AO280&amp;")"</f>
        <v>InitUnitNormal('IF28',,,,,,,,,,)</v>
      </c>
      <c r="CP280" s="70" t="str">
        <f t="shared" ref="CP280:CP285" si="4119">"InitUnitMagic('"&amp;B280&amp;"',"&amp;AP280&amp;","&amp;AQ280&amp;","&amp;AR280&amp;","&amp;AS280&amp;","&amp;AT280&amp;","&amp;AU280&amp;","&amp;AV280&amp;","&amp;AW280&amp;","&amp;BI280&amp;","&amp;BJ280&amp;")"</f>
        <v>InitUnitMagic('IF28',,,,,,,,,,)</v>
      </c>
      <c r="CQ280" s="70" t="str">
        <f t="shared" ref="CQ280:CQ285" si="4120">"InitUnitAdd('"&amp;B280&amp;"',"&amp;BK280&amp;","&amp;BL280&amp;","&amp;BM280&amp;","&amp;BN280&amp;","&amp;BO280&amp;","&amp;BP280&amp;","&amp;BQ280&amp;","&amp;BR280&amp;","&amp;BS280&amp;","&amp;BT280&amp;")"</f>
        <v>InitUnitAdd('IF28',,,,,,,,,,)</v>
      </c>
      <c r="CR280" s="70" t="str">
        <f t="shared" ref="CR280:CR282" si="4121"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281&amp;CR$1&amp;")"</f>
        <v>InitEquipData('IF28',,"",,,,,'','','','','','',"")</v>
      </c>
      <c r="CU280" s="98" t="str">
        <f t="shared" ref="CU280:CU285" si="4122">CONCATENATE(DB280,DC280,DD280,DE280,DF280,DG280,DH280,DI280,DJ280,DK280,DL280,DM280,DN280,DO280,DP280,DQ280,DR280,DS280,DT280,DU280,DV280,DW280,DX280,DY280,DZ280,EA280,EB280,EC280,ED280,EE280,EF280,EG280,EH280,EI280,EJ280,EK280,EL280,EM280,EN280,EO280,EP280&amp;"|n")</f>
        <v>|n</v>
      </c>
      <c r="CW280" s="61"/>
      <c r="CX280" s="61"/>
      <c r="CY280" s="61"/>
      <c r="CZ280" s="61"/>
      <c r="DA280" s="61"/>
      <c r="DB280" s="72" t="str">
        <f t="shared" ref="DB280:DB285" si="4123">IF(V280="","","|n"&amp;DB$2&amp;"+"&amp;V280&amp;DB$1)</f>
        <v/>
      </c>
      <c r="DC280" s="72" t="str">
        <f t="shared" ref="DC280:DC285" si="4124">IF(W280="","","|n"&amp;DC$2&amp;"+"&amp;W280&amp;DC$1)</f>
        <v/>
      </c>
      <c r="DD280" s="72" t="str">
        <f t="shared" ref="DD280:DD285" si="4125">IF(X280="","","|n"&amp;DD$2&amp;"+"&amp;X280&amp;DD$1)</f>
        <v/>
      </c>
      <c r="DE280" s="72" t="str">
        <f t="shared" ref="DE280:DE285" si="4126">IF(Y280="","","|n"&amp;DE$2&amp;"+"&amp;Y280&amp;DE$1)</f>
        <v/>
      </c>
      <c r="DF280" s="72" t="str">
        <f t="shared" ref="DF280:DF285" si="4127">IF(Z280="","","|n"&amp;DF$2&amp;"+"&amp;Z280&amp;DF$1)</f>
        <v/>
      </c>
      <c r="DG280" s="72" t="str">
        <f t="shared" ref="DG280:DG285" si="4128">IF(AA280="","","|n"&amp;DG$2&amp;"+"&amp;AA280&amp;DG$1)</f>
        <v/>
      </c>
      <c r="DH280" s="72" t="str">
        <f t="shared" ref="DH280:DH285" si="4129">IF(AB280="","","|n"&amp;DH$2&amp;"+"&amp;AB280&amp;DH$1)</f>
        <v/>
      </c>
      <c r="DI280" s="72" t="str">
        <f t="shared" ref="DI280:DI285" si="4130">IF(AC280="","","|n"&amp;DI$2&amp;"+"&amp;AC280&amp;DI$1)</f>
        <v/>
      </c>
      <c r="DJ280" s="72" t="str">
        <f t="shared" ref="DJ280:DJ285" si="4131">IF(AD280="","","|n"&amp;DJ$2&amp;"+"&amp;AD280&amp;DJ$1)</f>
        <v/>
      </c>
      <c r="DK280" s="72" t="str">
        <f t="shared" ref="DK280:DK285" si="4132">IF(AE280="","","|n"&amp;DK$2&amp;"+"&amp;AE280&amp;DK$1)</f>
        <v/>
      </c>
      <c r="DL280" s="72" t="str">
        <f t="shared" ref="DL280:DL285" si="4133">IF(AF280="","","|n"&amp;DL$2&amp;"+"&amp;AF280&amp;DL$1)</f>
        <v/>
      </c>
      <c r="DM280" s="72" t="str">
        <f t="shared" ref="DM280:DM285" si="4134">IF(AG280="","","|n"&amp;DM$2&amp;"+"&amp;AG280&amp;DM$1)</f>
        <v/>
      </c>
      <c r="DN280" s="72" t="str">
        <f t="shared" ref="DN280:DN285" si="4135">IF(AH280="","","|n"&amp;DN$2&amp;"+"&amp;AH280&amp;DN$1)</f>
        <v/>
      </c>
      <c r="DO280" s="72" t="str">
        <f t="shared" ref="DO280:DO285" si="4136">IF(AI280="","","|n"&amp;DO$2&amp;"+"&amp;AI280&amp;DO$1)</f>
        <v/>
      </c>
      <c r="DP280" s="72" t="str">
        <f t="shared" ref="DP280:DP285" si="4137">IF(AJ280="","","|n"&amp;DP$2&amp;"+"&amp;AJ280&amp;DP$1)</f>
        <v/>
      </c>
      <c r="DQ280" s="72" t="str">
        <f t="shared" ref="DQ280:DQ285" si="4138">IF(AK280="","","|n"&amp;DQ$2&amp;"+"&amp;AK280&amp;DQ$1)</f>
        <v/>
      </c>
      <c r="DR280" s="72" t="str">
        <f t="shared" ref="DR280:DR285" si="4139">IF(AL280="","","|n"&amp;DR$2&amp;"+"&amp;AL280&amp;DR$1)</f>
        <v/>
      </c>
      <c r="DS280" s="72" t="str">
        <f t="shared" ref="DS280:DS285" si="4140">IF(AM280="","","|n"&amp;DS$2&amp;"+"&amp;AM280&amp;DS$1)</f>
        <v/>
      </c>
      <c r="DT280" s="72" t="str">
        <f t="shared" ref="DT280:DT285" si="4141">IF(AN280="","","|n"&amp;DT$2&amp;"+"&amp;AN280&amp;DT$1)</f>
        <v/>
      </c>
      <c r="DU280" s="72" t="str">
        <f t="shared" ref="DU280:DU285" si="4142">IF(AO280="","","|n"&amp;DU$2&amp;"+"&amp;AO280&amp;DU$1)</f>
        <v/>
      </c>
      <c r="DV280" s="72" t="str">
        <f t="shared" ref="DV280:DV285" si="4143">IF(AP280="","","|n"&amp;DV$2&amp;"+"&amp;AP280&amp;DV$1)</f>
        <v/>
      </c>
      <c r="DW280" s="72" t="str">
        <f t="shared" ref="DW280:DW285" si="4144">IF(AQ280="","","|n"&amp;DW$2&amp;"+"&amp;AQ280&amp;DW$1)</f>
        <v/>
      </c>
      <c r="DX280" s="72" t="str">
        <f t="shared" ref="DX280:DX285" si="4145">IF(AR280="","","|n"&amp;DX$2&amp;"+"&amp;AR280&amp;DX$1)</f>
        <v/>
      </c>
      <c r="DY280" s="72" t="str">
        <f t="shared" ref="DY280:DY285" si="4146">IF(AS280="","","|n"&amp;DY$2&amp;"+"&amp;AS280&amp;DY$1)</f>
        <v/>
      </c>
      <c r="DZ280" s="72" t="str">
        <f t="shared" ref="DZ280:DZ285" si="4147">IF(AT280="","","|n"&amp;DZ$2&amp;"+"&amp;AT280&amp;DZ$1)</f>
        <v/>
      </c>
      <c r="EA280" s="72" t="str">
        <f t="shared" ref="EA280:EA285" si="4148">IF(AU280="","","|n"&amp;EA$2&amp;"+"&amp;AU280&amp;EA$1)</f>
        <v/>
      </c>
      <c r="EB280" s="72" t="str">
        <f t="shared" ref="EB280:EB285" si="4149">IF(AV280="","","|n"&amp;EB$2&amp;"+"&amp;AV280&amp;EB$1)</f>
        <v/>
      </c>
      <c r="EC280" s="72" t="str">
        <f t="shared" ref="EC280:EC285" si="4150">IF(AW280="","","|n"&amp;EC$2&amp;"+"&amp;AW280&amp;EC$1)</f>
        <v/>
      </c>
      <c r="ED280" s="72" t="str">
        <f t="shared" ref="ED280:ED285" si="4151">IF(AX280="","","|n"&amp;ED$2&amp;"+"&amp;AX280&amp;ED$1)</f>
        <v/>
      </c>
      <c r="EE280" s="72" t="str">
        <f t="shared" ref="EE280:EE285" si="4152">IF(AY280="","","|n"&amp;EE$2&amp;"+"&amp;AY280&amp;EE$1)</f>
        <v/>
      </c>
      <c r="EF280" s="72" t="str">
        <f t="shared" ref="EF280:EF285" si="4153">IF(AZ280="","","|n"&amp;EF$2&amp;"+"&amp;AZ280&amp;EF$1)</f>
        <v/>
      </c>
      <c r="EG280" s="72" t="str">
        <f t="shared" ref="EG280:EG285" si="4154">IF(BA280="","","|n"&amp;EG$2&amp;"+"&amp;BA280&amp;EG$1)</f>
        <v/>
      </c>
      <c r="EH280" s="72" t="str">
        <f t="shared" ref="EH280:EH285" si="4155">IF(BB280="","","|n"&amp;EH$2&amp;"+"&amp;BB280&amp;EH$1)</f>
        <v/>
      </c>
      <c r="EI280" s="72" t="str">
        <f t="shared" ref="EI280:EI285" si="4156">IF(BC280="","","|n"&amp;EI$2&amp;"+"&amp;BC280&amp;EI$1)</f>
        <v/>
      </c>
      <c r="EJ280" s="72" t="str">
        <f t="shared" ref="EJ280:EJ285" si="4157">IF(BD280="","","|n"&amp;EJ$2&amp;"+"&amp;BD280&amp;EJ$1)</f>
        <v/>
      </c>
      <c r="EK280" s="72" t="str">
        <f t="shared" ref="EK280:EK285" si="4158">IF(BE280="","","|n"&amp;EK$2&amp;"+"&amp;BE280&amp;EK$1)</f>
        <v/>
      </c>
      <c r="EL280" s="72" t="str">
        <f t="shared" ref="EL280:EL285" si="4159">IF(BF280="","","|n"&amp;EL$2&amp;"+"&amp;BF280&amp;EL$1)</f>
        <v/>
      </c>
      <c r="EM280" s="72" t="str">
        <f t="shared" ref="EM280:EM285" si="4160">IF(BG280="","","|n"&amp;EM$2&amp;"+"&amp;BG280&amp;EM$1)</f>
        <v/>
      </c>
      <c r="EN280" s="72" t="str">
        <f t="shared" ref="EN280:EN285" si="4161">IF(BH280="","","|n"&amp;EN$2&amp;"+"&amp;BH280&amp;EN$1)</f>
        <v/>
      </c>
      <c r="EO280" s="72" t="str">
        <f t="shared" ref="EO280:EO285" si="4162">IF(BI280="","","|n"&amp;EO$2&amp;"+"&amp;BI280&amp;EO$1)</f>
        <v/>
      </c>
      <c r="EP280" s="72" t="str">
        <f t="shared" ref="EP280:EP285" si="4163">IF(BJ280="","","|n"&amp;EP$2&amp;"+"&amp;BJ280&amp;EP$1)</f>
        <v/>
      </c>
      <c r="EQ280" s="72" t="str">
        <f t="shared" ref="EQ280:EQ285" si="4164">IF(BK280="","","|n"&amp;EQ$2&amp;"+"&amp;BK280&amp;EQ$1)</f>
        <v/>
      </c>
      <c r="ER280" s="72" t="str">
        <f t="shared" ref="ER280:ER285" si="4165">IF(BL280="","","|n"&amp;ER$2&amp;"+"&amp;BL280&amp;ER$1)</f>
        <v/>
      </c>
      <c r="ES280" s="72" t="str">
        <f t="shared" ref="ES280:ES285" si="4166">IF(BM280="","","|n"&amp;ES$2&amp;"+"&amp;BM280&amp;ES$1)</f>
        <v/>
      </c>
      <c r="ET280" s="72" t="str">
        <f t="shared" ref="ET280:ET285" si="4167">IF(BN280="","","|n"&amp;ET$2&amp;"+"&amp;BN280&amp;ET$1)</f>
        <v/>
      </c>
      <c r="EU280" s="72" t="str">
        <f t="shared" ref="EU280:EU285" si="4168">IF(BO280="","","|n"&amp;EU$2&amp;"+"&amp;BO280&amp;EU$1)</f>
        <v/>
      </c>
      <c r="EV280" s="72" t="str">
        <f t="shared" ref="EV280:EV285" si="4169">IF(BP280="","","|n"&amp;EV$2&amp;"+"&amp;BP280&amp;EV$1)</f>
        <v/>
      </c>
      <c r="EW280" s="72" t="str">
        <f t="shared" ref="EW280:EW285" si="4170">IF(BQ280="","","|n"&amp;EW$2&amp;"+"&amp;BQ280&amp;EW$1)</f>
        <v/>
      </c>
      <c r="EX280" s="72" t="str">
        <f t="shared" ref="EX280:EX285" si="4171">IF(BR280="","","|n"&amp;EX$2&amp;"+"&amp;BR280&amp;EX$1)</f>
        <v/>
      </c>
      <c r="EY280" s="72" t="str">
        <f t="shared" ref="EY280:EY285" si="4172">IF(BS280="","","|n"&amp;EY$2&amp;"+"&amp;BS280&amp;EY$1)</f>
        <v/>
      </c>
      <c r="EZ280" s="72" t="str">
        <f t="shared" ref="EZ280:EZ285" si="4173">IF(BT280="","","|n"&amp;EZ$2&amp;"+"&amp;BT280&amp;EZ$1)</f>
        <v/>
      </c>
      <c r="FA280" s="72" t="str">
        <f t="shared" ref="FA280:FA285" si="4174">IF(BU280="","","|n"&amp;FA$2&amp;"+"&amp;BU280&amp;FA$1)</f>
        <v/>
      </c>
      <c r="FB280" s="72" t="str">
        <f t="shared" ref="FB280:FB285" si="4175">IF(BV280="","","|n"&amp;FB$2&amp;"+"&amp;BV280&amp;FB$1)</f>
        <v/>
      </c>
      <c r="FC280" s="72" t="str">
        <f t="shared" ref="FC280:FC285" si="4176">IF(BW280="","","|n"&amp;FC$2&amp;"+"&amp;BW280&amp;FC$1)</f>
        <v/>
      </c>
      <c r="FD280" s="72" t="str">
        <f t="shared" ref="FD280:FD285" si="4177">IF(BX280="","","|n"&amp;FD$2&amp;"+"&amp;BX280&amp;FD$1)</f>
        <v/>
      </c>
      <c r="FE280" s="72" t="str">
        <f t="shared" ref="FE280:FE285" si="4178">IF(BY280="","","|n"&amp;FE$2&amp;"+"&amp;BY280&amp;FE$1)</f>
        <v/>
      </c>
      <c r="FF280" s="72" t="str">
        <f t="shared" ref="FF280:FF285" si="4179">IF(BZ280="","","|n"&amp;FF$2&amp;"+"&amp;BZ280&amp;FF$1)</f>
        <v/>
      </c>
      <c r="FG280" s="72" t="str">
        <f t="shared" ref="FG280:FG285" si="4180">IF(CA280="","","|n"&amp;FG$2&amp;"+"&amp;CA280&amp;FG$1)</f>
        <v/>
      </c>
      <c r="FH280" s="72" t="str">
        <f t="shared" ref="FH280:FH285" si="4181">IF(CB280="","","|n"&amp;FH$2&amp;"+"&amp;CB280&amp;FH$1)</f>
        <v/>
      </c>
      <c r="FI280" s="72" t="str">
        <f t="shared" ref="FI280:FI285" si="4182">IF(CC280="","","|n"&amp;FI$2&amp;"+"&amp;CC280&amp;FI$1)</f>
        <v/>
      </c>
      <c r="FJ280" s="72" t="str">
        <f t="shared" ref="FJ280:FJ285" si="4183">IF(CD280="","","|n"&amp;FJ$2&amp;"+"&amp;CD280&amp;FJ$1)</f>
        <v/>
      </c>
      <c r="FK280" s="72" t="str">
        <f t="shared" ref="FK280:FK285" si="4184">IF(CE280="","","|n"&amp;FK$2&amp;"+"&amp;CE280&amp;FK$1)</f>
        <v/>
      </c>
      <c r="FL280" s="72" t="str">
        <f t="shared" ref="FL280:FL285" si="4185">IF(CF280="","","|n"&amp;FL$2&amp;"+"&amp;CF280&amp;FL$1)</f>
        <v/>
      </c>
      <c r="FM280" s="72" t="str">
        <f t="shared" ref="FM280:FM285" si="4186">IF(CG280="","","|n"&amp;FM$2&amp;"+"&amp;CG280&amp;FM$1)</f>
        <v/>
      </c>
      <c r="FN280" s="72" t="str">
        <f t="shared" ref="FN280:FN285" si="4187">IF(CH280="","","|n"&amp;FN$2&amp;"+"&amp;CH280&amp;FN$1)</f>
        <v/>
      </c>
      <c r="FO280" s="72" t="str">
        <f t="shared" ref="FO280:FO285" si="4188">IF(CI280="","","|n"&amp;FO$2&amp;"+"&amp;CI280&amp;FO$1)</f>
        <v/>
      </c>
      <c r="FP280" s="72" t="str">
        <f t="shared" ref="FP280:FP285" si="4189">IF(CJ280="","","|n"&amp;FP$2&amp;"+"&amp;CJ280&amp;FP$1)</f>
        <v/>
      </c>
      <c r="FQ280" s="72" t="str">
        <f t="shared" ref="FQ280:FQ285" si="4190">IF(CK280="","","|n"&amp;FQ$2&amp;"+"&amp;CK280&amp;FQ$1)</f>
        <v/>
      </c>
      <c r="FR280" s="72" t="str">
        <f t="shared" ref="FR280:FR285" si="4191">IF(CL280="","","|n"&amp;FR$2&amp;"+"&amp;CL280&amp;FR$1)</f>
        <v/>
      </c>
      <c r="FS280" s="72" t="str">
        <f t="shared" ref="FS280:FS285" si="4192">IF(CM280="","","|n"&amp;FS$2&amp;"+"&amp;CM280&amp;FS$1)</f>
        <v/>
      </c>
    </row>
    <row r="281" spans="1:175">
      <c r="A281" s="82"/>
      <c r="B281" s="82" t="s">
        <v>871</v>
      </c>
      <c r="C281" s="71" t="s">
        <v>843</v>
      </c>
      <c r="T281" s="150"/>
      <c r="U281" s="88"/>
      <c r="CN281" s="70" t="str">
        <f t="shared" si="4117"/>
        <v>InitUnitState('IF29',,,,,,,,,,)</v>
      </c>
      <c r="CO281" s="70" t="str">
        <f t="shared" si="4118"/>
        <v>InitUnitNormal('IF29',,,,,,,,,,)</v>
      </c>
      <c r="CP281" s="70" t="str">
        <f t="shared" si="4119"/>
        <v>InitUnitMagic('IF29',,,,,,,,,,)</v>
      </c>
      <c r="CQ281" s="70" t="str">
        <f t="shared" si="4120"/>
        <v>InitUnitAdd('IF29',,,,,,,,,,)</v>
      </c>
      <c r="CR281" s="70" t="str">
        <f t="shared" si="4121"/>
        <v>InitEquipData('IF29',,"",,,,,'','','','','','',"")</v>
      </c>
      <c r="CU281" s="98" t="str">
        <f t="shared" si="4122"/>
        <v>|n</v>
      </c>
      <c r="CW281" s="61"/>
      <c r="CX281" s="61"/>
      <c r="CY281" s="61"/>
      <c r="CZ281" s="61"/>
      <c r="DA281" s="61"/>
      <c r="DB281" s="72" t="str">
        <f t="shared" si="4123"/>
        <v/>
      </c>
      <c r="DC281" s="72" t="str">
        <f t="shared" si="4124"/>
        <v/>
      </c>
      <c r="DD281" s="72" t="str">
        <f t="shared" si="4125"/>
        <v/>
      </c>
      <c r="DE281" s="72" t="str">
        <f t="shared" si="4126"/>
        <v/>
      </c>
      <c r="DF281" s="72" t="str">
        <f t="shared" si="4127"/>
        <v/>
      </c>
      <c r="DG281" s="72" t="str">
        <f t="shared" si="4128"/>
        <v/>
      </c>
      <c r="DH281" s="72" t="str">
        <f t="shared" si="4129"/>
        <v/>
      </c>
      <c r="DI281" s="72" t="str">
        <f t="shared" si="4130"/>
        <v/>
      </c>
      <c r="DJ281" s="72" t="str">
        <f t="shared" si="4131"/>
        <v/>
      </c>
      <c r="DK281" s="72" t="str">
        <f t="shared" si="4132"/>
        <v/>
      </c>
      <c r="DL281" s="72" t="str">
        <f t="shared" si="4133"/>
        <v/>
      </c>
      <c r="DM281" s="72" t="str">
        <f t="shared" si="4134"/>
        <v/>
      </c>
      <c r="DN281" s="72" t="str">
        <f t="shared" si="4135"/>
        <v/>
      </c>
      <c r="DO281" s="72" t="str">
        <f t="shared" si="4136"/>
        <v/>
      </c>
      <c r="DP281" s="72" t="str">
        <f t="shared" si="4137"/>
        <v/>
      </c>
      <c r="DQ281" s="72" t="str">
        <f t="shared" si="4138"/>
        <v/>
      </c>
      <c r="DR281" s="72" t="str">
        <f t="shared" si="4139"/>
        <v/>
      </c>
      <c r="DS281" s="72" t="str">
        <f t="shared" si="4140"/>
        <v/>
      </c>
      <c r="DT281" s="72" t="str">
        <f t="shared" si="4141"/>
        <v/>
      </c>
      <c r="DU281" s="72" t="str">
        <f t="shared" si="4142"/>
        <v/>
      </c>
      <c r="DV281" s="72" t="str">
        <f t="shared" si="4143"/>
        <v/>
      </c>
      <c r="DW281" s="72" t="str">
        <f t="shared" si="4144"/>
        <v/>
      </c>
      <c r="DX281" s="72" t="str">
        <f t="shared" si="4145"/>
        <v/>
      </c>
      <c r="DY281" s="72" t="str">
        <f t="shared" si="4146"/>
        <v/>
      </c>
      <c r="DZ281" s="72" t="str">
        <f t="shared" si="4147"/>
        <v/>
      </c>
      <c r="EA281" s="72" t="str">
        <f t="shared" si="4148"/>
        <v/>
      </c>
      <c r="EB281" s="72" t="str">
        <f t="shared" si="4149"/>
        <v/>
      </c>
      <c r="EC281" s="72" t="str">
        <f t="shared" si="4150"/>
        <v/>
      </c>
      <c r="ED281" s="72" t="str">
        <f t="shared" si="4151"/>
        <v/>
      </c>
      <c r="EE281" s="72" t="str">
        <f t="shared" si="4152"/>
        <v/>
      </c>
      <c r="EF281" s="72" t="str">
        <f t="shared" si="4153"/>
        <v/>
      </c>
      <c r="EG281" s="72" t="str">
        <f t="shared" si="4154"/>
        <v/>
      </c>
      <c r="EH281" s="72" t="str">
        <f t="shared" si="4155"/>
        <v/>
      </c>
      <c r="EI281" s="72" t="str">
        <f t="shared" si="4156"/>
        <v/>
      </c>
      <c r="EJ281" s="72" t="str">
        <f t="shared" si="4157"/>
        <v/>
      </c>
      <c r="EK281" s="72" t="str">
        <f t="shared" si="4158"/>
        <v/>
      </c>
      <c r="EL281" s="72" t="str">
        <f t="shared" si="4159"/>
        <v/>
      </c>
      <c r="EM281" s="72" t="str">
        <f t="shared" si="4160"/>
        <v/>
      </c>
      <c r="EN281" s="72" t="str">
        <f t="shared" si="4161"/>
        <v/>
      </c>
      <c r="EO281" s="72" t="str">
        <f t="shared" si="4162"/>
        <v/>
      </c>
      <c r="EP281" s="72" t="str">
        <f t="shared" si="4163"/>
        <v/>
      </c>
      <c r="EQ281" s="72" t="str">
        <f t="shared" si="4164"/>
        <v/>
      </c>
      <c r="ER281" s="72" t="str">
        <f t="shared" si="4165"/>
        <v/>
      </c>
      <c r="ES281" s="72" t="str">
        <f t="shared" si="4166"/>
        <v/>
      </c>
      <c r="ET281" s="72" t="str">
        <f t="shared" si="4167"/>
        <v/>
      </c>
      <c r="EU281" s="72" t="str">
        <f t="shared" si="4168"/>
        <v/>
      </c>
      <c r="EV281" s="72" t="str">
        <f t="shared" si="4169"/>
        <v/>
      </c>
      <c r="EW281" s="72" t="str">
        <f t="shared" si="4170"/>
        <v/>
      </c>
      <c r="EX281" s="72" t="str">
        <f t="shared" si="4171"/>
        <v/>
      </c>
      <c r="EY281" s="72" t="str">
        <f t="shared" si="4172"/>
        <v/>
      </c>
      <c r="EZ281" s="72" t="str">
        <f t="shared" si="4173"/>
        <v/>
      </c>
      <c r="FA281" s="72" t="str">
        <f t="shared" si="4174"/>
        <v/>
      </c>
      <c r="FB281" s="72" t="str">
        <f t="shared" si="4175"/>
        <v/>
      </c>
      <c r="FC281" s="72" t="str">
        <f t="shared" si="4176"/>
        <v/>
      </c>
      <c r="FD281" s="72" t="str">
        <f t="shared" si="4177"/>
        <v/>
      </c>
      <c r="FE281" s="72" t="str">
        <f t="shared" si="4178"/>
        <v/>
      </c>
      <c r="FF281" s="72" t="str">
        <f t="shared" si="4179"/>
        <v/>
      </c>
      <c r="FG281" s="72" t="str">
        <f t="shared" si="4180"/>
        <v/>
      </c>
      <c r="FH281" s="72" t="str">
        <f t="shared" si="4181"/>
        <v/>
      </c>
      <c r="FI281" s="72" t="str">
        <f t="shared" si="4182"/>
        <v/>
      </c>
      <c r="FJ281" s="72" t="str">
        <f t="shared" si="4183"/>
        <v/>
      </c>
      <c r="FK281" s="72" t="str">
        <f t="shared" si="4184"/>
        <v/>
      </c>
      <c r="FL281" s="72" t="str">
        <f t="shared" si="4185"/>
        <v/>
      </c>
      <c r="FM281" s="72" t="str">
        <f t="shared" si="4186"/>
        <v/>
      </c>
      <c r="FN281" s="72" t="str">
        <f t="shared" si="4187"/>
        <v/>
      </c>
      <c r="FO281" s="72" t="str">
        <f t="shared" si="4188"/>
        <v/>
      </c>
      <c r="FP281" s="72" t="str">
        <f t="shared" si="4189"/>
        <v/>
      </c>
      <c r="FQ281" s="72" t="str">
        <f t="shared" si="4190"/>
        <v/>
      </c>
      <c r="FR281" s="72" t="str">
        <f t="shared" si="4191"/>
        <v/>
      </c>
      <c r="FS281" s="72" t="str">
        <f t="shared" si="4192"/>
        <v/>
      </c>
    </row>
    <row r="282" spans="1:175">
      <c r="A282" s="82"/>
      <c r="B282" s="82" t="s">
        <v>872</v>
      </c>
      <c r="C282" s="71" t="s">
        <v>843</v>
      </c>
      <c r="T282" s="150"/>
      <c r="U282" s="88"/>
      <c r="CN282" s="70" t="str">
        <f t="shared" si="4117"/>
        <v>InitUnitState('IF30',,,,,,,,,,)</v>
      </c>
      <c r="CO282" s="70" t="str">
        <f t="shared" si="4118"/>
        <v>InitUnitNormal('IF30',,,,,,,,,,)</v>
      </c>
      <c r="CP282" s="70" t="str">
        <f t="shared" si="4119"/>
        <v>InitUnitMagic('IF30',,,,,,,,,,)</v>
      </c>
      <c r="CQ282" s="70" t="str">
        <f t="shared" si="4120"/>
        <v>InitUnitAdd('IF30',,,,,,,,,,)</v>
      </c>
      <c r="CR282" s="70" t="str">
        <f t="shared" si="4121"/>
        <v>InitEquipData('IF30',,"",,,,,'','','','','','',"")</v>
      </c>
      <c r="CU282" s="98" t="str">
        <f t="shared" si="4122"/>
        <v>|n</v>
      </c>
      <c r="CW282" s="61"/>
      <c r="CX282" s="61"/>
      <c r="CY282" s="61"/>
      <c r="CZ282" s="61"/>
      <c r="DA282" s="61"/>
      <c r="DB282" s="72" t="str">
        <f t="shared" si="4123"/>
        <v/>
      </c>
      <c r="DC282" s="72" t="str">
        <f t="shared" si="4124"/>
        <v/>
      </c>
      <c r="DD282" s="72" t="str">
        <f t="shared" si="4125"/>
        <v/>
      </c>
      <c r="DE282" s="72" t="str">
        <f t="shared" si="4126"/>
        <v/>
      </c>
      <c r="DF282" s="72" t="str">
        <f t="shared" si="4127"/>
        <v/>
      </c>
      <c r="DG282" s="72" t="str">
        <f t="shared" si="4128"/>
        <v/>
      </c>
      <c r="DH282" s="72" t="str">
        <f t="shared" si="4129"/>
        <v/>
      </c>
      <c r="DI282" s="72" t="str">
        <f t="shared" si="4130"/>
        <v/>
      </c>
      <c r="DJ282" s="72" t="str">
        <f t="shared" si="4131"/>
        <v/>
      </c>
      <c r="DK282" s="72" t="str">
        <f t="shared" si="4132"/>
        <v/>
      </c>
      <c r="DL282" s="72" t="str">
        <f t="shared" si="4133"/>
        <v/>
      </c>
      <c r="DM282" s="72" t="str">
        <f t="shared" si="4134"/>
        <v/>
      </c>
      <c r="DN282" s="72" t="str">
        <f t="shared" si="4135"/>
        <v/>
      </c>
      <c r="DO282" s="72" t="str">
        <f t="shared" si="4136"/>
        <v/>
      </c>
      <c r="DP282" s="72" t="str">
        <f t="shared" si="4137"/>
        <v/>
      </c>
      <c r="DQ282" s="72" t="str">
        <f t="shared" si="4138"/>
        <v/>
      </c>
      <c r="DR282" s="72" t="str">
        <f t="shared" si="4139"/>
        <v/>
      </c>
      <c r="DS282" s="72" t="str">
        <f t="shared" si="4140"/>
        <v/>
      </c>
      <c r="DT282" s="72" t="str">
        <f t="shared" si="4141"/>
        <v/>
      </c>
      <c r="DU282" s="72" t="str">
        <f t="shared" si="4142"/>
        <v/>
      </c>
      <c r="DV282" s="72" t="str">
        <f t="shared" si="4143"/>
        <v/>
      </c>
      <c r="DW282" s="72" t="str">
        <f t="shared" si="4144"/>
        <v/>
      </c>
      <c r="DX282" s="72" t="str">
        <f t="shared" si="4145"/>
        <v/>
      </c>
      <c r="DY282" s="72" t="str">
        <f t="shared" si="4146"/>
        <v/>
      </c>
      <c r="DZ282" s="72" t="str">
        <f t="shared" si="4147"/>
        <v/>
      </c>
      <c r="EA282" s="72" t="str">
        <f t="shared" si="4148"/>
        <v/>
      </c>
      <c r="EB282" s="72" t="str">
        <f t="shared" si="4149"/>
        <v/>
      </c>
      <c r="EC282" s="72" t="str">
        <f t="shared" si="4150"/>
        <v/>
      </c>
      <c r="ED282" s="72" t="str">
        <f t="shared" si="4151"/>
        <v/>
      </c>
      <c r="EE282" s="72" t="str">
        <f t="shared" si="4152"/>
        <v/>
      </c>
      <c r="EF282" s="72" t="str">
        <f t="shared" si="4153"/>
        <v/>
      </c>
      <c r="EG282" s="72" t="str">
        <f t="shared" si="4154"/>
        <v/>
      </c>
      <c r="EH282" s="72" t="str">
        <f t="shared" si="4155"/>
        <v/>
      </c>
      <c r="EI282" s="72" t="str">
        <f t="shared" si="4156"/>
        <v/>
      </c>
      <c r="EJ282" s="72" t="str">
        <f t="shared" si="4157"/>
        <v/>
      </c>
      <c r="EK282" s="72" t="str">
        <f t="shared" si="4158"/>
        <v/>
      </c>
      <c r="EL282" s="72" t="str">
        <f t="shared" si="4159"/>
        <v/>
      </c>
      <c r="EM282" s="72" t="str">
        <f t="shared" si="4160"/>
        <v/>
      </c>
      <c r="EN282" s="72" t="str">
        <f t="shared" si="4161"/>
        <v/>
      </c>
      <c r="EO282" s="72" t="str">
        <f t="shared" si="4162"/>
        <v/>
      </c>
      <c r="EP282" s="72" t="str">
        <f t="shared" si="4163"/>
        <v/>
      </c>
      <c r="EQ282" s="72" t="str">
        <f t="shared" si="4164"/>
        <v/>
      </c>
      <c r="ER282" s="72" t="str">
        <f t="shared" si="4165"/>
        <v/>
      </c>
      <c r="ES282" s="72" t="str">
        <f t="shared" si="4166"/>
        <v/>
      </c>
      <c r="ET282" s="72" t="str">
        <f t="shared" si="4167"/>
        <v/>
      </c>
      <c r="EU282" s="72" t="str">
        <f t="shared" si="4168"/>
        <v/>
      </c>
      <c r="EV282" s="72" t="str">
        <f t="shared" si="4169"/>
        <v/>
      </c>
      <c r="EW282" s="72" t="str">
        <f t="shared" si="4170"/>
        <v/>
      </c>
      <c r="EX282" s="72" t="str">
        <f t="shared" si="4171"/>
        <v/>
      </c>
      <c r="EY282" s="72" t="str">
        <f t="shared" si="4172"/>
        <v/>
      </c>
      <c r="EZ282" s="72" t="str">
        <f t="shared" si="4173"/>
        <v/>
      </c>
      <c r="FA282" s="72" t="str">
        <f t="shared" si="4174"/>
        <v/>
      </c>
      <c r="FB282" s="72" t="str">
        <f t="shared" si="4175"/>
        <v/>
      </c>
      <c r="FC282" s="72" t="str">
        <f t="shared" si="4176"/>
        <v/>
      </c>
      <c r="FD282" s="72" t="str">
        <f t="shared" si="4177"/>
        <v/>
      </c>
      <c r="FE282" s="72" t="str">
        <f t="shared" si="4178"/>
        <v/>
      </c>
      <c r="FF282" s="72" t="str">
        <f t="shared" si="4179"/>
        <v/>
      </c>
      <c r="FG282" s="72" t="str">
        <f t="shared" si="4180"/>
        <v/>
      </c>
      <c r="FH282" s="72" t="str">
        <f t="shared" si="4181"/>
        <v/>
      </c>
      <c r="FI282" s="72" t="str">
        <f t="shared" si="4182"/>
        <v/>
      </c>
      <c r="FJ282" s="72" t="str">
        <f t="shared" si="4183"/>
        <v/>
      </c>
      <c r="FK282" s="72" t="str">
        <f t="shared" si="4184"/>
        <v/>
      </c>
      <c r="FL282" s="72" t="str">
        <f t="shared" si="4185"/>
        <v/>
      </c>
      <c r="FM282" s="72" t="str">
        <f t="shared" si="4186"/>
        <v/>
      </c>
      <c r="FN282" s="72" t="str">
        <f t="shared" si="4187"/>
        <v/>
      </c>
      <c r="FO282" s="72" t="str">
        <f t="shared" si="4188"/>
        <v/>
      </c>
      <c r="FP282" s="72" t="str">
        <f t="shared" si="4189"/>
        <v/>
      </c>
      <c r="FQ282" s="72" t="str">
        <f t="shared" si="4190"/>
        <v/>
      </c>
      <c r="FR282" s="72" t="str">
        <f t="shared" si="4191"/>
        <v/>
      </c>
      <c r="FS282" s="72" t="str">
        <f t="shared" si="4192"/>
        <v/>
      </c>
    </row>
    <row r="283" spans="1:175">
      <c r="A283" s="82"/>
      <c r="B283" s="82" t="s">
        <v>873</v>
      </c>
      <c r="C283" s="71" t="s">
        <v>843</v>
      </c>
      <c r="T283" s="150"/>
      <c r="U283" s="88"/>
      <c r="CN283" s="70" t="str">
        <f t="shared" si="4117"/>
        <v>InitUnitState('IF31',,,,,,,,,,)</v>
      </c>
      <c r="CO283" s="70" t="str">
        <f t="shared" si="4118"/>
        <v>InitUnitNormal('IF31',,,,,,,,,,)</v>
      </c>
      <c r="CP283" s="70" t="str">
        <f t="shared" si="4119"/>
        <v>InitUnitMagic('IF31',,,,,,,,,,)</v>
      </c>
      <c r="CQ283" s="70" t="str">
        <f t="shared" si="4120"/>
        <v>InitUnitAdd('IF31',,,,,,,,,,)</v>
      </c>
      <c r="CR283" s="70" t="str">
        <f>"InitEquipData('"&amp;B283&amp;"',"&amp;D283&amp;","&amp;CR$1&amp;A283&amp;CR$1&amp;","&amp;E283&amp;","&amp;I283&amp;","&amp;F283&amp;","&amp;G283&amp;",'"&amp;J283&amp;"','"&amp;K283&amp;"','"&amp;L283&amp;"','"&amp;M283&amp;"','"&amp;N283&amp;"','"&amp;O283&amp;"',"&amp;CR$1&amp;U290&amp;CR$1&amp;")"</f>
        <v>InitEquipData('IF31',,"",,,,,'','','','','','',"")</v>
      </c>
      <c r="CU283" s="98" t="str">
        <f t="shared" si="4122"/>
        <v>|n</v>
      </c>
      <c r="CW283" s="61"/>
      <c r="CX283" s="61"/>
      <c r="CY283" s="61"/>
      <c r="CZ283" s="61"/>
      <c r="DA283" s="61"/>
      <c r="DB283" s="72" t="str">
        <f t="shared" si="4123"/>
        <v/>
      </c>
      <c r="DC283" s="72" t="str">
        <f t="shared" si="4124"/>
        <v/>
      </c>
      <c r="DD283" s="72" t="str">
        <f t="shared" si="4125"/>
        <v/>
      </c>
      <c r="DE283" s="72" t="str">
        <f t="shared" si="4126"/>
        <v/>
      </c>
      <c r="DF283" s="72" t="str">
        <f t="shared" si="4127"/>
        <v/>
      </c>
      <c r="DG283" s="72" t="str">
        <f t="shared" si="4128"/>
        <v/>
      </c>
      <c r="DH283" s="72" t="str">
        <f t="shared" si="4129"/>
        <v/>
      </c>
      <c r="DI283" s="72" t="str">
        <f t="shared" si="4130"/>
        <v/>
      </c>
      <c r="DJ283" s="72" t="str">
        <f t="shared" si="4131"/>
        <v/>
      </c>
      <c r="DK283" s="72" t="str">
        <f t="shared" si="4132"/>
        <v/>
      </c>
      <c r="DL283" s="72" t="str">
        <f t="shared" si="4133"/>
        <v/>
      </c>
      <c r="DM283" s="72" t="str">
        <f t="shared" si="4134"/>
        <v/>
      </c>
      <c r="DN283" s="72" t="str">
        <f t="shared" si="4135"/>
        <v/>
      </c>
      <c r="DO283" s="72" t="str">
        <f t="shared" si="4136"/>
        <v/>
      </c>
      <c r="DP283" s="72" t="str">
        <f t="shared" si="4137"/>
        <v/>
      </c>
      <c r="DQ283" s="72" t="str">
        <f t="shared" si="4138"/>
        <v/>
      </c>
      <c r="DR283" s="72" t="str">
        <f t="shared" si="4139"/>
        <v/>
      </c>
      <c r="DS283" s="72" t="str">
        <f t="shared" si="4140"/>
        <v/>
      </c>
      <c r="DT283" s="72" t="str">
        <f t="shared" si="4141"/>
        <v/>
      </c>
      <c r="DU283" s="72" t="str">
        <f t="shared" si="4142"/>
        <v/>
      </c>
      <c r="DV283" s="72" t="str">
        <f t="shared" si="4143"/>
        <v/>
      </c>
      <c r="DW283" s="72" t="str">
        <f t="shared" si="4144"/>
        <v/>
      </c>
      <c r="DX283" s="72" t="str">
        <f t="shared" si="4145"/>
        <v/>
      </c>
      <c r="DY283" s="72" t="str">
        <f t="shared" si="4146"/>
        <v/>
      </c>
      <c r="DZ283" s="72" t="str">
        <f t="shared" si="4147"/>
        <v/>
      </c>
      <c r="EA283" s="72" t="str">
        <f t="shared" si="4148"/>
        <v/>
      </c>
      <c r="EB283" s="72" t="str">
        <f t="shared" si="4149"/>
        <v/>
      </c>
      <c r="EC283" s="72" t="str">
        <f t="shared" si="4150"/>
        <v/>
      </c>
      <c r="ED283" s="72" t="str">
        <f t="shared" si="4151"/>
        <v/>
      </c>
      <c r="EE283" s="72" t="str">
        <f t="shared" si="4152"/>
        <v/>
      </c>
      <c r="EF283" s="72" t="str">
        <f t="shared" si="4153"/>
        <v/>
      </c>
      <c r="EG283" s="72" t="str">
        <f t="shared" si="4154"/>
        <v/>
      </c>
      <c r="EH283" s="72" t="str">
        <f t="shared" si="4155"/>
        <v/>
      </c>
      <c r="EI283" s="72" t="str">
        <f t="shared" si="4156"/>
        <v/>
      </c>
      <c r="EJ283" s="72" t="str">
        <f t="shared" si="4157"/>
        <v/>
      </c>
      <c r="EK283" s="72" t="str">
        <f t="shared" si="4158"/>
        <v/>
      </c>
      <c r="EL283" s="72" t="str">
        <f t="shared" si="4159"/>
        <v/>
      </c>
      <c r="EM283" s="72" t="str">
        <f t="shared" si="4160"/>
        <v/>
      </c>
      <c r="EN283" s="72" t="str">
        <f t="shared" si="4161"/>
        <v/>
      </c>
      <c r="EO283" s="72" t="str">
        <f t="shared" si="4162"/>
        <v/>
      </c>
      <c r="EP283" s="72" t="str">
        <f t="shared" si="4163"/>
        <v/>
      </c>
      <c r="EQ283" s="72" t="str">
        <f t="shared" si="4164"/>
        <v/>
      </c>
      <c r="ER283" s="72" t="str">
        <f t="shared" si="4165"/>
        <v/>
      </c>
      <c r="ES283" s="72" t="str">
        <f t="shared" si="4166"/>
        <v/>
      </c>
      <c r="ET283" s="72" t="str">
        <f t="shared" si="4167"/>
        <v/>
      </c>
      <c r="EU283" s="72" t="str">
        <f t="shared" si="4168"/>
        <v/>
      </c>
      <c r="EV283" s="72" t="str">
        <f t="shared" si="4169"/>
        <v/>
      </c>
      <c r="EW283" s="72" t="str">
        <f t="shared" si="4170"/>
        <v/>
      </c>
      <c r="EX283" s="72" t="str">
        <f t="shared" si="4171"/>
        <v/>
      </c>
      <c r="EY283" s="72" t="str">
        <f t="shared" si="4172"/>
        <v/>
      </c>
      <c r="EZ283" s="72" t="str">
        <f t="shared" si="4173"/>
        <v/>
      </c>
      <c r="FA283" s="72" t="str">
        <f t="shared" si="4174"/>
        <v/>
      </c>
      <c r="FB283" s="72" t="str">
        <f t="shared" si="4175"/>
        <v/>
      </c>
      <c r="FC283" s="72" t="str">
        <f t="shared" si="4176"/>
        <v/>
      </c>
      <c r="FD283" s="72" t="str">
        <f t="shared" si="4177"/>
        <v/>
      </c>
      <c r="FE283" s="72" t="str">
        <f t="shared" si="4178"/>
        <v/>
      </c>
      <c r="FF283" s="72" t="str">
        <f t="shared" si="4179"/>
        <v/>
      </c>
      <c r="FG283" s="72" t="str">
        <f t="shared" si="4180"/>
        <v/>
      </c>
      <c r="FH283" s="72" t="str">
        <f t="shared" si="4181"/>
        <v/>
      </c>
      <c r="FI283" s="72" t="str">
        <f t="shared" si="4182"/>
        <v/>
      </c>
      <c r="FJ283" s="72" t="str">
        <f t="shared" si="4183"/>
        <v/>
      </c>
      <c r="FK283" s="72" t="str">
        <f t="shared" si="4184"/>
        <v/>
      </c>
      <c r="FL283" s="72" t="str">
        <f t="shared" si="4185"/>
        <v/>
      </c>
      <c r="FM283" s="72" t="str">
        <f t="shared" si="4186"/>
        <v/>
      </c>
      <c r="FN283" s="72" t="str">
        <f t="shared" si="4187"/>
        <v/>
      </c>
      <c r="FO283" s="72" t="str">
        <f t="shared" si="4188"/>
        <v/>
      </c>
      <c r="FP283" s="72" t="str">
        <f t="shared" si="4189"/>
        <v/>
      </c>
      <c r="FQ283" s="72" t="str">
        <f t="shared" si="4190"/>
        <v/>
      </c>
      <c r="FR283" s="72" t="str">
        <f t="shared" si="4191"/>
        <v/>
      </c>
      <c r="FS283" s="72" t="str">
        <f t="shared" si="4192"/>
        <v/>
      </c>
    </row>
    <row r="284" spans="1:175">
      <c r="A284" s="82"/>
      <c r="B284" s="82" t="s">
        <v>874</v>
      </c>
      <c r="C284" s="71" t="s">
        <v>843</v>
      </c>
      <c r="T284" s="150"/>
      <c r="U284" s="88"/>
      <c r="CN284" s="70" t="str">
        <f t="shared" ref="CN284" si="4193">"InitUnitState('"&amp;B284&amp;"',"&amp;V284&amp;","&amp;W284&amp;","&amp;X284&amp;","&amp;Y284&amp;","&amp;Z284&amp;","&amp;AA284&amp;","&amp;AB284&amp;","&amp;AC284&amp;","&amp;AD284&amp;","&amp;AE284&amp;")"</f>
        <v>InitUnitState('IF32',,,,,,,,,,)</v>
      </c>
      <c r="CO284" s="70" t="str">
        <f t="shared" ref="CO284" si="4194">"InitUnitNormal('"&amp;B284&amp;"',"&amp;AF284&amp;","&amp;AG284&amp;","&amp;AH284&amp;","&amp;AI284&amp;","&amp;AJ284&amp;","&amp;AK284&amp;","&amp;AL284&amp;","&amp;AM284&amp;","&amp;AN284&amp;","&amp;AO284&amp;")"</f>
        <v>InitUnitNormal('IF32',,,,,,,,,,)</v>
      </c>
      <c r="CP284" s="70" t="str">
        <f t="shared" ref="CP284" si="4195">"InitUnitMagic('"&amp;B284&amp;"',"&amp;AP284&amp;","&amp;AQ284&amp;","&amp;AR284&amp;","&amp;AS284&amp;","&amp;AT284&amp;","&amp;AU284&amp;","&amp;AV284&amp;","&amp;AW284&amp;","&amp;BI284&amp;","&amp;BJ284&amp;")"</f>
        <v>InitUnitMagic('IF32',,,,,,,,,,)</v>
      </c>
      <c r="CQ284" s="70" t="str">
        <f t="shared" ref="CQ284" si="4196">"InitUnitAdd('"&amp;B284&amp;"',"&amp;BK284&amp;","&amp;BL284&amp;","&amp;BM284&amp;","&amp;BN284&amp;","&amp;BO284&amp;","&amp;BP284&amp;","&amp;BQ284&amp;","&amp;BR284&amp;","&amp;BS284&amp;","&amp;BT284&amp;")"</f>
        <v>InitUnitAdd('IF32',,,,,,,,,,)</v>
      </c>
      <c r="CR284" s="70" t="str">
        <f>"InitEquipData('"&amp;B284&amp;"',"&amp;D284&amp;","&amp;CR$1&amp;A284&amp;CR$1&amp;","&amp;E284&amp;","&amp;I284&amp;","&amp;F284&amp;","&amp;G284&amp;",'"&amp;J284&amp;"','"&amp;K284&amp;"','"&amp;L284&amp;"','"&amp;M284&amp;"','"&amp;N284&amp;"','"&amp;O284&amp;"',"&amp;CR$1&amp;U291&amp;CR$1&amp;")"</f>
        <v>InitEquipData('IF32',,"",,,,,'','','','','','',"")</v>
      </c>
      <c r="CU284" s="98" t="str">
        <f t="shared" ref="CU284" si="4197">CONCATENATE(DB284,DC284,DD284,DE284,DF284,DG284,DH284,DI284,DJ284,DK284,DL284,DM284,DN284,DO284,DP284,DQ284,DR284,DS284,DT284,DU284,DV284,DW284,DX284,DY284,DZ284,EA284,EB284,EC284,ED284,EE284,EF284,EG284,EH284,EI284,EJ284,EK284,EL284,EM284,EN284,EO284,EP284&amp;"|n")</f>
        <v>|n</v>
      </c>
      <c r="CW284" s="61"/>
      <c r="CX284" s="61"/>
      <c r="CY284" s="61"/>
      <c r="CZ284" s="61"/>
      <c r="DA284" s="61"/>
      <c r="DB284" s="72" t="str">
        <f t="shared" ref="DB284" si="4198">IF(V284="","","|n"&amp;DB$2&amp;"+"&amp;V284&amp;DB$1)</f>
        <v/>
      </c>
      <c r="DC284" s="72" t="str">
        <f t="shared" ref="DC284" si="4199">IF(W284="","","|n"&amp;DC$2&amp;"+"&amp;W284&amp;DC$1)</f>
        <v/>
      </c>
      <c r="DD284" s="72" t="str">
        <f t="shared" ref="DD284" si="4200">IF(X284="","","|n"&amp;DD$2&amp;"+"&amp;X284&amp;DD$1)</f>
        <v/>
      </c>
      <c r="DE284" s="72" t="str">
        <f t="shared" ref="DE284" si="4201">IF(Y284="","","|n"&amp;DE$2&amp;"+"&amp;Y284&amp;DE$1)</f>
        <v/>
      </c>
      <c r="DF284" s="72" t="str">
        <f t="shared" ref="DF284" si="4202">IF(Z284="","","|n"&amp;DF$2&amp;"+"&amp;Z284&amp;DF$1)</f>
        <v/>
      </c>
      <c r="DG284" s="72" t="str">
        <f t="shared" ref="DG284" si="4203">IF(AA284="","","|n"&amp;DG$2&amp;"+"&amp;AA284&amp;DG$1)</f>
        <v/>
      </c>
      <c r="DH284" s="72" t="str">
        <f t="shared" ref="DH284" si="4204">IF(AB284="","","|n"&amp;DH$2&amp;"+"&amp;AB284&amp;DH$1)</f>
        <v/>
      </c>
      <c r="DI284" s="72" t="str">
        <f t="shared" ref="DI284" si="4205">IF(AC284="","","|n"&amp;DI$2&amp;"+"&amp;AC284&amp;DI$1)</f>
        <v/>
      </c>
      <c r="DJ284" s="72" t="str">
        <f t="shared" ref="DJ284" si="4206">IF(AD284="","","|n"&amp;DJ$2&amp;"+"&amp;AD284&amp;DJ$1)</f>
        <v/>
      </c>
      <c r="DK284" s="72" t="str">
        <f t="shared" ref="DK284" si="4207">IF(AE284="","","|n"&amp;DK$2&amp;"+"&amp;AE284&amp;DK$1)</f>
        <v/>
      </c>
      <c r="DL284" s="72" t="str">
        <f t="shared" ref="DL284" si="4208">IF(AF284="","","|n"&amp;DL$2&amp;"+"&amp;AF284&amp;DL$1)</f>
        <v/>
      </c>
      <c r="DM284" s="72" t="str">
        <f t="shared" ref="DM284" si="4209">IF(AG284="","","|n"&amp;DM$2&amp;"+"&amp;AG284&amp;DM$1)</f>
        <v/>
      </c>
      <c r="DN284" s="72" t="str">
        <f t="shared" ref="DN284" si="4210">IF(AH284="","","|n"&amp;DN$2&amp;"+"&amp;AH284&amp;DN$1)</f>
        <v/>
      </c>
      <c r="DO284" s="72" t="str">
        <f t="shared" ref="DO284" si="4211">IF(AI284="","","|n"&amp;DO$2&amp;"+"&amp;AI284&amp;DO$1)</f>
        <v/>
      </c>
      <c r="DP284" s="72" t="str">
        <f t="shared" ref="DP284" si="4212">IF(AJ284="","","|n"&amp;DP$2&amp;"+"&amp;AJ284&amp;DP$1)</f>
        <v/>
      </c>
      <c r="DQ284" s="72" t="str">
        <f t="shared" ref="DQ284" si="4213">IF(AK284="","","|n"&amp;DQ$2&amp;"+"&amp;AK284&amp;DQ$1)</f>
        <v/>
      </c>
      <c r="DR284" s="72" t="str">
        <f t="shared" ref="DR284" si="4214">IF(AL284="","","|n"&amp;DR$2&amp;"+"&amp;AL284&amp;DR$1)</f>
        <v/>
      </c>
      <c r="DS284" s="72" t="str">
        <f t="shared" ref="DS284" si="4215">IF(AM284="","","|n"&amp;DS$2&amp;"+"&amp;AM284&amp;DS$1)</f>
        <v/>
      </c>
      <c r="DT284" s="72" t="str">
        <f t="shared" ref="DT284" si="4216">IF(AN284="","","|n"&amp;DT$2&amp;"+"&amp;AN284&amp;DT$1)</f>
        <v/>
      </c>
      <c r="DU284" s="72" t="str">
        <f t="shared" ref="DU284" si="4217">IF(AO284="","","|n"&amp;DU$2&amp;"+"&amp;AO284&amp;DU$1)</f>
        <v/>
      </c>
      <c r="DV284" s="72" t="str">
        <f t="shared" ref="DV284" si="4218">IF(AP284="","","|n"&amp;DV$2&amp;"+"&amp;AP284&amp;DV$1)</f>
        <v/>
      </c>
      <c r="DW284" s="72" t="str">
        <f t="shared" ref="DW284" si="4219">IF(AQ284="","","|n"&amp;DW$2&amp;"+"&amp;AQ284&amp;DW$1)</f>
        <v/>
      </c>
      <c r="DX284" s="72" t="str">
        <f t="shared" ref="DX284" si="4220">IF(AR284="","","|n"&amp;DX$2&amp;"+"&amp;AR284&amp;DX$1)</f>
        <v/>
      </c>
      <c r="DY284" s="72" t="str">
        <f t="shared" ref="DY284" si="4221">IF(AS284="","","|n"&amp;DY$2&amp;"+"&amp;AS284&amp;DY$1)</f>
        <v/>
      </c>
      <c r="DZ284" s="72" t="str">
        <f t="shared" ref="DZ284" si="4222">IF(AT284="","","|n"&amp;DZ$2&amp;"+"&amp;AT284&amp;DZ$1)</f>
        <v/>
      </c>
      <c r="EA284" s="72" t="str">
        <f t="shared" ref="EA284" si="4223">IF(AU284="","","|n"&amp;EA$2&amp;"+"&amp;AU284&amp;EA$1)</f>
        <v/>
      </c>
      <c r="EB284" s="72" t="str">
        <f t="shared" ref="EB284" si="4224">IF(AV284="","","|n"&amp;EB$2&amp;"+"&amp;AV284&amp;EB$1)</f>
        <v/>
      </c>
      <c r="EC284" s="72" t="str">
        <f t="shared" ref="EC284" si="4225">IF(AW284="","","|n"&amp;EC$2&amp;"+"&amp;AW284&amp;EC$1)</f>
        <v/>
      </c>
      <c r="ED284" s="72" t="str">
        <f t="shared" ref="ED284" si="4226">IF(AX284="","","|n"&amp;ED$2&amp;"+"&amp;AX284&amp;ED$1)</f>
        <v/>
      </c>
      <c r="EE284" s="72" t="str">
        <f t="shared" ref="EE284" si="4227">IF(AY284="","","|n"&amp;EE$2&amp;"+"&amp;AY284&amp;EE$1)</f>
        <v/>
      </c>
      <c r="EF284" s="72" t="str">
        <f t="shared" ref="EF284" si="4228">IF(AZ284="","","|n"&amp;EF$2&amp;"+"&amp;AZ284&amp;EF$1)</f>
        <v/>
      </c>
      <c r="EG284" s="72" t="str">
        <f t="shared" ref="EG284" si="4229">IF(BA284="","","|n"&amp;EG$2&amp;"+"&amp;BA284&amp;EG$1)</f>
        <v/>
      </c>
      <c r="EH284" s="72" t="str">
        <f t="shared" ref="EH284" si="4230">IF(BB284="","","|n"&amp;EH$2&amp;"+"&amp;BB284&amp;EH$1)</f>
        <v/>
      </c>
      <c r="EI284" s="72" t="str">
        <f t="shared" ref="EI284" si="4231">IF(BC284="","","|n"&amp;EI$2&amp;"+"&amp;BC284&amp;EI$1)</f>
        <v/>
      </c>
      <c r="EJ284" s="72" t="str">
        <f t="shared" ref="EJ284" si="4232">IF(BD284="","","|n"&amp;EJ$2&amp;"+"&amp;BD284&amp;EJ$1)</f>
        <v/>
      </c>
      <c r="EK284" s="72" t="str">
        <f t="shared" ref="EK284" si="4233">IF(BE284="","","|n"&amp;EK$2&amp;"+"&amp;BE284&amp;EK$1)</f>
        <v/>
      </c>
      <c r="EL284" s="72" t="str">
        <f t="shared" ref="EL284" si="4234">IF(BF284="","","|n"&amp;EL$2&amp;"+"&amp;BF284&amp;EL$1)</f>
        <v/>
      </c>
      <c r="EM284" s="72" t="str">
        <f t="shared" ref="EM284" si="4235">IF(BG284="","","|n"&amp;EM$2&amp;"+"&amp;BG284&amp;EM$1)</f>
        <v/>
      </c>
      <c r="EN284" s="72" t="str">
        <f t="shared" ref="EN284" si="4236">IF(BH284="","","|n"&amp;EN$2&amp;"+"&amp;BH284&amp;EN$1)</f>
        <v/>
      </c>
      <c r="EO284" s="72" t="str">
        <f t="shared" ref="EO284" si="4237">IF(BI284="","","|n"&amp;EO$2&amp;"+"&amp;BI284&amp;EO$1)</f>
        <v/>
      </c>
      <c r="EP284" s="72" t="str">
        <f t="shared" ref="EP284" si="4238">IF(BJ284="","","|n"&amp;EP$2&amp;"+"&amp;BJ284&amp;EP$1)</f>
        <v/>
      </c>
      <c r="EQ284" s="72" t="str">
        <f t="shared" ref="EQ284" si="4239">IF(BK284="","","|n"&amp;EQ$2&amp;"+"&amp;BK284&amp;EQ$1)</f>
        <v/>
      </c>
      <c r="ER284" s="72" t="str">
        <f t="shared" ref="ER284" si="4240">IF(BL284="","","|n"&amp;ER$2&amp;"+"&amp;BL284&amp;ER$1)</f>
        <v/>
      </c>
      <c r="ES284" s="72" t="str">
        <f t="shared" ref="ES284" si="4241">IF(BM284="","","|n"&amp;ES$2&amp;"+"&amp;BM284&amp;ES$1)</f>
        <v/>
      </c>
      <c r="ET284" s="72" t="str">
        <f t="shared" ref="ET284" si="4242">IF(BN284="","","|n"&amp;ET$2&amp;"+"&amp;BN284&amp;ET$1)</f>
        <v/>
      </c>
      <c r="EU284" s="72" t="str">
        <f t="shared" ref="EU284" si="4243">IF(BO284="","","|n"&amp;EU$2&amp;"+"&amp;BO284&amp;EU$1)</f>
        <v/>
      </c>
      <c r="EV284" s="72" t="str">
        <f t="shared" ref="EV284" si="4244">IF(BP284="","","|n"&amp;EV$2&amp;"+"&amp;BP284&amp;EV$1)</f>
        <v/>
      </c>
      <c r="EW284" s="72" t="str">
        <f t="shared" ref="EW284" si="4245">IF(BQ284="","","|n"&amp;EW$2&amp;"+"&amp;BQ284&amp;EW$1)</f>
        <v/>
      </c>
      <c r="EX284" s="72" t="str">
        <f t="shared" ref="EX284" si="4246">IF(BR284="","","|n"&amp;EX$2&amp;"+"&amp;BR284&amp;EX$1)</f>
        <v/>
      </c>
      <c r="EY284" s="72" t="str">
        <f t="shared" ref="EY284" si="4247">IF(BS284="","","|n"&amp;EY$2&amp;"+"&amp;BS284&amp;EY$1)</f>
        <v/>
      </c>
      <c r="EZ284" s="72" t="str">
        <f t="shared" ref="EZ284" si="4248">IF(BT284="","","|n"&amp;EZ$2&amp;"+"&amp;BT284&amp;EZ$1)</f>
        <v/>
      </c>
      <c r="FA284" s="72" t="str">
        <f t="shared" ref="FA284" si="4249">IF(BU284="","","|n"&amp;FA$2&amp;"+"&amp;BU284&amp;FA$1)</f>
        <v/>
      </c>
      <c r="FB284" s="72" t="str">
        <f t="shared" ref="FB284" si="4250">IF(BV284="","","|n"&amp;FB$2&amp;"+"&amp;BV284&amp;FB$1)</f>
        <v/>
      </c>
      <c r="FC284" s="72" t="str">
        <f t="shared" ref="FC284" si="4251">IF(BW284="","","|n"&amp;FC$2&amp;"+"&amp;BW284&amp;FC$1)</f>
        <v/>
      </c>
      <c r="FD284" s="72" t="str">
        <f t="shared" ref="FD284" si="4252">IF(BX284="","","|n"&amp;FD$2&amp;"+"&amp;BX284&amp;FD$1)</f>
        <v/>
      </c>
      <c r="FE284" s="72" t="str">
        <f t="shared" ref="FE284" si="4253">IF(BY284="","","|n"&amp;FE$2&amp;"+"&amp;BY284&amp;FE$1)</f>
        <v/>
      </c>
      <c r="FF284" s="72" t="str">
        <f t="shared" ref="FF284" si="4254">IF(BZ284="","","|n"&amp;FF$2&amp;"+"&amp;BZ284&amp;FF$1)</f>
        <v/>
      </c>
      <c r="FG284" s="72" t="str">
        <f t="shared" ref="FG284" si="4255">IF(CA284="","","|n"&amp;FG$2&amp;"+"&amp;CA284&amp;FG$1)</f>
        <v/>
      </c>
      <c r="FH284" s="72" t="str">
        <f t="shared" ref="FH284" si="4256">IF(CB284="","","|n"&amp;FH$2&amp;"+"&amp;CB284&amp;FH$1)</f>
        <v/>
      </c>
      <c r="FI284" s="72" t="str">
        <f t="shared" ref="FI284" si="4257">IF(CC284="","","|n"&amp;FI$2&amp;"+"&amp;CC284&amp;FI$1)</f>
        <v/>
      </c>
      <c r="FJ284" s="72" t="str">
        <f t="shared" ref="FJ284" si="4258">IF(CD284="","","|n"&amp;FJ$2&amp;"+"&amp;CD284&amp;FJ$1)</f>
        <v/>
      </c>
      <c r="FK284" s="72" t="str">
        <f t="shared" ref="FK284" si="4259">IF(CE284="","","|n"&amp;FK$2&amp;"+"&amp;CE284&amp;FK$1)</f>
        <v/>
      </c>
      <c r="FL284" s="72" t="str">
        <f t="shared" ref="FL284" si="4260">IF(CF284="","","|n"&amp;FL$2&amp;"+"&amp;CF284&amp;FL$1)</f>
        <v/>
      </c>
      <c r="FM284" s="72" t="str">
        <f t="shared" ref="FM284" si="4261">IF(CG284="","","|n"&amp;FM$2&amp;"+"&amp;CG284&amp;FM$1)</f>
        <v/>
      </c>
      <c r="FN284" s="72" t="str">
        <f t="shared" ref="FN284" si="4262">IF(CH284="","","|n"&amp;FN$2&amp;"+"&amp;CH284&amp;FN$1)</f>
        <v/>
      </c>
      <c r="FO284" s="72" t="str">
        <f t="shared" ref="FO284" si="4263">IF(CI284="","","|n"&amp;FO$2&amp;"+"&amp;CI284&amp;FO$1)</f>
        <v/>
      </c>
      <c r="FP284" s="72" t="str">
        <f t="shared" ref="FP284" si="4264">IF(CJ284="","","|n"&amp;FP$2&amp;"+"&amp;CJ284&amp;FP$1)</f>
        <v/>
      </c>
      <c r="FQ284" s="72" t="str">
        <f t="shared" ref="FQ284" si="4265">IF(CK284="","","|n"&amp;FQ$2&amp;"+"&amp;CK284&amp;FQ$1)</f>
        <v/>
      </c>
      <c r="FR284" s="72" t="str">
        <f t="shared" ref="FR284" si="4266">IF(CL284="","","|n"&amp;FR$2&amp;"+"&amp;CL284&amp;FR$1)</f>
        <v/>
      </c>
      <c r="FS284" s="72" t="str">
        <f t="shared" ref="FS284" si="4267">IF(CM284="","","|n"&amp;FS$2&amp;"+"&amp;CM284&amp;FS$1)</f>
        <v/>
      </c>
    </row>
    <row r="285" spans="1:175" ht="15">
      <c r="A285" s="134"/>
      <c r="B285" s="104" t="s">
        <v>875</v>
      </c>
      <c r="C285" s="104" t="s">
        <v>876</v>
      </c>
      <c r="T285" s="141"/>
      <c r="U285" s="88"/>
      <c r="CN285" s="70" t="str">
        <f t="shared" si="4117"/>
        <v>InitUnitState('IC00',,,,,,,,,,)</v>
      </c>
      <c r="CO285" s="70" t="str">
        <f t="shared" si="4118"/>
        <v>InitUnitNormal('IC00',,,,,,,,,,)</v>
      </c>
      <c r="CP285" s="70" t="str">
        <f t="shared" si="4119"/>
        <v>InitUnitMagic('IC00',,,,,,,,,,)</v>
      </c>
      <c r="CQ285" s="70" t="str">
        <f t="shared" si="4120"/>
        <v>InitUnitAdd('IC00',,,,,,,,,,)</v>
      </c>
      <c r="CR285" s="70" t="str">
        <f t="shared" ref="CR285" si="4268">"InitEquipData('"&amp;B285&amp;"',"&amp;D285&amp;","&amp;CR$1&amp;A285&amp;CR$1&amp;","&amp;E285&amp;","&amp;I285&amp;","&amp;F285&amp;","&amp;G285&amp;",'"&amp;J285&amp;"','"&amp;K285&amp;"','"&amp;L285&amp;"','"&amp;M285&amp;"','"&amp;N285&amp;"','"&amp;O285&amp;"',"&amp;CR$1&amp;U286&amp;CR$1&amp;")"</f>
        <v>InitEquipData('IC00',,"",,,,,'','','','','','',"")</v>
      </c>
      <c r="CU285" s="98" t="str">
        <f t="shared" si="4122"/>
        <v>|n</v>
      </c>
      <c r="CW285" s="61"/>
      <c r="CX285" s="61"/>
      <c r="CY285" s="61"/>
      <c r="CZ285" s="61"/>
      <c r="DA285" s="61"/>
      <c r="DB285" s="72" t="str">
        <f t="shared" si="4123"/>
        <v/>
      </c>
      <c r="DC285" s="72" t="str">
        <f t="shared" si="4124"/>
        <v/>
      </c>
      <c r="DD285" s="72" t="str">
        <f t="shared" si="4125"/>
        <v/>
      </c>
      <c r="DE285" s="72" t="str">
        <f t="shared" si="4126"/>
        <v/>
      </c>
      <c r="DF285" s="72" t="str">
        <f t="shared" si="4127"/>
        <v/>
      </c>
      <c r="DG285" s="72" t="str">
        <f t="shared" si="4128"/>
        <v/>
      </c>
      <c r="DH285" s="72" t="str">
        <f t="shared" si="4129"/>
        <v/>
      </c>
      <c r="DI285" s="72" t="str">
        <f t="shared" si="4130"/>
        <v/>
      </c>
      <c r="DJ285" s="72" t="str">
        <f t="shared" si="4131"/>
        <v/>
      </c>
      <c r="DK285" s="72" t="str">
        <f t="shared" si="4132"/>
        <v/>
      </c>
      <c r="DL285" s="72" t="str">
        <f t="shared" si="4133"/>
        <v/>
      </c>
      <c r="DM285" s="72" t="str">
        <f t="shared" si="4134"/>
        <v/>
      </c>
      <c r="DN285" s="72" t="str">
        <f t="shared" si="4135"/>
        <v/>
      </c>
      <c r="DO285" s="72" t="str">
        <f t="shared" si="4136"/>
        <v/>
      </c>
      <c r="DP285" s="72" t="str">
        <f t="shared" si="4137"/>
        <v/>
      </c>
      <c r="DQ285" s="72" t="str">
        <f t="shared" si="4138"/>
        <v/>
      </c>
      <c r="DR285" s="72" t="str">
        <f t="shared" si="4139"/>
        <v/>
      </c>
      <c r="DS285" s="72" t="str">
        <f t="shared" si="4140"/>
        <v/>
      </c>
      <c r="DT285" s="72" t="str">
        <f t="shared" si="4141"/>
        <v/>
      </c>
      <c r="DU285" s="72" t="str">
        <f t="shared" si="4142"/>
        <v/>
      </c>
      <c r="DV285" s="72" t="str">
        <f t="shared" si="4143"/>
        <v/>
      </c>
      <c r="DW285" s="72" t="str">
        <f t="shared" si="4144"/>
        <v/>
      </c>
      <c r="DX285" s="72" t="str">
        <f t="shared" si="4145"/>
        <v/>
      </c>
      <c r="DY285" s="72" t="str">
        <f t="shared" si="4146"/>
        <v/>
      </c>
      <c r="DZ285" s="72" t="str">
        <f t="shared" si="4147"/>
        <v/>
      </c>
      <c r="EA285" s="72" t="str">
        <f t="shared" si="4148"/>
        <v/>
      </c>
      <c r="EB285" s="72" t="str">
        <f t="shared" si="4149"/>
        <v/>
      </c>
      <c r="EC285" s="72" t="str">
        <f t="shared" si="4150"/>
        <v/>
      </c>
      <c r="ED285" s="72" t="str">
        <f t="shared" si="4151"/>
        <v/>
      </c>
      <c r="EE285" s="72" t="str">
        <f t="shared" si="4152"/>
        <v/>
      </c>
      <c r="EF285" s="72" t="str">
        <f t="shared" si="4153"/>
        <v/>
      </c>
      <c r="EG285" s="72" t="str">
        <f t="shared" si="4154"/>
        <v/>
      </c>
      <c r="EH285" s="72" t="str">
        <f t="shared" si="4155"/>
        <v/>
      </c>
      <c r="EI285" s="72" t="str">
        <f t="shared" si="4156"/>
        <v/>
      </c>
      <c r="EJ285" s="72" t="str">
        <f t="shared" si="4157"/>
        <v/>
      </c>
      <c r="EK285" s="72" t="str">
        <f t="shared" si="4158"/>
        <v/>
      </c>
      <c r="EL285" s="72" t="str">
        <f t="shared" si="4159"/>
        <v/>
      </c>
      <c r="EM285" s="72" t="str">
        <f t="shared" si="4160"/>
        <v/>
      </c>
      <c r="EN285" s="72" t="str">
        <f t="shared" si="4161"/>
        <v/>
      </c>
      <c r="EO285" s="72" t="str">
        <f t="shared" si="4162"/>
        <v/>
      </c>
      <c r="EP285" s="72" t="str">
        <f t="shared" si="4163"/>
        <v/>
      </c>
      <c r="EQ285" s="72" t="str">
        <f t="shared" si="4164"/>
        <v/>
      </c>
      <c r="ER285" s="72" t="str">
        <f t="shared" si="4165"/>
        <v/>
      </c>
      <c r="ES285" s="72" t="str">
        <f t="shared" si="4166"/>
        <v/>
      </c>
      <c r="ET285" s="72" t="str">
        <f t="shared" si="4167"/>
        <v/>
      </c>
      <c r="EU285" s="72" t="str">
        <f t="shared" si="4168"/>
        <v/>
      </c>
      <c r="EV285" s="72" t="str">
        <f t="shared" si="4169"/>
        <v/>
      </c>
      <c r="EW285" s="72" t="str">
        <f t="shared" si="4170"/>
        <v/>
      </c>
      <c r="EX285" s="72" t="str">
        <f t="shared" si="4171"/>
        <v/>
      </c>
      <c r="EY285" s="72" t="str">
        <f t="shared" si="4172"/>
        <v/>
      </c>
      <c r="EZ285" s="72" t="str">
        <f t="shared" si="4173"/>
        <v/>
      </c>
      <c r="FA285" s="72" t="str">
        <f t="shared" si="4174"/>
        <v/>
      </c>
      <c r="FB285" s="72" t="str">
        <f t="shared" si="4175"/>
        <v/>
      </c>
      <c r="FC285" s="72" t="str">
        <f t="shared" si="4176"/>
        <v/>
      </c>
      <c r="FD285" s="72" t="str">
        <f t="shared" si="4177"/>
        <v/>
      </c>
      <c r="FE285" s="72" t="str">
        <f t="shared" si="4178"/>
        <v/>
      </c>
      <c r="FF285" s="72" t="str">
        <f t="shared" si="4179"/>
        <v/>
      </c>
      <c r="FG285" s="72" t="str">
        <f t="shared" si="4180"/>
        <v/>
      </c>
      <c r="FH285" s="72" t="str">
        <f t="shared" si="4181"/>
        <v/>
      </c>
      <c r="FI285" s="72" t="str">
        <f t="shared" si="4182"/>
        <v/>
      </c>
      <c r="FJ285" s="72" t="str">
        <f t="shared" si="4183"/>
        <v/>
      </c>
      <c r="FK285" s="72" t="str">
        <f t="shared" si="4184"/>
        <v/>
      </c>
      <c r="FL285" s="72" t="str">
        <f t="shared" si="4185"/>
        <v/>
      </c>
      <c r="FM285" s="72" t="str">
        <f t="shared" si="4186"/>
        <v/>
      </c>
      <c r="FN285" s="72" t="str">
        <f t="shared" si="4187"/>
        <v/>
      </c>
      <c r="FO285" s="72" t="str">
        <f t="shared" si="4188"/>
        <v/>
      </c>
      <c r="FP285" s="72" t="str">
        <f t="shared" si="4189"/>
        <v/>
      </c>
      <c r="FQ285" s="72" t="str">
        <f t="shared" si="4190"/>
        <v/>
      </c>
      <c r="FR285" s="72" t="str">
        <f t="shared" si="4191"/>
        <v/>
      </c>
      <c r="FS285" s="72" t="str">
        <f t="shared" si="4192"/>
        <v/>
      </c>
    </row>
    <row r="286" spans="1:175" ht="15">
      <c r="A286" s="134"/>
      <c r="B286" s="104" t="s">
        <v>877</v>
      </c>
      <c r="C286" s="104" t="s">
        <v>878</v>
      </c>
      <c r="T286" s="141"/>
      <c r="U286" s="88"/>
      <c r="CN286" s="70" t="str">
        <f t="shared" ref="CN286" si="4269">"InitUnitState('"&amp;B286&amp;"',"&amp;V286&amp;","&amp;W286&amp;","&amp;X286&amp;","&amp;Y286&amp;","&amp;Z286&amp;","&amp;AA286&amp;","&amp;AB286&amp;","&amp;AC286&amp;","&amp;AD286&amp;","&amp;AE286&amp;")"</f>
        <v>InitUnitState('IC01',,,,,,,,,,)</v>
      </c>
      <c r="CO286" s="70" t="str">
        <f t="shared" ref="CO286" si="4270">"InitUnitNormal('"&amp;B286&amp;"',"&amp;AF286&amp;","&amp;AG286&amp;","&amp;AH286&amp;","&amp;AI286&amp;","&amp;AJ286&amp;","&amp;AK286&amp;","&amp;AL286&amp;","&amp;AM286&amp;","&amp;AN286&amp;","&amp;AO286&amp;")"</f>
        <v>InitUnitNormal('IC01',,,,,,,,,,)</v>
      </c>
      <c r="CP286" s="70" t="str">
        <f t="shared" ref="CP286" si="4271">"InitUnitMagic('"&amp;B286&amp;"',"&amp;AP286&amp;","&amp;AQ286&amp;","&amp;AR286&amp;","&amp;AS286&amp;","&amp;AT286&amp;","&amp;AU286&amp;","&amp;AV286&amp;","&amp;AW286&amp;","&amp;BI286&amp;","&amp;BJ286&amp;")"</f>
        <v>InitUnitMagic('IC01',,,,,,,,,,)</v>
      </c>
      <c r="CQ286" s="70" t="str">
        <f t="shared" ref="CQ286" si="4272">"InitUnitAdd('"&amp;B286&amp;"',"&amp;BK286&amp;","&amp;BL286&amp;","&amp;BM286&amp;","&amp;BN286&amp;","&amp;BO286&amp;","&amp;BP286&amp;","&amp;BQ286&amp;","&amp;BR286&amp;","&amp;BS286&amp;","&amp;BT286&amp;")"</f>
        <v>InitUnitAdd('IC01',,,,,,,,,,)</v>
      </c>
      <c r="CR286" s="70" t="str">
        <f t="shared" ref="CR286" si="4273">"InitEquipData('"&amp;B286&amp;"',"&amp;D286&amp;","&amp;CR$1&amp;A286&amp;CR$1&amp;","&amp;E286&amp;","&amp;I286&amp;","&amp;F286&amp;","&amp;G286&amp;",'"&amp;J286&amp;"','"&amp;K286&amp;"','"&amp;L286&amp;"','"&amp;M286&amp;"','"&amp;N286&amp;"','"&amp;O286&amp;"',"&amp;CR$1&amp;U287&amp;CR$1&amp;")"</f>
        <v>InitEquipData('IC01',,"",,,,,'','','','','','',"")</v>
      </c>
      <c r="CU286" s="98" t="str">
        <f t="shared" si="4046"/>
        <v>|n</v>
      </c>
      <c r="CW286" s="61"/>
      <c r="CX286" s="61"/>
      <c r="CY286" s="61"/>
      <c r="CZ286" s="61"/>
      <c r="DA286" s="61"/>
      <c r="DB286" s="72" t="str">
        <f t="shared" si="4047"/>
        <v/>
      </c>
      <c r="DC286" s="72" t="str">
        <f t="shared" si="4048"/>
        <v/>
      </c>
      <c r="DD286" s="72" t="str">
        <f t="shared" si="4049"/>
        <v/>
      </c>
      <c r="DE286" s="72" t="str">
        <f t="shared" si="4050"/>
        <v/>
      </c>
      <c r="DF286" s="72" t="str">
        <f t="shared" si="4051"/>
        <v/>
      </c>
      <c r="DG286" s="72" t="str">
        <f t="shared" si="4052"/>
        <v/>
      </c>
      <c r="DH286" s="72" t="str">
        <f t="shared" si="4053"/>
        <v/>
      </c>
      <c r="DI286" s="72" t="str">
        <f t="shared" si="4054"/>
        <v/>
      </c>
      <c r="DJ286" s="72" t="str">
        <f t="shared" si="4055"/>
        <v/>
      </c>
      <c r="DK286" s="72" t="str">
        <f t="shared" si="4056"/>
        <v/>
      </c>
      <c r="DL286" s="72" t="str">
        <f t="shared" si="4057"/>
        <v/>
      </c>
      <c r="DM286" s="72" t="str">
        <f t="shared" si="4058"/>
        <v/>
      </c>
      <c r="DN286" s="72" t="str">
        <f t="shared" si="4059"/>
        <v/>
      </c>
      <c r="DO286" s="72" t="str">
        <f t="shared" si="4060"/>
        <v/>
      </c>
      <c r="DP286" s="72" t="str">
        <f t="shared" si="4061"/>
        <v/>
      </c>
      <c r="DQ286" s="72" t="str">
        <f t="shared" si="4062"/>
        <v/>
      </c>
      <c r="DR286" s="72" t="str">
        <f t="shared" si="4063"/>
        <v/>
      </c>
      <c r="DS286" s="72" t="str">
        <f t="shared" si="4064"/>
        <v/>
      </c>
      <c r="DT286" s="72" t="str">
        <f t="shared" si="4065"/>
        <v/>
      </c>
      <c r="DU286" s="72" t="str">
        <f t="shared" si="4066"/>
        <v/>
      </c>
      <c r="DV286" s="72" t="str">
        <f t="shared" si="4067"/>
        <v/>
      </c>
      <c r="DW286" s="72" t="str">
        <f t="shared" si="4068"/>
        <v/>
      </c>
      <c r="DX286" s="72" t="str">
        <f t="shared" si="4069"/>
        <v/>
      </c>
      <c r="DY286" s="72" t="str">
        <f t="shared" si="4070"/>
        <v/>
      </c>
      <c r="DZ286" s="72" t="str">
        <f t="shared" si="4071"/>
        <v/>
      </c>
      <c r="EA286" s="72" t="str">
        <f t="shared" si="4072"/>
        <v/>
      </c>
      <c r="EB286" s="72" t="str">
        <f t="shared" si="4073"/>
        <v/>
      </c>
      <c r="EC286" s="72" t="str">
        <f t="shared" si="4074"/>
        <v/>
      </c>
      <c r="ED286" s="72" t="str">
        <f t="shared" si="4075"/>
        <v/>
      </c>
      <c r="EE286" s="72" t="str">
        <f t="shared" si="4076"/>
        <v/>
      </c>
      <c r="EF286" s="72" t="str">
        <f t="shared" si="4077"/>
        <v/>
      </c>
      <c r="EG286" s="72" t="str">
        <f t="shared" si="4078"/>
        <v/>
      </c>
      <c r="EH286" s="72" t="str">
        <f t="shared" si="4079"/>
        <v/>
      </c>
      <c r="EI286" s="72" t="str">
        <f t="shared" si="4080"/>
        <v/>
      </c>
      <c r="EJ286" s="72" t="str">
        <f t="shared" si="4081"/>
        <v/>
      </c>
      <c r="EK286" s="72" t="str">
        <f t="shared" si="4082"/>
        <v/>
      </c>
      <c r="EL286" s="72" t="str">
        <f t="shared" si="4083"/>
        <v/>
      </c>
      <c r="EM286" s="72" t="str">
        <f t="shared" si="4084"/>
        <v/>
      </c>
      <c r="EN286" s="72" t="str">
        <f t="shared" si="4085"/>
        <v/>
      </c>
      <c r="EO286" s="72" t="str">
        <f t="shared" si="4086"/>
        <v/>
      </c>
      <c r="EP286" s="72" t="str">
        <f t="shared" si="4087"/>
        <v/>
      </c>
      <c r="EQ286" s="72" t="str">
        <f t="shared" si="4088"/>
        <v/>
      </c>
      <c r="ER286" s="72" t="str">
        <f t="shared" si="4089"/>
        <v/>
      </c>
      <c r="ES286" s="72" t="str">
        <f t="shared" si="4090"/>
        <v/>
      </c>
      <c r="ET286" s="72" t="str">
        <f t="shared" si="4091"/>
        <v/>
      </c>
      <c r="EU286" s="72" t="str">
        <f t="shared" si="4092"/>
        <v/>
      </c>
      <c r="EV286" s="72" t="str">
        <f t="shared" si="4093"/>
        <v/>
      </c>
      <c r="EW286" s="72" t="str">
        <f t="shared" si="4094"/>
        <v/>
      </c>
      <c r="EX286" s="72" t="str">
        <f t="shared" si="4095"/>
        <v/>
      </c>
      <c r="EY286" s="72" t="str">
        <f t="shared" si="4096"/>
        <v/>
      </c>
      <c r="EZ286" s="72" t="str">
        <f t="shared" si="4097"/>
        <v/>
      </c>
      <c r="FA286" s="72" t="str">
        <f t="shared" si="4098"/>
        <v/>
      </c>
      <c r="FB286" s="72" t="str">
        <f t="shared" si="4099"/>
        <v/>
      </c>
      <c r="FC286" s="72" t="str">
        <f t="shared" si="4100"/>
        <v/>
      </c>
      <c r="FD286" s="72" t="str">
        <f t="shared" si="4101"/>
        <v/>
      </c>
      <c r="FE286" s="72" t="str">
        <f t="shared" si="4102"/>
        <v/>
      </c>
      <c r="FF286" s="72" t="str">
        <f t="shared" si="4103"/>
        <v/>
      </c>
      <c r="FG286" s="72" t="str">
        <f t="shared" si="4104"/>
        <v/>
      </c>
      <c r="FH286" s="72" t="str">
        <f t="shared" si="4105"/>
        <v/>
      </c>
      <c r="FI286" s="72" t="str">
        <f t="shared" si="4106"/>
        <v/>
      </c>
      <c r="FJ286" s="72" t="str">
        <f t="shared" si="4107"/>
        <v/>
      </c>
      <c r="FK286" s="72" t="str">
        <f t="shared" si="4108"/>
        <v/>
      </c>
      <c r="FL286" s="72" t="str">
        <f t="shared" si="4109"/>
        <v/>
      </c>
      <c r="FM286" s="72" t="str">
        <f t="shared" si="4110"/>
        <v/>
      </c>
      <c r="FN286" s="72" t="str">
        <f t="shared" si="4111"/>
        <v/>
      </c>
      <c r="FO286" s="72" t="str">
        <f t="shared" si="4112"/>
        <v/>
      </c>
      <c r="FP286" s="72" t="str">
        <f t="shared" si="4113"/>
        <v/>
      </c>
      <c r="FQ286" s="72" t="str">
        <f t="shared" si="4114"/>
        <v/>
      </c>
      <c r="FR286" s="72" t="str">
        <f t="shared" si="4115"/>
        <v/>
      </c>
      <c r="FS286" s="72" t="str">
        <f t="shared" si="4116"/>
        <v/>
      </c>
    </row>
    <row r="287" spans="1:175" ht="15">
      <c r="A287" s="82"/>
      <c r="B287" s="104" t="s">
        <v>879</v>
      </c>
      <c r="C287" s="104" t="s">
        <v>119</v>
      </c>
      <c r="T287" s="150"/>
      <c r="U287" s="88"/>
      <c r="CN287" s="70" t="str">
        <f t="shared" ref="CN287:CN295" si="4274">"InitUnitState('"&amp;B287&amp;"',"&amp;V287&amp;","&amp;W287&amp;","&amp;X287&amp;","&amp;Y287&amp;","&amp;Z287&amp;","&amp;AA287&amp;","&amp;AB287&amp;","&amp;AC287&amp;","&amp;AD287&amp;","&amp;AE287&amp;")"</f>
        <v>InitUnitState('IC02',,,,,,,,,,)</v>
      </c>
      <c r="CO287" s="70" t="str">
        <f t="shared" ref="CO287:CO295" si="4275">"InitUnitNormal('"&amp;B287&amp;"',"&amp;AF287&amp;","&amp;AG287&amp;","&amp;AH287&amp;","&amp;AI287&amp;","&amp;AJ287&amp;","&amp;AK287&amp;","&amp;AL287&amp;","&amp;AM287&amp;","&amp;AN287&amp;","&amp;AO287&amp;")"</f>
        <v>InitUnitNormal('IC02',,,,,,,,,,)</v>
      </c>
      <c r="CP287" s="70" t="str">
        <f t="shared" ref="CP287:CP295" si="4276">"InitUnitMagic('"&amp;B287&amp;"',"&amp;AP287&amp;","&amp;AQ287&amp;","&amp;AR287&amp;","&amp;AS287&amp;","&amp;AT287&amp;","&amp;AU287&amp;","&amp;AV287&amp;","&amp;AW287&amp;","&amp;BI287&amp;","&amp;BJ287&amp;")"</f>
        <v>InitUnitMagic('IC02',,,,,,,,,,)</v>
      </c>
      <c r="CQ287" s="70" t="str">
        <f t="shared" ref="CQ287:CQ295" si="4277">"InitUnitAdd('"&amp;B287&amp;"',"&amp;BK287&amp;","&amp;BL287&amp;","&amp;BM287&amp;","&amp;BN287&amp;","&amp;BO287&amp;","&amp;BP287&amp;","&amp;BQ287&amp;","&amp;BR287&amp;","&amp;BS287&amp;","&amp;BT287&amp;")"</f>
        <v>InitUnitAdd('IC02',,,,,,,,,,)</v>
      </c>
      <c r="CR287" s="70" t="str">
        <f t="shared" si="3974"/>
        <v>InitEquipData('IC02',,"",,,,,'','','','','','',"")</v>
      </c>
      <c r="CU287" s="98" t="str">
        <f t="shared" si="4046"/>
        <v>|n</v>
      </c>
      <c r="CW287" s="61"/>
      <c r="CX287" s="61"/>
      <c r="CY287" s="61"/>
      <c r="CZ287" s="61"/>
      <c r="DA287" s="61"/>
      <c r="DB287" s="72" t="str">
        <f t="shared" si="4047"/>
        <v/>
      </c>
      <c r="DC287" s="72" t="str">
        <f t="shared" si="4048"/>
        <v/>
      </c>
      <c r="DD287" s="72" t="str">
        <f t="shared" si="4049"/>
        <v/>
      </c>
      <c r="DE287" s="72" t="str">
        <f t="shared" si="4050"/>
        <v/>
      </c>
      <c r="DF287" s="72" t="str">
        <f t="shared" si="4051"/>
        <v/>
      </c>
      <c r="DG287" s="72" t="str">
        <f t="shared" si="4052"/>
        <v/>
      </c>
      <c r="DH287" s="72" t="str">
        <f t="shared" si="4053"/>
        <v/>
      </c>
      <c r="DI287" s="72" t="str">
        <f t="shared" si="4054"/>
        <v/>
      </c>
      <c r="DJ287" s="72" t="str">
        <f t="shared" si="4055"/>
        <v/>
      </c>
      <c r="DK287" s="72" t="str">
        <f t="shared" si="4056"/>
        <v/>
      </c>
      <c r="DL287" s="72" t="str">
        <f t="shared" si="4057"/>
        <v/>
      </c>
      <c r="DM287" s="72" t="str">
        <f t="shared" si="4058"/>
        <v/>
      </c>
      <c r="DN287" s="72" t="str">
        <f t="shared" si="4059"/>
        <v/>
      </c>
      <c r="DO287" s="72" t="str">
        <f t="shared" si="4060"/>
        <v/>
      </c>
      <c r="DP287" s="72" t="str">
        <f t="shared" si="4061"/>
        <v/>
      </c>
      <c r="DQ287" s="72" t="str">
        <f t="shared" si="4062"/>
        <v/>
      </c>
      <c r="DR287" s="72" t="str">
        <f t="shared" si="4063"/>
        <v/>
      </c>
      <c r="DS287" s="72" t="str">
        <f t="shared" si="4064"/>
        <v/>
      </c>
      <c r="DT287" s="72" t="str">
        <f t="shared" si="4065"/>
        <v/>
      </c>
      <c r="DU287" s="72" t="str">
        <f t="shared" si="4066"/>
        <v/>
      </c>
      <c r="DV287" s="72" t="str">
        <f t="shared" si="4067"/>
        <v/>
      </c>
      <c r="DW287" s="72" t="str">
        <f t="shared" si="4068"/>
        <v/>
      </c>
      <c r="DX287" s="72" t="str">
        <f t="shared" si="4069"/>
        <v/>
      </c>
      <c r="DY287" s="72" t="str">
        <f t="shared" si="4070"/>
        <v/>
      </c>
      <c r="DZ287" s="72" t="str">
        <f t="shared" si="4071"/>
        <v/>
      </c>
      <c r="EA287" s="72" t="str">
        <f t="shared" si="4072"/>
        <v/>
      </c>
      <c r="EB287" s="72" t="str">
        <f t="shared" si="4073"/>
        <v/>
      </c>
      <c r="EC287" s="72" t="str">
        <f t="shared" si="4074"/>
        <v/>
      </c>
      <c r="ED287" s="72" t="str">
        <f t="shared" si="4075"/>
        <v/>
      </c>
      <c r="EE287" s="72" t="str">
        <f t="shared" si="4076"/>
        <v/>
      </c>
      <c r="EF287" s="72" t="str">
        <f t="shared" si="4077"/>
        <v/>
      </c>
      <c r="EG287" s="72" t="str">
        <f t="shared" si="4078"/>
        <v/>
      </c>
      <c r="EH287" s="72" t="str">
        <f t="shared" si="4079"/>
        <v/>
      </c>
      <c r="EI287" s="72" t="str">
        <f t="shared" si="4080"/>
        <v/>
      </c>
      <c r="EJ287" s="72" t="str">
        <f t="shared" si="4081"/>
        <v/>
      </c>
      <c r="EK287" s="72" t="str">
        <f t="shared" si="4082"/>
        <v/>
      </c>
      <c r="EL287" s="72" t="str">
        <f t="shared" si="4083"/>
        <v/>
      </c>
      <c r="EM287" s="72" t="str">
        <f t="shared" si="4084"/>
        <v/>
      </c>
      <c r="EN287" s="72" t="str">
        <f t="shared" si="4085"/>
        <v/>
      </c>
      <c r="EO287" s="72" t="str">
        <f t="shared" si="4086"/>
        <v/>
      </c>
      <c r="EP287" s="72" t="str">
        <f t="shared" si="4087"/>
        <v/>
      </c>
      <c r="EQ287" s="72" t="str">
        <f t="shared" si="4088"/>
        <v/>
      </c>
      <c r="ER287" s="72" t="str">
        <f t="shared" si="4089"/>
        <v/>
      </c>
      <c r="ES287" s="72" t="str">
        <f t="shared" si="4090"/>
        <v/>
      </c>
      <c r="ET287" s="72" t="str">
        <f t="shared" si="4091"/>
        <v/>
      </c>
      <c r="EU287" s="72" t="str">
        <f t="shared" si="4092"/>
        <v/>
      </c>
      <c r="EV287" s="72" t="str">
        <f t="shared" si="4093"/>
        <v/>
      </c>
      <c r="EW287" s="72" t="str">
        <f t="shared" si="4094"/>
        <v/>
      </c>
      <c r="EX287" s="72" t="str">
        <f t="shared" si="4095"/>
        <v/>
      </c>
      <c r="EY287" s="72" t="str">
        <f t="shared" si="4096"/>
        <v/>
      </c>
      <c r="EZ287" s="72" t="str">
        <f t="shared" si="4097"/>
        <v/>
      </c>
      <c r="FA287" s="72" t="str">
        <f t="shared" si="4098"/>
        <v/>
      </c>
      <c r="FB287" s="72" t="str">
        <f t="shared" si="4099"/>
        <v/>
      </c>
      <c r="FC287" s="72" t="str">
        <f t="shared" si="4100"/>
        <v/>
      </c>
      <c r="FD287" s="72" t="str">
        <f t="shared" si="4101"/>
        <v/>
      </c>
      <c r="FE287" s="72" t="str">
        <f t="shared" si="4102"/>
        <v/>
      </c>
      <c r="FF287" s="72" t="str">
        <f t="shared" si="4103"/>
        <v/>
      </c>
      <c r="FG287" s="72" t="str">
        <f t="shared" si="4104"/>
        <v/>
      </c>
      <c r="FH287" s="72" t="str">
        <f t="shared" si="4105"/>
        <v/>
      </c>
      <c r="FI287" s="72" t="str">
        <f t="shared" si="4106"/>
        <v/>
      </c>
      <c r="FJ287" s="72" t="str">
        <f t="shared" si="4107"/>
        <v/>
      </c>
      <c r="FK287" s="72" t="str">
        <f t="shared" si="4108"/>
        <v/>
      </c>
      <c r="FL287" s="72" t="str">
        <f t="shared" si="4109"/>
        <v/>
      </c>
      <c r="FM287" s="72" t="str">
        <f t="shared" si="4110"/>
        <v/>
      </c>
      <c r="FN287" s="72" t="str">
        <f t="shared" si="4111"/>
        <v/>
      </c>
      <c r="FO287" s="72" t="str">
        <f t="shared" si="4112"/>
        <v/>
      </c>
      <c r="FP287" s="72" t="str">
        <f t="shared" si="4113"/>
        <v/>
      </c>
      <c r="FQ287" s="72" t="str">
        <f t="shared" si="4114"/>
        <v/>
      </c>
      <c r="FR287" s="72" t="str">
        <f t="shared" si="4115"/>
        <v/>
      </c>
      <c r="FS287" s="72" t="str">
        <f t="shared" si="4116"/>
        <v/>
      </c>
    </row>
    <row r="288" spans="1:175" s="61" customFormat="1" ht="15">
      <c r="A288" s="143"/>
      <c r="B288" s="104" t="s">
        <v>880</v>
      </c>
      <c r="C288" s="104" t="s">
        <v>881</v>
      </c>
      <c r="D288" s="75"/>
      <c r="E288" s="76"/>
      <c r="F288" s="144"/>
      <c r="G288" s="145"/>
      <c r="H288" s="145"/>
      <c r="I288" s="145"/>
      <c r="J288" s="145"/>
      <c r="K288" s="145"/>
      <c r="L288" s="145"/>
      <c r="M288" s="145"/>
      <c r="N288" s="145"/>
      <c r="O288" s="145"/>
      <c r="P288" s="85"/>
      <c r="Q288" s="85"/>
      <c r="R288" s="85"/>
      <c r="S288" s="85"/>
      <c r="T288" s="107"/>
      <c r="U288" s="88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si="4274"/>
        <v>InitUnitState('IC03',,,,,,,,,,)</v>
      </c>
      <c r="CO288" s="96" t="str">
        <f t="shared" si="4275"/>
        <v>InitUnitNormal('IC03',,,,,,,,,,)</v>
      </c>
      <c r="CP288" s="96" t="str">
        <f t="shared" si="4276"/>
        <v>InitUnitMagic('IC03',,,,,,,,,,)</v>
      </c>
      <c r="CQ288" s="96" t="str">
        <f t="shared" si="4277"/>
        <v>InitUnitAdd('IC03',,,,,,,,,,)</v>
      </c>
      <c r="CR288" s="96" t="str">
        <f t="shared" si="3974"/>
        <v>InitEquipData('IC03',,"",,,,,'','','','','','',"")</v>
      </c>
      <c r="CS288" s="96"/>
      <c r="CT288" s="96"/>
      <c r="CU288" s="98" t="str">
        <f t="shared" si="4046"/>
        <v>|n</v>
      </c>
      <c r="CV288" s="71"/>
      <c r="DB288" s="72" t="str">
        <f t="shared" si="4047"/>
        <v/>
      </c>
      <c r="DC288" s="72" t="str">
        <f t="shared" si="4048"/>
        <v/>
      </c>
      <c r="DD288" s="72" t="str">
        <f t="shared" si="4049"/>
        <v/>
      </c>
      <c r="DE288" s="72" t="str">
        <f t="shared" si="4050"/>
        <v/>
      </c>
      <c r="DF288" s="72" t="str">
        <f t="shared" si="4051"/>
        <v/>
      </c>
      <c r="DG288" s="72" t="str">
        <f t="shared" si="4052"/>
        <v/>
      </c>
      <c r="DH288" s="72" t="str">
        <f t="shared" si="4053"/>
        <v/>
      </c>
      <c r="DI288" s="72" t="str">
        <f t="shared" si="4054"/>
        <v/>
      </c>
      <c r="DJ288" s="72" t="str">
        <f t="shared" si="4055"/>
        <v/>
      </c>
      <c r="DK288" s="72" t="str">
        <f t="shared" si="4056"/>
        <v/>
      </c>
      <c r="DL288" s="72" t="str">
        <f t="shared" si="4057"/>
        <v/>
      </c>
      <c r="DM288" s="72" t="str">
        <f t="shared" si="4058"/>
        <v/>
      </c>
      <c r="DN288" s="72" t="str">
        <f t="shared" si="4059"/>
        <v/>
      </c>
      <c r="DO288" s="72" t="str">
        <f t="shared" si="4060"/>
        <v/>
      </c>
      <c r="DP288" s="72" t="str">
        <f t="shared" si="4061"/>
        <v/>
      </c>
      <c r="DQ288" s="72" t="str">
        <f t="shared" si="4062"/>
        <v/>
      </c>
      <c r="DR288" s="72" t="str">
        <f t="shared" si="4063"/>
        <v/>
      </c>
      <c r="DS288" s="72" t="str">
        <f t="shared" si="4064"/>
        <v/>
      </c>
      <c r="DT288" s="72" t="str">
        <f t="shared" si="4065"/>
        <v/>
      </c>
      <c r="DU288" s="72" t="str">
        <f t="shared" si="4066"/>
        <v/>
      </c>
      <c r="DV288" s="72" t="str">
        <f t="shared" si="4067"/>
        <v/>
      </c>
      <c r="DW288" s="72" t="str">
        <f t="shared" si="4068"/>
        <v/>
      </c>
      <c r="DX288" s="72" t="str">
        <f t="shared" si="4069"/>
        <v/>
      </c>
      <c r="DY288" s="72" t="str">
        <f t="shared" si="4070"/>
        <v/>
      </c>
      <c r="DZ288" s="72" t="str">
        <f t="shared" si="4071"/>
        <v/>
      </c>
      <c r="EA288" s="72" t="str">
        <f t="shared" si="4072"/>
        <v/>
      </c>
      <c r="EB288" s="72" t="str">
        <f t="shared" si="4073"/>
        <v/>
      </c>
      <c r="EC288" s="72" t="str">
        <f t="shared" si="4074"/>
        <v/>
      </c>
      <c r="ED288" s="72" t="str">
        <f t="shared" si="4075"/>
        <v/>
      </c>
      <c r="EE288" s="72" t="str">
        <f t="shared" si="4076"/>
        <v/>
      </c>
      <c r="EF288" s="72" t="str">
        <f t="shared" si="4077"/>
        <v/>
      </c>
      <c r="EG288" s="72" t="str">
        <f t="shared" si="4078"/>
        <v/>
      </c>
      <c r="EH288" s="72" t="str">
        <f t="shared" si="4079"/>
        <v/>
      </c>
      <c r="EI288" s="72" t="str">
        <f t="shared" si="4080"/>
        <v/>
      </c>
      <c r="EJ288" s="72" t="str">
        <f t="shared" si="4081"/>
        <v/>
      </c>
      <c r="EK288" s="72" t="str">
        <f t="shared" si="4082"/>
        <v/>
      </c>
      <c r="EL288" s="72" t="str">
        <f t="shared" si="4083"/>
        <v/>
      </c>
      <c r="EM288" s="72" t="str">
        <f t="shared" si="4084"/>
        <v/>
      </c>
      <c r="EN288" s="72" t="str">
        <f t="shared" si="4085"/>
        <v/>
      </c>
      <c r="EO288" s="72" t="str">
        <f t="shared" si="4086"/>
        <v/>
      </c>
      <c r="EP288" s="72" t="str">
        <f t="shared" si="4087"/>
        <v/>
      </c>
      <c r="EQ288" s="72" t="str">
        <f t="shared" si="4088"/>
        <v/>
      </c>
      <c r="ER288" s="72" t="str">
        <f t="shared" si="4089"/>
        <v/>
      </c>
      <c r="ES288" s="72" t="str">
        <f t="shared" si="4090"/>
        <v/>
      </c>
      <c r="ET288" s="72" t="str">
        <f t="shared" si="4091"/>
        <v/>
      </c>
      <c r="EU288" s="72" t="str">
        <f t="shared" si="4092"/>
        <v/>
      </c>
      <c r="EV288" s="72" t="str">
        <f t="shared" si="4093"/>
        <v/>
      </c>
      <c r="EW288" s="72" t="str">
        <f t="shared" si="4094"/>
        <v/>
      </c>
      <c r="EX288" s="72" t="str">
        <f t="shared" si="4095"/>
        <v/>
      </c>
      <c r="EY288" s="72" t="str">
        <f t="shared" si="4096"/>
        <v/>
      </c>
      <c r="EZ288" s="72" t="str">
        <f t="shared" si="4097"/>
        <v/>
      </c>
      <c r="FA288" s="72" t="str">
        <f t="shared" si="4098"/>
        <v/>
      </c>
      <c r="FB288" s="72" t="str">
        <f t="shared" si="4099"/>
        <v/>
      </c>
      <c r="FC288" s="72" t="str">
        <f t="shared" si="4100"/>
        <v/>
      </c>
      <c r="FD288" s="72" t="str">
        <f t="shared" si="4101"/>
        <v/>
      </c>
      <c r="FE288" s="72" t="str">
        <f t="shared" si="4102"/>
        <v/>
      </c>
      <c r="FF288" s="72" t="str">
        <f t="shared" si="4103"/>
        <v/>
      </c>
      <c r="FG288" s="72" t="str">
        <f t="shared" si="4104"/>
        <v/>
      </c>
      <c r="FH288" s="72" t="str">
        <f t="shared" si="4105"/>
        <v/>
      </c>
      <c r="FI288" s="72" t="str">
        <f t="shared" si="4106"/>
        <v/>
      </c>
      <c r="FJ288" s="72" t="str">
        <f t="shared" si="4107"/>
        <v/>
      </c>
      <c r="FK288" s="72" t="str">
        <f t="shared" si="4108"/>
        <v/>
      </c>
      <c r="FL288" s="72" t="str">
        <f t="shared" si="4109"/>
        <v/>
      </c>
      <c r="FM288" s="72" t="str">
        <f t="shared" si="4110"/>
        <v/>
      </c>
      <c r="FN288" s="72" t="str">
        <f t="shared" si="4111"/>
        <v/>
      </c>
      <c r="FO288" s="72" t="str">
        <f t="shared" si="4112"/>
        <v/>
      </c>
      <c r="FP288" s="72" t="str">
        <f t="shared" si="4113"/>
        <v/>
      </c>
      <c r="FQ288" s="72" t="str">
        <f t="shared" si="4114"/>
        <v/>
      </c>
      <c r="FR288" s="72" t="str">
        <f t="shared" si="4115"/>
        <v/>
      </c>
      <c r="FS288" s="72" t="str">
        <f t="shared" si="4116"/>
        <v/>
      </c>
    </row>
    <row r="289" spans="1:175" s="61" customFormat="1" ht="15">
      <c r="A289" s="143"/>
      <c r="B289" s="104" t="s">
        <v>882</v>
      </c>
      <c r="C289" s="104" t="s">
        <v>883</v>
      </c>
      <c r="D289" s="75"/>
      <c r="E289" s="76"/>
      <c r="F289" s="144"/>
      <c r="G289" s="145"/>
      <c r="H289" s="145"/>
      <c r="I289" s="145"/>
      <c r="J289" s="145"/>
      <c r="K289" s="145"/>
      <c r="L289" s="145"/>
      <c r="M289" s="145"/>
      <c r="N289" s="145"/>
      <c r="O289" s="145"/>
      <c r="P289" s="85"/>
      <c r="Q289" s="85"/>
      <c r="R289" s="85"/>
      <c r="S289" s="85"/>
      <c r="T289" s="107"/>
      <c r="U289" s="88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4274"/>
        <v>InitUnitState('IC04',,,,,,,,,,)</v>
      </c>
      <c r="CO289" s="96" t="str">
        <f t="shared" si="4275"/>
        <v>InitUnitNormal('IC04',,,,,,,,,,)</v>
      </c>
      <c r="CP289" s="96" t="str">
        <f t="shared" si="4276"/>
        <v>InitUnitMagic('IC04',,,,,,,,,,)</v>
      </c>
      <c r="CQ289" s="96" t="str">
        <f t="shared" si="4277"/>
        <v>InitUnitAdd('IC04',,,,,,,,,,)</v>
      </c>
      <c r="CR289" s="96" t="str">
        <f t="shared" si="3974"/>
        <v>InitEquipData('IC04',,"",,,,,'','','','','','',"")</v>
      </c>
      <c r="CS289" s="96"/>
      <c r="CT289" s="96"/>
      <c r="CU289" s="98" t="str">
        <f t="shared" si="4046"/>
        <v>|n</v>
      </c>
      <c r="CV289" s="71"/>
      <c r="DB289" s="72" t="str">
        <f t="shared" si="4047"/>
        <v/>
      </c>
      <c r="DC289" s="72" t="str">
        <f t="shared" si="4048"/>
        <v/>
      </c>
      <c r="DD289" s="72" t="str">
        <f t="shared" si="4049"/>
        <v/>
      </c>
      <c r="DE289" s="72" t="str">
        <f t="shared" si="4050"/>
        <v/>
      </c>
      <c r="DF289" s="72" t="str">
        <f t="shared" si="4051"/>
        <v/>
      </c>
      <c r="DG289" s="72" t="str">
        <f t="shared" si="4052"/>
        <v/>
      </c>
      <c r="DH289" s="72" t="str">
        <f t="shared" si="4053"/>
        <v/>
      </c>
      <c r="DI289" s="72" t="str">
        <f t="shared" si="4054"/>
        <v/>
      </c>
      <c r="DJ289" s="72" t="str">
        <f t="shared" si="4055"/>
        <v/>
      </c>
      <c r="DK289" s="72" t="str">
        <f t="shared" si="4056"/>
        <v/>
      </c>
      <c r="DL289" s="72" t="str">
        <f t="shared" si="4057"/>
        <v/>
      </c>
      <c r="DM289" s="72" t="str">
        <f t="shared" si="4058"/>
        <v/>
      </c>
      <c r="DN289" s="72" t="str">
        <f t="shared" si="4059"/>
        <v/>
      </c>
      <c r="DO289" s="72" t="str">
        <f t="shared" si="4060"/>
        <v/>
      </c>
      <c r="DP289" s="72" t="str">
        <f t="shared" si="4061"/>
        <v/>
      </c>
      <c r="DQ289" s="72" t="str">
        <f t="shared" si="4062"/>
        <v/>
      </c>
      <c r="DR289" s="72" t="str">
        <f t="shared" si="4063"/>
        <v/>
      </c>
      <c r="DS289" s="72" t="str">
        <f t="shared" si="4064"/>
        <v/>
      </c>
      <c r="DT289" s="72" t="str">
        <f t="shared" si="4065"/>
        <v/>
      </c>
      <c r="DU289" s="72" t="str">
        <f t="shared" si="4066"/>
        <v/>
      </c>
      <c r="DV289" s="72" t="str">
        <f t="shared" si="4067"/>
        <v/>
      </c>
      <c r="DW289" s="72" t="str">
        <f t="shared" si="4068"/>
        <v/>
      </c>
      <c r="DX289" s="72" t="str">
        <f t="shared" si="4069"/>
        <v/>
      </c>
      <c r="DY289" s="72" t="str">
        <f t="shared" si="4070"/>
        <v/>
      </c>
      <c r="DZ289" s="72" t="str">
        <f t="shared" si="4071"/>
        <v/>
      </c>
      <c r="EA289" s="72" t="str">
        <f t="shared" si="4072"/>
        <v/>
      </c>
      <c r="EB289" s="72" t="str">
        <f t="shared" si="4073"/>
        <v/>
      </c>
      <c r="EC289" s="72" t="str">
        <f t="shared" si="4074"/>
        <v/>
      </c>
      <c r="ED289" s="72" t="str">
        <f t="shared" si="4075"/>
        <v/>
      </c>
      <c r="EE289" s="72" t="str">
        <f t="shared" si="4076"/>
        <v/>
      </c>
      <c r="EF289" s="72" t="str">
        <f t="shared" si="4077"/>
        <v/>
      </c>
      <c r="EG289" s="72" t="str">
        <f t="shared" si="4078"/>
        <v/>
      </c>
      <c r="EH289" s="72" t="str">
        <f t="shared" si="4079"/>
        <v/>
      </c>
      <c r="EI289" s="72" t="str">
        <f t="shared" si="4080"/>
        <v/>
      </c>
      <c r="EJ289" s="72" t="str">
        <f t="shared" si="4081"/>
        <v/>
      </c>
      <c r="EK289" s="72" t="str">
        <f t="shared" si="4082"/>
        <v/>
      </c>
      <c r="EL289" s="72" t="str">
        <f t="shared" si="4083"/>
        <v/>
      </c>
      <c r="EM289" s="72" t="str">
        <f t="shared" si="4084"/>
        <v/>
      </c>
      <c r="EN289" s="72" t="str">
        <f t="shared" si="4085"/>
        <v/>
      </c>
      <c r="EO289" s="72" t="str">
        <f t="shared" si="4086"/>
        <v/>
      </c>
      <c r="EP289" s="72" t="str">
        <f t="shared" si="4087"/>
        <v/>
      </c>
      <c r="EQ289" s="72" t="str">
        <f t="shared" si="4088"/>
        <v/>
      </c>
      <c r="ER289" s="72" t="str">
        <f t="shared" si="4089"/>
        <v/>
      </c>
      <c r="ES289" s="72" t="str">
        <f t="shared" si="4090"/>
        <v/>
      </c>
      <c r="ET289" s="72" t="str">
        <f t="shared" si="4091"/>
        <v/>
      </c>
      <c r="EU289" s="72" t="str">
        <f t="shared" si="4092"/>
        <v/>
      </c>
      <c r="EV289" s="72" t="str">
        <f t="shared" si="4093"/>
        <v/>
      </c>
      <c r="EW289" s="72" t="str">
        <f t="shared" si="4094"/>
        <v/>
      </c>
      <c r="EX289" s="72" t="str">
        <f t="shared" si="4095"/>
        <v/>
      </c>
      <c r="EY289" s="72" t="str">
        <f t="shared" si="4096"/>
        <v/>
      </c>
      <c r="EZ289" s="72" t="str">
        <f t="shared" si="4097"/>
        <v/>
      </c>
      <c r="FA289" s="72" t="str">
        <f t="shared" si="4098"/>
        <v/>
      </c>
      <c r="FB289" s="72" t="str">
        <f t="shared" si="4099"/>
        <v/>
      </c>
      <c r="FC289" s="72" t="str">
        <f t="shared" si="4100"/>
        <v/>
      </c>
      <c r="FD289" s="72" t="str">
        <f t="shared" si="4101"/>
        <v/>
      </c>
      <c r="FE289" s="72" t="str">
        <f t="shared" si="4102"/>
        <v/>
      </c>
      <c r="FF289" s="72" t="str">
        <f t="shared" si="4103"/>
        <v/>
      </c>
      <c r="FG289" s="72" t="str">
        <f t="shared" si="4104"/>
        <v/>
      </c>
      <c r="FH289" s="72" t="str">
        <f t="shared" si="4105"/>
        <v/>
      </c>
      <c r="FI289" s="72" t="str">
        <f t="shared" si="4106"/>
        <v/>
      </c>
      <c r="FJ289" s="72" t="str">
        <f t="shared" si="4107"/>
        <v/>
      </c>
      <c r="FK289" s="72" t="str">
        <f t="shared" si="4108"/>
        <v/>
      </c>
      <c r="FL289" s="72" t="str">
        <f t="shared" si="4109"/>
        <v/>
      </c>
      <c r="FM289" s="72" t="str">
        <f t="shared" si="4110"/>
        <v/>
      </c>
      <c r="FN289" s="72" t="str">
        <f t="shared" si="4111"/>
        <v/>
      </c>
      <c r="FO289" s="72" t="str">
        <f t="shared" si="4112"/>
        <v/>
      </c>
      <c r="FP289" s="72" t="str">
        <f t="shared" si="4113"/>
        <v/>
      </c>
      <c r="FQ289" s="72" t="str">
        <f t="shared" si="4114"/>
        <v/>
      </c>
      <c r="FR289" s="72" t="str">
        <f t="shared" si="4115"/>
        <v/>
      </c>
      <c r="FS289" s="72" t="str">
        <f t="shared" si="4116"/>
        <v/>
      </c>
    </row>
    <row r="290" spans="1:175" s="61" customFormat="1" ht="15">
      <c r="A290" s="143"/>
      <c r="B290" s="104" t="s">
        <v>884</v>
      </c>
      <c r="C290" s="104" t="s">
        <v>885</v>
      </c>
      <c r="D290" s="75"/>
      <c r="E290" s="76"/>
      <c r="F290" s="144"/>
      <c r="G290" s="145"/>
      <c r="H290" s="145"/>
      <c r="I290" s="145"/>
      <c r="J290" s="145"/>
      <c r="K290" s="145"/>
      <c r="L290" s="145"/>
      <c r="M290" s="145"/>
      <c r="N290" s="145"/>
      <c r="O290" s="145"/>
      <c r="P290" s="85"/>
      <c r="Q290" s="85"/>
      <c r="R290" s="85"/>
      <c r="S290" s="85"/>
      <c r="T290" s="107"/>
      <c r="U290" s="88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4274"/>
        <v>InitUnitState('IC05',,,,,,,,,,)</v>
      </c>
      <c r="CO290" s="96" t="str">
        <f t="shared" si="4275"/>
        <v>InitUnitNormal('IC05',,,,,,,,,,)</v>
      </c>
      <c r="CP290" s="96" t="str">
        <f t="shared" si="4276"/>
        <v>InitUnitMagic('IC05',,,,,,,,,,)</v>
      </c>
      <c r="CQ290" s="96" t="str">
        <f t="shared" si="4277"/>
        <v>InitUnitAdd('IC05',,,,,,,,,,)</v>
      </c>
      <c r="CR290" s="96" t="str">
        <f t="shared" si="3974"/>
        <v>InitEquipData('IC05',,"",,,,,'','','','','','',"")</v>
      </c>
      <c r="CS290" s="96"/>
      <c r="CT290" s="96"/>
      <c r="CU290" s="98" t="str">
        <f t="shared" si="4046"/>
        <v>|n</v>
      </c>
      <c r="CV290" s="71"/>
      <c r="DB290" s="72" t="str">
        <f t="shared" si="4047"/>
        <v/>
      </c>
      <c r="DC290" s="72" t="str">
        <f t="shared" si="4048"/>
        <v/>
      </c>
      <c r="DD290" s="72" t="str">
        <f t="shared" si="4049"/>
        <v/>
      </c>
      <c r="DE290" s="72" t="str">
        <f t="shared" si="4050"/>
        <v/>
      </c>
      <c r="DF290" s="72" t="str">
        <f t="shared" si="4051"/>
        <v/>
      </c>
      <c r="DG290" s="72" t="str">
        <f t="shared" si="4052"/>
        <v/>
      </c>
      <c r="DH290" s="72" t="str">
        <f t="shared" si="4053"/>
        <v/>
      </c>
      <c r="DI290" s="72" t="str">
        <f t="shared" si="4054"/>
        <v/>
      </c>
      <c r="DJ290" s="72" t="str">
        <f t="shared" si="4055"/>
        <v/>
      </c>
      <c r="DK290" s="72" t="str">
        <f t="shared" si="4056"/>
        <v/>
      </c>
      <c r="DL290" s="72" t="str">
        <f t="shared" si="4057"/>
        <v/>
      </c>
      <c r="DM290" s="72" t="str">
        <f t="shared" si="4058"/>
        <v/>
      </c>
      <c r="DN290" s="72" t="str">
        <f t="shared" si="4059"/>
        <v/>
      </c>
      <c r="DO290" s="72" t="str">
        <f t="shared" si="4060"/>
        <v/>
      </c>
      <c r="DP290" s="72" t="str">
        <f t="shared" si="4061"/>
        <v/>
      </c>
      <c r="DQ290" s="72" t="str">
        <f t="shared" si="4062"/>
        <v/>
      </c>
      <c r="DR290" s="72" t="str">
        <f t="shared" si="4063"/>
        <v/>
      </c>
      <c r="DS290" s="72" t="str">
        <f t="shared" si="4064"/>
        <v/>
      </c>
      <c r="DT290" s="72" t="str">
        <f t="shared" si="4065"/>
        <v/>
      </c>
      <c r="DU290" s="72" t="str">
        <f t="shared" si="4066"/>
        <v/>
      </c>
      <c r="DV290" s="72" t="str">
        <f t="shared" si="4067"/>
        <v/>
      </c>
      <c r="DW290" s="72" t="str">
        <f t="shared" si="4068"/>
        <v/>
      </c>
      <c r="DX290" s="72" t="str">
        <f t="shared" si="4069"/>
        <v/>
      </c>
      <c r="DY290" s="72" t="str">
        <f t="shared" si="4070"/>
        <v/>
      </c>
      <c r="DZ290" s="72" t="str">
        <f t="shared" si="4071"/>
        <v/>
      </c>
      <c r="EA290" s="72" t="str">
        <f t="shared" si="4072"/>
        <v/>
      </c>
      <c r="EB290" s="72" t="str">
        <f t="shared" si="4073"/>
        <v/>
      </c>
      <c r="EC290" s="72" t="str">
        <f t="shared" si="4074"/>
        <v/>
      </c>
      <c r="ED290" s="72" t="str">
        <f t="shared" si="4075"/>
        <v/>
      </c>
      <c r="EE290" s="72" t="str">
        <f t="shared" si="4076"/>
        <v/>
      </c>
      <c r="EF290" s="72" t="str">
        <f t="shared" si="4077"/>
        <v/>
      </c>
      <c r="EG290" s="72" t="str">
        <f t="shared" si="4078"/>
        <v/>
      </c>
      <c r="EH290" s="72" t="str">
        <f t="shared" si="4079"/>
        <v/>
      </c>
      <c r="EI290" s="72" t="str">
        <f t="shared" si="4080"/>
        <v/>
      </c>
      <c r="EJ290" s="72" t="str">
        <f t="shared" si="4081"/>
        <v/>
      </c>
      <c r="EK290" s="72" t="str">
        <f t="shared" si="4082"/>
        <v/>
      </c>
      <c r="EL290" s="72" t="str">
        <f t="shared" si="4083"/>
        <v/>
      </c>
      <c r="EM290" s="72" t="str">
        <f t="shared" si="4084"/>
        <v/>
      </c>
      <c r="EN290" s="72" t="str">
        <f t="shared" si="4085"/>
        <v/>
      </c>
      <c r="EO290" s="72" t="str">
        <f t="shared" si="4086"/>
        <v/>
      </c>
      <c r="EP290" s="72" t="str">
        <f t="shared" si="4087"/>
        <v/>
      </c>
      <c r="EQ290" s="72" t="str">
        <f t="shared" si="4088"/>
        <v/>
      </c>
      <c r="ER290" s="72" t="str">
        <f t="shared" si="4089"/>
        <v/>
      </c>
      <c r="ES290" s="72" t="str">
        <f t="shared" si="4090"/>
        <v/>
      </c>
      <c r="ET290" s="72" t="str">
        <f t="shared" si="4091"/>
        <v/>
      </c>
      <c r="EU290" s="72" t="str">
        <f t="shared" si="4092"/>
        <v/>
      </c>
      <c r="EV290" s="72" t="str">
        <f t="shared" si="4093"/>
        <v/>
      </c>
      <c r="EW290" s="72" t="str">
        <f t="shared" si="4094"/>
        <v/>
      </c>
      <c r="EX290" s="72" t="str">
        <f t="shared" si="4095"/>
        <v/>
      </c>
      <c r="EY290" s="72" t="str">
        <f t="shared" si="4096"/>
        <v/>
      </c>
      <c r="EZ290" s="72" t="str">
        <f t="shared" si="4097"/>
        <v/>
      </c>
      <c r="FA290" s="72" t="str">
        <f t="shared" si="4098"/>
        <v/>
      </c>
      <c r="FB290" s="72" t="str">
        <f t="shared" si="4099"/>
        <v/>
      </c>
      <c r="FC290" s="72" t="str">
        <f t="shared" si="4100"/>
        <v/>
      </c>
      <c r="FD290" s="72" t="str">
        <f t="shared" si="4101"/>
        <v/>
      </c>
      <c r="FE290" s="72" t="str">
        <f t="shared" si="4102"/>
        <v/>
      </c>
      <c r="FF290" s="72" t="str">
        <f t="shared" si="4103"/>
        <v/>
      </c>
      <c r="FG290" s="72" t="str">
        <f t="shared" si="4104"/>
        <v/>
      </c>
      <c r="FH290" s="72" t="str">
        <f t="shared" si="4105"/>
        <v/>
      </c>
      <c r="FI290" s="72" t="str">
        <f t="shared" si="4106"/>
        <v/>
      </c>
      <c r="FJ290" s="72" t="str">
        <f t="shared" si="4107"/>
        <v/>
      </c>
      <c r="FK290" s="72" t="str">
        <f t="shared" si="4108"/>
        <v/>
      </c>
      <c r="FL290" s="72" t="str">
        <f t="shared" si="4109"/>
        <v/>
      </c>
      <c r="FM290" s="72" t="str">
        <f t="shared" si="4110"/>
        <v/>
      </c>
      <c r="FN290" s="72" t="str">
        <f t="shared" si="4111"/>
        <v/>
      </c>
      <c r="FO290" s="72" t="str">
        <f t="shared" si="4112"/>
        <v/>
      </c>
      <c r="FP290" s="72" t="str">
        <f t="shared" si="4113"/>
        <v/>
      </c>
      <c r="FQ290" s="72" t="str">
        <f t="shared" si="4114"/>
        <v/>
      </c>
      <c r="FR290" s="72" t="str">
        <f t="shared" si="4115"/>
        <v/>
      </c>
      <c r="FS290" s="72" t="str">
        <f t="shared" si="4116"/>
        <v/>
      </c>
    </row>
    <row r="291" spans="1:175" s="61" customFormat="1" ht="15">
      <c r="A291" s="143"/>
      <c r="B291" s="104" t="s">
        <v>886</v>
      </c>
      <c r="C291" s="104" t="s">
        <v>887</v>
      </c>
      <c r="D291" s="75"/>
      <c r="E291" s="76"/>
      <c r="F291" s="144"/>
      <c r="G291" s="145"/>
      <c r="H291" s="145"/>
      <c r="I291" s="145"/>
      <c r="J291" s="145"/>
      <c r="K291" s="145"/>
      <c r="L291" s="145"/>
      <c r="M291" s="145"/>
      <c r="N291" s="145"/>
      <c r="O291" s="145"/>
      <c r="P291" s="85"/>
      <c r="Q291" s="85"/>
      <c r="R291" s="85"/>
      <c r="S291" s="85"/>
      <c r="T291" s="107"/>
      <c r="U291" s="88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4274"/>
        <v>InitUnitState('IC06',,,,,,,,,,)</v>
      </c>
      <c r="CO291" s="96" t="str">
        <f t="shared" si="4275"/>
        <v>InitUnitNormal('IC06',,,,,,,,,,)</v>
      </c>
      <c r="CP291" s="96" t="str">
        <f t="shared" si="4276"/>
        <v>InitUnitMagic('IC06',,,,,,,,,,)</v>
      </c>
      <c r="CQ291" s="96" t="str">
        <f t="shared" si="4277"/>
        <v>InitUnitAdd('IC06',,,,,,,,,,)</v>
      </c>
      <c r="CR291" s="96" t="str">
        <f t="shared" si="3974"/>
        <v>InitEquipData('IC06',,"",,,,,'','','','','','',"")</v>
      </c>
      <c r="CS291" s="96"/>
      <c r="CT291" s="96"/>
      <c r="CU291" s="98" t="str">
        <f t="shared" si="4046"/>
        <v>|n</v>
      </c>
      <c r="CV291" s="71"/>
      <c r="DB291" s="72" t="str">
        <f t="shared" si="4047"/>
        <v/>
      </c>
      <c r="DC291" s="72" t="str">
        <f t="shared" si="4048"/>
        <v/>
      </c>
      <c r="DD291" s="72" t="str">
        <f t="shared" si="4049"/>
        <v/>
      </c>
      <c r="DE291" s="72" t="str">
        <f t="shared" si="4050"/>
        <v/>
      </c>
      <c r="DF291" s="72" t="str">
        <f t="shared" si="4051"/>
        <v/>
      </c>
      <c r="DG291" s="72" t="str">
        <f t="shared" si="4052"/>
        <v/>
      </c>
      <c r="DH291" s="72" t="str">
        <f t="shared" si="4053"/>
        <v/>
      </c>
      <c r="DI291" s="72" t="str">
        <f t="shared" si="4054"/>
        <v/>
      </c>
      <c r="DJ291" s="72" t="str">
        <f t="shared" si="4055"/>
        <v/>
      </c>
      <c r="DK291" s="72" t="str">
        <f t="shared" si="4056"/>
        <v/>
      </c>
      <c r="DL291" s="72" t="str">
        <f t="shared" si="4057"/>
        <v/>
      </c>
      <c r="DM291" s="72" t="str">
        <f t="shared" si="4058"/>
        <v/>
      </c>
      <c r="DN291" s="72" t="str">
        <f t="shared" si="4059"/>
        <v/>
      </c>
      <c r="DO291" s="72" t="str">
        <f t="shared" si="4060"/>
        <v/>
      </c>
      <c r="DP291" s="72" t="str">
        <f t="shared" si="4061"/>
        <v/>
      </c>
      <c r="DQ291" s="72" t="str">
        <f t="shared" si="4062"/>
        <v/>
      </c>
      <c r="DR291" s="72" t="str">
        <f t="shared" si="4063"/>
        <v/>
      </c>
      <c r="DS291" s="72" t="str">
        <f t="shared" si="4064"/>
        <v/>
      </c>
      <c r="DT291" s="72" t="str">
        <f t="shared" si="4065"/>
        <v/>
      </c>
      <c r="DU291" s="72" t="str">
        <f t="shared" si="4066"/>
        <v/>
      </c>
      <c r="DV291" s="72" t="str">
        <f t="shared" si="4067"/>
        <v/>
      </c>
      <c r="DW291" s="72" t="str">
        <f t="shared" si="4068"/>
        <v/>
      </c>
      <c r="DX291" s="72" t="str">
        <f t="shared" si="4069"/>
        <v/>
      </c>
      <c r="DY291" s="72" t="str">
        <f t="shared" si="4070"/>
        <v/>
      </c>
      <c r="DZ291" s="72" t="str">
        <f t="shared" si="4071"/>
        <v/>
      </c>
      <c r="EA291" s="72" t="str">
        <f t="shared" si="4072"/>
        <v/>
      </c>
      <c r="EB291" s="72" t="str">
        <f t="shared" si="4073"/>
        <v/>
      </c>
      <c r="EC291" s="72" t="str">
        <f t="shared" si="4074"/>
        <v/>
      </c>
      <c r="ED291" s="72" t="str">
        <f t="shared" si="4075"/>
        <v/>
      </c>
      <c r="EE291" s="72" t="str">
        <f t="shared" si="4076"/>
        <v/>
      </c>
      <c r="EF291" s="72" t="str">
        <f t="shared" si="4077"/>
        <v/>
      </c>
      <c r="EG291" s="72" t="str">
        <f t="shared" si="4078"/>
        <v/>
      </c>
      <c r="EH291" s="72" t="str">
        <f t="shared" si="4079"/>
        <v/>
      </c>
      <c r="EI291" s="72" t="str">
        <f t="shared" si="4080"/>
        <v/>
      </c>
      <c r="EJ291" s="72" t="str">
        <f t="shared" si="4081"/>
        <v/>
      </c>
      <c r="EK291" s="72" t="str">
        <f t="shared" si="4082"/>
        <v/>
      </c>
      <c r="EL291" s="72" t="str">
        <f t="shared" si="4083"/>
        <v/>
      </c>
      <c r="EM291" s="72" t="str">
        <f t="shared" si="4084"/>
        <v/>
      </c>
      <c r="EN291" s="72" t="str">
        <f t="shared" si="4085"/>
        <v/>
      </c>
      <c r="EO291" s="72" t="str">
        <f t="shared" si="4086"/>
        <v/>
      </c>
      <c r="EP291" s="72" t="str">
        <f t="shared" si="4087"/>
        <v/>
      </c>
      <c r="EQ291" s="72" t="str">
        <f t="shared" si="4088"/>
        <v/>
      </c>
      <c r="ER291" s="72" t="str">
        <f t="shared" si="4089"/>
        <v/>
      </c>
      <c r="ES291" s="72" t="str">
        <f t="shared" si="4090"/>
        <v/>
      </c>
      <c r="ET291" s="72" t="str">
        <f t="shared" si="4091"/>
        <v/>
      </c>
      <c r="EU291" s="72" t="str">
        <f t="shared" si="4092"/>
        <v/>
      </c>
      <c r="EV291" s="72" t="str">
        <f t="shared" si="4093"/>
        <v/>
      </c>
      <c r="EW291" s="72" t="str">
        <f t="shared" si="4094"/>
        <v/>
      </c>
      <c r="EX291" s="72" t="str">
        <f t="shared" si="4095"/>
        <v/>
      </c>
      <c r="EY291" s="72" t="str">
        <f t="shared" si="4096"/>
        <v/>
      </c>
      <c r="EZ291" s="72" t="str">
        <f t="shared" si="4097"/>
        <v/>
      </c>
      <c r="FA291" s="72" t="str">
        <f t="shared" si="4098"/>
        <v/>
      </c>
      <c r="FB291" s="72" t="str">
        <f t="shared" si="4099"/>
        <v/>
      </c>
      <c r="FC291" s="72" t="str">
        <f t="shared" si="4100"/>
        <v/>
      </c>
      <c r="FD291" s="72" t="str">
        <f t="shared" si="4101"/>
        <v/>
      </c>
      <c r="FE291" s="72" t="str">
        <f t="shared" si="4102"/>
        <v/>
      </c>
      <c r="FF291" s="72" t="str">
        <f t="shared" si="4103"/>
        <v/>
      </c>
      <c r="FG291" s="72" t="str">
        <f t="shared" si="4104"/>
        <v/>
      </c>
      <c r="FH291" s="72" t="str">
        <f t="shared" si="4105"/>
        <v/>
      </c>
      <c r="FI291" s="72" t="str">
        <f t="shared" si="4106"/>
        <v/>
      </c>
      <c r="FJ291" s="72" t="str">
        <f t="shared" si="4107"/>
        <v/>
      </c>
      <c r="FK291" s="72" t="str">
        <f t="shared" si="4108"/>
        <v/>
      </c>
      <c r="FL291" s="72" t="str">
        <f t="shared" si="4109"/>
        <v/>
      </c>
      <c r="FM291" s="72" t="str">
        <f t="shared" si="4110"/>
        <v/>
      </c>
      <c r="FN291" s="72" t="str">
        <f t="shared" si="4111"/>
        <v/>
      </c>
      <c r="FO291" s="72" t="str">
        <f t="shared" si="4112"/>
        <v/>
      </c>
      <c r="FP291" s="72" t="str">
        <f t="shared" si="4113"/>
        <v/>
      </c>
      <c r="FQ291" s="72" t="str">
        <f t="shared" si="4114"/>
        <v/>
      </c>
      <c r="FR291" s="72" t="str">
        <f t="shared" si="4115"/>
        <v/>
      </c>
      <c r="FS291" s="72" t="str">
        <f t="shared" si="4116"/>
        <v/>
      </c>
    </row>
    <row r="292" spans="1:175" s="61" customFormat="1" ht="15">
      <c r="A292" s="143"/>
      <c r="B292" s="104" t="s">
        <v>888</v>
      </c>
      <c r="C292" s="104" t="s">
        <v>889</v>
      </c>
      <c r="D292" s="75"/>
      <c r="E292" s="76"/>
      <c r="F292" s="144"/>
      <c r="G292" s="145"/>
      <c r="H292" s="145"/>
      <c r="I292" s="145"/>
      <c r="J292" s="145"/>
      <c r="K292" s="145"/>
      <c r="L292" s="145"/>
      <c r="M292" s="145"/>
      <c r="N292" s="145"/>
      <c r="O292" s="145"/>
      <c r="P292" s="85"/>
      <c r="Q292" s="85"/>
      <c r="R292" s="85"/>
      <c r="S292" s="85"/>
      <c r="T292" s="107"/>
      <c r="U292" s="88"/>
      <c r="V292" s="93"/>
      <c r="W292" s="93"/>
      <c r="X292" s="93"/>
      <c r="Y292" s="93"/>
      <c r="Z292" s="93"/>
      <c r="AA292" s="93"/>
      <c r="AB292" s="93"/>
      <c r="AC292" s="93"/>
      <c r="AD292" s="93"/>
      <c r="AE292" s="93"/>
      <c r="AF292" s="93"/>
      <c r="AG292" s="93"/>
      <c r="AH292" s="93"/>
      <c r="AI292" s="93"/>
      <c r="AJ292" s="93"/>
      <c r="AK292" s="93"/>
      <c r="AL292" s="93"/>
      <c r="AM292" s="93"/>
      <c r="AN292" s="93"/>
      <c r="AO292" s="93"/>
      <c r="AP292" s="93"/>
      <c r="AQ292" s="93"/>
      <c r="AR292" s="94"/>
      <c r="AS292" s="94"/>
      <c r="AT292" s="93"/>
      <c r="AU292" s="93"/>
      <c r="AV292" s="93"/>
      <c r="AW292" s="93"/>
      <c r="AX292" s="93"/>
      <c r="AY292" s="93"/>
      <c r="AZ292" s="93"/>
      <c r="BA292" s="93"/>
      <c r="BB292" s="93"/>
      <c r="BC292" s="93"/>
      <c r="BD292" s="93"/>
      <c r="BE292" s="93"/>
      <c r="BF292" s="93"/>
      <c r="BG292" s="93"/>
      <c r="BH292" s="93"/>
      <c r="BI292" s="93"/>
      <c r="BJ292" s="93"/>
      <c r="BK292" s="93"/>
      <c r="BL292" s="93"/>
      <c r="BM292" s="93"/>
      <c r="BN292" s="93"/>
      <c r="BO292" s="93"/>
      <c r="BP292" s="93"/>
      <c r="BQ292" s="93"/>
      <c r="BR292" s="93"/>
      <c r="BS292" s="93"/>
      <c r="BT292" s="93"/>
      <c r="BU292" s="93"/>
      <c r="BV292" s="93"/>
      <c r="BW292" s="93"/>
      <c r="BX292" s="93"/>
      <c r="BY292" s="93"/>
      <c r="BZ292" s="93"/>
      <c r="CA292" s="93"/>
      <c r="CB292" s="93"/>
      <c r="CC292" s="93"/>
      <c r="CD292" s="93"/>
      <c r="CE292" s="93"/>
      <c r="CF292" s="93"/>
      <c r="CG292" s="93"/>
      <c r="CH292" s="93"/>
      <c r="CI292" s="93"/>
      <c r="CJ292" s="93"/>
      <c r="CK292" s="93"/>
      <c r="CL292" s="93"/>
      <c r="CM292" s="93"/>
      <c r="CN292" s="96" t="str">
        <f t="shared" si="4274"/>
        <v>InitUnitState('IC07',,,,,,,,,,)</v>
      </c>
      <c r="CO292" s="96" t="str">
        <f t="shared" si="4275"/>
        <v>InitUnitNormal('IC07',,,,,,,,,,)</v>
      </c>
      <c r="CP292" s="96" t="str">
        <f t="shared" si="4276"/>
        <v>InitUnitMagic('IC07',,,,,,,,,,)</v>
      </c>
      <c r="CQ292" s="96" t="str">
        <f t="shared" si="4277"/>
        <v>InitUnitAdd('IC07',,,,,,,,,,)</v>
      </c>
      <c r="CR292" s="96" t="str">
        <f t="shared" si="3974"/>
        <v>InitEquipData('IC07',,"",,,,,'','','','','','',"")</v>
      </c>
      <c r="CS292" s="96"/>
      <c r="CT292" s="96"/>
      <c r="CU292" s="98" t="str">
        <f t="shared" si="4046"/>
        <v>|n</v>
      </c>
      <c r="CV292" s="71"/>
      <c r="DB292" s="72" t="str">
        <f t="shared" si="4047"/>
        <v/>
      </c>
      <c r="DC292" s="72" t="str">
        <f t="shared" si="4048"/>
        <v/>
      </c>
      <c r="DD292" s="72" t="str">
        <f t="shared" si="4049"/>
        <v/>
      </c>
      <c r="DE292" s="72" t="str">
        <f t="shared" si="4050"/>
        <v/>
      </c>
      <c r="DF292" s="72" t="str">
        <f t="shared" si="4051"/>
        <v/>
      </c>
      <c r="DG292" s="72" t="str">
        <f t="shared" si="4052"/>
        <v/>
      </c>
      <c r="DH292" s="72" t="str">
        <f t="shared" si="4053"/>
        <v/>
      </c>
      <c r="DI292" s="72" t="str">
        <f t="shared" si="4054"/>
        <v/>
      </c>
      <c r="DJ292" s="72" t="str">
        <f t="shared" si="4055"/>
        <v/>
      </c>
      <c r="DK292" s="72" t="str">
        <f t="shared" si="4056"/>
        <v/>
      </c>
      <c r="DL292" s="72" t="str">
        <f t="shared" si="4057"/>
        <v/>
      </c>
      <c r="DM292" s="72" t="str">
        <f t="shared" si="4058"/>
        <v/>
      </c>
      <c r="DN292" s="72" t="str">
        <f t="shared" si="4059"/>
        <v/>
      </c>
      <c r="DO292" s="72" t="str">
        <f t="shared" si="4060"/>
        <v/>
      </c>
      <c r="DP292" s="72" t="str">
        <f t="shared" si="4061"/>
        <v/>
      </c>
      <c r="DQ292" s="72" t="str">
        <f t="shared" si="4062"/>
        <v/>
      </c>
      <c r="DR292" s="72" t="str">
        <f t="shared" si="4063"/>
        <v/>
      </c>
      <c r="DS292" s="72" t="str">
        <f t="shared" si="4064"/>
        <v/>
      </c>
      <c r="DT292" s="72" t="str">
        <f t="shared" si="4065"/>
        <v/>
      </c>
      <c r="DU292" s="72" t="str">
        <f t="shared" si="4066"/>
        <v/>
      </c>
      <c r="DV292" s="72" t="str">
        <f t="shared" si="4067"/>
        <v/>
      </c>
      <c r="DW292" s="72" t="str">
        <f t="shared" si="4068"/>
        <v/>
      </c>
      <c r="DX292" s="72" t="str">
        <f t="shared" si="4069"/>
        <v/>
      </c>
      <c r="DY292" s="72" t="str">
        <f t="shared" si="4070"/>
        <v/>
      </c>
      <c r="DZ292" s="72" t="str">
        <f t="shared" si="4071"/>
        <v/>
      </c>
      <c r="EA292" s="72" t="str">
        <f t="shared" si="4072"/>
        <v/>
      </c>
      <c r="EB292" s="72" t="str">
        <f t="shared" si="4073"/>
        <v/>
      </c>
      <c r="EC292" s="72" t="str">
        <f t="shared" si="4074"/>
        <v/>
      </c>
      <c r="ED292" s="72" t="str">
        <f t="shared" si="4075"/>
        <v/>
      </c>
      <c r="EE292" s="72" t="str">
        <f t="shared" si="4076"/>
        <v/>
      </c>
      <c r="EF292" s="72" t="str">
        <f t="shared" si="4077"/>
        <v/>
      </c>
      <c r="EG292" s="72" t="str">
        <f t="shared" si="4078"/>
        <v/>
      </c>
      <c r="EH292" s="72" t="str">
        <f t="shared" si="4079"/>
        <v/>
      </c>
      <c r="EI292" s="72" t="str">
        <f t="shared" si="4080"/>
        <v/>
      </c>
      <c r="EJ292" s="72" t="str">
        <f t="shared" si="4081"/>
        <v/>
      </c>
      <c r="EK292" s="72" t="str">
        <f t="shared" si="4082"/>
        <v/>
      </c>
      <c r="EL292" s="72" t="str">
        <f t="shared" si="4083"/>
        <v/>
      </c>
      <c r="EM292" s="72" t="str">
        <f t="shared" si="4084"/>
        <v/>
      </c>
      <c r="EN292" s="72" t="str">
        <f t="shared" si="4085"/>
        <v/>
      </c>
      <c r="EO292" s="72" t="str">
        <f t="shared" si="4086"/>
        <v/>
      </c>
      <c r="EP292" s="72" t="str">
        <f t="shared" si="4087"/>
        <v/>
      </c>
      <c r="EQ292" s="72" t="str">
        <f t="shared" si="4088"/>
        <v/>
      </c>
      <c r="ER292" s="72" t="str">
        <f t="shared" si="4089"/>
        <v/>
      </c>
      <c r="ES292" s="72" t="str">
        <f t="shared" si="4090"/>
        <v/>
      </c>
      <c r="ET292" s="72" t="str">
        <f t="shared" si="4091"/>
        <v/>
      </c>
      <c r="EU292" s="72" t="str">
        <f t="shared" si="4092"/>
        <v/>
      </c>
      <c r="EV292" s="72" t="str">
        <f t="shared" si="4093"/>
        <v/>
      </c>
      <c r="EW292" s="72" t="str">
        <f t="shared" si="4094"/>
        <v/>
      </c>
      <c r="EX292" s="72" t="str">
        <f t="shared" si="4095"/>
        <v/>
      </c>
      <c r="EY292" s="72" t="str">
        <f t="shared" si="4096"/>
        <v/>
      </c>
      <c r="EZ292" s="72" t="str">
        <f t="shared" si="4097"/>
        <v/>
      </c>
      <c r="FA292" s="72" t="str">
        <f t="shared" si="4098"/>
        <v/>
      </c>
      <c r="FB292" s="72" t="str">
        <f t="shared" si="4099"/>
        <v/>
      </c>
      <c r="FC292" s="72" t="str">
        <f t="shared" si="4100"/>
        <v/>
      </c>
      <c r="FD292" s="72" t="str">
        <f t="shared" si="4101"/>
        <v/>
      </c>
      <c r="FE292" s="72" t="str">
        <f t="shared" si="4102"/>
        <v/>
      </c>
      <c r="FF292" s="72" t="str">
        <f t="shared" si="4103"/>
        <v/>
      </c>
      <c r="FG292" s="72" t="str">
        <f t="shared" si="4104"/>
        <v/>
      </c>
      <c r="FH292" s="72" t="str">
        <f t="shared" si="4105"/>
        <v/>
      </c>
      <c r="FI292" s="72" t="str">
        <f t="shared" si="4106"/>
        <v/>
      </c>
      <c r="FJ292" s="72" t="str">
        <f t="shared" si="4107"/>
        <v/>
      </c>
      <c r="FK292" s="72" t="str">
        <f t="shared" si="4108"/>
        <v/>
      </c>
      <c r="FL292" s="72" t="str">
        <f t="shared" si="4109"/>
        <v/>
      </c>
      <c r="FM292" s="72" t="str">
        <f t="shared" si="4110"/>
        <v/>
      </c>
      <c r="FN292" s="72" t="str">
        <f t="shared" si="4111"/>
        <v/>
      </c>
      <c r="FO292" s="72" t="str">
        <f t="shared" si="4112"/>
        <v/>
      </c>
      <c r="FP292" s="72" t="str">
        <f t="shared" si="4113"/>
        <v/>
      </c>
      <c r="FQ292" s="72" t="str">
        <f t="shared" si="4114"/>
        <v/>
      </c>
      <c r="FR292" s="72" t="str">
        <f t="shared" si="4115"/>
        <v/>
      </c>
      <c r="FS292" s="72" t="str">
        <f t="shared" si="4116"/>
        <v/>
      </c>
    </row>
    <row r="293" spans="1:175" s="61" customFormat="1" ht="15">
      <c r="A293" s="143"/>
      <c r="B293" s="104" t="s">
        <v>890</v>
      </c>
      <c r="C293" s="104" t="s">
        <v>891</v>
      </c>
      <c r="D293" s="75"/>
      <c r="E293" s="76"/>
      <c r="F293" s="144"/>
      <c r="G293" s="145"/>
      <c r="H293" s="145"/>
      <c r="I293" s="145"/>
      <c r="J293" s="145"/>
      <c r="K293" s="145"/>
      <c r="L293" s="145"/>
      <c r="M293" s="145"/>
      <c r="N293" s="145"/>
      <c r="O293" s="145"/>
      <c r="P293" s="85"/>
      <c r="Q293" s="85"/>
      <c r="R293" s="85"/>
      <c r="S293" s="85"/>
      <c r="T293" s="107"/>
      <c r="U293" s="88"/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4"/>
      <c r="AS293" s="94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  <c r="BI293" s="93"/>
      <c r="BJ293" s="93"/>
      <c r="BK293" s="93"/>
      <c r="BL293" s="93"/>
      <c r="BM293" s="93"/>
      <c r="BN293" s="93"/>
      <c r="BO293" s="93"/>
      <c r="BP293" s="93"/>
      <c r="BQ293" s="93"/>
      <c r="BR293" s="93"/>
      <c r="BS293" s="93"/>
      <c r="BT293" s="93"/>
      <c r="BU293" s="93"/>
      <c r="BV293" s="93"/>
      <c r="BW293" s="93"/>
      <c r="BX293" s="93"/>
      <c r="BY293" s="93"/>
      <c r="BZ293" s="93"/>
      <c r="CA293" s="93"/>
      <c r="CB293" s="93"/>
      <c r="CC293" s="93"/>
      <c r="CD293" s="93"/>
      <c r="CE293" s="93"/>
      <c r="CF293" s="93"/>
      <c r="CG293" s="93"/>
      <c r="CH293" s="93"/>
      <c r="CI293" s="93"/>
      <c r="CJ293" s="93"/>
      <c r="CK293" s="93"/>
      <c r="CL293" s="93"/>
      <c r="CM293" s="93"/>
      <c r="CN293" s="96" t="str">
        <f t="shared" si="4274"/>
        <v>InitUnitState('IC08',,,,,,,,,,)</v>
      </c>
      <c r="CO293" s="96" t="str">
        <f t="shared" si="4275"/>
        <v>InitUnitNormal('IC08',,,,,,,,,,)</v>
      </c>
      <c r="CP293" s="96" t="str">
        <f t="shared" si="4276"/>
        <v>InitUnitMagic('IC08',,,,,,,,,,)</v>
      </c>
      <c r="CQ293" s="96" t="str">
        <f t="shared" si="4277"/>
        <v>InitUnitAdd('IC08',,,,,,,,,,)</v>
      </c>
      <c r="CR293" s="96" t="str">
        <f t="shared" si="3974"/>
        <v>InitEquipData('IC08',,"",,,,,'','','','','','',"")</v>
      </c>
      <c r="CS293" s="96"/>
      <c r="CT293" s="96"/>
      <c r="CU293" s="98" t="str">
        <f t="shared" si="4046"/>
        <v>|n</v>
      </c>
      <c r="CV293" s="71"/>
      <c r="DB293" s="72" t="str">
        <f t="shared" si="4047"/>
        <v/>
      </c>
      <c r="DC293" s="72" t="str">
        <f t="shared" si="4048"/>
        <v/>
      </c>
      <c r="DD293" s="72" t="str">
        <f t="shared" si="4049"/>
        <v/>
      </c>
      <c r="DE293" s="72" t="str">
        <f t="shared" si="4050"/>
        <v/>
      </c>
      <c r="DF293" s="72" t="str">
        <f t="shared" si="4051"/>
        <v/>
      </c>
      <c r="DG293" s="72" t="str">
        <f t="shared" si="4052"/>
        <v/>
      </c>
      <c r="DH293" s="72" t="str">
        <f t="shared" si="4053"/>
        <v/>
      </c>
      <c r="DI293" s="72" t="str">
        <f t="shared" si="4054"/>
        <v/>
      </c>
      <c r="DJ293" s="72" t="str">
        <f t="shared" si="4055"/>
        <v/>
      </c>
      <c r="DK293" s="72" t="str">
        <f t="shared" si="4056"/>
        <v/>
      </c>
      <c r="DL293" s="72" t="str">
        <f t="shared" si="4057"/>
        <v/>
      </c>
      <c r="DM293" s="72" t="str">
        <f t="shared" si="4058"/>
        <v/>
      </c>
      <c r="DN293" s="72" t="str">
        <f t="shared" si="4059"/>
        <v/>
      </c>
      <c r="DO293" s="72" t="str">
        <f t="shared" si="4060"/>
        <v/>
      </c>
      <c r="DP293" s="72" t="str">
        <f t="shared" si="4061"/>
        <v/>
      </c>
      <c r="DQ293" s="72" t="str">
        <f t="shared" si="4062"/>
        <v/>
      </c>
      <c r="DR293" s="72" t="str">
        <f t="shared" si="4063"/>
        <v/>
      </c>
      <c r="DS293" s="72" t="str">
        <f t="shared" si="4064"/>
        <v/>
      </c>
      <c r="DT293" s="72" t="str">
        <f t="shared" si="4065"/>
        <v/>
      </c>
      <c r="DU293" s="72" t="str">
        <f t="shared" si="4066"/>
        <v/>
      </c>
      <c r="DV293" s="72" t="str">
        <f t="shared" si="4067"/>
        <v/>
      </c>
      <c r="DW293" s="72" t="str">
        <f t="shared" si="4068"/>
        <v/>
      </c>
      <c r="DX293" s="72" t="str">
        <f t="shared" si="4069"/>
        <v/>
      </c>
      <c r="DY293" s="72" t="str">
        <f t="shared" si="4070"/>
        <v/>
      </c>
      <c r="DZ293" s="72" t="str">
        <f t="shared" si="4071"/>
        <v/>
      </c>
      <c r="EA293" s="72" t="str">
        <f t="shared" si="4072"/>
        <v/>
      </c>
      <c r="EB293" s="72" t="str">
        <f t="shared" si="4073"/>
        <v/>
      </c>
      <c r="EC293" s="72" t="str">
        <f t="shared" si="4074"/>
        <v/>
      </c>
      <c r="ED293" s="72" t="str">
        <f t="shared" si="4075"/>
        <v/>
      </c>
      <c r="EE293" s="72" t="str">
        <f t="shared" si="4076"/>
        <v/>
      </c>
      <c r="EF293" s="72" t="str">
        <f t="shared" si="4077"/>
        <v/>
      </c>
      <c r="EG293" s="72" t="str">
        <f t="shared" si="4078"/>
        <v/>
      </c>
      <c r="EH293" s="72" t="str">
        <f t="shared" si="4079"/>
        <v/>
      </c>
      <c r="EI293" s="72" t="str">
        <f t="shared" si="4080"/>
        <v/>
      </c>
      <c r="EJ293" s="72" t="str">
        <f t="shared" si="4081"/>
        <v/>
      </c>
      <c r="EK293" s="72" t="str">
        <f t="shared" si="4082"/>
        <v/>
      </c>
      <c r="EL293" s="72" t="str">
        <f t="shared" si="4083"/>
        <v/>
      </c>
      <c r="EM293" s="72" t="str">
        <f t="shared" si="4084"/>
        <v/>
      </c>
      <c r="EN293" s="72" t="str">
        <f t="shared" si="4085"/>
        <v/>
      </c>
      <c r="EO293" s="72" t="str">
        <f t="shared" si="4086"/>
        <v/>
      </c>
      <c r="EP293" s="72" t="str">
        <f t="shared" si="4087"/>
        <v/>
      </c>
      <c r="EQ293" s="72" t="str">
        <f t="shared" si="4088"/>
        <v/>
      </c>
      <c r="ER293" s="72" t="str">
        <f t="shared" si="4089"/>
        <v/>
      </c>
      <c r="ES293" s="72" t="str">
        <f t="shared" si="4090"/>
        <v/>
      </c>
      <c r="ET293" s="72" t="str">
        <f t="shared" si="4091"/>
        <v/>
      </c>
      <c r="EU293" s="72" t="str">
        <f t="shared" si="4092"/>
        <v/>
      </c>
      <c r="EV293" s="72" t="str">
        <f t="shared" si="4093"/>
        <v/>
      </c>
      <c r="EW293" s="72" t="str">
        <f t="shared" si="4094"/>
        <v/>
      </c>
      <c r="EX293" s="72" t="str">
        <f t="shared" si="4095"/>
        <v/>
      </c>
      <c r="EY293" s="72" t="str">
        <f t="shared" si="4096"/>
        <v/>
      </c>
      <c r="EZ293" s="72" t="str">
        <f t="shared" si="4097"/>
        <v/>
      </c>
      <c r="FA293" s="72" t="str">
        <f t="shared" si="4098"/>
        <v/>
      </c>
      <c r="FB293" s="72" t="str">
        <f t="shared" si="4099"/>
        <v/>
      </c>
      <c r="FC293" s="72" t="str">
        <f t="shared" si="4100"/>
        <v/>
      </c>
      <c r="FD293" s="72" t="str">
        <f t="shared" si="4101"/>
        <v/>
      </c>
      <c r="FE293" s="72" t="str">
        <f t="shared" si="4102"/>
        <v/>
      </c>
      <c r="FF293" s="72" t="str">
        <f t="shared" si="4103"/>
        <v/>
      </c>
      <c r="FG293" s="72" t="str">
        <f t="shared" si="4104"/>
        <v/>
      </c>
      <c r="FH293" s="72" t="str">
        <f t="shared" si="4105"/>
        <v/>
      </c>
      <c r="FI293" s="72" t="str">
        <f t="shared" si="4106"/>
        <v/>
      </c>
      <c r="FJ293" s="72" t="str">
        <f t="shared" si="4107"/>
        <v/>
      </c>
      <c r="FK293" s="72" t="str">
        <f t="shared" si="4108"/>
        <v/>
      </c>
      <c r="FL293" s="72" t="str">
        <f t="shared" si="4109"/>
        <v/>
      </c>
      <c r="FM293" s="72" t="str">
        <f t="shared" si="4110"/>
        <v/>
      </c>
      <c r="FN293" s="72" t="str">
        <f t="shared" si="4111"/>
        <v/>
      </c>
      <c r="FO293" s="72" t="str">
        <f t="shared" si="4112"/>
        <v/>
      </c>
      <c r="FP293" s="72" t="str">
        <f t="shared" si="4113"/>
        <v/>
      </c>
      <c r="FQ293" s="72" t="str">
        <f t="shared" si="4114"/>
        <v/>
      </c>
      <c r="FR293" s="72" t="str">
        <f t="shared" si="4115"/>
        <v/>
      </c>
      <c r="FS293" s="72" t="str">
        <f t="shared" si="4116"/>
        <v/>
      </c>
    </row>
    <row r="294" spans="1:175" s="61" customFormat="1" ht="15">
      <c r="A294" s="143"/>
      <c r="B294" s="104" t="s">
        <v>892</v>
      </c>
      <c r="C294" s="104" t="s">
        <v>893</v>
      </c>
      <c r="D294" s="75"/>
      <c r="E294" s="76"/>
      <c r="F294" s="144"/>
      <c r="G294" s="145"/>
      <c r="H294" s="145"/>
      <c r="I294" s="145"/>
      <c r="J294" s="145"/>
      <c r="K294" s="145"/>
      <c r="L294" s="145"/>
      <c r="M294" s="145"/>
      <c r="N294" s="145"/>
      <c r="O294" s="145"/>
      <c r="P294" s="85"/>
      <c r="Q294" s="85"/>
      <c r="R294" s="85"/>
      <c r="S294" s="85"/>
      <c r="T294" s="107"/>
      <c r="U294" s="88"/>
      <c r="V294" s="93"/>
      <c r="W294" s="93"/>
      <c r="X294" s="93"/>
      <c r="Y294" s="93"/>
      <c r="Z294" s="93"/>
      <c r="AA294" s="93"/>
      <c r="AB294" s="93"/>
      <c r="AC294" s="93"/>
      <c r="AD294" s="93"/>
      <c r="AE294" s="93"/>
      <c r="AF294" s="93"/>
      <c r="AG294" s="93"/>
      <c r="AH294" s="93"/>
      <c r="AI294" s="93"/>
      <c r="AJ294" s="93"/>
      <c r="AK294" s="93"/>
      <c r="AL294" s="93"/>
      <c r="AM294" s="93"/>
      <c r="AN294" s="93"/>
      <c r="AO294" s="93"/>
      <c r="AP294" s="93"/>
      <c r="AQ294" s="93"/>
      <c r="AR294" s="94"/>
      <c r="AS294" s="94"/>
      <c r="AT294" s="93"/>
      <c r="AU294" s="93"/>
      <c r="AV294" s="93"/>
      <c r="AW294" s="93"/>
      <c r="AX294" s="93"/>
      <c r="AY294" s="93"/>
      <c r="AZ294" s="93"/>
      <c r="BA294" s="93"/>
      <c r="BB294" s="93"/>
      <c r="BC294" s="93"/>
      <c r="BD294" s="93"/>
      <c r="BE294" s="93"/>
      <c r="BF294" s="93"/>
      <c r="BG294" s="93"/>
      <c r="BH294" s="93"/>
      <c r="BI294" s="93"/>
      <c r="BJ294" s="93"/>
      <c r="BK294" s="93"/>
      <c r="BL294" s="93"/>
      <c r="BM294" s="93"/>
      <c r="BN294" s="93"/>
      <c r="BO294" s="93"/>
      <c r="BP294" s="93"/>
      <c r="BQ294" s="93"/>
      <c r="BR294" s="93"/>
      <c r="BS294" s="93"/>
      <c r="BT294" s="93"/>
      <c r="BU294" s="93"/>
      <c r="BV294" s="93"/>
      <c r="BW294" s="93"/>
      <c r="BX294" s="93"/>
      <c r="BY294" s="93"/>
      <c r="BZ294" s="93"/>
      <c r="CA294" s="93"/>
      <c r="CB294" s="93"/>
      <c r="CC294" s="93"/>
      <c r="CD294" s="93"/>
      <c r="CE294" s="93"/>
      <c r="CF294" s="93"/>
      <c r="CG294" s="93"/>
      <c r="CH294" s="93"/>
      <c r="CI294" s="93"/>
      <c r="CJ294" s="93"/>
      <c r="CK294" s="93"/>
      <c r="CL294" s="93"/>
      <c r="CM294" s="93"/>
      <c r="CN294" s="96" t="str">
        <f t="shared" si="4274"/>
        <v>InitUnitState('IC09',,,,,,,,,,)</v>
      </c>
      <c r="CO294" s="96" t="str">
        <f t="shared" si="4275"/>
        <v>InitUnitNormal('IC09',,,,,,,,,,)</v>
      </c>
      <c r="CP294" s="96" t="str">
        <f t="shared" si="4276"/>
        <v>InitUnitMagic('IC09',,,,,,,,,,)</v>
      </c>
      <c r="CQ294" s="96" t="str">
        <f t="shared" si="4277"/>
        <v>InitUnitAdd('IC09',,,,,,,,,,)</v>
      </c>
      <c r="CR294" s="96" t="str">
        <f t="shared" si="3974"/>
        <v>InitEquipData('IC09',,"",,,,,'','','','','','',"")</v>
      </c>
      <c r="CS294" s="96"/>
      <c r="CT294" s="96"/>
      <c r="CU294" s="98" t="str">
        <f t="shared" si="4046"/>
        <v>|n</v>
      </c>
      <c r="CV294" s="71"/>
      <c r="DB294" s="72" t="str">
        <f t="shared" si="4047"/>
        <v/>
      </c>
      <c r="DC294" s="72" t="str">
        <f t="shared" si="4048"/>
        <v/>
      </c>
      <c r="DD294" s="72" t="str">
        <f t="shared" si="4049"/>
        <v/>
      </c>
      <c r="DE294" s="72" t="str">
        <f t="shared" si="4050"/>
        <v/>
      </c>
      <c r="DF294" s="72" t="str">
        <f t="shared" si="4051"/>
        <v/>
      </c>
      <c r="DG294" s="72" t="str">
        <f t="shared" si="4052"/>
        <v/>
      </c>
      <c r="DH294" s="72" t="str">
        <f t="shared" si="4053"/>
        <v/>
      </c>
      <c r="DI294" s="72" t="str">
        <f t="shared" si="4054"/>
        <v/>
      </c>
      <c r="DJ294" s="72" t="str">
        <f t="shared" si="4055"/>
        <v/>
      </c>
      <c r="DK294" s="72" t="str">
        <f t="shared" si="4056"/>
        <v/>
      </c>
      <c r="DL294" s="72" t="str">
        <f t="shared" si="4057"/>
        <v/>
      </c>
      <c r="DM294" s="72" t="str">
        <f t="shared" si="4058"/>
        <v/>
      </c>
      <c r="DN294" s="72" t="str">
        <f t="shared" si="4059"/>
        <v/>
      </c>
      <c r="DO294" s="72" t="str">
        <f t="shared" si="4060"/>
        <v/>
      </c>
      <c r="DP294" s="72" t="str">
        <f t="shared" si="4061"/>
        <v/>
      </c>
      <c r="DQ294" s="72" t="str">
        <f t="shared" si="4062"/>
        <v/>
      </c>
      <c r="DR294" s="72" t="str">
        <f t="shared" si="4063"/>
        <v/>
      </c>
      <c r="DS294" s="72" t="str">
        <f t="shared" si="4064"/>
        <v/>
      </c>
      <c r="DT294" s="72" t="str">
        <f t="shared" si="4065"/>
        <v/>
      </c>
      <c r="DU294" s="72" t="str">
        <f t="shared" si="4066"/>
        <v/>
      </c>
      <c r="DV294" s="72" t="str">
        <f t="shared" si="4067"/>
        <v/>
      </c>
      <c r="DW294" s="72" t="str">
        <f t="shared" si="4068"/>
        <v/>
      </c>
      <c r="DX294" s="72" t="str">
        <f t="shared" si="4069"/>
        <v/>
      </c>
      <c r="DY294" s="72" t="str">
        <f t="shared" si="4070"/>
        <v/>
      </c>
      <c r="DZ294" s="72" t="str">
        <f t="shared" si="4071"/>
        <v/>
      </c>
      <c r="EA294" s="72" t="str">
        <f t="shared" si="4072"/>
        <v/>
      </c>
      <c r="EB294" s="72" t="str">
        <f t="shared" si="4073"/>
        <v/>
      </c>
      <c r="EC294" s="72" t="str">
        <f t="shared" si="4074"/>
        <v/>
      </c>
      <c r="ED294" s="72" t="str">
        <f t="shared" si="4075"/>
        <v/>
      </c>
      <c r="EE294" s="72" t="str">
        <f t="shared" si="4076"/>
        <v/>
      </c>
      <c r="EF294" s="72" t="str">
        <f t="shared" si="4077"/>
        <v/>
      </c>
      <c r="EG294" s="72" t="str">
        <f t="shared" si="4078"/>
        <v/>
      </c>
      <c r="EH294" s="72" t="str">
        <f t="shared" si="4079"/>
        <v/>
      </c>
      <c r="EI294" s="72" t="str">
        <f t="shared" si="4080"/>
        <v/>
      </c>
      <c r="EJ294" s="72" t="str">
        <f t="shared" si="4081"/>
        <v/>
      </c>
      <c r="EK294" s="72" t="str">
        <f t="shared" si="4082"/>
        <v/>
      </c>
      <c r="EL294" s="72" t="str">
        <f t="shared" si="4083"/>
        <v/>
      </c>
      <c r="EM294" s="72" t="str">
        <f t="shared" si="4084"/>
        <v/>
      </c>
      <c r="EN294" s="72" t="str">
        <f t="shared" si="4085"/>
        <v/>
      </c>
      <c r="EO294" s="72" t="str">
        <f t="shared" si="4086"/>
        <v/>
      </c>
      <c r="EP294" s="72" t="str">
        <f t="shared" si="4087"/>
        <v/>
      </c>
      <c r="EQ294" s="72" t="str">
        <f t="shared" si="4088"/>
        <v/>
      </c>
      <c r="ER294" s="72" t="str">
        <f t="shared" si="4089"/>
        <v/>
      </c>
      <c r="ES294" s="72" t="str">
        <f t="shared" si="4090"/>
        <v/>
      </c>
      <c r="ET294" s="72" t="str">
        <f t="shared" si="4091"/>
        <v/>
      </c>
      <c r="EU294" s="72" t="str">
        <f t="shared" si="4092"/>
        <v/>
      </c>
      <c r="EV294" s="72" t="str">
        <f t="shared" si="4093"/>
        <v/>
      </c>
      <c r="EW294" s="72" t="str">
        <f t="shared" si="4094"/>
        <v/>
      </c>
      <c r="EX294" s="72" t="str">
        <f t="shared" si="4095"/>
        <v/>
      </c>
      <c r="EY294" s="72" t="str">
        <f t="shared" si="4096"/>
        <v/>
      </c>
      <c r="EZ294" s="72" t="str">
        <f t="shared" si="4097"/>
        <v/>
      </c>
      <c r="FA294" s="72" t="str">
        <f t="shared" si="4098"/>
        <v/>
      </c>
      <c r="FB294" s="72" t="str">
        <f t="shared" si="4099"/>
        <v/>
      </c>
      <c r="FC294" s="72" t="str">
        <f t="shared" si="4100"/>
        <v/>
      </c>
      <c r="FD294" s="72" t="str">
        <f t="shared" si="4101"/>
        <v/>
      </c>
      <c r="FE294" s="72" t="str">
        <f t="shared" si="4102"/>
        <v/>
      </c>
      <c r="FF294" s="72" t="str">
        <f t="shared" si="4103"/>
        <v/>
      </c>
      <c r="FG294" s="72" t="str">
        <f t="shared" si="4104"/>
        <v/>
      </c>
      <c r="FH294" s="72" t="str">
        <f t="shared" si="4105"/>
        <v/>
      </c>
      <c r="FI294" s="72" t="str">
        <f t="shared" si="4106"/>
        <v/>
      </c>
      <c r="FJ294" s="72" t="str">
        <f t="shared" si="4107"/>
        <v/>
      </c>
      <c r="FK294" s="72" t="str">
        <f t="shared" si="4108"/>
        <v/>
      </c>
      <c r="FL294" s="72" t="str">
        <f t="shared" si="4109"/>
        <v/>
      </c>
      <c r="FM294" s="72" t="str">
        <f t="shared" si="4110"/>
        <v/>
      </c>
      <c r="FN294" s="72" t="str">
        <f t="shared" si="4111"/>
        <v/>
      </c>
      <c r="FO294" s="72" t="str">
        <f t="shared" si="4112"/>
        <v/>
      </c>
      <c r="FP294" s="72" t="str">
        <f t="shared" si="4113"/>
        <v/>
      </c>
      <c r="FQ294" s="72" t="str">
        <f t="shared" si="4114"/>
        <v/>
      </c>
      <c r="FR294" s="72" t="str">
        <f t="shared" si="4115"/>
        <v/>
      </c>
      <c r="FS294" s="72" t="str">
        <f t="shared" si="4116"/>
        <v/>
      </c>
    </row>
    <row r="295" spans="1:175" s="61" customFormat="1" ht="15">
      <c r="A295" s="143"/>
      <c r="B295" s="104" t="s">
        <v>894</v>
      </c>
      <c r="C295" s="104" t="s">
        <v>895</v>
      </c>
      <c r="D295" s="75"/>
      <c r="E295" s="76"/>
      <c r="F295" s="144"/>
      <c r="G295" s="145"/>
      <c r="H295" s="145"/>
      <c r="I295" s="145"/>
      <c r="J295" s="145"/>
      <c r="K295" s="145"/>
      <c r="L295" s="145"/>
      <c r="M295" s="145"/>
      <c r="N295" s="145"/>
      <c r="O295" s="145"/>
      <c r="P295" s="85"/>
      <c r="Q295" s="85"/>
      <c r="R295" s="85"/>
      <c r="S295" s="85"/>
      <c r="T295" s="107"/>
      <c r="U295" s="88"/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4"/>
      <c r="AS295" s="94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  <c r="BI295" s="93"/>
      <c r="BJ295" s="93"/>
      <c r="BK295" s="93"/>
      <c r="BL295" s="93"/>
      <c r="BM295" s="93"/>
      <c r="BN295" s="93"/>
      <c r="BO295" s="93"/>
      <c r="BP295" s="93"/>
      <c r="BQ295" s="93"/>
      <c r="BR295" s="93"/>
      <c r="BS295" s="93"/>
      <c r="BT295" s="93"/>
      <c r="BU295" s="93"/>
      <c r="BV295" s="93"/>
      <c r="BW295" s="93"/>
      <c r="BX295" s="93"/>
      <c r="BY295" s="93"/>
      <c r="BZ295" s="93"/>
      <c r="CA295" s="93"/>
      <c r="CB295" s="93"/>
      <c r="CC295" s="93"/>
      <c r="CD295" s="93"/>
      <c r="CE295" s="93"/>
      <c r="CF295" s="93"/>
      <c r="CG295" s="93"/>
      <c r="CH295" s="93"/>
      <c r="CI295" s="93"/>
      <c r="CJ295" s="93"/>
      <c r="CK295" s="93"/>
      <c r="CL295" s="93"/>
      <c r="CM295" s="93"/>
      <c r="CN295" s="96" t="str">
        <f t="shared" si="4274"/>
        <v>InitUnitState('IC10',,,,,,,,,,)</v>
      </c>
      <c r="CO295" s="96" t="str">
        <f t="shared" si="4275"/>
        <v>InitUnitNormal('IC10',,,,,,,,,,)</v>
      </c>
      <c r="CP295" s="96" t="str">
        <f t="shared" si="4276"/>
        <v>InitUnitMagic('IC10',,,,,,,,,,)</v>
      </c>
      <c r="CQ295" s="96" t="str">
        <f t="shared" si="4277"/>
        <v>InitUnitAdd('IC10',,,,,,,,,,)</v>
      </c>
      <c r="CR295" s="96" t="str">
        <f t="shared" si="3974"/>
        <v>InitEquipData('IC10',,"",,,,,'','','','','','',"")</v>
      </c>
      <c r="CS295" s="96"/>
      <c r="CT295" s="96"/>
      <c r="CU295" s="98" t="str">
        <f t="shared" si="4046"/>
        <v>|n</v>
      </c>
      <c r="CV295" s="71"/>
      <c r="DB295" s="72" t="str">
        <f t="shared" si="4047"/>
        <v/>
      </c>
      <c r="DC295" s="72" t="str">
        <f t="shared" si="4048"/>
        <v/>
      </c>
      <c r="DD295" s="72" t="str">
        <f t="shared" si="4049"/>
        <v/>
      </c>
      <c r="DE295" s="72" t="str">
        <f t="shared" si="4050"/>
        <v/>
      </c>
      <c r="DF295" s="72" t="str">
        <f t="shared" si="4051"/>
        <v/>
      </c>
      <c r="DG295" s="72" t="str">
        <f t="shared" si="4052"/>
        <v/>
      </c>
      <c r="DH295" s="72" t="str">
        <f t="shared" si="4053"/>
        <v/>
      </c>
      <c r="DI295" s="72" t="str">
        <f t="shared" si="4054"/>
        <v/>
      </c>
      <c r="DJ295" s="72" t="str">
        <f t="shared" si="4055"/>
        <v/>
      </c>
      <c r="DK295" s="72" t="str">
        <f t="shared" si="4056"/>
        <v/>
      </c>
      <c r="DL295" s="72" t="str">
        <f t="shared" si="4057"/>
        <v/>
      </c>
      <c r="DM295" s="72" t="str">
        <f t="shared" si="4058"/>
        <v/>
      </c>
      <c r="DN295" s="72" t="str">
        <f t="shared" si="4059"/>
        <v/>
      </c>
      <c r="DO295" s="72" t="str">
        <f t="shared" si="4060"/>
        <v/>
      </c>
      <c r="DP295" s="72" t="str">
        <f t="shared" si="4061"/>
        <v/>
      </c>
      <c r="DQ295" s="72" t="str">
        <f t="shared" si="4062"/>
        <v/>
      </c>
      <c r="DR295" s="72" t="str">
        <f t="shared" si="4063"/>
        <v/>
      </c>
      <c r="DS295" s="72" t="str">
        <f t="shared" si="4064"/>
        <v/>
      </c>
      <c r="DT295" s="72" t="str">
        <f t="shared" si="4065"/>
        <v/>
      </c>
      <c r="DU295" s="72" t="str">
        <f t="shared" si="4066"/>
        <v/>
      </c>
      <c r="DV295" s="72" t="str">
        <f t="shared" si="4067"/>
        <v/>
      </c>
      <c r="DW295" s="72" t="str">
        <f t="shared" si="4068"/>
        <v/>
      </c>
      <c r="DX295" s="72" t="str">
        <f t="shared" si="4069"/>
        <v/>
      </c>
      <c r="DY295" s="72" t="str">
        <f t="shared" si="4070"/>
        <v/>
      </c>
      <c r="DZ295" s="72" t="str">
        <f t="shared" si="4071"/>
        <v/>
      </c>
      <c r="EA295" s="72" t="str">
        <f t="shared" si="4072"/>
        <v/>
      </c>
      <c r="EB295" s="72" t="str">
        <f t="shared" si="4073"/>
        <v/>
      </c>
      <c r="EC295" s="72" t="str">
        <f t="shared" si="4074"/>
        <v/>
      </c>
      <c r="ED295" s="72" t="str">
        <f t="shared" si="4075"/>
        <v/>
      </c>
      <c r="EE295" s="72" t="str">
        <f t="shared" si="4076"/>
        <v/>
      </c>
      <c r="EF295" s="72" t="str">
        <f t="shared" si="4077"/>
        <v/>
      </c>
      <c r="EG295" s="72" t="str">
        <f t="shared" si="4078"/>
        <v/>
      </c>
      <c r="EH295" s="72" t="str">
        <f t="shared" si="4079"/>
        <v/>
      </c>
      <c r="EI295" s="72" t="str">
        <f t="shared" si="4080"/>
        <v/>
      </c>
      <c r="EJ295" s="72" t="str">
        <f t="shared" si="4081"/>
        <v/>
      </c>
      <c r="EK295" s="72" t="str">
        <f t="shared" si="4082"/>
        <v/>
      </c>
      <c r="EL295" s="72" t="str">
        <f t="shared" si="4083"/>
        <v/>
      </c>
      <c r="EM295" s="72" t="str">
        <f t="shared" si="4084"/>
        <v/>
      </c>
      <c r="EN295" s="72" t="str">
        <f t="shared" si="4085"/>
        <v/>
      </c>
      <c r="EO295" s="72" t="str">
        <f t="shared" si="4086"/>
        <v/>
      </c>
      <c r="EP295" s="72" t="str">
        <f t="shared" si="4087"/>
        <v/>
      </c>
      <c r="EQ295" s="72" t="str">
        <f t="shared" si="4088"/>
        <v/>
      </c>
      <c r="ER295" s="72" t="str">
        <f t="shared" si="4089"/>
        <v/>
      </c>
      <c r="ES295" s="72" t="str">
        <f t="shared" si="4090"/>
        <v/>
      </c>
      <c r="ET295" s="72" t="str">
        <f t="shared" si="4091"/>
        <v/>
      </c>
      <c r="EU295" s="72" t="str">
        <f t="shared" si="4092"/>
        <v/>
      </c>
      <c r="EV295" s="72" t="str">
        <f t="shared" si="4093"/>
        <v/>
      </c>
      <c r="EW295" s="72" t="str">
        <f t="shared" si="4094"/>
        <v/>
      </c>
      <c r="EX295" s="72" t="str">
        <f t="shared" si="4095"/>
        <v/>
      </c>
      <c r="EY295" s="72" t="str">
        <f t="shared" si="4096"/>
        <v/>
      </c>
      <c r="EZ295" s="72" t="str">
        <f t="shared" si="4097"/>
        <v/>
      </c>
      <c r="FA295" s="72" t="str">
        <f t="shared" si="4098"/>
        <v/>
      </c>
      <c r="FB295" s="72" t="str">
        <f t="shared" si="4099"/>
        <v/>
      </c>
      <c r="FC295" s="72" t="str">
        <f t="shared" si="4100"/>
        <v/>
      </c>
      <c r="FD295" s="72" t="str">
        <f t="shared" si="4101"/>
        <v/>
      </c>
      <c r="FE295" s="72" t="str">
        <f t="shared" si="4102"/>
        <v/>
      </c>
      <c r="FF295" s="72" t="str">
        <f t="shared" si="4103"/>
        <v/>
      </c>
      <c r="FG295" s="72" t="str">
        <f t="shared" si="4104"/>
        <v/>
      </c>
      <c r="FH295" s="72" t="str">
        <f t="shared" si="4105"/>
        <v/>
      </c>
      <c r="FI295" s="72" t="str">
        <f t="shared" si="4106"/>
        <v/>
      </c>
      <c r="FJ295" s="72" t="str">
        <f t="shared" si="4107"/>
        <v/>
      </c>
      <c r="FK295" s="72" t="str">
        <f t="shared" si="4108"/>
        <v/>
      </c>
      <c r="FL295" s="72" t="str">
        <f t="shared" si="4109"/>
        <v/>
      </c>
      <c r="FM295" s="72" t="str">
        <f t="shared" si="4110"/>
        <v/>
      </c>
      <c r="FN295" s="72" t="str">
        <f t="shared" si="4111"/>
        <v/>
      </c>
      <c r="FO295" s="72" t="str">
        <f t="shared" si="4112"/>
        <v/>
      </c>
      <c r="FP295" s="72" t="str">
        <f t="shared" si="4113"/>
        <v/>
      </c>
      <c r="FQ295" s="72" t="str">
        <f t="shared" si="4114"/>
        <v/>
      </c>
      <c r="FR295" s="72" t="str">
        <f t="shared" si="4115"/>
        <v/>
      </c>
      <c r="FS295" s="72" t="str">
        <f t="shared" si="4116"/>
        <v/>
      </c>
    </row>
    <row r="296" spans="1:175" ht="15">
      <c r="A296" s="73"/>
      <c r="B296" s="104" t="s">
        <v>896</v>
      </c>
      <c r="C296" s="104" t="s">
        <v>897</v>
      </c>
      <c r="E296" s="146"/>
      <c r="T296" s="151"/>
      <c r="U296" s="88"/>
      <c r="CU296" s="98" t="str">
        <f t="shared" si="4046"/>
        <v>|n</v>
      </c>
      <c r="CW296" s="61"/>
      <c r="CX296" s="61"/>
      <c r="CY296" s="61"/>
      <c r="CZ296" s="61"/>
      <c r="DA296" s="61"/>
      <c r="DB296" s="72" t="str">
        <f t="shared" si="4047"/>
        <v/>
      </c>
      <c r="DC296" s="72" t="str">
        <f t="shared" si="4048"/>
        <v/>
      </c>
      <c r="DD296" s="72" t="str">
        <f t="shared" si="4049"/>
        <v/>
      </c>
      <c r="DE296" s="72" t="str">
        <f t="shared" si="4050"/>
        <v/>
      </c>
      <c r="DF296" s="72" t="str">
        <f t="shared" si="4051"/>
        <v/>
      </c>
      <c r="DG296" s="72" t="str">
        <f t="shared" si="4052"/>
        <v/>
      </c>
      <c r="DH296" s="72" t="str">
        <f t="shared" si="4053"/>
        <v/>
      </c>
      <c r="DI296" s="72" t="str">
        <f t="shared" si="4054"/>
        <v/>
      </c>
      <c r="DJ296" s="72" t="str">
        <f t="shared" si="4055"/>
        <v/>
      </c>
      <c r="DK296" s="72" t="str">
        <f t="shared" si="4056"/>
        <v/>
      </c>
      <c r="DL296" s="72" t="str">
        <f t="shared" si="4057"/>
        <v/>
      </c>
      <c r="DM296" s="72" t="str">
        <f t="shared" si="4058"/>
        <v/>
      </c>
      <c r="DN296" s="72" t="str">
        <f t="shared" si="4059"/>
        <v/>
      </c>
      <c r="DO296" s="72" t="str">
        <f t="shared" si="4060"/>
        <v/>
      </c>
      <c r="DP296" s="72" t="str">
        <f t="shared" si="4061"/>
        <v/>
      </c>
      <c r="DQ296" s="72" t="str">
        <f t="shared" si="4062"/>
        <v/>
      </c>
      <c r="DR296" s="72" t="str">
        <f t="shared" si="4063"/>
        <v/>
      </c>
      <c r="DS296" s="72" t="str">
        <f t="shared" si="4064"/>
        <v/>
      </c>
      <c r="DT296" s="72" t="str">
        <f t="shared" si="4065"/>
        <v/>
      </c>
      <c r="DU296" s="72" t="str">
        <f t="shared" si="4066"/>
        <v/>
      </c>
      <c r="DV296" s="72" t="str">
        <f t="shared" si="4067"/>
        <v/>
      </c>
      <c r="DW296" s="72" t="str">
        <f t="shared" si="4068"/>
        <v/>
      </c>
      <c r="DX296" s="72" t="str">
        <f t="shared" si="4069"/>
        <v/>
      </c>
      <c r="DY296" s="72" t="str">
        <f t="shared" si="4070"/>
        <v/>
      </c>
      <c r="DZ296" s="72" t="str">
        <f t="shared" si="4071"/>
        <v/>
      </c>
      <c r="EA296" s="72" t="str">
        <f t="shared" si="4072"/>
        <v/>
      </c>
      <c r="EB296" s="72" t="str">
        <f t="shared" si="4073"/>
        <v/>
      </c>
      <c r="EC296" s="72" t="str">
        <f t="shared" si="4074"/>
        <v/>
      </c>
      <c r="ED296" s="72" t="str">
        <f t="shared" si="4075"/>
        <v/>
      </c>
      <c r="EE296" s="72" t="str">
        <f t="shared" si="4076"/>
        <v/>
      </c>
      <c r="EF296" s="72" t="str">
        <f t="shared" si="4077"/>
        <v/>
      </c>
      <c r="EG296" s="72" t="str">
        <f t="shared" si="4078"/>
        <v/>
      </c>
      <c r="EH296" s="72" t="str">
        <f t="shared" si="4079"/>
        <v/>
      </c>
      <c r="EI296" s="72" t="str">
        <f t="shared" si="4080"/>
        <v/>
      </c>
      <c r="EJ296" s="72" t="str">
        <f t="shared" si="4081"/>
        <v/>
      </c>
      <c r="EK296" s="72" t="str">
        <f t="shared" si="4082"/>
        <v/>
      </c>
      <c r="EL296" s="72" t="str">
        <f t="shared" si="4083"/>
        <v/>
      </c>
      <c r="EM296" s="72" t="str">
        <f t="shared" si="4084"/>
        <v/>
      </c>
      <c r="EN296" s="72" t="str">
        <f t="shared" si="4085"/>
        <v/>
      </c>
      <c r="EO296" s="72" t="str">
        <f t="shared" si="4086"/>
        <v/>
      </c>
      <c r="EP296" s="72" t="str">
        <f t="shared" si="4087"/>
        <v/>
      </c>
      <c r="EQ296" s="72" t="str">
        <f t="shared" si="4088"/>
        <v/>
      </c>
      <c r="ER296" s="72" t="str">
        <f t="shared" si="4089"/>
        <v/>
      </c>
      <c r="ES296" s="72" t="str">
        <f t="shared" si="4090"/>
        <v/>
      </c>
      <c r="ET296" s="72" t="str">
        <f t="shared" si="4091"/>
        <v/>
      </c>
      <c r="EU296" s="72" t="str">
        <f t="shared" si="4092"/>
        <v/>
      </c>
      <c r="EV296" s="72" t="str">
        <f t="shared" si="4093"/>
        <v/>
      </c>
      <c r="EW296" s="72" t="str">
        <f t="shared" si="4094"/>
        <v/>
      </c>
      <c r="EX296" s="72" t="str">
        <f t="shared" si="4095"/>
        <v/>
      </c>
      <c r="EY296" s="72" t="str">
        <f t="shared" si="4096"/>
        <v/>
      </c>
      <c r="EZ296" s="72" t="str">
        <f t="shared" si="4097"/>
        <v/>
      </c>
      <c r="FA296" s="72" t="str">
        <f t="shared" si="4098"/>
        <v/>
      </c>
      <c r="FB296" s="72" t="str">
        <f t="shared" si="4099"/>
        <v/>
      </c>
      <c r="FC296" s="72" t="str">
        <f t="shared" si="4100"/>
        <v/>
      </c>
      <c r="FD296" s="72" t="str">
        <f t="shared" si="4101"/>
        <v/>
      </c>
      <c r="FE296" s="72" t="str">
        <f t="shared" si="4102"/>
        <v/>
      </c>
      <c r="FF296" s="72" t="str">
        <f t="shared" si="4103"/>
        <v/>
      </c>
      <c r="FG296" s="72" t="str">
        <f t="shared" si="4104"/>
        <v/>
      </c>
      <c r="FH296" s="72" t="str">
        <f t="shared" si="4105"/>
        <v/>
      </c>
      <c r="FI296" s="72" t="str">
        <f t="shared" si="4106"/>
        <v/>
      </c>
      <c r="FJ296" s="72" t="str">
        <f t="shared" si="4107"/>
        <v/>
      </c>
      <c r="FK296" s="72" t="str">
        <f t="shared" si="4108"/>
        <v/>
      </c>
      <c r="FL296" s="72" t="str">
        <f t="shared" si="4109"/>
        <v/>
      </c>
      <c r="FM296" s="72" t="str">
        <f t="shared" si="4110"/>
        <v/>
      </c>
      <c r="FN296" s="72" t="str">
        <f t="shared" si="4111"/>
        <v/>
      </c>
      <c r="FO296" s="72" t="str">
        <f t="shared" si="4112"/>
        <v/>
      </c>
      <c r="FP296" s="72" t="str">
        <f t="shared" si="4113"/>
        <v/>
      </c>
      <c r="FQ296" s="72" t="str">
        <f t="shared" si="4114"/>
        <v/>
      </c>
      <c r="FR296" s="72" t="str">
        <f t="shared" si="4115"/>
        <v/>
      </c>
      <c r="FS296" s="72" t="str">
        <f t="shared" si="4116"/>
        <v/>
      </c>
    </row>
    <row r="297" spans="1:175" ht="15">
      <c r="A297" s="73"/>
      <c r="B297" s="74"/>
      <c r="C297" s="73"/>
      <c r="E297" s="146"/>
      <c r="T297" s="151"/>
      <c r="U297" s="88"/>
      <c r="CU297" s="98" t="str">
        <f t="shared" si="4046"/>
        <v>|n</v>
      </c>
      <c r="CW297" s="61"/>
      <c r="CX297" s="61"/>
      <c r="CY297" s="61"/>
      <c r="CZ297" s="61"/>
      <c r="DA297" s="61"/>
      <c r="DB297" s="72" t="str">
        <f t="shared" si="4047"/>
        <v/>
      </c>
      <c r="DC297" s="72" t="str">
        <f t="shared" si="4048"/>
        <v/>
      </c>
      <c r="DD297" s="72" t="str">
        <f t="shared" si="4049"/>
        <v/>
      </c>
      <c r="DE297" s="72" t="str">
        <f t="shared" si="4050"/>
        <v/>
      </c>
      <c r="DF297" s="72" t="str">
        <f t="shared" si="4051"/>
        <v/>
      </c>
      <c r="DG297" s="72" t="str">
        <f t="shared" si="4052"/>
        <v/>
      </c>
      <c r="DH297" s="72" t="str">
        <f t="shared" si="4053"/>
        <v/>
      </c>
      <c r="DI297" s="72" t="str">
        <f t="shared" si="4054"/>
        <v/>
      </c>
      <c r="DJ297" s="72" t="str">
        <f t="shared" si="4055"/>
        <v/>
      </c>
      <c r="DK297" s="72" t="str">
        <f t="shared" si="4056"/>
        <v/>
      </c>
      <c r="DL297" s="72" t="str">
        <f t="shared" si="4057"/>
        <v/>
      </c>
      <c r="DM297" s="72" t="str">
        <f t="shared" si="4058"/>
        <v/>
      </c>
      <c r="DN297" s="72" t="str">
        <f t="shared" si="4059"/>
        <v/>
      </c>
      <c r="DO297" s="72" t="str">
        <f t="shared" si="4060"/>
        <v/>
      </c>
      <c r="DP297" s="72" t="str">
        <f t="shared" si="4061"/>
        <v/>
      </c>
      <c r="DQ297" s="72" t="str">
        <f t="shared" si="4062"/>
        <v/>
      </c>
      <c r="DR297" s="72" t="str">
        <f t="shared" si="4063"/>
        <v/>
      </c>
      <c r="DS297" s="72" t="str">
        <f t="shared" si="4064"/>
        <v/>
      </c>
      <c r="DT297" s="72" t="str">
        <f t="shared" si="4065"/>
        <v/>
      </c>
      <c r="DU297" s="72" t="str">
        <f t="shared" si="4066"/>
        <v/>
      </c>
      <c r="DV297" s="72" t="str">
        <f t="shared" si="4067"/>
        <v/>
      </c>
      <c r="DW297" s="72" t="str">
        <f t="shared" si="4068"/>
        <v/>
      </c>
      <c r="DX297" s="72" t="str">
        <f t="shared" si="4069"/>
        <v/>
      </c>
      <c r="DY297" s="72" t="str">
        <f t="shared" si="4070"/>
        <v/>
      </c>
      <c r="DZ297" s="72" t="str">
        <f t="shared" si="4071"/>
        <v/>
      </c>
      <c r="EA297" s="72" t="str">
        <f t="shared" si="4072"/>
        <v/>
      </c>
      <c r="EB297" s="72" t="str">
        <f t="shared" si="4073"/>
        <v/>
      </c>
      <c r="EC297" s="72" t="str">
        <f t="shared" si="4074"/>
        <v/>
      </c>
      <c r="ED297" s="72" t="str">
        <f t="shared" si="4075"/>
        <v/>
      </c>
      <c r="EE297" s="72" t="str">
        <f t="shared" si="4076"/>
        <v/>
      </c>
      <c r="EF297" s="72" t="str">
        <f t="shared" si="4077"/>
        <v/>
      </c>
      <c r="EG297" s="72" t="str">
        <f t="shared" si="4078"/>
        <v/>
      </c>
      <c r="EH297" s="72" t="str">
        <f t="shared" si="4079"/>
        <v/>
      </c>
      <c r="EI297" s="72" t="str">
        <f t="shared" si="4080"/>
        <v/>
      </c>
      <c r="EJ297" s="72" t="str">
        <f t="shared" si="4081"/>
        <v/>
      </c>
      <c r="EK297" s="72" t="str">
        <f t="shared" si="4082"/>
        <v/>
      </c>
      <c r="EL297" s="72" t="str">
        <f t="shared" si="4083"/>
        <v/>
      </c>
      <c r="EM297" s="72" t="str">
        <f t="shared" si="4084"/>
        <v/>
      </c>
      <c r="EN297" s="72" t="str">
        <f t="shared" si="4085"/>
        <v/>
      </c>
      <c r="EO297" s="72" t="str">
        <f t="shared" si="4086"/>
        <v/>
      </c>
      <c r="EP297" s="72" t="str">
        <f t="shared" si="4087"/>
        <v/>
      </c>
      <c r="EQ297" s="72" t="str">
        <f t="shared" si="4088"/>
        <v/>
      </c>
      <c r="ER297" s="72" t="str">
        <f t="shared" si="4089"/>
        <v/>
      </c>
      <c r="ES297" s="72" t="str">
        <f t="shared" si="4090"/>
        <v/>
      </c>
      <c r="ET297" s="72" t="str">
        <f t="shared" si="4091"/>
        <v/>
      </c>
      <c r="EU297" s="72" t="str">
        <f t="shared" si="4092"/>
        <v/>
      </c>
      <c r="EV297" s="72" t="str">
        <f t="shared" si="4093"/>
        <v/>
      </c>
      <c r="EW297" s="72" t="str">
        <f t="shared" si="4094"/>
        <v/>
      </c>
      <c r="EX297" s="72" t="str">
        <f t="shared" si="4095"/>
        <v/>
      </c>
      <c r="EY297" s="72" t="str">
        <f t="shared" si="4096"/>
        <v/>
      </c>
      <c r="EZ297" s="72" t="str">
        <f t="shared" si="4097"/>
        <v/>
      </c>
      <c r="FA297" s="72" t="str">
        <f t="shared" si="4098"/>
        <v/>
      </c>
      <c r="FB297" s="72" t="str">
        <f t="shared" si="4099"/>
        <v/>
      </c>
      <c r="FC297" s="72" t="str">
        <f t="shared" si="4100"/>
        <v/>
      </c>
      <c r="FD297" s="72" t="str">
        <f t="shared" si="4101"/>
        <v/>
      </c>
      <c r="FE297" s="72" t="str">
        <f t="shared" si="4102"/>
        <v/>
      </c>
      <c r="FF297" s="72" t="str">
        <f t="shared" si="4103"/>
        <v/>
      </c>
      <c r="FG297" s="72" t="str">
        <f t="shared" si="4104"/>
        <v/>
      </c>
      <c r="FH297" s="72" t="str">
        <f t="shared" si="4105"/>
        <v/>
      </c>
      <c r="FI297" s="72" t="str">
        <f t="shared" si="4106"/>
        <v/>
      </c>
      <c r="FJ297" s="72" t="str">
        <f t="shared" si="4107"/>
        <v/>
      </c>
      <c r="FK297" s="72" t="str">
        <f t="shared" si="4108"/>
        <v/>
      </c>
      <c r="FL297" s="72" t="str">
        <f t="shared" si="4109"/>
        <v/>
      </c>
      <c r="FM297" s="72" t="str">
        <f t="shared" si="4110"/>
        <v/>
      </c>
      <c r="FN297" s="72" t="str">
        <f t="shared" si="4111"/>
        <v/>
      </c>
      <c r="FO297" s="72" t="str">
        <f t="shared" si="4112"/>
        <v/>
      </c>
      <c r="FP297" s="72" t="str">
        <f t="shared" si="4113"/>
        <v/>
      </c>
      <c r="FQ297" s="72" t="str">
        <f t="shared" si="4114"/>
        <v/>
      </c>
      <c r="FR297" s="72" t="str">
        <f t="shared" si="4115"/>
        <v/>
      </c>
      <c r="FS297" s="72" t="str">
        <f t="shared" si="4116"/>
        <v/>
      </c>
    </row>
    <row r="298" spans="1:175" ht="15">
      <c r="A298" s="73"/>
      <c r="B298" s="74"/>
      <c r="C298" s="73"/>
      <c r="E298" s="146"/>
      <c r="T298" s="151"/>
      <c r="U298" s="88"/>
      <c r="CU298" s="98" t="str">
        <f t="shared" si="4046"/>
        <v>|n</v>
      </c>
      <c r="CW298" s="61"/>
      <c r="CX298" s="61"/>
      <c r="CY298" s="61"/>
      <c r="CZ298" s="61"/>
      <c r="DA298" s="61"/>
      <c r="DB298" s="72" t="str">
        <f t="shared" si="4047"/>
        <v/>
      </c>
      <c r="DC298" s="72" t="str">
        <f t="shared" si="4048"/>
        <v/>
      </c>
      <c r="DD298" s="72" t="str">
        <f t="shared" si="4049"/>
        <v/>
      </c>
      <c r="DE298" s="72" t="str">
        <f t="shared" si="4050"/>
        <v/>
      </c>
      <c r="DF298" s="72" t="str">
        <f t="shared" si="4051"/>
        <v/>
      </c>
      <c r="DG298" s="72" t="str">
        <f t="shared" si="4052"/>
        <v/>
      </c>
      <c r="DH298" s="72" t="str">
        <f t="shared" si="4053"/>
        <v/>
      </c>
      <c r="DI298" s="72" t="str">
        <f t="shared" si="4054"/>
        <v/>
      </c>
      <c r="DJ298" s="72" t="str">
        <f t="shared" si="4055"/>
        <v/>
      </c>
      <c r="DK298" s="72" t="str">
        <f t="shared" si="4056"/>
        <v/>
      </c>
      <c r="DL298" s="72" t="str">
        <f t="shared" si="4057"/>
        <v/>
      </c>
      <c r="DM298" s="72" t="str">
        <f t="shared" si="4058"/>
        <v/>
      </c>
      <c r="DN298" s="72" t="str">
        <f t="shared" si="4059"/>
        <v/>
      </c>
      <c r="DO298" s="72" t="str">
        <f t="shared" si="4060"/>
        <v/>
      </c>
      <c r="DP298" s="72" t="str">
        <f t="shared" si="4061"/>
        <v/>
      </c>
      <c r="DQ298" s="72" t="str">
        <f t="shared" si="4062"/>
        <v/>
      </c>
      <c r="DR298" s="72" t="str">
        <f t="shared" si="4063"/>
        <v/>
      </c>
      <c r="DS298" s="72" t="str">
        <f t="shared" si="4064"/>
        <v/>
      </c>
      <c r="DT298" s="72" t="str">
        <f t="shared" si="4065"/>
        <v/>
      </c>
      <c r="DU298" s="72" t="str">
        <f t="shared" si="4066"/>
        <v/>
      </c>
      <c r="DV298" s="72" t="str">
        <f t="shared" si="4067"/>
        <v/>
      </c>
      <c r="DW298" s="72" t="str">
        <f t="shared" si="4068"/>
        <v/>
      </c>
      <c r="DX298" s="72" t="str">
        <f t="shared" si="4069"/>
        <v/>
      </c>
      <c r="DY298" s="72" t="str">
        <f t="shared" si="4070"/>
        <v/>
      </c>
      <c r="DZ298" s="72" t="str">
        <f t="shared" si="4071"/>
        <v/>
      </c>
      <c r="EA298" s="72" t="str">
        <f t="shared" si="4072"/>
        <v/>
      </c>
      <c r="EB298" s="72" t="str">
        <f t="shared" si="4073"/>
        <v/>
      </c>
      <c r="EC298" s="72" t="str">
        <f t="shared" si="4074"/>
        <v/>
      </c>
      <c r="ED298" s="72" t="str">
        <f t="shared" si="4075"/>
        <v/>
      </c>
      <c r="EE298" s="72" t="str">
        <f t="shared" si="4076"/>
        <v/>
      </c>
      <c r="EF298" s="72" t="str">
        <f t="shared" si="4077"/>
        <v/>
      </c>
      <c r="EG298" s="72" t="str">
        <f t="shared" si="4078"/>
        <v/>
      </c>
      <c r="EH298" s="72" t="str">
        <f t="shared" si="4079"/>
        <v/>
      </c>
      <c r="EI298" s="72" t="str">
        <f t="shared" si="4080"/>
        <v/>
      </c>
      <c r="EJ298" s="72" t="str">
        <f t="shared" si="4081"/>
        <v/>
      </c>
      <c r="EK298" s="72" t="str">
        <f t="shared" si="4082"/>
        <v/>
      </c>
      <c r="EL298" s="72" t="str">
        <f t="shared" si="4083"/>
        <v/>
      </c>
      <c r="EM298" s="72" t="str">
        <f t="shared" si="4084"/>
        <v/>
      </c>
      <c r="EN298" s="72" t="str">
        <f t="shared" si="4085"/>
        <v/>
      </c>
      <c r="EO298" s="72" t="str">
        <f t="shared" si="4086"/>
        <v/>
      </c>
      <c r="EP298" s="72" t="str">
        <f t="shared" si="4087"/>
        <v/>
      </c>
      <c r="EQ298" s="72" t="str">
        <f t="shared" si="4088"/>
        <v/>
      </c>
      <c r="ER298" s="72" t="str">
        <f t="shared" si="4089"/>
        <v/>
      </c>
      <c r="ES298" s="72" t="str">
        <f t="shared" si="4090"/>
        <v/>
      </c>
      <c r="ET298" s="72" t="str">
        <f t="shared" si="4091"/>
        <v/>
      </c>
      <c r="EU298" s="72" t="str">
        <f t="shared" si="4092"/>
        <v/>
      </c>
      <c r="EV298" s="72" t="str">
        <f t="shared" si="4093"/>
        <v/>
      </c>
      <c r="EW298" s="72" t="str">
        <f t="shared" si="4094"/>
        <v/>
      </c>
      <c r="EX298" s="72" t="str">
        <f t="shared" si="4095"/>
        <v/>
      </c>
      <c r="EY298" s="72" t="str">
        <f t="shared" si="4096"/>
        <v/>
      </c>
      <c r="EZ298" s="72" t="str">
        <f t="shared" si="4097"/>
        <v/>
      </c>
      <c r="FA298" s="72" t="str">
        <f t="shared" si="4098"/>
        <v/>
      </c>
      <c r="FB298" s="72" t="str">
        <f t="shared" si="4099"/>
        <v/>
      </c>
      <c r="FC298" s="72" t="str">
        <f t="shared" si="4100"/>
        <v/>
      </c>
      <c r="FD298" s="72" t="str">
        <f t="shared" si="4101"/>
        <v/>
      </c>
      <c r="FE298" s="72" t="str">
        <f t="shared" si="4102"/>
        <v/>
      </c>
      <c r="FF298" s="72" t="str">
        <f t="shared" si="4103"/>
        <v/>
      </c>
      <c r="FG298" s="72" t="str">
        <f t="shared" si="4104"/>
        <v/>
      </c>
      <c r="FH298" s="72" t="str">
        <f t="shared" si="4105"/>
        <v/>
      </c>
      <c r="FI298" s="72" t="str">
        <f t="shared" si="4106"/>
        <v/>
      </c>
      <c r="FJ298" s="72" t="str">
        <f t="shared" si="4107"/>
        <v/>
      </c>
      <c r="FK298" s="72" t="str">
        <f t="shared" si="4108"/>
        <v/>
      </c>
      <c r="FL298" s="72" t="str">
        <f t="shared" si="4109"/>
        <v/>
      </c>
      <c r="FM298" s="72" t="str">
        <f t="shared" si="4110"/>
        <v/>
      </c>
      <c r="FN298" s="72" t="str">
        <f t="shared" si="4111"/>
        <v/>
      </c>
      <c r="FO298" s="72" t="str">
        <f t="shared" si="4112"/>
        <v/>
      </c>
      <c r="FP298" s="72" t="str">
        <f t="shared" si="4113"/>
        <v/>
      </c>
      <c r="FQ298" s="72" t="str">
        <f t="shared" si="4114"/>
        <v/>
      </c>
      <c r="FR298" s="72" t="str">
        <f t="shared" si="4115"/>
        <v/>
      </c>
      <c r="FS298" s="72" t="str">
        <f t="shared" si="4116"/>
        <v/>
      </c>
    </row>
    <row r="299" spans="1:175" ht="15">
      <c r="A299" s="73"/>
      <c r="B299" s="74"/>
      <c r="C299" s="73"/>
      <c r="E299" s="146"/>
      <c r="T299" s="151"/>
      <c r="U299" s="88"/>
      <c r="CU299" s="98" t="str">
        <f t="shared" si="4046"/>
        <v>|n</v>
      </c>
      <c r="CW299" s="61"/>
      <c r="CX299" s="61"/>
      <c r="CY299" s="61"/>
      <c r="CZ299" s="61"/>
      <c r="DA299" s="61"/>
      <c r="DB299" s="72" t="str">
        <f t="shared" si="4047"/>
        <v/>
      </c>
      <c r="DC299" s="72" t="str">
        <f t="shared" si="4048"/>
        <v/>
      </c>
      <c r="DD299" s="72" t="str">
        <f t="shared" si="4049"/>
        <v/>
      </c>
      <c r="DE299" s="72" t="str">
        <f t="shared" si="4050"/>
        <v/>
      </c>
      <c r="DF299" s="72" t="str">
        <f t="shared" si="4051"/>
        <v/>
      </c>
      <c r="DG299" s="72" t="str">
        <f t="shared" si="4052"/>
        <v/>
      </c>
      <c r="DH299" s="72" t="str">
        <f t="shared" si="4053"/>
        <v/>
      </c>
      <c r="DI299" s="72" t="str">
        <f t="shared" si="4054"/>
        <v/>
      </c>
      <c r="DJ299" s="72" t="str">
        <f t="shared" si="4055"/>
        <v/>
      </c>
      <c r="DK299" s="72" t="str">
        <f t="shared" si="4056"/>
        <v/>
      </c>
      <c r="DL299" s="72" t="str">
        <f t="shared" si="4057"/>
        <v/>
      </c>
      <c r="DM299" s="72" t="str">
        <f t="shared" si="4058"/>
        <v/>
      </c>
      <c r="DN299" s="72" t="str">
        <f t="shared" si="4059"/>
        <v/>
      </c>
      <c r="DO299" s="72" t="str">
        <f t="shared" si="4060"/>
        <v/>
      </c>
      <c r="DP299" s="72" t="str">
        <f t="shared" si="4061"/>
        <v/>
      </c>
      <c r="DQ299" s="72" t="str">
        <f t="shared" si="4062"/>
        <v/>
      </c>
      <c r="DR299" s="72" t="str">
        <f t="shared" si="4063"/>
        <v/>
      </c>
      <c r="DS299" s="72" t="str">
        <f t="shared" si="4064"/>
        <v/>
      </c>
      <c r="DT299" s="72" t="str">
        <f t="shared" si="4065"/>
        <v/>
      </c>
      <c r="DU299" s="72" t="str">
        <f t="shared" si="4066"/>
        <v/>
      </c>
      <c r="DV299" s="72" t="str">
        <f t="shared" si="4067"/>
        <v/>
      </c>
      <c r="DW299" s="72" t="str">
        <f t="shared" si="4068"/>
        <v/>
      </c>
      <c r="DX299" s="72" t="str">
        <f t="shared" si="4069"/>
        <v/>
      </c>
      <c r="DY299" s="72" t="str">
        <f t="shared" si="4070"/>
        <v/>
      </c>
      <c r="DZ299" s="72" t="str">
        <f t="shared" si="4071"/>
        <v/>
      </c>
      <c r="EA299" s="72" t="str">
        <f t="shared" si="4072"/>
        <v/>
      </c>
      <c r="EB299" s="72" t="str">
        <f t="shared" si="4073"/>
        <v/>
      </c>
      <c r="EC299" s="72" t="str">
        <f t="shared" si="4074"/>
        <v/>
      </c>
      <c r="ED299" s="72" t="str">
        <f t="shared" si="4075"/>
        <v/>
      </c>
      <c r="EE299" s="72" t="str">
        <f t="shared" si="4076"/>
        <v/>
      </c>
      <c r="EF299" s="72" t="str">
        <f t="shared" si="4077"/>
        <v/>
      </c>
      <c r="EG299" s="72" t="str">
        <f t="shared" si="4078"/>
        <v/>
      </c>
      <c r="EH299" s="72" t="str">
        <f t="shared" si="4079"/>
        <v/>
      </c>
      <c r="EI299" s="72" t="str">
        <f t="shared" si="4080"/>
        <v/>
      </c>
      <c r="EJ299" s="72" t="str">
        <f t="shared" si="4081"/>
        <v/>
      </c>
      <c r="EK299" s="72" t="str">
        <f t="shared" si="4082"/>
        <v/>
      </c>
      <c r="EL299" s="72" t="str">
        <f t="shared" si="4083"/>
        <v/>
      </c>
      <c r="EM299" s="72" t="str">
        <f t="shared" si="4084"/>
        <v/>
      </c>
      <c r="EN299" s="72" t="str">
        <f t="shared" si="4085"/>
        <v/>
      </c>
      <c r="EO299" s="72" t="str">
        <f t="shared" si="4086"/>
        <v/>
      </c>
      <c r="EP299" s="72" t="str">
        <f t="shared" si="4087"/>
        <v/>
      </c>
      <c r="EQ299" s="72" t="str">
        <f t="shared" si="4088"/>
        <v/>
      </c>
      <c r="ER299" s="72" t="str">
        <f t="shared" si="4089"/>
        <v/>
      </c>
      <c r="ES299" s="72" t="str">
        <f t="shared" si="4090"/>
        <v/>
      </c>
      <c r="ET299" s="72" t="str">
        <f t="shared" si="4091"/>
        <v/>
      </c>
      <c r="EU299" s="72" t="str">
        <f t="shared" si="4092"/>
        <v/>
      </c>
      <c r="EV299" s="72" t="str">
        <f t="shared" si="4093"/>
        <v/>
      </c>
      <c r="EW299" s="72" t="str">
        <f t="shared" si="4094"/>
        <v/>
      </c>
      <c r="EX299" s="72" t="str">
        <f t="shared" si="4095"/>
        <v/>
      </c>
      <c r="EY299" s="72" t="str">
        <f t="shared" si="4096"/>
        <v/>
      </c>
      <c r="EZ299" s="72" t="str">
        <f t="shared" si="4097"/>
        <v/>
      </c>
      <c r="FA299" s="72" t="str">
        <f t="shared" si="4098"/>
        <v/>
      </c>
      <c r="FB299" s="72" t="str">
        <f t="shared" si="4099"/>
        <v/>
      </c>
      <c r="FC299" s="72" t="str">
        <f t="shared" si="4100"/>
        <v/>
      </c>
      <c r="FD299" s="72" t="str">
        <f t="shared" si="4101"/>
        <v/>
      </c>
      <c r="FE299" s="72" t="str">
        <f t="shared" si="4102"/>
        <v/>
      </c>
      <c r="FF299" s="72" t="str">
        <f t="shared" si="4103"/>
        <v/>
      </c>
      <c r="FG299" s="72" t="str">
        <f t="shared" si="4104"/>
        <v/>
      </c>
      <c r="FH299" s="72" t="str">
        <f t="shared" si="4105"/>
        <v/>
      </c>
      <c r="FI299" s="72" t="str">
        <f t="shared" si="4106"/>
        <v/>
      </c>
      <c r="FJ299" s="72" t="str">
        <f t="shared" si="4107"/>
        <v/>
      </c>
      <c r="FK299" s="72" t="str">
        <f t="shared" si="4108"/>
        <v/>
      </c>
      <c r="FL299" s="72" t="str">
        <f t="shared" si="4109"/>
        <v/>
      </c>
      <c r="FM299" s="72" t="str">
        <f t="shared" si="4110"/>
        <v/>
      </c>
      <c r="FN299" s="72" t="str">
        <f t="shared" si="4111"/>
        <v/>
      </c>
      <c r="FO299" s="72" t="str">
        <f t="shared" si="4112"/>
        <v/>
      </c>
      <c r="FP299" s="72" t="str">
        <f t="shared" si="4113"/>
        <v/>
      </c>
      <c r="FQ299" s="72" t="str">
        <f t="shared" si="4114"/>
        <v/>
      </c>
      <c r="FR299" s="72" t="str">
        <f t="shared" si="4115"/>
        <v/>
      </c>
      <c r="FS299" s="72" t="str">
        <f t="shared" si="4116"/>
        <v/>
      </c>
    </row>
    <row r="300" spans="1:175" ht="15">
      <c r="A300" s="73"/>
      <c r="B300" s="74"/>
      <c r="C300" s="73"/>
      <c r="E300" s="146"/>
      <c r="T300" s="151"/>
      <c r="U300" s="88"/>
      <c r="CU300" s="98" t="str">
        <f t="shared" si="4046"/>
        <v>|n</v>
      </c>
      <c r="CW300" s="61"/>
      <c r="CX300" s="61"/>
      <c r="CY300" s="61"/>
      <c r="CZ300" s="61"/>
      <c r="DA300" s="61"/>
      <c r="DB300" s="72" t="str">
        <f t="shared" si="4047"/>
        <v/>
      </c>
      <c r="DC300" s="72" t="str">
        <f t="shared" si="4048"/>
        <v/>
      </c>
      <c r="DD300" s="72" t="str">
        <f t="shared" si="4049"/>
        <v/>
      </c>
      <c r="DE300" s="72" t="str">
        <f t="shared" si="4050"/>
        <v/>
      </c>
      <c r="DF300" s="72" t="str">
        <f t="shared" si="4051"/>
        <v/>
      </c>
      <c r="DG300" s="72" t="str">
        <f t="shared" si="4052"/>
        <v/>
      </c>
      <c r="DH300" s="72" t="str">
        <f t="shared" si="4053"/>
        <v/>
      </c>
      <c r="DI300" s="72" t="str">
        <f t="shared" si="4054"/>
        <v/>
      </c>
      <c r="DJ300" s="72" t="str">
        <f t="shared" si="4055"/>
        <v/>
      </c>
      <c r="DK300" s="72" t="str">
        <f t="shared" si="4056"/>
        <v/>
      </c>
      <c r="DL300" s="72" t="str">
        <f t="shared" si="4057"/>
        <v/>
      </c>
      <c r="DM300" s="72" t="str">
        <f t="shared" si="4058"/>
        <v/>
      </c>
      <c r="DN300" s="72" t="str">
        <f t="shared" si="4059"/>
        <v/>
      </c>
      <c r="DO300" s="72" t="str">
        <f t="shared" si="4060"/>
        <v/>
      </c>
      <c r="DP300" s="72" t="str">
        <f t="shared" si="4061"/>
        <v/>
      </c>
      <c r="DQ300" s="72" t="str">
        <f t="shared" si="4062"/>
        <v/>
      </c>
      <c r="DR300" s="72" t="str">
        <f t="shared" si="4063"/>
        <v/>
      </c>
      <c r="DS300" s="72" t="str">
        <f t="shared" si="4064"/>
        <v/>
      </c>
      <c r="DT300" s="72" t="str">
        <f t="shared" si="4065"/>
        <v/>
      </c>
      <c r="DU300" s="72" t="str">
        <f t="shared" si="4066"/>
        <v/>
      </c>
      <c r="DV300" s="72" t="str">
        <f t="shared" si="4067"/>
        <v/>
      </c>
      <c r="DW300" s="72" t="str">
        <f t="shared" si="4068"/>
        <v/>
      </c>
      <c r="DX300" s="72" t="str">
        <f t="shared" si="4069"/>
        <v/>
      </c>
      <c r="DY300" s="72" t="str">
        <f t="shared" si="4070"/>
        <v/>
      </c>
      <c r="DZ300" s="72" t="str">
        <f t="shared" si="4071"/>
        <v/>
      </c>
      <c r="EA300" s="72" t="str">
        <f t="shared" si="4072"/>
        <v/>
      </c>
      <c r="EB300" s="72" t="str">
        <f t="shared" si="4073"/>
        <v/>
      </c>
      <c r="EC300" s="72" t="str">
        <f t="shared" si="4074"/>
        <v/>
      </c>
      <c r="ED300" s="72" t="str">
        <f t="shared" si="4075"/>
        <v/>
      </c>
      <c r="EE300" s="72" t="str">
        <f t="shared" si="4076"/>
        <v/>
      </c>
      <c r="EF300" s="72" t="str">
        <f t="shared" si="4077"/>
        <v/>
      </c>
      <c r="EG300" s="72" t="str">
        <f t="shared" si="4078"/>
        <v/>
      </c>
      <c r="EH300" s="72" t="str">
        <f t="shared" si="4079"/>
        <v/>
      </c>
      <c r="EI300" s="72" t="str">
        <f t="shared" si="4080"/>
        <v/>
      </c>
      <c r="EJ300" s="72" t="str">
        <f t="shared" si="4081"/>
        <v/>
      </c>
      <c r="EK300" s="72" t="str">
        <f t="shared" si="4082"/>
        <v/>
      </c>
      <c r="EL300" s="72" t="str">
        <f t="shared" si="4083"/>
        <v/>
      </c>
      <c r="EM300" s="72" t="str">
        <f t="shared" si="4084"/>
        <v/>
      </c>
      <c r="EN300" s="72" t="str">
        <f t="shared" si="4085"/>
        <v/>
      </c>
      <c r="EO300" s="72" t="str">
        <f t="shared" si="4086"/>
        <v/>
      </c>
      <c r="EP300" s="72" t="str">
        <f t="shared" si="4087"/>
        <v/>
      </c>
      <c r="EQ300" s="72" t="str">
        <f t="shared" si="4088"/>
        <v/>
      </c>
      <c r="ER300" s="72" t="str">
        <f t="shared" si="4089"/>
        <v/>
      </c>
      <c r="ES300" s="72" t="str">
        <f t="shared" si="4090"/>
        <v/>
      </c>
      <c r="ET300" s="72" t="str">
        <f t="shared" si="4091"/>
        <v/>
      </c>
      <c r="EU300" s="72" t="str">
        <f t="shared" si="4092"/>
        <v/>
      </c>
      <c r="EV300" s="72" t="str">
        <f t="shared" si="4093"/>
        <v/>
      </c>
      <c r="EW300" s="72" t="str">
        <f t="shared" si="4094"/>
        <v/>
      </c>
      <c r="EX300" s="72" t="str">
        <f t="shared" si="4095"/>
        <v/>
      </c>
      <c r="EY300" s="72" t="str">
        <f t="shared" si="4096"/>
        <v/>
      </c>
      <c r="EZ300" s="72" t="str">
        <f t="shared" si="4097"/>
        <v/>
      </c>
      <c r="FA300" s="72" t="str">
        <f t="shared" si="4098"/>
        <v/>
      </c>
      <c r="FB300" s="72" t="str">
        <f t="shared" si="4099"/>
        <v/>
      </c>
      <c r="FC300" s="72" t="str">
        <f t="shared" si="4100"/>
        <v/>
      </c>
      <c r="FD300" s="72" t="str">
        <f t="shared" si="4101"/>
        <v/>
      </c>
      <c r="FE300" s="72" t="str">
        <f t="shared" si="4102"/>
        <v/>
      </c>
      <c r="FF300" s="72" t="str">
        <f t="shared" si="4103"/>
        <v/>
      </c>
      <c r="FG300" s="72" t="str">
        <f t="shared" si="4104"/>
        <v/>
      </c>
      <c r="FH300" s="72" t="str">
        <f t="shared" si="4105"/>
        <v/>
      </c>
      <c r="FI300" s="72" t="str">
        <f t="shared" si="4106"/>
        <v/>
      </c>
      <c r="FJ300" s="72" t="str">
        <f t="shared" si="4107"/>
        <v/>
      </c>
      <c r="FK300" s="72" t="str">
        <f t="shared" si="4108"/>
        <v/>
      </c>
      <c r="FL300" s="72" t="str">
        <f t="shared" si="4109"/>
        <v/>
      </c>
      <c r="FM300" s="72" t="str">
        <f t="shared" si="4110"/>
        <v/>
      </c>
      <c r="FN300" s="72" t="str">
        <f t="shared" si="4111"/>
        <v/>
      </c>
      <c r="FO300" s="72" t="str">
        <f t="shared" si="4112"/>
        <v/>
      </c>
      <c r="FP300" s="72" t="str">
        <f t="shared" si="4113"/>
        <v/>
      </c>
      <c r="FQ300" s="72" t="str">
        <f t="shared" si="4114"/>
        <v/>
      </c>
      <c r="FR300" s="72" t="str">
        <f t="shared" si="4115"/>
        <v/>
      </c>
      <c r="FS300" s="72" t="str">
        <f t="shared" si="4116"/>
        <v/>
      </c>
    </row>
    <row r="301" spans="1:175" ht="15">
      <c r="A301" s="73"/>
      <c r="B301" s="74"/>
      <c r="C301" s="73"/>
      <c r="E301" s="146"/>
      <c r="T301" s="151"/>
      <c r="U301" s="88"/>
      <c r="CU301" s="98" t="str">
        <f t="shared" si="4046"/>
        <v>|n</v>
      </c>
      <c r="CW301" s="61"/>
      <c r="CX301" s="61"/>
      <c r="CY301" s="61"/>
      <c r="CZ301" s="61"/>
      <c r="DA301" s="61"/>
      <c r="DB301" s="72" t="str">
        <f t="shared" si="4047"/>
        <v/>
      </c>
      <c r="DC301" s="72" t="str">
        <f t="shared" si="4048"/>
        <v/>
      </c>
      <c r="DD301" s="72" t="str">
        <f t="shared" si="4049"/>
        <v/>
      </c>
      <c r="DE301" s="72" t="str">
        <f t="shared" si="4050"/>
        <v/>
      </c>
      <c r="DF301" s="72" t="str">
        <f t="shared" si="4051"/>
        <v/>
      </c>
      <c r="DG301" s="72" t="str">
        <f t="shared" si="4052"/>
        <v/>
      </c>
      <c r="DH301" s="72" t="str">
        <f t="shared" si="4053"/>
        <v/>
      </c>
      <c r="DI301" s="72" t="str">
        <f t="shared" si="4054"/>
        <v/>
      </c>
      <c r="DJ301" s="72" t="str">
        <f t="shared" si="4055"/>
        <v/>
      </c>
      <c r="DK301" s="72" t="str">
        <f t="shared" si="4056"/>
        <v/>
      </c>
      <c r="DL301" s="72" t="str">
        <f t="shared" si="4057"/>
        <v/>
      </c>
      <c r="DM301" s="72" t="str">
        <f t="shared" si="4058"/>
        <v/>
      </c>
      <c r="DN301" s="72" t="str">
        <f t="shared" si="4059"/>
        <v/>
      </c>
      <c r="DO301" s="72" t="str">
        <f t="shared" si="4060"/>
        <v/>
      </c>
      <c r="DP301" s="72" t="str">
        <f t="shared" si="4061"/>
        <v/>
      </c>
      <c r="DQ301" s="72" t="str">
        <f t="shared" si="4062"/>
        <v/>
      </c>
      <c r="DR301" s="72" t="str">
        <f t="shared" si="4063"/>
        <v/>
      </c>
      <c r="DS301" s="72" t="str">
        <f t="shared" si="4064"/>
        <v/>
      </c>
      <c r="DT301" s="72" t="str">
        <f t="shared" si="4065"/>
        <v/>
      </c>
      <c r="DU301" s="72" t="str">
        <f t="shared" si="4066"/>
        <v/>
      </c>
      <c r="DV301" s="72" t="str">
        <f t="shared" si="4067"/>
        <v/>
      </c>
      <c r="DW301" s="72" t="str">
        <f t="shared" si="4068"/>
        <v/>
      </c>
      <c r="DX301" s="72" t="str">
        <f t="shared" si="4069"/>
        <v/>
      </c>
      <c r="DY301" s="72" t="str">
        <f t="shared" si="4070"/>
        <v/>
      </c>
      <c r="DZ301" s="72" t="str">
        <f t="shared" si="4071"/>
        <v/>
      </c>
      <c r="EA301" s="72" t="str">
        <f t="shared" si="4072"/>
        <v/>
      </c>
      <c r="EB301" s="72" t="str">
        <f t="shared" si="4073"/>
        <v/>
      </c>
      <c r="EC301" s="72" t="str">
        <f t="shared" si="4074"/>
        <v/>
      </c>
      <c r="ED301" s="72" t="str">
        <f t="shared" si="4075"/>
        <v/>
      </c>
      <c r="EE301" s="72" t="str">
        <f t="shared" si="4076"/>
        <v/>
      </c>
      <c r="EF301" s="72" t="str">
        <f t="shared" si="4077"/>
        <v/>
      </c>
      <c r="EG301" s="72" t="str">
        <f t="shared" si="4078"/>
        <v/>
      </c>
      <c r="EH301" s="72" t="str">
        <f t="shared" si="4079"/>
        <v/>
      </c>
      <c r="EI301" s="72" t="str">
        <f t="shared" si="4080"/>
        <v/>
      </c>
      <c r="EJ301" s="72" t="str">
        <f t="shared" si="4081"/>
        <v/>
      </c>
      <c r="EK301" s="72" t="str">
        <f t="shared" si="4082"/>
        <v/>
      </c>
      <c r="EL301" s="72" t="str">
        <f t="shared" si="4083"/>
        <v/>
      </c>
      <c r="EM301" s="72" t="str">
        <f t="shared" si="4084"/>
        <v/>
      </c>
      <c r="EN301" s="72" t="str">
        <f t="shared" si="4085"/>
        <v/>
      </c>
      <c r="EO301" s="72" t="str">
        <f t="shared" si="4086"/>
        <v/>
      </c>
      <c r="EP301" s="72" t="str">
        <f t="shared" si="4087"/>
        <v/>
      </c>
      <c r="EQ301" s="72" t="str">
        <f t="shared" si="4088"/>
        <v/>
      </c>
      <c r="ER301" s="72" t="str">
        <f t="shared" si="4089"/>
        <v/>
      </c>
      <c r="ES301" s="72" t="str">
        <f t="shared" si="4090"/>
        <v/>
      </c>
      <c r="ET301" s="72" t="str">
        <f t="shared" si="4091"/>
        <v/>
      </c>
      <c r="EU301" s="72" t="str">
        <f t="shared" si="4092"/>
        <v/>
      </c>
      <c r="EV301" s="72" t="str">
        <f t="shared" si="4093"/>
        <v/>
      </c>
      <c r="EW301" s="72" t="str">
        <f t="shared" si="4094"/>
        <v/>
      </c>
      <c r="EX301" s="72" t="str">
        <f t="shared" si="4095"/>
        <v/>
      </c>
      <c r="EY301" s="72" t="str">
        <f t="shared" si="4096"/>
        <v/>
      </c>
      <c r="EZ301" s="72" t="str">
        <f t="shared" si="4097"/>
        <v/>
      </c>
      <c r="FA301" s="72" t="str">
        <f t="shared" si="4098"/>
        <v/>
      </c>
      <c r="FB301" s="72" t="str">
        <f t="shared" si="4099"/>
        <v/>
      </c>
      <c r="FC301" s="72" t="str">
        <f t="shared" si="4100"/>
        <v/>
      </c>
      <c r="FD301" s="72" t="str">
        <f t="shared" si="4101"/>
        <v/>
      </c>
      <c r="FE301" s="72" t="str">
        <f t="shared" si="4102"/>
        <v/>
      </c>
      <c r="FF301" s="72" t="str">
        <f t="shared" si="4103"/>
        <v/>
      </c>
      <c r="FG301" s="72" t="str">
        <f t="shared" si="4104"/>
        <v/>
      </c>
      <c r="FH301" s="72" t="str">
        <f t="shared" si="4105"/>
        <v/>
      </c>
      <c r="FI301" s="72" t="str">
        <f t="shared" si="4106"/>
        <v/>
      </c>
      <c r="FJ301" s="72" t="str">
        <f t="shared" si="4107"/>
        <v/>
      </c>
      <c r="FK301" s="72" t="str">
        <f t="shared" si="4108"/>
        <v/>
      </c>
      <c r="FL301" s="72" t="str">
        <f t="shared" si="4109"/>
        <v/>
      </c>
      <c r="FM301" s="72" t="str">
        <f t="shared" si="4110"/>
        <v/>
      </c>
      <c r="FN301" s="72" t="str">
        <f t="shared" si="4111"/>
        <v/>
      </c>
      <c r="FO301" s="72" t="str">
        <f t="shared" si="4112"/>
        <v/>
      </c>
      <c r="FP301" s="72" t="str">
        <f t="shared" si="4113"/>
        <v/>
      </c>
      <c r="FQ301" s="72" t="str">
        <f t="shared" si="4114"/>
        <v/>
      </c>
      <c r="FR301" s="72" t="str">
        <f t="shared" si="4115"/>
        <v/>
      </c>
      <c r="FS301" s="72" t="str">
        <f t="shared" si="4116"/>
        <v/>
      </c>
    </row>
    <row r="302" spans="1:175" ht="15">
      <c r="A302" s="73"/>
      <c r="B302" s="74"/>
      <c r="C302" s="73"/>
      <c r="E302" s="146"/>
      <c r="T302" s="151"/>
      <c r="U302" s="88"/>
      <c r="CU302" s="98" t="str">
        <f t="shared" si="4046"/>
        <v>|n</v>
      </c>
      <c r="CW302" s="61"/>
      <c r="CX302" s="61"/>
      <c r="CY302" s="61"/>
      <c r="CZ302" s="61"/>
      <c r="DA302" s="61"/>
      <c r="DB302" s="72" t="str">
        <f t="shared" si="4047"/>
        <v/>
      </c>
      <c r="DC302" s="72" t="str">
        <f t="shared" si="4048"/>
        <v/>
      </c>
      <c r="DD302" s="72" t="str">
        <f t="shared" si="4049"/>
        <v/>
      </c>
      <c r="DE302" s="72" t="str">
        <f t="shared" si="4050"/>
        <v/>
      </c>
      <c r="DF302" s="72" t="str">
        <f t="shared" si="4051"/>
        <v/>
      </c>
      <c r="DG302" s="72" t="str">
        <f t="shared" si="4052"/>
        <v/>
      </c>
      <c r="DH302" s="72" t="str">
        <f t="shared" si="4053"/>
        <v/>
      </c>
      <c r="DI302" s="72" t="str">
        <f t="shared" si="4054"/>
        <v/>
      </c>
      <c r="DJ302" s="72" t="str">
        <f t="shared" si="4055"/>
        <v/>
      </c>
      <c r="DK302" s="72" t="str">
        <f t="shared" si="4056"/>
        <v/>
      </c>
      <c r="DL302" s="72" t="str">
        <f t="shared" si="4057"/>
        <v/>
      </c>
      <c r="DM302" s="72" t="str">
        <f t="shared" si="4058"/>
        <v/>
      </c>
      <c r="DN302" s="72" t="str">
        <f t="shared" si="4059"/>
        <v/>
      </c>
      <c r="DO302" s="72" t="str">
        <f t="shared" si="4060"/>
        <v/>
      </c>
      <c r="DP302" s="72" t="str">
        <f t="shared" si="4061"/>
        <v/>
      </c>
      <c r="DQ302" s="72" t="str">
        <f t="shared" si="4062"/>
        <v/>
      </c>
      <c r="DR302" s="72" t="str">
        <f t="shared" si="4063"/>
        <v/>
      </c>
      <c r="DS302" s="72" t="str">
        <f t="shared" si="4064"/>
        <v/>
      </c>
      <c r="DT302" s="72" t="str">
        <f t="shared" si="4065"/>
        <v/>
      </c>
      <c r="DU302" s="72" t="str">
        <f t="shared" si="4066"/>
        <v/>
      </c>
      <c r="DV302" s="72" t="str">
        <f t="shared" si="4067"/>
        <v/>
      </c>
      <c r="DW302" s="72" t="str">
        <f t="shared" si="4068"/>
        <v/>
      </c>
      <c r="DX302" s="72" t="str">
        <f t="shared" si="4069"/>
        <v/>
      </c>
      <c r="DY302" s="72" t="str">
        <f t="shared" si="4070"/>
        <v/>
      </c>
      <c r="DZ302" s="72" t="str">
        <f t="shared" si="4071"/>
        <v/>
      </c>
      <c r="EA302" s="72" t="str">
        <f t="shared" si="4072"/>
        <v/>
      </c>
      <c r="EB302" s="72" t="str">
        <f t="shared" si="4073"/>
        <v/>
      </c>
      <c r="EC302" s="72" t="str">
        <f t="shared" si="4074"/>
        <v/>
      </c>
      <c r="ED302" s="72" t="str">
        <f t="shared" si="4075"/>
        <v/>
      </c>
      <c r="EE302" s="72" t="str">
        <f t="shared" si="4076"/>
        <v/>
      </c>
      <c r="EF302" s="72" t="str">
        <f t="shared" si="4077"/>
        <v/>
      </c>
      <c r="EG302" s="72" t="str">
        <f t="shared" si="4078"/>
        <v/>
      </c>
      <c r="EH302" s="72" t="str">
        <f t="shared" si="4079"/>
        <v/>
      </c>
      <c r="EI302" s="72" t="str">
        <f t="shared" si="4080"/>
        <v/>
      </c>
      <c r="EJ302" s="72" t="str">
        <f t="shared" si="4081"/>
        <v/>
      </c>
      <c r="EK302" s="72" t="str">
        <f t="shared" si="4082"/>
        <v/>
      </c>
      <c r="EL302" s="72" t="str">
        <f t="shared" si="4083"/>
        <v/>
      </c>
      <c r="EM302" s="72" t="str">
        <f t="shared" si="4084"/>
        <v/>
      </c>
      <c r="EN302" s="72" t="str">
        <f t="shared" si="4085"/>
        <v/>
      </c>
      <c r="EO302" s="72" t="str">
        <f t="shared" si="4086"/>
        <v/>
      </c>
      <c r="EP302" s="72" t="str">
        <f t="shared" si="4087"/>
        <v/>
      </c>
      <c r="EQ302" s="72" t="str">
        <f t="shared" si="4088"/>
        <v/>
      </c>
      <c r="ER302" s="72" t="str">
        <f t="shared" si="4089"/>
        <v/>
      </c>
      <c r="ES302" s="72" t="str">
        <f t="shared" si="4090"/>
        <v/>
      </c>
      <c r="ET302" s="72" t="str">
        <f t="shared" si="4091"/>
        <v/>
      </c>
      <c r="EU302" s="72" t="str">
        <f t="shared" si="4092"/>
        <v/>
      </c>
      <c r="EV302" s="72" t="str">
        <f t="shared" si="4093"/>
        <v/>
      </c>
      <c r="EW302" s="72" t="str">
        <f t="shared" si="4094"/>
        <v/>
      </c>
      <c r="EX302" s="72" t="str">
        <f t="shared" si="4095"/>
        <v/>
      </c>
      <c r="EY302" s="72" t="str">
        <f t="shared" si="4096"/>
        <v/>
      </c>
      <c r="EZ302" s="72" t="str">
        <f t="shared" si="4097"/>
        <v/>
      </c>
      <c r="FA302" s="72" t="str">
        <f t="shared" si="4098"/>
        <v/>
      </c>
      <c r="FB302" s="72" t="str">
        <f t="shared" si="4099"/>
        <v/>
      </c>
      <c r="FC302" s="72" t="str">
        <f t="shared" si="4100"/>
        <v/>
      </c>
      <c r="FD302" s="72" t="str">
        <f t="shared" si="4101"/>
        <v/>
      </c>
      <c r="FE302" s="72" t="str">
        <f t="shared" si="4102"/>
        <v/>
      </c>
      <c r="FF302" s="72" t="str">
        <f t="shared" si="4103"/>
        <v/>
      </c>
      <c r="FG302" s="72" t="str">
        <f t="shared" si="4104"/>
        <v/>
      </c>
      <c r="FH302" s="72" t="str">
        <f t="shared" si="4105"/>
        <v/>
      </c>
      <c r="FI302" s="72" t="str">
        <f t="shared" si="4106"/>
        <v/>
      </c>
      <c r="FJ302" s="72" t="str">
        <f t="shared" si="4107"/>
        <v/>
      </c>
      <c r="FK302" s="72" t="str">
        <f t="shared" si="4108"/>
        <v/>
      </c>
      <c r="FL302" s="72" t="str">
        <f t="shared" si="4109"/>
        <v/>
      </c>
      <c r="FM302" s="72" t="str">
        <f t="shared" si="4110"/>
        <v/>
      </c>
      <c r="FN302" s="72" t="str">
        <f t="shared" si="4111"/>
        <v/>
      </c>
      <c r="FO302" s="72" t="str">
        <f t="shared" si="4112"/>
        <v/>
      </c>
      <c r="FP302" s="72" t="str">
        <f t="shared" si="4113"/>
        <v/>
      </c>
      <c r="FQ302" s="72" t="str">
        <f t="shared" si="4114"/>
        <v/>
      </c>
      <c r="FR302" s="72" t="str">
        <f t="shared" si="4115"/>
        <v/>
      </c>
      <c r="FS302" s="72" t="str">
        <f t="shared" si="4116"/>
        <v/>
      </c>
    </row>
    <row r="303" spans="1:175" ht="15">
      <c r="A303" s="73"/>
      <c r="B303" s="74"/>
      <c r="C303" s="73"/>
      <c r="E303" s="146"/>
      <c r="T303" s="151"/>
      <c r="U303" s="88"/>
      <c r="CU303" s="98" t="str">
        <f t="shared" si="4046"/>
        <v>|n</v>
      </c>
      <c r="CW303" s="61"/>
      <c r="CX303" s="61"/>
      <c r="CY303" s="61"/>
      <c r="CZ303" s="61"/>
      <c r="DA303" s="61"/>
      <c r="DB303" s="72" t="str">
        <f t="shared" si="4047"/>
        <v/>
      </c>
      <c r="DC303" s="72" t="str">
        <f t="shared" si="4048"/>
        <v/>
      </c>
      <c r="DD303" s="72" t="str">
        <f t="shared" si="4049"/>
        <v/>
      </c>
      <c r="DE303" s="72" t="str">
        <f t="shared" si="4050"/>
        <v/>
      </c>
      <c r="DF303" s="72" t="str">
        <f t="shared" si="4051"/>
        <v/>
      </c>
      <c r="DG303" s="72" t="str">
        <f t="shared" si="4052"/>
        <v/>
      </c>
      <c r="DH303" s="72" t="str">
        <f t="shared" si="4053"/>
        <v/>
      </c>
      <c r="DI303" s="72" t="str">
        <f t="shared" si="4054"/>
        <v/>
      </c>
      <c r="DJ303" s="72" t="str">
        <f t="shared" si="4055"/>
        <v/>
      </c>
      <c r="DK303" s="72" t="str">
        <f t="shared" si="4056"/>
        <v/>
      </c>
      <c r="DL303" s="72" t="str">
        <f t="shared" si="4057"/>
        <v/>
      </c>
      <c r="DM303" s="72" t="str">
        <f t="shared" si="4058"/>
        <v/>
      </c>
      <c r="DN303" s="72" t="str">
        <f t="shared" si="4059"/>
        <v/>
      </c>
      <c r="DO303" s="72" t="str">
        <f t="shared" si="4060"/>
        <v/>
      </c>
      <c r="DP303" s="72" t="str">
        <f t="shared" si="4061"/>
        <v/>
      </c>
      <c r="DQ303" s="72" t="str">
        <f t="shared" si="4062"/>
        <v/>
      </c>
      <c r="DR303" s="72" t="str">
        <f t="shared" si="4063"/>
        <v/>
      </c>
      <c r="DS303" s="72" t="str">
        <f t="shared" si="4064"/>
        <v/>
      </c>
      <c r="DT303" s="72" t="str">
        <f t="shared" si="4065"/>
        <v/>
      </c>
      <c r="DU303" s="72" t="str">
        <f t="shared" si="4066"/>
        <v/>
      </c>
      <c r="DV303" s="72" t="str">
        <f t="shared" si="4067"/>
        <v/>
      </c>
      <c r="DW303" s="72" t="str">
        <f t="shared" si="4068"/>
        <v/>
      </c>
      <c r="DX303" s="72" t="str">
        <f t="shared" si="4069"/>
        <v/>
      </c>
      <c r="DY303" s="72" t="str">
        <f t="shared" si="4070"/>
        <v/>
      </c>
      <c r="DZ303" s="72" t="str">
        <f t="shared" si="4071"/>
        <v/>
      </c>
      <c r="EA303" s="72" t="str">
        <f t="shared" si="4072"/>
        <v/>
      </c>
      <c r="EB303" s="72" t="str">
        <f t="shared" si="4073"/>
        <v/>
      </c>
      <c r="EC303" s="72" t="str">
        <f t="shared" si="4074"/>
        <v/>
      </c>
      <c r="ED303" s="72" t="str">
        <f t="shared" si="4075"/>
        <v/>
      </c>
      <c r="EE303" s="72" t="str">
        <f t="shared" si="4076"/>
        <v/>
      </c>
      <c r="EF303" s="72" t="str">
        <f t="shared" si="4077"/>
        <v/>
      </c>
      <c r="EG303" s="72" t="str">
        <f t="shared" si="4078"/>
        <v/>
      </c>
      <c r="EH303" s="72" t="str">
        <f t="shared" si="4079"/>
        <v/>
      </c>
      <c r="EI303" s="72" t="str">
        <f t="shared" si="4080"/>
        <v/>
      </c>
      <c r="EJ303" s="72" t="str">
        <f t="shared" si="4081"/>
        <v/>
      </c>
      <c r="EK303" s="72" t="str">
        <f t="shared" si="4082"/>
        <v/>
      </c>
      <c r="EL303" s="72" t="str">
        <f t="shared" si="4083"/>
        <v/>
      </c>
      <c r="EM303" s="72" t="str">
        <f t="shared" si="4084"/>
        <v/>
      </c>
      <c r="EN303" s="72" t="str">
        <f t="shared" si="4085"/>
        <v/>
      </c>
      <c r="EO303" s="72" t="str">
        <f t="shared" si="4086"/>
        <v/>
      </c>
      <c r="EP303" s="72" t="str">
        <f t="shared" si="4087"/>
        <v/>
      </c>
      <c r="EQ303" s="72" t="str">
        <f t="shared" si="4088"/>
        <v/>
      </c>
      <c r="ER303" s="72" t="str">
        <f t="shared" si="4089"/>
        <v/>
      </c>
      <c r="ES303" s="72" t="str">
        <f t="shared" si="4090"/>
        <v/>
      </c>
      <c r="ET303" s="72" t="str">
        <f t="shared" si="4091"/>
        <v/>
      </c>
      <c r="EU303" s="72" t="str">
        <f t="shared" si="4092"/>
        <v/>
      </c>
      <c r="EV303" s="72" t="str">
        <f t="shared" si="4093"/>
        <v/>
      </c>
      <c r="EW303" s="72" t="str">
        <f t="shared" si="4094"/>
        <v/>
      </c>
      <c r="EX303" s="72" t="str">
        <f t="shared" si="4095"/>
        <v/>
      </c>
      <c r="EY303" s="72" t="str">
        <f t="shared" si="4096"/>
        <v/>
      </c>
      <c r="EZ303" s="72" t="str">
        <f t="shared" si="4097"/>
        <v/>
      </c>
      <c r="FA303" s="72" t="str">
        <f t="shared" si="4098"/>
        <v/>
      </c>
      <c r="FB303" s="72" t="str">
        <f t="shared" si="4099"/>
        <v/>
      </c>
      <c r="FC303" s="72" t="str">
        <f t="shared" si="4100"/>
        <v/>
      </c>
      <c r="FD303" s="72" t="str">
        <f t="shared" si="4101"/>
        <v/>
      </c>
      <c r="FE303" s="72" t="str">
        <f t="shared" si="4102"/>
        <v/>
      </c>
      <c r="FF303" s="72" t="str">
        <f t="shared" si="4103"/>
        <v/>
      </c>
      <c r="FG303" s="72" t="str">
        <f t="shared" si="4104"/>
        <v/>
      </c>
      <c r="FH303" s="72" t="str">
        <f t="shared" si="4105"/>
        <v/>
      </c>
      <c r="FI303" s="72" t="str">
        <f t="shared" si="4106"/>
        <v/>
      </c>
      <c r="FJ303" s="72" t="str">
        <f t="shared" si="4107"/>
        <v/>
      </c>
      <c r="FK303" s="72" t="str">
        <f t="shared" si="4108"/>
        <v/>
      </c>
      <c r="FL303" s="72" t="str">
        <f t="shared" si="4109"/>
        <v/>
      </c>
      <c r="FM303" s="72" t="str">
        <f t="shared" si="4110"/>
        <v/>
      </c>
      <c r="FN303" s="72" t="str">
        <f t="shared" si="4111"/>
        <v/>
      </c>
      <c r="FO303" s="72" t="str">
        <f t="shared" si="4112"/>
        <v/>
      </c>
      <c r="FP303" s="72" t="str">
        <f t="shared" si="4113"/>
        <v/>
      </c>
      <c r="FQ303" s="72" t="str">
        <f t="shared" si="4114"/>
        <v/>
      </c>
      <c r="FR303" s="72" t="str">
        <f t="shared" si="4115"/>
        <v/>
      </c>
      <c r="FS303" s="72" t="str">
        <f t="shared" si="4116"/>
        <v/>
      </c>
    </row>
    <row r="304" spans="1:175">
      <c r="A304" s="82"/>
      <c r="B304" s="82"/>
      <c r="C304" s="82"/>
      <c r="E304" s="146"/>
      <c r="T304" s="150"/>
      <c r="U304" s="88"/>
      <c r="CU304" s="98" t="str">
        <f t="shared" si="4046"/>
        <v>|n</v>
      </c>
      <c r="CW304" s="61"/>
      <c r="CX304" s="61"/>
      <c r="CY304" s="61"/>
      <c r="CZ304" s="61"/>
      <c r="DA304" s="61"/>
      <c r="DB304" s="72" t="str">
        <f t="shared" si="4047"/>
        <v/>
      </c>
      <c r="DC304" s="72" t="str">
        <f t="shared" si="4048"/>
        <v/>
      </c>
      <c r="DD304" s="72" t="str">
        <f t="shared" si="4049"/>
        <v/>
      </c>
      <c r="DE304" s="72" t="str">
        <f t="shared" si="4050"/>
        <v/>
      </c>
      <c r="DF304" s="72" t="str">
        <f t="shared" si="4051"/>
        <v/>
      </c>
      <c r="DG304" s="72" t="str">
        <f t="shared" si="4052"/>
        <v/>
      </c>
      <c r="DH304" s="72" t="str">
        <f t="shared" si="4053"/>
        <v/>
      </c>
      <c r="DI304" s="72" t="str">
        <f t="shared" si="4054"/>
        <v/>
      </c>
      <c r="DJ304" s="72" t="str">
        <f t="shared" si="4055"/>
        <v/>
      </c>
      <c r="DK304" s="72" t="str">
        <f t="shared" si="4056"/>
        <v/>
      </c>
      <c r="DL304" s="72" t="str">
        <f t="shared" si="4057"/>
        <v/>
      </c>
      <c r="DM304" s="72" t="str">
        <f t="shared" si="4058"/>
        <v/>
      </c>
      <c r="DN304" s="72" t="str">
        <f t="shared" si="4059"/>
        <v/>
      </c>
      <c r="DO304" s="72" t="str">
        <f t="shared" si="4060"/>
        <v/>
      </c>
      <c r="DP304" s="72" t="str">
        <f t="shared" si="4061"/>
        <v/>
      </c>
      <c r="DQ304" s="72" t="str">
        <f t="shared" si="4062"/>
        <v/>
      </c>
      <c r="DR304" s="72" t="str">
        <f t="shared" si="4063"/>
        <v/>
      </c>
      <c r="DS304" s="72" t="str">
        <f t="shared" si="4064"/>
        <v/>
      </c>
      <c r="DT304" s="72" t="str">
        <f t="shared" si="4065"/>
        <v/>
      </c>
      <c r="DU304" s="72" t="str">
        <f t="shared" si="4066"/>
        <v/>
      </c>
      <c r="DV304" s="72" t="str">
        <f t="shared" si="4067"/>
        <v/>
      </c>
      <c r="DW304" s="72" t="str">
        <f t="shared" si="4068"/>
        <v/>
      </c>
      <c r="DX304" s="72" t="str">
        <f t="shared" si="4069"/>
        <v/>
      </c>
      <c r="DY304" s="72" t="str">
        <f t="shared" si="4070"/>
        <v/>
      </c>
      <c r="DZ304" s="72" t="str">
        <f t="shared" si="4071"/>
        <v/>
      </c>
      <c r="EA304" s="72" t="str">
        <f t="shared" si="4072"/>
        <v/>
      </c>
      <c r="EB304" s="72" t="str">
        <f t="shared" si="4073"/>
        <v/>
      </c>
      <c r="EC304" s="72" t="str">
        <f t="shared" si="4074"/>
        <v/>
      </c>
      <c r="ED304" s="72" t="str">
        <f t="shared" si="4075"/>
        <v/>
      </c>
      <c r="EE304" s="72" t="str">
        <f t="shared" si="4076"/>
        <v/>
      </c>
      <c r="EF304" s="72" t="str">
        <f t="shared" si="4077"/>
        <v/>
      </c>
      <c r="EG304" s="72" t="str">
        <f t="shared" si="4078"/>
        <v/>
      </c>
      <c r="EH304" s="72" t="str">
        <f t="shared" si="4079"/>
        <v/>
      </c>
      <c r="EI304" s="72" t="str">
        <f t="shared" si="4080"/>
        <v/>
      </c>
      <c r="EJ304" s="72" t="str">
        <f t="shared" si="4081"/>
        <v/>
      </c>
      <c r="EK304" s="72" t="str">
        <f t="shared" si="4082"/>
        <v/>
      </c>
      <c r="EL304" s="72" t="str">
        <f t="shared" si="4083"/>
        <v/>
      </c>
      <c r="EM304" s="72" t="str">
        <f t="shared" si="4084"/>
        <v/>
      </c>
      <c r="EN304" s="72" t="str">
        <f t="shared" si="4085"/>
        <v/>
      </c>
      <c r="EO304" s="72" t="str">
        <f t="shared" si="4086"/>
        <v/>
      </c>
      <c r="EP304" s="72" t="str">
        <f t="shared" si="4087"/>
        <v/>
      </c>
      <c r="EQ304" s="72" t="str">
        <f t="shared" si="4088"/>
        <v/>
      </c>
      <c r="ER304" s="72" t="str">
        <f t="shared" si="4089"/>
        <v/>
      </c>
      <c r="ES304" s="72" t="str">
        <f t="shared" si="4090"/>
        <v/>
      </c>
      <c r="ET304" s="72" t="str">
        <f t="shared" si="4091"/>
        <v/>
      </c>
      <c r="EU304" s="72" t="str">
        <f t="shared" si="4092"/>
        <v/>
      </c>
      <c r="EV304" s="72" t="str">
        <f t="shared" si="4093"/>
        <v/>
      </c>
      <c r="EW304" s="72" t="str">
        <f t="shared" si="4094"/>
        <v/>
      </c>
      <c r="EX304" s="72" t="str">
        <f t="shared" si="4095"/>
        <v/>
      </c>
      <c r="EY304" s="72" t="str">
        <f t="shared" si="4096"/>
        <v/>
      </c>
      <c r="EZ304" s="72" t="str">
        <f t="shared" si="4097"/>
        <v/>
      </c>
      <c r="FA304" s="72" t="str">
        <f t="shared" si="4098"/>
        <v/>
      </c>
      <c r="FB304" s="72" t="str">
        <f t="shared" si="4099"/>
        <v/>
      </c>
      <c r="FC304" s="72" t="str">
        <f t="shared" si="4100"/>
        <v/>
      </c>
      <c r="FD304" s="72" t="str">
        <f t="shared" si="4101"/>
        <v/>
      </c>
      <c r="FE304" s="72" t="str">
        <f t="shared" si="4102"/>
        <v/>
      </c>
      <c r="FF304" s="72" t="str">
        <f t="shared" si="4103"/>
        <v/>
      </c>
      <c r="FG304" s="72" t="str">
        <f t="shared" si="4104"/>
        <v/>
      </c>
      <c r="FH304" s="72" t="str">
        <f t="shared" si="4105"/>
        <v/>
      </c>
      <c r="FI304" s="72" t="str">
        <f t="shared" si="4106"/>
        <v/>
      </c>
      <c r="FJ304" s="72" t="str">
        <f t="shared" si="4107"/>
        <v/>
      </c>
      <c r="FK304" s="72" t="str">
        <f t="shared" si="4108"/>
        <v/>
      </c>
      <c r="FL304" s="72" t="str">
        <f t="shared" si="4109"/>
        <v/>
      </c>
      <c r="FM304" s="72" t="str">
        <f t="shared" si="4110"/>
        <v/>
      </c>
      <c r="FN304" s="72" t="str">
        <f t="shared" si="4111"/>
        <v/>
      </c>
      <c r="FO304" s="72" t="str">
        <f t="shared" si="4112"/>
        <v/>
      </c>
      <c r="FP304" s="72" t="str">
        <f t="shared" si="4113"/>
        <v/>
      </c>
      <c r="FQ304" s="72" t="str">
        <f t="shared" si="4114"/>
        <v/>
      </c>
      <c r="FR304" s="72" t="str">
        <f t="shared" si="4115"/>
        <v/>
      </c>
      <c r="FS304" s="72" t="str">
        <f t="shared" si="4116"/>
        <v/>
      </c>
    </row>
    <row r="305" spans="1:175">
      <c r="A305" s="82"/>
      <c r="B305" s="82"/>
      <c r="C305" s="82"/>
      <c r="E305" s="146"/>
      <c r="T305" s="150"/>
      <c r="U305" s="88"/>
      <c r="CU305" s="98" t="str">
        <f t="shared" si="4046"/>
        <v>|n</v>
      </c>
      <c r="CW305" s="61"/>
      <c r="CX305" s="61"/>
      <c r="CY305" s="61"/>
      <c r="CZ305" s="61"/>
      <c r="DA305" s="61"/>
      <c r="DB305" s="72" t="str">
        <f t="shared" si="4047"/>
        <v/>
      </c>
      <c r="DC305" s="72" t="str">
        <f t="shared" si="4048"/>
        <v/>
      </c>
      <c r="DD305" s="72" t="str">
        <f t="shared" si="4049"/>
        <v/>
      </c>
      <c r="DE305" s="72" t="str">
        <f t="shared" si="4050"/>
        <v/>
      </c>
      <c r="DF305" s="72" t="str">
        <f t="shared" si="4051"/>
        <v/>
      </c>
      <c r="DG305" s="72" t="str">
        <f t="shared" si="4052"/>
        <v/>
      </c>
      <c r="DH305" s="72" t="str">
        <f t="shared" si="4053"/>
        <v/>
      </c>
      <c r="DI305" s="72" t="str">
        <f t="shared" si="4054"/>
        <v/>
      </c>
      <c r="DJ305" s="72" t="str">
        <f t="shared" si="4055"/>
        <v/>
      </c>
      <c r="DK305" s="72" t="str">
        <f t="shared" si="4056"/>
        <v/>
      </c>
      <c r="DL305" s="72" t="str">
        <f t="shared" si="4057"/>
        <v/>
      </c>
      <c r="DM305" s="72" t="str">
        <f t="shared" si="4058"/>
        <v/>
      </c>
      <c r="DN305" s="72" t="str">
        <f t="shared" si="4059"/>
        <v/>
      </c>
      <c r="DO305" s="72" t="str">
        <f t="shared" si="4060"/>
        <v/>
      </c>
      <c r="DP305" s="72" t="str">
        <f t="shared" si="4061"/>
        <v/>
      </c>
      <c r="DQ305" s="72" t="str">
        <f t="shared" si="4062"/>
        <v/>
      </c>
      <c r="DR305" s="72" t="str">
        <f t="shared" si="4063"/>
        <v/>
      </c>
      <c r="DS305" s="72" t="str">
        <f t="shared" si="4064"/>
        <v/>
      </c>
      <c r="DT305" s="72" t="str">
        <f t="shared" si="4065"/>
        <v/>
      </c>
      <c r="DU305" s="72" t="str">
        <f t="shared" si="4066"/>
        <v/>
      </c>
      <c r="DV305" s="72" t="str">
        <f t="shared" si="4067"/>
        <v/>
      </c>
      <c r="DW305" s="72" t="str">
        <f t="shared" si="4068"/>
        <v/>
      </c>
      <c r="DX305" s="72" t="str">
        <f t="shared" si="4069"/>
        <v/>
      </c>
      <c r="DY305" s="72" t="str">
        <f t="shared" si="4070"/>
        <v/>
      </c>
      <c r="DZ305" s="72" t="str">
        <f t="shared" si="4071"/>
        <v/>
      </c>
      <c r="EA305" s="72" t="str">
        <f t="shared" si="4072"/>
        <v/>
      </c>
      <c r="EB305" s="72" t="str">
        <f t="shared" si="4073"/>
        <v/>
      </c>
      <c r="EC305" s="72" t="str">
        <f t="shared" si="4074"/>
        <v/>
      </c>
      <c r="ED305" s="72" t="str">
        <f t="shared" si="4075"/>
        <v/>
      </c>
      <c r="EE305" s="72" t="str">
        <f t="shared" si="4076"/>
        <v/>
      </c>
      <c r="EF305" s="72" t="str">
        <f t="shared" si="4077"/>
        <v/>
      </c>
      <c r="EG305" s="72" t="str">
        <f t="shared" si="4078"/>
        <v/>
      </c>
      <c r="EH305" s="72" t="str">
        <f t="shared" si="4079"/>
        <v/>
      </c>
      <c r="EI305" s="72" t="str">
        <f t="shared" si="4080"/>
        <v/>
      </c>
      <c r="EJ305" s="72" t="str">
        <f t="shared" si="4081"/>
        <v/>
      </c>
      <c r="EK305" s="72" t="str">
        <f t="shared" si="4082"/>
        <v/>
      </c>
      <c r="EL305" s="72" t="str">
        <f t="shared" si="4083"/>
        <v/>
      </c>
      <c r="EM305" s="72" t="str">
        <f t="shared" si="4084"/>
        <v/>
      </c>
      <c r="EN305" s="72" t="str">
        <f t="shared" si="4085"/>
        <v/>
      </c>
      <c r="EO305" s="72" t="str">
        <f t="shared" si="4086"/>
        <v/>
      </c>
      <c r="EP305" s="72" t="str">
        <f t="shared" si="4087"/>
        <v/>
      </c>
      <c r="EQ305" s="72" t="str">
        <f t="shared" si="4088"/>
        <v/>
      </c>
      <c r="ER305" s="72" t="str">
        <f t="shared" si="4089"/>
        <v/>
      </c>
      <c r="ES305" s="72" t="str">
        <f t="shared" si="4090"/>
        <v/>
      </c>
      <c r="ET305" s="72" t="str">
        <f t="shared" si="4091"/>
        <v/>
      </c>
      <c r="EU305" s="72" t="str">
        <f t="shared" si="4092"/>
        <v/>
      </c>
      <c r="EV305" s="72" t="str">
        <f t="shared" si="4093"/>
        <v/>
      </c>
      <c r="EW305" s="72" t="str">
        <f t="shared" si="4094"/>
        <v/>
      </c>
      <c r="EX305" s="72" t="str">
        <f t="shared" si="4095"/>
        <v/>
      </c>
      <c r="EY305" s="72" t="str">
        <f t="shared" si="4096"/>
        <v/>
      </c>
      <c r="EZ305" s="72" t="str">
        <f t="shared" si="4097"/>
        <v/>
      </c>
      <c r="FA305" s="72" t="str">
        <f t="shared" si="4098"/>
        <v/>
      </c>
      <c r="FB305" s="72" t="str">
        <f t="shared" si="4099"/>
        <v/>
      </c>
      <c r="FC305" s="72" t="str">
        <f t="shared" si="4100"/>
        <v/>
      </c>
      <c r="FD305" s="72" t="str">
        <f t="shared" si="4101"/>
        <v/>
      </c>
      <c r="FE305" s="72" t="str">
        <f t="shared" si="4102"/>
        <v/>
      </c>
      <c r="FF305" s="72" t="str">
        <f t="shared" si="4103"/>
        <v/>
      </c>
      <c r="FG305" s="72" t="str">
        <f t="shared" si="4104"/>
        <v/>
      </c>
      <c r="FH305" s="72" t="str">
        <f t="shared" si="4105"/>
        <v/>
      </c>
      <c r="FI305" s="72" t="str">
        <f t="shared" si="4106"/>
        <v/>
      </c>
      <c r="FJ305" s="72" t="str">
        <f t="shared" si="4107"/>
        <v/>
      </c>
      <c r="FK305" s="72" t="str">
        <f t="shared" si="4108"/>
        <v/>
      </c>
      <c r="FL305" s="72" t="str">
        <f t="shared" si="4109"/>
        <v/>
      </c>
      <c r="FM305" s="72" t="str">
        <f t="shared" si="4110"/>
        <v/>
      </c>
      <c r="FN305" s="72" t="str">
        <f t="shared" si="4111"/>
        <v/>
      </c>
      <c r="FO305" s="72" t="str">
        <f t="shared" si="4112"/>
        <v/>
      </c>
      <c r="FP305" s="72" t="str">
        <f t="shared" si="4113"/>
        <v/>
      </c>
      <c r="FQ305" s="72" t="str">
        <f t="shared" si="4114"/>
        <v/>
      </c>
      <c r="FR305" s="72" t="str">
        <f t="shared" si="4115"/>
        <v/>
      </c>
      <c r="FS305" s="72" t="str">
        <f t="shared" si="4116"/>
        <v/>
      </c>
    </row>
    <row r="306" spans="1:175" s="61" customFormat="1" ht="15">
      <c r="A306" s="143"/>
      <c r="B306" s="74"/>
      <c r="C306" s="143"/>
      <c r="D306" s="75"/>
      <c r="E306" s="76"/>
      <c r="F306" s="144"/>
      <c r="G306" s="145"/>
      <c r="H306" s="145"/>
      <c r="I306" s="145"/>
      <c r="J306" s="145"/>
      <c r="K306" s="145"/>
      <c r="L306" s="145"/>
      <c r="M306" s="145"/>
      <c r="N306" s="145"/>
      <c r="O306" s="145"/>
      <c r="P306" s="85"/>
      <c r="Q306" s="85"/>
      <c r="R306" s="85"/>
      <c r="S306" s="85"/>
      <c r="T306" s="107"/>
      <c r="U306" s="88"/>
      <c r="V306" s="93"/>
      <c r="W306" s="93"/>
      <c r="X306" s="93"/>
      <c r="Y306" s="93"/>
      <c r="Z306" s="93"/>
      <c r="AA306" s="93"/>
      <c r="AB306" s="93"/>
      <c r="AC306" s="93"/>
      <c r="AD306" s="93"/>
      <c r="AE306" s="93"/>
      <c r="AF306" s="93"/>
      <c r="AG306" s="93"/>
      <c r="AH306" s="93"/>
      <c r="AI306" s="93"/>
      <c r="AJ306" s="93"/>
      <c r="AK306" s="93"/>
      <c r="AL306" s="93"/>
      <c r="AM306" s="93"/>
      <c r="AN306" s="93"/>
      <c r="AO306" s="93"/>
      <c r="AP306" s="93"/>
      <c r="AQ306" s="93"/>
      <c r="AR306" s="94"/>
      <c r="AS306" s="94"/>
      <c r="AT306" s="93"/>
      <c r="AU306" s="93"/>
      <c r="AV306" s="93"/>
      <c r="AW306" s="93"/>
      <c r="AX306" s="93"/>
      <c r="AY306" s="93"/>
      <c r="AZ306" s="93"/>
      <c r="BA306" s="93"/>
      <c r="BB306" s="93"/>
      <c r="BC306" s="93"/>
      <c r="BD306" s="93"/>
      <c r="BE306" s="93"/>
      <c r="BF306" s="93"/>
      <c r="BG306" s="93"/>
      <c r="BH306" s="93"/>
      <c r="BI306" s="93"/>
      <c r="BJ306" s="93"/>
      <c r="BK306" s="93"/>
      <c r="BL306" s="93"/>
      <c r="BM306" s="93"/>
      <c r="BN306" s="93"/>
      <c r="BO306" s="93"/>
      <c r="BP306" s="93"/>
      <c r="BQ306" s="93"/>
      <c r="BR306" s="93"/>
      <c r="BS306" s="93"/>
      <c r="BT306" s="93"/>
      <c r="BU306" s="93"/>
      <c r="BV306" s="93"/>
      <c r="BW306" s="93"/>
      <c r="BX306" s="93"/>
      <c r="BY306" s="93"/>
      <c r="BZ306" s="93"/>
      <c r="CA306" s="93"/>
      <c r="CB306" s="93"/>
      <c r="CC306" s="93"/>
      <c r="CD306" s="93"/>
      <c r="CE306" s="93"/>
      <c r="CF306" s="93"/>
      <c r="CG306" s="93"/>
      <c r="CH306" s="93"/>
      <c r="CI306" s="93"/>
      <c r="CJ306" s="93"/>
      <c r="CK306" s="93"/>
      <c r="CL306" s="93"/>
      <c r="CM306" s="93"/>
      <c r="CN306" s="96" t="str">
        <f t="shared" ref="CN306:CN309" si="4278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96" t="str">
        <f t="shared" ref="CO306:CO309" si="4279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96" t="str">
        <f t="shared" ref="CP306:CP309" si="4280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96" t="str">
        <f t="shared" ref="CQ306:CQ309" si="4281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96" t="str">
        <f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S306" s="96"/>
      <c r="CT306" s="96"/>
      <c r="CU306" s="98" t="str">
        <f t="shared" si="4046"/>
        <v>|n</v>
      </c>
      <c r="CV306" s="71"/>
      <c r="DB306" s="72" t="str">
        <f t="shared" si="4047"/>
        <v/>
      </c>
      <c r="DC306" s="72" t="str">
        <f t="shared" si="4048"/>
        <v/>
      </c>
      <c r="DD306" s="72" t="str">
        <f t="shared" si="4049"/>
        <v/>
      </c>
      <c r="DE306" s="72" t="str">
        <f t="shared" si="4050"/>
        <v/>
      </c>
      <c r="DF306" s="72" t="str">
        <f t="shared" si="4051"/>
        <v/>
      </c>
      <c r="DG306" s="72" t="str">
        <f t="shared" si="4052"/>
        <v/>
      </c>
      <c r="DH306" s="72" t="str">
        <f t="shared" si="4053"/>
        <v/>
      </c>
      <c r="DI306" s="72" t="str">
        <f t="shared" si="4054"/>
        <v/>
      </c>
      <c r="DJ306" s="72" t="str">
        <f t="shared" si="4055"/>
        <v/>
      </c>
      <c r="DK306" s="72" t="str">
        <f t="shared" si="4056"/>
        <v/>
      </c>
      <c r="DL306" s="72" t="str">
        <f t="shared" si="4057"/>
        <v/>
      </c>
      <c r="DM306" s="72" t="str">
        <f t="shared" si="4058"/>
        <v/>
      </c>
      <c r="DN306" s="72" t="str">
        <f t="shared" si="4059"/>
        <v/>
      </c>
      <c r="DO306" s="72" t="str">
        <f t="shared" si="4060"/>
        <v/>
      </c>
      <c r="DP306" s="72" t="str">
        <f t="shared" si="4061"/>
        <v/>
      </c>
      <c r="DQ306" s="72" t="str">
        <f t="shared" si="4062"/>
        <v/>
      </c>
      <c r="DR306" s="72" t="str">
        <f t="shared" si="4063"/>
        <v/>
      </c>
      <c r="DS306" s="72" t="str">
        <f t="shared" si="4064"/>
        <v/>
      </c>
      <c r="DT306" s="72" t="str">
        <f t="shared" si="4065"/>
        <v/>
      </c>
      <c r="DU306" s="72" t="str">
        <f t="shared" si="4066"/>
        <v/>
      </c>
      <c r="DV306" s="72" t="str">
        <f t="shared" si="4067"/>
        <v/>
      </c>
      <c r="DW306" s="72" t="str">
        <f t="shared" si="4068"/>
        <v/>
      </c>
      <c r="DX306" s="72" t="str">
        <f t="shared" si="4069"/>
        <v/>
      </c>
      <c r="DY306" s="72" t="str">
        <f t="shared" si="4070"/>
        <v/>
      </c>
      <c r="DZ306" s="72" t="str">
        <f t="shared" si="4071"/>
        <v/>
      </c>
      <c r="EA306" s="72" t="str">
        <f t="shared" si="4072"/>
        <v/>
      </c>
      <c r="EB306" s="72" t="str">
        <f t="shared" si="4073"/>
        <v/>
      </c>
      <c r="EC306" s="72" t="str">
        <f t="shared" si="4074"/>
        <v/>
      </c>
      <c r="ED306" s="72" t="str">
        <f t="shared" si="4075"/>
        <v/>
      </c>
      <c r="EE306" s="72" t="str">
        <f t="shared" si="4076"/>
        <v/>
      </c>
      <c r="EF306" s="72" t="str">
        <f t="shared" si="4077"/>
        <v/>
      </c>
      <c r="EG306" s="72" t="str">
        <f t="shared" si="4078"/>
        <v/>
      </c>
      <c r="EH306" s="72" t="str">
        <f t="shared" si="4079"/>
        <v/>
      </c>
      <c r="EI306" s="72" t="str">
        <f t="shared" si="4080"/>
        <v/>
      </c>
      <c r="EJ306" s="72" t="str">
        <f t="shared" si="4081"/>
        <v/>
      </c>
      <c r="EK306" s="72" t="str">
        <f t="shared" si="4082"/>
        <v/>
      </c>
      <c r="EL306" s="72" t="str">
        <f t="shared" si="4083"/>
        <v/>
      </c>
      <c r="EM306" s="72" t="str">
        <f t="shared" si="4084"/>
        <v/>
      </c>
      <c r="EN306" s="72" t="str">
        <f t="shared" si="4085"/>
        <v/>
      </c>
      <c r="EO306" s="72" t="str">
        <f t="shared" si="4086"/>
        <v/>
      </c>
      <c r="EP306" s="72" t="str">
        <f t="shared" si="4087"/>
        <v/>
      </c>
      <c r="EQ306" s="72" t="str">
        <f t="shared" si="4088"/>
        <v/>
      </c>
      <c r="ER306" s="72" t="str">
        <f t="shared" si="4089"/>
        <v/>
      </c>
      <c r="ES306" s="72" t="str">
        <f t="shared" si="4090"/>
        <v/>
      </c>
      <c r="ET306" s="72" t="str">
        <f t="shared" si="4091"/>
        <v/>
      </c>
      <c r="EU306" s="72" t="str">
        <f t="shared" si="4092"/>
        <v/>
      </c>
      <c r="EV306" s="72" t="str">
        <f t="shared" si="4093"/>
        <v/>
      </c>
      <c r="EW306" s="72" t="str">
        <f t="shared" si="4094"/>
        <v/>
      </c>
      <c r="EX306" s="72" t="str">
        <f t="shared" si="4095"/>
        <v/>
      </c>
      <c r="EY306" s="72" t="str">
        <f t="shared" si="4096"/>
        <v/>
      </c>
      <c r="EZ306" s="72" t="str">
        <f t="shared" si="4097"/>
        <v/>
      </c>
      <c r="FA306" s="72" t="str">
        <f t="shared" si="4098"/>
        <v/>
      </c>
      <c r="FB306" s="72" t="str">
        <f t="shared" si="4099"/>
        <v/>
      </c>
      <c r="FC306" s="72" t="str">
        <f t="shared" si="4100"/>
        <v/>
      </c>
      <c r="FD306" s="72" t="str">
        <f t="shared" si="4101"/>
        <v/>
      </c>
      <c r="FE306" s="72" t="str">
        <f t="shared" si="4102"/>
        <v/>
      </c>
      <c r="FF306" s="72" t="str">
        <f t="shared" si="4103"/>
        <v/>
      </c>
      <c r="FG306" s="72" t="str">
        <f t="shared" si="4104"/>
        <v/>
      </c>
      <c r="FH306" s="72" t="str">
        <f t="shared" si="4105"/>
        <v/>
      </c>
      <c r="FI306" s="72" t="str">
        <f t="shared" si="4106"/>
        <v/>
      </c>
      <c r="FJ306" s="72" t="str">
        <f t="shared" si="4107"/>
        <v/>
      </c>
      <c r="FK306" s="72" t="str">
        <f t="shared" si="4108"/>
        <v/>
      </c>
      <c r="FL306" s="72" t="str">
        <f t="shared" si="4109"/>
        <v/>
      </c>
      <c r="FM306" s="72" t="str">
        <f t="shared" si="4110"/>
        <v/>
      </c>
      <c r="FN306" s="72" t="str">
        <f t="shared" si="4111"/>
        <v/>
      </c>
      <c r="FO306" s="72" t="str">
        <f t="shared" si="4112"/>
        <v/>
      </c>
      <c r="FP306" s="72" t="str">
        <f t="shared" si="4113"/>
        <v/>
      </c>
      <c r="FQ306" s="72" t="str">
        <f t="shared" si="4114"/>
        <v/>
      </c>
      <c r="FR306" s="72" t="str">
        <f t="shared" si="4115"/>
        <v/>
      </c>
      <c r="FS306" s="72" t="str">
        <f t="shared" si="4116"/>
        <v/>
      </c>
    </row>
    <row r="307" spans="1:175" s="61" customFormat="1" ht="15">
      <c r="A307" s="143"/>
      <c r="B307" s="74"/>
      <c r="C307" s="143"/>
      <c r="D307" s="75"/>
      <c r="E307" s="76"/>
      <c r="F307" s="144"/>
      <c r="G307" s="145"/>
      <c r="H307" s="145"/>
      <c r="I307" s="145"/>
      <c r="J307" s="145"/>
      <c r="K307" s="145"/>
      <c r="L307" s="145"/>
      <c r="M307" s="145"/>
      <c r="N307" s="145"/>
      <c r="O307" s="145"/>
      <c r="P307" s="85"/>
      <c r="Q307" s="85"/>
      <c r="R307" s="85"/>
      <c r="S307" s="85"/>
      <c r="T307" s="107"/>
      <c r="U307" s="88"/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4"/>
      <c r="AS307" s="94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  <c r="BI307" s="93"/>
      <c r="BJ307" s="93"/>
      <c r="BK307" s="93"/>
      <c r="BL307" s="93"/>
      <c r="BM307" s="93"/>
      <c r="BN307" s="93"/>
      <c r="BO307" s="93"/>
      <c r="BP307" s="93"/>
      <c r="BQ307" s="93"/>
      <c r="BR307" s="93"/>
      <c r="BS307" s="93"/>
      <c r="BT307" s="93"/>
      <c r="BU307" s="93"/>
      <c r="BV307" s="93"/>
      <c r="BW307" s="93"/>
      <c r="BX307" s="93"/>
      <c r="BY307" s="93"/>
      <c r="BZ307" s="93"/>
      <c r="CA307" s="93"/>
      <c r="CB307" s="93"/>
      <c r="CC307" s="93"/>
      <c r="CD307" s="93"/>
      <c r="CE307" s="93"/>
      <c r="CF307" s="93"/>
      <c r="CG307" s="93"/>
      <c r="CH307" s="93"/>
      <c r="CI307" s="93"/>
      <c r="CJ307" s="93"/>
      <c r="CK307" s="93"/>
      <c r="CL307" s="93"/>
      <c r="CM307" s="93"/>
      <c r="CN307" s="96" t="str">
        <f t="shared" si="4278"/>
        <v>InitUnitState('',,,,,,,,,,)</v>
      </c>
      <c r="CO307" s="96" t="str">
        <f t="shared" si="4279"/>
        <v>InitUnitNormal('',,,,,,,,,,)</v>
      </c>
      <c r="CP307" s="96" t="str">
        <f t="shared" si="4280"/>
        <v>InitUnitMagic('',,,,,,,,,,)</v>
      </c>
      <c r="CQ307" s="96" t="str">
        <f t="shared" si="4281"/>
        <v>InitUnitAdd('',,,,,,,,,,)</v>
      </c>
      <c r="CR307" s="96" t="str">
        <f>"InitEquipData('"&amp;B307&amp;"',"&amp;D307&amp;","&amp;CR$1&amp;A307&amp;CR$1&amp;","&amp;E307&amp;","&amp;I307&amp;","&amp;F307&amp;","&amp;G307&amp;",'"&amp;J307&amp;"','"&amp;K307&amp;"','"&amp;L307&amp;"','"&amp;M307&amp;"','"&amp;N307&amp;"','"&amp;O307&amp;"',"&amp;CR$1&amp;U308&amp;CR$1&amp;")"</f>
        <v>InitEquipData('',,"",,,,,'','','','','','',"")</v>
      </c>
      <c r="CS307" s="96"/>
      <c r="CT307" s="96"/>
      <c r="CU307" s="98" t="str">
        <f t="shared" si="4046"/>
        <v>|n</v>
      </c>
      <c r="CV307" s="71"/>
      <c r="DB307" s="72" t="str">
        <f t="shared" si="4047"/>
        <v/>
      </c>
      <c r="DC307" s="72" t="str">
        <f t="shared" si="4048"/>
        <v/>
      </c>
      <c r="DD307" s="72" t="str">
        <f t="shared" si="4049"/>
        <v/>
      </c>
      <c r="DE307" s="72" t="str">
        <f t="shared" si="4050"/>
        <v/>
      </c>
      <c r="DF307" s="72" t="str">
        <f t="shared" si="4051"/>
        <v/>
      </c>
      <c r="DG307" s="72" t="str">
        <f t="shared" si="4052"/>
        <v/>
      </c>
      <c r="DH307" s="72" t="str">
        <f t="shared" si="4053"/>
        <v/>
      </c>
      <c r="DI307" s="72" t="str">
        <f t="shared" si="4054"/>
        <v/>
      </c>
      <c r="DJ307" s="72" t="str">
        <f t="shared" si="4055"/>
        <v/>
      </c>
      <c r="DK307" s="72" t="str">
        <f t="shared" si="4056"/>
        <v/>
      </c>
      <c r="DL307" s="72" t="str">
        <f t="shared" si="4057"/>
        <v/>
      </c>
      <c r="DM307" s="72" t="str">
        <f t="shared" si="4058"/>
        <v/>
      </c>
      <c r="DN307" s="72" t="str">
        <f t="shared" si="4059"/>
        <v/>
      </c>
      <c r="DO307" s="72" t="str">
        <f t="shared" si="4060"/>
        <v/>
      </c>
      <c r="DP307" s="72" t="str">
        <f t="shared" si="4061"/>
        <v/>
      </c>
      <c r="DQ307" s="72" t="str">
        <f t="shared" si="4062"/>
        <v/>
      </c>
      <c r="DR307" s="72" t="str">
        <f t="shared" si="4063"/>
        <v/>
      </c>
      <c r="DS307" s="72" t="str">
        <f t="shared" si="4064"/>
        <v/>
      </c>
      <c r="DT307" s="72" t="str">
        <f t="shared" si="4065"/>
        <v/>
      </c>
      <c r="DU307" s="72" t="str">
        <f t="shared" si="4066"/>
        <v/>
      </c>
      <c r="DV307" s="72" t="str">
        <f t="shared" si="4067"/>
        <v/>
      </c>
      <c r="DW307" s="72" t="str">
        <f t="shared" si="4068"/>
        <v/>
      </c>
      <c r="DX307" s="72" t="str">
        <f t="shared" si="4069"/>
        <v/>
      </c>
      <c r="DY307" s="72" t="str">
        <f t="shared" si="4070"/>
        <v/>
      </c>
      <c r="DZ307" s="72" t="str">
        <f t="shared" si="4071"/>
        <v/>
      </c>
      <c r="EA307" s="72" t="str">
        <f t="shared" si="4072"/>
        <v/>
      </c>
      <c r="EB307" s="72" t="str">
        <f t="shared" si="4073"/>
        <v/>
      </c>
      <c r="EC307" s="72" t="str">
        <f t="shared" si="4074"/>
        <v/>
      </c>
      <c r="ED307" s="72" t="str">
        <f t="shared" si="4075"/>
        <v/>
      </c>
      <c r="EE307" s="72" t="str">
        <f t="shared" si="4076"/>
        <v/>
      </c>
      <c r="EF307" s="72" t="str">
        <f t="shared" si="4077"/>
        <v/>
      </c>
      <c r="EG307" s="72" t="str">
        <f t="shared" si="4078"/>
        <v/>
      </c>
      <c r="EH307" s="72" t="str">
        <f t="shared" si="4079"/>
        <v/>
      </c>
      <c r="EI307" s="72" t="str">
        <f t="shared" si="4080"/>
        <v/>
      </c>
      <c r="EJ307" s="72" t="str">
        <f t="shared" si="4081"/>
        <v/>
      </c>
      <c r="EK307" s="72" t="str">
        <f t="shared" si="4082"/>
        <v/>
      </c>
      <c r="EL307" s="72" t="str">
        <f t="shared" si="4083"/>
        <v/>
      </c>
      <c r="EM307" s="72" t="str">
        <f t="shared" si="4084"/>
        <v/>
      </c>
      <c r="EN307" s="72" t="str">
        <f t="shared" si="4085"/>
        <v/>
      </c>
      <c r="EO307" s="72" t="str">
        <f t="shared" si="4086"/>
        <v/>
      </c>
      <c r="EP307" s="72" t="str">
        <f t="shared" si="4087"/>
        <v/>
      </c>
      <c r="EQ307" s="72" t="str">
        <f t="shared" si="4088"/>
        <v/>
      </c>
      <c r="ER307" s="72" t="str">
        <f t="shared" si="4089"/>
        <v/>
      </c>
      <c r="ES307" s="72" t="str">
        <f t="shared" si="4090"/>
        <v/>
      </c>
      <c r="ET307" s="72" t="str">
        <f t="shared" si="4091"/>
        <v/>
      </c>
      <c r="EU307" s="72" t="str">
        <f t="shared" si="4092"/>
        <v/>
      </c>
      <c r="EV307" s="72" t="str">
        <f t="shared" si="4093"/>
        <v/>
      </c>
      <c r="EW307" s="72" t="str">
        <f t="shared" si="4094"/>
        <v/>
      </c>
      <c r="EX307" s="72" t="str">
        <f t="shared" si="4095"/>
        <v/>
      </c>
      <c r="EY307" s="72" t="str">
        <f t="shared" si="4096"/>
        <v/>
      </c>
      <c r="EZ307" s="72" t="str">
        <f t="shared" si="4097"/>
        <v/>
      </c>
      <c r="FA307" s="72" t="str">
        <f t="shared" si="4098"/>
        <v/>
      </c>
      <c r="FB307" s="72" t="str">
        <f t="shared" si="4099"/>
        <v/>
      </c>
      <c r="FC307" s="72" t="str">
        <f t="shared" si="4100"/>
        <v/>
      </c>
      <c r="FD307" s="72" t="str">
        <f t="shared" si="4101"/>
        <v/>
      </c>
      <c r="FE307" s="72" t="str">
        <f t="shared" si="4102"/>
        <v/>
      </c>
      <c r="FF307" s="72" t="str">
        <f t="shared" si="4103"/>
        <v/>
      </c>
      <c r="FG307" s="72" t="str">
        <f t="shared" si="4104"/>
        <v/>
      </c>
      <c r="FH307" s="72" t="str">
        <f t="shared" si="4105"/>
        <v/>
      </c>
      <c r="FI307" s="72" t="str">
        <f t="shared" si="4106"/>
        <v/>
      </c>
      <c r="FJ307" s="72" t="str">
        <f t="shared" si="4107"/>
        <v/>
      </c>
      <c r="FK307" s="72" t="str">
        <f t="shared" si="4108"/>
        <v/>
      </c>
      <c r="FL307" s="72" t="str">
        <f t="shared" si="4109"/>
        <v/>
      </c>
      <c r="FM307" s="72" t="str">
        <f t="shared" si="4110"/>
        <v/>
      </c>
      <c r="FN307" s="72" t="str">
        <f t="shared" si="4111"/>
        <v/>
      </c>
      <c r="FO307" s="72" t="str">
        <f t="shared" si="4112"/>
        <v/>
      </c>
      <c r="FP307" s="72" t="str">
        <f t="shared" si="4113"/>
        <v/>
      </c>
      <c r="FQ307" s="72" t="str">
        <f t="shared" si="4114"/>
        <v/>
      </c>
      <c r="FR307" s="72" t="str">
        <f t="shared" si="4115"/>
        <v/>
      </c>
      <c r="FS307" s="72" t="str">
        <f t="shared" si="4116"/>
        <v/>
      </c>
    </row>
    <row r="308" spans="1:175" s="61" customFormat="1" ht="15">
      <c r="A308" s="143"/>
      <c r="B308" s="74"/>
      <c r="C308" s="143"/>
      <c r="D308" s="75"/>
      <c r="E308" s="76"/>
      <c r="F308" s="144"/>
      <c r="G308" s="145"/>
      <c r="H308" s="145"/>
      <c r="I308" s="145"/>
      <c r="J308" s="145"/>
      <c r="K308" s="145"/>
      <c r="L308" s="145"/>
      <c r="M308" s="145"/>
      <c r="N308" s="145"/>
      <c r="O308" s="145"/>
      <c r="P308" s="85"/>
      <c r="Q308" s="85"/>
      <c r="R308" s="85"/>
      <c r="S308" s="85"/>
      <c r="T308" s="107"/>
      <c r="U308" s="88"/>
      <c r="V308" s="93"/>
      <c r="W308" s="93"/>
      <c r="X308" s="93"/>
      <c r="Y308" s="93"/>
      <c r="Z308" s="93"/>
      <c r="AA308" s="93"/>
      <c r="AB308" s="93"/>
      <c r="AC308" s="93"/>
      <c r="AD308" s="93"/>
      <c r="AE308" s="93"/>
      <c r="AF308" s="93"/>
      <c r="AG308" s="93"/>
      <c r="AH308" s="93"/>
      <c r="AI308" s="93"/>
      <c r="AJ308" s="93"/>
      <c r="AK308" s="93"/>
      <c r="AL308" s="93"/>
      <c r="AM308" s="93"/>
      <c r="AN308" s="93"/>
      <c r="AO308" s="93"/>
      <c r="AP308" s="93"/>
      <c r="AQ308" s="93"/>
      <c r="AR308" s="94"/>
      <c r="AS308" s="94"/>
      <c r="AT308" s="93"/>
      <c r="AU308" s="93"/>
      <c r="AV308" s="93"/>
      <c r="AW308" s="93"/>
      <c r="AX308" s="93"/>
      <c r="AY308" s="93"/>
      <c r="AZ308" s="93"/>
      <c r="BA308" s="93"/>
      <c r="BB308" s="93"/>
      <c r="BC308" s="93"/>
      <c r="BD308" s="93"/>
      <c r="BE308" s="93"/>
      <c r="BF308" s="93"/>
      <c r="BG308" s="93"/>
      <c r="BH308" s="93"/>
      <c r="BI308" s="93"/>
      <c r="BJ308" s="93"/>
      <c r="BK308" s="93"/>
      <c r="BL308" s="93"/>
      <c r="BM308" s="93"/>
      <c r="BN308" s="93"/>
      <c r="BO308" s="93"/>
      <c r="BP308" s="93"/>
      <c r="BQ308" s="93"/>
      <c r="BR308" s="93"/>
      <c r="BS308" s="93"/>
      <c r="BT308" s="93"/>
      <c r="BU308" s="93"/>
      <c r="BV308" s="93"/>
      <c r="BW308" s="93"/>
      <c r="BX308" s="93"/>
      <c r="BY308" s="93"/>
      <c r="BZ308" s="93"/>
      <c r="CA308" s="93"/>
      <c r="CB308" s="93"/>
      <c r="CC308" s="93"/>
      <c r="CD308" s="93"/>
      <c r="CE308" s="93"/>
      <c r="CF308" s="93"/>
      <c r="CG308" s="93"/>
      <c r="CH308" s="93"/>
      <c r="CI308" s="93"/>
      <c r="CJ308" s="93"/>
      <c r="CK308" s="93"/>
      <c r="CL308" s="93"/>
      <c r="CM308" s="93"/>
      <c r="CN308" s="96" t="str">
        <f t="shared" si="4278"/>
        <v>InitUnitState('',,,,,,,,,,)</v>
      </c>
      <c r="CO308" s="96" t="str">
        <f t="shared" si="4279"/>
        <v>InitUnitNormal('',,,,,,,,,,)</v>
      </c>
      <c r="CP308" s="96" t="str">
        <f t="shared" si="4280"/>
        <v>InitUnitMagic('',,,,,,,,,,)</v>
      </c>
      <c r="CQ308" s="96" t="str">
        <f t="shared" si="4281"/>
        <v>InitUnitAdd('',,,,,,,,,,)</v>
      </c>
      <c r="CR308" s="96" t="str">
        <f>"InitEquipData('"&amp;B308&amp;"',"&amp;D308&amp;","&amp;CR$1&amp;A308&amp;CR$1&amp;","&amp;E308&amp;","&amp;I308&amp;","&amp;F308&amp;","&amp;G308&amp;",'"&amp;J308&amp;"','"&amp;K308&amp;"','"&amp;L308&amp;"','"&amp;M308&amp;"','"&amp;N308&amp;"','"&amp;O308&amp;"',"&amp;CR$1&amp;U310&amp;CR$1&amp;")"</f>
        <v>InitEquipData('',,"",,,,,'','','','','','',"")</v>
      </c>
      <c r="CS308" s="96"/>
      <c r="CT308" s="96"/>
      <c r="CU308" s="98" t="str">
        <f t="shared" si="4046"/>
        <v>|n</v>
      </c>
      <c r="CV308" s="71"/>
      <c r="DB308" s="72" t="str">
        <f t="shared" si="4047"/>
        <v/>
      </c>
      <c r="DC308" s="72" t="str">
        <f t="shared" si="4048"/>
        <v/>
      </c>
      <c r="DD308" s="72" t="str">
        <f t="shared" si="4049"/>
        <v/>
      </c>
      <c r="DE308" s="72" t="str">
        <f t="shared" si="4050"/>
        <v/>
      </c>
      <c r="DF308" s="72" t="str">
        <f t="shared" si="4051"/>
        <v/>
      </c>
      <c r="DG308" s="72" t="str">
        <f t="shared" si="4052"/>
        <v/>
      </c>
      <c r="DH308" s="72" t="str">
        <f t="shared" si="4053"/>
        <v/>
      </c>
      <c r="DI308" s="72" t="str">
        <f t="shared" si="4054"/>
        <v/>
      </c>
      <c r="DJ308" s="72" t="str">
        <f t="shared" si="4055"/>
        <v/>
      </c>
      <c r="DK308" s="72" t="str">
        <f t="shared" si="4056"/>
        <v/>
      </c>
      <c r="DL308" s="72" t="str">
        <f t="shared" si="4057"/>
        <v/>
      </c>
      <c r="DM308" s="72" t="str">
        <f t="shared" si="4058"/>
        <v/>
      </c>
      <c r="DN308" s="72" t="str">
        <f t="shared" si="4059"/>
        <v/>
      </c>
      <c r="DO308" s="72" t="str">
        <f t="shared" si="4060"/>
        <v/>
      </c>
      <c r="DP308" s="72" t="str">
        <f t="shared" si="4061"/>
        <v/>
      </c>
      <c r="DQ308" s="72" t="str">
        <f t="shared" si="4062"/>
        <v/>
      </c>
      <c r="DR308" s="72" t="str">
        <f t="shared" si="4063"/>
        <v/>
      </c>
      <c r="DS308" s="72" t="str">
        <f t="shared" si="4064"/>
        <v/>
      </c>
      <c r="DT308" s="72" t="str">
        <f t="shared" si="4065"/>
        <v/>
      </c>
      <c r="DU308" s="72" t="str">
        <f t="shared" si="4066"/>
        <v/>
      </c>
      <c r="DV308" s="72" t="str">
        <f t="shared" si="4067"/>
        <v/>
      </c>
      <c r="DW308" s="72" t="str">
        <f t="shared" si="4068"/>
        <v/>
      </c>
      <c r="DX308" s="72" t="str">
        <f t="shared" si="4069"/>
        <v/>
      </c>
      <c r="DY308" s="72" t="str">
        <f t="shared" si="4070"/>
        <v/>
      </c>
      <c r="DZ308" s="72" t="str">
        <f t="shared" si="4071"/>
        <v/>
      </c>
      <c r="EA308" s="72" t="str">
        <f t="shared" si="4072"/>
        <v/>
      </c>
      <c r="EB308" s="72" t="str">
        <f t="shared" si="4073"/>
        <v/>
      </c>
      <c r="EC308" s="72" t="str">
        <f t="shared" si="4074"/>
        <v/>
      </c>
      <c r="ED308" s="72" t="str">
        <f t="shared" si="4075"/>
        <v/>
      </c>
      <c r="EE308" s="72" t="str">
        <f t="shared" si="4076"/>
        <v/>
      </c>
      <c r="EF308" s="72" t="str">
        <f t="shared" si="4077"/>
        <v/>
      </c>
      <c r="EG308" s="72" t="str">
        <f t="shared" si="4078"/>
        <v/>
      </c>
      <c r="EH308" s="72" t="str">
        <f t="shared" si="4079"/>
        <v/>
      </c>
      <c r="EI308" s="72" t="str">
        <f t="shared" si="4080"/>
        <v/>
      </c>
      <c r="EJ308" s="72" t="str">
        <f t="shared" si="4081"/>
        <v/>
      </c>
      <c r="EK308" s="72" t="str">
        <f t="shared" si="4082"/>
        <v/>
      </c>
      <c r="EL308" s="72" t="str">
        <f t="shared" si="4083"/>
        <v/>
      </c>
      <c r="EM308" s="72" t="str">
        <f t="shared" si="4084"/>
        <v/>
      </c>
      <c r="EN308" s="72" t="str">
        <f t="shared" si="4085"/>
        <v/>
      </c>
      <c r="EO308" s="72" t="str">
        <f t="shared" si="4086"/>
        <v/>
      </c>
      <c r="EP308" s="72" t="str">
        <f t="shared" si="4087"/>
        <v/>
      </c>
      <c r="EQ308" s="72" t="str">
        <f t="shared" si="4088"/>
        <v/>
      </c>
      <c r="ER308" s="72" t="str">
        <f t="shared" si="4089"/>
        <v/>
      </c>
      <c r="ES308" s="72" t="str">
        <f t="shared" si="4090"/>
        <v/>
      </c>
      <c r="ET308" s="72" t="str">
        <f t="shared" si="4091"/>
        <v/>
      </c>
      <c r="EU308" s="72" t="str">
        <f t="shared" si="4092"/>
        <v/>
      </c>
      <c r="EV308" s="72" t="str">
        <f t="shared" si="4093"/>
        <v/>
      </c>
      <c r="EW308" s="72" t="str">
        <f t="shared" si="4094"/>
        <v/>
      </c>
      <c r="EX308" s="72" t="str">
        <f t="shared" si="4095"/>
        <v/>
      </c>
      <c r="EY308" s="72" t="str">
        <f t="shared" si="4096"/>
        <v/>
      </c>
      <c r="EZ308" s="72" t="str">
        <f t="shared" si="4097"/>
        <v/>
      </c>
      <c r="FA308" s="72" t="str">
        <f t="shared" si="4098"/>
        <v/>
      </c>
      <c r="FB308" s="72" t="str">
        <f t="shared" si="4099"/>
        <v/>
      </c>
      <c r="FC308" s="72" t="str">
        <f t="shared" si="4100"/>
        <v/>
      </c>
      <c r="FD308" s="72" t="str">
        <f t="shared" si="4101"/>
        <v/>
      </c>
      <c r="FE308" s="72" t="str">
        <f t="shared" si="4102"/>
        <v/>
      </c>
      <c r="FF308" s="72" t="str">
        <f t="shared" si="4103"/>
        <v/>
      </c>
      <c r="FG308" s="72" t="str">
        <f t="shared" si="4104"/>
        <v/>
      </c>
      <c r="FH308" s="72" t="str">
        <f t="shared" si="4105"/>
        <v/>
      </c>
      <c r="FI308" s="72" t="str">
        <f t="shared" si="4106"/>
        <v/>
      </c>
      <c r="FJ308" s="72" t="str">
        <f t="shared" si="4107"/>
        <v/>
      </c>
      <c r="FK308" s="72" t="str">
        <f t="shared" si="4108"/>
        <v/>
      </c>
      <c r="FL308" s="72" t="str">
        <f t="shared" si="4109"/>
        <v/>
      </c>
      <c r="FM308" s="72" t="str">
        <f t="shared" si="4110"/>
        <v/>
      </c>
      <c r="FN308" s="72" t="str">
        <f t="shared" si="4111"/>
        <v/>
      </c>
      <c r="FO308" s="72" t="str">
        <f t="shared" si="4112"/>
        <v/>
      </c>
      <c r="FP308" s="72" t="str">
        <f t="shared" si="4113"/>
        <v/>
      </c>
      <c r="FQ308" s="72" t="str">
        <f t="shared" si="4114"/>
        <v/>
      </c>
      <c r="FR308" s="72" t="str">
        <f t="shared" si="4115"/>
        <v/>
      </c>
      <c r="FS308" s="72" t="str">
        <f t="shared" si="4116"/>
        <v/>
      </c>
    </row>
    <row r="309" spans="1:175" s="61" customFormat="1" ht="15">
      <c r="A309" s="143"/>
      <c r="B309" s="74"/>
      <c r="C309" s="143"/>
      <c r="D309" s="75"/>
      <c r="E309" s="76"/>
      <c r="F309" s="144"/>
      <c r="G309" s="145"/>
      <c r="H309" s="145"/>
      <c r="I309" s="145"/>
      <c r="J309" s="145"/>
      <c r="K309" s="145"/>
      <c r="L309" s="145"/>
      <c r="M309" s="145"/>
      <c r="N309" s="145"/>
      <c r="O309" s="145"/>
      <c r="P309" s="85"/>
      <c r="Q309" s="85"/>
      <c r="R309" s="85"/>
      <c r="S309" s="85"/>
      <c r="T309" s="107"/>
      <c r="U309" s="88"/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4"/>
      <c r="AS309" s="94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  <c r="BI309" s="93"/>
      <c r="BJ309" s="93"/>
      <c r="BK309" s="93"/>
      <c r="BL309" s="93"/>
      <c r="BM309" s="93"/>
      <c r="BN309" s="93"/>
      <c r="BO309" s="93"/>
      <c r="BP309" s="93"/>
      <c r="BQ309" s="93"/>
      <c r="BR309" s="93"/>
      <c r="BS309" s="93"/>
      <c r="BT309" s="93"/>
      <c r="BU309" s="93"/>
      <c r="BV309" s="93"/>
      <c r="BW309" s="93"/>
      <c r="BX309" s="93"/>
      <c r="BY309" s="93"/>
      <c r="BZ309" s="93"/>
      <c r="CA309" s="93"/>
      <c r="CB309" s="93"/>
      <c r="CC309" s="93"/>
      <c r="CD309" s="93"/>
      <c r="CE309" s="93"/>
      <c r="CF309" s="93"/>
      <c r="CG309" s="93"/>
      <c r="CH309" s="93"/>
      <c r="CI309" s="93"/>
      <c r="CJ309" s="93"/>
      <c r="CK309" s="93"/>
      <c r="CL309" s="93"/>
      <c r="CM309" s="93"/>
      <c r="CN309" s="96" t="str">
        <f t="shared" si="4278"/>
        <v>InitUnitState('',,,,,,,,,,)</v>
      </c>
      <c r="CO309" s="96" t="str">
        <f t="shared" si="4279"/>
        <v>InitUnitNormal('',,,,,,,,,,)</v>
      </c>
      <c r="CP309" s="96" t="str">
        <f t="shared" si="4280"/>
        <v>InitUnitMagic('',,,,,,,,,,)</v>
      </c>
      <c r="CQ309" s="96" t="str">
        <f t="shared" si="4281"/>
        <v>InitUnitAdd('',,,,,,,,,,)</v>
      </c>
      <c r="CR309" s="96" t="str">
        <f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311&amp;CR$1&amp;")"</f>
        <v>InitEquipData('',,"",,,,,'','','','','','',"")</v>
      </c>
      <c r="CS309" s="96"/>
      <c r="CT309" s="96"/>
      <c r="CU309" s="98" t="str">
        <f t="shared" si="4046"/>
        <v>|n</v>
      </c>
      <c r="CV309" s="71"/>
      <c r="DB309" s="72" t="str">
        <f t="shared" si="4047"/>
        <v/>
      </c>
      <c r="DC309" s="72" t="str">
        <f t="shared" si="4048"/>
        <v/>
      </c>
      <c r="DD309" s="72" t="str">
        <f t="shared" si="4049"/>
        <v/>
      </c>
      <c r="DE309" s="72" t="str">
        <f t="shared" si="4050"/>
        <v/>
      </c>
      <c r="DF309" s="72" t="str">
        <f t="shared" si="4051"/>
        <v/>
      </c>
      <c r="DG309" s="72" t="str">
        <f t="shared" si="4052"/>
        <v/>
      </c>
      <c r="DH309" s="72" t="str">
        <f t="shared" si="4053"/>
        <v/>
      </c>
      <c r="DI309" s="72" t="str">
        <f t="shared" si="4054"/>
        <v/>
      </c>
      <c r="DJ309" s="72" t="str">
        <f t="shared" si="4055"/>
        <v/>
      </c>
      <c r="DK309" s="72" t="str">
        <f t="shared" si="4056"/>
        <v/>
      </c>
      <c r="DL309" s="72" t="str">
        <f t="shared" si="4057"/>
        <v/>
      </c>
      <c r="DM309" s="72" t="str">
        <f t="shared" si="4058"/>
        <v/>
      </c>
      <c r="DN309" s="72" t="str">
        <f t="shared" si="4059"/>
        <v/>
      </c>
      <c r="DO309" s="72" t="str">
        <f t="shared" si="4060"/>
        <v/>
      </c>
      <c r="DP309" s="72" t="str">
        <f t="shared" si="4061"/>
        <v/>
      </c>
      <c r="DQ309" s="72" t="str">
        <f t="shared" si="4062"/>
        <v/>
      </c>
      <c r="DR309" s="72" t="str">
        <f t="shared" si="4063"/>
        <v/>
      </c>
      <c r="DS309" s="72" t="str">
        <f t="shared" si="4064"/>
        <v/>
      </c>
      <c r="DT309" s="72" t="str">
        <f t="shared" si="4065"/>
        <v/>
      </c>
      <c r="DU309" s="72" t="str">
        <f t="shared" si="4066"/>
        <v/>
      </c>
      <c r="DV309" s="72" t="str">
        <f t="shared" si="4067"/>
        <v/>
      </c>
      <c r="DW309" s="72" t="str">
        <f t="shared" si="4068"/>
        <v/>
      </c>
      <c r="DX309" s="72" t="str">
        <f t="shared" si="4069"/>
        <v/>
      </c>
      <c r="DY309" s="72" t="str">
        <f t="shared" si="4070"/>
        <v/>
      </c>
      <c r="DZ309" s="72" t="str">
        <f t="shared" si="4071"/>
        <v/>
      </c>
      <c r="EA309" s="72" t="str">
        <f t="shared" si="4072"/>
        <v/>
      </c>
      <c r="EB309" s="72" t="str">
        <f t="shared" si="4073"/>
        <v/>
      </c>
      <c r="EC309" s="72" t="str">
        <f t="shared" si="4074"/>
        <v/>
      </c>
      <c r="ED309" s="72" t="str">
        <f t="shared" si="4075"/>
        <v/>
      </c>
      <c r="EE309" s="72" t="str">
        <f t="shared" si="4076"/>
        <v/>
      </c>
      <c r="EF309" s="72" t="str">
        <f t="shared" si="4077"/>
        <v/>
      </c>
      <c r="EG309" s="72" t="str">
        <f t="shared" si="4078"/>
        <v/>
      </c>
      <c r="EH309" s="72" t="str">
        <f t="shared" si="4079"/>
        <v/>
      </c>
      <c r="EI309" s="72" t="str">
        <f t="shared" si="4080"/>
        <v/>
      </c>
      <c r="EJ309" s="72" t="str">
        <f t="shared" si="4081"/>
        <v/>
      </c>
      <c r="EK309" s="72" t="str">
        <f t="shared" si="4082"/>
        <v/>
      </c>
      <c r="EL309" s="72" t="str">
        <f t="shared" si="4083"/>
        <v/>
      </c>
      <c r="EM309" s="72" t="str">
        <f t="shared" si="4084"/>
        <v/>
      </c>
      <c r="EN309" s="72" t="str">
        <f t="shared" si="4085"/>
        <v/>
      </c>
      <c r="EO309" s="72" t="str">
        <f t="shared" si="4086"/>
        <v/>
      </c>
      <c r="EP309" s="72" t="str">
        <f t="shared" si="4087"/>
        <v/>
      </c>
      <c r="EQ309" s="72" t="str">
        <f t="shared" si="4088"/>
        <v/>
      </c>
      <c r="ER309" s="72" t="str">
        <f t="shared" si="4089"/>
        <v/>
      </c>
      <c r="ES309" s="72" t="str">
        <f t="shared" si="4090"/>
        <v/>
      </c>
      <c r="ET309" s="72" t="str">
        <f t="shared" si="4091"/>
        <v/>
      </c>
      <c r="EU309" s="72" t="str">
        <f t="shared" si="4092"/>
        <v/>
      </c>
      <c r="EV309" s="72" t="str">
        <f t="shared" si="4093"/>
        <v/>
      </c>
      <c r="EW309" s="72" t="str">
        <f t="shared" si="4094"/>
        <v/>
      </c>
      <c r="EX309" s="72" t="str">
        <f t="shared" si="4095"/>
        <v/>
      </c>
      <c r="EY309" s="72" t="str">
        <f t="shared" si="4096"/>
        <v/>
      </c>
      <c r="EZ309" s="72" t="str">
        <f t="shared" si="4097"/>
        <v/>
      </c>
      <c r="FA309" s="72" t="str">
        <f t="shared" si="4098"/>
        <v/>
      </c>
      <c r="FB309" s="72" t="str">
        <f t="shared" si="4099"/>
        <v/>
      </c>
      <c r="FC309" s="72" t="str">
        <f t="shared" si="4100"/>
        <v/>
      </c>
      <c r="FD309" s="72" t="str">
        <f t="shared" si="4101"/>
        <v/>
      </c>
      <c r="FE309" s="72" t="str">
        <f t="shared" si="4102"/>
        <v/>
      </c>
      <c r="FF309" s="72" t="str">
        <f t="shared" si="4103"/>
        <v/>
      </c>
      <c r="FG309" s="72" t="str">
        <f t="shared" si="4104"/>
        <v/>
      </c>
      <c r="FH309" s="72" t="str">
        <f t="shared" si="4105"/>
        <v/>
      </c>
      <c r="FI309" s="72" t="str">
        <f t="shared" si="4106"/>
        <v/>
      </c>
      <c r="FJ309" s="72" t="str">
        <f t="shared" si="4107"/>
        <v/>
      </c>
      <c r="FK309" s="72" t="str">
        <f t="shared" si="4108"/>
        <v/>
      </c>
      <c r="FL309" s="72" t="str">
        <f t="shared" si="4109"/>
        <v/>
      </c>
      <c r="FM309" s="72" t="str">
        <f t="shared" si="4110"/>
        <v/>
      </c>
      <c r="FN309" s="72" t="str">
        <f t="shared" si="4111"/>
        <v/>
      </c>
      <c r="FO309" s="72" t="str">
        <f t="shared" si="4112"/>
        <v/>
      </c>
      <c r="FP309" s="72" t="str">
        <f t="shared" si="4113"/>
        <v/>
      </c>
      <c r="FQ309" s="72" t="str">
        <f t="shared" si="4114"/>
        <v/>
      </c>
      <c r="FR309" s="72" t="str">
        <f t="shared" si="4115"/>
        <v/>
      </c>
      <c r="FS309" s="72" t="str">
        <f t="shared" si="4116"/>
        <v/>
      </c>
    </row>
    <row r="310" spans="1:175" ht="15">
      <c r="A310" s="73"/>
      <c r="B310" s="147"/>
      <c r="C310" s="73"/>
      <c r="E310" s="146"/>
      <c r="T310" s="152"/>
      <c r="U310" s="88"/>
      <c r="CU310" s="98" t="str">
        <f t="shared" si="4046"/>
        <v>|n</v>
      </c>
      <c r="CW310" s="61"/>
      <c r="CX310" s="61"/>
      <c r="CY310" s="61"/>
      <c r="CZ310" s="61"/>
      <c r="DA310" s="61"/>
      <c r="DB310" s="72" t="str">
        <f t="shared" si="4047"/>
        <v/>
      </c>
      <c r="DC310" s="72" t="str">
        <f t="shared" si="4048"/>
        <v/>
      </c>
      <c r="DD310" s="72" t="str">
        <f t="shared" si="4049"/>
        <v/>
      </c>
      <c r="DE310" s="72" t="str">
        <f t="shared" si="4050"/>
        <v/>
      </c>
      <c r="DF310" s="72" t="str">
        <f t="shared" si="4051"/>
        <v/>
      </c>
      <c r="DG310" s="72" t="str">
        <f t="shared" si="4052"/>
        <v/>
      </c>
      <c r="DH310" s="72" t="str">
        <f t="shared" si="4053"/>
        <v/>
      </c>
      <c r="DI310" s="72" t="str">
        <f t="shared" si="4054"/>
        <v/>
      </c>
      <c r="DJ310" s="72" t="str">
        <f t="shared" si="4055"/>
        <v/>
      </c>
      <c r="DK310" s="72" t="str">
        <f t="shared" si="4056"/>
        <v/>
      </c>
      <c r="DL310" s="72" t="str">
        <f t="shared" si="4057"/>
        <v/>
      </c>
      <c r="DM310" s="72" t="str">
        <f t="shared" si="4058"/>
        <v/>
      </c>
      <c r="DN310" s="72" t="str">
        <f t="shared" si="4059"/>
        <v/>
      </c>
      <c r="DO310" s="72" t="str">
        <f t="shared" si="4060"/>
        <v/>
      </c>
      <c r="DP310" s="72" t="str">
        <f t="shared" si="4061"/>
        <v/>
      </c>
      <c r="DQ310" s="72" t="str">
        <f t="shared" si="4062"/>
        <v/>
      </c>
      <c r="DR310" s="72" t="str">
        <f t="shared" si="4063"/>
        <v/>
      </c>
      <c r="DS310" s="72" t="str">
        <f t="shared" si="4064"/>
        <v/>
      </c>
      <c r="DT310" s="72" t="str">
        <f t="shared" si="4065"/>
        <v/>
      </c>
      <c r="DU310" s="72" t="str">
        <f t="shared" si="4066"/>
        <v/>
      </c>
      <c r="DV310" s="72" t="str">
        <f t="shared" si="4067"/>
        <v/>
      </c>
      <c r="DW310" s="72" t="str">
        <f t="shared" si="4068"/>
        <v/>
      </c>
      <c r="DX310" s="72" t="str">
        <f t="shared" si="4069"/>
        <v/>
      </c>
      <c r="DY310" s="72" t="str">
        <f t="shared" si="4070"/>
        <v/>
      </c>
      <c r="DZ310" s="72" t="str">
        <f t="shared" si="4071"/>
        <v/>
      </c>
      <c r="EA310" s="72" t="str">
        <f t="shared" si="4072"/>
        <v/>
      </c>
      <c r="EB310" s="72" t="str">
        <f t="shared" si="4073"/>
        <v/>
      </c>
      <c r="EC310" s="72" t="str">
        <f t="shared" si="4074"/>
        <v/>
      </c>
      <c r="ED310" s="72" t="str">
        <f t="shared" si="4075"/>
        <v/>
      </c>
      <c r="EE310" s="72" t="str">
        <f t="shared" si="4076"/>
        <v/>
      </c>
      <c r="EF310" s="72" t="str">
        <f t="shared" si="4077"/>
        <v/>
      </c>
      <c r="EG310" s="72" t="str">
        <f t="shared" si="4078"/>
        <v/>
      </c>
      <c r="EH310" s="72" t="str">
        <f t="shared" si="4079"/>
        <v/>
      </c>
      <c r="EI310" s="72" t="str">
        <f t="shared" si="4080"/>
        <v/>
      </c>
      <c r="EJ310" s="72" t="str">
        <f t="shared" si="4081"/>
        <v/>
      </c>
      <c r="EK310" s="72" t="str">
        <f t="shared" si="4082"/>
        <v/>
      </c>
      <c r="EL310" s="72" t="str">
        <f t="shared" si="4083"/>
        <v/>
      </c>
      <c r="EM310" s="72" t="str">
        <f t="shared" si="4084"/>
        <v/>
      </c>
      <c r="EN310" s="72" t="str">
        <f t="shared" si="4085"/>
        <v/>
      </c>
      <c r="EO310" s="72" t="str">
        <f t="shared" si="4086"/>
        <v/>
      </c>
      <c r="EP310" s="72" t="str">
        <f t="shared" si="4087"/>
        <v/>
      </c>
      <c r="EQ310" s="72" t="str">
        <f t="shared" si="4088"/>
        <v/>
      </c>
      <c r="ER310" s="72" t="str">
        <f t="shared" si="4089"/>
        <v/>
      </c>
      <c r="ES310" s="72" t="str">
        <f t="shared" si="4090"/>
        <v/>
      </c>
      <c r="ET310" s="72" t="str">
        <f t="shared" si="4091"/>
        <v/>
      </c>
      <c r="EU310" s="72" t="str">
        <f t="shared" si="4092"/>
        <v/>
      </c>
      <c r="EV310" s="72" t="str">
        <f t="shared" si="4093"/>
        <v/>
      </c>
      <c r="EW310" s="72" t="str">
        <f t="shared" si="4094"/>
        <v/>
      </c>
      <c r="EX310" s="72" t="str">
        <f t="shared" si="4095"/>
        <v/>
      </c>
      <c r="EY310" s="72" t="str">
        <f t="shared" si="4096"/>
        <v/>
      </c>
      <c r="EZ310" s="72" t="str">
        <f t="shared" si="4097"/>
        <v/>
      </c>
      <c r="FA310" s="72" t="str">
        <f t="shared" si="4098"/>
        <v/>
      </c>
      <c r="FB310" s="72" t="str">
        <f t="shared" si="4099"/>
        <v/>
      </c>
      <c r="FC310" s="72" t="str">
        <f t="shared" si="4100"/>
        <v/>
      </c>
      <c r="FD310" s="72" t="str">
        <f t="shared" si="4101"/>
        <v/>
      </c>
      <c r="FE310" s="72" t="str">
        <f t="shared" si="4102"/>
        <v/>
      </c>
      <c r="FF310" s="72" t="str">
        <f t="shared" si="4103"/>
        <v/>
      </c>
      <c r="FG310" s="72" t="str">
        <f t="shared" si="4104"/>
        <v/>
      </c>
      <c r="FH310" s="72" t="str">
        <f t="shared" si="4105"/>
        <v/>
      </c>
      <c r="FI310" s="72" t="str">
        <f t="shared" si="4106"/>
        <v/>
      </c>
      <c r="FJ310" s="72" t="str">
        <f t="shared" si="4107"/>
        <v/>
      </c>
      <c r="FK310" s="72" t="str">
        <f t="shared" si="4108"/>
        <v/>
      </c>
      <c r="FL310" s="72" t="str">
        <f t="shared" si="4109"/>
        <v/>
      </c>
      <c r="FM310" s="72" t="str">
        <f t="shared" si="4110"/>
        <v/>
      </c>
      <c r="FN310" s="72" t="str">
        <f t="shared" si="4111"/>
        <v/>
      </c>
      <c r="FO310" s="72" t="str">
        <f t="shared" si="4112"/>
        <v/>
      </c>
      <c r="FP310" s="72" t="str">
        <f t="shared" si="4113"/>
        <v/>
      </c>
      <c r="FQ310" s="72" t="str">
        <f t="shared" si="4114"/>
        <v/>
      </c>
      <c r="FR310" s="72" t="str">
        <f t="shared" si="4115"/>
        <v/>
      </c>
      <c r="FS310" s="72" t="str">
        <f t="shared" si="4116"/>
        <v/>
      </c>
    </row>
    <row r="311" spans="1:175" ht="15">
      <c r="A311" s="73"/>
      <c r="B311" s="147"/>
      <c r="C311" s="73"/>
      <c r="E311" s="146"/>
      <c r="T311" s="152"/>
      <c r="U311" s="88"/>
      <c r="CU311" s="98" t="str">
        <f t="shared" si="4046"/>
        <v>|n</v>
      </c>
      <c r="CW311" s="61"/>
      <c r="CX311" s="61"/>
      <c r="CY311" s="61"/>
      <c r="CZ311" s="61"/>
      <c r="DA311" s="61"/>
      <c r="DB311" s="72" t="str">
        <f t="shared" si="4047"/>
        <v/>
      </c>
      <c r="DC311" s="72" t="str">
        <f t="shared" si="4048"/>
        <v/>
      </c>
      <c r="DD311" s="72" t="str">
        <f t="shared" si="4049"/>
        <v/>
      </c>
      <c r="DE311" s="72" t="str">
        <f t="shared" si="4050"/>
        <v/>
      </c>
      <c r="DF311" s="72" t="str">
        <f t="shared" si="4051"/>
        <v/>
      </c>
      <c r="DG311" s="72" t="str">
        <f t="shared" si="4052"/>
        <v/>
      </c>
      <c r="DH311" s="72" t="str">
        <f t="shared" si="4053"/>
        <v/>
      </c>
      <c r="DI311" s="72" t="str">
        <f t="shared" si="4054"/>
        <v/>
      </c>
      <c r="DJ311" s="72" t="str">
        <f t="shared" si="4055"/>
        <v/>
      </c>
      <c r="DK311" s="72" t="str">
        <f t="shared" si="4056"/>
        <v/>
      </c>
      <c r="DL311" s="72" t="str">
        <f t="shared" si="4057"/>
        <v/>
      </c>
      <c r="DM311" s="72" t="str">
        <f t="shared" si="4058"/>
        <v/>
      </c>
      <c r="DN311" s="72" t="str">
        <f t="shared" si="4059"/>
        <v/>
      </c>
      <c r="DO311" s="72" t="str">
        <f t="shared" si="4060"/>
        <v/>
      </c>
      <c r="DP311" s="72" t="str">
        <f t="shared" si="4061"/>
        <v/>
      </c>
      <c r="DQ311" s="72" t="str">
        <f t="shared" si="4062"/>
        <v/>
      </c>
      <c r="DR311" s="72" t="str">
        <f t="shared" si="4063"/>
        <v/>
      </c>
      <c r="DS311" s="72" t="str">
        <f t="shared" si="4064"/>
        <v/>
      </c>
      <c r="DT311" s="72" t="str">
        <f t="shared" si="4065"/>
        <v/>
      </c>
      <c r="DU311" s="72" t="str">
        <f t="shared" si="4066"/>
        <v/>
      </c>
      <c r="DV311" s="72" t="str">
        <f t="shared" si="4067"/>
        <v/>
      </c>
      <c r="DW311" s="72" t="str">
        <f t="shared" si="4068"/>
        <v/>
      </c>
      <c r="DX311" s="72" t="str">
        <f t="shared" si="4069"/>
        <v/>
      </c>
      <c r="DY311" s="72" t="str">
        <f t="shared" si="4070"/>
        <v/>
      </c>
      <c r="DZ311" s="72" t="str">
        <f t="shared" si="4071"/>
        <v/>
      </c>
      <c r="EA311" s="72" t="str">
        <f t="shared" si="4072"/>
        <v/>
      </c>
      <c r="EB311" s="72" t="str">
        <f t="shared" si="4073"/>
        <v/>
      </c>
      <c r="EC311" s="72" t="str">
        <f t="shared" si="4074"/>
        <v/>
      </c>
      <c r="ED311" s="72" t="str">
        <f t="shared" si="4075"/>
        <v/>
      </c>
      <c r="EE311" s="72" t="str">
        <f t="shared" si="4076"/>
        <v/>
      </c>
      <c r="EF311" s="72" t="str">
        <f t="shared" si="4077"/>
        <v/>
      </c>
      <c r="EG311" s="72" t="str">
        <f t="shared" si="4078"/>
        <v/>
      </c>
      <c r="EH311" s="72" t="str">
        <f t="shared" si="4079"/>
        <v/>
      </c>
      <c r="EI311" s="72" t="str">
        <f t="shared" si="4080"/>
        <v/>
      </c>
      <c r="EJ311" s="72" t="str">
        <f t="shared" si="4081"/>
        <v/>
      </c>
      <c r="EK311" s="72" t="str">
        <f t="shared" si="4082"/>
        <v/>
      </c>
      <c r="EL311" s="72" t="str">
        <f t="shared" si="4083"/>
        <v/>
      </c>
      <c r="EM311" s="72" t="str">
        <f t="shared" si="4084"/>
        <v/>
      </c>
      <c r="EN311" s="72" t="str">
        <f t="shared" si="4085"/>
        <v/>
      </c>
      <c r="EO311" s="72" t="str">
        <f t="shared" si="4086"/>
        <v/>
      </c>
      <c r="EP311" s="72" t="str">
        <f t="shared" si="4087"/>
        <v/>
      </c>
      <c r="EQ311" s="72" t="str">
        <f t="shared" si="4088"/>
        <v/>
      </c>
      <c r="ER311" s="72" t="str">
        <f t="shared" si="4089"/>
        <v/>
      </c>
      <c r="ES311" s="72" t="str">
        <f t="shared" si="4090"/>
        <v/>
      </c>
      <c r="ET311" s="72" t="str">
        <f t="shared" si="4091"/>
        <v/>
      </c>
      <c r="EU311" s="72" t="str">
        <f t="shared" si="4092"/>
        <v/>
      </c>
      <c r="EV311" s="72" t="str">
        <f t="shared" si="4093"/>
        <v/>
      </c>
      <c r="EW311" s="72" t="str">
        <f t="shared" si="4094"/>
        <v/>
      </c>
      <c r="EX311" s="72" t="str">
        <f t="shared" si="4095"/>
        <v/>
      </c>
      <c r="EY311" s="72" t="str">
        <f t="shared" si="4096"/>
        <v/>
      </c>
      <c r="EZ311" s="72" t="str">
        <f t="shared" si="4097"/>
        <v/>
      </c>
      <c r="FA311" s="72" t="str">
        <f t="shared" si="4098"/>
        <v/>
      </c>
      <c r="FB311" s="72" t="str">
        <f t="shared" si="4099"/>
        <v/>
      </c>
      <c r="FC311" s="72" t="str">
        <f t="shared" si="4100"/>
        <v/>
      </c>
      <c r="FD311" s="72" t="str">
        <f t="shared" si="4101"/>
        <v/>
      </c>
      <c r="FE311" s="72" t="str">
        <f t="shared" si="4102"/>
        <v/>
      </c>
      <c r="FF311" s="72" t="str">
        <f t="shared" si="4103"/>
        <v/>
      </c>
      <c r="FG311" s="72" t="str">
        <f t="shared" si="4104"/>
        <v/>
      </c>
      <c r="FH311" s="72" t="str">
        <f t="shared" si="4105"/>
        <v/>
      </c>
      <c r="FI311" s="72" t="str">
        <f t="shared" si="4106"/>
        <v/>
      </c>
      <c r="FJ311" s="72" t="str">
        <f t="shared" si="4107"/>
        <v/>
      </c>
      <c r="FK311" s="72" t="str">
        <f t="shared" si="4108"/>
        <v/>
      </c>
      <c r="FL311" s="72" t="str">
        <f t="shared" si="4109"/>
        <v/>
      </c>
      <c r="FM311" s="72" t="str">
        <f t="shared" si="4110"/>
        <v/>
      </c>
      <c r="FN311" s="72" t="str">
        <f t="shared" si="4111"/>
        <v/>
      </c>
      <c r="FO311" s="72" t="str">
        <f t="shared" si="4112"/>
        <v/>
      </c>
      <c r="FP311" s="72" t="str">
        <f t="shared" si="4113"/>
        <v/>
      </c>
      <c r="FQ311" s="72" t="str">
        <f t="shared" si="4114"/>
        <v/>
      </c>
      <c r="FR311" s="72" t="str">
        <f t="shared" si="4115"/>
        <v/>
      </c>
      <c r="FS311" s="72" t="str">
        <f t="shared" si="4116"/>
        <v/>
      </c>
    </row>
    <row r="312" spans="1:175" ht="15">
      <c r="A312" s="73"/>
      <c r="B312" s="147"/>
      <c r="C312" s="73"/>
      <c r="E312" s="146"/>
      <c r="T312" s="152"/>
      <c r="U312" s="88"/>
      <c r="CU312" s="98" t="str">
        <f t="shared" si="4046"/>
        <v>|n</v>
      </c>
      <c r="CW312" s="61"/>
      <c r="CX312" s="61"/>
      <c r="CY312" s="61"/>
      <c r="CZ312" s="61"/>
      <c r="DA312" s="61"/>
      <c r="DB312" s="72" t="str">
        <f t="shared" si="4047"/>
        <v/>
      </c>
      <c r="DC312" s="72" t="str">
        <f t="shared" si="4048"/>
        <v/>
      </c>
      <c r="DD312" s="72" t="str">
        <f t="shared" si="4049"/>
        <v/>
      </c>
      <c r="DE312" s="72" t="str">
        <f t="shared" si="4050"/>
        <v/>
      </c>
      <c r="DF312" s="72" t="str">
        <f t="shared" si="4051"/>
        <v/>
      </c>
      <c r="DG312" s="72" t="str">
        <f t="shared" si="4052"/>
        <v/>
      </c>
      <c r="DH312" s="72" t="str">
        <f t="shared" si="4053"/>
        <v/>
      </c>
      <c r="DI312" s="72" t="str">
        <f t="shared" si="4054"/>
        <v/>
      </c>
      <c r="DJ312" s="72" t="str">
        <f t="shared" si="4055"/>
        <v/>
      </c>
      <c r="DK312" s="72" t="str">
        <f t="shared" si="4056"/>
        <v/>
      </c>
      <c r="DL312" s="72" t="str">
        <f t="shared" si="4057"/>
        <v/>
      </c>
      <c r="DM312" s="72" t="str">
        <f t="shared" si="4058"/>
        <v/>
      </c>
      <c r="DN312" s="72" t="str">
        <f t="shared" si="4059"/>
        <v/>
      </c>
      <c r="DO312" s="72" t="str">
        <f t="shared" si="4060"/>
        <v/>
      </c>
      <c r="DP312" s="72" t="str">
        <f t="shared" si="4061"/>
        <v/>
      </c>
      <c r="DQ312" s="72" t="str">
        <f t="shared" si="4062"/>
        <v/>
      </c>
      <c r="DR312" s="72" t="str">
        <f t="shared" si="4063"/>
        <v/>
      </c>
      <c r="DS312" s="72" t="str">
        <f t="shared" si="4064"/>
        <v/>
      </c>
      <c r="DT312" s="72" t="str">
        <f t="shared" si="4065"/>
        <v/>
      </c>
      <c r="DU312" s="72" t="str">
        <f t="shared" si="4066"/>
        <v/>
      </c>
      <c r="DV312" s="72" t="str">
        <f t="shared" si="4067"/>
        <v/>
      </c>
      <c r="DW312" s="72" t="str">
        <f t="shared" si="4068"/>
        <v/>
      </c>
      <c r="DX312" s="72" t="str">
        <f t="shared" si="4069"/>
        <v/>
      </c>
      <c r="DY312" s="72" t="str">
        <f t="shared" si="4070"/>
        <v/>
      </c>
      <c r="DZ312" s="72" t="str">
        <f t="shared" si="4071"/>
        <v/>
      </c>
      <c r="EA312" s="72" t="str">
        <f t="shared" si="4072"/>
        <v/>
      </c>
      <c r="EB312" s="72" t="str">
        <f t="shared" si="4073"/>
        <v/>
      </c>
      <c r="EC312" s="72" t="str">
        <f t="shared" si="4074"/>
        <v/>
      </c>
      <c r="ED312" s="72" t="str">
        <f t="shared" si="4075"/>
        <v/>
      </c>
      <c r="EE312" s="72" t="str">
        <f t="shared" si="4076"/>
        <v/>
      </c>
      <c r="EF312" s="72" t="str">
        <f t="shared" si="4077"/>
        <v/>
      </c>
      <c r="EG312" s="72" t="str">
        <f t="shared" si="4078"/>
        <v/>
      </c>
      <c r="EH312" s="72" t="str">
        <f t="shared" si="4079"/>
        <v/>
      </c>
      <c r="EI312" s="72" t="str">
        <f t="shared" si="4080"/>
        <v/>
      </c>
      <c r="EJ312" s="72" t="str">
        <f t="shared" si="4081"/>
        <v/>
      </c>
      <c r="EK312" s="72" t="str">
        <f t="shared" si="4082"/>
        <v/>
      </c>
      <c r="EL312" s="72" t="str">
        <f t="shared" si="4083"/>
        <v/>
      </c>
      <c r="EM312" s="72" t="str">
        <f t="shared" si="4084"/>
        <v/>
      </c>
      <c r="EN312" s="72" t="str">
        <f t="shared" si="4085"/>
        <v/>
      </c>
      <c r="EO312" s="72" t="str">
        <f t="shared" si="4086"/>
        <v/>
      </c>
      <c r="EP312" s="72" t="str">
        <f t="shared" si="4087"/>
        <v/>
      </c>
      <c r="EQ312" s="72" t="str">
        <f t="shared" si="4088"/>
        <v/>
      </c>
      <c r="ER312" s="72" t="str">
        <f t="shared" si="4089"/>
        <v/>
      </c>
      <c r="ES312" s="72" t="str">
        <f t="shared" si="4090"/>
        <v/>
      </c>
      <c r="ET312" s="72" t="str">
        <f t="shared" si="4091"/>
        <v/>
      </c>
      <c r="EU312" s="72" t="str">
        <f t="shared" si="4092"/>
        <v/>
      </c>
      <c r="EV312" s="72" t="str">
        <f t="shared" si="4093"/>
        <v/>
      </c>
      <c r="EW312" s="72" t="str">
        <f t="shared" si="4094"/>
        <v/>
      </c>
      <c r="EX312" s="72" t="str">
        <f t="shared" si="4095"/>
        <v/>
      </c>
      <c r="EY312" s="72" t="str">
        <f t="shared" si="4096"/>
        <v/>
      </c>
      <c r="EZ312" s="72" t="str">
        <f t="shared" si="4097"/>
        <v/>
      </c>
      <c r="FA312" s="72" t="str">
        <f t="shared" si="4098"/>
        <v/>
      </c>
      <c r="FB312" s="72" t="str">
        <f t="shared" si="4099"/>
        <v/>
      </c>
      <c r="FC312" s="72" t="str">
        <f t="shared" si="4100"/>
        <v/>
      </c>
      <c r="FD312" s="72" t="str">
        <f t="shared" si="4101"/>
        <v/>
      </c>
      <c r="FE312" s="72" t="str">
        <f t="shared" si="4102"/>
        <v/>
      </c>
      <c r="FF312" s="72" t="str">
        <f t="shared" si="4103"/>
        <v/>
      </c>
      <c r="FG312" s="72" t="str">
        <f t="shared" si="4104"/>
        <v/>
      </c>
      <c r="FH312" s="72" t="str">
        <f t="shared" si="4105"/>
        <v/>
      </c>
      <c r="FI312" s="72" t="str">
        <f t="shared" si="4106"/>
        <v/>
      </c>
      <c r="FJ312" s="72" t="str">
        <f t="shared" si="4107"/>
        <v/>
      </c>
      <c r="FK312" s="72" t="str">
        <f t="shared" si="4108"/>
        <v/>
      </c>
      <c r="FL312" s="72" t="str">
        <f t="shared" si="4109"/>
        <v/>
      </c>
      <c r="FM312" s="72" t="str">
        <f t="shared" si="4110"/>
        <v/>
      </c>
      <c r="FN312" s="72" t="str">
        <f t="shared" si="4111"/>
        <v/>
      </c>
      <c r="FO312" s="72" t="str">
        <f t="shared" si="4112"/>
        <v/>
      </c>
      <c r="FP312" s="72" t="str">
        <f t="shared" si="4113"/>
        <v/>
      </c>
      <c r="FQ312" s="72" t="str">
        <f t="shared" si="4114"/>
        <v/>
      </c>
      <c r="FR312" s="72" t="str">
        <f t="shared" si="4115"/>
        <v/>
      </c>
      <c r="FS312" s="72" t="str">
        <f t="shared" si="4116"/>
        <v/>
      </c>
    </row>
    <row r="313" spans="1:175" ht="15">
      <c r="A313" s="73"/>
      <c r="B313" s="147"/>
      <c r="C313" s="73"/>
      <c r="E313" s="146"/>
      <c r="T313" s="152"/>
      <c r="U313" s="88"/>
      <c r="CU313" s="98" t="str">
        <f t="shared" si="4046"/>
        <v>|n</v>
      </c>
      <c r="CW313" s="61"/>
      <c r="CX313" s="61"/>
      <c r="CY313" s="61"/>
      <c r="CZ313" s="61"/>
      <c r="DA313" s="61"/>
      <c r="DB313" s="72" t="str">
        <f t="shared" si="4047"/>
        <v/>
      </c>
      <c r="DC313" s="72" t="str">
        <f t="shared" si="4048"/>
        <v/>
      </c>
      <c r="DD313" s="72" t="str">
        <f t="shared" si="4049"/>
        <v/>
      </c>
      <c r="DE313" s="72" t="str">
        <f t="shared" si="4050"/>
        <v/>
      </c>
      <c r="DF313" s="72" t="str">
        <f t="shared" si="4051"/>
        <v/>
      </c>
      <c r="DG313" s="72" t="str">
        <f t="shared" si="4052"/>
        <v/>
      </c>
      <c r="DH313" s="72" t="str">
        <f t="shared" si="4053"/>
        <v/>
      </c>
      <c r="DI313" s="72" t="str">
        <f t="shared" si="4054"/>
        <v/>
      </c>
      <c r="DJ313" s="72" t="str">
        <f t="shared" si="4055"/>
        <v/>
      </c>
      <c r="DK313" s="72" t="str">
        <f t="shared" si="4056"/>
        <v/>
      </c>
      <c r="DL313" s="72" t="str">
        <f t="shared" si="4057"/>
        <v/>
      </c>
      <c r="DM313" s="72" t="str">
        <f t="shared" si="4058"/>
        <v/>
      </c>
      <c r="DN313" s="72" t="str">
        <f t="shared" si="4059"/>
        <v/>
      </c>
      <c r="DO313" s="72" t="str">
        <f t="shared" si="4060"/>
        <v/>
      </c>
      <c r="DP313" s="72" t="str">
        <f t="shared" si="4061"/>
        <v/>
      </c>
      <c r="DQ313" s="72" t="str">
        <f t="shared" si="4062"/>
        <v/>
      </c>
      <c r="DR313" s="72" t="str">
        <f t="shared" si="4063"/>
        <v/>
      </c>
      <c r="DS313" s="72" t="str">
        <f t="shared" si="4064"/>
        <v/>
      </c>
      <c r="DT313" s="72" t="str">
        <f t="shared" si="4065"/>
        <v/>
      </c>
      <c r="DU313" s="72" t="str">
        <f t="shared" si="4066"/>
        <v/>
      </c>
      <c r="DV313" s="72" t="str">
        <f t="shared" si="4067"/>
        <v/>
      </c>
      <c r="DW313" s="72" t="str">
        <f t="shared" si="4068"/>
        <v/>
      </c>
      <c r="DX313" s="72" t="str">
        <f t="shared" si="4069"/>
        <v/>
      </c>
      <c r="DY313" s="72" t="str">
        <f t="shared" si="4070"/>
        <v/>
      </c>
      <c r="DZ313" s="72" t="str">
        <f t="shared" si="4071"/>
        <v/>
      </c>
      <c r="EA313" s="72" t="str">
        <f t="shared" si="4072"/>
        <v/>
      </c>
      <c r="EB313" s="72" t="str">
        <f t="shared" si="4073"/>
        <v/>
      </c>
      <c r="EC313" s="72" t="str">
        <f t="shared" si="4074"/>
        <v/>
      </c>
      <c r="ED313" s="72" t="str">
        <f t="shared" si="4075"/>
        <v/>
      </c>
      <c r="EE313" s="72" t="str">
        <f t="shared" si="4076"/>
        <v/>
      </c>
      <c r="EF313" s="72" t="str">
        <f t="shared" si="4077"/>
        <v/>
      </c>
      <c r="EG313" s="72" t="str">
        <f t="shared" si="4078"/>
        <v/>
      </c>
      <c r="EH313" s="72" t="str">
        <f t="shared" si="4079"/>
        <v/>
      </c>
      <c r="EI313" s="72" t="str">
        <f t="shared" si="4080"/>
        <v/>
      </c>
      <c r="EJ313" s="72" t="str">
        <f t="shared" si="4081"/>
        <v/>
      </c>
      <c r="EK313" s="72" t="str">
        <f t="shared" si="4082"/>
        <v/>
      </c>
      <c r="EL313" s="72" t="str">
        <f t="shared" si="4083"/>
        <v/>
      </c>
      <c r="EM313" s="72" t="str">
        <f t="shared" si="4084"/>
        <v/>
      </c>
      <c r="EN313" s="72" t="str">
        <f t="shared" si="4085"/>
        <v/>
      </c>
      <c r="EO313" s="72" t="str">
        <f t="shared" si="4086"/>
        <v/>
      </c>
      <c r="EP313" s="72" t="str">
        <f t="shared" si="4087"/>
        <v/>
      </c>
      <c r="EQ313" s="72" t="str">
        <f t="shared" si="4088"/>
        <v/>
      </c>
      <c r="ER313" s="72" t="str">
        <f t="shared" si="4089"/>
        <v/>
      </c>
      <c r="ES313" s="72" t="str">
        <f t="shared" si="4090"/>
        <v/>
      </c>
      <c r="ET313" s="72" t="str">
        <f t="shared" si="4091"/>
        <v/>
      </c>
      <c r="EU313" s="72" t="str">
        <f t="shared" si="4092"/>
        <v/>
      </c>
      <c r="EV313" s="72" t="str">
        <f t="shared" si="4093"/>
        <v/>
      </c>
      <c r="EW313" s="72" t="str">
        <f t="shared" si="4094"/>
        <v/>
      </c>
      <c r="EX313" s="72" t="str">
        <f t="shared" si="4095"/>
        <v/>
      </c>
      <c r="EY313" s="72" t="str">
        <f t="shared" si="4096"/>
        <v/>
      </c>
      <c r="EZ313" s="72" t="str">
        <f t="shared" si="4097"/>
        <v/>
      </c>
      <c r="FA313" s="72" t="str">
        <f t="shared" si="4098"/>
        <v/>
      </c>
      <c r="FB313" s="72" t="str">
        <f t="shared" si="4099"/>
        <v/>
      </c>
      <c r="FC313" s="72" t="str">
        <f t="shared" si="4100"/>
        <v/>
      </c>
      <c r="FD313" s="72" t="str">
        <f t="shared" si="4101"/>
        <v/>
      </c>
      <c r="FE313" s="72" t="str">
        <f t="shared" si="4102"/>
        <v/>
      </c>
      <c r="FF313" s="72" t="str">
        <f t="shared" si="4103"/>
        <v/>
      </c>
      <c r="FG313" s="72" t="str">
        <f t="shared" si="4104"/>
        <v/>
      </c>
      <c r="FH313" s="72" t="str">
        <f t="shared" si="4105"/>
        <v/>
      </c>
      <c r="FI313" s="72" t="str">
        <f t="shared" si="4106"/>
        <v/>
      </c>
      <c r="FJ313" s="72" t="str">
        <f t="shared" si="4107"/>
        <v/>
      </c>
      <c r="FK313" s="72" t="str">
        <f t="shared" si="4108"/>
        <v/>
      </c>
      <c r="FL313" s="72" t="str">
        <f t="shared" si="4109"/>
        <v/>
      </c>
      <c r="FM313" s="72" t="str">
        <f t="shared" si="4110"/>
        <v/>
      </c>
      <c r="FN313" s="72" t="str">
        <f t="shared" si="4111"/>
        <v/>
      </c>
      <c r="FO313" s="72" t="str">
        <f t="shared" si="4112"/>
        <v/>
      </c>
      <c r="FP313" s="72" t="str">
        <f t="shared" si="4113"/>
        <v/>
      </c>
      <c r="FQ313" s="72" t="str">
        <f t="shared" si="4114"/>
        <v/>
      </c>
      <c r="FR313" s="72" t="str">
        <f t="shared" si="4115"/>
        <v/>
      </c>
      <c r="FS313" s="72" t="str">
        <f t="shared" si="4116"/>
        <v/>
      </c>
    </row>
    <row r="314" spans="1:175" ht="15">
      <c r="A314" s="73"/>
      <c r="B314" s="147"/>
      <c r="C314" s="73"/>
      <c r="E314" s="146"/>
      <c r="T314" s="152"/>
      <c r="U314" s="88"/>
      <c r="CU314" s="98" t="str">
        <f t="shared" si="4046"/>
        <v>|n</v>
      </c>
      <c r="CW314" s="61"/>
      <c r="CX314" s="61"/>
      <c r="CY314" s="61"/>
      <c r="CZ314" s="61"/>
      <c r="DA314" s="61"/>
      <c r="DB314" s="72" t="str">
        <f t="shared" si="4047"/>
        <v/>
      </c>
      <c r="DC314" s="72" t="str">
        <f t="shared" si="4048"/>
        <v/>
      </c>
      <c r="DD314" s="72" t="str">
        <f t="shared" si="4049"/>
        <v/>
      </c>
      <c r="DE314" s="72" t="str">
        <f t="shared" si="4050"/>
        <v/>
      </c>
      <c r="DF314" s="72" t="str">
        <f t="shared" si="4051"/>
        <v/>
      </c>
      <c r="DG314" s="72" t="str">
        <f t="shared" si="4052"/>
        <v/>
      </c>
      <c r="DH314" s="72" t="str">
        <f t="shared" si="4053"/>
        <v/>
      </c>
      <c r="DI314" s="72" t="str">
        <f t="shared" si="4054"/>
        <v/>
      </c>
      <c r="DJ314" s="72" t="str">
        <f t="shared" si="4055"/>
        <v/>
      </c>
      <c r="DK314" s="72" t="str">
        <f t="shared" si="4056"/>
        <v/>
      </c>
      <c r="DL314" s="72" t="str">
        <f t="shared" si="4057"/>
        <v/>
      </c>
      <c r="DM314" s="72" t="str">
        <f t="shared" si="4058"/>
        <v/>
      </c>
      <c r="DN314" s="72" t="str">
        <f t="shared" si="4059"/>
        <v/>
      </c>
      <c r="DO314" s="72" t="str">
        <f t="shared" si="4060"/>
        <v/>
      </c>
      <c r="DP314" s="72" t="str">
        <f t="shared" si="4061"/>
        <v/>
      </c>
      <c r="DQ314" s="72" t="str">
        <f t="shared" si="4062"/>
        <v/>
      </c>
      <c r="DR314" s="72" t="str">
        <f t="shared" si="4063"/>
        <v/>
      </c>
      <c r="DS314" s="72" t="str">
        <f t="shared" si="4064"/>
        <v/>
      </c>
      <c r="DT314" s="72" t="str">
        <f t="shared" si="4065"/>
        <v/>
      </c>
      <c r="DU314" s="72" t="str">
        <f t="shared" si="4066"/>
        <v/>
      </c>
      <c r="DV314" s="72" t="str">
        <f t="shared" si="4067"/>
        <v/>
      </c>
      <c r="DW314" s="72" t="str">
        <f t="shared" si="4068"/>
        <v/>
      </c>
      <c r="DX314" s="72" t="str">
        <f t="shared" si="4069"/>
        <v/>
      </c>
      <c r="DY314" s="72" t="str">
        <f t="shared" si="4070"/>
        <v/>
      </c>
      <c r="DZ314" s="72" t="str">
        <f t="shared" si="4071"/>
        <v/>
      </c>
      <c r="EA314" s="72" t="str">
        <f t="shared" si="4072"/>
        <v/>
      </c>
      <c r="EB314" s="72" t="str">
        <f t="shared" si="4073"/>
        <v/>
      </c>
      <c r="EC314" s="72" t="str">
        <f t="shared" si="4074"/>
        <v/>
      </c>
      <c r="ED314" s="72" t="str">
        <f t="shared" si="4075"/>
        <v/>
      </c>
      <c r="EE314" s="72" t="str">
        <f t="shared" si="4076"/>
        <v/>
      </c>
      <c r="EF314" s="72" t="str">
        <f t="shared" si="4077"/>
        <v/>
      </c>
      <c r="EG314" s="72" t="str">
        <f t="shared" si="4078"/>
        <v/>
      </c>
      <c r="EH314" s="72" t="str">
        <f t="shared" si="4079"/>
        <v/>
      </c>
      <c r="EI314" s="72" t="str">
        <f t="shared" si="4080"/>
        <v/>
      </c>
      <c r="EJ314" s="72" t="str">
        <f t="shared" si="4081"/>
        <v/>
      </c>
      <c r="EK314" s="72" t="str">
        <f t="shared" si="4082"/>
        <v/>
      </c>
      <c r="EL314" s="72" t="str">
        <f t="shared" si="4083"/>
        <v/>
      </c>
      <c r="EM314" s="72" t="str">
        <f t="shared" si="4084"/>
        <v/>
      </c>
      <c r="EN314" s="72" t="str">
        <f t="shared" si="4085"/>
        <v/>
      </c>
      <c r="EO314" s="72" t="str">
        <f t="shared" si="4086"/>
        <v/>
      </c>
      <c r="EP314" s="72" t="str">
        <f t="shared" si="4087"/>
        <v/>
      </c>
      <c r="EQ314" s="72" t="str">
        <f t="shared" si="4088"/>
        <v/>
      </c>
      <c r="ER314" s="72" t="str">
        <f t="shared" si="4089"/>
        <v/>
      </c>
      <c r="ES314" s="72" t="str">
        <f t="shared" si="4090"/>
        <v/>
      </c>
      <c r="ET314" s="72" t="str">
        <f t="shared" si="4091"/>
        <v/>
      </c>
      <c r="EU314" s="72" t="str">
        <f t="shared" si="4092"/>
        <v/>
      </c>
      <c r="EV314" s="72" t="str">
        <f t="shared" si="4093"/>
        <v/>
      </c>
      <c r="EW314" s="72" t="str">
        <f t="shared" si="4094"/>
        <v/>
      </c>
      <c r="EX314" s="72" t="str">
        <f t="shared" si="4095"/>
        <v/>
      </c>
      <c r="EY314" s="72" t="str">
        <f t="shared" si="4096"/>
        <v/>
      </c>
      <c r="EZ314" s="72" t="str">
        <f t="shared" si="4097"/>
        <v/>
      </c>
      <c r="FA314" s="72" t="str">
        <f t="shared" si="4098"/>
        <v/>
      </c>
      <c r="FB314" s="72" t="str">
        <f t="shared" si="4099"/>
        <v/>
      </c>
      <c r="FC314" s="72" t="str">
        <f t="shared" si="4100"/>
        <v/>
      </c>
      <c r="FD314" s="72" t="str">
        <f t="shared" si="4101"/>
        <v/>
      </c>
      <c r="FE314" s="72" t="str">
        <f t="shared" si="4102"/>
        <v/>
      </c>
      <c r="FF314" s="72" t="str">
        <f t="shared" si="4103"/>
        <v/>
      </c>
      <c r="FG314" s="72" t="str">
        <f t="shared" si="4104"/>
        <v/>
      </c>
      <c r="FH314" s="72" t="str">
        <f t="shared" si="4105"/>
        <v/>
      </c>
      <c r="FI314" s="72" t="str">
        <f t="shared" si="4106"/>
        <v/>
      </c>
      <c r="FJ314" s="72" t="str">
        <f t="shared" si="4107"/>
        <v/>
      </c>
      <c r="FK314" s="72" t="str">
        <f t="shared" si="4108"/>
        <v/>
      </c>
      <c r="FL314" s="72" t="str">
        <f t="shared" si="4109"/>
        <v/>
      </c>
      <c r="FM314" s="72" t="str">
        <f t="shared" si="4110"/>
        <v/>
      </c>
      <c r="FN314" s="72" t="str">
        <f t="shared" si="4111"/>
        <v/>
      </c>
      <c r="FO314" s="72" t="str">
        <f t="shared" si="4112"/>
        <v/>
      </c>
      <c r="FP314" s="72" t="str">
        <f t="shared" si="4113"/>
        <v/>
      </c>
      <c r="FQ314" s="72" t="str">
        <f t="shared" si="4114"/>
        <v/>
      </c>
      <c r="FR314" s="72" t="str">
        <f t="shared" si="4115"/>
        <v/>
      </c>
      <c r="FS314" s="72" t="str">
        <f t="shared" si="4116"/>
        <v/>
      </c>
    </row>
    <row r="315" spans="1:175" ht="15">
      <c r="A315" s="73"/>
      <c r="B315" s="147"/>
      <c r="C315" s="73"/>
      <c r="E315" s="146"/>
      <c r="T315" s="152"/>
      <c r="U315" s="88"/>
      <c r="CU315" s="98" t="str">
        <f t="shared" si="4046"/>
        <v>|n</v>
      </c>
      <c r="CW315" s="61"/>
      <c r="CX315" s="61"/>
      <c r="CY315" s="61"/>
      <c r="CZ315" s="61"/>
      <c r="DA315" s="61"/>
      <c r="DB315" s="72" t="str">
        <f t="shared" si="4047"/>
        <v/>
      </c>
      <c r="DC315" s="72" t="str">
        <f t="shared" si="4048"/>
        <v/>
      </c>
      <c r="DD315" s="72" t="str">
        <f t="shared" si="4049"/>
        <v/>
      </c>
      <c r="DE315" s="72" t="str">
        <f t="shared" si="4050"/>
        <v/>
      </c>
      <c r="DF315" s="72" t="str">
        <f t="shared" si="4051"/>
        <v/>
      </c>
      <c r="DG315" s="72" t="str">
        <f t="shared" si="4052"/>
        <v/>
      </c>
      <c r="DH315" s="72" t="str">
        <f t="shared" si="4053"/>
        <v/>
      </c>
      <c r="DI315" s="72" t="str">
        <f t="shared" si="4054"/>
        <v/>
      </c>
      <c r="DJ315" s="72" t="str">
        <f t="shared" si="4055"/>
        <v/>
      </c>
      <c r="DK315" s="72" t="str">
        <f t="shared" si="4056"/>
        <v/>
      </c>
      <c r="DL315" s="72" t="str">
        <f t="shared" si="4057"/>
        <v/>
      </c>
      <c r="DM315" s="72" t="str">
        <f t="shared" si="4058"/>
        <v/>
      </c>
      <c r="DN315" s="72" t="str">
        <f t="shared" si="4059"/>
        <v/>
      </c>
      <c r="DO315" s="72" t="str">
        <f t="shared" si="4060"/>
        <v/>
      </c>
      <c r="DP315" s="72" t="str">
        <f t="shared" si="4061"/>
        <v/>
      </c>
      <c r="DQ315" s="72" t="str">
        <f t="shared" si="4062"/>
        <v/>
      </c>
      <c r="DR315" s="72" t="str">
        <f t="shared" si="4063"/>
        <v/>
      </c>
      <c r="DS315" s="72" t="str">
        <f t="shared" si="4064"/>
        <v/>
      </c>
      <c r="DT315" s="72" t="str">
        <f t="shared" si="4065"/>
        <v/>
      </c>
      <c r="DU315" s="72" t="str">
        <f t="shared" si="4066"/>
        <v/>
      </c>
      <c r="DV315" s="72" t="str">
        <f t="shared" si="4067"/>
        <v/>
      </c>
      <c r="DW315" s="72" t="str">
        <f t="shared" si="4068"/>
        <v/>
      </c>
      <c r="DX315" s="72" t="str">
        <f t="shared" si="4069"/>
        <v/>
      </c>
      <c r="DY315" s="72" t="str">
        <f t="shared" si="4070"/>
        <v/>
      </c>
      <c r="DZ315" s="72" t="str">
        <f t="shared" si="4071"/>
        <v/>
      </c>
      <c r="EA315" s="72" t="str">
        <f t="shared" si="4072"/>
        <v/>
      </c>
      <c r="EB315" s="72" t="str">
        <f t="shared" si="4073"/>
        <v/>
      </c>
      <c r="EC315" s="72" t="str">
        <f t="shared" si="4074"/>
        <v/>
      </c>
      <c r="ED315" s="72" t="str">
        <f t="shared" si="4075"/>
        <v/>
      </c>
      <c r="EE315" s="72" t="str">
        <f t="shared" si="4076"/>
        <v/>
      </c>
      <c r="EF315" s="72" t="str">
        <f t="shared" si="4077"/>
        <v/>
      </c>
      <c r="EG315" s="72" t="str">
        <f t="shared" si="4078"/>
        <v/>
      </c>
      <c r="EH315" s="72" t="str">
        <f t="shared" si="4079"/>
        <v/>
      </c>
      <c r="EI315" s="72" t="str">
        <f t="shared" si="4080"/>
        <v/>
      </c>
      <c r="EJ315" s="72" t="str">
        <f t="shared" si="4081"/>
        <v/>
      </c>
      <c r="EK315" s="72" t="str">
        <f t="shared" si="4082"/>
        <v/>
      </c>
      <c r="EL315" s="72" t="str">
        <f t="shared" si="4083"/>
        <v/>
      </c>
      <c r="EM315" s="72" t="str">
        <f t="shared" si="4084"/>
        <v/>
      </c>
      <c r="EN315" s="72" t="str">
        <f t="shared" si="4085"/>
        <v/>
      </c>
      <c r="EO315" s="72" t="str">
        <f t="shared" si="4086"/>
        <v/>
      </c>
      <c r="EP315" s="72" t="str">
        <f t="shared" si="4087"/>
        <v/>
      </c>
      <c r="EQ315" s="72" t="str">
        <f t="shared" si="4088"/>
        <v/>
      </c>
      <c r="ER315" s="72" t="str">
        <f t="shared" si="4089"/>
        <v/>
      </c>
      <c r="ES315" s="72" t="str">
        <f t="shared" si="4090"/>
        <v/>
      </c>
      <c r="ET315" s="72" t="str">
        <f t="shared" si="4091"/>
        <v/>
      </c>
      <c r="EU315" s="72" t="str">
        <f t="shared" si="4092"/>
        <v/>
      </c>
      <c r="EV315" s="72" t="str">
        <f t="shared" si="4093"/>
        <v/>
      </c>
      <c r="EW315" s="72" t="str">
        <f t="shared" si="4094"/>
        <v/>
      </c>
      <c r="EX315" s="72" t="str">
        <f t="shared" si="4095"/>
        <v/>
      </c>
      <c r="EY315" s="72" t="str">
        <f t="shared" si="4096"/>
        <v/>
      </c>
      <c r="EZ315" s="72" t="str">
        <f t="shared" si="4097"/>
        <v/>
      </c>
      <c r="FA315" s="72" t="str">
        <f t="shared" si="4098"/>
        <v/>
      </c>
      <c r="FB315" s="72" t="str">
        <f t="shared" si="4099"/>
        <v/>
      </c>
      <c r="FC315" s="72" t="str">
        <f t="shared" si="4100"/>
        <v/>
      </c>
      <c r="FD315" s="72" t="str">
        <f t="shared" si="4101"/>
        <v/>
      </c>
      <c r="FE315" s="72" t="str">
        <f t="shared" si="4102"/>
        <v/>
      </c>
      <c r="FF315" s="72" t="str">
        <f t="shared" si="4103"/>
        <v/>
      </c>
      <c r="FG315" s="72" t="str">
        <f t="shared" si="4104"/>
        <v/>
      </c>
      <c r="FH315" s="72" t="str">
        <f t="shared" si="4105"/>
        <v/>
      </c>
      <c r="FI315" s="72" t="str">
        <f t="shared" si="4106"/>
        <v/>
      </c>
      <c r="FJ315" s="72" t="str">
        <f t="shared" si="4107"/>
        <v/>
      </c>
      <c r="FK315" s="72" t="str">
        <f t="shared" si="4108"/>
        <v/>
      </c>
      <c r="FL315" s="72" t="str">
        <f t="shared" si="4109"/>
        <v/>
      </c>
      <c r="FM315" s="72" t="str">
        <f t="shared" si="4110"/>
        <v/>
      </c>
      <c r="FN315" s="72" t="str">
        <f t="shared" si="4111"/>
        <v/>
      </c>
      <c r="FO315" s="72" t="str">
        <f t="shared" si="4112"/>
        <v/>
      </c>
      <c r="FP315" s="72" t="str">
        <f t="shared" si="4113"/>
        <v/>
      </c>
      <c r="FQ315" s="72" t="str">
        <f t="shared" si="4114"/>
        <v/>
      </c>
      <c r="FR315" s="72" t="str">
        <f t="shared" si="4115"/>
        <v/>
      </c>
      <c r="FS315" s="72" t="str">
        <f t="shared" si="4116"/>
        <v/>
      </c>
    </row>
    <row r="316" spans="1:175" ht="15">
      <c r="A316" s="73"/>
      <c r="B316" s="147"/>
      <c r="C316" s="73"/>
      <c r="E316" s="146"/>
      <c r="T316" s="152"/>
      <c r="U316" s="88"/>
      <c r="CU316" s="98" t="str">
        <f t="shared" si="4046"/>
        <v>|n</v>
      </c>
      <c r="CW316" s="61"/>
      <c r="CX316" s="61"/>
      <c r="CY316" s="61"/>
      <c r="CZ316" s="61"/>
      <c r="DA316" s="61"/>
      <c r="DB316" s="72" t="str">
        <f t="shared" si="4047"/>
        <v/>
      </c>
      <c r="DC316" s="72" t="str">
        <f t="shared" si="4048"/>
        <v/>
      </c>
      <c r="DD316" s="72" t="str">
        <f t="shared" si="4049"/>
        <v/>
      </c>
      <c r="DE316" s="72" t="str">
        <f t="shared" si="4050"/>
        <v/>
      </c>
      <c r="DF316" s="72" t="str">
        <f t="shared" si="4051"/>
        <v/>
      </c>
      <c r="DG316" s="72" t="str">
        <f t="shared" si="4052"/>
        <v/>
      </c>
      <c r="DH316" s="72" t="str">
        <f t="shared" si="4053"/>
        <v/>
      </c>
      <c r="DI316" s="72" t="str">
        <f t="shared" si="4054"/>
        <v/>
      </c>
      <c r="DJ316" s="72" t="str">
        <f t="shared" si="4055"/>
        <v/>
      </c>
      <c r="DK316" s="72" t="str">
        <f t="shared" si="4056"/>
        <v/>
      </c>
      <c r="DL316" s="72" t="str">
        <f t="shared" si="4057"/>
        <v/>
      </c>
      <c r="DM316" s="72" t="str">
        <f t="shared" si="4058"/>
        <v/>
      </c>
      <c r="DN316" s="72" t="str">
        <f t="shared" si="4059"/>
        <v/>
      </c>
      <c r="DO316" s="72" t="str">
        <f t="shared" si="4060"/>
        <v/>
      </c>
      <c r="DP316" s="72" t="str">
        <f t="shared" si="4061"/>
        <v/>
      </c>
      <c r="DQ316" s="72" t="str">
        <f t="shared" si="4062"/>
        <v/>
      </c>
      <c r="DR316" s="72" t="str">
        <f t="shared" si="4063"/>
        <v/>
      </c>
      <c r="DS316" s="72" t="str">
        <f t="shared" si="4064"/>
        <v/>
      </c>
      <c r="DT316" s="72" t="str">
        <f t="shared" si="4065"/>
        <v/>
      </c>
      <c r="DU316" s="72" t="str">
        <f t="shared" si="4066"/>
        <v/>
      </c>
      <c r="DV316" s="72" t="str">
        <f t="shared" si="4067"/>
        <v/>
      </c>
      <c r="DW316" s="72" t="str">
        <f t="shared" si="4068"/>
        <v/>
      </c>
      <c r="DX316" s="72" t="str">
        <f t="shared" si="4069"/>
        <v/>
      </c>
      <c r="DY316" s="72" t="str">
        <f t="shared" si="4070"/>
        <v/>
      </c>
      <c r="DZ316" s="72" t="str">
        <f t="shared" si="4071"/>
        <v/>
      </c>
      <c r="EA316" s="72" t="str">
        <f t="shared" si="4072"/>
        <v/>
      </c>
      <c r="EB316" s="72" t="str">
        <f t="shared" si="4073"/>
        <v/>
      </c>
      <c r="EC316" s="72" t="str">
        <f t="shared" si="4074"/>
        <v/>
      </c>
      <c r="ED316" s="72" t="str">
        <f t="shared" si="4075"/>
        <v/>
      </c>
      <c r="EE316" s="72" t="str">
        <f t="shared" si="4076"/>
        <v/>
      </c>
      <c r="EF316" s="72" t="str">
        <f t="shared" si="4077"/>
        <v/>
      </c>
      <c r="EG316" s="72" t="str">
        <f t="shared" si="4078"/>
        <v/>
      </c>
      <c r="EH316" s="72" t="str">
        <f t="shared" si="4079"/>
        <v/>
      </c>
      <c r="EI316" s="72" t="str">
        <f t="shared" si="4080"/>
        <v/>
      </c>
      <c r="EJ316" s="72" t="str">
        <f t="shared" si="4081"/>
        <v/>
      </c>
      <c r="EK316" s="72" t="str">
        <f t="shared" si="4082"/>
        <v/>
      </c>
      <c r="EL316" s="72" t="str">
        <f t="shared" si="4083"/>
        <v/>
      </c>
      <c r="EM316" s="72" t="str">
        <f t="shared" si="4084"/>
        <v/>
      </c>
      <c r="EN316" s="72" t="str">
        <f t="shared" si="4085"/>
        <v/>
      </c>
      <c r="EO316" s="72" t="str">
        <f t="shared" si="4086"/>
        <v/>
      </c>
      <c r="EP316" s="72" t="str">
        <f t="shared" si="4087"/>
        <v/>
      </c>
      <c r="EQ316" s="72" t="str">
        <f t="shared" si="4088"/>
        <v/>
      </c>
      <c r="ER316" s="72" t="str">
        <f t="shared" si="4089"/>
        <v/>
      </c>
      <c r="ES316" s="72" t="str">
        <f t="shared" si="4090"/>
        <v/>
      </c>
      <c r="ET316" s="72" t="str">
        <f t="shared" si="4091"/>
        <v/>
      </c>
      <c r="EU316" s="72" t="str">
        <f t="shared" si="4092"/>
        <v/>
      </c>
      <c r="EV316" s="72" t="str">
        <f t="shared" si="4093"/>
        <v/>
      </c>
      <c r="EW316" s="72" t="str">
        <f t="shared" si="4094"/>
        <v/>
      </c>
      <c r="EX316" s="72" t="str">
        <f t="shared" si="4095"/>
        <v/>
      </c>
      <c r="EY316" s="72" t="str">
        <f t="shared" si="4096"/>
        <v/>
      </c>
      <c r="EZ316" s="72" t="str">
        <f t="shared" si="4097"/>
        <v/>
      </c>
      <c r="FA316" s="72" t="str">
        <f t="shared" si="4098"/>
        <v/>
      </c>
      <c r="FB316" s="72" t="str">
        <f t="shared" si="4099"/>
        <v/>
      </c>
      <c r="FC316" s="72" t="str">
        <f t="shared" si="4100"/>
        <v/>
      </c>
      <c r="FD316" s="72" t="str">
        <f t="shared" si="4101"/>
        <v/>
      </c>
      <c r="FE316" s="72" t="str">
        <f t="shared" si="4102"/>
        <v/>
      </c>
      <c r="FF316" s="72" t="str">
        <f t="shared" si="4103"/>
        <v/>
      </c>
      <c r="FG316" s="72" t="str">
        <f t="shared" si="4104"/>
        <v/>
      </c>
      <c r="FH316" s="72" t="str">
        <f t="shared" si="4105"/>
        <v/>
      </c>
      <c r="FI316" s="72" t="str">
        <f t="shared" si="4106"/>
        <v/>
      </c>
      <c r="FJ316" s="72" t="str">
        <f t="shared" si="4107"/>
        <v/>
      </c>
      <c r="FK316" s="72" t="str">
        <f t="shared" si="4108"/>
        <v/>
      </c>
      <c r="FL316" s="72" t="str">
        <f t="shared" si="4109"/>
        <v/>
      </c>
      <c r="FM316" s="72" t="str">
        <f t="shared" si="4110"/>
        <v/>
      </c>
      <c r="FN316" s="72" t="str">
        <f t="shared" si="4111"/>
        <v/>
      </c>
      <c r="FO316" s="72" t="str">
        <f t="shared" si="4112"/>
        <v/>
      </c>
      <c r="FP316" s="72" t="str">
        <f t="shared" si="4113"/>
        <v/>
      </c>
      <c r="FQ316" s="72" t="str">
        <f t="shared" si="4114"/>
        <v/>
      </c>
      <c r="FR316" s="72" t="str">
        <f t="shared" si="4115"/>
        <v/>
      </c>
      <c r="FS316" s="72" t="str">
        <f t="shared" si="4116"/>
        <v/>
      </c>
    </row>
    <row r="317" spans="1:175" ht="15">
      <c r="A317" s="73"/>
      <c r="B317" s="147"/>
      <c r="C317" s="73"/>
      <c r="E317" s="146"/>
      <c r="T317" s="152"/>
      <c r="U317" s="88"/>
      <c r="CU317" s="98" t="str">
        <f t="shared" si="4046"/>
        <v>|n</v>
      </c>
      <c r="CW317" s="61"/>
      <c r="CX317" s="61"/>
      <c r="CY317" s="61"/>
      <c r="CZ317" s="61"/>
      <c r="DA317" s="61"/>
      <c r="DB317" s="72" t="str">
        <f t="shared" si="4047"/>
        <v/>
      </c>
      <c r="DC317" s="72" t="str">
        <f t="shared" si="4048"/>
        <v/>
      </c>
      <c r="DD317" s="72" t="str">
        <f t="shared" si="4049"/>
        <v/>
      </c>
      <c r="DE317" s="72" t="str">
        <f t="shared" si="4050"/>
        <v/>
      </c>
      <c r="DF317" s="72" t="str">
        <f t="shared" si="4051"/>
        <v/>
      </c>
      <c r="DG317" s="72" t="str">
        <f t="shared" si="4052"/>
        <v/>
      </c>
      <c r="DH317" s="72" t="str">
        <f t="shared" si="4053"/>
        <v/>
      </c>
      <c r="DI317" s="72" t="str">
        <f t="shared" si="4054"/>
        <v/>
      </c>
      <c r="DJ317" s="72" t="str">
        <f t="shared" si="4055"/>
        <v/>
      </c>
      <c r="DK317" s="72" t="str">
        <f t="shared" si="4056"/>
        <v/>
      </c>
      <c r="DL317" s="72" t="str">
        <f t="shared" si="4057"/>
        <v/>
      </c>
      <c r="DM317" s="72" t="str">
        <f t="shared" si="4058"/>
        <v/>
      </c>
      <c r="DN317" s="72" t="str">
        <f t="shared" si="4059"/>
        <v/>
      </c>
      <c r="DO317" s="72" t="str">
        <f t="shared" si="4060"/>
        <v/>
      </c>
      <c r="DP317" s="72" t="str">
        <f t="shared" si="4061"/>
        <v/>
      </c>
      <c r="DQ317" s="72" t="str">
        <f t="shared" si="4062"/>
        <v/>
      </c>
      <c r="DR317" s="72" t="str">
        <f t="shared" si="4063"/>
        <v/>
      </c>
      <c r="DS317" s="72" t="str">
        <f t="shared" si="4064"/>
        <v/>
      </c>
      <c r="DT317" s="72" t="str">
        <f t="shared" si="4065"/>
        <v/>
      </c>
      <c r="DU317" s="72" t="str">
        <f t="shared" si="4066"/>
        <v/>
      </c>
      <c r="DV317" s="72" t="str">
        <f t="shared" si="4067"/>
        <v/>
      </c>
      <c r="DW317" s="72" t="str">
        <f t="shared" si="4068"/>
        <v/>
      </c>
      <c r="DX317" s="72" t="str">
        <f t="shared" si="4069"/>
        <v/>
      </c>
      <c r="DY317" s="72" t="str">
        <f t="shared" si="4070"/>
        <v/>
      </c>
      <c r="DZ317" s="72" t="str">
        <f t="shared" si="4071"/>
        <v/>
      </c>
      <c r="EA317" s="72" t="str">
        <f t="shared" si="4072"/>
        <v/>
      </c>
      <c r="EB317" s="72" t="str">
        <f t="shared" si="4073"/>
        <v/>
      </c>
      <c r="EC317" s="72" t="str">
        <f t="shared" si="4074"/>
        <v/>
      </c>
      <c r="ED317" s="72" t="str">
        <f t="shared" si="4075"/>
        <v/>
      </c>
      <c r="EE317" s="72" t="str">
        <f t="shared" si="4076"/>
        <v/>
      </c>
      <c r="EF317" s="72" t="str">
        <f t="shared" si="4077"/>
        <v/>
      </c>
      <c r="EG317" s="72" t="str">
        <f t="shared" si="4078"/>
        <v/>
      </c>
      <c r="EH317" s="72" t="str">
        <f t="shared" si="4079"/>
        <v/>
      </c>
      <c r="EI317" s="72" t="str">
        <f t="shared" si="4080"/>
        <v/>
      </c>
      <c r="EJ317" s="72" t="str">
        <f t="shared" si="4081"/>
        <v/>
      </c>
      <c r="EK317" s="72" t="str">
        <f t="shared" si="4082"/>
        <v/>
      </c>
      <c r="EL317" s="72" t="str">
        <f t="shared" si="4083"/>
        <v/>
      </c>
      <c r="EM317" s="72" t="str">
        <f t="shared" si="4084"/>
        <v/>
      </c>
      <c r="EN317" s="72" t="str">
        <f t="shared" si="4085"/>
        <v/>
      </c>
      <c r="EO317" s="72" t="str">
        <f t="shared" si="4086"/>
        <v/>
      </c>
      <c r="EP317" s="72" t="str">
        <f t="shared" si="4087"/>
        <v/>
      </c>
      <c r="EQ317" s="72" t="str">
        <f t="shared" si="4088"/>
        <v/>
      </c>
      <c r="ER317" s="72" t="str">
        <f t="shared" si="4089"/>
        <v/>
      </c>
      <c r="ES317" s="72" t="str">
        <f t="shared" si="4090"/>
        <v/>
      </c>
      <c r="ET317" s="72" t="str">
        <f t="shared" si="4091"/>
        <v/>
      </c>
      <c r="EU317" s="72" t="str">
        <f t="shared" si="4092"/>
        <v/>
      </c>
      <c r="EV317" s="72" t="str">
        <f t="shared" si="4093"/>
        <v/>
      </c>
      <c r="EW317" s="72" t="str">
        <f t="shared" si="4094"/>
        <v/>
      </c>
      <c r="EX317" s="72" t="str">
        <f t="shared" si="4095"/>
        <v/>
      </c>
      <c r="EY317" s="72" t="str">
        <f t="shared" si="4096"/>
        <v/>
      </c>
      <c r="EZ317" s="72" t="str">
        <f t="shared" si="4097"/>
        <v/>
      </c>
      <c r="FA317" s="72" t="str">
        <f t="shared" si="4098"/>
        <v/>
      </c>
      <c r="FB317" s="72" t="str">
        <f t="shared" si="4099"/>
        <v/>
      </c>
      <c r="FC317" s="72" t="str">
        <f t="shared" si="4100"/>
        <v/>
      </c>
      <c r="FD317" s="72" t="str">
        <f t="shared" si="4101"/>
        <v/>
      </c>
      <c r="FE317" s="72" t="str">
        <f t="shared" si="4102"/>
        <v/>
      </c>
      <c r="FF317" s="72" t="str">
        <f t="shared" si="4103"/>
        <v/>
      </c>
      <c r="FG317" s="72" t="str">
        <f t="shared" si="4104"/>
        <v/>
      </c>
      <c r="FH317" s="72" t="str">
        <f t="shared" si="4105"/>
        <v/>
      </c>
      <c r="FI317" s="72" t="str">
        <f t="shared" si="4106"/>
        <v/>
      </c>
      <c r="FJ317" s="72" t="str">
        <f t="shared" si="4107"/>
        <v/>
      </c>
      <c r="FK317" s="72" t="str">
        <f t="shared" si="4108"/>
        <v/>
      </c>
      <c r="FL317" s="72" t="str">
        <f t="shared" si="4109"/>
        <v/>
      </c>
      <c r="FM317" s="72" t="str">
        <f t="shared" si="4110"/>
        <v/>
      </c>
      <c r="FN317" s="72" t="str">
        <f t="shared" si="4111"/>
        <v/>
      </c>
      <c r="FO317" s="72" t="str">
        <f t="shared" si="4112"/>
        <v/>
      </c>
      <c r="FP317" s="72" t="str">
        <f t="shared" si="4113"/>
        <v/>
      </c>
      <c r="FQ317" s="72" t="str">
        <f t="shared" si="4114"/>
        <v/>
      </c>
      <c r="FR317" s="72" t="str">
        <f t="shared" si="4115"/>
        <v/>
      </c>
      <c r="FS317" s="72" t="str">
        <f t="shared" si="4116"/>
        <v/>
      </c>
    </row>
    <row r="318" spans="1:175" ht="15">
      <c r="A318" s="73"/>
      <c r="B318" s="147"/>
      <c r="C318" s="73"/>
      <c r="E318" s="146"/>
      <c r="T318" s="152"/>
      <c r="U318" s="88"/>
      <c r="CU318" s="98" t="str">
        <f t="shared" si="4046"/>
        <v>|n</v>
      </c>
      <c r="CW318" s="61"/>
      <c r="CX318" s="61"/>
      <c r="CY318" s="61"/>
      <c r="CZ318" s="61"/>
      <c r="DA318" s="61"/>
      <c r="DB318" s="72" t="str">
        <f t="shared" si="4047"/>
        <v/>
      </c>
      <c r="DC318" s="72" t="str">
        <f t="shared" si="4048"/>
        <v/>
      </c>
      <c r="DD318" s="72" t="str">
        <f t="shared" si="4049"/>
        <v/>
      </c>
      <c r="DE318" s="72" t="str">
        <f t="shared" si="4050"/>
        <v/>
      </c>
      <c r="DF318" s="72" t="str">
        <f t="shared" si="4051"/>
        <v/>
      </c>
      <c r="DG318" s="72" t="str">
        <f t="shared" si="4052"/>
        <v/>
      </c>
      <c r="DH318" s="72" t="str">
        <f t="shared" si="4053"/>
        <v/>
      </c>
      <c r="DI318" s="72" t="str">
        <f t="shared" si="4054"/>
        <v/>
      </c>
      <c r="DJ318" s="72" t="str">
        <f t="shared" si="4055"/>
        <v/>
      </c>
      <c r="DK318" s="72" t="str">
        <f t="shared" si="4056"/>
        <v/>
      </c>
      <c r="DL318" s="72" t="str">
        <f t="shared" si="4057"/>
        <v/>
      </c>
      <c r="DM318" s="72" t="str">
        <f t="shared" si="4058"/>
        <v/>
      </c>
      <c r="DN318" s="72" t="str">
        <f t="shared" si="4059"/>
        <v/>
      </c>
      <c r="DO318" s="72" t="str">
        <f t="shared" si="4060"/>
        <v/>
      </c>
      <c r="DP318" s="72" t="str">
        <f t="shared" si="4061"/>
        <v/>
      </c>
      <c r="DQ318" s="72" t="str">
        <f t="shared" si="4062"/>
        <v/>
      </c>
      <c r="DR318" s="72" t="str">
        <f t="shared" si="4063"/>
        <v/>
      </c>
      <c r="DS318" s="72" t="str">
        <f t="shared" si="4064"/>
        <v/>
      </c>
      <c r="DT318" s="72" t="str">
        <f t="shared" si="4065"/>
        <v/>
      </c>
      <c r="DU318" s="72" t="str">
        <f t="shared" si="4066"/>
        <v/>
      </c>
      <c r="DV318" s="72" t="str">
        <f t="shared" si="4067"/>
        <v/>
      </c>
      <c r="DW318" s="72" t="str">
        <f t="shared" si="4068"/>
        <v/>
      </c>
      <c r="DX318" s="72" t="str">
        <f t="shared" si="4069"/>
        <v/>
      </c>
      <c r="DY318" s="72" t="str">
        <f t="shared" si="4070"/>
        <v/>
      </c>
      <c r="DZ318" s="72" t="str">
        <f t="shared" si="4071"/>
        <v/>
      </c>
      <c r="EA318" s="72" t="str">
        <f t="shared" si="4072"/>
        <v/>
      </c>
      <c r="EB318" s="72" t="str">
        <f t="shared" si="4073"/>
        <v/>
      </c>
      <c r="EC318" s="72" t="str">
        <f t="shared" si="4074"/>
        <v/>
      </c>
      <c r="ED318" s="72" t="str">
        <f t="shared" si="4075"/>
        <v/>
      </c>
      <c r="EE318" s="72" t="str">
        <f t="shared" si="4076"/>
        <v/>
      </c>
      <c r="EF318" s="72" t="str">
        <f t="shared" si="4077"/>
        <v/>
      </c>
      <c r="EG318" s="72" t="str">
        <f t="shared" si="4078"/>
        <v/>
      </c>
      <c r="EH318" s="72" t="str">
        <f t="shared" si="4079"/>
        <v/>
      </c>
      <c r="EI318" s="72" t="str">
        <f t="shared" si="4080"/>
        <v/>
      </c>
      <c r="EJ318" s="72" t="str">
        <f t="shared" si="4081"/>
        <v/>
      </c>
      <c r="EK318" s="72" t="str">
        <f t="shared" si="4082"/>
        <v/>
      </c>
      <c r="EL318" s="72" t="str">
        <f t="shared" si="4083"/>
        <v/>
      </c>
      <c r="EM318" s="72" t="str">
        <f t="shared" si="4084"/>
        <v/>
      </c>
      <c r="EN318" s="72" t="str">
        <f t="shared" si="4085"/>
        <v/>
      </c>
      <c r="EO318" s="72" t="str">
        <f t="shared" si="4086"/>
        <v/>
      </c>
      <c r="EP318" s="72" t="str">
        <f t="shared" si="4087"/>
        <v/>
      </c>
      <c r="EQ318" s="72" t="str">
        <f t="shared" si="4088"/>
        <v/>
      </c>
      <c r="ER318" s="72" t="str">
        <f t="shared" si="4089"/>
        <v/>
      </c>
      <c r="ES318" s="72" t="str">
        <f t="shared" si="4090"/>
        <v/>
      </c>
      <c r="ET318" s="72" t="str">
        <f t="shared" si="4091"/>
        <v/>
      </c>
      <c r="EU318" s="72" t="str">
        <f t="shared" si="4092"/>
        <v/>
      </c>
      <c r="EV318" s="72" t="str">
        <f t="shared" si="4093"/>
        <v/>
      </c>
      <c r="EW318" s="72" t="str">
        <f t="shared" si="4094"/>
        <v/>
      </c>
      <c r="EX318" s="72" t="str">
        <f t="shared" si="4095"/>
        <v/>
      </c>
      <c r="EY318" s="72" t="str">
        <f t="shared" si="4096"/>
        <v/>
      </c>
      <c r="EZ318" s="72" t="str">
        <f t="shared" si="4097"/>
        <v/>
      </c>
      <c r="FA318" s="72" t="str">
        <f t="shared" si="4098"/>
        <v/>
      </c>
      <c r="FB318" s="72" t="str">
        <f t="shared" si="4099"/>
        <v/>
      </c>
      <c r="FC318" s="72" t="str">
        <f t="shared" si="4100"/>
        <v/>
      </c>
      <c r="FD318" s="72" t="str">
        <f t="shared" si="4101"/>
        <v/>
      </c>
      <c r="FE318" s="72" t="str">
        <f t="shared" si="4102"/>
        <v/>
      </c>
      <c r="FF318" s="72" t="str">
        <f t="shared" si="4103"/>
        <v/>
      </c>
      <c r="FG318" s="72" t="str">
        <f t="shared" si="4104"/>
        <v/>
      </c>
      <c r="FH318" s="72" t="str">
        <f t="shared" si="4105"/>
        <v/>
      </c>
      <c r="FI318" s="72" t="str">
        <f t="shared" si="4106"/>
        <v/>
      </c>
      <c r="FJ318" s="72" t="str">
        <f t="shared" si="4107"/>
        <v/>
      </c>
      <c r="FK318" s="72" t="str">
        <f t="shared" si="4108"/>
        <v/>
      </c>
      <c r="FL318" s="72" t="str">
        <f t="shared" si="4109"/>
        <v/>
      </c>
      <c r="FM318" s="72" t="str">
        <f t="shared" si="4110"/>
        <v/>
      </c>
      <c r="FN318" s="72" t="str">
        <f t="shared" si="4111"/>
        <v/>
      </c>
      <c r="FO318" s="72" t="str">
        <f t="shared" si="4112"/>
        <v/>
      </c>
      <c r="FP318" s="72" t="str">
        <f t="shared" si="4113"/>
        <v/>
      </c>
      <c r="FQ318" s="72" t="str">
        <f t="shared" si="4114"/>
        <v/>
      </c>
      <c r="FR318" s="72" t="str">
        <f t="shared" si="4115"/>
        <v/>
      </c>
      <c r="FS318" s="72" t="str">
        <f t="shared" si="4116"/>
        <v/>
      </c>
    </row>
    <row r="319" spans="1:175" ht="15">
      <c r="A319" s="73"/>
      <c r="B319" s="147"/>
      <c r="C319" s="73"/>
      <c r="E319" s="146"/>
      <c r="T319" s="152"/>
      <c r="U319" s="88"/>
      <c r="CU319" s="98" t="str">
        <f t="shared" si="4046"/>
        <v>|n</v>
      </c>
      <c r="CW319" s="61"/>
      <c r="CX319" s="61"/>
      <c r="CY319" s="61"/>
      <c r="CZ319" s="61"/>
      <c r="DA319" s="61"/>
      <c r="DB319" s="72" t="str">
        <f t="shared" si="4047"/>
        <v/>
      </c>
      <c r="DC319" s="72" t="str">
        <f t="shared" si="4048"/>
        <v/>
      </c>
      <c r="DD319" s="72" t="str">
        <f t="shared" si="4049"/>
        <v/>
      </c>
      <c r="DE319" s="72" t="str">
        <f t="shared" si="4050"/>
        <v/>
      </c>
      <c r="DF319" s="72" t="str">
        <f t="shared" si="4051"/>
        <v/>
      </c>
      <c r="DG319" s="72" t="str">
        <f t="shared" si="4052"/>
        <v/>
      </c>
      <c r="DH319" s="72" t="str">
        <f t="shared" si="4053"/>
        <v/>
      </c>
      <c r="DI319" s="72" t="str">
        <f t="shared" si="4054"/>
        <v/>
      </c>
      <c r="DJ319" s="72" t="str">
        <f t="shared" si="4055"/>
        <v/>
      </c>
      <c r="DK319" s="72" t="str">
        <f t="shared" si="4056"/>
        <v/>
      </c>
      <c r="DL319" s="72" t="str">
        <f t="shared" si="4057"/>
        <v/>
      </c>
      <c r="DM319" s="72" t="str">
        <f t="shared" si="4058"/>
        <v/>
      </c>
      <c r="DN319" s="72" t="str">
        <f t="shared" si="4059"/>
        <v/>
      </c>
      <c r="DO319" s="72" t="str">
        <f t="shared" si="4060"/>
        <v/>
      </c>
      <c r="DP319" s="72" t="str">
        <f t="shared" si="4061"/>
        <v/>
      </c>
      <c r="DQ319" s="72" t="str">
        <f t="shared" si="4062"/>
        <v/>
      </c>
      <c r="DR319" s="72" t="str">
        <f t="shared" si="4063"/>
        <v/>
      </c>
      <c r="DS319" s="72" t="str">
        <f t="shared" si="4064"/>
        <v/>
      </c>
      <c r="DT319" s="72" t="str">
        <f t="shared" si="4065"/>
        <v/>
      </c>
      <c r="DU319" s="72" t="str">
        <f t="shared" si="4066"/>
        <v/>
      </c>
      <c r="DV319" s="72" t="str">
        <f t="shared" si="4067"/>
        <v/>
      </c>
      <c r="DW319" s="72" t="str">
        <f t="shared" si="4068"/>
        <v/>
      </c>
      <c r="DX319" s="72" t="str">
        <f t="shared" si="4069"/>
        <v/>
      </c>
      <c r="DY319" s="72" t="str">
        <f t="shared" si="4070"/>
        <v/>
      </c>
      <c r="DZ319" s="72" t="str">
        <f t="shared" si="4071"/>
        <v/>
      </c>
      <c r="EA319" s="72" t="str">
        <f t="shared" si="4072"/>
        <v/>
      </c>
      <c r="EB319" s="72" t="str">
        <f t="shared" si="4073"/>
        <v/>
      </c>
      <c r="EC319" s="72" t="str">
        <f t="shared" si="4074"/>
        <v/>
      </c>
      <c r="ED319" s="72" t="str">
        <f t="shared" si="4075"/>
        <v/>
      </c>
      <c r="EE319" s="72" t="str">
        <f t="shared" si="4076"/>
        <v/>
      </c>
      <c r="EF319" s="72" t="str">
        <f t="shared" si="4077"/>
        <v/>
      </c>
      <c r="EG319" s="72" t="str">
        <f t="shared" si="4078"/>
        <v/>
      </c>
      <c r="EH319" s="72" t="str">
        <f t="shared" si="4079"/>
        <v/>
      </c>
      <c r="EI319" s="72" t="str">
        <f t="shared" si="4080"/>
        <v/>
      </c>
      <c r="EJ319" s="72" t="str">
        <f t="shared" si="4081"/>
        <v/>
      </c>
      <c r="EK319" s="72" t="str">
        <f t="shared" si="4082"/>
        <v/>
      </c>
      <c r="EL319" s="72" t="str">
        <f t="shared" si="4083"/>
        <v/>
      </c>
      <c r="EM319" s="72" t="str">
        <f t="shared" si="4084"/>
        <v/>
      </c>
      <c r="EN319" s="72" t="str">
        <f t="shared" si="4085"/>
        <v/>
      </c>
      <c r="EO319" s="72" t="str">
        <f t="shared" si="4086"/>
        <v/>
      </c>
      <c r="EP319" s="72" t="str">
        <f t="shared" si="4087"/>
        <v/>
      </c>
      <c r="EQ319" s="72" t="str">
        <f t="shared" si="4088"/>
        <v/>
      </c>
      <c r="ER319" s="72" t="str">
        <f t="shared" si="4089"/>
        <v/>
      </c>
      <c r="ES319" s="72" t="str">
        <f t="shared" si="4090"/>
        <v/>
      </c>
      <c r="ET319" s="72" t="str">
        <f t="shared" si="4091"/>
        <v/>
      </c>
      <c r="EU319" s="72" t="str">
        <f t="shared" si="4092"/>
        <v/>
      </c>
      <c r="EV319" s="72" t="str">
        <f t="shared" si="4093"/>
        <v/>
      </c>
      <c r="EW319" s="72" t="str">
        <f t="shared" si="4094"/>
        <v/>
      </c>
      <c r="EX319" s="72" t="str">
        <f t="shared" si="4095"/>
        <v/>
      </c>
      <c r="EY319" s="72" t="str">
        <f t="shared" si="4096"/>
        <v/>
      </c>
      <c r="EZ319" s="72" t="str">
        <f t="shared" si="4097"/>
        <v/>
      </c>
      <c r="FA319" s="72" t="str">
        <f t="shared" si="4098"/>
        <v/>
      </c>
      <c r="FB319" s="72" t="str">
        <f t="shared" si="4099"/>
        <v/>
      </c>
      <c r="FC319" s="72" t="str">
        <f t="shared" si="4100"/>
        <v/>
      </c>
      <c r="FD319" s="72" t="str">
        <f t="shared" si="4101"/>
        <v/>
      </c>
      <c r="FE319" s="72" t="str">
        <f t="shared" si="4102"/>
        <v/>
      </c>
      <c r="FF319" s="72" t="str">
        <f t="shared" si="4103"/>
        <v/>
      </c>
      <c r="FG319" s="72" t="str">
        <f t="shared" si="4104"/>
        <v/>
      </c>
      <c r="FH319" s="72" t="str">
        <f t="shared" si="4105"/>
        <v/>
      </c>
      <c r="FI319" s="72" t="str">
        <f t="shared" si="4106"/>
        <v/>
      </c>
      <c r="FJ319" s="72" t="str">
        <f t="shared" si="4107"/>
        <v/>
      </c>
      <c r="FK319" s="72" t="str">
        <f t="shared" si="4108"/>
        <v/>
      </c>
      <c r="FL319" s="72" t="str">
        <f t="shared" si="4109"/>
        <v/>
      </c>
      <c r="FM319" s="72" t="str">
        <f t="shared" si="4110"/>
        <v/>
      </c>
      <c r="FN319" s="72" t="str">
        <f t="shared" si="4111"/>
        <v/>
      </c>
      <c r="FO319" s="72" t="str">
        <f t="shared" si="4112"/>
        <v/>
      </c>
      <c r="FP319" s="72" t="str">
        <f t="shared" si="4113"/>
        <v/>
      </c>
      <c r="FQ319" s="72" t="str">
        <f t="shared" si="4114"/>
        <v/>
      </c>
      <c r="FR319" s="72" t="str">
        <f t="shared" si="4115"/>
        <v/>
      </c>
      <c r="FS319" s="72" t="str">
        <f t="shared" si="4116"/>
        <v/>
      </c>
    </row>
    <row r="320" spans="1:175" ht="15">
      <c r="A320" s="73"/>
      <c r="B320" s="147"/>
      <c r="C320" s="73"/>
      <c r="E320" s="146"/>
      <c r="T320" s="152"/>
      <c r="U320" s="88"/>
      <c r="CU320" s="98" t="str">
        <f t="shared" si="4046"/>
        <v>|n</v>
      </c>
      <c r="CW320" s="61"/>
      <c r="CX320" s="61"/>
      <c r="CY320" s="61"/>
      <c r="CZ320" s="61"/>
      <c r="DA320" s="61"/>
      <c r="DB320" s="72" t="str">
        <f t="shared" si="4047"/>
        <v/>
      </c>
      <c r="DC320" s="72" t="str">
        <f t="shared" si="4048"/>
        <v/>
      </c>
      <c r="DD320" s="72" t="str">
        <f t="shared" si="4049"/>
        <v/>
      </c>
      <c r="DE320" s="72" t="str">
        <f t="shared" si="4050"/>
        <v/>
      </c>
      <c r="DF320" s="72" t="str">
        <f t="shared" si="4051"/>
        <v/>
      </c>
      <c r="DG320" s="72" t="str">
        <f t="shared" si="4052"/>
        <v/>
      </c>
      <c r="DH320" s="72" t="str">
        <f t="shared" si="4053"/>
        <v/>
      </c>
      <c r="DI320" s="72" t="str">
        <f t="shared" si="4054"/>
        <v/>
      </c>
      <c r="DJ320" s="72" t="str">
        <f t="shared" si="4055"/>
        <v/>
      </c>
      <c r="DK320" s="72" t="str">
        <f t="shared" si="4056"/>
        <v/>
      </c>
      <c r="DL320" s="72" t="str">
        <f t="shared" si="4057"/>
        <v/>
      </c>
      <c r="DM320" s="72" t="str">
        <f t="shared" si="4058"/>
        <v/>
      </c>
      <c r="DN320" s="72" t="str">
        <f t="shared" si="4059"/>
        <v/>
      </c>
      <c r="DO320" s="72" t="str">
        <f t="shared" si="4060"/>
        <v/>
      </c>
      <c r="DP320" s="72" t="str">
        <f t="shared" si="4061"/>
        <v/>
      </c>
      <c r="DQ320" s="72" t="str">
        <f t="shared" si="4062"/>
        <v/>
      </c>
      <c r="DR320" s="72" t="str">
        <f t="shared" si="4063"/>
        <v/>
      </c>
      <c r="DS320" s="72" t="str">
        <f t="shared" si="4064"/>
        <v/>
      </c>
      <c r="DT320" s="72" t="str">
        <f t="shared" si="4065"/>
        <v/>
      </c>
      <c r="DU320" s="72" t="str">
        <f t="shared" si="4066"/>
        <v/>
      </c>
      <c r="DV320" s="72" t="str">
        <f t="shared" si="4067"/>
        <v/>
      </c>
      <c r="DW320" s="72" t="str">
        <f t="shared" si="4068"/>
        <v/>
      </c>
      <c r="DX320" s="72" t="str">
        <f t="shared" si="4069"/>
        <v/>
      </c>
      <c r="DY320" s="72" t="str">
        <f t="shared" si="4070"/>
        <v/>
      </c>
      <c r="DZ320" s="72" t="str">
        <f t="shared" si="4071"/>
        <v/>
      </c>
      <c r="EA320" s="72" t="str">
        <f t="shared" si="4072"/>
        <v/>
      </c>
      <c r="EB320" s="72" t="str">
        <f t="shared" si="4073"/>
        <v/>
      </c>
      <c r="EC320" s="72" t="str">
        <f t="shared" si="4074"/>
        <v/>
      </c>
      <c r="ED320" s="72" t="str">
        <f t="shared" si="4075"/>
        <v/>
      </c>
      <c r="EE320" s="72" t="str">
        <f t="shared" si="4076"/>
        <v/>
      </c>
      <c r="EF320" s="72" t="str">
        <f t="shared" si="4077"/>
        <v/>
      </c>
      <c r="EG320" s="72" t="str">
        <f t="shared" si="4078"/>
        <v/>
      </c>
      <c r="EH320" s="72" t="str">
        <f t="shared" si="4079"/>
        <v/>
      </c>
      <c r="EI320" s="72" t="str">
        <f t="shared" si="4080"/>
        <v/>
      </c>
      <c r="EJ320" s="72" t="str">
        <f t="shared" si="4081"/>
        <v/>
      </c>
      <c r="EK320" s="72" t="str">
        <f t="shared" si="4082"/>
        <v/>
      </c>
      <c r="EL320" s="72" t="str">
        <f t="shared" si="4083"/>
        <v/>
      </c>
      <c r="EM320" s="72" t="str">
        <f t="shared" si="4084"/>
        <v/>
      </c>
      <c r="EN320" s="72" t="str">
        <f t="shared" si="4085"/>
        <v/>
      </c>
      <c r="EO320" s="72" t="str">
        <f t="shared" si="4086"/>
        <v/>
      </c>
      <c r="EP320" s="72" t="str">
        <f t="shared" si="4087"/>
        <v/>
      </c>
      <c r="EQ320" s="72" t="str">
        <f t="shared" si="4088"/>
        <v/>
      </c>
      <c r="ER320" s="72" t="str">
        <f t="shared" si="4089"/>
        <v/>
      </c>
      <c r="ES320" s="72" t="str">
        <f t="shared" si="4090"/>
        <v/>
      </c>
      <c r="ET320" s="72" t="str">
        <f t="shared" si="4091"/>
        <v/>
      </c>
      <c r="EU320" s="72" t="str">
        <f t="shared" si="4092"/>
        <v/>
      </c>
      <c r="EV320" s="72" t="str">
        <f t="shared" si="4093"/>
        <v/>
      </c>
      <c r="EW320" s="72" t="str">
        <f t="shared" si="4094"/>
        <v/>
      </c>
      <c r="EX320" s="72" t="str">
        <f t="shared" si="4095"/>
        <v/>
      </c>
      <c r="EY320" s="72" t="str">
        <f t="shared" si="4096"/>
        <v/>
      </c>
      <c r="EZ320" s="72" t="str">
        <f t="shared" si="4097"/>
        <v/>
      </c>
      <c r="FA320" s="72" t="str">
        <f t="shared" si="4098"/>
        <v/>
      </c>
      <c r="FB320" s="72" t="str">
        <f t="shared" si="4099"/>
        <v/>
      </c>
      <c r="FC320" s="72" t="str">
        <f t="shared" si="4100"/>
        <v/>
      </c>
      <c r="FD320" s="72" t="str">
        <f t="shared" si="4101"/>
        <v/>
      </c>
      <c r="FE320" s="72" t="str">
        <f t="shared" si="4102"/>
        <v/>
      </c>
      <c r="FF320" s="72" t="str">
        <f t="shared" si="4103"/>
        <v/>
      </c>
      <c r="FG320" s="72" t="str">
        <f t="shared" si="4104"/>
        <v/>
      </c>
      <c r="FH320" s="72" t="str">
        <f t="shared" si="4105"/>
        <v/>
      </c>
      <c r="FI320" s="72" t="str">
        <f t="shared" si="4106"/>
        <v/>
      </c>
      <c r="FJ320" s="72" t="str">
        <f t="shared" si="4107"/>
        <v/>
      </c>
      <c r="FK320" s="72" t="str">
        <f t="shared" si="4108"/>
        <v/>
      </c>
      <c r="FL320" s="72" t="str">
        <f t="shared" si="4109"/>
        <v/>
      </c>
      <c r="FM320" s="72" t="str">
        <f t="shared" si="4110"/>
        <v/>
      </c>
      <c r="FN320" s="72" t="str">
        <f t="shared" si="4111"/>
        <v/>
      </c>
      <c r="FO320" s="72" t="str">
        <f t="shared" si="4112"/>
        <v/>
      </c>
      <c r="FP320" s="72" t="str">
        <f t="shared" si="4113"/>
        <v/>
      </c>
      <c r="FQ320" s="72" t="str">
        <f t="shared" si="4114"/>
        <v/>
      </c>
      <c r="FR320" s="72" t="str">
        <f t="shared" si="4115"/>
        <v/>
      </c>
      <c r="FS320" s="72" t="str">
        <f t="shared" si="4116"/>
        <v/>
      </c>
    </row>
    <row r="321" spans="1:175" ht="15">
      <c r="A321" s="73"/>
      <c r="B321" s="147"/>
      <c r="C321" s="73"/>
      <c r="E321" s="146"/>
      <c r="T321" s="152"/>
      <c r="U321" s="88"/>
      <c r="CU321" s="98" t="str">
        <f t="shared" si="4046"/>
        <v>|n</v>
      </c>
      <c r="CW321" s="61"/>
      <c r="CX321" s="61"/>
      <c r="CY321" s="61"/>
      <c r="CZ321" s="61"/>
      <c r="DA321" s="61"/>
      <c r="DB321" s="72" t="str">
        <f t="shared" si="4047"/>
        <v/>
      </c>
      <c r="DC321" s="72" t="str">
        <f t="shared" si="4048"/>
        <v/>
      </c>
      <c r="DD321" s="72" t="str">
        <f t="shared" si="4049"/>
        <v/>
      </c>
      <c r="DE321" s="72" t="str">
        <f t="shared" si="4050"/>
        <v/>
      </c>
      <c r="DF321" s="72" t="str">
        <f t="shared" si="4051"/>
        <v/>
      </c>
      <c r="DG321" s="72" t="str">
        <f t="shared" si="4052"/>
        <v/>
      </c>
      <c r="DH321" s="72" t="str">
        <f t="shared" si="4053"/>
        <v/>
      </c>
      <c r="DI321" s="72" t="str">
        <f t="shared" si="4054"/>
        <v/>
      </c>
      <c r="DJ321" s="72" t="str">
        <f t="shared" si="4055"/>
        <v/>
      </c>
      <c r="DK321" s="72" t="str">
        <f t="shared" si="4056"/>
        <v/>
      </c>
      <c r="DL321" s="72" t="str">
        <f t="shared" si="4057"/>
        <v/>
      </c>
      <c r="DM321" s="72" t="str">
        <f t="shared" si="4058"/>
        <v/>
      </c>
      <c r="DN321" s="72" t="str">
        <f t="shared" si="4059"/>
        <v/>
      </c>
      <c r="DO321" s="72" t="str">
        <f t="shared" si="4060"/>
        <v/>
      </c>
      <c r="DP321" s="72" t="str">
        <f t="shared" si="4061"/>
        <v/>
      </c>
      <c r="DQ321" s="72" t="str">
        <f t="shared" si="4062"/>
        <v/>
      </c>
      <c r="DR321" s="72" t="str">
        <f t="shared" si="4063"/>
        <v/>
      </c>
      <c r="DS321" s="72" t="str">
        <f t="shared" si="4064"/>
        <v/>
      </c>
      <c r="DT321" s="72" t="str">
        <f t="shared" si="4065"/>
        <v/>
      </c>
      <c r="DU321" s="72" t="str">
        <f t="shared" si="4066"/>
        <v/>
      </c>
      <c r="DV321" s="72" t="str">
        <f t="shared" si="4067"/>
        <v/>
      </c>
      <c r="DW321" s="72" t="str">
        <f t="shared" si="4068"/>
        <v/>
      </c>
      <c r="DX321" s="72" t="str">
        <f t="shared" si="4069"/>
        <v/>
      </c>
      <c r="DY321" s="72" t="str">
        <f t="shared" si="4070"/>
        <v/>
      </c>
      <c r="DZ321" s="72" t="str">
        <f t="shared" si="4071"/>
        <v/>
      </c>
      <c r="EA321" s="72" t="str">
        <f t="shared" si="4072"/>
        <v/>
      </c>
      <c r="EB321" s="72" t="str">
        <f t="shared" si="4073"/>
        <v/>
      </c>
      <c r="EC321" s="72" t="str">
        <f t="shared" si="4074"/>
        <v/>
      </c>
      <c r="ED321" s="72" t="str">
        <f t="shared" si="4075"/>
        <v/>
      </c>
      <c r="EE321" s="72" t="str">
        <f t="shared" si="4076"/>
        <v/>
      </c>
      <c r="EF321" s="72" t="str">
        <f t="shared" si="4077"/>
        <v/>
      </c>
      <c r="EG321" s="72" t="str">
        <f t="shared" si="4078"/>
        <v/>
      </c>
      <c r="EH321" s="72" t="str">
        <f t="shared" si="4079"/>
        <v/>
      </c>
      <c r="EI321" s="72" t="str">
        <f t="shared" si="4080"/>
        <v/>
      </c>
      <c r="EJ321" s="72" t="str">
        <f t="shared" si="4081"/>
        <v/>
      </c>
      <c r="EK321" s="72" t="str">
        <f t="shared" si="4082"/>
        <v/>
      </c>
      <c r="EL321" s="72" t="str">
        <f t="shared" si="4083"/>
        <v/>
      </c>
      <c r="EM321" s="72" t="str">
        <f t="shared" si="4084"/>
        <v/>
      </c>
      <c r="EN321" s="72" t="str">
        <f t="shared" si="4085"/>
        <v/>
      </c>
      <c r="EO321" s="72" t="str">
        <f t="shared" si="4086"/>
        <v/>
      </c>
      <c r="EP321" s="72" t="str">
        <f t="shared" si="4087"/>
        <v/>
      </c>
      <c r="EQ321" s="72" t="str">
        <f t="shared" si="4088"/>
        <v/>
      </c>
      <c r="ER321" s="72" t="str">
        <f t="shared" si="4089"/>
        <v/>
      </c>
      <c r="ES321" s="72" t="str">
        <f t="shared" si="4090"/>
        <v/>
      </c>
      <c r="ET321" s="72" t="str">
        <f t="shared" si="4091"/>
        <v/>
      </c>
      <c r="EU321" s="72" t="str">
        <f t="shared" si="4092"/>
        <v/>
      </c>
      <c r="EV321" s="72" t="str">
        <f t="shared" si="4093"/>
        <v/>
      </c>
      <c r="EW321" s="72" t="str">
        <f t="shared" si="4094"/>
        <v/>
      </c>
      <c r="EX321" s="72" t="str">
        <f t="shared" si="4095"/>
        <v/>
      </c>
      <c r="EY321" s="72" t="str">
        <f t="shared" si="4096"/>
        <v/>
      </c>
      <c r="EZ321" s="72" t="str">
        <f t="shared" si="4097"/>
        <v/>
      </c>
      <c r="FA321" s="72" t="str">
        <f t="shared" si="4098"/>
        <v/>
      </c>
      <c r="FB321" s="72" t="str">
        <f t="shared" si="4099"/>
        <v/>
      </c>
      <c r="FC321" s="72" t="str">
        <f t="shared" si="4100"/>
        <v/>
      </c>
      <c r="FD321" s="72" t="str">
        <f t="shared" si="4101"/>
        <v/>
      </c>
      <c r="FE321" s="72" t="str">
        <f t="shared" si="4102"/>
        <v/>
      </c>
      <c r="FF321" s="72" t="str">
        <f t="shared" si="4103"/>
        <v/>
      </c>
      <c r="FG321" s="72" t="str">
        <f t="shared" si="4104"/>
        <v/>
      </c>
      <c r="FH321" s="72" t="str">
        <f t="shared" si="4105"/>
        <v/>
      </c>
      <c r="FI321" s="72" t="str">
        <f t="shared" si="4106"/>
        <v/>
      </c>
      <c r="FJ321" s="72" t="str">
        <f t="shared" si="4107"/>
        <v/>
      </c>
      <c r="FK321" s="72" t="str">
        <f t="shared" si="4108"/>
        <v/>
      </c>
      <c r="FL321" s="72" t="str">
        <f t="shared" si="4109"/>
        <v/>
      </c>
      <c r="FM321" s="72" t="str">
        <f t="shared" si="4110"/>
        <v/>
      </c>
      <c r="FN321" s="72" t="str">
        <f t="shared" si="4111"/>
        <v/>
      </c>
      <c r="FO321" s="72" t="str">
        <f t="shared" si="4112"/>
        <v/>
      </c>
      <c r="FP321" s="72" t="str">
        <f t="shared" si="4113"/>
        <v/>
      </c>
      <c r="FQ321" s="72" t="str">
        <f t="shared" si="4114"/>
        <v/>
      </c>
      <c r="FR321" s="72" t="str">
        <f t="shared" si="4115"/>
        <v/>
      </c>
      <c r="FS321" s="72" t="str">
        <f t="shared" si="4116"/>
        <v/>
      </c>
    </row>
    <row r="322" spans="1:175" ht="15">
      <c r="A322" s="73"/>
      <c r="B322" s="147"/>
      <c r="C322" s="73"/>
      <c r="E322" s="146"/>
      <c r="T322" s="152"/>
      <c r="U322" s="88"/>
      <c r="CU322" s="98" t="str">
        <f t="shared" si="4046"/>
        <v>|n</v>
      </c>
      <c r="CW322" s="61"/>
      <c r="CX322" s="61"/>
      <c r="CY322" s="61"/>
      <c r="CZ322" s="61"/>
      <c r="DA322" s="61"/>
      <c r="DB322" s="72" t="str">
        <f t="shared" si="4047"/>
        <v/>
      </c>
      <c r="DC322" s="72" t="str">
        <f t="shared" si="4048"/>
        <v/>
      </c>
      <c r="DD322" s="72" t="str">
        <f t="shared" si="4049"/>
        <v/>
      </c>
      <c r="DE322" s="72" t="str">
        <f t="shared" si="4050"/>
        <v/>
      </c>
      <c r="DF322" s="72" t="str">
        <f t="shared" si="4051"/>
        <v/>
      </c>
      <c r="DG322" s="72" t="str">
        <f t="shared" si="4052"/>
        <v/>
      </c>
      <c r="DH322" s="72" t="str">
        <f t="shared" si="4053"/>
        <v/>
      </c>
      <c r="DI322" s="72" t="str">
        <f t="shared" si="4054"/>
        <v/>
      </c>
      <c r="DJ322" s="72" t="str">
        <f t="shared" si="4055"/>
        <v/>
      </c>
      <c r="DK322" s="72" t="str">
        <f t="shared" si="4056"/>
        <v/>
      </c>
      <c r="DL322" s="72" t="str">
        <f t="shared" si="4057"/>
        <v/>
      </c>
      <c r="DM322" s="72" t="str">
        <f t="shared" si="4058"/>
        <v/>
      </c>
      <c r="DN322" s="72" t="str">
        <f t="shared" si="4059"/>
        <v/>
      </c>
      <c r="DO322" s="72" t="str">
        <f t="shared" si="4060"/>
        <v/>
      </c>
      <c r="DP322" s="72" t="str">
        <f t="shared" si="4061"/>
        <v/>
      </c>
      <c r="DQ322" s="72" t="str">
        <f t="shared" si="4062"/>
        <v/>
      </c>
      <c r="DR322" s="72" t="str">
        <f t="shared" si="4063"/>
        <v/>
      </c>
      <c r="DS322" s="72" t="str">
        <f t="shared" si="4064"/>
        <v/>
      </c>
      <c r="DT322" s="72" t="str">
        <f t="shared" si="4065"/>
        <v/>
      </c>
      <c r="DU322" s="72" t="str">
        <f t="shared" si="4066"/>
        <v/>
      </c>
      <c r="DV322" s="72" t="str">
        <f t="shared" si="4067"/>
        <v/>
      </c>
      <c r="DW322" s="72" t="str">
        <f t="shared" si="4068"/>
        <v/>
      </c>
      <c r="DX322" s="72" t="str">
        <f t="shared" si="4069"/>
        <v/>
      </c>
      <c r="DY322" s="72" t="str">
        <f t="shared" si="4070"/>
        <v/>
      </c>
      <c r="DZ322" s="72" t="str">
        <f t="shared" si="4071"/>
        <v/>
      </c>
      <c r="EA322" s="72" t="str">
        <f t="shared" si="4072"/>
        <v/>
      </c>
      <c r="EB322" s="72" t="str">
        <f t="shared" si="4073"/>
        <v/>
      </c>
      <c r="EC322" s="72" t="str">
        <f t="shared" si="4074"/>
        <v/>
      </c>
      <c r="ED322" s="72" t="str">
        <f t="shared" si="4075"/>
        <v/>
      </c>
      <c r="EE322" s="72" t="str">
        <f t="shared" si="4076"/>
        <v/>
      </c>
      <c r="EF322" s="72" t="str">
        <f t="shared" si="4077"/>
        <v/>
      </c>
      <c r="EG322" s="72" t="str">
        <f t="shared" si="4078"/>
        <v/>
      </c>
      <c r="EH322" s="72" t="str">
        <f t="shared" si="4079"/>
        <v/>
      </c>
      <c r="EI322" s="72" t="str">
        <f t="shared" si="4080"/>
        <v/>
      </c>
      <c r="EJ322" s="72" t="str">
        <f t="shared" si="4081"/>
        <v/>
      </c>
      <c r="EK322" s="72" t="str">
        <f t="shared" si="4082"/>
        <v/>
      </c>
      <c r="EL322" s="72" t="str">
        <f t="shared" si="4083"/>
        <v/>
      </c>
      <c r="EM322" s="72" t="str">
        <f t="shared" si="4084"/>
        <v/>
      </c>
      <c r="EN322" s="72" t="str">
        <f t="shared" si="4085"/>
        <v/>
      </c>
      <c r="EO322" s="72" t="str">
        <f t="shared" si="4086"/>
        <v/>
      </c>
      <c r="EP322" s="72" t="str">
        <f t="shared" si="4087"/>
        <v/>
      </c>
      <c r="EQ322" s="72" t="str">
        <f t="shared" si="4088"/>
        <v/>
      </c>
      <c r="ER322" s="72" t="str">
        <f t="shared" si="4089"/>
        <v/>
      </c>
      <c r="ES322" s="72" t="str">
        <f t="shared" si="4090"/>
        <v/>
      </c>
      <c r="ET322" s="72" t="str">
        <f t="shared" si="4091"/>
        <v/>
      </c>
      <c r="EU322" s="72" t="str">
        <f t="shared" si="4092"/>
        <v/>
      </c>
      <c r="EV322" s="72" t="str">
        <f t="shared" si="4093"/>
        <v/>
      </c>
      <c r="EW322" s="72" t="str">
        <f t="shared" si="4094"/>
        <v/>
      </c>
      <c r="EX322" s="72" t="str">
        <f t="shared" si="4095"/>
        <v/>
      </c>
      <c r="EY322" s="72" t="str">
        <f t="shared" si="4096"/>
        <v/>
      </c>
      <c r="EZ322" s="72" t="str">
        <f t="shared" si="4097"/>
        <v/>
      </c>
      <c r="FA322" s="72" t="str">
        <f t="shared" si="4098"/>
        <v/>
      </c>
      <c r="FB322" s="72" t="str">
        <f t="shared" si="4099"/>
        <v/>
      </c>
      <c r="FC322" s="72" t="str">
        <f t="shared" si="4100"/>
        <v/>
      </c>
      <c r="FD322" s="72" t="str">
        <f t="shared" si="4101"/>
        <v/>
      </c>
      <c r="FE322" s="72" t="str">
        <f t="shared" si="4102"/>
        <v/>
      </c>
      <c r="FF322" s="72" t="str">
        <f t="shared" si="4103"/>
        <v/>
      </c>
      <c r="FG322" s="72" t="str">
        <f t="shared" si="4104"/>
        <v/>
      </c>
      <c r="FH322" s="72" t="str">
        <f t="shared" si="4105"/>
        <v/>
      </c>
      <c r="FI322" s="72" t="str">
        <f t="shared" si="4106"/>
        <v/>
      </c>
      <c r="FJ322" s="72" t="str">
        <f t="shared" si="4107"/>
        <v/>
      </c>
      <c r="FK322" s="72" t="str">
        <f t="shared" si="4108"/>
        <v/>
      </c>
      <c r="FL322" s="72" t="str">
        <f t="shared" si="4109"/>
        <v/>
      </c>
      <c r="FM322" s="72" t="str">
        <f t="shared" si="4110"/>
        <v/>
      </c>
      <c r="FN322" s="72" t="str">
        <f t="shared" si="4111"/>
        <v/>
      </c>
      <c r="FO322" s="72" t="str">
        <f t="shared" si="4112"/>
        <v/>
      </c>
      <c r="FP322" s="72" t="str">
        <f t="shared" si="4113"/>
        <v/>
      </c>
      <c r="FQ322" s="72" t="str">
        <f t="shared" si="4114"/>
        <v/>
      </c>
      <c r="FR322" s="72" t="str">
        <f t="shared" si="4115"/>
        <v/>
      </c>
      <c r="FS322" s="72" t="str">
        <f t="shared" si="4116"/>
        <v/>
      </c>
    </row>
    <row r="323" spans="1:175" ht="15">
      <c r="A323" s="73"/>
      <c r="B323" s="147"/>
      <c r="C323" s="73"/>
      <c r="E323" s="146"/>
      <c r="T323" s="152"/>
      <c r="U323" s="88"/>
      <c r="CU323" s="98" t="str">
        <f t="shared" si="4046"/>
        <v>|n</v>
      </c>
      <c r="CW323" s="61"/>
      <c r="CX323" s="61"/>
      <c r="CY323" s="61"/>
      <c r="CZ323" s="61"/>
      <c r="DA323" s="61"/>
      <c r="DB323" s="72" t="str">
        <f t="shared" si="4047"/>
        <v/>
      </c>
      <c r="DC323" s="72" t="str">
        <f t="shared" si="4048"/>
        <v/>
      </c>
      <c r="DD323" s="72" t="str">
        <f t="shared" si="4049"/>
        <v/>
      </c>
      <c r="DE323" s="72" t="str">
        <f t="shared" si="4050"/>
        <v/>
      </c>
      <c r="DF323" s="72" t="str">
        <f t="shared" si="4051"/>
        <v/>
      </c>
      <c r="DG323" s="72" t="str">
        <f t="shared" si="4052"/>
        <v/>
      </c>
      <c r="DH323" s="72" t="str">
        <f t="shared" si="4053"/>
        <v/>
      </c>
      <c r="DI323" s="72" t="str">
        <f t="shared" si="4054"/>
        <v/>
      </c>
      <c r="DJ323" s="72" t="str">
        <f t="shared" si="4055"/>
        <v/>
      </c>
      <c r="DK323" s="72" t="str">
        <f t="shared" si="4056"/>
        <v/>
      </c>
      <c r="DL323" s="72" t="str">
        <f t="shared" si="4057"/>
        <v/>
      </c>
      <c r="DM323" s="72" t="str">
        <f t="shared" si="4058"/>
        <v/>
      </c>
      <c r="DN323" s="72" t="str">
        <f t="shared" si="4059"/>
        <v/>
      </c>
      <c r="DO323" s="72" t="str">
        <f t="shared" si="4060"/>
        <v/>
      </c>
      <c r="DP323" s="72" t="str">
        <f t="shared" si="4061"/>
        <v/>
      </c>
      <c r="DQ323" s="72" t="str">
        <f t="shared" si="4062"/>
        <v/>
      </c>
      <c r="DR323" s="72" t="str">
        <f t="shared" si="4063"/>
        <v/>
      </c>
      <c r="DS323" s="72" t="str">
        <f t="shared" si="4064"/>
        <v/>
      </c>
      <c r="DT323" s="72" t="str">
        <f t="shared" si="4065"/>
        <v/>
      </c>
      <c r="DU323" s="72" t="str">
        <f t="shared" si="4066"/>
        <v/>
      </c>
      <c r="DV323" s="72" t="str">
        <f t="shared" si="4067"/>
        <v/>
      </c>
      <c r="DW323" s="72" t="str">
        <f t="shared" si="4068"/>
        <v/>
      </c>
      <c r="DX323" s="72" t="str">
        <f t="shared" si="4069"/>
        <v/>
      </c>
      <c r="DY323" s="72" t="str">
        <f t="shared" si="4070"/>
        <v/>
      </c>
      <c r="DZ323" s="72" t="str">
        <f t="shared" si="4071"/>
        <v/>
      </c>
      <c r="EA323" s="72" t="str">
        <f t="shared" si="4072"/>
        <v/>
      </c>
      <c r="EB323" s="72" t="str">
        <f t="shared" si="4073"/>
        <v/>
      </c>
      <c r="EC323" s="72" t="str">
        <f t="shared" si="4074"/>
        <v/>
      </c>
      <c r="ED323" s="72" t="str">
        <f t="shared" si="4075"/>
        <v/>
      </c>
      <c r="EE323" s="72" t="str">
        <f t="shared" si="4076"/>
        <v/>
      </c>
      <c r="EF323" s="72" t="str">
        <f t="shared" si="4077"/>
        <v/>
      </c>
      <c r="EG323" s="72" t="str">
        <f t="shared" si="4078"/>
        <v/>
      </c>
      <c r="EH323" s="72" t="str">
        <f t="shared" si="4079"/>
        <v/>
      </c>
      <c r="EI323" s="72" t="str">
        <f t="shared" si="4080"/>
        <v/>
      </c>
      <c r="EJ323" s="72" t="str">
        <f t="shared" si="4081"/>
        <v/>
      </c>
      <c r="EK323" s="72" t="str">
        <f t="shared" si="4082"/>
        <v/>
      </c>
      <c r="EL323" s="72" t="str">
        <f t="shared" si="4083"/>
        <v/>
      </c>
      <c r="EM323" s="72" t="str">
        <f t="shared" si="4084"/>
        <v/>
      </c>
      <c r="EN323" s="72" t="str">
        <f t="shared" si="4085"/>
        <v/>
      </c>
      <c r="EO323" s="72" t="str">
        <f t="shared" si="4086"/>
        <v/>
      </c>
      <c r="EP323" s="72" t="str">
        <f t="shared" si="4087"/>
        <v/>
      </c>
      <c r="EQ323" s="72" t="str">
        <f t="shared" si="4088"/>
        <v/>
      </c>
      <c r="ER323" s="72" t="str">
        <f t="shared" si="4089"/>
        <v/>
      </c>
      <c r="ES323" s="72" t="str">
        <f t="shared" si="4090"/>
        <v/>
      </c>
      <c r="ET323" s="72" t="str">
        <f t="shared" si="4091"/>
        <v/>
      </c>
      <c r="EU323" s="72" t="str">
        <f t="shared" si="4092"/>
        <v/>
      </c>
      <c r="EV323" s="72" t="str">
        <f t="shared" si="4093"/>
        <v/>
      </c>
      <c r="EW323" s="72" t="str">
        <f t="shared" si="4094"/>
        <v/>
      </c>
      <c r="EX323" s="72" t="str">
        <f t="shared" si="4095"/>
        <v/>
      </c>
      <c r="EY323" s="72" t="str">
        <f t="shared" si="4096"/>
        <v/>
      </c>
      <c r="EZ323" s="72" t="str">
        <f t="shared" si="4097"/>
        <v/>
      </c>
      <c r="FA323" s="72" t="str">
        <f t="shared" si="4098"/>
        <v/>
      </c>
      <c r="FB323" s="72" t="str">
        <f t="shared" si="4099"/>
        <v/>
      </c>
      <c r="FC323" s="72" t="str">
        <f t="shared" si="4100"/>
        <v/>
      </c>
      <c r="FD323" s="72" t="str">
        <f t="shared" si="4101"/>
        <v/>
      </c>
      <c r="FE323" s="72" t="str">
        <f t="shared" si="4102"/>
        <v/>
      </c>
      <c r="FF323" s="72" t="str">
        <f t="shared" si="4103"/>
        <v/>
      </c>
      <c r="FG323" s="72" t="str">
        <f t="shared" si="4104"/>
        <v/>
      </c>
      <c r="FH323" s="72" t="str">
        <f t="shared" si="4105"/>
        <v/>
      </c>
      <c r="FI323" s="72" t="str">
        <f t="shared" si="4106"/>
        <v/>
      </c>
      <c r="FJ323" s="72" t="str">
        <f t="shared" si="4107"/>
        <v/>
      </c>
      <c r="FK323" s="72" t="str">
        <f t="shared" si="4108"/>
        <v/>
      </c>
      <c r="FL323" s="72" t="str">
        <f t="shared" si="4109"/>
        <v/>
      </c>
      <c r="FM323" s="72" t="str">
        <f t="shared" si="4110"/>
        <v/>
      </c>
      <c r="FN323" s="72" t="str">
        <f t="shared" si="4111"/>
        <v/>
      </c>
      <c r="FO323" s="72" t="str">
        <f t="shared" si="4112"/>
        <v/>
      </c>
      <c r="FP323" s="72" t="str">
        <f t="shared" si="4113"/>
        <v/>
      </c>
      <c r="FQ323" s="72" t="str">
        <f t="shared" si="4114"/>
        <v/>
      </c>
      <c r="FR323" s="72" t="str">
        <f t="shared" si="4115"/>
        <v/>
      </c>
      <c r="FS323" s="72" t="str">
        <f t="shared" si="4116"/>
        <v/>
      </c>
    </row>
    <row r="324" spans="1:175">
      <c r="CN324" s="70" t="str">
        <f t="shared" ref="CN324:CN355" si="4282">"InitUnitState('"&amp;B324&amp;"',"&amp;V324&amp;","&amp;W324&amp;","&amp;X324&amp;","&amp;Y324&amp;","&amp;Z324&amp;","&amp;AA324&amp;","&amp;AB324&amp;","&amp;AC324&amp;","&amp;AD324&amp;","&amp;AE324&amp;")"</f>
        <v>InitUnitState('',,,,,,,,,,)</v>
      </c>
      <c r="CO324" s="70" t="str">
        <f t="shared" ref="CO324:CO355" si="4283">"InitUnitNormal('"&amp;B324&amp;"',"&amp;AF324&amp;","&amp;AG324&amp;","&amp;AH324&amp;","&amp;AI324&amp;","&amp;AJ324&amp;","&amp;AK324&amp;","&amp;AL324&amp;","&amp;AM324&amp;","&amp;AN324&amp;","&amp;AO324&amp;")"</f>
        <v>InitUnitNormal('',,,,,,,,,,)</v>
      </c>
      <c r="CP324" s="70" t="str">
        <f t="shared" ref="CP324:CP355" si="4284">"InitUnitMagic('"&amp;B324&amp;"',"&amp;AP324&amp;","&amp;AQ324&amp;","&amp;AR324&amp;","&amp;AS324&amp;","&amp;AT324&amp;","&amp;AU324&amp;","&amp;AV324&amp;","&amp;AW324&amp;","&amp;BI324&amp;","&amp;BJ324&amp;")"</f>
        <v>InitUnitMagic('',,,,,,,,,,)</v>
      </c>
      <c r="CQ324" s="70" t="str">
        <f t="shared" ref="CQ324:CQ355" si="4285">"InitUnitAdd('"&amp;B324&amp;"',"&amp;BK324&amp;","&amp;BL324&amp;","&amp;BM324&amp;","&amp;BN324&amp;","&amp;BO324&amp;","&amp;BP324&amp;","&amp;BQ324&amp;","&amp;BR324&amp;","&amp;BS324&amp;","&amp;BT324&amp;")"</f>
        <v>InitUnitAdd('',,,,,,,,,,)</v>
      </c>
      <c r="CR324" s="70" t="str">
        <f t="shared" ref="CR324:CR355" si="4286"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325&amp;CR$1&amp;")"</f>
        <v>InitEquipData('',,"",,,,,'','','','','','',"")</v>
      </c>
      <c r="CU324" s="71" t="str">
        <f t="shared" ref="CU324:CU336" si="4287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1"/>
      <c r="CX324" s="61"/>
      <c r="CY324" s="61"/>
      <c r="CZ324" s="61"/>
      <c r="DA324" s="61"/>
      <c r="DB324" s="72" t="str">
        <f t="shared" ref="DB324:DB344" si="4288">IF(V324="","","|n"&amp;DB$2&amp;"+"&amp;V324&amp;DB$1)</f>
        <v/>
      </c>
      <c r="DC324" s="72" t="str">
        <f t="shared" ref="DC324:DC344" si="4289">IF(W324="","","|n"&amp;DC$2&amp;"+"&amp;W324&amp;DC$1)</f>
        <v/>
      </c>
      <c r="DD324" s="72" t="str">
        <f t="shared" ref="DD324:DD344" si="4290">IF(X324="","","|n"&amp;DD$2&amp;"+"&amp;X324&amp;DD$1)</f>
        <v/>
      </c>
      <c r="DE324" s="72" t="str">
        <f t="shared" ref="DE324:DE344" si="4291">IF(Y324="","","|n"&amp;DE$2&amp;"+"&amp;Y324&amp;DE$1)</f>
        <v/>
      </c>
      <c r="DF324" s="72" t="str">
        <f t="shared" ref="DF324:DF344" si="4292">IF(Z324="","","|n"&amp;DF$2&amp;"+"&amp;Z324&amp;DF$1)</f>
        <v/>
      </c>
      <c r="DG324" s="72" t="str">
        <f t="shared" ref="DG324:DG344" si="4293">IF(AA324="","","|n"&amp;DG$2&amp;"+"&amp;AA324&amp;DG$1)</f>
        <v/>
      </c>
      <c r="DH324" s="72" t="str">
        <f t="shared" ref="DH324:DH344" si="4294">IF(AB324="","","|n"&amp;DH$2&amp;"+"&amp;AB324&amp;DH$1)</f>
        <v/>
      </c>
      <c r="DI324" s="72" t="str">
        <f t="shared" ref="DI324:DI344" si="4295">IF(AC324="","","|n"&amp;DI$2&amp;"+"&amp;AC324&amp;DI$1)</f>
        <v/>
      </c>
      <c r="DJ324" s="72" t="str">
        <f t="shared" ref="DJ324:DJ344" si="4296">IF(AD324="","","|n"&amp;DJ$2&amp;"+"&amp;AD324&amp;DJ$1)</f>
        <v/>
      </c>
      <c r="DK324" s="72" t="str">
        <f t="shared" ref="DK324:DK344" si="4297">IF(AE324="","","|n"&amp;DK$2&amp;"+"&amp;AE324&amp;DK$1)</f>
        <v/>
      </c>
      <c r="DL324" s="72" t="str">
        <f t="shared" ref="DL324:DL344" si="4298">IF(AF324="","","|n"&amp;DL$2&amp;"+"&amp;AF324&amp;DL$1)</f>
        <v/>
      </c>
      <c r="DM324" s="72" t="str">
        <f t="shared" ref="DM324:DM344" si="4299">IF(AG324="","","|n"&amp;DM$2&amp;"+"&amp;AG324&amp;DM$1)</f>
        <v/>
      </c>
      <c r="DN324" s="72" t="str">
        <f t="shared" ref="DN324:DN344" si="4300">IF(AH324="","","|n"&amp;DN$2&amp;"+"&amp;AH324&amp;DN$1)</f>
        <v/>
      </c>
      <c r="DO324" s="72" t="str">
        <f t="shared" ref="DO324:DO344" si="4301">IF(AI324="","","|n"&amp;DO$2&amp;"+"&amp;AI324&amp;DO$1)</f>
        <v/>
      </c>
      <c r="DP324" s="72" t="str">
        <f t="shared" ref="DP324:DP344" si="4302">IF(AJ324="","","|n"&amp;DP$2&amp;"+"&amp;AJ324&amp;DP$1)</f>
        <v/>
      </c>
      <c r="DQ324" s="72" t="str">
        <f t="shared" ref="DQ324:DQ344" si="4303">IF(AK324="","","|n"&amp;DQ$2&amp;"+"&amp;AK324&amp;DQ$1)</f>
        <v/>
      </c>
      <c r="DR324" s="72" t="str">
        <f t="shared" ref="DR324:DR344" si="4304">IF(AL324="","","|n"&amp;DR$2&amp;"+"&amp;AL324&amp;DR$1)</f>
        <v/>
      </c>
      <c r="DS324" s="72" t="str">
        <f t="shared" ref="DS324:DS344" si="4305">IF(AM324="","","|n"&amp;DS$2&amp;"+"&amp;AM324&amp;DS$1)</f>
        <v/>
      </c>
      <c r="DT324" s="72" t="str">
        <f t="shared" ref="DT324:DT344" si="4306">IF(AN324="","","|n"&amp;DT$2&amp;"+"&amp;AN324&amp;DT$1)</f>
        <v/>
      </c>
      <c r="DU324" s="72" t="str">
        <f t="shared" ref="DU324:DU344" si="4307">IF(AO324="","","|n"&amp;DU$2&amp;"+"&amp;AO324&amp;DU$1)</f>
        <v/>
      </c>
      <c r="DV324" s="72" t="str">
        <f t="shared" ref="DV324:DV344" si="4308">IF(AP324="","","|n"&amp;DV$2&amp;"+"&amp;AP324&amp;DV$1)</f>
        <v/>
      </c>
      <c r="DW324" s="72" t="str">
        <f t="shared" ref="DW324:DW344" si="4309">IF(AQ324="","","|n"&amp;DW$2&amp;"+"&amp;AQ324&amp;DW$1)</f>
        <v/>
      </c>
      <c r="DX324" s="72" t="str">
        <f t="shared" ref="DX324:DX344" si="4310">IF(AR324="","","|n"&amp;DX$2&amp;"+"&amp;AR324&amp;DX$1)</f>
        <v/>
      </c>
      <c r="DY324" s="72" t="str">
        <f t="shared" ref="DY324:DY344" si="4311">IF(AS324="","","|n"&amp;DY$2&amp;"+"&amp;AS324&amp;DY$1)</f>
        <v/>
      </c>
      <c r="DZ324" s="72" t="str">
        <f t="shared" ref="DZ324:DZ344" si="4312">IF(AT324="","","|n"&amp;DZ$2&amp;"+"&amp;AT324&amp;DZ$1)</f>
        <v/>
      </c>
      <c r="EA324" s="72" t="str">
        <f t="shared" ref="EA324:EA344" si="4313">IF(AU324="","","|n"&amp;EA$2&amp;"+"&amp;AU324&amp;EA$1)</f>
        <v/>
      </c>
      <c r="EB324" s="72" t="str">
        <f t="shared" ref="EB324:EB344" si="4314">IF(AV324="","","|n"&amp;EB$2&amp;"+"&amp;AV324&amp;EB$1)</f>
        <v/>
      </c>
      <c r="EC324" s="72" t="str">
        <f t="shared" ref="EC324:EC344" si="4315">IF(AW324="","","|n"&amp;EC$2&amp;"+"&amp;AW324&amp;EC$1)</f>
        <v/>
      </c>
      <c r="ED324" s="72" t="str">
        <f t="shared" ref="ED324:ED344" si="4316">IF(AX324="","","|n"&amp;ED$2&amp;"+"&amp;AX324&amp;ED$1)</f>
        <v/>
      </c>
      <c r="EE324" s="72" t="str">
        <f t="shared" ref="EE324:EE344" si="4317">IF(AY324="","","|n"&amp;EE$2&amp;"+"&amp;AY324&amp;EE$1)</f>
        <v/>
      </c>
      <c r="EF324" s="72" t="str">
        <f t="shared" ref="EF324:EF344" si="4318">IF(AZ324="","","|n"&amp;EF$2&amp;"+"&amp;AZ324&amp;EF$1)</f>
        <v/>
      </c>
      <c r="EG324" s="72" t="str">
        <f t="shared" ref="EG324:EG344" si="4319">IF(BA324="","","|n"&amp;EG$2&amp;"+"&amp;BA324&amp;EG$1)</f>
        <v/>
      </c>
      <c r="EH324" s="72" t="str">
        <f t="shared" ref="EH324:EH344" si="4320">IF(BB324="","","|n"&amp;EH$2&amp;"+"&amp;BB324&amp;EH$1)</f>
        <v/>
      </c>
      <c r="EI324" s="72" t="str">
        <f t="shared" ref="EI324:EI344" si="4321">IF(BC324="","","|n"&amp;EI$2&amp;"+"&amp;BC324&amp;EI$1)</f>
        <v/>
      </c>
      <c r="EJ324" s="72" t="str">
        <f t="shared" ref="EJ324:EJ344" si="4322">IF(BD324="","","|n"&amp;EJ$2&amp;"+"&amp;BD324&amp;EJ$1)</f>
        <v/>
      </c>
      <c r="EK324" s="72" t="str">
        <f t="shared" ref="EK324:EK344" si="4323">IF(BE324="","","|n"&amp;EK$2&amp;"+"&amp;BE324&amp;EK$1)</f>
        <v/>
      </c>
      <c r="EL324" s="72" t="str">
        <f t="shared" ref="EL324:EL344" si="4324">IF(BF324="","","|n"&amp;EL$2&amp;"+"&amp;BF324&amp;EL$1)</f>
        <v/>
      </c>
      <c r="EM324" s="72" t="str">
        <f t="shared" ref="EM324:EM344" si="4325">IF(BG324="","","|n"&amp;EM$2&amp;"+"&amp;BG324&amp;EM$1)</f>
        <v/>
      </c>
      <c r="EN324" s="72" t="str">
        <f t="shared" ref="EN324:EN344" si="4326">IF(BH324="","","|n"&amp;EN$2&amp;"+"&amp;BH324&amp;EN$1)</f>
        <v/>
      </c>
      <c r="EO324" s="72" t="str">
        <f t="shared" ref="EO324:EO344" si="4327">IF(BI324="","","|n"&amp;EO$2&amp;"+"&amp;BI324&amp;EO$1)</f>
        <v/>
      </c>
      <c r="EP324" s="72" t="str">
        <f t="shared" ref="EP324:EP344" si="4328">IF(BJ324="","","|n"&amp;EP$2&amp;"+"&amp;BJ324&amp;EP$1)</f>
        <v/>
      </c>
      <c r="EQ324" s="72" t="str">
        <f t="shared" ref="EQ324:EQ344" si="4329">IF(BK324="","","|n"&amp;EQ$2&amp;"+"&amp;BK324&amp;EQ$1)</f>
        <v/>
      </c>
      <c r="ER324" s="72" t="str">
        <f t="shared" ref="ER324:ER344" si="4330">IF(BL324="","","|n"&amp;ER$2&amp;"+"&amp;BL324&amp;ER$1)</f>
        <v/>
      </c>
      <c r="ES324" s="72" t="str">
        <f t="shared" ref="ES324:ES344" si="4331">IF(BM324="","","|n"&amp;ES$2&amp;"+"&amp;BM324&amp;ES$1)</f>
        <v/>
      </c>
      <c r="ET324" s="72" t="str">
        <f t="shared" ref="ET324:ET344" si="4332">IF(BN324="","","|n"&amp;ET$2&amp;"+"&amp;BN324&amp;ET$1)</f>
        <v/>
      </c>
      <c r="EU324" s="72" t="str">
        <f t="shared" ref="EU324:EU344" si="4333">IF(BO324="","","|n"&amp;EU$2&amp;"+"&amp;BO324&amp;EU$1)</f>
        <v/>
      </c>
      <c r="EV324" s="72" t="str">
        <f t="shared" ref="EV324:EV344" si="4334">IF(BP324="","","|n"&amp;EV$2&amp;"+"&amp;BP324&amp;EV$1)</f>
        <v/>
      </c>
      <c r="EW324" s="72" t="str">
        <f t="shared" ref="EW324:EW344" si="4335">IF(BQ324="","","|n"&amp;EW$2&amp;"+"&amp;BQ324&amp;EW$1)</f>
        <v/>
      </c>
      <c r="EX324" s="72" t="str">
        <f t="shared" ref="EX324:EX344" si="4336">IF(BR324="","","|n"&amp;EX$2&amp;"+"&amp;BR324&amp;EX$1)</f>
        <v/>
      </c>
      <c r="EY324" s="72" t="str">
        <f t="shared" ref="EY324:EY344" si="4337">IF(BS324="","","|n"&amp;EY$2&amp;"+"&amp;BS324&amp;EY$1)</f>
        <v/>
      </c>
      <c r="EZ324" s="72" t="str">
        <f t="shared" ref="EZ324:EZ344" si="4338">IF(BT324="","","|n"&amp;EZ$2&amp;"+"&amp;BT324&amp;EZ$1)</f>
        <v/>
      </c>
      <c r="FA324" s="72" t="str">
        <f t="shared" ref="FA324:FA344" si="4339">IF(BU324="","","|n"&amp;FA$2&amp;"+"&amp;BU324&amp;FA$1)</f>
        <v/>
      </c>
      <c r="FB324" s="72" t="str">
        <f t="shared" ref="FB324:FB344" si="4340">IF(BV324="","","|n"&amp;FB$2&amp;"+"&amp;BV324&amp;FB$1)</f>
        <v/>
      </c>
      <c r="FC324" s="72" t="str">
        <f t="shared" ref="FC324:FC344" si="4341">IF(BW324="","","|n"&amp;FC$2&amp;"+"&amp;BW324&amp;FC$1)</f>
        <v/>
      </c>
      <c r="FD324" s="72" t="str">
        <f t="shared" ref="FD324:FD344" si="4342">IF(BX324="","","|n"&amp;FD$2&amp;"+"&amp;BX324&amp;FD$1)</f>
        <v/>
      </c>
      <c r="FE324" s="72" t="str">
        <f t="shared" ref="FE324:FE344" si="4343">IF(BY324="","","|n"&amp;FE$2&amp;"+"&amp;BY324&amp;FE$1)</f>
        <v/>
      </c>
      <c r="FF324" s="72" t="str">
        <f t="shared" ref="FF324:FF344" si="4344">IF(BZ324="","","|n"&amp;FF$2&amp;"+"&amp;BZ324&amp;FF$1)</f>
        <v/>
      </c>
      <c r="FG324" s="72" t="str">
        <f t="shared" ref="FG324:FG344" si="4345">IF(CA324="","","|n"&amp;FG$2&amp;"+"&amp;CA324&amp;FG$1)</f>
        <v/>
      </c>
      <c r="FH324" s="72" t="str">
        <f t="shared" ref="FH324:FH344" si="4346">IF(CB324="","","|n"&amp;FH$2&amp;"+"&amp;CB324&amp;FH$1)</f>
        <v/>
      </c>
      <c r="FI324" s="72" t="str">
        <f t="shared" ref="FI324:FI344" si="4347">IF(CC324="","","|n"&amp;FI$2&amp;"+"&amp;CC324&amp;FI$1)</f>
        <v/>
      </c>
      <c r="FJ324" s="72" t="str">
        <f t="shared" ref="FJ324:FJ344" si="4348">IF(CD324="","","|n"&amp;FJ$2&amp;"+"&amp;CD324&amp;FJ$1)</f>
        <v/>
      </c>
      <c r="FK324" s="72" t="str">
        <f t="shared" ref="FK324:FK344" si="4349">IF(CE324="","","|n"&amp;FK$2&amp;"+"&amp;CE324&amp;FK$1)</f>
        <v/>
      </c>
      <c r="FL324" s="72" t="str">
        <f t="shared" ref="FL324:FL344" si="4350">IF(CF324="","","|n"&amp;FL$2&amp;"+"&amp;CF324&amp;FL$1)</f>
        <v/>
      </c>
      <c r="FM324" s="72" t="str">
        <f t="shared" ref="FM324:FM344" si="4351">IF(CG324="","","|n"&amp;FM$2&amp;"+"&amp;CG324&amp;FM$1)</f>
        <v/>
      </c>
      <c r="FN324" s="72" t="str">
        <f t="shared" ref="FN324:FN344" si="4352">IF(CH324="","","|n"&amp;FN$2&amp;"+"&amp;CH324&amp;FN$1)</f>
        <v/>
      </c>
      <c r="FO324" s="72" t="str">
        <f t="shared" ref="FO324:FO344" si="4353">IF(CI324="","","|n"&amp;FO$2&amp;"+"&amp;CI324&amp;FO$1)</f>
        <v/>
      </c>
      <c r="FP324" s="72" t="str">
        <f t="shared" ref="FP324:FP344" si="4354">IF(CJ324="","","|n"&amp;FP$2&amp;"+"&amp;CJ324&amp;FP$1)</f>
        <v/>
      </c>
      <c r="FQ324" s="72" t="str">
        <f t="shared" ref="FQ324:FQ344" si="4355">IF(CK324="","","|n"&amp;FQ$2&amp;"+"&amp;CK324&amp;FQ$1)</f>
        <v/>
      </c>
      <c r="FR324" s="72" t="str">
        <f t="shared" ref="FR324:FR344" si="4356">IF(CL324="","","|n"&amp;FR$2&amp;"+"&amp;CL324&amp;FR$1)</f>
        <v/>
      </c>
      <c r="FS324" s="72" t="str">
        <f t="shared" ref="FS324:FS344" si="4357">IF(CM324="","","|n"&amp;FS$2&amp;"+"&amp;CM324&amp;FS$1)</f>
        <v/>
      </c>
    </row>
    <row r="325" spans="1:175">
      <c r="CN325" s="70" t="str">
        <f t="shared" si="4282"/>
        <v>InitUnitState('',,,,,,,,,,)</v>
      </c>
      <c r="CO325" s="70" t="str">
        <f t="shared" si="4283"/>
        <v>InitUnitNormal('',,,,,,,,,,)</v>
      </c>
      <c r="CP325" s="70" t="str">
        <f t="shared" si="4284"/>
        <v>InitUnitMagic('',,,,,,,,,,)</v>
      </c>
      <c r="CQ325" s="70" t="str">
        <f t="shared" si="4285"/>
        <v>InitUnitAdd('',,,,,,,,,,)</v>
      </c>
      <c r="CR325" s="70" t="str">
        <f t="shared" si="4286"/>
        <v>InitEquipData('',,"",,,,,'','','','','','',"")</v>
      </c>
      <c r="CU325" s="71" t="str">
        <f t="shared" si="4287"/>
        <v>|n</v>
      </c>
      <c r="CW325" s="61"/>
      <c r="CX325" s="61"/>
      <c r="CY325" s="61"/>
      <c r="CZ325" s="61"/>
      <c r="DA325" s="61"/>
      <c r="DB325" s="72" t="str">
        <f t="shared" si="4288"/>
        <v/>
      </c>
      <c r="DC325" s="72" t="str">
        <f t="shared" si="4289"/>
        <v/>
      </c>
      <c r="DD325" s="72" t="str">
        <f t="shared" si="4290"/>
        <v/>
      </c>
      <c r="DE325" s="72" t="str">
        <f t="shared" si="4291"/>
        <v/>
      </c>
      <c r="DF325" s="72" t="str">
        <f t="shared" si="4292"/>
        <v/>
      </c>
      <c r="DG325" s="72" t="str">
        <f t="shared" si="4293"/>
        <v/>
      </c>
      <c r="DH325" s="72" t="str">
        <f t="shared" si="4294"/>
        <v/>
      </c>
      <c r="DI325" s="72" t="str">
        <f t="shared" si="4295"/>
        <v/>
      </c>
      <c r="DJ325" s="72" t="str">
        <f t="shared" si="4296"/>
        <v/>
      </c>
      <c r="DK325" s="72" t="str">
        <f t="shared" si="4297"/>
        <v/>
      </c>
      <c r="DL325" s="72" t="str">
        <f t="shared" si="4298"/>
        <v/>
      </c>
      <c r="DM325" s="72" t="str">
        <f t="shared" si="4299"/>
        <v/>
      </c>
      <c r="DN325" s="72" t="str">
        <f t="shared" si="4300"/>
        <v/>
      </c>
      <c r="DO325" s="72" t="str">
        <f t="shared" si="4301"/>
        <v/>
      </c>
      <c r="DP325" s="72" t="str">
        <f t="shared" si="4302"/>
        <v/>
      </c>
      <c r="DQ325" s="72" t="str">
        <f t="shared" si="4303"/>
        <v/>
      </c>
      <c r="DR325" s="72" t="str">
        <f t="shared" si="4304"/>
        <v/>
      </c>
      <c r="DS325" s="72" t="str">
        <f t="shared" si="4305"/>
        <v/>
      </c>
      <c r="DT325" s="72" t="str">
        <f t="shared" si="4306"/>
        <v/>
      </c>
      <c r="DU325" s="72" t="str">
        <f t="shared" si="4307"/>
        <v/>
      </c>
      <c r="DV325" s="72" t="str">
        <f t="shared" si="4308"/>
        <v/>
      </c>
      <c r="DW325" s="72" t="str">
        <f t="shared" si="4309"/>
        <v/>
      </c>
      <c r="DX325" s="72" t="str">
        <f t="shared" si="4310"/>
        <v/>
      </c>
      <c r="DY325" s="72" t="str">
        <f t="shared" si="4311"/>
        <v/>
      </c>
      <c r="DZ325" s="72" t="str">
        <f t="shared" si="4312"/>
        <v/>
      </c>
      <c r="EA325" s="72" t="str">
        <f t="shared" si="4313"/>
        <v/>
      </c>
      <c r="EB325" s="72" t="str">
        <f t="shared" si="4314"/>
        <v/>
      </c>
      <c r="EC325" s="72" t="str">
        <f t="shared" si="4315"/>
        <v/>
      </c>
      <c r="ED325" s="72" t="str">
        <f t="shared" si="4316"/>
        <v/>
      </c>
      <c r="EE325" s="72" t="str">
        <f t="shared" si="4317"/>
        <v/>
      </c>
      <c r="EF325" s="72" t="str">
        <f t="shared" si="4318"/>
        <v/>
      </c>
      <c r="EG325" s="72" t="str">
        <f t="shared" si="4319"/>
        <v/>
      </c>
      <c r="EH325" s="72" t="str">
        <f t="shared" si="4320"/>
        <v/>
      </c>
      <c r="EI325" s="72" t="str">
        <f t="shared" si="4321"/>
        <v/>
      </c>
      <c r="EJ325" s="72" t="str">
        <f t="shared" si="4322"/>
        <v/>
      </c>
      <c r="EK325" s="72" t="str">
        <f t="shared" si="4323"/>
        <v/>
      </c>
      <c r="EL325" s="72" t="str">
        <f t="shared" si="4324"/>
        <v/>
      </c>
      <c r="EM325" s="72" t="str">
        <f t="shared" si="4325"/>
        <v/>
      </c>
      <c r="EN325" s="72" t="str">
        <f t="shared" si="4326"/>
        <v/>
      </c>
      <c r="EO325" s="72" t="str">
        <f t="shared" si="4327"/>
        <v/>
      </c>
      <c r="EP325" s="72" t="str">
        <f t="shared" si="4328"/>
        <v/>
      </c>
      <c r="EQ325" s="72" t="str">
        <f t="shared" si="4329"/>
        <v/>
      </c>
      <c r="ER325" s="72" t="str">
        <f t="shared" si="4330"/>
        <v/>
      </c>
      <c r="ES325" s="72" t="str">
        <f t="shared" si="4331"/>
        <v/>
      </c>
      <c r="ET325" s="72" t="str">
        <f t="shared" si="4332"/>
        <v/>
      </c>
      <c r="EU325" s="72" t="str">
        <f t="shared" si="4333"/>
        <v/>
      </c>
      <c r="EV325" s="72" t="str">
        <f t="shared" si="4334"/>
        <v/>
      </c>
      <c r="EW325" s="72" t="str">
        <f t="shared" si="4335"/>
        <v/>
      </c>
      <c r="EX325" s="72" t="str">
        <f t="shared" si="4336"/>
        <v/>
      </c>
      <c r="EY325" s="72" t="str">
        <f t="shared" si="4337"/>
        <v/>
      </c>
      <c r="EZ325" s="72" t="str">
        <f t="shared" si="4338"/>
        <v/>
      </c>
      <c r="FA325" s="72" t="str">
        <f t="shared" si="4339"/>
        <v/>
      </c>
      <c r="FB325" s="72" t="str">
        <f t="shared" si="4340"/>
        <v/>
      </c>
      <c r="FC325" s="72" t="str">
        <f t="shared" si="4341"/>
        <v/>
      </c>
      <c r="FD325" s="72" t="str">
        <f t="shared" si="4342"/>
        <v/>
      </c>
      <c r="FE325" s="72" t="str">
        <f t="shared" si="4343"/>
        <v/>
      </c>
      <c r="FF325" s="72" t="str">
        <f t="shared" si="4344"/>
        <v/>
      </c>
      <c r="FG325" s="72" t="str">
        <f t="shared" si="4345"/>
        <v/>
      </c>
      <c r="FH325" s="72" t="str">
        <f t="shared" si="4346"/>
        <v/>
      </c>
      <c r="FI325" s="72" t="str">
        <f t="shared" si="4347"/>
        <v/>
      </c>
      <c r="FJ325" s="72" t="str">
        <f t="shared" si="4348"/>
        <v/>
      </c>
      <c r="FK325" s="72" t="str">
        <f t="shared" si="4349"/>
        <v/>
      </c>
      <c r="FL325" s="72" t="str">
        <f t="shared" si="4350"/>
        <v/>
      </c>
      <c r="FM325" s="72" t="str">
        <f t="shared" si="4351"/>
        <v/>
      </c>
      <c r="FN325" s="72" t="str">
        <f t="shared" si="4352"/>
        <v/>
      </c>
      <c r="FO325" s="72" t="str">
        <f t="shared" si="4353"/>
        <v/>
      </c>
      <c r="FP325" s="72" t="str">
        <f t="shared" si="4354"/>
        <v/>
      </c>
      <c r="FQ325" s="72" t="str">
        <f t="shared" si="4355"/>
        <v/>
      </c>
      <c r="FR325" s="72" t="str">
        <f t="shared" si="4356"/>
        <v/>
      </c>
      <c r="FS325" s="72" t="str">
        <f t="shared" si="4357"/>
        <v/>
      </c>
    </row>
    <row r="326" spans="1:175">
      <c r="CN326" s="70" t="str">
        <f t="shared" si="4282"/>
        <v>InitUnitState('',,,,,,,,,,)</v>
      </c>
      <c r="CO326" s="70" t="str">
        <f t="shared" si="4283"/>
        <v>InitUnitNormal('',,,,,,,,,,)</v>
      </c>
      <c r="CP326" s="70" t="str">
        <f t="shared" si="4284"/>
        <v>InitUnitMagic('',,,,,,,,,,)</v>
      </c>
      <c r="CQ326" s="70" t="str">
        <f t="shared" si="4285"/>
        <v>InitUnitAdd('',,,,,,,,,,)</v>
      </c>
      <c r="CR326" s="70" t="str">
        <f t="shared" si="4286"/>
        <v>InitEquipData('',,"",,,,,'','','','','','',"")</v>
      </c>
      <c r="CU326" s="71" t="str">
        <f t="shared" si="4287"/>
        <v>|n</v>
      </c>
      <c r="CW326" s="61"/>
      <c r="CX326" s="61"/>
      <c r="CY326" s="61"/>
      <c r="CZ326" s="61"/>
      <c r="DA326" s="61"/>
      <c r="DB326" s="72" t="str">
        <f t="shared" si="4288"/>
        <v/>
      </c>
      <c r="DC326" s="72" t="str">
        <f t="shared" si="4289"/>
        <v/>
      </c>
      <c r="DD326" s="72" t="str">
        <f t="shared" si="4290"/>
        <v/>
      </c>
      <c r="DE326" s="72" t="str">
        <f t="shared" si="4291"/>
        <v/>
      </c>
      <c r="DF326" s="72" t="str">
        <f t="shared" si="4292"/>
        <v/>
      </c>
      <c r="DG326" s="72" t="str">
        <f t="shared" si="4293"/>
        <v/>
      </c>
      <c r="DH326" s="72" t="str">
        <f t="shared" si="4294"/>
        <v/>
      </c>
      <c r="DI326" s="72" t="str">
        <f t="shared" si="4295"/>
        <v/>
      </c>
      <c r="DJ326" s="72" t="str">
        <f t="shared" si="4296"/>
        <v/>
      </c>
      <c r="DK326" s="72" t="str">
        <f t="shared" si="4297"/>
        <v/>
      </c>
      <c r="DL326" s="72" t="str">
        <f t="shared" si="4298"/>
        <v/>
      </c>
      <c r="DM326" s="72" t="str">
        <f t="shared" si="4299"/>
        <v/>
      </c>
      <c r="DN326" s="72" t="str">
        <f t="shared" si="4300"/>
        <v/>
      </c>
      <c r="DO326" s="72" t="str">
        <f t="shared" si="4301"/>
        <v/>
      </c>
      <c r="DP326" s="72" t="str">
        <f t="shared" si="4302"/>
        <v/>
      </c>
      <c r="DQ326" s="72" t="str">
        <f t="shared" si="4303"/>
        <v/>
      </c>
      <c r="DR326" s="72" t="str">
        <f t="shared" si="4304"/>
        <v/>
      </c>
      <c r="DS326" s="72" t="str">
        <f t="shared" si="4305"/>
        <v/>
      </c>
      <c r="DT326" s="72" t="str">
        <f t="shared" si="4306"/>
        <v/>
      </c>
      <c r="DU326" s="72" t="str">
        <f t="shared" si="4307"/>
        <v/>
      </c>
      <c r="DV326" s="72" t="str">
        <f t="shared" si="4308"/>
        <v/>
      </c>
      <c r="DW326" s="72" t="str">
        <f t="shared" si="4309"/>
        <v/>
      </c>
      <c r="DX326" s="72" t="str">
        <f t="shared" si="4310"/>
        <v/>
      </c>
      <c r="DY326" s="72" t="str">
        <f t="shared" si="4311"/>
        <v/>
      </c>
      <c r="DZ326" s="72" t="str">
        <f t="shared" si="4312"/>
        <v/>
      </c>
      <c r="EA326" s="72" t="str">
        <f t="shared" si="4313"/>
        <v/>
      </c>
      <c r="EB326" s="72" t="str">
        <f t="shared" si="4314"/>
        <v/>
      </c>
      <c r="EC326" s="72" t="str">
        <f t="shared" si="4315"/>
        <v/>
      </c>
      <c r="ED326" s="72" t="str">
        <f t="shared" si="4316"/>
        <v/>
      </c>
      <c r="EE326" s="72" t="str">
        <f t="shared" si="4317"/>
        <v/>
      </c>
      <c r="EF326" s="72" t="str">
        <f t="shared" si="4318"/>
        <v/>
      </c>
      <c r="EG326" s="72" t="str">
        <f t="shared" si="4319"/>
        <v/>
      </c>
      <c r="EH326" s="72" t="str">
        <f t="shared" si="4320"/>
        <v/>
      </c>
      <c r="EI326" s="72" t="str">
        <f t="shared" si="4321"/>
        <v/>
      </c>
      <c r="EJ326" s="72" t="str">
        <f t="shared" si="4322"/>
        <v/>
      </c>
      <c r="EK326" s="72" t="str">
        <f t="shared" si="4323"/>
        <v/>
      </c>
      <c r="EL326" s="72" t="str">
        <f t="shared" si="4324"/>
        <v/>
      </c>
      <c r="EM326" s="72" t="str">
        <f t="shared" si="4325"/>
        <v/>
      </c>
      <c r="EN326" s="72" t="str">
        <f t="shared" si="4326"/>
        <v/>
      </c>
      <c r="EO326" s="72" t="str">
        <f t="shared" si="4327"/>
        <v/>
      </c>
      <c r="EP326" s="72" t="str">
        <f t="shared" si="4328"/>
        <v/>
      </c>
      <c r="EQ326" s="72" t="str">
        <f t="shared" si="4329"/>
        <v/>
      </c>
      <c r="ER326" s="72" t="str">
        <f t="shared" si="4330"/>
        <v/>
      </c>
      <c r="ES326" s="72" t="str">
        <f t="shared" si="4331"/>
        <v/>
      </c>
      <c r="ET326" s="72" t="str">
        <f t="shared" si="4332"/>
        <v/>
      </c>
      <c r="EU326" s="72" t="str">
        <f t="shared" si="4333"/>
        <v/>
      </c>
      <c r="EV326" s="72" t="str">
        <f t="shared" si="4334"/>
        <v/>
      </c>
      <c r="EW326" s="72" t="str">
        <f t="shared" si="4335"/>
        <v/>
      </c>
      <c r="EX326" s="72" t="str">
        <f t="shared" si="4336"/>
        <v/>
      </c>
      <c r="EY326" s="72" t="str">
        <f t="shared" si="4337"/>
        <v/>
      </c>
      <c r="EZ326" s="72" t="str">
        <f t="shared" si="4338"/>
        <v/>
      </c>
      <c r="FA326" s="72" t="str">
        <f t="shared" si="4339"/>
        <v/>
      </c>
      <c r="FB326" s="72" t="str">
        <f t="shared" si="4340"/>
        <v/>
      </c>
      <c r="FC326" s="72" t="str">
        <f t="shared" si="4341"/>
        <v/>
      </c>
      <c r="FD326" s="72" t="str">
        <f t="shared" si="4342"/>
        <v/>
      </c>
      <c r="FE326" s="72" t="str">
        <f t="shared" si="4343"/>
        <v/>
      </c>
      <c r="FF326" s="72" t="str">
        <f t="shared" si="4344"/>
        <v/>
      </c>
      <c r="FG326" s="72" t="str">
        <f t="shared" si="4345"/>
        <v/>
      </c>
      <c r="FH326" s="72" t="str">
        <f t="shared" si="4346"/>
        <v/>
      </c>
      <c r="FI326" s="72" t="str">
        <f t="shared" si="4347"/>
        <v/>
      </c>
      <c r="FJ326" s="72" t="str">
        <f t="shared" si="4348"/>
        <v/>
      </c>
      <c r="FK326" s="72" t="str">
        <f t="shared" si="4349"/>
        <v/>
      </c>
      <c r="FL326" s="72" t="str">
        <f t="shared" si="4350"/>
        <v/>
      </c>
      <c r="FM326" s="72" t="str">
        <f t="shared" si="4351"/>
        <v/>
      </c>
      <c r="FN326" s="72" t="str">
        <f t="shared" si="4352"/>
        <v/>
      </c>
      <c r="FO326" s="72" t="str">
        <f t="shared" si="4353"/>
        <v/>
      </c>
      <c r="FP326" s="72" t="str">
        <f t="shared" si="4354"/>
        <v/>
      </c>
      <c r="FQ326" s="72" t="str">
        <f t="shared" si="4355"/>
        <v/>
      </c>
      <c r="FR326" s="72" t="str">
        <f t="shared" si="4356"/>
        <v/>
      </c>
      <c r="FS326" s="72" t="str">
        <f t="shared" si="4357"/>
        <v/>
      </c>
    </row>
    <row r="327" spans="1:175">
      <c r="CN327" s="70" t="str">
        <f t="shared" si="4282"/>
        <v>InitUnitState('',,,,,,,,,,)</v>
      </c>
      <c r="CO327" s="70" t="str">
        <f t="shared" si="4283"/>
        <v>InitUnitNormal('',,,,,,,,,,)</v>
      </c>
      <c r="CP327" s="70" t="str">
        <f t="shared" si="4284"/>
        <v>InitUnitMagic('',,,,,,,,,,)</v>
      </c>
      <c r="CQ327" s="70" t="str">
        <f t="shared" si="4285"/>
        <v>InitUnitAdd('',,,,,,,,,,)</v>
      </c>
      <c r="CR327" s="70" t="str">
        <f t="shared" si="4286"/>
        <v>InitEquipData('',,"",,,,,'','','','','','',"")</v>
      </c>
      <c r="CU327" s="71" t="str">
        <f t="shared" si="4287"/>
        <v>|n</v>
      </c>
      <c r="CW327" s="61"/>
      <c r="CX327" s="61"/>
      <c r="CY327" s="61"/>
      <c r="CZ327" s="61"/>
      <c r="DA327" s="61"/>
      <c r="DB327" s="72" t="str">
        <f t="shared" si="4288"/>
        <v/>
      </c>
      <c r="DC327" s="72" t="str">
        <f t="shared" si="4289"/>
        <v/>
      </c>
      <c r="DD327" s="72" t="str">
        <f t="shared" si="4290"/>
        <v/>
      </c>
      <c r="DE327" s="72" t="str">
        <f t="shared" si="4291"/>
        <v/>
      </c>
      <c r="DF327" s="72" t="str">
        <f t="shared" si="4292"/>
        <v/>
      </c>
      <c r="DG327" s="72" t="str">
        <f t="shared" si="4293"/>
        <v/>
      </c>
      <c r="DH327" s="72" t="str">
        <f t="shared" si="4294"/>
        <v/>
      </c>
      <c r="DI327" s="72" t="str">
        <f t="shared" si="4295"/>
        <v/>
      </c>
      <c r="DJ327" s="72" t="str">
        <f t="shared" si="4296"/>
        <v/>
      </c>
      <c r="DK327" s="72" t="str">
        <f t="shared" si="4297"/>
        <v/>
      </c>
      <c r="DL327" s="72" t="str">
        <f t="shared" si="4298"/>
        <v/>
      </c>
      <c r="DM327" s="72" t="str">
        <f t="shared" si="4299"/>
        <v/>
      </c>
      <c r="DN327" s="72" t="str">
        <f t="shared" si="4300"/>
        <v/>
      </c>
      <c r="DO327" s="72" t="str">
        <f t="shared" si="4301"/>
        <v/>
      </c>
      <c r="DP327" s="72" t="str">
        <f t="shared" si="4302"/>
        <v/>
      </c>
      <c r="DQ327" s="72" t="str">
        <f t="shared" si="4303"/>
        <v/>
      </c>
      <c r="DR327" s="72" t="str">
        <f t="shared" si="4304"/>
        <v/>
      </c>
      <c r="DS327" s="72" t="str">
        <f t="shared" si="4305"/>
        <v/>
      </c>
      <c r="DT327" s="72" t="str">
        <f t="shared" si="4306"/>
        <v/>
      </c>
      <c r="DU327" s="72" t="str">
        <f t="shared" si="4307"/>
        <v/>
      </c>
      <c r="DV327" s="72" t="str">
        <f t="shared" si="4308"/>
        <v/>
      </c>
      <c r="DW327" s="72" t="str">
        <f t="shared" si="4309"/>
        <v/>
      </c>
      <c r="DX327" s="72" t="str">
        <f t="shared" si="4310"/>
        <v/>
      </c>
      <c r="DY327" s="72" t="str">
        <f t="shared" si="4311"/>
        <v/>
      </c>
      <c r="DZ327" s="72" t="str">
        <f t="shared" si="4312"/>
        <v/>
      </c>
      <c r="EA327" s="72" t="str">
        <f t="shared" si="4313"/>
        <v/>
      </c>
      <c r="EB327" s="72" t="str">
        <f t="shared" si="4314"/>
        <v/>
      </c>
      <c r="EC327" s="72" t="str">
        <f t="shared" si="4315"/>
        <v/>
      </c>
      <c r="ED327" s="72" t="str">
        <f t="shared" si="4316"/>
        <v/>
      </c>
      <c r="EE327" s="72" t="str">
        <f t="shared" si="4317"/>
        <v/>
      </c>
      <c r="EF327" s="72" t="str">
        <f t="shared" si="4318"/>
        <v/>
      </c>
      <c r="EG327" s="72" t="str">
        <f t="shared" si="4319"/>
        <v/>
      </c>
      <c r="EH327" s="72" t="str">
        <f t="shared" si="4320"/>
        <v/>
      </c>
      <c r="EI327" s="72" t="str">
        <f t="shared" si="4321"/>
        <v/>
      </c>
      <c r="EJ327" s="72" t="str">
        <f t="shared" si="4322"/>
        <v/>
      </c>
      <c r="EK327" s="72" t="str">
        <f t="shared" si="4323"/>
        <v/>
      </c>
      <c r="EL327" s="72" t="str">
        <f t="shared" si="4324"/>
        <v/>
      </c>
      <c r="EM327" s="72" t="str">
        <f t="shared" si="4325"/>
        <v/>
      </c>
      <c r="EN327" s="72" t="str">
        <f t="shared" si="4326"/>
        <v/>
      </c>
      <c r="EO327" s="72" t="str">
        <f t="shared" si="4327"/>
        <v/>
      </c>
      <c r="EP327" s="72" t="str">
        <f t="shared" si="4328"/>
        <v/>
      </c>
      <c r="EQ327" s="72" t="str">
        <f t="shared" si="4329"/>
        <v/>
      </c>
      <c r="ER327" s="72" t="str">
        <f t="shared" si="4330"/>
        <v/>
      </c>
      <c r="ES327" s="72" t="str">
        <f t="shared" si="4331"/>
        <v/>
      </c>
      <c r="ET327" s="72" t="str">
        <f t="shared" si="4332"/>
        <v/>
      </c>
      <c r="EU327" s="72" t="str">
        <f t="shared" si="4333"/>
        <v/>
      </c>
      <c r="EV327" s="72" t="str">
        <f t="shared" si="4334"/>
        <v/>
      </c>
      <c r="EW327" s="72" t="str">
        <f t="shared" si="4335"/>
        <v/>
      </c>
      <c r="EX327" s="72" t="str">
        <f t="shared" si="4336"/>
        <v/>
      </c>
      <c r="EY327" s="72" t="str">
        <f t="shared" si="4337"/>
        <v/>
      </c>
      <c r="EZ327" s="72" t="str">
        <f t="shared" si="4338"/>
        <v/>
      </c>
      <c r="FA327" s="72" t="str">
        <f t="shared" si="4339"/>
        <v/>
      </c>
      <c r="FB327" s="72" t="str">
        <f t="shared" si="4340"/>
        <v/>
      </c>
      <c r="FC327" s="72" t="str">
        <f t="shared" si="4341"/>
        <v/>
      </c>
      <c r="FD327" s="72" t="str">
        <f t="shared" si="4342"/>
        <v/>
      </c>
      <c r="FE327" s="72" t="str">
        <f t="shared" si="4343"/>
        <v/>
      </c>
      <c r="FF327" s="72" t="str">
        <f t="shared" si="4344"/>
        <v/>
      </c>
      <c r="FG327" s="72" t="str">
        <f t="shared" si="4345"/>
        <v/>
      </c>
      <c r="FH327" s="72" t="str">
        <f t="shared" si="4346"/>
        <v/>
      </c>
      <c r="FI327" s="72" t="str">
        <f t="shared" si="4347"/>
        <v/>
      </c>
      <c r="FJ327" s="72" t="str">
        <f t="shared" si="4348"/>
        <v/>
      </c>
      <c r="FK327" s="72" t="str">
        <f t="shared" si="4349"/>
        <v/>
      </c>
      <c r="FL327" s="72" t="str">
        <f t="shared" si="4350"/>
        <v/>
      </c>
      <c r="FM327" s="72" t="str">
        <f t="shared" si="4351"/>
        <v/>
      </c>
      <c r="FN327" s="72" t="str">
        <f t="shared" si="4352"/>
        <v/>
      </c>
      <c r="FO327" s="72" t="str">
        <f t="shared" si="4353"/>
        <v/>
      </c>
      <c r="FP327" s="72" t="str">
        <f t="shared" si="4354"/>
        <v/>
      </c>
      <c r="FQ327" s="72" t="str">
        <f t="shared" si="4355"/>
        <v/>
      </c>
      <c r="FR327" s="72" t="str">
        <f t="shared" si="4356"/>
        <v/>
      </c>
      <c r="FS327" s="72" t="str">
        <f t="shared" si="4357"/>
        <v/>
      </c>
    </row>
    <row r="328" spans="1:175">
      <c r="CN328" s="70" t="str">
        <f t="shared" si="4282"/>
        <v>InitUnitState('',,,,,,,,,,)</v>
      </c>
      <c r="CO328" s="70" t="str">
        <f t="shared" si="4283"/>
        <v>InitUnitNormal('',,,,,,,,,,)</v>
      </c>
      <c r="CP328" s="70" t="str">
        <f t="shared" si="4284"/>
        <v>InitUnitMagic('',,,,,,,,,,)</v>
      </c>
      <c r="CQ328" s="70" t="str">
        <f t="shared" si="4285"/>
        <v>InitUnitAdd('',,,,,,,,,,)</v>
      </c>
      <c r="CR328" s="70" t="str">
        <f t="shared" si="4286"/>
        <v>InitEquipData('',,"",,,,,'','','','','','',"")</v>
      </c>
      <c r="CU328" s="71" t="str">
        <f t="shared" si="4287"/>
        <v>|n</v>
      </c>
      <c r="CW328" s="61"/>
      <c r="CX328" s="61"/>
      <c r="CY328" s="61"/>
      <c r="CZ328" s="61"/>
      <c r="DA328" s="61"/>
      <c r="DB328" s="72" t="str">
        <f t="shared" si="4288"/>
        <v/>
      </c>
      <c r="DC328" s="72" t="str">
        <f t="shared" si="4289"/>
        <v/>
      </c>
      <c r="DD328" s="72" t="str">
        <f t="shared" si="4290"/>
        <v/>
      </c>
      <c r="DE328" s="72" t="str">
        <f t="shared" si="4291"/>
        <v/>
      </c>
      <c r="DF328" s="72" t="str">
        <f t="shared" si="4292"/>
        <v/>
      </c>
      <c r="DG328" s="72" t="str">
        <f t="shared" si="4293"/>
        <v/>
      </c>
      <c r="DH328" s="72" t="str">
        <f t="shared" si="4294"/>
        <v/>
      </c>
      <c r="DI328" s="72" t="str">
        <f t="shared" si="4295"/>
        <v/>
      </c>
      <c r="DJ328" s="72" t="str">
        <f t="shared" si="4296"/>
        <v/>
      </c>
      <c r="DK328" s="72" t="str">
        <f t="shared" si="4297"/>
        <v/>
      </c>
      <c r="DL328" s="72" t="str">
        <f t="shared" si="4298"/>
        <v/>
      </c>
      <c r="DM328" s="72" t="str">
        <f t="shared" si="4299"/>
        <v/>
      </c>
      <c r="DN328" s="72" t="str">
        <f t="shared" si="4300"/>
        <v/>
      </c>
      <c r="DO328" s="72" t="str">
        <f t="shared" si="4301"/>
        <v/>
      </c>
      <c r="DP328" s="72" t="str">
        <f t="shared" si="4302"/>
        <v/>
      </c>
      <c r="DQ328" s="72" t="str">
        <f t="shared" si="4303"/>
        <v/>
      </c>
      <c r="DR328" s="72" t="str">
        <f t="shared" si="4304"/>
        <v/>
      </c>
      <c r="DS328" s="72" t="str">
        <f t="shared" si="4305"/>
        <v/>
      </c>
      <c r="DT328" s="72" t="str">
        <f t="shared" si="4306"/>
        <v/>
      </c>
      <c r="DU328" s="72" t="str">
        <f t="shared" si="4307"/>
        <v/>
      </c>
      <c r="DV328" s="72" t="str">
        <f t="shared" si="4308"/>
        <v/>
      </c>
      <c r="DW328" s="72" t="str">
        <f t="shared" si="4309"/>
        <v/>
      </c>
      <c r="DX328" s="72" t="str">
        <f t="shared" si="4310"/>
        <v/>
      </c>
      <c r="DY328" s="72" t="str">
        <f t="shared" si="4311"/>
        <v/>
      </c>
      <c r="DZ328" s="72" t="str">
        <f t="shared" si="4312"/>
        <v/>
      </c>
      <c r="EA328" s="72" t="str">
        <f t="shared" si="4313"/>
        <v/>
      </c>
      <c r="EB328" s="72" t="str">
        <f t="shared" si="4314"/>
        <v/>
      </c>
      <c r="EC328" s="72" t="str">
        <f t="shared" si="4315"/>
        <v/>
      </c>
      <c r="ED328" s="72" t="str">
        <f t="shared" si="4316"/>
        <v/>
      </c>
      <c r="EE328" s="72" t="str">
        <f t="shared" si="4317"/>
        <v/>
      </c>
      <c r="EF328" s="72" t="str">
        <f t="shared" si="4318"/>
        <v/>
      </c>
      <c r="EG328" s="72" t="str">
        <f t="shared" si="4319"/>
        <v/>
      </c>
      <c r="EH328" s="72" t="str">
        <f t="shared" si="4320"/>
        <v/>
      </c>
      <c r="EI328" s="72" t="str">
        <f t="shared" si="4321"/>
        <v/>
      </c>
      <c r="EJ328" s="72" t="str">
        <f t="shared" si="4322"/>
        <v/>
      </c>
      <c r="EK328" s="72" t="str">
        <f t="shared" si="4323"/>
        <v/>
      </c>
      <c r="EL328" s="72" t="str">
        <f t="shared" si="4324"/>
        <v/>
      </c>
      <c r="EM328" s="72" t="str">
        <f t="shared" si="4325"/>
        <v/>
      </c>
      <c r="EN328" s="72" t="str">
        <f t="shared" si="4326"/>
        <v/>
      </c>
      <c r="EO328" s="72" t="str">
        <f t="shared" si="4327"/>
        <v/>
      </c>
      <c r="EP328" s="72" t="str">
        <f t="shared" si="4328"/>
        <v/>
      </c>
      <c r="EQ328" s="72" t="str">
        <f t="shared" si="4329"/>
        <v/>
      </c>
      <c r="ER328" s="72" t="str">
        <f t="shared" si="4330"/>
        <v/>
      </c>
      <c r="ES328" s="72" t="str">
        <f t="shared" si="4331"/>
        <v/>
      </c>
      <c r="ET328" s="72" t="str">
        <f t="shared" si="4332"/>
        <v/>
      </c>
      <c r="EU328" s="72" t="str">
        <f t="shared" si="4333"/>
        <v/>
      </c>
      <c r="EV328" s="72" t="str">
        <f t="shared" si="4334"/>
        <v/>
      </c>
      <c r="EW328" s="72" t="str">
        <f t="shared" si="4335"/>
        <v/>
      </c>
      <c r="EX328" s="72" t="str">
        <f t="shared" si="4336"/>
        <v/>
      </c>
      <c r="EY328" s="72" t="str">
        <f t="shared" si="4337"/>
        <v/>
      </c>
      <c r="EZ328" s="72" t="str">
        <f t="shared" si="4338"/>
        <v/>
      </c>
      <c r="FA328" s="72" t="str">
        <f t="shared" si="4339"/>
        <v/>
      </c>
      <c r="FB328" s="72" t="str">
        <f t="shared" si="4340"/>
        <v/>
      </c>
      <c r="FC328" s="72" t="str">
        <f t="shared" si="4341"/>
        <v/>
      </c>
      <c r="FD328" s="72" t="str">
        <f t="shared" si="4342"/>
        <v/>
      </c>
      <c r="FE328" s="72" t="str">
        <f t="shared" si="4343"/>
        <v/>
      </c>
      <c r="FF328" s="72" t="str">
        <f t="shared" si="4344"/>
        <v/>
      </c>
      <c r="FG328" s="72" t="str">
        <f t="shared" si="4345"/>
        <v/>
      </c>
      <c r="FH328" s="72" t="str">
        <f t="shared" si="4346"/>
        <v/>
      </c>
      <c r="FI328" s="72" t="str">
        <f t="shared" si="4347"/>
        <v/>
      </c>
      <c r="FJ328" s="72" t="str">
        <f t="shared" si="4348"/>
        <v/>
      </c>
      <c r="FK328" s="72" t="str">
        <f t="shared" si="4349"/>
        <v/>
      </c>
      <c r="FL328" s="72" t="str">
        <f t="shared" si="4350"/>
        <v/>
      </c>
      <c r="FM328" s="72" t="str">
        <f t="shared" si="4351"/>
        <v/>
      </c>
      <c r="FN328" s="72" t="str">
        <f t="shared" si="4352"/>
        <v/>
      </c>
      <c r="FO328" s="72" t="str">
        <f t="shared" si="4353"/>
        <v/>
      </c>
      <c r="FP328" s="72" t="str">
        <f t="shared" si="4354"/>
        <v/>
      </c>
      <c r="FQ328" s="72" t="str">
        <f t="shared" si="4355"/>
        <v/>
      </c>
      <c r="FR328" s="72" t="str">
        <f t="shared" si="4356"/>
        <v/>
      </c>
      <c r="FS328" s="72" t="str">
        <f t="shared" si="4357"/>
        <v/>
      </c>
    </row>
    <row r="329" spans="1:175">
      <c r="CN329" s="70" t="str">
        <f t="shared" si="4282"/>
        <v>InitUnitState('',,,,,,,,,,)</v>
      </c>
      <c r="CO329" s="70" t="str">
        <f t="shared" si="4283"/>
        <v>InitUnitNormal('',,,,,,,,,,)</v>
      </c>
      <c r="CP329" s="70" t="str">
        <f t="shared" si="4284"/>
        <v>InitUnitMagic('',,,,,,,,,,)</v>
      </c>
      <c r="CQ329" s="70" t="str">
        <f t="shared" si="4285"/>
        <v>InitUnitAdd('',,,,,,,,,,)</v>
      </c>
      <c r="CR329" s="70" t="str">
        <f t="shared" si="4286"/>
        <v>InitEquipData('',,"",,,,,'','','','','','',"")</v>
      </c>
      <c r="CU329" s="71" t="str">
        <f t="shared" si="4287"/>
        <v>|n</v>
      </c>
      <c r="CW329" s="61"/>
      <c r="CX329" s="61"/>
      <c r="CY329" s="61"/>
      <c r="CZ329" s="61"/>
      <c r="DA329" s="61"/>
      <c r="DB329" s="72" t="str">
        <f t="shared" si="4288"/>
        <v/>
      </c>
      <c r="DC329" s="72" t="str">
        <f t="shared" si="4289"/>
        <v/>
      </c>
      <c r="DD329" s="72" t="str">
        <f t="shared" si="4290"/>
        <v/>
      </c>
      <c r="DE329" s="72" t="str">
        <f t="shared" si="4291"/>
        <v/>
      </c>
      <c r="DF329" s="72" t="str">
        <f t="shared" si="4292"/>
        <v/>
      </c>
      <c r="DG329" s="72" t="str">
        <f t="shared" si="4293"/>
        <v/>
      </c>
      <c r="DH329" s="72" t="str">
        <f t="shared" si="4294"/>
        <v/>
      </c>
      <c r="DI329" s="72" t="str">
        <f t="shared" si="4295"/>
        <v/>
      </c>
      <c r="DJ329" s="72" t="str">
        <f t="shared" si="4296"/>
        <v/>
      </c>
      <c r="DK329" s="72" t="str">
        <f t="shared" si="4297"/>
        <v/>
      </c>
      <c r="DL329" s="72" t="str">
        <f t="shared" si="4298"/>
        <v/>
      </c>
      <c r="DM329" s="72" t="str">
        <f t="shared" si="4299"/>
        <v/>
      </c>
      <c r="DN329" s="72" t="str">
        <f t="shared" si="4300"/>
        <v/>
      </c>
      <c r="DO329" s="72" t="str">
        <f t="shared" si="4301"/>
        <v/>
      </c>
      <c r="DP329" s="72" t="str">
        <f t="shared" si="4302"/>
        <v/>
      </c>
      <c r="DQ329" s="72" t="str">
        <f t="shared" si="4303"/>
        <v/>
      </c>
      <c r="DR329" s="72" t="str">
        <f t="shared" si="4304"/>
        <v/>
      </c>
      <c r="DS329" s="72" t="str">
        <f t="shared" si="4305"/>
        <v/>
      </c>
      <c r="DT329" s="72" t="str">
        <f t="shared" si="4306"/>
        <v/>
      </c>
      <c r="DU329" s="72" t="str">
        <f t="shared" si="4307"/>
        <v/>
      </c>
      <c r="DV329" s="72" t="str">
        <f t="shared" si="4308"/>
        <v/>
      </c>
      <c r="DW329" s="72" t="str">
        <f t="shared" si="4309"/>
        <v/>
      </c>
      <c r="DX329" s="72" t="str">
        <f t="shared" si="4310"/>
        <v/>
      </c>
      <c r="DY329" s="72" t="str">
        <f t="shared" si="4311"/>
        <v/>
      </c>
      <c r="DZ329" s="72" t="str">
        <f t="shared" si="4312"/>
        <v/>
      </c>
      <c r="EA329" s="72" t="str">
        <f t="shared" si="4313"/>
        <v/>
      </c>
      <c r="EB329" s="72" t="str">
        <f t="shared" si="4314"/>
        <v/>
      </c>
      <c r="EC329" s="72" t="str">
        <f t="shared" si="4315"/>
        <v/>
      </c>
      <c r="ED329" s="72" t="str">
        <f t="shared" si="4316"/>
        <v/>
      </c>
      <c r="EE329" s="72" t="str">
        <f t="shared" si="4317"/>
        <v/>
      </c>
      <c r="EF329" s="72" t="str">
        <f t="shared" si="4318"/>
        <v/>
      </c>
      <c r="EG329" s="72" t="str">
        <f t="shared" si="4319"/>
        <v/>
      </c>
      <c r="EH329" s="72" t="str">
        <f t="shared" si="4320"/>
        <v/>
      </c>
      <c r="EI329" s="72" t="str">
        <f t="shared" si="4321"/>
        <v/>
      </c>
      <c r="EJ329" s="72" t="str">
        <f t="shared" si="4322"/>
        <v/>
      </c>
      <c r="EK329" s="72" t="str">
        <f t="shared" si="4323"/>
        <v/>
      </c>
      <c r="EL329" s="72" t="str">
        <f t="shared" si="4324"/>
        <v/>
      </c>
      <c r="EM329" s="72" t="str">
        <f t="shared" si="4325"/>
        <v/>
      </c>
      <c r="EN329" s="72" t="str">
        <f t="shared" si="4326"/>
        <v/>
      </c>
      <c r="EO329" s="72" t="str">
        <f t="shared" si="4327"/>
        <v/>
      </c>
      <c r="EP329" s="72" t="str">
        <f t="shared" si="4328"/>
        <v/>
      </c>
      <c r="EQ329" s="72" t="str">
        <f t="shared" si="4329"/>
        <v/>
      </c>
      <c r="ER329" s="72" t="str">
        <f t="shared" si="4330"/>
        <v/>
      </c>
      <c r="ES329" s="72" t="str">
        <f t="shared" si="4331"/>
        <v/>
      </c>
      <c r="ET329" s="72" t="str">
        <f t="shared" si="4332"/>
        <v/>
      </c>
      <c r="EU329" s="72" t="str">
        <f t="shared" si="4333"/>
        <v/>
      </c>
      <c r="EV329" s="72" t="str">
        <f t="shared" si="4334"/>
        <v/>
      </c>
      <c r="EW329" s="72" t="str">
        <f t="shared" si="4335"/>
        <v/>
      </c>
      <c r="EX329" s="72" t="str">
        <f t="shared" si="4336"/>
        <v/>
      </c>
      <c r="EY329" s="72" t="str">
        <f t="shared" si="4337"/>
        <v/>
      </c>
      <c r="EZ329" s="72" t="str">
        <f t="shared" si="4338"/>
        <v/>
      </c>
      <c r="FA329" s="72" t="str">
        <f t="shared" si="4339"/>
        <v/>
      </c>
      <c r="FB329" s="72" t="str">
        <f t="shared" si="4340"/>
        <v/>
      </c>
      <c r="FC329" s="72" t="str">
        <f t="shared" si="4341"/>
        <v/>
      </c>
      <c r="FD329" s="72" t="str">
        <f t="shared" si="4342"/>
        <v/>
      </c>
      <c r="FE329" s="72" t="str">
        <f t="shared" si="4343"/>
        <v/>
      </c>
      <c r="FF329" s="72" t="str">
        <f t="shared" si="4344"/>
        <v/>
      </c>
      <c r="FG329" s="72" t="str">
        <f t="shared" si="4345"/>
        <v/>
      </c>
      <c r="FH329" s="72" t="str">
        <f t="shared" si="4346"/>
        <v/>
      </c>
      <c r="FI329" s="72" t="str">
        <f t="shared" si="4347"/>
        <v/>
      </c>
      <c r="FJ329" s="72" t="str">
        <f t="shared" si="4348"/>
        <v/>
      </c>
      <c r="FK329" s="72" t="str">
        <f t="shared" si="4349"/>
        <v/>
      </c>
      <c r="FL329" s="72" t="str">
        <f t="shared" si="4350"/>
        <v/>
      </c>
      <c r="FM329" s="72" t="str">
        <f t="shared" si="4351"/>
        <v/>
      </c>
      <c r="FN329" s="72" t="str">
        <f t="shared" si="4352"/>
        <v/>
      </c>
      <c r="FO329" s="72" t="str">
        <f t="shared" si="4353"/>
        <v/>
      </c>
      <c r="FP329" s="72" t="str">
        <f t="shared" si="4354"/>
        <v/>
      </c>
      <c r="FQ329" s="72" t="str">
        <f t="shared" si="4355"/>
        <v/>
      </c>
      <c r="FR329" s="72" t="str">
        <f t="shared" si="4356"/>
        <v/>
      </c>
      <c r="FS329" s="72" t="str">
        <f t="shared" si="4357"/>
        <v/>
      </c>
    </row>
    <row r="330" spans="1:175">
      <c r="CN330" s="70" t="str">
        <f t="shared" si="4282"/>
        <v>InitUnitState('',,,,,,,,,,)</v>
      </c>
      <c r="CO330" s="70" t="str">
        <f t="shared" si="4283"/>
        <v>InitUnitNormal('',,,,,,,,,,)</v>
      </c>
      <c r="CP330" s="70" t="str">
        <f t="shared" si="4284"/>
        <v>InitUnitMagic('',,,,,,,,,,)</v>
      </c>
      <c r="CQ330" s="70" t="str">
        <f t="shared" si="4285"/>
        <v>InitUnitAdd('',,,,,,,,,,)</v>
      </c>
      <c r="CR330" s="70" t="str">
        <f t="shared" si="4286"/>
        <v>InitEquipData('',,"",,,,,'','','','','','',"")</v>
      </c>
      <c r="CU330" s="71" t="str">
        <f t="shared" si="4287"/>
        <v>|n</v>
      </c>
      <c r="CW330" s="61"/>
      <c r="CX330" s="61"/>
      <c r="CY330" s="61"/>
      <c r="CZ330" s="61"/>
      <c r="DA330" s="61"/>
      <c r="DB330" s="72" t="str">
        <f t="shared" si="4288"/>
        <v/>
      </c>
      <c r="DC330" s="72" t="str">
        <f t="shared" si="4289"/>
        <v/>
      </c>
      <c r="DD330" s="72" t="str">
        <f t="shared" si="4290"/>
        <v/>
      </c>
      <c r="DE330" s="72" t="str">
        <f t="shared" si="4291"/>
        <v/>
      </c>
      <c r="DF330" s="72" t="str">
        <f t="shared" si="4292"/>
        <v/>
      </c>
      <c r="DG330" s="72" t="str">
        <f t="shared" si="4293"/>
        <v/>
      </c>
      <c r="DH330" s="72" t="str">
        <f t="shared" si="4294"/>
        <v/>
      </c>
      <c r="DI330" s="72" t="str">
        <f t="shared" si="4295"/>
        <v/>
      </c>
      <c r="DJ330" s="72" t="str">
        <f t="shared" si="4296"/>
        <v/>
      </c>
      <c r="DK330" s="72" t="str">
        <f t="shared" si="4297"/>
        <v/>
      </c>
      <c r="DL330" s="72" t="str">
        <f t="shared" si="4298"/>
        <v/>
      </c>
      <c r="DM330" s="72" t="str">
        <f t="shared" si="4299"/>
        <v/>
      </c>
      <c r="DN330" s="72" t="str">
        <f t="shared" si="4300"/>
        <v/>
      </c>
      <c r="DO330" s="72" t="str">
        <f t="shared" si="4301"/>
        <v/>
      </c>
      <c r="DP330" s="72" t="str">
        <f t="shared" si="4302"/>
        <v/>
      </c>
      <c r="DQ330" s="72" t="str">
        <f t="shared" si="4303"/>
        <v/>
      </c>
      <c r="DR330" s="72" t="str">
        <f t="shared" si="4304"/>
        <v/>
      </c>
      <c r="DS330" s="72" t="str">
        <f t="shared" si="4305"/>
        <v/>
      </c>
      <c r="DT330" s="72" t="str">
        <f t="shared" si="4306"/>
        <v/>
      </c>
      <c r="DU330" s="72" t="str">
        <f t="shared" si="4307"/>
        <v/>
      </c>
      <c r="DV330" s="72" t="str">
        <f t="shared" si="4308"/>
        <v/>
      </c>
      <c r="DW330" s="72" t="str">
        <f t="shared" si="4309"/>
        <v/>
      </c>
      <c r="DX330" s="72" t="str">
        <f t="shared" si="4310"/>
        <v/>
      </c>
      <c r="DY330" s="72" t="str">
        <f t="shared" si="4311"/>
        <v/>
      </c>
      <c r="DZ330" s="72" t="str">
        <f t="shared" si="4312"/>
        <v/>
      </c>
      <c r="EA330" s="72" t="str">
        <f t="shared" si="4313"/>
        <v/>
      </c>
      <c r="EB330" s="72" t="str">
        <f t="shared" si="4314"/>
        <v/>
      </c>
      <c r="EC330" s="72" t="str">
        <f t="shared" si="4315"/>
        <v/>
      </c>
      <c r="ED330" s="72" t="str">
        <f t="shared" si="4316"/>
        <v/>
      </c>
      <c r="EE330" s="72" t="str">
        <f t="shared" si="4317"/>
        <v/>
      </c>
      <c r="EF330" s="72" t="str">
        <f t="shared" si="4318"/>
        <v/>
      </c>
      <c r="EG330" s="72" t="str">
        <f t="shared" si="4319"/>
        <v/>
      </c>
      <c r="EH330" s="72" t="str">
        <f t="shared" si="4320"/>
        <v/>
      </c>
      <c r="EI330" s="72" t="str">
        <f t="shared" si="4321"/>
        <v/>
      </c>
      <c r="EJ330" s="72" t="str">
        <f t="shared" si="4322"/>
        <v/>
      </c>
      <c r="EK330" s="72" t="str">
        <f t="shared" si="4323"/>
        <v/>
      </c>
      <c r="EL330" s="72" t="str">
        <f t="shared" si="4324"/>
        <v/>
      </c>
      <c r="EM330" s="72" t="str">
        <f t="shared" si="4325"/>
        <v/>
      </c>
      <c r="EN330" s="72" t="str">
        <f t="shared" si="4326"/>
        <v/>
      </c>
      <c r="EO330" s="72" t="str">
        <f t="shared" si="4327"/>
        <v/>
      </c>
      <c r="EP330" s="72" t="str">
        <f t="shared" si="4328"/>
        <v/>
      </c>
      <c r="EQ330" s="72" t="str">
        <f t="shared" si="4329"/>
        <v/>
      </c>
      <c r="ER330" s="72" t="str">
        <f t="shared" si="4330"/>
        <v/>
      </c>
      <c r="ES330" s="72" t="str">
        <f t="shared" si="4331"/>
        <v/>
      </c>
      <c r="ET330" s="72" t="str">
        <f t="shared" si="4332"/>
        <v/>
      </c>
      <c r="EU330" s="72" t="str">
        <f t="shared" si="4333"/>
        <v/>
      </c>
      <c r="EV330" s="72" t="str">
        <f t="shared" si="4334"/>
        <v/>
      </c>
      <c r="EW330" s="72" t="str">
        <f t="shared" si="4335"/>
        <v/>
      </c>
      <c r="EX330" s="72" t="str">
        <f t="shared" si="4336"/>
        <v/>
      </c>
      <c r="EY330" s="72" t="str">
        <f t="shared" si="4337"/>
        <v/>
      </c>
      <c r="EZ330" s="72" t="str">
        <f t="shared" si="4338"/>
        <v/>
      </c>
      <c r="FA330" s="72" t="str">
        <f t="shared" si="4339"/>
        <v/>
      </c>
      <c r="FB330" s="72" t="str">
        <f t="shared" si="4340"/>
        <v/>
      </c>
      <c r="FC330" s="72" t="str">
        <f t="shared" si="4341"/>
        <v/>
      </c>
      <c r="FD330" s="72" t="str">
        <f t="shared" si="4342"/>
        <v/>
      </c>
      <c r="FE330" s="72" t="str">
        <f t="shared" si="4343"/>
        <v/>
      </c>
      <c r="FF330" s="72" t="str">
        <f t="shared" si="4344"/>
        <v/>
      </c>
      <c r="FG330" s="72" t="str">
        <f t="shared" si="4345"/>
        <v/>
      </c>
      <c r="FH330" s="72" t="str">
        <f t="shared" si="4346"/>
        <v/>
      </c>
      <c r="FI330" s="72" t="str">
        <f t="shared" si="4347"/>
        <v/>
      </c>
      <c r="FJ330" s="72" t="str">
        <f t="shared" si="4348"/>
        <v/>
      </c>
      <c r="FK330" s="72" t="str">
        <f t="shared" si="4349"/>
        <v/>
      </c>
      <c r="FL330" s="72" t="str">
        <f t="shared" si="4350"/>
        <v/>
      </c>
      <c r="FM330" s="72" t="str">
        <f t="shared" si="4351"/>
        <v/>
      </c>
      <c r="FN330" s="72" t="str">
        <f t="shared" si="4352"/>
        <v/>
      </c>
      <c r="FO330" s="72" t="str">
        <f t="shared" si="4353"/>
        <v/>
      </c>
      <c r="FP330" s="72" t="str">
        <f t="shared" si="4354"/>
        <v/>
      </c>
      <c r="FQ330" s="72" t="str">
        <f t="shared" si="4355"/>
        <v/>
      </c>
      <c r="FR330" s="72" t="str">
        <f t="shared" si="4356"/>
        <v/>
      </c>
      <c r="FS330" s="72" t="str">
        <f t="shared" si="4357"/>
        <v/>
      </c>
    </row>
    <row r="331" spans="1:175">
      <c r="CN331" s="70" t="str">
        <f t="shared" si="4282"/>
        <v>InitUnitState('',,,,,,,,,,)</v>
      </c>
      <c r="CO331" s="70" t="str">
        <f t="shared" si="4283"/>
        <v>InitUnitNormal('',,,,,,,,,,)</v>
      </c>
      <c r="CP331" s="70" t="str">
        <f t="shared" si="4284"/>
        <v>InitUnitMagic('',,,,,,,,,,)</v>
      </c>
      <c r="CQ331" s="70" t="str">
        <f t="shared" si="4285"/>
        <v>InitUnitAdd('',,,,,,,,,,)</v>
      </c>
      <c r="CR331" s="70" t="str">
        <f t="shared" si="4286"/>
        <v>InitEquipData('',,"",,,,,'','','','','','',"")</v>
      </c>
      <c r="CU331" s="71" t="str">
        <f t="shared" si="4287"/>
        <v>|n</v>
      </c>
      <c r="CW331" s="61"/>
      <c r="CX331" s="61"/>
      <c r="CY331" s="61"/>
      <c r="CZ331" s="61"/>
      <c r="DA331" s="61"/>
      <c r="DB331" s="72" t="str">
        <f t="shared" si="4288"/>
        <v/>
      </c>
      <c r="DC331" s="72" t="str">
        <f t="shared" si="4289"/>
        <v/>
      </c>
      <c r="DD331" s="72" t="str">
        <f t="shared" si="4290"/>
        <v/>
      </c>
      <c r="DE331" s="72" t="str">
        <f t="shared" si="4291"/>
        <v/>
      </c>
      <c r="DF331" s="72" t="str">
        <f t="shared" si="4292"/>
        <v/>
      </c>
      <c r="DG331" s="72" t="str">
        <f t="shared" si="4293"/>
        <v/>
      </c>
      <c r="DH331" s="72" t="str">
        <f t="shared" si="4294"/>
        <v/>
      </c>
      <c r="DI331" s="72" t="str">
        <f t="shared" si="4295"/>
        <v/>
      </c>
      <c r="DJ331" s="72" t="str">
        <f t="shared" si="4296"/>
        <v/>
      </c>
      <c r="DK331" s="72" t="str">
        <f t="shared" si="4297"/>
        <v/>
      </c>
      <c r="DL331" s="72" t="str">
        <f t="shared" si="4298"/>
        <v/>
      </c>
      <c r="DM331" s="72" t="str">
        <f t="shared" si="4299"/>
        <v/>
      </c>
      <c r="DN331" s="72" t="str">
        <f t="shared" si="4300"/>
        <v/>
      </c>
      <c r="DO331" s="72" t="str">
        <f t="shared" si="4301"/>
        <v/>
      </c>
      <c r="DP331" s="72" t="str">
        <f t="shared" si="4302"/>
        <v/>
      </c>
      <c r="DQ331" s="72" t="str">
        <f t="shared" si="4303"/>
        <v/>
      </c>
      <c r="DR331" s="72" t="str">
        <f t="shared" si="4304"/>
        <v/>
      </c>
      <c r="DS331" s="72" t="str">
        <f t="shared" si="4305"/>
        <v/>
      </c>
      <c r="DT331" s="72" t="str">
        <f t="shared" si="4306"/>
        <v/>
      </c>
      <c r="DU331" s="72" t="str">
        <f t="shared" si="4307"/>
        <v/>
      </c>
      <c r="DV331" s="72" t="str">
        <f t="shared" si="4308"/>
        <v/>
      </c>
      <c r="DW331" s="72" t="str">
        <f t="shared" si="4309"/>
        <v/>
      </c>
      <c r="DX331" s="72" t="str">
        <f t="shared" si="4310"/>
        <v/>
      </c>
      <c r="DY331" s="72" t="str">
        <f t="shared" si="4311"/>
        <v/>
      </c>
      <c r="DZ331" s="72" t="str">
        <f t="shared" si="4312"/>
        <v/>
      </c>
      <c r="EA331" s="72" t="str">
        <f t="shared" si="4313"/>
        <v/>
      </c>
      <c r="EB331" s="72" t="str">
        <f t="shared" si="4314"/>
        <v/>
      </c>
      <c r="EC331" s="72" t="str">
        <f t="shared" si="4315"/>
        <v/>
      </c>
      <c r="ED331" s="72" t="str">
        <f t="shared" si="4316"/>
        <v/>
      </c>
      <c r="EE331" s="72" t="str">
        <f t="shared" si="4317"/>
        <v/>
      </c>
      <c r="EF331" s="72" t="str">
        <f t="shared" si="4318"/>
        <v/>
      </c>
      <c r="EG331" s="72" t="str">
        <f t="shared" si="4319"/>
        <v/>
      </c>
      <c r="EH331" s="72" t="str">
        <f t="shared" si="4320"/>
        <v/>
      </c>
      <c r="EI331" s="72" t="str">
        <f t="shared" si="4321"/>
        <v/>
      </c>
      <c r="EJ331" s="72" t="str">
        <f t="shared" si="4322"/>
        <v/>
      </c>
      <c r="EK331" s="72" t="str">
        <f t="shared" si="4323"/>
        <v/>
      </c>
      <c r="EL331" s="72" t="str">
        <f t="shared" si="4324"/>
        <v/>
      </c>
      <c r="EM331" s="72" t="str">
        <f t="shared" si="4325"/>
        <v/>
      </c>
      <c r="EN331" s="72" t="str">
        <f t="shared" si="4326"/>
        <v/>
      </c>
      <c r="EO331" s="72" t="str">
        <f t="shared" si="4327"/>
        <v/>
      </c>
      <c r="EP331" s="72" t="str">
        <f t="shared" si="4328"/>
        <v/>
      </c>
      <c r="EQ331" s="72" t="str">
        <f t="shared" si="4329"/>
        <v/>
      </c>
      <c r="ER331" s="72" t="str">
        <f t="shared" si="4330"/>
        <v/>
      </c>
      <c r="ES331" s="72" t="str">
        <f t="shared" si="4331"/>
        <v/>
      </c>
      <c r="ET331" s="72" t="str">
        <f t="shared" si="4332"/>
        <v/>
      </c>
      <c r="EU331" s="72" t="str">
        <f t="shared" si="4333"/>
        <v/>
      </c>
      <c r="EV331" s="72" t="str">
        <f t="shared" si="4334"/>
        <v/>
      </c>
      <c r="EW331" s="72" t="str">
        <f t="shared" si="4335"/>
        <v/>
      </c>
      <c r="EX331" s="72" t="str">
        <f t="shared" si="4336"/>
        <v/>
      </c>
      <c r="EY331" s="72" t="str">
        <f t="shared" si="4337"/>
        <v/>
      </c>
      <c r="EZ331" s="72" t="str">
        <f t="shared" si="4338"/>
        <v/>
      </c>
      <c r="FA331" s="72" t="str">
        <f t="shared" si="4339"/>
        <v/>
      </c>
      <c r="FB331" s="72" t="str">
        <f t="shared" si="4340"/>
        <v/>
      </c>
      <c r="FC331" s="72" t="str">
        <f t="shared" si="4341"/>
        <v/>
      </c>
      <c r="FD331" s="72" t="str">
        <f t="shared" si="4342"/>
        <v/>
      </c>
      <c r="FE331" s="72" t="str">
        <f t="shared" si="4343"/>
        <v/>
      </c>
      <c r="FF331" s="72" t="str">
        <f t="shared" si="4344"/>
        <v/>
      </c>
      <c r="FG331" s="72" t="str">
        <f t="shared" si="4345"/>
        <v/>
      </c>
      <c r="FH331" s="72" t="str">
        <f t="shared" si="4346"/>
        <v/>
      </c>
      <c r="FI331" s="72" t="str">
        <f t="shared" si="4347"/>
        <v/>
      </c>
      <c r="FJ331" s="72" t="str">
        <f t="shared" si="4348"/>
        <v/>
      </c>
      <c r="FK331" s="72" t="str">
        <f t="shared" si="4349"/>
        <v/>
      </c>
      <c r="FL331" s="72" t="str">
        <f t="shared" si="4350"/>
        <v/>
      </c>
      <c r="FM331" s="72" t="str">
        <f t="shared" si="4351"/>
        <v/>
      </c>
      <c r="FN331" s="72" t="str">
        <f t="shared" si="4352"/>
        <v/>
      </c>
      <c r="FO331" s="72" t="str">
        <f t="shared" si="4353"/>
        <v/>
      </c>
      <c r="FP331" s="72" t="str">
        <f t="shared" si="4354"/>
        <v/>
      </c>
      <c r="FQ331" s="72" t="str">
        <f t="shared" si="4355"/>
        <v/>
      </c>
      <c r="FR331" s="72" t="str">
        <f t="shared" si="4356"/>
        <v/>
      </c>
      <c r="FS331" s="72" t="str">
        <f t="shared" si="4357"/>
        <v/>
      </c>
    </row>
    <row r="332" spans="1:175">
      <c r="CN332" s="70" t="str">
        <f t="shared" si="4282"/>
        <v>InitUnitState('',,,,,,,,,,)</v>
      </c>
      <c r="CO332" s="70" t="str">
        <f t="shared" si="4283"/>
        <v>InitUnitNormal('',,,,,,,,,,)</v>
      </c>
      <c r="CP332" s="70" t="str">
        <f t="shared" si="4284"/>
        <v>InitUnitMagic('',,,,,,,,,,)</v>
      </c>
      <c r="CQ332" s="70" t="str">
        <f t="shared" si="4285"/>
        <v>InitUnitAdd('',,,,,,,,,,)</v>
      </c>
      <c r="CR332" s="70" t="str">
        <f t="shared" si="4286"/>
        <v>InitEquipData('',,"",,,,,'','','','','','',"")</v>
      </c>
      <c r="CU332" s="71" t="str">
        <f t="shared" si="4287"/>
        <v>|n</v>
      </c>
      <c r="CW332" s="61"/>
      <c r="CX332" s="61"/>
      <c r="CY332" s="61"/>
      <c r="CZ332" s="61"/>
      <c r="DA332" s="61"/>
      <c r="DB332" s="72" t="str">
        <f t="shared" si="4288"/>
        <v/>
      </c>
      <c r="DC332" s="72" t="str">
        <f t="shared" si="4289"/>
        <v/>
      </c>
      <c r="DD332" s="72" t="str">
        <f t="shared" si="4290"/>
        <v/>
      </c>
      <c r="DE332" s="72" t="str">
        <f t="shared" si="4291"/>
        <v/>
      </c>
      <c r="DF332" s="72" t="str">
        <f t="shared" si="4292"/>
        <v/>
      </c>
      <c r="DG332" s="72" t="str">
        <f t="shared" si="4293"/>
        <v/>
      </c>
      <c r="DH332" s="72" t="str">
        <f t="shared" si="4294"/>
        <v/>
      </c>
      <c r="DI332" s="72" t="str">
        <f t="shared" si="4295"/>
        <v/>
      </c>
      <c r="DJ332" s="72" t="str">
        <f t="shared" si="4296"/>
        <v/>
      </c>
      <c r="DK332" s="72" t="str">
        <f t="shared" si="4297"/>
        <v/>
      </c>
      <c r="DL332" s="72" t="str">
        <f t="shared" si="4298"/>
        <v/>
      </c>
      <c r="DM332" s="72" t="str">
        <f t="shared" si="4299"/>
        <v/>
      </c>
      <c r="DN332" s="72" t="str">
        <f t="shared" si="4300"/>
        <v/>
      </c>
      <c r="DO332" s="72" t="str">
        <f t="shared" si="4301"/>
        <v/>
      </c>
      <c r="DP332" s="72" t="str">
        <f t="shared" si="4302"/>
        <v/>
      </c>
      <c r="DQ332" s="72" t="str">
        <f t="shared" si="4303"/>
        <v/>
      </c>
      <c r="DR332" s="72" t="str">
        <f t="shared" si="4304"/>
        <v/>
      </c>
      <c r="DS332" s="72" t="str">
        <f t="shared" si="4305"/>
        <v/>
      </c>
      <c r="DT332" s="72" t="str">
        <f t="shared" si="4306"/>
        <v/>
      </c>
      <c r="DU332" s="72" t="str">
        <f t="shared" si="4307"/>
        <v/>
      </c>
      <c r="DV332" s="72" t="str">
        <f t="shared" si="4308"/>
        <v/>
      </c>
      <c r="DW332" s="72" t="str">
        <f t="shared" si="4309"/>
        <v/>
      </c>
      <c r="DX332" s="72" t="str">
        <f t="shared" si="4310"/>
        <v/>
      </c>
      <c r="DY332" s="72" t="str">
        <f t="shared" si="4311"/>
        <v/>
      </c>
      <c r="DZ332" s="72" t="str">
        <f t="shared" si="4312"/>
        <v/>
      </c>
      <c r="EA332" s="72" t="str">
        <f t="shared" si="4313"/>
        <v/>
      </c>
      <c r="EB332" s="72" t="str">
        <f t="shared" si="4314"/>
        <v/>
      </c>
      <c r="EC332" s="72" t="str">
        <f t="shared" si="4315"/>
        <v/>
      </c>
      <c r="ED332" s="72" t="str">
        <f t="shared" si="4316"/>
        <v/>
      </c>
      <c r="EE332" s="72" t="str">
        <f t="shared" si="4317"/>
        <v/>
      </c>
      <c r="EF332" s="72" t="str">
        <f t="shared" si="4318"/>
        <v/>
      </c>
      <c r="EG332" s="72" t="str">
        <f t="shared" si="4319"/>
        <v/>
      </c>
      <c r="EH332" s="72" t="str">
        <f t="shared" si="4320"/>
        <v/>
      </c>
      <c r="EI332" s="72" t="str">
        <f t="shared" si="4321"/>
        <v/>
      </c>
      <c r="EJ332" s="72" t="str">
        <f t="shared" si="4322"/>
        <v/>
      </c>
      <c r="EK332" s="72" t="str">
        <f t="shared" si="4323"/>
        <v/>
      </c>
      <c r="EL332" s="72" t="str">
        <f t="shared" si="4324"/>
        <v/>
      </c>
      <c r="EM332" s="72" t="str">
        <f t="shared" si="4325"/>
        <v/>
      </c>
      <c r="EN332" s="72" t="str">
        <f t="shared" si="4326"/>
        <v/>
      </c>
      <c r="EO332" s="72" t="str">
        <f t="shared" si="4327"/>
        <v/>
      </c>
      <c r="EP332" s="72" t="str">
        <f t="shared" si="4328"/>
        <v/>
      </c>
      <c r="EQ332" s="72" t="str">
        <f t="shared" si="4329"/>
        <v/>
      </c>
      <c r="ER332" s="72" t="str">
        <f t="shared" si="4330"/>
        <v/>
      </c>
      <c r="ES332" s="72" t="str">
        <f t="shared" si="4331"/>
        <v/>
      </c>
      <c r="ET332" s="72" t="str">
        <f t="shared" si="4332"/>
        <v/>
      </c>
      <c r="EU332" s="72" t="str">
        <f t="shared" si="4333"/>
        <v/>
      </c>
      <c r="EV332" s="72" t="str">
        <f t="shared" si="4334"/>
        <v/>
      </c>
      <c r="EW332" s="72" t="str">
        <f t="shared" si="4335"/>
        <v/>
      </c>
      <c r="EX332" s="72" t="str">
        <f t="shared" si="4336"/>
        <v/>
      </c>
      <c r="EY332" s="72" t="str">
        <f t="shared" si="4337"/>
        <v/>
      </c>
      <c r="EZ332" s="72" t="str">
        <f t="shared" si="4338"/>
        <v/>
      </c>
      <c r="FA332" s="72" t="str">
        <f t="shared" si="4339"/>
        <v/>
      </c>
      <c r="FB332" s="72" t="str">
        <f t="shared" si="4340"/>
        <v/>
      </c>
      <c r="FC332" s="72" t="str">
        <f t="shared" si="4341"/>
        <v/>
      </c>
      <c r="FD332" s="72" t="str">
        <f t="shared" si="4342"/>
        <v/>
      </c>
      <c r="FE332" s="72" t="str">
        <f t="shared" si="4343"/>
        <v/>
      </c>
      <c r="FF332" s="72" t="str">
        <f t="shared" si="4344"/>
        <v/>
      </c>
      <c r="FG332" s="72" t="str">
        <f t="shared" si="4345"/>
        <v/>
      </c>
      <c r="FH332" s="72" t="str">
        <f t="shared" si="4346"/>
        <v/>
      </c>
      <c r="FI332" s="72" t="str">
        <f t="shared" si="4347"/>
        <v/>
      </c>
      <c r="FJ332" s="72" t="str">
        <f t="shared" si="4348"/>
        <v/>
      </c>
      <c r="FK332" s="72" t="str">
        <f t="shared" si="4349"/>
        <v/>
      </c>
      <c r="FL332" s="72" t="str">
        <f t="shared" si="4350"/>
        <v/>
      </c>
      <c r="FM332" s="72" t="str">
        <f t="shared" si="4351"/>
        <v/>
      </c>
      <c r="FN332" s="72" t="str">
        <f t="shared" si="4352"/>
        <v/>
      </c>
      <c r="FO332" s="72" t="str">
        <f t="shared" si="4353"/>
        <v/>
      </c>
      <c r="FP332" s="72" t="str">
        <f t="shared" si="4354"/>
        <v/>
      </c>
      <c r="FQ332" s="72" t="str">
        <f t="shared" si="4355"/>
        <v/>
      </c>
      <c r="FR332" s="72" t="str">
        <f t="shared" si="4356"/>
        <v/>
      </c>
      <c r="FS332" s="72" t="str">
        <f t="shared" si="4357"/>
        <v/>
      </c>
    </row>
    <row r="333" spans="1:175">
      <c r="CN333" s="70" t="str">
        <f t="shared" si="4282"/>
        <v>InitUnitState('',,,,,,,,,,)</v>
      </c>
      <c r="CO333" s="70" t="str">
        <f t="shared" si="4283"/>
        <v>InitUnitNormal('',,,,,,,,,,)</v>
      </c>
      <c r="CP333" s="70" t="str">
        <f t="shared" si="4284"/>
        <v>InitUnitMagic('',,,,,,,,,,)</v>
      </c>
      <c r="CQ333" s="70" t="str">
        <f t="shared" si="4285"/>
        <v>InitUnitAdd('',,,,,,,,,,)</v>
      </c>
      <c r="CR333" s="70" t="str">
        <f t="shared" si="4286"/>
        <v>InitEquipData('',,"",,,,,'','','','','','',"")</v>
      </c>
      <c r="CU333" s="71" t="str">
        <f t="shared" si="4287"/>
        <v>|n</v>
      </c>
      <c r="CW333" s="61"/>
      <c r="CX333" s="61"/>
      <c r="CY333" s="61"/>
      <c r="CZ333" s="61"/>
      <c r="DA333" s="61"/>
      <c r="DB333" s="72" t="str">
        <f t="shared" si="4288"/>
        <v/>
      </c>
      <c r="DC333" s="72" t="str">
        <f t="shared" si="4289"/>
        <v/>
      </c>
      <c r="DD333" s="72" t="str">
        <f t="shared" si="4290"/>
        <v/>
      </c>
      <c r="DE333" s="72" t="str">
        <f t="shared" si="4291"/>
        <v/>
      </c>
      <c r="DF333" s="72" t="str">
        <f t="shared" si="4292"/>
        <v/>
      </c>
      <c r="DG333" s="72" t="str">
        <f t="shared" si="4293"/>
        <v/>
      </c>
      <c r="DH333" s="72" t="str">
        <f t="shared" si="4294"/>
        <v/>
      </c>
      <c r="DI333" s="72" t="str">
        <f t="shared" si="4295"/>
        <v/>
      </c>
      <c r="DJ333" s="72" t="str">
        <f t="shared" si="4296"/>
        <v/>
      </c>
      <c r="DK333" s="72" t="str">
        <f t="shared" si="4297"/>
        <v/>
      </c>
      <c r="DL333" s="72" t="str">
        <f t="shared" si="4298"/>
        <v/>
      </c>
      <c r="DM333" s="72" t="str">
        <f t="shared" si="4299"/>
        <v/>
      </c>
      <c r="DN333" s="72" t="str">
        <f t="shared" si="4300"/>
        <v/>
      </c>
      <c r="DO333" s="72" t="str">
        <f t="shared" si="4301"/>
        <v/>
      </c>
      <c r="DP333" s="72" t="str">
        <f t="shared" si="4302"/>
        <v/>
      </c>
      <c r="DQ333" s="72" t="str">
        <f t="shared" si="4303"/>
        <v/>
      </c>
      <c r="DR333" s="72" t="str">
        <f t="shared" si="4304"/>
        <v/>
      </c>
      <c r="DS333" s="72" t="str">
        <f t="shared" si="4305"/>
        <v/>
      </c>
      <c r="DT333" s="72" t="str">
        <f t="shared" si="4306"/>
        <v/>
      </c>
      <c r="DU333" s="72" t="str">
        <f t="shared" si="4307"/>
        <v/>
      </c>
      <c r="DV333" s="72" t="str">
        <f t="shared" si="4308"/>
        <v/>
      </c>
      <c r="DW333" s="72" t="str">
        <f t="shared" si="4309"/>
        <v/>
      </c>
      <c r="DX333" s="72" t="str">
        <f t="shared" si="4310"/>
        <v/>
      </c>
      <c r="DY333" s="72" t="str">
        <f t="shared" si="4311"/>
        <v/>
      </c>
      <c r="DZ333" s="72" t="str">
        <f t="shared" si="4312"/>
        <v/>
      </c>
      <c r="EA333" s="72" t="str">
        <f t="shared" si="4313"/>
        <v/>
      </c>
      <c r="EB333" s="72" t="str">
        <f t="shared" si="4314"/>
        <v/>
      </c>
      <c r="EC333" s="72" t="str">
        <f t="shared" si="4315"/>
        <v/>
      </c>
      <c r="ED333" s="72" t="str">
        <f t="shared" si="4316"/>
        <v/>
      </c>
      <c r="EE333" s="72" t="str">
        <f t="shared" si="4317"/>
        <v/>
      </c>
      <c r="EF333" s="72" t="str">
        <f t="shared" si="4318"/>
        <v/>
      </c>
      <c r="EG333" s="72" t="str">
        <f t="shared" si="4319"/>
        <v/>
      </c>
      <c r="EH333" s="72" t="str">
        <f t="shared" si="4320"/>
        <v/>
      </c>
      <c r="EI333" s="72" t="str">
        <f t="shared" si="4321"/>
        <v/>
      </c>
      <c r="EJ333" s="72" t="str">
        <f t="shared" si="4322"/>
        <v/>
      </c>
      <c r="EK333" s="72" t="str">
        <f t="shared" si="4323"/>
        <v/>
      </c>
      <c r="EL333" s="72" t="str">
        <f t="shared" si="4324"/>
        <v/>
      </c>
      <c r="EM333" s="72" t="str">
        <f t="shared" si="4325"/>
        <v/>
      </c>
      <c r="EN333" s="72" t="str">
        <f t="shared" si="4326"/>
        <v/>
      </c>
      <c r="EO333" s="72" t="str">
        <f t="shared" si="4327"/>
        <v/>
      </c>
      <c r="EP333" s="72" t="str">
        <f t="shared" si="4328"/>
        <v/>
      </c>
      <c r="EQ333" s="72" t="str">
        <f t="shared" si="4329"/>
        <v/>
      </c>
      <c r="ER333" s="72" t="str">
        <f t="shared" si="4330"/>
        <v/>
      </c>
      <c r="ES333" s="72" t="str">
        <f t="shared" si="4331"/>
        <v/>
      </c>
      <c r="ET333" s="72" t="str">
        <f t="shared" si="4332"/>
        <v/>
      </c>
      <c r="EU333" s="72" t="str">
        <f t="shared" si="4333"/>
        <v/>
      </c>
      <c r="EV333" s="72" t="str">
        <f t="shared" si="4334"/>
        <v/>
      </c>
      <c r="EW333" s="72" t="str">
        <f t="shared" si="4335"/>
        <v/>
      </c>
      <c r="EX333" s="72" t="str">
        <f t="shared" si="4336"/>
        <v/>
      </c>
      <c r="EY333" s="72" t="str">
        <f t="shared" si="4337"/>
        <v/>
      </c>
      <c r="EZ333" s="72" t="str">
        <f t="shared" si="4338"/>
        <v/>
      </c>
      <c r="FA333" s="72" t="str">
        <f t="shared" si="4339"/>
        <v/>
      </c>
      <c r="FB333" s="72" t="str">
        <f t="shared" si="4340"/>
        <v/>
      </c>
      <c r="FC333" s="72" t="str">
        <f t="shared" si="4341"/>
        <v/>
      </c>
      <c r="FD333" s="72" t="str">
        <f t="shared" si="4342"/>
        <v/>
      </c>
      <c r="FE333" s="72" t="str">
        <f t="shared" si="4343"/>
        <v/>
      </c>
      <c r="FF333" s="72" t="str">
        <f t="shared" si="4344"/>
        <v/>
      </c>
      <c r="FG333" s="72" t="str">
        <f t="shared" si="4345"/>
        <v/>
      </c>
      <c r="FH333" s="72" t="str">
        <f t="shared" si="4346"/>
        <v/>
      </c>
      <c r="FI333" s="72" t="str">
        <f t="shared" si="4347"/>
        <v/>
      </c>
      <c r="FJ333" s="72" t="str">
        <f t="shared" si="4348"/>
        <v/>
      </c>
      <c r="FK333" s="72" t="str">
        <f t="shared" si="4349"/>
        <v/>
      </c>
      <c r="FL333" s="72" t="str">
        <f t="shared" si="4350"/>
        <v/>
      </c>
      <c r="FM333" s="72" t="str">
        <f t="shared" si="4351"/>
        <v/>
      </c>
      <c r="FN333" s="72" t="str">
        <f t="shared" si="4352"/>
        <v/>
      </c>
      <c r="FO333" s="72" t="str">
        <f t="shared" si="4353"/>
        <v/>
      </c>
      <c r="FP333" s="72" t="str">
        <f t="shared" si="4354"/>
        <v/>
      </c>
      <c r="FQ333" s="72" t="str">
        <f t="shared" si="4355"/>
        <v/>
      </c>
      <c r="FR333" s="72" t="str">
        <f t="shared" si="4356"/>
        <v/>
      </c>
      <c r="FS333" s="72" t="str">
        <f t="shared" si="4357"/>
        <v/>
      </c>
    </row>
    <row r="334" spans="1:175">
      <c r="CN334" s="70" t="str">
        <f t="shared" si="4282"/>
        <v>InitUnitState('',,,,,,,,,,)</v>
      </c>
      <c r="CO334" s="70" t="str">
        <f t="shared" si="4283"/>
        <v>InitUnitNormal('',,,,,,,,,,)</v>
      </c>
      <c r="CP334" s="70" t="str">
        <f t="shared" si="4284"/>
        <v>InitUnitMagic('',,,,,,,,,,)</v>
      </c>
      <c r="CQ334" s="70" t="str">
        <f t="shared" si="4285"/>
        <v>InitUnitAdd('',,,,,,,,,,)</v>
      </c>
      <c r="CR334" s="70" t="str">
        <f t="shared" si="4286"/>
        <v>InitEquipData('',,"",,,,,'','','','','','',"")</v>
      </c>
      <c r="CU334" s="71" t="str">
        <f t="shared" si="4287"/>
        <v>|n</v>
      </c>
      <c r="CW334" s="61"/>
      <c r="CX334" s="61"/>
      <c r="CY334" s="61"/>
      <c r="CZ334" s="61"/>
      <c r="DA334" s="61"/>
      <c r="DB334" s="72" t="str">
        <f t="shared" si="4288"/>
        <v/>
      </c>
      <c r="DC334" s="72" t="str">
        <f t="shared" si="4289"/>
        <v/>
      </c>
      <c r="DD334" s="72" t="str">
        <f t="shared" si="4290"/>
        <v/>
      </c>
      <c r="DE334" s="72" t="str">
        <f t="shared" si="4291"/>
        <v/>
      </c>
      <c r="DF334" s="72" t="str">
        <f t="shared" si="4292"/>
        <v/>
      </c>
      <c r="DG334" s="72" t="str">
        <f t="shared" si="4293"/>
        <v/>
      </c>
      <c r="DH334" s="72" t="str">
        <f t="shared" si="4294"/>
        <v/>
      </c>
      <c r="DI334" s="72" t="str">
        <f t="shared" si="4295"/>
        <v/>
      </c>
      <c r="DJ334" s="72" t="str">
        <f t="shared" si="4296"/>
        <v/>
      </c>
      <c r="DK334" s="72" t="str">
        <f t="shared" si="4297"/>
        <v/>
      </c>
      <c r="DL334" s="72" t="str">
        <f t="shared" si="4298"/>
        <v/>
      </c>
      <c r="DM334" s="72" t="str">
        <f t="shared" si="4299"/>
        <v/>
      </c>
      <c r="DN334" s="72" t="str">
        <f t="shared" si="4300"/>
        <v/>
      </c>
      <c r="DO334" s="72" t="str">
        <f t="shared" si="4301"/>
        <v/>
      </c>
      <c r="DP334" s="72" t="str">
        <f t="shared" si="4302"/>
        <v/>
      </c>
      <c r="DQ334" s="72" t="str">
        <f t="shared" si="4303"/>
        <v/>
      </c>
      <c r="DR334" s="72" t="str">
        <f t="shared" si="4304"/>
        <v/>
      </c>
      <c r="DS334" s="72" t="str">
        <f t="shared" si="4305"/>
        <v/>
      </c>
      <c r="DT334" s="72" t="str">
        <f t="shared" si="4306"/>
        <v/>
      </c>
      <c r="DU334" s="72" t="str">
        <f t="shared" si="4307"/>
        <v/>
      </c>
      <c r="DV334" s="72" t="str">
        <f t="shared" si="4308"/>
        <v/>
      </c>
      <c r="DW334" s="72" t="str">
        <f t="shared" si="4309"/>
        <v/>
      </c>
      <c r="DX334" s="72" t="str">
        <f t="shared" si="4310"/>
        <v/>
      </c>
      <c r="DY334" s="72" t="str">
        <f t="shared" si="4311"/>
        <v/>
      </c>
      <c r="DZ334" s="72" t="str">
        <f t="shared" si="4312"/>
        <v/>
      </c>
      <c r="EA334" s="72" t="str">
        <f t="shared" si="4313"/>
        <v/>
      </c>
      <c r="EB334" s="72" t="str">
        <f t="shared" si="4314"/>
        <v/>
      </c>
      <c r="EC334" s="72" t="str">
        <f t="shared" si="4315"/>
        <v/>
      </c>
      <c r="ED334" s="72" t="str">
        <f t="shared" si="4316"/>
        <v/>
      </c>
      <c r="EE334" s="72" t="str">
        <f t="shared" si="4317"/>
        <v/>
      </c>
      <c r="EF334" s="72" t="str">
        <f t="shared" si="4318"/>
        <v/>
      </c>
      <c r="EG334" s="72" t="str">
        <f t="shared" si="4319"/>
        <v/>
      </c>
      <c r="EH334" s="72" t="str">
        <f t="shared" si="4320"/>
        <v/>
      </c>
      <c r="EI334" s="72" t="str">
        <f t="shared" si="4321"/>
        <v/>
      </c>
      <c r="EJ334" s="72" t="str">
        <f t="shared" si="4322"/>
        <v/>
      </c>
      <c r="EK334" s="72" t="str">
        <f t="shared" si="4323"/>
        <v/>
      </c>
      <c r="EL334" s="72" t="str">
        <f t="shared" si="4324"/>
        <v/>
      </c>
      <c r="EM334" s="72" t="str">
        <f t="shared" si="4325"/>
        <v/>
      </c>
      <c r="EN334" s="72" t="str">
        <f t="shared" si="4326"/>
        <v/>
      </c>
      <c r="EO334" s="72" t="str">
        <f t="shared" si="4327"/>
        <v/>
      </c>
      <c r="EP334" s="72" t="str">
        <f t="shared" si="4328"/>
        <v/>
      </c>
      <c r="EQ334" s="72" t="str">
        <f t="shared" si="4329"/>
        <v/>
      </c>
      <c r="ER334" s="72" t="str">
        <f t="shared" si="4330"/>
        <v/>
      </c>
      <c r="ES334" s="72" t="str">
        <f t="shared" si="4331"/>
        <v/>
      </c>
      <c r="ET334" s="72" t="str">
        <f t="shared" si="4332"/>
        <v/>
      </c>
      <c r="EU334" s="72" t="str">
        <f t="shared" si="4333"/>
        <v/>
      </c>
      <c r="EV334" s="72" t="str">
        <f t="shared" si="4334"/>
        <v/>
      </c>
      <c r="EW334" s="72" t="str">
        <f t="shared" si="4335"/>
        <v/>
      </c>
      <c r="EX334" s="72" t="str">
        <f t="shared" si="4336"/>
        <v/>
      </c>
      <c r="EY334" s="72" t="str">
        <f t="shared" si="4337"/>
        <v/>
      </c>
      <c r="EZ334" s="72" t="str">
        <f t="shared" si="4338"/>
        <v/>
      </c>
      <c r="FA334" s="72" t="str">
        <f t="shared" si="4339"/>
        <v/>
      </c>
      <c r="FB334" s="72" t="str">
        <f t="shared" si="4340"/>
        <v/>
      </c>
      <c r="FC334" s="72" t="str">
        <f t="shared" si="4341"/>
        <v/>
      </c>
      <c r="FD334" s="72" t="str">
        <f t="shared" si="4342"/>
        <v/>
      </c>
      <c r="FE334" s="72" t="str">
        <f t="shared" si="4343"/>
        <v/>
      </c>
      <c r="FF334" s="72" t="str">
        <f t="shared" si="4344"/>
        <v/>
      </c>
      <c r="FG334" s="72" t="str">
        <f t="shared" si="4345"/>
        <v/>
      </c>
      <c r="FH334" s="72" t="str">
        <f t="shared" si="4346"/>
        <v/>
      </c>
      <c r="FI334" s="72" t="str">
        <f t="shared" si="4347"/>
        <v/>
      </c>
      <c r="FJ334" s="72" t="str">
        <f t="shared" si="4348"/>
        <v/>
      </c>
      <c r="FK334" s="72" t="str">
        <f t="shared" si="4349"/>
        <v/>
      </c>
      <c r="FL334" s="72" t="str">
        <f t="shared" si="4350"/>
        <v/>
      </c>
      <c r="FM334" s="72" t="str">
        <f t="shared" si="4351"/>
        <v/>
      </c>
      <c r="FN334" s="72" t="str">
        <f t="shared" si="4352"/>
        <v/>
      </c>
      <c r="FO334" s="72" t="str">
        <f t="shared" si="4353"/>
        <v/>
      </c>
      <c r="FP334" s="72" t="str">
        <f t="shared" si="4354"/>
        <v/>
      </c>
      <c r="FQ334" s="72" t="str">
        <f t="shared" si="4355"/>
        <v/>
      </c>
      <c r="FR334" s="72" t="str">
        <f t="shared" si="4356"/>
        <v/>
      </c>
      <c r="FS334" s="72" t="str">
        <f t="shared" si="4357"/>
        <v/>
      </c>
    </row>
    <row r="335" spans="1:175">
      <c r="CN335" s="70" t="str">
        <f t="shared" si="4282"/>
        <v>InitUnitState('',,,,,,,,,,)</v>
      </c>
      <c r="CO335" s="70" t="str">
        <f t="shared" si="4283"/>
        <v>InitUnitNormal('',,,,,,,,,,)</v>
      </c>
      <c r="CP335" s="70" t="str">
        <f t="shared" si="4284"/>
        <v>InitUnitMagic('',,,,,,,,,,)</v>
      </c>
      <c r="CQ335" s="70" t="str">
        <f t="shared" si="4285"/>
        <v>InitUnitAdd('',,,,,,,,,,)</v>
      </c>
      <c r="CR335" s="70" t="str">
        <f t="shared" si="4286"/>
        <v>InitEquipData('',,"",,,,,'','','','','','',"")</v>
      </c>
      <c r="CU335" s="71" t="str">
        <f t="shared" si="4287"/>
        <v>|n</v>
      </c>
      <c r="CW335" s="61"/>
      <c r="CX335" s="61"/>
      <c r="CY335" s="61"/>
      <c r="CZ335" s="61"/>
      <c r="DA335" s="61"/>
      <c r="DB335" s="72" t="str">
        <f t="shared" si="4288"/>
        <v/>
      </c>
      <c r="DC335" s="72" t="str">
        <f t="shared" si="4289"/>
        <v/>
      </c>
      <c r="DD335" s="72" t="str">
        <f t="shared" si="4290"/>
        <v/>
      </c>
      <c r="DE335" s="72" t="str">
        <f t="shared" si="4291"/>
        <v/>
      </c>
      <c r="DF335" s="72" t="str">
        <f t="shared" si="4292"/>
        <v/>
      </c>
      <c r="DG335" s="72" t="str">
        <f t="shared" si="4293"/>
        <v/>
      </c>
      <c r="DH335" s="72" t="str">
        <f t="shared" si="4294"/>
        <v/>
      </c>
      <c r="DI335" s="72" t="str">
        <f t="shared" si="4295"/>
        <v/>
      </c>
      <c r="DJ335" s="72" t="str">
        <f t="shared" si="4296"/>
        <v/>
      </c>
      <c r="DK335" s="72" t="str">
        <f t="shared" si="4297"/>
        <v/>
      </c>
      <c r="DL335" s="72" t="str">
        <f t="shared" si="4298"/>
        <v/>
      </c>
      <c r="DM335" s="72" t="str">
        <f t="shared" si="4299"/>
        <v/>
      </c>
      <c r="DN335" s="72" t="str">
        <f t="shared" si="4300"/>
        <v/>
      </c>
      <c r="DO335" s="72" t="str">
        <f t="shared" si="4301"/>
        <v/>
      </c>
      <c r="DP335" s="72" t="str">
        <f t="shared" si="4302"/>
        <v/>
      </c>
      <c r="DQ335" s="72" t="str">
        <f t="shared" si="4303"/>
        <v/>
      </c>
      <c r="DR335" s="72" t="str">
        <f t="shared" si="4304"/>
        <v/>
      </c>
      <c r="DS335" s="72" t="str">
        <f t="shared" si="4305"/>
        <v/>
      </c>
      <c r="DT335" s="72" t="str">
        <f t="shared" si="4306"/>
        <v/>
      </c>
      <c r="DU335" s="72" t="str">
        <f t="shared" si="4307"/>
        <v/>
      </c>
      <c r="DV335" s="72" t="str">
        <f t="shared" si="4308"/>
        <v/>
      </c>
      <c r="DW335" s="72" t="str">
        <f t="shared" si="4309"/>
        <v/>
      </c>
      <c r="DX335" s="72" t="str">
        <f t="shared" si="4310"/>
        <v/>
      </c>
      <c r="DY335" s="72" t="str">
        <f t="shared" si="4311"/>
        <v/>
      </c>
      <c r="DZ335" s="72" t="str">
        <f t="shared" si="4312"/>
        <v/>
      </c>
      <c r="EA335" s="72" t="str">
        <f t="shared" si="4313"/>
        <v/>
      </c>
      <c r="EB335" s="72" t="str">
        <f t="shared" si="4314"/>
        <v/>
      </c>
      <c r="EC335" s="72" t="str">
        <f t="shared" si="4315"/>
        <v/>
      </c>
      <c r="ED335" s="72" t="str">
        <f t="shared" si="4316"/>
        <v/>
      </c>
      <c r="EE335" s="72" t="str">
        <f t="shared" si="4317"/>
        <v/>
      </c>
      <c r="EF335" s="72" t="str">
        <f t="shared" si="4318"/>
        <v/>
      </c>
      <c r="EG335" s="72" t="str">
        <f t="shared" si="4319"/>
        <v/>
      </c>
      <c r="EH335" s="72" t="str">
        <f t="shared" si="4320"/>
        <v/>
      </c>
      <c r="EI335" s="72" t="str">
        <f t="shared" si="4321"/>
        <v/>
      </c>
      <c r="EJ335" s="72" t="str">
        <f t="shared" si="4322"/>
        <v/>
      </c>
      <c r="EK335" s="72" t="str">
        <f t="shared" si="4323"/>
        <v/>
      </c>
      <c r="EL335" s="72" t="str">
        <f t="shared" si="4324"/>
        <v/>
      </c>
      <c r="EM335" s="72" t="str">
        <f t="shared" si="4325"/>
        <v/>
      </c>
      <c r="EN335" s="72" t="str">
        <f t="shared" si="4326"/>
        <v/>
      </c>
      <c r="EO335" s="72" t="str">
        <f t="shared" si="4327"/>
        <v/>
      </c>
      <c r="EP335" s="72" t="str">
        <f t="shared" si="4328"/>
        <v/>
      </c>
      <c r="EQ335" s="72" t="str">
        <f t="shared" si="4329"/>
        <v/>
      </c>
      <c r="ER335" s="72" t="str">
        <f t="shared" si="4330"/>
        <v/>
      </c>
      <c r="ES335" s="72" t="str">
        <f t="shared" si="4331"/>
        <v/>
      </c>
      <c r="ET335" s="72" t="str">
        <f t="shared" si="4332"/>
        <v/>
      </c>
      <c r="EU335" s="72" t="str">
        <f t="shared" si="4333"/>
        <v/>
      </c>
      <c r="EV335" s="72" t="str">
        <f t="shared" si="4334"/>
        <v/>
      </c>
      <c r="EW335" s="72" t="str">
        <f t="shared" si="4335"/>
        <v/>
      </c>
      <c r="EX335" s="72" t="str">
        <f t="shared" si="4336"/>
        <v/>
      </c>
      <c r="EY335" s="72" t="str">
        <f t="shared" si="4337"/>
        <v/>
      </c>
      <c r="EZ335" s="72" t="str">
        <f t="shared" si="4338"/>
        <v/>
      </c>
      <c r="FA335" s="72" t="str">
        <f t="shared" si="4339"/>
        <v/>
      </c>
      <c r="FB335" s="72" t="str">
        <f t="shared" si="4340"/>
        <v/>
      </c>
      <c r="FC335" s="72" t="str">
        <f t="shared" si="4341"/>
        <v/>
      </c>
      <c r="FD335" s="72" t="str">
        <f t="shared" si="4342"/>
        <v/>
      </c>
      <c r="FE335" s="72" t="str">
        <f t="shared" si="4343"/>
        <v/>
      </c>
      <c r="FF335" s="72" t="str">
        <f t="shared" si="4344"/>
        <v/>
      </c>
      <c r="FG335" s="72" t="str">
        <f t="shared" si="4345"/>
        <v/>
      </c>
      <c r="FH335" s="72" t="str">
        <f t="shared" si="4346"/>
        <v/>
      </c>
      <c r="FI335" s="72" t="str">
        <f t="shared" si="4347"/>
        <v/>
      </c>
      <c r="FJ335" s="72" t="str">
        <f t="shared" si="4348"/>
        <v/>
      </c>
      <c r="FK335" s="72" t="str">
        <f t="shared" si="4349"/>
        <v/>
      </c>
      <c r="FL335" s="72" t="str">
        <f t="shared" si="4350"/>
        <v/>
      </c>
      <c r="FM335" s="72" t="str">
        <f t="shared" si="4351"/>
        <v/>
      </c>
      <c r="FN335" s="72" t="str">
        <f t="shared" si="4352"/>
        <v/>
      </c>
      <c r="FO335" s="72" t="str">
        <f t="shared" si="4353"/>
        <v/>
      </c>
      <c r="FP335" s="72" t="str">
        <f t="shared" si="4354"/>
        <v/>
      </c>
      <c r="FQ335" s="72" t="str">
        <f t="shared" si="4355"/>
        <v/>
      </c>
      <c r="FR335" s="72" t="str">
        <f t="shared" si="4356"/>
        <v/>
      </c>
      <c r="FS335" s="72" t="str">
        <f t="shared" si="4357"/>
        <v/>
      </c>
    </row>
    <row r="336" spans="1:175">
      <c r="CN336" s="70" t="str">
        <f t="shared" si="4282"/>
        <v>InitUnitState('',,,,,,,,,,)</v>
      </c>
      <c r="CO336" s="70" t="str">
        <f t="shared" si="4283"/>
        <v>InitUnitNormal('',,,,,,,,,,)</v>
      </c>
      <c r="CP336" s="70" t="str">
        <f t="shared" si="4284"/>
        <v>InitUnitMagic('',,,,,,,,,,)</v>
      </c>
      <c r="CQ336" s="70" t="str">
        <f t="shared" si="4285"/>
        <v>InitUnitAdd('',,,,,,,,,,)</v>
      </c>
      <c r="CR336" s="70" t="str">
        <f t="shared" si="4286"/>
        <v>InitEquipData('',,"",,,,,'','','','','','',"")</v>
      </c>
      <c r="CU336" s="71" t="str">
        <f t="shared" si="4287"/>
        <v>|n</v>
      </c>
      <c r="CW336" s="61"/>
      <c r="CX336" s="61"/>
      <c r="CY336" s="61"/>
      <c r="CZ336" s="61"/>
      <c r="DA336" s="61"/>
      <c r="DB336" s="72" t="str">
        <f t="shared" si="4288"/>
        <v/>
      </c>
      <c r="DC336" s="72" t="str">
        <f t="shared" si="4289"/>
        <v/>
      </c>
      <c r="DD336" s="72" t="str">
        <f t="shared" si="4290"/>
        <v/>
      </c>
      <c r="DE336" s="72" t="str">
        <f t="shared" si="4291"/>
        <v/>
      </c>
      <c r="DF336" s="72" t="str">
        <f t="shared" si="4292"/>
        <v/>
      </c>
      <c r="DG336" s="72" t="str">
        <f t="shared" si="4293"/>
        <v/>
      </c>
      <c r="DH336" s="72" t="str">
        <f t="shared" si="4294"/>
        <v/>
      </c>
      <c r="DI336" s="72" t="str">
        <f t="shared" si="4295"/>
        <v/>
      </c>
      <c r="DJ336" s="72" t="str">
        <f t="shared" si="4296"/>
        <v/>
      </c>
      <c r="DK336" s="72" t="str">
        <f t="shared" si="4297"/>
        <v/>
      </c>
      <c r="DL336" s="72" t="str">
        <f t="shared" si="4298"/>
        <v/>
      </c>
      <c r="DM336" s="72" t="str">
        <f t="shared" si="4299"/>
        <v/>
      </c>
      <c r="DN336" s="72" t="str">
        <f t="shared" si="4300"/>
        <v/>
      </c>
      <c r="DO336" s="72" t="str">
        <f t="shared" si="4301"/>
        <v/>
      </c>
      <c r="DP336" s="72" t="str">
        <f t="shared" si="4302"/>
        <v/>
      </c>
      <c r="DQ336" s="72" t="str">
        <f t="shared" si="4303"/>
        <v/>
      </c>
      <c r="DR336" s="72" t="str">
        <f t="shared" si="4304"/>
        <v/>
      </c>
      <c r="DS336" s="72" t="str">
        <f t="shared" si="4305"/>
        <v/>
      </c>
      <c r="DT336" s="72" t="str">
        <f t="shared" si="4306"/>
        <v/>
      </c>
      <c r="DU336" s="72" t="str">
        <f t="shared" si="4307"/>
        <v/>
      </c>
      <c r="DV336" s="72" t="str">
        <f t="shared" si="4308"/>
        <v/>
      </c>
      <c r="DW336" s="72" t="str">
        <f t="shared" si="4309"/>
        <v/>
      </c>
      <c r="DX336" s="72" t="str">
        <f t="shared" si="4310"/>
        <v/>
      </c>
      <c r="DY336" s="72" t="str">
        <f t="shared" si="4311"/>
        <v/>
      </c>
      <c r="DZ336" s="72" t="str">
        <f t="shared" si="4312"/>
        <v/>
      </c>
      <c r="EA336" s="72" t="str">
        <f t="shared" si="4313"/>
        <v/>
      </c>
      <c r="EB336" s="72" t="str">
        <f t="shared" si="4314"/>
        <v/>
      </c>
      <c r="EC336" s="72" t="str">
        <f t="shared" si="4315"/>
        <v/>
      </c>
      <c r="ED336" s="72" t="str">
        <f t="shared" si="4316"/>
        <v/>
      </c>
      <c r="EE336" s="72" t="str">
        <f t="shared" si="4317"/>
        <v/>
      </c>
      <c r="EF336" s="72" t="str">
        <f t="shared" si="4318"/>
        <v/>
      </c>
      <c r="EG336" s="72" t="str">
        <f t="shared" si="4319"/>
        <v/>
      </c>
      <c r="EH336" s="72" t="str">
        <f t="shared" si="4320"/>
        <v/>
      </c>
      <c r="EI336" s="72" t="str">
        <f t="shared" si="4321"/>
        <v/>
      </c>
      <c r="EJ336" s="72" t="str">
        <f t="shared" si="4322"/>
        <v/>
      </c>
      <c r="EK336" s="72" t="str">
        <f t="shared" si="4323"/>
        <v/>
      </c>
      <c r="EL336" s="72" t="str">
        <f t="shared" si="4324"/>
        <v/>
      </c>
      <c r="EM336" s="72" t="str">
        <f t="shared" si="4325"/>
        <v/>
      </c>
      <c r="EN336" s="72" t="str">
        <f t="shared" si="4326"/>
        <v/>
      </c>
      <c r="EO336" s="72" t="str">
        <f t="shared" si="4327"/>
        <v/>
      </c>
      <c r="EP336" s="72" t="str">
        <f t="shared" si="4328"/>
        <v/>
      </c>
      <c r="EQ336" s="72" t="str">
        <f t="shared" si="4329"/>
        <v/>
      </c>
      <c r="ER336" s="72" t="str">
        <f t="shared" si="4330"/>
        <v/>
      </c>
      <c r="ES336" s="72" t="str">
        <f t="shared" si="4331"/>
        <v/>
      </c>
      <c r="ET336" s="72" t="str">
        <f t="shared" si="4332"/>
        <v/>
      </c>
      <c r="EU336" s="72" t="str">
        <f t="shared" si="4333"/>
        <v/>
      </c>
      <c r="EV336" s="72" t="str">
        <f t="shared" si="4334"/>
        <v/>
      </c>
      <c r="EW336" s="72" t="str">
        <f t="shared" si="4335"/>
        <v/>
      </c>
      <c r="EX336" s="72" t="str">
        <f t="shared" si="4336"/>
        <v/>
      </c>
      <c r="EY336" s="72" t="str">
        <f t="shared" si="4337"/>
        <v/>
      </c>
      <c r="EZ336" s="72" t="str">
        <f t="shared" si="4338"/>
        <v/>
      </c>
      <c r="FA336" s="72" t="str">
        <f t="shared" si="4339"/>
        <v/>
      </c>
      <c r="FB336" s="72" t="str">
        <f t="shared" si="4340"/>
        <v/>
      </c>
      <c r="FC336" s="72" t="str">
        <f t="shared" si="4341"/>
        <v/>
      </c>
      <c r="FD336" s="72" t="str">
        <f t="shared" si="4342"/>
        <v/>
      </c>
      <c r="FE336" s="72" t="str">
        <f t="shared" si="4343"/>
        <v/>
      </c>
      <c r="FF336" s="72" t="str">
        <f t="shared" si="4344"/>
        <v/>
      </c>
      <c r="FG336" s="72" t="str">
        <f t="shared" si="4345"/>
        <v/>
      </c>
      <c r="FH336" s="72" t="str">
        <f t="shared" si="4346"/>
        <v/>
      </c>
      <c r="FI336" s="72" t="str">
        <f t="shared" si="4347"/>
        <v/>
      </c>
      <c r="FJ336" s="72" t="str">
        <f t="shared" si="4348"/>
        <v/>
      </c>
      <c r="FK336" s="72" t="str">
        <f t="shared" si="4349"/>
        <v/>
      </c>
      <c r="FL336" s="72" t="str">
        <f t="shared" si="4350"/>
        <v/>
      </c>
      <c r="FM336" s="72" t="str">
        <f t="shared" si="4351"/>
        <v/>
      </c>
      <c r="FN336" s="72" t="str">
        <f t="shared" si="4352"/>
        <v/>
      </c>
      <c r="FO336" s="72" t="str">
        <f t="shared" si="4353"/>
        <v/>
      </c>
      <c r="FP336" s="72" t="str">
        <f t="shared" si="4354"/>
        <v/>
      </c>
      <c r="FQ336" s="72" t="str">
        <f t="shared" si="4355"/>
        <v/>
      </c>
      <c r="FR336" s="72" t="str">
        <f t="shared" si="4356"/>
        <v/>
      </c>
      <c r="FS336" s="72" t="str">
        <f t="shared" si="4357"/>
        <v/>
      </c>
    </row>
    <row r="337" spans="92:175">
      <c r="CN337" s="70" t="str">
        <f t="shared" si="4282"/>
        <v>InitUnitState('',,,,,,,,,,)</v>
      </c>
      <c r="CO337" s="70" t="str">
        <f t="shared" si="4283"/>
        <v>InitUnitNormal('',,,,,,,,,,)</v>
      </c>
      <c r="CP337" s="70" t="str">
        <f t="shared" si="4284"/>
        <v>InitUnitMagic('',,,,,,,,,,)</v>
      </c>
      <c r="CQ337" s="70" t="str">
        <f t="shared" si="4285"/>
        <v>InitUnitAdd('',,,,,,,,,,)</v>
      </c>
      <c r="CR337" s="70" t="str">
        <f t="shared" si="4286"/>
        <v>InitEquipData('',,"",,,,,'','','','','','',"")</v>
      </c>
      <c r="CU337" s="71" t="str">
        <f t="shared" ref="CU337:CU375" si="4358">CONCATENATE(DB337,DC337,DD337,DE337,DF337,DG337,DH337,DI337,DJ337,DK337,DL337,DM337,DN337,DO337,DP337,DQ337,DR337,DS337,DT337,DU337,DV337,DW337,DX337,DY337,DZ337,EA337,EB337,EC337,ED337,EE337,EF337,EG337,EH337,EI337,EJ337,EK337,EL337,EM337,EN337,EO337,EP337&amp;"|n")</f>
        <v>|n</v>
      </c>
      <c r="CW337" s="61"/>
      <c r="CX337" s="61"/>
      <c r="CY337" s="61"/>
      <c r="CZ337" s="61"/>
      <c r="DA337" s="61"/>
      <c r="DB337" s="72" t="str">
        <f t="shared" si="4288"/>
        <v/>
      </c>
      <c r="DC337" s="72" t="str">
        <f t="shared" si="4289"/>
        <v/>
      </c>
      <c r="DD337" s="72" t="str">
        <f t="shared" si="4290"/>
        <v/>
      </c>
      <c r="DE337" s="72" t="str">
        <f t="shared" si="4291"/>
        <v/>
      </c>
      <c r="DF337" s="72" t="str">
        <f t="shared" si="4292"/>
        <v/>
      </c>
      <c r="DG337" s="72" t="str">
        <f t="shared" si="4293"/>
        <v/>
      </c>
      <c r="DH337" s="72" t="str">
        <f t="shared" si="4294"/>
        <v/>
      </c>
      <c r="DI337" s="72" t="str">
        <f t="shared" si="4295"/>
        <v/>
      </c>
      <c r="DJ337" s="72" t="str">
        <f t="shared" si="4296"/>
        <v/>
      </c>
      <c r="DK337" s="72" t="str">
        <f t="shared" si="4297"/>
        <v/>
      </c>
      <c r="DL337" s="72" t="str">
        <f t="shared" si="4298"/>
        <v/>
      </c>
      <c r="DM337" s="72" t="str">
        <f t="shared" si="4299"/>
        <v/>
      </c>
      <c r="DN337" s="72" t="str">
        <f t="shared" si="4300"/>
        <v/>
      </c>
      <c r="DO337" s="72" t="str">
        <f t="shared" si="4301"/>
        <v/>
      </c>
      <c r="DP337" s="72" t="str">
        <f t="shared" si="4302"/>
        <v/>
      </c>
      <c r="DQ337" s="72" t="str">
        <f t="shared" si="4303"/>
        <v/>
      </c>
      <c r="DR337" s="72" t="str">
        <f t="shared" si="4304"/>
        <v/>
      </c>
      <c r="DS337" s="72" t="str">
        <f t="shared" si="4305"/>
        <v/>
      </c>
      <c r="DT337" s="72" t="str">
        <f t="shared" si="4306"/>
        <v/>
      </c>
      <c r="DU337" s="72" t="str">
        <f t="shared" si="4307"/>
        <v/>
      </c>
      <c r="DV337" s="72" t="str">
        <f t="shared" si="4308"/>
        <v/>
      </c>
      <c r="DW337" s="72" t="str">
        <f t="shared" si="4309"/>
        <v/>
      </c>
      <c r="DX337" s="72" t="str">
        <f t="shared" si="4310"/>
        <v/>
      </c>
      <c r="DY337" s="72" t="str">
        <f t="shared" si="4311"/>
        <v/>
      </c>
      <c r="DZ337" s="72" t="str">
        <f t="shared" si="4312"/>
        <v/>
      </c>
      <c r="EA337" s="72" t="str">
        <f t="shared" si="4313"/>
        <v/>
      </c>
      <c r="EB337" s="72" t="str">
        <f t="shared" si="4314"/>
        <v/>
      </c>
      <c r="EC337" s="72" t="str">
        <f t="shared" si="4315"/>
        <v/>
      </c>
      <c r="ED337" s="72" t="str">
        <f t="shared" si="4316"/>
        <v/>
      </c>
      <c r="EE337" s="72" t="str">
        <f t="shared" si="4317"/>
        <v/>
      </c>
      <c r="EF337" s="72" t="str">
        <f t="shared" si="4318"/>
        <v/>
      </c>
      <c r="EG337" s="72" t="str">
        <f t="shared" si="4319"/>
        <v/>
      </c>
      <c r="EH337" s="72" t="str">
        <f t="shared" si="4320"/>
        <v/>
      </c>
      <c r="EI337" s="72" t="str">
        <f t="shared" si="4321"/>
        <v/>
      </c>
      <c r="EJ337" s="72" t="str">
        <f t="shared" si="4322"/>
        <v/>
      </c>
      <c r="EK337" s="72" t="str">
        <f t="shared" si="4323"/>
        <v/>
      </c>
      <c r="EL337" s="72" t="str">
        <f t="shared" si="4324"/>
        <v/>
      </c>
      <c r="EM337" s="72" t="str">
        <f t="shared" si="4325"/>
        <v/>
      </c>
      <c r="EN337" s="72" t="str">
        <f t="shared" si="4326"/>
        <v/>
      </c>
      <c r="EO337" s="72" t="str">
        <f t="shared" si="4327"/>
        <v/>
      </c>
      <c r="EP337" s="72" t="str">
        <f t="shared" si="4328"/>
        <v/>
      </c>
      <c r="EQ337" s="72" t="str">
        <f t="shared" si="4329"/>
        <v/>
      </c>
      <c r="ER337" s="72" t="str">
        <f t="shared" si="4330"/>
        <v/>
      </c>
      <c r="ES337" s="72" t="str">
        <f t="shared" si="4331"/>
        <v/>
      </c>
      <c r="ET337" s="72" t="str">
        <f t="shared" si="4332"/>
        <v/>
      </c>
      <c r="EU337" s="72" t="str">
        <f t="shared" si="4333"/>
        <v/>
      </c>
      <c r="EV337" s="72" t="str">
        <f t="shared" si="4334"/>
        <v/>
      </c>
      <c r="EW337" s="72" t="str">
        <f t="shared" si="4335"/>
        <v/>
      </c>
      <c r="EX337" s="72" t="str">
        <f t="shared" si="4336"/>
        <v/>
      </c>
      <c r="EY337" s="72" t="str">
        <f t="shared" si="4337"/>
        <v/>
      </c>
      <c r="EZ337" s="72" t="str">
        <f t="shared" si="4338"/>
        <v/>
      </c>
      <c r="FA337" s="72" t="str">
        <f t="shared" si="4339"/>
        <v/>
      </c>
      <c r="FB337" s="72" t="str">
        <f t="shared" si="4340"/>
        <v/>
      </c>
      <c r="FC337" s="72" t="str">
        <f t="shared" si="4341"/>
        <v/>
      </c>
      <c r="FD337" s="72" t="str">
        <f t="shared" si="4342"/>
        <v/>
      </c>
      <c r="FE337" s="72" t="str">
        <f t="shared" si="4343"/>
        <v/>
      </c>
      <c r="FF337" s="72" t="str">
        <f t="shared" si="4344"/>
        <v/>
      </c>
      <c r="FG337" s="72" t="str">
        <f t="shared" si="4345"/>
        <v/>
      </c>
      <c r="FH337" s="72" t="str">
        <f t="shared" si="4346"/>
        <v/>
      </c>
      <c r="FI337" s="72" t="str">
        <f t="shared" si="4347"/>
        <v/>
      </c>
      <c r="FJ337" s="72" t="str">
        <f t="shared" si="4348"/>
        <v/>
      </c>
      <c r="FK337" s="72" t="str">
        <f t="shared" si="4349"/>
        <v/>
      </c>
      <c r="FL337" s="72" t="str">
        <f t="shared" si="4350"/>
        <v/>
      </c>
      <c r="FM337" s="72" t="str">
        <f t="shared" si="4351"/>
        <v/>
      </c>
      <c r="FN337" s="72" t="str">
        <f t="shared" si="4352"/>
        <v/>
      </c>
      <c r="FO337" s="72" t="str">
        <f t="shared" si="4353"/>
        <v/>
      </c>
      <c r="FP337" s="72" t="str">
        <f t="shared" si="4354"/>
        <v/>
      </c>
      <c r="FQ337" s="72" t="str">
        <f t="shared" si="4355"/>
        <v/>
      </c>
      <c r="FR337" s="72" t="str">
        <f t="shared" si="4356"/>
        <v/>
      </c>
      <c r="FS337" s="72" t="str">
        <f t="shared" si="4357"/>
        <v/>
      </c>
    </row>
    <row r="338" spans="92:175">
      <c r="CN338" s="70" t="str">
        <f t="shared" si="4282"/>
        <v>InitUnitState('',,,,,,,,,,)</v>
      </c>
      <c r="CO338" s="70" t="str">
        <f t="shared" si="4283"/>
        <v>InitUnitNormal('',,,,,,,,,,)</v>
      </c>
      <c r="CP338" s="70" t="str">
        <f t="shared" si="4284"/>
        <v>InitUnitMagic('',,,,,,,,,,)</v>
      </c>
      <c r="CQ338" s="70" t="str">
        <f t="shared" si="4285"/>
        <v>InitUnitAdd('',,,,,,,,,,)</v>
      </c>
      <c r="CR338" s="70" t="str">
        <f t="shared" si="4286"/>
        <v>InitEquipData('',,"",,,,,'','','','','','',"")</v>
      </c>
      <c r="CU338" s="71" t="str">
        <f t="shared" si="4358"/>
        <v>|n</v>
      </c>
      <c r="CW338" s="61"/>
      <c r="CX338" s="61"/>
      <c r="CY338" s="61"/>
      <c r="CZ338" s="61"/>
      <c r="DA338" s="61"/>
      <c r="DB338" s="72" t="str">
        <f t="shared" si="4288"/>
        <v/>
      </c>
      <c r="DC338" s="72" t="str">
        <f t="shared" si="4289"/>
        <v/>
      </c>
      <c r="DD338" s="72" t="str">
        <f t="shared" si="4290"/>
        <v/>
      </c>
      <c r="DE338" s="72" t="str">
        <f t="shared" si="4291"/>
        <v/>
      </c>
      <c r="DF338" s="72" t="str">
        <f t="shared" si="4292"/>
        <v/>
      </c>
      <c r="DG338" s="72" t="str">
        <f t="shared" si="4293"/>
        <v/>
      </c>
      <c r="DH338" s="72" t="str">
        <f t="shared" si="4294"/>
        <v/>
      </c>
      <c r="DI338" s="72" t="str">
        <f t="shared" si="4295"/>
        <v/>
      </c>
      <c r="DJ338" s="72" t="str">
        <f t="shared" si="4296"/>
        <v/>
      </c>
      <c r="DK338" s="72" t="str">
        <f t="shared" si="4297"/>
        <v/>
      </c>
      <c r="DL338" s="72" t="str">
        <f t="shared" si="4298"/>
        <v/>
      </c>
      <c r="DM338" s="72" t="str">
        <f t="shared" si="4299"/>
        <v/>
      </c>
      <c r="DN338" s="72" t="str">
        <f t="shared" si="4300"/>
        <v/>
      </c>
      <c r="DO338" s="72" t="str">
        <f t="shared" si="4301"/>
        <v/>
      </c>
      <c r="DP338" s="72" t="str">
        <f t="shared" si="4302"/>
        <v/>
      </c>
      <c r="DQ338" s="72" t="str">
        <f t="shared" si="4303"/>
        <v/>
      </c>
      <c r="DR338" s="72" t="str">
        <f t="shared" si="4304"/>
        <v/>
      </c>
      <c r="DS338" s="72" t="str">
        <f t="shared" si="4305"/>
        <v/>
      </c>
      <c r="DT338" s="72" t="str">
        <f t="shared" si="4306"/>
        <v/>
      </c>
      <c r="DU338" s="72" t="str">
        <f t="shared" si="4307"/>
        <v/>
      </c>
      <c r="DV338" s="72" t="str">
        <f t="shared" si="4308"/>
        <v/>
      </c>
      <c r="DW338" s="72" t="str">
        <f t="shared" si="4309"/>
        <v/>
      </c>
      <c r="DX338" s="72" t="str">
        <f t="shared" si="4310"/>
        <v/>
      </c>
      <c r="DY338" s="72" t="str">
        <f t="shared" si="4311"/>
        <v/>
      </c>
      <c r="DZ338" s="72" t="str">
        <f t="shared" si="4312"/>
        <v/>
      </c>
      <c r="EA338" s="72" t="str">
        <f t="shared" si="4313"/>
        <v/>
      </c>
      <c r="EB338" s="72" t="str">
        <f t="shared" si="4314"/>
        <v/>
      </c>
      <c r="EC338" s="72" t="str">
        <f t="shared" si="4315"/>
        <v/>
      </c>
      <c r="ED338" s="72" t="str">
        <f t="shared" si="4316"/>
        <v/>
      </c>
      <c r="EE338" s="72" t="str">
        <f t="shared" si="4317"/>
        <v/>
      </c>
      <c r="EF338" s="72" t="str">
        <f t="shared" si="4318"/>
        <v/>
      </c>
      <c r="EG338" s="72" t="str">
        <f t="shared" si="4319"/>
        <v/>
      </c>
      <c r="EH338" s="72" t="str">
        <f t="shared" si="4320"/>
        <v/>
      </c>
      <c r="EI338" s="72" t="str">
        <f t="shared" si="4321"/>
        <v/>
      </c>
      <c r="EJ338" s="72" t="str">
        <f t="shared" si="4322"/>
        <v/>
      </c>
      <c r="EK338" s="72" t="str">
        <f t="shared" si="4323"/>
        <v/>
      </c>
      <c r="EL338" s="72" t="str">
        <f t="shared" si="4324"/>
        <v/>
      </c>
      <c r="EM338" s="72" t="str">
        <f t="shared" si="4325"/>
        <v/>
      </c>
      <c r="EN338" s="72" t="str">
        <f t="shared" si="4326"/>
        <v/>
      </c>
      <c r="EO338" s="72" t="str">
        <f t="shared" si="4327"/>
        <v/>
      </c>
      <c r="EP338" s="72" t="str">
        <f t="shared" si="4328"/>
        <v/>
      </c>
      <c r="EQ338" s="72" t="str">
        <f t="shared" si="4329"/>
        <v/>
      </c>
      <c r="ER338" s="72" t="str">
        <f t="shared" si="4330"/>
        <v/>
      </c>
      <c r="ES338" s="72" t="str">
        <f t="shared" si="4331"/>
        <v/>
      </c>
      <c r="ET338" s="72" t="str">
        <f t="shared" si="4332"/>
        <v/>
      </c>
      <c r="EU338" s="72" t="str">
        <f t="shared" si="4333"/>
        <v/>
      </c>
      <c r="EV338" s="72" t="str">
        <f t="shared" si="4334"/>
        <v/>
      </c>
      <c r="EW338" s="72" t="str">
        <f t="shared" si="4335"/>
        <v/>
      </c>
      <c r="EX338" s="72" t="str">
        <f t="shared" si="4336"/>
        <v/>
      </c>
      <c r="EY338" s="72" t="str">
        <f t="shared" si="4337"/>
        <v/>
      </c>
      <c r="EZ338" s="72" t="str">
        <f t="shared" si="4338"/>
        <v/>
      </c>
      <c r="FA338" s="72" t="str">
        <f t="shared" si="4339"/>
        <v/>
      </c>
      <c r="FB338" s="72" t="str">
        <f t="shared" si="4340"/>
        <v/>
      </c>
      <c r="FC338" s="72" t="str">
        <f t="shared" si="4341"/>
        <v/>
      </c>
      <c r="FD338" s="72" t="str">
        <f t="shared" si="4342"/>
        <v/>
      </c>
      <c r="FE338" s="72" t="str">
        <f t="shared" si="4343"/>
        <v/>
      </c>
      <c r="FF338" s="72" t="str">
        <f t="shared" si="4344"/>
        <v/>
      </c>
      <c r="FG338" s="72" t="str">
        <f t="shared" si="4345"/>
        <v/>
      </c>
      <c r="FH338" s="72" t="str">
        <f t="shared" si="4346"/>
        <v/>
      </c>
      <c r="FI338" s="72" t="str">
        <f t="shared" si="4347"/>
        <v/>
      </c>
      <c r="FJ338" s="72" t="str">
        <f t="shared" si="4348"/>
        <v/>
      </c>
      <c r="FK338" s="72" t="str">
        <f t="shared" si="4349"/>
        <v/>
      </c>
      <c r="FL338" s="72" t="str">
        <f t="shared" si="4350"/>
        <v/>
      </c>
      <c r="FM338" s="72" t="str">
        <f t="shared" si="4351"/>
        <v/>
      </c>
      <c r="FN338" s="72" t="str">
        <f t="shared" si="4352"/>
        <v/>
      </c>
      <c r="FO338" s="72" t="str">
        <f t="shared" si="4353"/>
        <v/>
      </c>
      <c r="FP338" s="72" t="str">
        <f t="shared" si="4354"/>
        <v/>
      </c>
      <c r="FQ338" s="72" t="str">
        <f t="shared" si="4355"/>
        <v/>
      </c>
      <c r="FR338" s="72" t="str">
        <f t="shared" si="4356"/>
        <v/>
      </c>
      <c r="FS338" s="72" t="str">
        <f t="shared" si="4357"/>
        <v/>
      </c>
    </row>
    <row r="339" spans="92:175">
      <c r="CN339" s="70" t="str">
        <f t="shared" si="4282"/>
        <v>InitUnitState('',,,,,,,,,,)</v>
      </c>
      <c r="CO339" s="70" t="str">
        <f t="shared" si="4283"/>
        <v>InitUnitNormal('',,,,,,,,,,)</v>
      </c>
      <c r="CP339" s="70" t="str">
        <f t="shared" si="4284"/>
        <v>InitUnitMagic('',,,,,,,,,,)</v>
      </c>
      <c r="CQ339" s="70" t="str">
        <f t="shared" si="4285"/>
        <v>InitUnitAdd('',,,,,,,,,,)</v>
      </c>
      <c r="CR339" s="70" t="str">
        <f t="shared" si="4286"/>
        <v>InitEquipData('',,"",,,,,'','','','','','',"")</v>
      </c>
      <c r="CU339" s="71" t="str">
        <f t="shared" si="4358"/>
        <v>|n</v>
      </c>
      <c r="CW339" s="61"/>
      <c r="CX339" s="61"/>
      <c r="CY339" s="61"/>
      <c r="CZ339" s="61"/>
      <c r="DA339" s="61"/>
      <c r="DB339" s="72" t="str">
        <f t="shared" si="4288"/>
        <v/>
      </c>
      <c r="DC339" s="72" t="str">
        <f t="shared" si="4289"/>
        <v/>
      </c>
      <c r="DD339" s="72" t="str">
        <f t="shared" si="4290"/>
        <v/>
      </c>
      <c r="DE339" s="72" t="str">
        <f t="shared" si="4291"/>
        <v/>
      </c>
      <c r="DF339" s="72" t="str">
        <f t="shared" si="4292"/>
        <v/>
      </c>
      <c r="DG339" s="72" t="str">
        <f t="shared" si="4293"/>
        <v/>
      </c>
      <c r="DH339" s="72" t="str">
        <f t="shared" si="4294"/>
        <v/>
      </c>
      <c r="DI339" s="72" t="str">
        <f t="shared" si="4295"/>
        <v/>
      </c>
      <c r="DJ339" s="72" t="str">
        <f t="shared" si="4296"/>
        <v/>
      </c>
      <c r="DK339" s="72" t="str">
        <f t="shared" si="4297"/>
        <v/>
      </c>
      <c r="DL339" s="72" t="str">
        <f t="shared" si="4298"/>
        <v/>
      </c>
      <c r="DM339" s="72" t="str">
        <f t="shared" si="4299"/>
        <v/>
      </c>
      <c r="DN339" s="72" t="str">
        <f t="shared" si="4300"/>
        <v/>
      </c>
      <c r="DO339" s="72" t="str">
        <f t="shared" si="4301"/>
        <v/>
      </c>
      <c r="DP339" s="72" t="str">
        <f t="shared" si="4302"/>
        <v/>
      </c>
      <c r="DQ339" s="72" t="str">
        <f t="shared" si="4303"/>
        <v/>
      </c>
      <c r="DR339" s="72" t="str">
        <f t="shared" si="4304"/>
        <v/>
      </c>
      <c r="DS339" s="72" t="str">
        <f t="shared" si="4305"/>
        <v/>
      </c>
      <c r="DT339" s="72" t="str">
        <f t="shared" si="4306"/>
        <v/>
      </c>
      <c r="DU339" s="72" t="str">
        <f t="shared" si="4307"/>
        <v/>
      </c>
      <c r="DV339" s="72" t="str">
        <f t="shared" si="4308"/>
        <v/>
      </c>
      <c r="DW339" s="72" t="str">
        <f t="shared" si="4309"/>
        <v/>
      </c>
      <c r="DX339" s="72" t="str">
        <f t="shared" si="4310"/>
        <v/>
      </c>
      <c r="DY339" s="72" t="str">
        <f t="shared" si="4311"/>
        <v/>
      </c>
      <c r="DZ339" s="72" t="str">
        <f t="shared" si="4312"/>
        <v/>
      </c>
      <c r="EA339" s="72" t="str">
        <f t="shared" si="4313"/>
        <v/>
      </c>
      <c r="EB339" s="72" t="str">
        <f t="shared" si="4314"/>
        <v/>
      </c>
      <c r="EC339" s="72" t="str">
        <f t="shared" si="4315"/>
        <v/>
      </c>
      <c r="ED339" s="72" t="str">
        <f t="shared" si="4316"/>
        <v/>
      </c>
      <c r="EE339" s="72" t="str">
        <f t="shared" si="4317"/>
        <v/>
      </c>
      <c r="EF339" s="72" t="str">
        <f t="shared" si="4318"/>
        <v/>
      </c>
      <c r="EG339" s="72" t="str">
        <f t="shared" si="4319"/>
        <v/>
      </c>
      <c r="EH339" s="72" t="str">
        <f t="shared" si="4320"/>
        <v/>
      </c>
      <c r="EI339" s="72" t="str">
        <f t="shared" si="4321"/>
        <v/>
      </c>
      <c r="EJ339" s="72" t="str">
        <f t="shared" si="4322"/>
        <v/>
      </c>
      <c r="EK339" s="72" t="str">
        <f t="shared" si="4323"/>
        <v/>
      </c>
      <c r="EL339" s="72" t="str">
        <f t="shared" si="4324"/>
        <v/>
      </c>
      <c r="EM339" s="72" t="str">
        <f t="shared" si="4325"/>
        <v/>
      </c>
      <c r="EN339" s="72" t="str">
        <f t="shared" si="4326"/>
        <v/>
      </c>
      <c r="EO339" s="72" t="str">
        <f t="shared" si="4327"/>
        <v/>
      </c>
      <c r="EP339" s="72" t="str">
        <f t="shared" si="4328"/>
        <v/>
      </c>
      <c r="EQ339" s="72" t="str">
        <f t="shared" si="4329"/>
        <v/>
      </c>
      <c r="ER339" s="72" t="str">
        <f t="shared" si="4330"/>
        <v/>
      </c>
      <c r="ES339" s="72" t="str">
        <f t="shared" si="4331"/>
        <v/>
      </c>
      <c r="ET339" s="72" t="str">
        <f t="shared" si="4332"/>
        <v/>
      </c>
      <c r="EU339" s="72" t="str">
        <f t="shared" si="4333"/>
        <v/>
      </c>
      <c r="EV339" s="72" t="str">
        <f t="shared" si="4334"/>
        <v/>
      </c>
      <c r="EW339" s="72" t="str">
        <f t="shared" si="4335"/>
        <v/>
      </c>
      <c r="EX339" s="72" t="str">
        <f t="shared" si="4336"/>
        <v/>
      </c>
      <c r="EY339" s="72" t="str">
        <f t="shared" si="4337"/>
        <v/>
      </c>
      <c r="EZ339" s="72" t="str">
        <f t="shared" si="4338"/>
        <v/>
      </c>
      <c r="FA339" s="72" t="str">
        <f t="shared" si="4339"/>
        <v/>
      </c>
      <c r="FB339" s="72" t="str">
        <f t="shared" si="4340"/>
        <v/>
      </c>
      <c r="FC339" s="72" t="str">
        <f t="shared" si="4341"/>
        <v/>
      </c>
      <c r="FD339" s="72" t="str">
        <f t="shared" si="4342"/>
        <v/>
      </c>
      <c r="FE339" s="72" t="str">
        <f t="shared" si="4343"/>
        <v/>
      </c>
      <c r="FF339" s="72" t="str">
        <f t="shared" si="4344"/>
        <v/>
      </c>
      <c r="FG339" s="72" t="str">
        <f t="shared" si="4345"/>
        <v/>
      </c>
      <c r="FH339" s="72" t="str">
        <f t="shared" si="4346"/>
        <v/>
      </c>
      <c r="FI339" s="72" t="str">
        <f t="shared" si="4347"/>
        <v/>
      </c>
      <c r="FJ339" s="72" t="str">
        <f t="shared" si="4348"/>
        <v/>
      </c>
      <c r="FK339" s="72" t="str">
        <f t="shared" si="4349"/>
        <v/>
      </c>
      <c r="FL339" s="72" t="str">
        <f t="shared" si="4350"/>
        <v/>
      </c>
      <c r="FM339" s="72" t="str">
        <f t="shared" si="4351"/>
        <v/>
      </c>
      <c r="FN339" s="72" t="str">
        <f t="shared" si="4352"/>
        <v/>
      </c>
      <c r="FO339" s="72" t="str">
        <f t="shared" si="4353"/>
        <v/>
      </c>
      <c r="FP339" s="72" t="str">
        <f t="shared" si="4354"/>
        <v/>
      </c>
      <c r="FQ339" s="72" t="str">
        <f t="shared" si="4355"/>
        <v/>
      </c>
      <c r="FR339" s="72" t="str">
        <f t="shared" si="4356"/>
        <v/>
      </c>
      <c r="FS339" s="72" t="str">
        <f t="shared" si="4357"/>
        <v/>
      </c>
    </row>
    <row r="340" spans="92:175">
      <c r="CN340" s="70" t="str">
        <f t="shared" si="4282"/>
        <v>InitUnitState('',,,,,,,,,,)</v>
      </c>
      <c r="CO340" s="70" t="str">
        <f t="shared" si="4283"/>
        <v>InitUnitNormal('',,,,,,,,,,)</v>
      </c>
      <c r="CP340" s="70" t="str">
        <f t="shared" si="4284"/>
        <v>InitUnitMagic('',,,,,,,,,,)</v>
      </c>
      <c r="CQ340" s="70" t="str">
        <f t="shared" si="4285"/>
        <v>InitUnitAdd('',,,,,,,,,,)</v>
      </c>
      <c r="CR340" s="70" t="str">
        <f t="shared" si="4286"/>
        <v>InitEquipData('',,"",,,,,'','','','','','',"")</v>
      </c>
      <c r="CU340" s="71" t="str">
        <f t="shared" si="4358"/>
        <v>|n</v>
      </c>
      <c r="CW340" s="61"/>
      <c r="CX340" s="61"/>
      <c r="CY340" s="61"/>
      <c r="CZ340" s="61"/>
      <c r="DA340" s="61"/>
      <c r="DB340" s="72" t="str">
        <f t="shared" si="4288"/>
        <v/>
      </c>
      <c r="DC340" s="72" t="str">
        <f t="shared" si="4289"/>
        <v/>
      </c>
      <c r="DD340" s="72" t="str">
        <f t="shared" si="4290"/>
        <v/>
      </c>
      <c r="DE340" s="72" t="str">
        <f t="shared" si="4291"/>
        <v/>
      </c>
      <c r="DF340" s="72" t="str">
        <f t="shared" si="4292"/>
        <v/>
      </c>
      <c r="DG340" s="72" t="str">
        <f t="shared" si="4293"/>
        <v/>
      </c>
      <c r="DH340" s="72" t="str">
        <f t="shared" si="4294"/>
        <v/>
      </c>
      <c r="DI340" s="72" t="str">
        <f t="shared" si="4295"/>
        <v/>
      </c>
      <c r="DJ340" s="72" t="str">
        <f t="shared" si="4296"/>
        <v/>
      </c>
      <c r="DK340" s="72" t="str">
        <f t="shared" si="4297"/>
        <v/>
      </c>
      <c r="DL340" s="72" t="str">
        <f t="shared" si="4298"/>
        <v/>
      </c>
      <c r="DM340" s="72" t="str">
        <f t="shared" si="4299"/>
        <v/>
      </c>
      <c r="DN340" s="72" t="str">
        <f t="shared" si="4300"/>
        <v/>
      </c>
      <c r="DO340" s="72" t="str">
        <f t="shared" si="4301"/>
        <v/>
      </c>
      <c r="DP340" s="72" t="str">
        <f t="shared" si="4302"/>
        <v/>
      </c>
      <c r="DQ340" s="72" t="str">
        <f t="shared" si="4303"/>
        <v/>
      </c>
      <c r="DR340" s="72" t="str">
        <f t="shared" si="4304"/>
        <v/>
      </c>
      <c r="DS340" s="72" t="str">
        <f t="shared" si="4305"/>
        <v/>
      </c>
      <c r="DT340" s="72" t="str">
        <f t="shared" si="4306"/>
        <v/>
      </c>
      <c r="DU340" s="72" t="str">
        <f t="shared" si="4307"/>
        <v/>
      </c>
      <c r="DV340" s="72" t="str">
        <f t="shared" si="4308"/>
        <v/>
      </c>
      <c r="DW340" s="72" t="str">
        <f t="shared" si="4309"/>
        <v/>
      </c>
      <c r="DX340" s="72" t="str">
        <f t="shared" si="4310"/>
        <v/>
      </c>
      <c r="DY340" s="72" t="str">
        <f t="shared" si="4311"/>
        <v/>
      </c>
      <c r="DZ340" s="72" t="str">
        <f t="shared" si="4312"/>
        <v/>
      </c>
      <c r="EA340" s="72" t="str">
        <f t="shared" si="4313"/>
        <v/>
      </c>
      <c r="EB340" s="72" t="str">
        <f t="shared" si="4314"/>
        <v/>
      </c>
      <c r="EC340" s="72" t="str">
        <f t="shared" si="4315"/>
        <v/>
      </c>
      <c r="ED340" s="72" t="str">
        <f t="shared" si="4316"/>
        <v/>
      </c>
      <c r="EE340" s="72" t="str">
        <f t="shared" si="4317"/>
        <v/>
      </c>
      <c r="EF340" s="72" t="str">
        <f t="shared" si="4318"/>
        <v/>
      </c>
      <c r="EG340" s="72" t="str">
        <f t="shared" si="4319"/>
        <v/>
      </c>
      <c r="EH340" s="72" t="str">
        <f t="shared" si="4320"/>
        <v/>
      </c>
      <c r="EI340" s="72" t="str">
        <f t="shared" si="4321"/>
        <v/>
      </c>
      <c r="EJ340" s="72" t="str">
        <f t="shared" si="4322"/>
        <v/>
      </c>
      <c r="EK340" s="72" t="str">
        <f t="shared" si="4323"/>
        <v/>
      </c>
      <c r="EL340" s="72" t="str">
        <f t="shared" si="4324"/>
        <v/>
      </c>
      <c r="EM340" s="72" t="str">
        <f t="shared" si="4325"/>
        <v/>
      </c>
      <c r="EN340" s="72" t="str">
        <f t="shared" si="4326"/>
        <v/>
      </c>
      <c r="EO340" s="72" t="str">
        <f t="shared" si="4327"/>
        <v/>
      </c>
      <c r="EP340" s="72" t="str">
        <f t="shared" si="4328"/>
        <v/>
      </c>
      <c r="EQ340" s="72" t="str">
        <f t="shared" si="4329"/>
        <v/>
      </c>
      <c r="ER340" s="72" t="str">
        <f t="shared" si="4330"/>
        <v/>
      </c>
      <c r="ES340" s="72" t="str">
        <f t="shared" si="4331"/>
        <v/>
      </c>
      <c r="ET340" s="72" t="str">
        <f t="shared" si="4332"/>
        <v/>
      </c>
      <c r="EU340" s="72" t="str">
        <f t="shared" si="4333"/>
        <v/>
      </c>
      <c r="EV340" s="72" t="str">
        <f t="shared" si="4334"/>
        <v/>
      </c>
      <c r="EW340" s="72" t="str">
        <f t="shared" si="4335"/>
        <v/>
      </c>
      <c r="EX340" s="72" t="str">
        <f t="shared" si="4336"/>
        <v/>
      </c>
      <c r="EY340" s="72" t="str">
        <f t="shared" si="4337"/>
        <v/>
      </c>
      <c r="EZ340" s="72" t="str">
        <f t="shared" si="4338"/>
        <v/>
      </c>
      <c r="FA340" s="72" t="str">
        <f t="shared" si="4339"/>
        <v/>
      </c>
      <c r="FB340" s="72" t="str">
        <f t="shared" si="4340"/>
        <v/>
      </c>
      <c r="FC340" s="72" t="str">
        <f t="shared" si="4341"/>
        <v/>
      </c>
      <c r="FD340" s="72" t="str">
        <f t="shared" si="4342"/>
        <v/>
      </c>
      <c r="FE340" s="72" t="str">
        <f t="shared" si="4343"/>
        <v/>
      </c>
      <c r="FF340" s="72" t="str">
        <f t="shared" si="4344"/>
        <v/>
      </c>
      <c r="FG340" s="72" t="str">
        <f t="shared" si="4345"/>
        <v/>
      </c>
      <c r="FH340" s="72" t="str">
        <f t="shared" si="4346"/>
        <v/>
      </c>
      <c r="FI340" s="72" t="str">
        <f t="shared" si="4347"/>
        <v/>
      </c>
      <c r="FJ340" s="72" t="str">
        <f t="shared" si="4348"/>
        <v/>
      </c>
      <c r="FK340" s="72" t="str">
        <f t="shared" si="4349"/>
        <v/>
      </c>
      <c r="FL340" s="72" t="str">
        <f t="shared" si="4350"/>
        <v/>
      </c>
      <c r="FM340" s="72" t="str">
        <f t="shared" si="4351"/>
        <v/>
      </c>
      <c r="FN340" s="72" t="str">
        <f t="shared" si="4352"/>
        <v/>
      </c>
      <c r="FO340" s="72" t="str">
        <f t="shared" si="4353"/>
        <v/>
      </c>
      <c r="FP340" s="72" t="str">
        <f t="shared" si="4354"/>
        <v/>
      </c>
      <c r="FQ340" s="72" t="str">
        <f t="shared" si="4355"/>
        <v/>
      </c>
      <c r="FR340" s="72" t="str">
        <f t="shared" si="4356"/>
        <v/>
      </c>
      <c r="FS340" s="72" t="str">
        <f t="shared" si="4357"/>
        <v/>
      </c>
    </row>
    <row r="341" spans="92:175">
      <c r="CN341" s="70" t="str">
        <f t="shared" si="4282"/>
        <v>InitUnitState('',,,,,,,,,,)</v>
      </c>
      <c r="CO341" s="70" t="str">
        <f t="shared" si="4283"/>
        <v>InitUnitNormal('',,,,,,,,,,)</v>
      </c>
      <c r="CP341" s="70" t="str">
        <f t="shared" si="4284"/>
        <v>InitUnitMagic('',,,,,,,,,,)</v>
      </c>
      <c r="CQ341" s="70" t="str">
        <f t="shared" si="4285"/>
        <v>InitUnitAdd('',,,,,,,,,,)</v>
      </c>
      <c r="CR341" s="70" t="str">
        <f t="shared" si="4286"/>
        <v>InitEquipData('',,"",,,,,'','','','','','',"")</v>
      </c>
      <c r="CU341" s="71" t="str">
        <f t="shared" si="4358"/>
        <v>|n</v>
      </c>
      <c r="CW341" s="61"/>
      <c r="CX341" s="61"/>
      <c r="CY341" s="61"/>
      <c r="CZ341" s="61"/>
      <c r="DA341" s="61"/>
      <c r="DB341" s="72" t="str">
        <f t="shared" si="4288"/>
        <v/>
      </c>
      <c r="DC341" s="72" t="str">
        <f t="shared" si="4289"/>
        <v/>
      </c>
      <c r="DD341" s="72" t="str">
        <f t="shared" si="4290"/>
        <v/>
      </c>
      <c r="DE341" s="72" t="str">
        <f t="shared" si="4291"/>
        <v/>
      </c>
      <c r="DF341" s="72" t="str">
        <f t="shared" si="4292"/>
        <v/>
      </c>
      <c r="DG341" s="72" t="str">
        <f t="shared" si="4293"/>
        <v/>
      </c>
      <c r="DH341" s="72" t="str">
        <f t="shared" si="4294"/>
        <v/>
      </c>
      <c r="DI341" s="72" t="str">
        <f t="shared" si="4295"/>
        <v/>
      </c>
      <c r="DJ341" s="72" t="str">
        <f t="shared" si="4296"/>
        <v/>
      </c>
      <c r="DK341" s="72" t="str">
        <f t="shared" si="4297"/>
        <v/>
      </c>
      <c r="DL341" s="72" t="str">
        <f t="shared" si="4298"/>
        <v/>
      </c>
      <c r="DM341" s="72" t="str">
        <f t="shared" si="4299"/>
        <v/>
      </c>
      <c r="DN341" s="72" t="str">
        <f t="shared" si="4300"/>
        <v/>
      </c>
      <c r="DO341" s="72" t="str">
        <f t="shared" si="4301"/>
        <v/>
      </c>
      <c r="DP341" s="72" t="str">
        <f t="shared" si="4302"/>
        <v/>
      </c>
      <c r="DQ341" s="72" t="str">
        <f t="shared" si="4303"/>
        <v/>
      </c>
      <c r="DR341" s="72" t="str">
        <f t="shared" si="4304"/>
        <v/>
      </c>
      <c r="DS341" s="72" t="str">
        <f t="shared" si="4305"/>
        <v/>
      </c>
      <c r="DT341" s="72" t="str">
        <f t="shared" si="4306"/>
        <v/>
      </c>
      <c r="DU341" s="72" t="str">
        <f t="shared" si="4307"/>
        <v/>
      </c>
      <c r="DV341" s="72" t="str">
        <f t="shared" si="4308"/>
        <v/>
      </c>
      <c r="DW341" s="72" t="str">
        <f t="shared" si="4309"/>
        <v/>
      </c>
      <c r="DX341" s="72" t="str">
        <f t="shared" si="4310"/>
        <v/>
      </c>
      <c r="DY341" s="72" t="str">
        <f t="shared" si="4311"/>
        <v/>
      </c>
      <c r="DZ341" s="72" t="str">
        <f t="shared" si="4312"/>
        <v/>
      </c>
      <c r="EA341" s="72" t="str">
        <f t="shared" si="4313"/>
        <v/>
      </c>
      <c r="EB341" s="72" t="str">
        <f t="shared" si="4314"/>
        <v/>
      </c>
      <c r="EC341" s="72" t="str">
        <f t="shared" si="4315"/>
        <v/>
      </c>
      <c r="ED341" s="72" t="str">
        <f t="shared" si="4316"/>
        <v/>
      </c>
      <c r="EE341" s="72" t="str">
        <f t="shared" si="4317"/>
        <v/>
      </c>
      <c r="EF341" s="72" t="str">
        <f t="shared" si="4318"/>
        <v/>
      </c>
      <c r="EG341" s="72" t="str">
        <f t="shared" si="4319"/>
        <v/>
      </c>
      <c r="EH341" s="72" t="str">
        <f t="shared" si="4320"/>
        <v/>
      </c>
      <c r="EI341" s="72" t="str">
        <f t="shared" si="4321"/>
        <v/>
      </c>
      <c r="EJ341" s="72" t="str">
        <f t="shared" si="4322"/>
        <v/>
      </c>
      <c r="EK341" s="72" t="str">
        <f t="shared" si="4323"/>
        <v/>
      </c>
      <c r="EL341" s="72" t="str">
        <f t="shared" si="4324"/>
        <v/>
      </c>
      <c r="EM341" s="72" t="str">
        <f t="shared" si="4325"/>
        <v/>
      </c>
      <c r="EN341" s="72" t="str">
        <f t="shared" si="4326"/>
        <v/>
      </c>
      <c r="EO341" s="72" t="str">
        <f t="shared" si="4327"/>
        <v/>
      </c>
      <c r="EP341" s="72" t="str">
        <f t="shared" si="4328"/>
        <v/>
      </c>
      <c r="EQ341" s="72" t="str">
        <f t="shared" si="4329"/>
        <v/>
      </c>
      <c r="ER341" s="72" t="str">
        <f t="shared" si="4330"/>
        <v/>
      </c>
      <c r="ES341" s="72" t="str">
        <f t="shared" si="4331"/>
        <v/>
      </c>
      <c r="ET341" s="72" t="str">
        <f t="shared" si="4332"/>
        <v/>
      </c>
      <c r="EU341" s="72" t="str">
        <f t="shared" si="4333"/>
        <v/>
      </c>
      <c r="EV341" s="72" t="str">
        <f t="shared" si="4334"/>
        <v/>
      </c>
      <c r="EW341" s="72" t="str">
        <f t="shared" si="4335"/>
        <v/>
      </c>
      <c r="EX341" s="72" t="str">
        <f t="shared" si="4336"/>
        <v/>
      </c>
      <c r="EY341" s="72" t="str">
        <f t="shared" si="4337"/>
        <v/>
      </c>
      <c r="EZ341" s="72" t="str">
        <f t="shared" si="4338"/>
        <v/>
      </c>
      <c r="FA341" s="72" t="str">
        <f t="shared" si="4339"/>
        <v/>
      </c>
      <c r="FB341" s="72" t="str">
        <f t="shared" si="4340"/>
        <v/>
      </c>
      <c r="FC341" s="72" t="str">
        <f t="shared" si="4341"/>
        <v/>
      </c>
      <c r="FD341" s="72" t="str">
        <f t="shared" si="4342"/>
        <v/>
      </c>
      <c r="FE341" s="72" t="str">
        <f t="shared" si="4343"/>
        <v/>
      </c>
      <c r="FF341" s="72" t="str">
        <f t="shared" si="4344"/>
        <v/>
      </c>
      <c r="FG341" s="72" t="str">
        <f t="shared" si="4345"/>
        <v/>
      </c>
      <c r="FH341" s="72" t="str">
        <f t="shared" si="4346"/>
        <v/>
      </c>
      <c r="FI341" s="72" t="str">
        <f t="shared" si="4347"/>
        <v/>
      </c>
      <c r="FJ341" s="72" t="str">
        <f t="shared" si="4348"/>
        <v/>
      </c>
      <c r="FK341" s="72" t="str">
        <f t="shared" si="4349"/>
        <v/>
      </c>
      <c r="FL341" s="72" t="str">
        <f t="shared" si="4350"/>
        <v/>
      </c>
      <c r="FM341" s="72" t="str">
        <f t="shared" si="4351"/>
        <v/>
      </c>
      <c r="FN341" s="72" t="str">
        <f t="shared" si="4352"/>
        <v/>
      </c>
      <c r="FO341" s="72" t="str">
        <f t="shared" si="4353"/>
        <v/>
      </c>
      <c r="FP341" s="72" t="str">
        <f t="shared" si="4354"/>
        <v/>
      </c>
      <c r="FQ341" s="72" t="str">
        <f t="shared" si="4355"/>
        <v/>
      </c>
      <c r="FR341" s="72" t="str">
        <f t="shared" si="4356"/>
        <v/>
      </c>
      <c r="FS341" s="72" t="str">
        <f t="shared" si="4357"/>
        <v/>
      </c>
    </row>
    <row r="342" spans="92:175">
      <c r="CN342" s="70" t="str">
        <f t="shared" si="4282"/>
        <v>InitUnitState('',,,,,,,,,,)</v>
      </c>
      <c r="CO342" s="70" t="str">
        <f t="shared" si="4283"/>
        <v>InitUnitNormal('',,,,,,,,,,)</v>
      </c>
      <c r="CP342" s="70" t="str">
        <f t="shared" si="4284"/>
        <v>InitUnitMagic('',,,,,,,,,,)</v>
      </c>
      <c r="CQ342" s="70" t="str">
        <f t="shared" si="4285"/>
        <v>InitUnitAdd('',,,,,,,,,,)</v>
      </c>
      <c r="CR342" s="70" t="str">
        <f t="shared" si="4286"/>
        <v>InitEquipData('',,"",,,,,'','','','','','',"")</v>
      </c>
      <c r="CU342" s="71" t="str">
        <f t="shared" si="4358"/>
        <v>|n</v>
      </c>
      <c r="CW342" s="61"/>
      <c r="CX342" s="61"/>
      <c r="CY342" s="61"/>
      <c r="CZ342" s="61"/>
      <c r="DA342" s="61"/>
      <c r="DB342" s="72" t="str">
        <f t="shared" si="4288"/>
        <v/>
      </c>
      <c r="DC342" s="72" t="str">
        <f t="shared" si="4289"/>
        <v/>
      </c>
      <c r="DD342" s="72" t="str">
        <f t="shared" si="4290"/>
        <v/>
      </c>
      <c r="DE342" s="72" t="str">
        <f t="shared" si="4291"/>
        <v/>
      </c>
      <c r="DF342" s="72" t="str">
        <f t="shared" si="4292"/>
        <v/>
      </c>
      <c r="DG342" s="72" t="str">
        <f t="shared" si="4293"/>
        <v/>
      </c>
      <c r="DH342" s="72" t="str">
        <f t="shared" si="4294"/>
        <v/>
      </c>
      <c r="DI342" s="72" t="str">
        <f t="shared" si="4295"/>
        <v/>
      </c>
      <c r="DJ342" s="72" t="str">
        <f t="shared" si="4296"/>
        <v/>
      </c>
      <c r="DK342" s="72" t="str">
        <f t="shared" si="4297"/>
        <v/>
      </c>
      <c r="DL342" s="72" t="str">
        <f t="shared" si="4298"/>
        <v/>
      </c>
      <c r="DM342" s="72" t="str">
        <f t="shared" si="4299"/>
        <v/>
      </c>
      <c r="DN342" s="72" t="str">
        <f t="shared" si="4300"/>
        <v/>
      </c>
      <c r="DO342" s="72" t="str">
        <f t="shared" si="4301"/>
        <v/>
      </c>
      <c r="DP342" s="72" t="str">
        <f t="shared" si="4302"/>
        <v/>
      </c>
      <c r="DQ342" s="72" t="str">
        <f t="shared" si="4303"/>
        <v/>
      </c>
      <c r="DR342" s="72" t="str">
        <f t="shared" si="4304"/>
        <v/>
      </c>
      <c r="DS342" s="72" t="str">
        <f t="shared" si="4305"/>
        <v/>
      </c>
      <c r="DT342" s="72" t="str">
        <f t="shared" si="4306"/>
        <v/>
      </c>
      <c r="DU342" s="72" t="str">
        <f t="shared" si="4307"/>
        <v/>
      </c>
      <c r="DV342" s="72" t="str">
        <f t="shared" si="4308"/>
        <v/>
      </c>
      <c r="DW342" s="72" t="str">
        <f t="shared" si="4309"/>
        <v/>
      </c>
      <c r="DX342" s="72" t="str">
        <f t="shared" si="4310"/>
        <v/>
      </c>
      <c r="DY342" s="72" t="str">
        <f t="shared" si="4311"/>
        <v/>
      </c>
      <c r="DZ342" s="72" t="str">
        <f t="shared" si="4312"/>
        <v/>
      </c>
      <c r="EA342" s="72" t="str">
        <f t="shared" si="4313"/>
        <v/>
      </c>
      <c r="EB342" s="72" t="str">
        <f t="shared" si="4314"/>
        <v/>
      </c>
      <c r="EC342" s="72" t="str">
        <f t="shared" si="4315"/>
        <v/>
      </c>
      <c r="ED342" s="72" t="str">
        <f t="shared" si="4316"/>
        <v/>
      </c>
      <c r="EE342" s="72" t="str">
        <f t="shared" si="4317"/>
        <v/>
      </c>
      <c r="EF342" s="72" t="str">
        <f t="shared" si="4318"/>
        <v/>
      </c>
      <c r="EG342" s="72" t="str">
        <f t="shared" si="4319"/>
        <v/>
      </c>
      <c r="EH342" s="72" t="str">
        <f t="shared" si="4320"/>
        <v/>
      </c>
      <c r="EI342" s="72" t="str">
        <f t="shared" si="4321"/>
        <v/>
      </c>
      <c r="EJ342" s="72" t="str">
        <f t="shared" si="4322"/>
        <v/>
      </c>
      <c r="EK342" s="72" t="str">
        <f t="shared" si="4323"/>
        <v/>
      </c>
      <c r="EL342" s="72" t="str">
        <f t="shared" si="4324"/>
        <v/>
      </c>
      <c r="EM342" s="72" t="str">
        <f t="shared" si="4325"/>
        <v/>
      </c>
      <c r="EN342" s="72" t="str">
        <f t="shared" si="4326"/>
        <v/>
      </c>
      <c r="EO342" s="72" t="str">
        <f t="shared" si="4327"/>
        <v/>
      </c>
      <c r="EP342" s="72" t="str">
        <f t="shared" si="4328"/>
        <v/>
      </c>
      <c r="EQ342" s="72" t="str">
        <f t="shared" si="4329"/>
        <v/>
      </c>
      <c r="ER342" s="72" t="str">
        <f t="shared" si="4330"/>
        <v/>
      </c>
      <c r="ES342" s="72" t="str">
        <f t="shared" si="4331"/>
        <v/>
      </c>
      <c r="ET342" s="72" t="str">
        <f t="shared" si="4332"/>
        <v/>
      </c>
      <c r="EU342" s="72" t="str">
        <f t="shared" si="4333"/>
        <v/>
      </c>
      <c r="EV342" s="72" t="str">
        <f t="shared" si="4334"/>
        <v/>
      </c>
      <c r="EW342" s="72" t="str">
        <f t="shared" si="4335"/>
        <v/>
      </c>
      <c r="EX342" s="72" t="str">
        <f t="shared" si="4336"/>
        <v/>
      </c>
      <c r="EY342" s="72" t="str">
        <f t="shared" si="4337"/>
        <v/>
      </c>
      <c r="EZ342" s="72" t="str">
        <f t="shared" si="4338"/>
        <v/>
      </c>
      <c r="FA342" s="72" t="str">
        <f t="shared" si="4339"/>
        <v/>
      </c>
      <c r="FB342" s="72" t="str">
        <f t="shared" si="4340"/>
        <v/>
      </c>
      <c r="FC342" s="72" t="str">
        <f t="shared" si="4341"/>
        <v/>
      </c>
      <c r="FD342" s="72" t="str">
        <f t="shared" si="4342"/>
        <v/>
      </c>
      <c r="FE342" s="72" t="str">
        <f t="shared" si="4343"/>
        <v/>
      </c>
      <c r="FF342" s="72" t="str">
        <f t="shared" si="4344"/>
        <v/>
      </c>
      <c r="FG342" s="72" t="str">
        <f t="shared" si="4345"/>
        <v/>
      </c>
      <c r="FH342" s="72" t="str">
        <f t="shared" si="4346"/>
        <v/>
      </c>
      <c r="FI342" s="72" t="str">
        <f t="shared" si="4347"/>
        <v/>
      </c>
      <c r="FJ342" s="72" t="str">
        <f t="shared" si="4348"/>
        <v/>
      </c>
      <c r="FK342" s="72" t="str">
        <f t="shared" si="4349"/>
        <v/>
      </c>
      <c r="FL342" s="72" t="str">
        <f t="shared" si="4350"/>
        <v/>
      </c>
      <c r="FM342" s="72" t="str">
        <f t="shared" si="4351"/>
        <v/>
      </c>
      <c r="FN342" s="72" t="str">
        <f t="shared" si="4352"/>
        <v/>
      </c>
      <c r="FO342" s="72" t="str">
        <f t="shared" si="4353"/>
        <v/>
      </c>
      <c r="FP342" s="72" t="str">
        <f t="shared" si="4354"/>
        <v/>
      </c>
      <c r="FQ342" s="72" t="str">
        <f t="shared" si="4355"/>
        <v/>
      </c>
      <c r="FR342" s="72" t="str">
        <f t="shared" si="4356"/>
        <v/>
      </c>
      <c r="FS342" s="72" t="str">
        <f t="shared" si="4357"/>
        <v/>
      </c>
    </row>
    <row r="343" spans="92:175">
      <c r="CN343" s="70" t="str">
        <f t="shared" si="4282"/>
        <v>InitUnitState('',,,,,,,,,,)</v>
      </c>
      <c r="CO343" s="70" t="str">
        <f t="shared" si="4283"/>
        <v>InitUnitNormal('',,,,,,,,,,)</v>
      </c>
      <c r="CP343" s="70" t="str">
        <f t="shared" si="4284"/>
        <v>InitUnitMagic('',,,,,,,,,,)</v>
      </c>
      <c r="CQ343" s="70" t="str">
        <f t="shared" si="4285"/>
        <v>InitUnitAdd('',,,,,,,,,,)</v>
      </c>
      <c r="CR343" s="70" t="str">
        <f t="shared" si="4286"/>
        <v>InitEquipData('',,"",,,,,'','','','','','',"")</v>
      </c>
      <c r="CU343" s="71" t="str">
        <f t="shared" si="4358"/>
        <v>|n</v>
      </c>
      <c r="CW343" s="61"/>
      <c r="CX343" s="61"/>
      <c r="CY343" s="61"/>
      <c r="CZ343" s="61"/>
      <c r="DA343" s="61"/>
      <c r="DB343" s="72" t="str">
        <f t="shared" si="4288"/>
        <v/>
      </c>
      <c r="DC343" s="72" t="str">
        <f t="shared" si="4289"/>
        <v/>
      </c>
      <c r="DD343" s="72" t="str">
        <f t="shared" si="4290"/>
        <v/>
      </c>
      <c r="DE343" s="72" t="str">
        <f t="shared" si="4291"/>
        <v/>
      </c>
      <c r="DF343" s="72" t="str">
        <f t="shared" si="4292"/>
        <v/>
      </c>
      <c r="DG343" s="72" t="str">
        <f t="shared" si="4293"/>
        <v/>
      </c>
      <c r="DH343" s="72" t="str">
        <f t="shared" si="4294"/>
        <v/>
      </c>
      <c r="DI343" s="72" t="str">
        <f t="shared" si="4295"/>
        <v/>
      </c>
      <c r="DJ343" s="72" t="str">
        <f t="shared" si="4296"/>
        <v/>
      </c>
      <c r="DK343" s="72" t="str">
        <f t="shared" si="4297"/>
        <v/>
      </c>
      <c r="DL343" s="72" t="str">
        <f t="shared" si="4298"/>
        <v/>
      </c>
      <c r="DM343" s="72" t="str">
        <f t="shared" si="4299"/>
        <v/>
      </c>
      <c r="DN343" s="72" t="str">
        <f t="shared" si="4300"/>
        <v/>
      </c>
      <c r="DO343" s="72" t="str">
        <f t="shared" si="4301"/>
        <v/>
      </c>
      <c r="DP343" s="72" t="str">
        <f t="shared" si="4302"/>
        <v/>
      </c>
      <c r="DQ343" s="72" t="str">
        <f t="shared" si="4303"/>
        <v/>
      </c>
      <c r="DR343" s="72" t="str">
        <f t="shared" si="4304"/>
        <v/>
      </c>
      <c r="DS343" s="72" t="str">
        <f t="shared" si="4305"/>
        <v/>
      </c>
      <c r="DT343" s="72" t="str">
        <f t="shared" si="4306"/>
        <v/>
      </c>
      <c r="DU343" s="72" t="str">
        <f t="shared" si="4307"/>
        <v/>
      </c>
      <c r="DV343" s="72" t="str">
        <f t="shared" si="4308"/>
        <v/>
      </c>
      <c r="DW343" s="72" t="str">
        <f t="shared" si="4309"/>
        <v/>
      </c>
      <c r="DX343" s="72" t="str">
        <f t="shared" si="4310"/>
        <v/>
      </c>
      <c r="DY343" s="72" t="str">
        <f t="shared" si="4311"/>
        <v/>
      </c>
      <c r="DZ343" s="72" t="str">
        <f t="shared" si="4312"/>
        <v/>
      </c>
      <c r="EA343" s="72" t="str">
        <f t="shared" si="4313"/>
        <v/>
      </c>
      <c r="EB343" s="72" t="str">
        <f t="shared" si="4314"/>
        <v/>
      </c>
      <c r="EC343" s="72" t="str">
        <f t="shared" si="4315"/>
        <v/>
      </c>
      <c r="ED343" s="72" t="str">
        <f t="shared" si="4316"/>
        <v/>
      </c>
      <c r="EE343" s="72" t="str">
        <f t="shared" si="4317"/>
        <v/>
      </c>
      <c r="EF343" s="72" t="str">
        <f t="shared" si="4318"/>
        <v/>
      </c>
      <c r="EG343" s="72" t="str">
        <f t="shared" si="4319"/>
        <v/>
      </c>
      <c r="EH343" s="72" t="str">
        <f t="shared" si="4320"/>
        <v/>
      </c>
      <c r="EI343" s="72" t="str">
        <f t="shared" si="4321"/>
        <v/>
      </c>
      <c r="EJ343" s="72" t="str">
        <f t="shared" si="4322"/>
        <v/>
      </c>
      <c r="EK343" s="72" t="str">
        <f t="shared" si="4323"/>
        <v/>
      </c>
      <c r="EL343" s="72" t="str">
        <f t="shared" si="4324"/>
        <v/>
      </c>
      <c r="EM343" s="72" t="str">
        <f t="shared" si="4325"/>
        <v/>
      </c>
      <c r="EN343" s="72" t="str">
        <f t="shared" si="4326"/>
        <v/>
      </c>
      <c r="EO343" s="72" t="str">
        <f t="shared" si="4327"/>
        <v/>
      </c>
      <c r="EP343" s="72" t="str">
        <f t="shared" si="4328"/>
        <v/>
      </c>
      <c r="EQ343" s="72" t="str">
        <f t="shared" si="4329"/>
        <v/>
      </c>
      <c r="ER343" s="72" t="str">
        <f t="shared" si="4330"/>
        <v/>
      </c>
      <c r="ES343" s="72" t="str">
        <f t="shared" si="4331"/>
        <v/>
      </c>
      <c r="ET343" s="72" t="str">
        <f t="shared" si="4332"/>
        <v/>
      </c>
      <c r="EU343" s="72" t="str">
        <f t="shared" si="4333"/>
        <v/>
      </c>
      <c r="EV343" s="72" t="str">
        <f t="shared" si="4334"/>
        <v/>
      </c>
      <c r="EW343" s="72" t="str">
        <f t="shared" si="4335"/>
        <v/>
      </c>
      <c r="EX343" s="72" t="str">
        <f t="shared" si="4336"/>
        <v/>
      </c>
      <c r="EY343" s="72" t="str">
        <f t="shared" si="4337"/>
        <v/>
      </c>
      <c r="EZ343" s="72" t="str">
        <f t="shared" si="4338"/>
        <v/>
      </c>
      <c r="FA343" s="72" t="str">
        <f t="shared" si="4339"/>
        <v/>
      </c>
      <c r="FB343" s="72" t="str">
        <f t="shared" si="4340"/>
        <v/>
      </c>
      <c r="FC343" s="72" t="str">
        <f t="shared" si="4341"/>
        <v/>
      </c>
      <c r="FD343" s="72" t="str">
        <f t="shared" si="4342"/>
        <v/>
      </c>
      <c r="FE343" s="72" t="str">
        <f t="shared" si="4343"/>
        <v/>
      </c>
      <c r="FF343" s="72" t="str">
        <f t="shared" si="4344"/>
        <v/>
      </c>
      <c r="FG343" s="72" t="str">
        <f t="shared" si="4345"/>
        <v/>
      </c>
      <c r="FH343" s="72" t="str">
        <f t="shared" si="4346"/>
        <v/>
      </c>
      <c r="FI343" s="72" t="str">
        <f t="shared" si="4347"/>
        <v/>
      </c>
      <c r="FJ343" s="72" t="str">
        <f t="shared" si="4348"/>
        <v/>
      </c>
      <c r="FK343" s="72" t="str">
        <f t="shared" si="4349"/>
        <v/>
      </c>
      <c r="FL343" s="72" t="str">
        <f t="shared" si="4350"/>
        <v/>
      </c>
      <c r="FM343" s="72" t="str">
        <f t="shared" si="4351"/>
        <v/>
      </c>
      <c r="FN343" s="72" t="str">
        <f t="shared" si="4352"/>
        <v/>
      </c>
      <c r="FO343" s="72" t="str">
        <f t="shared" si="4353"/>
        <v/>
      </c>
      <c r="FP343" s="72" t="str">
        <f t="shared" si="4354"/>
        <v/>
      </c>
      <c r="FQ343" s="72" t="str">
        <f t="shared" si="4355"/>
        <v/>
      </c>
      <c r="FR343" s="72" t="str">
        <f t="shared" si="4356"/>
        <v/>
      </c>
      <c r="FS343" s="72" t="str">
        <f t="shared" si="4357"/>
        <v/>
      </c>
    </row>
    <row r="344" spans="92:175">
      <c r="CN344" s="70" t="str">
        <f t="shared" si="4282"/>
        <v>InitUnitState('',,,,,,,,,,)</v>
      </c>
      <c r="CO344" s="70" t="str">
        <f t="shared" si="4283"/>
        <v>InitUnitNormal('',,,,,,,,,,)</v>
      </c>
      <c r="CP344" s="70" t="str">
        <f t="shared" si="4284"/>
        <v>InitUnitMagic('',,,,,,,,,,)</v>
      </c>
      <c r="CQ344" s="70" t="str">
        <f t="shared" si="4285"/>
        <v>InitUnitAdd('',,,,,,,,,,)</v>
      </c>
      <c r="CR344" s="70" t="str">
        <f t="shared" si="4286"/>
        <v>InitEquipData('',,"",,,,,'','','','','','',"")</v>
      </c>
      <c r="CU344" s="71" t="str">
        <f t="shared" si="4358"/>
        <v>|n</v>
      </c>
      <c r="CW344" s="61"/>
      <c r="CX344" s="61"/>
      <c r="CY344" s="61"/>
      <c r="CZ344" s="61"/>
      <c r="DA344" s="61"/>
      <c r="DB344" s="72" t="str">
        <f t="shared" si="4288"/>
        <v/>
      </c>
      <c r="DC344" s="72" t="str">
        <f t="shared" si="4289"/>
        <v/>
      </c>
      <c r="DD344" s="72" t="str">
        <f t="shared" si="4290"/>
        <v/>
      </c>
      <c r="DE344" s="72" t="str">
        <f t="shared" si="4291"/>
        <v/>
      </c>
      <c r="DF344" s="72" t="str">
        <f t="shared" si="4292"/>
        <v/>
      </c>
      <c r="DG344" s="72" t="str">
        <f t="shared" si="4293"/>
        <v/>
      </c>
      <c r="DH344" s="72" t="str">
        <f t="shared" si="4294"/>
        <v/>
      </c>
      <c r="DI344" s="72" t="str">
        <f t="shared" si="4295"/>
        <v/>
      </c>
      <c r="DJ344" s="72" t="str">
        <f t="shared" si="4296"/>
        <v/>
      </c>
      <c r="DK344" s="72" t="str">
        <f t="shared" si="4297"/>
        <v/>
      </c>
      <c r="DL344" s="72" t="str">
        <f t="shared" si="4298"/>
        <v/>
      </c>
      <c r="DM344" s="72" t="str">
        <f t="shared" si="4299"/>
        <v/>
      </c>
      <c r="DN344" s="72" t="str">
        <f t="shared" si="4300"/>
        <v/>
      </c>
      <c r="DO344" s="72" t="str">
        <f t="shared" si="4301"/>
        <v/>
      </c>
      <c r="DP344" s="72" t="str">
        <f t="shared" si="4302"/>
        <v/>
      </c>
      <c r="DQ344" s="72" t="str">
        <f t="shared" si="4303"/>
        <v/>
      </c>
      <c r="DR344" s="72" t="str">
        <f t="shared" si="4304"/>
        <v/>
      </c>
      <c r="DS344" s="72" t="str">
        <f t="shared" si="4305"/>
        <v/>
      </c>
      <c r="DT344" s="72" t="str">
        <f t="shared" si="4306"/>
        <v/>
      </c>
      <c r="DU344" s="72" t="str">
        <f t="shared" si="4307"/>
        <v/>
      </c>
      <c r="DV344" s="72" t="str">
        <f t="shared" si="4308"/>
        <v/>
      </c>
      <c r="DW344" s="72" t="str">
        <f t="shared" si="4309"/>
        <v/>
      </c>
      <c r="DX344" s="72" t="str">
        <f t="shared" si="4310"/>
        <v/>
      </c>
      <c r="DY344" s="72" t="str">
        <f t="shared" si="4311"/>
        <v/>
      </c>
      <c r="DZ344" s="72" t="str">
        <f t="shared" si="4312"/>
        <v/>
      </c>
      <c r="EA344" s="72" t="str">
        <f t="shared" si="4313"/>
        <v/>
      </c>
      <c r="EB344" s="72" t="str">
        <f t="shared" si="4314"/>
        <v/>
      </c>
      <c r="EC344" s="72" t="str">
        <f t="shared" si="4315"/>
        <v/>
      </c>
      <c r="ED344" s="72" t="str">
        <f t="shared" si="4316"/>
        <v/>
      </c>
      <c r="EE344" s="72" t="str">
        <f t="shared" si="4317"/>
        <v/>
      </c>
      <c r="EF344" s="72" t="str">
        <f t="shared" si="4318"/>
        <v/>
      </c>
      <c r="EG344" s="72" t="str">
        <f t="shared" si="4319"/>
        <v/>
      </c>
      <c r="EH344" s="72" t="str">
        <f t="shared" si="4320"/>
        <v/>
      </c>
      <c r="EI344" s="72" t="str">
        <f t="shared" si="4321"/>
        <v/>
      </c>
      <c r="EJ344" s="72" t="str">
        <f t="shared" si="4322"/>
        <v/>
      </c>
      <c r="EK344" s="72" t="str">
        <f t="shared" si="4323"/>
        <v/>
      </c>
      <c r="EL344" s="72" t="str">
        <f t="shared" si="4324"/>
        <v/>
      </c>
      <c r="EM344" s="72" t="str">
        <f t="shared" si="4325"/>
        <v/>
      </c>
      <c r="EN344" s="72" t="str">
        <f t="shared" si="4326"/>
        <v/>
      </c>
      <c r="EO344" s="72" t="str">
        <f t="shared" si="4327"/>
        <v/>
      </c>
      <c r="EP344" s="72" t="str">
        <f t="shared" si="4328"/>
        <v/>
      </c>
      <c r="EQ344" s="72" t="str">
        <f t="shared" si="4329"/>
        <v/>
      </c>
      <c r="ER344" s="72" t="str">
        <f t="shared" si="4330"/>
        <v/>
      </c>
      <c r="ES344" s="72" t="str">
        <f t="shared" si="4331"/>
        <v/>
      </c>
      <c r="ET344" s="72" t="str">
        <f t="shared" si="4332"/>
        <v/>
      </c>
      <c r="EU344" s="72" t="str">
        <f t="shared" si="4333"/>
        <v/>
      </c>
      <c r="EV344" s="72" t="str">
        <f t="shared" si="4334"/>
        <v/>
      </c>
      <c r="EW344" s="72" t="str">
        <f t="shared" si="4335"/>
        <v/>
      </c>
      <c r="EX344" s="72" t="str">
        <f t="shared" si="4336"/>
        <v/>
      </c>
      <c r="EY344" s="72" t="str">
        <f t="shared" si="4337"/>
        <v/>
      </c>
      <c r="EZ344" s="72" t="str">
        <f t="shared" si="4338"/>
        <v/>
      </c>
      <c r="FA344" s="72" t="str">
        <f t="shared" si="4339"/>
        <v/>
      </c>
      <c r="FB344" s="72" t="str">
        <f t="shared" si="4340"/>
        <v/>
      </c>
      <c r="FC344" s="72" t="str">
        <f t="shared" si="4341"/>
        <v/>
      </c>
      <c r="FD344" s="72" t="str">
        <f t="shared" si="4342"/>
        <v/>
      </c>
      <c r="FE344" s="72" t="str">
        <f t="shared" si="4343"/>
        <v/>
      </c>
      <c r="FF344" s="72" t="str">
        <f t="shared" si="4344"/>
        <v/>
      </c>
      <c r="FG344" s="72" t="str">
        <f t="shared" si="4345"/>
        <v/>
      </c>
      <c r="FH344" s="72" t="str">
        <f t="shared" si="4346"/>
        <v/>
      </c>
      <c r="FI344" s="72" t="str">
        <f t="shared" si="4347"/>
        <v/>
      </c>
      <c r="FJ344" s="72" t="str">
        <f t="shared" si="4348"/>
        <v/>
      </c>
      <c r="FK344" s="72" t="str">
        <f t="shared" si="4349"/>
        <v/>
      </c>
      <c r="FL344" s="72" t="str">
        <f t="shared" si="4350"/>
        <v/>
      </c>
      <c r="FM344" s="72" t="str">
        <f t="shared" si="4351"/>
        <v/>
      </c>
      <c r="FN344" s="72" t="str">
        <f t="shared" si="4352"/>
        <v/>
      </c>
      <c r="FO344" s="72" t="str">
        <f t="shared" si="4353"/>
        <v/>
      </c>
      <c r="FP344" s="72" t="str">
        <f t="shared" si="4354"/>
        <v/>
      </c>
      <c r="FQ344" s="72" t="str">
        <f t="shared" si="4355"/>
        <v/>
      </c>
      <c r="FR344" s="72" t="str">
        <f t="shared" si="4356"/>
        <v/>
      </c>
      <c r="FS344" s="72" t="str">
        <f t="shared" si="4357"/>
        <v/>
      </c>
    </row>
    <row r="345" spans="92:175">
      <c r="CN345" s="70" t="str">
        <f t="shared" si="4282"/>
        <v>InitUnitState('',,,,,,,,,,)</v>
      </c>
      <c r="CO345" s="70" t="str">
        <f t="shared" si="4283"/>
        <v>InitUnitNormal('',,,,,,,,,,)</v>
      </c>
      <c r="CP345" s="70" t="str">
        <f t="shared" si="4284"/>
        <v>InitUnitMagic('',,,,,,,,,,)</v>
      </c>
      <c r="CQ345" s="70" t="str">
        <f t="shared" si="4285"/>
        <v>InitUnitAdd('',,,,,,,,,,)</v>
      </c>
      <c r="CR345" s="70" t="str">
        <f t="shared" si="4286"/>
        <v>InitEquipData('',,"",,,,,'','','','','','',"")</v>
      </c>
      <c r="CU345" s="71" t="str">
        <f t="shared" si="4358"/>
        <v>|n</v>
      </c>
      <c r="DB345" s="72" t="str">
        <f>IF(V345="","","|n"&amp;#REF!&amp;"+"&amp;V345)</f>
        <v/>
      </c>
      <c r="DC345" s="72" t="str">
        <f>IF(W345="","","|n"&amp;#REF!&amp;"+"&amp;W345)</f>
        <v/>
      </c>
      <c r="DD345" s="72" t="str">
        <f>IF(X345="","","|n"&amp;#REF!&amp;"+"&amp;X345)</f>
        <v/>
      </c>
      <c r="DE345" s="72" t="str">
        <f>IF(Y345="","","|n"&amp;#REF!&amp;"+"&amp;Y345)</f>
        <v/>
      </c>
      <c r="DF345" s="72" t="str">
        <f>IF(Z345="","","|n"&amp;#REF!&amp;"+"&amp;Z345)</f>
        <v/>
      </c>
      <c r="DG345" s="72" t="str">
        <f>IF(AA345="","","|n"&amp;#REF!&amp;"+"&amp;AA345)</f>
        <v/>
      </c>
      <c r="DH345" s="72" t="str">
        <f>IF(AB345="","","|n"&amp;#REF!&amp;"+"&amp;AB345)</f>
        <v/>
      </c>
      <c r="DI345" s="72" t="str">
        <f>IF(AC345="","","|n"&amp;#REF!&amp;"+"&amp;AC345&amp;"%")</f>
        <v/>
      </c>
      <c r="DJ345" s="72" t="str">
        <f>IF(AD345="","","|n"&amp;#REF!&amp;"+"&amp;AD345)</f>
        <v/>
      </c>
      <c r="DK345" s="72" t="str">
        <f>IF(AE345="","","|n"&amp;#REF!&amp;"+"&amp;AE345)</f>
        <v/>
      </c>
      <c r="DL345" s="72" t="str">
        <f>IF(AF345="","","|n"&amp;#REF!&amp;"+"&amp;AF345)</f>
        <v/>
      </c>
      <c r="DM345" s="72" t="str">
        <f>IF(AG345="","","|n"&amp;#REF!&amp;"+"&amp;AG345&amp;"%")</f>
        <v/>
      </c>
      <c r="DN345" s="72" t="str">
        <f>IF(AH345="","","|n"&amp;#REF!&amp;"+"&amp;AH345)</f>
        <v/>
      </c>
      <c r="DO345" s="72" t="str">
        <f>IF(AI345="","","|n"&amp;#REF!&amp;"+"&amp;AI345)</f>
        <v/>
      </c>
      <c r="DP345" s="72" t="str">
        <f>IF(AJ345="","","|n"&amp;#REF!&amp;"+"&amp;AJ345)</f>
        <v/>
      </c>
    </row>
    <row r="346" spans="92:175">
      <c r="CN346" s="70" t="str">
        <f t="shared" si="4282"/>
        <v>InitUnitState('',,,,,,,,,,)</v>
      </c>
      <c r="CO346" s="70" t="str">
        <f t="shared" si="4283"/>
        <v>InitUnitNormal('',,,,,,,,,,)</v>
      </c>
      <c r="CP346" s="70" t="str">
        <f t="shared" si="4284"/>
        <v>InitUnitMagic('',,,,,,,,,,)</v>
      </c>
      <c r="CQ346" s="70" t="str">
        <f t="shared" si="4285"/>
        <v>InitUnitAdd('',,,,,,,,,,)</v>
      </c>
      <c r="CR346" s="70" t="str">
        <f t="shared" si="4286"/>
        <v>InitEquipData('',,"",,,,,'','','','','','',"")</v>
      </c>
      <c r="CU346" s="71" t="str">
        <f t="shared" si="4358"/>
        <v>|n</v>
      </c>
      <c r="DB346" s="72" t="str">
        <f>IF(V346="","","|n"&amp;#REF!&amp;"+"&amp;V346)</f>
        <v/>
      </c>
      <c r="DC346" s="72" t="str">
        <f>IF(W346="","","|n"&amp;#REF!&amp;"+"&amp;W346)</f>
        <v/>
      </c>
      <c r="DD346" s="72" t="str">
        <f>IF(X346="","","|n"&amp;#REF!&amp;"+"&amp;X346)</f>
        <v/>
      </c>
      <c r="DE346" s="72" t="str">
        <f>IF(Y346="","","|n"&amp;#REF!&amp;"+"&amp;Y346)</f>
        <v/>
      </c>
      <c r="DF346" s="72" t="str">
        <f>IF(Z346="","","|n"&amp;#REF!&amp;"+"&amp;Z346)</f>
        <v/>
      </c>
      <c r="DG346" s="72" t="str">
        <f>IF(AA346="","","|n"&amp;#REF!&amp;"+"&amp;AA346)</f>
        <v/>
      </c>
      <c r="DH346" s="72" t="str">
        <f>IF(AB346="","","|n"&amp;#REF!&amp;"+"&amp;AB346)</f>
        <v/>
      </c>
      <c r="DI346" s="72" t="str">
        <f>IF(AC346="","","|n"&amp;#REF!&amp;"+"&amp;AC346&amp;"%")</f>
        <v/>
      </c>
      <c r="DJ346" s="72" t="str">
        <f>IF(AD346="","","|n"&amp;#REF!&amp;"+"&amp;AD346)</f>
        <v/>
      </c>
      <c r="DK346" s="72" t="str">
        <f>IF(AE346="","","|n"&amp;#REF!&amp;"+"&amp;AE346)</f>
        <v/>
      </c>
      <c r="DL346" s="72" t="str">
        <f>IF(AF346="","","|n"&amp;#REF!&amp;"+"&amp;AF346)</f>
        <v/>
      </c>
      <c r="DM346" s="72" t="str">
        <f>IF(AG346="","","|n"&amp;#REF!&amp;"+"&amp;AG346&amp;"%")</f>
        <v/>
      </c>
      <c r="DN346" s="72" t="str">
        <f>IF(AH346="","","|n"&amp;#REF!&amp;"+"&amp;AH346)</f>
        <v/>
      </c>
      <c r="DO346" s="72" t="str">
        <f>IF(AI346="","","|n"&amp;#REF!&amp;"+"&amp;AI346)</f>
        <v/>
      </c>
      <c r="DP346" s="72" t="str">
        <f>IF(AJ346="","","|n"&amp;#REF!&amp;"+"&amp;AJ346)</f>
        <v/>
      </c>
    </row>
    <row r="347" spans="92:175">
      <c r="CN347" s="70" t="str">
        <f t="shared" si="4282"/>
        <v>InitUnitState('',,,,,,,,,,)</v>
      </c>
      <c r="CO347" s="70" t="str">
        <f t="shared" si="4283"/>
        <v>InitUnitNormal('',,,,,,,,,,)</v>
      </c>
      <c r="CP347" s="70" t="str">
        <f t="shared" si="4284"/>
        <v>InitUnitMagic('',,,,,,,,,,)</v>
      </c>
      <c r="CQ347" s="70" t="str">
        <f t="shared" si="4285"/>
        <v>InitUnitAdd('',,,,,,,,,,)</v>
      </c>
      <c r="CR347" s="70" t="str">
        <f t="shared" si="4286"/>
        <v>InitEquipData('',,"",,,,,'','','','','','',"")</v>
      </c>
      <c r="CU347" s="71" t="str">
        <f t="shared" si="4358"/>
        <v>|n</v>
      </c>
      <c r="DB347" s="72" t="str">
        <f>IF(V347="","","|n"&amp;#REF!&amp;"+"&amp;V347)</f>
        <v/>
      </c>
      <c r="DC347" s="72" t="str">
        <f>IF(W347="","","|n"&amp;#REF!&amp;"+"&amp;W347)</f>
        <v/>
      </c>
      <c r="DD347" s="72" t="str">
        <f>IF(X347="","","|n"&amp;#REF!&amp;"+"&amp;X347)</f>
        <v/>
      </c>
      <c r="DE347" s="72" t="str">
        <f>IF(Y347="","","|n"&amp;#REF!&amp;"+"&amp;Y347)</f>
        <v/>
      </c>
      <c r="DF347" s="72" t="str">
        <f>IF(Z347="","","|n"&amp;#REF!&amp;"+"&amp;Z347)</f>
        <v/>
      </c>
      <c r="DG347" s="72" t="str">
        <f>IF(AA347="","","|n"&amp;#REF!&amp;"+"&amp;AA347)</f>
        <v/>
      </c>
      <c r="DH347" s="72" t="str">
        <f>IF(AB347="","","|n"&amp;#REF!&amp;"+"&amp;AB347)</f>
        <v/>
      </c>
      <c r="DI347" s="72" t="str">
        <f>IF(AC347="","","|n"&amp;#REF!&amp;"+"&amp;AC347&amp;"%")</f>
        <v/>
      </c>
      <c r="DJ347" s="72" t="str">
        <f>IF(AD347="","","|n"&amp;#REF!&amp;"+"&amp;AD347)</f>
        <v/>
      </c>
      <c r="DK347" s="72" t="str">
        <f>IF(AE347="","","|n"&amp;#REF!&amp;"+"&amp;AE347)</f>
        <v/>
      </c>
      <c r="DL347" s="72" t="str">
        <f>IF(AF347="","","|n"&amp;#REF!&amp;"+"&amp;AF347)</f>
        <v/>
      </c>
      <c r="DM347" s="72" t="str">
        <f>IF(AG347="","","|n"&amp;#REF!&amp;"+"&amp;AG347&amp;"%")</f>
        <v/>
      </c>
      <c r="DN347" s="72" t="str">
        <f>IF(AH347="","","|n"&amp;#REF!&amp;"+"&amp;AH347)</f>
        <v/>
      </c>
      <c r="DO347" s="72" t="str">
        <f>IF(AI347="","","|n"&amp;#REF!&amp;"+"&amp;AI347)</f>
        <v/>
      </c>
      <c r="DP347" s="72" t="str">
        <f>IF(AJ347="","","|n"&amp;#REF!&amp;"+"&amp;AJ347)</f>
        <v/>
      </c>
    </row>
    <row r="348" spans="92:175">
      <c r="CN348" s="70" t="str">
        <f t="shared" si="4282"/>
        <v>InitUnitState('',,,,,,,,,,)</v>
      </c>
      <c r="CO348" s="70" t="str">
        <f t="shared" si="4283"/>
        <v>InitUnitNormal('',,,,,,,,,,)</v>
      </c>
      <c r="CP348" s="70" t="str">
        <f t="shared" si="4284"/>
        <v>InitUnitMagic('',,,,,,,,,,)</v>
      </c>
      <c r="CQ348" s="70" t="str">
        <f t="shared" si="4285"/>
        <v>InitUnitAdd('',,,,,,,,,,)</v>
      </c>
      <c r="CR348" s="70" t="str">
        <f t="shared" si="4286"/>
        <v>InitEquipData('',,"",,,,,'','','','','','',"")</v>
      </c>
      <c r="CU348" s="71" t="str">
        <f t="shared" si="4358"/>
        <v>|n</v>
      </c>
      <c r="DB348" s="72" t="str">
        <f>IF(V348="","","|n"&amp;#REF!&amp;"+"&amp;V348)</f>
        <v/>
      </c>
      <c r="DC348" s="72" t="str">
        <f>IF(W348="","","|n"&amp;#REF!&amp;"+"&amp;W348)</f>
        <v/>
      </c>
      <c r="DD348" s="72" t="str">
        <f>IF(X348="","","|n"&amp;#REF!&amp;"+"&amp;X348)</f>
        <v/>
      </c>
      <c r="DE348" s="72" t="str">
        <f>IF(Y348="","","|n"&amp;#REF!&amp;"+"&amp;Y348)</f>
        <v/>
      </c>
      <c r="DF348" s="72" t="str">
        <f>IF(Z348="","","|n"&amp;#REF!&amp;"+"&amp;Z348)</f>
        <v/>
      </c>
      <c r="DG348" s="72" t="str">
        <f>IF(AA348="","","|n"&amp;#REF!&amp;"+"&amp;AA348)</f>
        <v/>
      </c>
      <c r="DH348" s="72" t="str">
        <f>IF(AB348="","","|n"&amp;#REF!&amp;"+"&amp;AB348)</f>
        <v/>
      </c>
      <c r="DI348" s="72" t="str">
        <f>IF(AC348="","","|n"&amp;#REF!&amp;"+"&amp;AC348&amp;"%")</f>
        <v/>
      </c>
      <c r="DJ348" s="72" t="str">
        <f>IF(AD348="","","|n"&amp;#REF!&amp;"+"&amp;AD348)</f>
        <v/>
      </c>
      <c r="DK348" s="72" t="str">
        <f>IF(AE348="","","|n"&amp;#REF!&amp;"+"&amp;AE348)</f>
        <v/>
      </c>
      <c r="DL348" s="72" t="str">
        <f>IF(AF348="","","|n"&amp;#REF!&amp;"+"&amp;AF348)</f>
        <v/>
      </c>
      <c r="DM348" s="72" t="str">
        <f>IF(AG348="","","|n"&amp;#REF!&amp;"+"&amp;AG348&amp;"%")</f>
        <v/>
      </c>
      <c r="DN348" s="72" t="str">
        <f>IF(AH348="","","|n"&amp;#REF!&amp;"+"&amp;AH348)</f>
        <v/>
      </c>
      <c r="DO348" s="72" t="str">
        <f>IF(AI348="","","|n"&amp;#REF!&amp;"+"&amp;AI348)</f>
        <v/>
      </c>
      <c r="DP348" s="72" t="str">
        <f>IF(AJ348="","","|n"&amp;#REF!&amp;"+"&amp;AJ348)</f>
        <v/>
      </c>
    </row>
    <row r="349" spans="92:175">
      <c r="CN349" s="70" t="str">
        <f t="shared" si="4282"/>
        <v>InitUnitState('',,,,,,,,,,)</v>
      </c>
      <c r="CO349" s="70" t="str">
        <f t="shared" si="4283"/>
        <v>InitUnitNormal('',,,,,,,,,,)</v>
      </c>
      <c r="CP349" s="70" t="str">
        <f t="shared" si="4284"/>
        <v>InitUnitMagic('',,,,,,,,,,)</v>
      </c>
      <c r="CQ349" s="70" t="str">
        <f t="shared" si="4285"/>
        <v>InitUnitAdd('',,,,,,,,,,)</v>
      </c>
      <c r="CR349" s="70" t="str">
        <f t="shared" si="4286"/>
        <v>InitEquipData('',,"",,,,,'','','','','','',"")</v>
      </c>
      <c r="CU349" s="71" t="str">
        <f t="shared" si="4358"/>
        <v>|n</v>
      </c>
      <c r="DB349" s="72" t="str">
        <f>IF(V349="","","|n"&amp;#REF!&amp;"+"&amp;V349)</f>
        <v/>
      </c>
      <c r="DC349" s="72" t="str">
        <f>IF(W349="","","|n"&amp;#REF!&amp;"+"&amp;W349)</f>
        <v/>
      </c>
      <c r="DD349" s="72" t="str">
        <f>IF(X349="","","|n"&amp;#REF!&amp;"+"&amp;X349)</f>
        <v/>
      </c>
      <c r="DE349" s="72" t="str">
        <f>IF(Y349="","","|n"&amp;#REF!&amp;"+"&amp;Y349)</f>
        <v/>
      </c>
      <c r="DF349" s="72" t="str">
        <f>IF(Z349="","","|n"&amp;#REF!&amp;"+"&amp;Z349)</f>
        <v/>
      </c>
      <c r="DG349" s="72" t="str">
        <f>IF(AA349="","","|n"&amp;#REF!&amp;"+"&amp;AA349)</f>
        <v/>
      </c>
      <c r="DH349" s="72" t="str">
        <f>IF(AB349="","","|n"&amp;#REF!&amp;"+"&amp;AB349)</f>
        <v/>
      </c>
      <c r="DI349" s="72" t="str">
        <f>IF(AC349="","","|n"&amp;#REF!&amp;"+"&amp;AC349&amp;"%")</f>
        <v/>
      </c>
      <c r="DJ349" s="72" t="str">
        <f>IF(AD349="","","|n"&amp;#REF!&amp;"+"&amp;AD349)</f>
        <v/>
      </c>
      <c r="DK349" s="72" t="str">
        <f>IF(AE349="","","|n"&amp;#REF!&amp;"+"&amp;AE349)</f>
        <v/>
      </c>
      <c r="DL349" s="72" t="str">
        <f>IF(AF349="","","|n"&amp;#REF!&amp;"+"&amp;AF349)</f>
        <v/>
      </c>
      <c r="DM349" s="72" t="str">
        <f>IF(AG349="","","|n"&amp;#REF!&amp;"+"&amp;AG349&amp;"%")</f>
        <v/>
      </c>
      <c r="DN349" s="72" t="str">
        <f>IF(AH349="","","|n"&amp;#REF!&amp;"+"&amp;AH349)</f>
        <v/>
      </c>
      <c r="DO349" s="72" t="str">
        <f>IF(AI349="","","|n"&amp;#REF!&amp;"+"&amp;AI349)</f>
        <v/>
      </c>
      <c r="DP349" s="72" t="str">
        <f>IF(AJ349="","","|n"&amp;#REF!&amp;"+"&amp;AJ349)</f>
        <v/>
      </c>
    </row>
    <row r="350" spans="92:175">
      <c r="CN350" s="70" t="str">
        <f t="shared" si="4282"/>
        <v>InitUnitState('',,,,,,,,,,)</v>
      </c>
      <c r="CO350" s="70" t="str">
        <f t="shared" si="4283"/>
        <v>InitUnitNormal('',,,,,,,,,,)</v>
      </c>
      <c r="CP350" s="70" t="str">
        <f t="shared" si="4284"/>
        <v>InitUnitMagic('',,,,,,,,,,)</v>
      </c>
      <c r="CQ350" s="70" t="str">
        <f t="shared" si="4285"/>
        <v>InitUnitAdd('',,,,,,,,,,)</v>
      </c>
      <c r="CR350" s="70" t="str">
        <f t="shared" si="4286"/>
        <v>InitEquipData('',,"",,,,,'','','','','','',"")</v>
      </c>
      <c r="CU350" s="71" t="str">
        <f t="shared" si="4358"/>
        <v>|n</v>
      </c>
      <c r="DB350" s="72" t="str">
        <f>IF(V350="","","|n"&amp;#REF!&amp;"+"&amp;V350)</f>
        <v/>
      </c>
      <c r="DC350" s="72" t="str">
        <f>IF(W350="","","|n"&amp;#REF!&amp;"+"&amp;W350)</f>
        <v/>
      </c>
      <c r="DD350" s="72" t="str">
        <f>IF(X350="","","|n"&amp;#REF!&amp;"+"&amp;X350)</f>
        <v/>
      </c>
      <c r="DE350" s="72" t="str">
        <f>IF(Y350="","","|n"&amp;#REF!&amp;"+"&amp;Y350)</f>
        <v/>
      </c>
      <c r="DF350" s="72" t="str">
        <f>IF(Z350="","","|n"&amp;#REF!&amp;"+"&amp;Z350)</f>
        <v/>
      </c>
      <c r="DG350" s="72" t="str">
        <f>IF(AA350="","","|n"&amp;#REF!&amp;"+"&amp;AA350)</f>
        <v/>
      </c>
      <c r="DH350" s="72" t="str">
        <f>IF(AB350="","","|n"&amp;#REF!&amp;"+"&amp;AB350)</f>
        <v/>
      </c>
      <c r="DI350" s="72" t="str">
        <f>IF(AC350="","","|n"&amp;#REF!&amp;"+"&amp;AC350&amp;"%")</f>
        <v/>
      </c>
      <c r="DJ350" s="72" t="str">
        <f>IF(AD350="","","|n"&amp;#REF!&amp;"+"&amp;AD350)</f>
        <v/>
      </c>
      <c r="DK350" s="72" t="str">
        <f>IF(AE350="","","|n"&amp;#REF!&amp;"+"&amp;AE350)</f>
        <v/>
      </c>
      <c r="DL350" s="72" t="str">
        <f>IF(AF350="","","|n"&amp;#REF!&amp;"+"&amp;AF350)</f>
        <v/>
      </c>
      <c r="DM350" s="72" t="str">
        <f>IF(AG350="","","|n"&amp;#REF!&amp;"+"&amp;AG350&amp;"%")</f>
        <v/>
      </c>
      <c r="DN350" s="72" t="str">
        <f>IF(AH350="","","|n"&amp;#REF!&amp;"+"&amp;AH350)</f>
        <v/>
      </c>
      <c r="DO350" s="72" t="str">
        <f>IF(AI350="","","|n"&amp;#REF!&amp;"+"&amp;AI350)</f>
        <v/>
      </c>
      <c r="DP350" s="72" t="str">
        <f>IF(AJ350="","","|n"&amp;#REF!&amp;"+"&amp;AJ350)</f>
        <v/>
      </c>
    </row>
    <row r="351" spans="92:175">
      <c r="CN351" s="70" t="str">
        <f t="shared" si="4282"/>
        <v>InitUnitState('',,,,,,,,,,)</v>
      </c>
      <c r="CO351" s="70" t="str">
        <f t="shared" si="4283"/>
        <v>InitUnitNormal('',,,,,,,,,,)</v>
      </c>
      <c r="CP351" s="70" t="str">
        <f t="shared" si="4284"/>
        <v>InitUnitMagic('',,,,,,,,,,)</v>
      </c>
      <c r="CQ351" s="70" t="str">
        <f t="shared" si="4285"/>
        <v>InitUnitAdd('',,,,,,,,,,)</v>
      </c>
      <c r="CR351" s="70" t="str">
        <f t="shared" si="4286"/>
        <v>InitEquipData('',,"",,,,,'','','','','','',"")</v>
      </c>
      <c r="CU351" s="71" t="str">
        <f t="shared" si="4358"/>
        <v>|n</v>
      </c>
      <c r="DB351" s="72" t="str">
        <f>IF(V351="","","|n"&amp;#REF!&amp;"+"&amp;V351)</f>
        <v/>
      </c>
      <c r="DC351" s="72" t="str">
        <f>IF(W351="","","|n"&amp;#REF!&amp;"+"&amp;W351)</f>
        <v/>
      </c>
      <c r="DD351" s="72" t="str">
        <f>IF(X351="","","|n"&amp;#REF!&amp;"+"&amp;X351)</f>
        <v/>
      </c>
      <c r="DE351" s="72" t="str">
        <f>IF(Y351="","","|n"&amp;#REF!&amp;"+"&amp;Y351)</f>
        <v/>
      </c>
      <c r="DF351" s="72" t="str">
        <f>IF(Z351="","","|n"&amp;#REF!&amp;"+"&amp;Z351)</f>
        <v/>
      </c>
      <c r="DG351" s="72" t="str">
        <f>IF(AA351="","","|n"&amp;#REF!&amp;"+"&amp;AA351)</f>
        <v/>
      </c>
      <c r="DH351" s="72" t="str">
        <f>IF(AB351="","","|n"&amp;#REF!&amp;"+"&amp;AB351)</f>
        <v/>
      </c>
      <c r="DI351" s="72" t="str">
        <f>IF(AC351="","","|n"&amp;#REF!&amp;"+"&amp;AC351&amp;"%")</f>
        <v/>
      </c>
      <c r="DJ351" s="72" t="str">
        <f>IF(AD351="","","|n"&amp;#REF!&amp;"+"&amp;AD351)</f>
        <v/>
      </c>
      <c r="DK351" s="72" t="str">
        <f>IF(AE351="","","|n"&amp;#REF!&amp;"+"&amp;AE351)</f>
        <v/>
      </c>
      <c r="DL351" s="72" t="str">
        <f>IF(AF351="","","|n"&amp;#REF!&amp;"+"&amp;AF351)</f>
        <v/>
      </c>
      <c r="DM351" s="72" t="str">
        <f>IF(AG351="","","|n"&amp;#REF!&amp;"+"&amp;AG351&amp;"%")</f>
        <v/>
      </c>
      <c r="DN351" s="72" t="str">
        <f>IF(AH351="","","|n"&amp;#REF!&amp;"+"&amp;AH351)</f>
        <v/>
      </c>
      <c r="DO351" s="72" t="str">
        <f>IF(AI351="","","|n"&amp;#REF!&amp;"+"&amp;AI351)</f>
        <v/>
      </c>
      <c r="DP351" s="72" t="str">
        <f>IF(AJ351="","","|n"&amp;#REF!&amp;"+"&amp;AJ351)</f>
        <v/>
      </c>
    </row>
    <row r="352" spans="92:175">
      <c r="CN352" s="70" t="str">
        <f t="shared" si="4282"/>
        <v>InitUnitState('',,,,,,,,,,)</v>
      </c>
      <c r="CO352" s="70" t="str">
        <f t="shared" si="4283"/>
        <v>InitUnitNormal('',,,,,,,,,,)</v>
      </c>
      <c r="CP352" s="70" t="str">
        <f t="shared" si="4284"/>
        <v>InitUnitMagic('',,,,,,,,,,)</v>
      </c>
      <c r="CQ352" s="70" t="str">
        <f t="shared" si="4285"/>
        <v>InitUnitAdd('',,,,,,,,,,)</v>
      </c>
      <c r="CR352" s="70" t="str">
        <f t="shared" si="4286"/>
        <v>InitEquipData('',,"",,,,,'','','','','','',"")</v>
      </c>
      <c r="CU352" s="71" t="str">
        <f t="shared" si="4358"/>
        <v>|n</v>
      </c>
      <c r="DB352" s="72" t="str">
        <f>IF(V352="","","|n"&amp;#REF!&amp;"+"&amp;V352)</f>
        <v/>
      </c>
      <c r="DC352" s="72" t="str">
        <f>IF(W352="","","|n"&amp;#REF!&amp;"+"&amp;W352)</f>
        <v/>
      </c>
      <c r="DD352" s="72" t="str">
        <f>IF(X352="","","|n"&amp;#REF!&amp;"+"&amp;X352)</f>
        <v/>
      </c>
      <c r="DE352" s="72" t="str">
        <f>IF(Y352="","","|n"&amp;#REF!&amp;"+"&amp;Y352)</f>
        <v/>
      </c>
      <c r="DF352" s="72" t="str">
        <f>IF(Z352="","","|n"&amp;#REF!&amp;"+"&amp;Z352)</f>
        <v/>
      </c>
      <c r="DG352" s="72" t="str">
        <f>IF(AA352="","","|n"&amp;#REF!&amp;"+"&amp;AA352)</f>
        <v/>
      </c>
      <c r="DH352" s="72" t="str">
        <f>IF(AB352="","","|n"&amp;#REF!&amp;"+"&amp;AB352)</f>
        <v/>
      </c>
      <c r="DI352" s="72" t="str">
        <f>IF(AC352="","","|n"&amp;#REF!&amp;"+"&amp;AC352&amp;"%")</f>
        <v/>
      </c>
      <c r="DJ352" s="72" t="str">
        <f>IF(AD352="","","|n"&amp;#REF!&amp;"+"&amp;AD352)</f>
        <v/>
      </c>
      <c r="DK352" s="72" t="str">
        <f>IF(AE352="","","|n"&amp;#REF!&amp;"+"&amp;AE352)</f>
        <v/>
      </c>
      <c r="DL352" s="72" t="str">
        <f>IF(AF352="","","|n"&amp;#REF!&amp;"+"&amp;AF352)</f>
        <v/>
      </c>
      <c r="DM352" s="72" t="str">
        <f>IF(AG352="","","|n"&amp;#REF!&amp;"+"&amp;AG352&amp;"%")</f>
        <v/>
      </c>
      <c r="DN352" s="72" t="str">
        <f>IF(AH352="","","|n"&amp;#REF!&amp;"+"&amp;AH352)</f>
        <v/>
      </c>
      <c r="DO352" s="72" t="str">
        <f>IF(AI352="","","|n"&amp;#REF!&amp;"+"&amp;AI352)</f>
        <v/>
      </c>
      <c r="DP352" s="72" t="str">
        <f>IF(AJ352="","","|n"&amp;#REF!&amp;"+"&amp;AJ352)</f>
        <v/>
      </c>
    </row>
    <row r="353" spans="92:120">
      <c r="CN353" s="70" t="str">
        <f t="shared" si="4282"/>
        <v>InitUnitState('',,,,,,,,,,)</v>
      </c>
      <c r="CO353" s="70" t="str">
        <f t="shared" si="4283"/>
        <v>InitUnitNormal('',,,,,,,,,,)</v>
      </c>
      <c r="CP353" s="70" t="str">
        <f t="shared" si="4284"/>
        <v>InitUnitMagic('',,,,,,,,,,)</v>
      </c>
      <c r="CQ353" s="70" t="str">
        <f t="shared" si="4285"/>
        <v>InitUnitAdd('',,,,,,,,,,)</v>
      </c>
      <c r="CR353" s="70" t="str">
        <f t="shared" si="4286"/>
        <v>InitEquipData('',,"",,,,,'','','','','','',"")</v>
      </c>
      <c r="CU353" s="71" t="str">
        <f t="shared" si="4358"/>
        <v>|n</v>
      </c>
      <c r="DB353" s="72" t="str">
        <f>IF(V353="","","|n"&amp;#REF!&amp;"+"&amp;V353)</f>
        <v/>
      </c>
      <c r="DC353" s="72" t="str">
        <f>IF(W353="","","|n"&amp;#REF!&amp;"+"&amp;W353)</f>
        <v/>
      </c>
      <c r="DD353" s="72" t="str">
        <f>IF(X353="","","|n"&amp;#REF!&amp;"+"&amp;X353)</f>
        <v/>
      </c>
      <c r="DE353" s="72" t="str">
        <f>IF(Y353="","","|n"&amp;#REF!&amp;"+"&amp;Y353)</f>
        <v/>
      </c>
      <c r="DF353" s="72" t="str">
        <f>IF(Z353="","","|n"&amp;#REF!&amp;"+"&amp;Z353)</f>
        <v/>
      </c>
      <c r="DG353" s="72" t="str">
        <f>IF(AA353="","","|n"&amp;#REF!&amp;"+"&amp;AA353)</f>
        <v/>
      </c>
      <c r="DH353" s="72" t="str">
        <f>IF(AB353="","","|n"&amp;#REF!&amp;"+"&amp;AB353)</f>
        <v/>
      </c>
      <c r="DI353" s="72" t="str">
        <f>IF(AC353="","","|n"&amp;#REF!&amp;"+"&amp;AC353&amp;"%")</f>
        <v/>
      </c>
      <c r="DJ353" s="72" t="str">
        <f>IF(AD353="","","|n"&amp;#REF!&amp;"+"&amp;AD353)</f>
        <v/>
      </c>
      <c r="DK353" s="72" t="str">
        <f>IF(AE353="","","|n"&amp;#REF!&amp;"+"&amp;AE353)</f>
        <v/>
      </c>
      <c r="DL353" s="72" t="str">
        <f>IF(AF353="","","|n"&amp;#REF!&amp;"+"&amp;AF353)</f>
        <v/>
      </c>
      <c r="DM353" s="72" t="str">
        <f>IF(AG353="","","|n"&amp;#REF!&amp;"+"&amp;AG353&amp;"%")</f>
        <v/>
      </c>
      <c r="DN353" s="72" t="str">
        <f>IF(AH353="","","|n"&amp;#REF!&amp;"+"&amp;AH353)</f>
        <v/>
      </c>
      <c r="DO353" s="72" t="str">
        <f>IF(AI353="","","|n"&amp;#REF!&amp;"+"&amp;AI353)</f>
        <v/>
      </c>
      <c r="DP353" s="72" t="str">
        <f>IF(AJ353="","","|n"&amp;#REF!&amp;"+"&amp;AJ353)</f>
        <v/>
      </c>
    </row>
    <row r="354" spans="92:120">
      <c r="CN354" s="70" t="str">
        <f t="shared" si="4282"/>
        <v>InitUnitState('',,,,,,,,,,)</v>
      </c>
      <c r="CO354" s="70" t="str">
        <f t="shared" si="4283"/>
        <v>InitUnitNormal('',,,,,,,,,,)</v>
      </c>
      <c r="CP354" s="70" t="str">
        <f t="shared" si="4284"/>
        <v>InitUnitMagic('',,,,,,,,,,)</v>
      </c>
      <c r="CQ354" s="70" t="str">
        <f t="shared" si="4285"/>
        <v>InitUnitAdd('',,,,,,,,,,)</v>
      </c>
      <c r="CR354" s="70" t="str">
        <f t="shared" si="4286"/>
        <v>InitEquipData('',,"",,,,,'','','','','','',"")</v>
      </c>
      <c r="CU354" s="71" t="str">
        <f t="shared" si="4358"/>
        <v>|n</v>
      </c>
      <c r="DB354" s="72" t="str">
        <f>IF(V354="","","|n"&amp;#REF!&amp;"+"&amp;V354)</f>
        <v/>
      </c>
      <c r="DC354" s="72" t="str">
        <f>IF(W354="","","|n"&amp;#REF!&amp;"+"&amp;W354)</f>
        <v/>
      </c>
      <c r="DD354" s="72" t="str">
        <f>IF(X354="","","|n"&amp;#REF!&amp;"+"&amp;X354)</f>
        <v/>
      </c>
      <c r="DE354" s="72" t="str">
        <f>IF(Y354="","","|n"&amp;#REF!&amp;"+"&amp;Y354)</f>
        <v/>
      </c>
      <c r="DF354" s="72" t="str">
        <f>IF(Z354="","","|n"&amp;#REF!&amp;"+"&amp;Z354)</f>
        <v/>
      </c>
      <c r="DG354" s="72" t="str">
        <f>IF(AA354="","","|n"&amp;#REF!&amp;"+"&amp;AA354)</f>
        <v/>
      </c>
      <c r="DH354" s="72" t="str">
        <f>IF(AB354="","","|n"&amp;#REF!&amp;"+"&amp;AB354)</f>
        <v/>
      </c>
      <c r="DI354" s="72" t="str">
        <f>IF(AC354="","","|n"&amp;#REF!&amp;"+"&amp;AC354&amp;"%")</f>
        <v/>
      </c>
      <c r="DJ354" s="72" t="str">
        <f>IF(AD354="","","|n"&amp;#REF!&amp;"+"&amp;AD354)</f>
        <v/>
      </c>
      <c r="DK354" s="72" t="str">
        <f>IF(AE354="","","|n"&amp;#REF!&amp;"+"&amp;AE354)</f>
        <v/>
      </c>
      <c r="DL354" s="72" t="str">
        <f>IF(AF354="","","|n"&amp;#REF!&amp;"+"&amp;AF354)</f>
        <v/>
      </c>
      <c r="DM354" s="72" t="str">
        <f>IF(AG354="","","|n"&amp;#REF!&amp;"+"&amp;AG354&amp;"%")</f>
        <v/>
      </c>
      <c r="DN354" s="72" t="str">
        <f>IF(AH354="","","|n"&amp;#REF!&amp;"+"&amp;AH354)</f>
        <v/>
      </c>
      <c r="DO354" s="72" t="str">
        <f>IF(AI354="","","|n"&amp;#REF!&amp;"+"&amp;AI354)</f>
        <v/>
      </c>
      <c r="DP354" s="72" t="str">
        <f>IF(AJ354="","","|n"&amp;#REF!&amp;"+"&amp;AJ354)</f>
        <v/>
      </c>
    </row>
    <row r="355" spans="92:120">
      <c r="CN355" s="70" t="str">
        <f t="shared" si="4282"/>
        <v>InitUnitState('',,,,,,,,,,)</v>
      </c>
      <c r="CO355" s="70" t="str">
        <f t="shared" si="4283"/>
        <v>InitUnitNormal('',,,,,,,,,,)</v>
      </c>
      <c r="CP355" s="70" t="str">
        <f t="shared" si="4284"/>
        <v>InitUnitMagic('',,,,,,,,,,)</v>
      </c>
      <c r="CQ355" s="70" t="str">
        <f t="shared" si="4285"/>
        <v>InitUnitAdd('',,,,,,,,,,)</v>
      </c>
      <c r="CR355" s="70" t="str">
        <f t="shared" si="4286"/>
        <v>InitEquipData('',,"",,,,,'','','','','','',"")</v>
      </c>
      <c r="CU355" s="71" t="str">
        <f t="shared" si="4358"/>
        <v>|n</v>
      </c>
      <c r="DB355" s="72" t="str">
        <f>IF(V355="","","|n"&amp;#REF!&amp;"+"&amp;V355)</f>
        <v/>
      </c>
      <c r="DC355" s="72" t="str">
        <f>IF(W355="","","|n"&amp;#REF!&amp;"+"&amp;W355)</f>
        <v/>
      </c>
      <c r="DD355" s="72" t="str">
        <f>IF(X355="","","|n"&amp;#REF!&amp;"+"&amp;X355)</f>
        <v/>
      </c>
      <c r="DE355" s="72" t="str">
        <f>IF(Y355="","","|n"&amp;#REF!&amp;"+"&amp;Y355)</f>
        <v/>
      </c>
      <c r="DF355" s="72" t="str">
        <f>IF(Z355="","","|n"&amp;#REF!&amp;"+"&amp;Z355)</f>
        <v/>
      </c>
      <c r="DG355" s="72" t="str">
        <f>IF(AA355="","","|n"&amp;#REF!&amp;"+"&amp;AA355)</f>
        <v/>
      </c>
      <c r="DH355" s="72" t="str">
        <f>IF(AB355="","","|n"&amp;#REF!&amp;"+"&amp;AB355)</f>
        <v/>
      </c>
      <c r="DI355" s="72" t="str">
        <f>IF(AC355="","","|n"&amp;#REF!&amp;"+"&amp;AC355&amp;"%")</f>
        <v/>
      </c>
      <c r="DJ355" s="72" t="str">
        <f>IF(AD355="","","|n"&amp;#REF!&amp;"+"&amp;AD355)</f>
        <v/>
      </c>
      <c r="DK355" s="72" t="str">
        <f>IF(AE355="","","|n"&amp;#REF!&amp;"+"&amp;AE355)</f>
        <v/>
      </c>
      <c r="DL355" s="72" t="str">
        <f>IF(AF355="","","|n"&amp;#REF!&amp;"+"&amp;AF355)</f>
        <v/>
      </c>
      <c r="DM355" s="72" t="str">
        <f>IF(AG355="","","|n"&amp;#REF!&amp;"+"&amp;AG355&amp;"%")</f>
        <v/>
      </c>
      <c r="DN355" s="72" t="str">
        <f>IF(AH355="","","|n"&amp;#REF!&amp;"+"&amp;AH355)</f>
        <v/>
      </c>
      <c r="DO355" s="72" t="str">
        <f>IF(AI355="","","|n"&amp;#REF!&amp;"+"&amp;AI355)</f>
        <v/>
      </c>
      <c r="DP355" s="72" t="str">
        <f>IF(AJ355="","","|n"&amp;#REF!&amp;"+"&amp;AJ355)</f>
        <v/>
      </c>
    </row>
    <row r="356" spans="92:120">
      <c r="CN356" s="70" t="str">
        <f t="shared" ref="CN356:CN375" si="4359">"InitUnitState('"&amp;B356&amp;"',"&amp;V356&amp;","&amp;W356&amp;","&amp;X356&amp;","&amp;Y356&amp;","&amp;Z356&amp;","&amp;AA356&amp;","&amp;AB356&amp;","&amp;AC356&amp;","&amp;AD356&amp;","&amp;AE356&amp;")"</f>
        <v>InitUnitState('',,,,,,,,,,)</v>
      </c>
      <c r="CO356" s="70" t="str">
        <f t="shared" ref="CO356:CO375" si="4360">"InitUnitNormal('"&amp;B356&amp;"',"&amp;AF356&amp;","&amp;AG356&amp;","&amp;AH356&amp;","&amp;AI356&amp;","&amp;AJ356&amp;","&amp;AK356&amp;","&amp;AL356&amp;","&amp;AM356&amp;","&amp;AN356&amp;","&amp;AO356&amp;")"</f>
        <v>InitUnitNormal('',,,,,,,,,,)</v>
      </c>
      <c r="CP356" s="70" t="str">
        <f t="shared" ref="CP356:CP375" si="4361">"InitUnitMagic('"&amp;B356&amp;"',"&amp;AP356&amp;","&amp;AQ356&amp;","&amp;AR356&amp;","&amp;AS356&amp;","&amp;AT356&amp;","&amp;AU356&amp;","&amp;AV356&amp;","&amp;AW356&amp;","&amp;BI356&amp;","&amp;BJ356&amp;")"</f>
        <v>InitUnitMagic('',,,,,,,,,,)</v>
      </c>
      <c r="CQ356" s="70" t="str">
        <f t="shared" ref="CQ356:CQ375" si="4362">"InitUnitAdd('"&amp;B356&amp;"',"&amp;BK356&amp;","&amp;BL356&amp;","&amp;BM356&amp;","&amp;BN356&amp;","&amp;BO356&amp;","&amp;BP356&amp;","&amp;BQ356&amp;","&amp;BR356&amp;","&amp;BS356&amp;","&amp;BT356&amp;")"</f>
        <v>InitUnitAdd('',,,,,,,,,,)</v>
      </c>
      <c r="CR356" s="70" t="str">
        <f t="shared" ref="CR356:CR375" si="4363">"InitEquipData('"&amp;B356&amp;"',"&amp;D356&amp;","&amp;CR$1&amp;A356&amp;CR$1&amp;","&amp;E356&amp;","&amp;I356&amp;","&amp;F356&amp;","&amp;G356&amp;",'"&amp;J356&amp;"','"&amp;K356&amp;"','"&amp;L356&amp;"','"&amp;M356&amp;"','"&amp;N356&amp;"','"&amp;O356&amp;"',"&amp;CR$1&amp;U357&amp;CR$1&amp;")"</f>
        <v>InitEquipData('',,"",,,,,'','','','','','',"")</v>
      </c>
      <c r="CU356" s="71" t="str">
        <f t="shared" si="4358"/>
        <v>|n</v>
      </c>
      <c r="DB356" s="72" t="str">
        <f>IF(V356="","","|n"&amp;#REF!&amp;"+"&amp;V356)</f>
        <v/>
      </c>
      <c r="DC356" s="72" t="str">
        <f>IF(W356="","","|n"&amp;#REF!&amp;"+"&amp;W356)</f>
        <v/>
      </c>
      <c r="DD356" s="72" t="str">
        <f>IF(X356="","","|n"&amp;#REF!&amp;"+"&amp;X356)</f>
        <v/>
      </c>
      <c r="DE356" s="72" t="str">
        <f>IF(Y356="","","|n"&amp;#REF!&amp;"+"&amp;Y356)</f>
        <v/>
      </c>
      <c r="DF356" s="72" t="str">
        <f>IF(Z356="","","|n"&amp;#REF!&amp;"+"&amp;Z356)</f>
        <v/>
      </c>
      <c r="DG356" s="72" t="str">
        <f>IF(AA356="","","|n"&amp;#REF!&amp;"+"&amp;AA356)</f>
        <v/>
      </c>
      <c r="DH356" s="72" t="str">
        <f>IF(AB356="","","|n"&amp;#REF!&amp;"+"&amp;AB356)</f>
        <v/>
      </c>
      <c r="DI356" s="72" t="str">
        <f>IF(AC356="","","|n"&amp;#REF!&amp;"+"&amp;AC356&amp;"%")</f>
        <v/>
      </c>
      <c r="DJ356" s="72" t="str">
        <f>IF(AD356="","","|n"&amp;#REF!&amp;"+"&amp;AD356)</f>
        <v/>
      </c>
      <c r="DK356" s="72" t="str">
        <f>IF(AE356="","","|n"&amp;#REF!&amp;"+"&amp;AE356)</f>
        <v/>
      </c>
      <c r="DL356" s="72" t="str">
        <f>IF(AF356="","","|n"&amp;#REF!&amp;"+"&amp;AF356)</f>
        <v/>
      </c>
      <c r="DM356" s="72" t="str">
        <f>IF(AG356="","","|n"&amp;#REF!&amp;"+"&amp;AG356&amp;"%")</f>
        <v/>
      </c>
      <c r="DN356" s="72" t="str">
        <f>IF(AH356="","","|n"&amp;#REF!&amp;"+"&amp;AH356)</f>
        <v/>
      </c>
      <c r="DO356" s="72" t="str">
        <f>IF(AI356="","","|n"&amp;#REF!&amp;"+"&amp;AI356)</f>
        <v/>
      </c>
      <c r="DP356" s="72" t="str">
        <f>IF(AJ356="","","|n"&amp;#REF!&amp;"+"&amp;AJ356)</f>
        <v/>
      </c>
    </row>
    <row r="357" spans="92:120">
      <c r="CN357" s="70" t="str">
        <f t="shared" si="4359"/>
        <v>InitUnitState('',,,,,,,,,,)</v>
      </c>
      <c r="CO357" s="70" t="str">
        <f t="shared" si="4360"/>
        <v>InitUnitNormal('',,,,,,,,,,)</v>
      </c>
      <c r="CP357" s="70" t="str">
        <f t="shared" si="4361"/>
        <v>InitUnitMagic('',,,,,,,,,,)</v>
      </c>
      <c r="CQ357" s="70" t="str">
        <f t="shared" si="4362"/>
        <v>InitUnitAdd('',,,,,,,,,,)</v>
      </c>
      <c r="CR357" s="70" t="str">
        <f t="shared" si="4363"/>
        <v>InitEquipData('',,"",,,,,'','','','','','',"")</v>
      </c>
      <c r="CU357" s="71" t="str">
        <f t="shared" si="4358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20">
      <c r="CN358" s="70" t="str">
        <f t="shared" si="4359"/>
        <v>InitUnitState('',,,,,,,,,,)</v>
      </c>
      <c r="CO358" s="70" t="str">
        <f t="shared" si="4360"/>
        <v>InitUnitNormal('',,,,,,,,,,)</v>
      </c>
      <c r="CP358" s="70" t="str">
        <f t="shared" si="4361"/>
        <v>InitUnitMagic('',,,,,,,,,,)</v>
      </c>
      <c r="CQ358" s="70" t="str">
        <f t="shared" si="4362"/>
        <v>InitUnitAdd('',,,,,,,,,,)</v>
      </c>
      <c r="CR358" s="70" t="str">
        <f t="shared" si="4363"/>
        <v>InitEquipData('',,"",,,,,'','','','','','',"")</v>
      </c>
      <c r="CU358" s="71" t="str">
        <f t="shared" si="4358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20">
      <c r="CN359" s="70" t="str">
        <f t="shared" si="4359"/>
        <v>InitUnitState('',,,,,,,,,,)</v>
      </c>
      <c r="CO359" s="70" t="str">
        <f t="shared" si="4360"/>
        <v>InitUnitNormal('',,,,,,,,,,)</v>
      </c>
      <c r="CP359" s="70" t="str">
        <f t="shared" si="4361"/>
        <v>InitUnitMagic('',,,,,,,,,,)</v>
      </c>
      <c r="CQ359" s="70" t="str">
        <f t="shared" si="4362"/>
        <v>InitUnitAdd('',,,,,,,,,,)</v>
      </c>
      <c r="CR359" s="70" t="str">
        <f t="shared" si="4363"/>
        <v>InitEquipData('',,"",,,,,'','','','','','',"")</v>
      </c>
      <c r="CU359" s="71" t="str">
        <f t="shared" si="4358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20">
      <c r="CN360" s="70" t="str">
        <f t="shared" si="4359"/>
        <v>InitUnitState('',,,,,,,,,,)</v>
      </c>
      <c r="CO360" s="70" t="str">
        <f t="shared" si="4360"/>
        <v>InitUnitNormal('',,,,,,,,,,)</v>
      </c>
      <c r="CP360" s="70" t="str">
        <f t="shared" si="4361"/>
        <v>InitUnitMagic('',,,,,,,,,,)</v>
      </c>
      <c r="CQ360" s="70" t="str">
        <f t="shared" si="4362"/>
        <v>InitUnitAdd('',,,,,,,,,,)</v>
      </c>
      <c r="CR360" s="70" t="str">
        <f t="shared" si="4363"/>
        <v>InitEquipData('',,"",,,,,'','','','','','',"")</v>
      </c>
      <c r="CU360" s="71" t="str">
        <f t="shared" si="4358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20">
      <c r="CN361" s="70" t="str">
        <f t="shared" si="4359"/>
        <v>InitUnitState('',,,,,,,,,,)</v>
      </c>
      <c r="CO361" s="70" t="str">
        <f t="shared" si="4360"/>
        <v>InitUnitNormal('',,,,,,,,,,)</v>
      </c>
      <c r="CP361" s="70" t="str">
        <f t="shared" si="4361"/>
        <v>InitUnitMagic('',,,,,,,,,,)</v>
      </c>
      <c r="CQ361" s="70" t="str">
        <f t="shared" si="4362"/>
        <v>InitUnitAdd('',,,,,,,,,,)</v>
      </c>
      <c r="CR361" s="70" t="str">
        <f t="shared" si="4363"/>
        <v>InitEquipData('',,"",,,,,'','','','','','',"")</v>
      </c>
      <c r="CU361" s="71" t="str">
        <f t="shared" si="4358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20">
      <c r="CN362" s="70" t="str">
        <f t="shared" si="4359"/>
        <v>InitUnitState('',,,,,,,,,,)</v>
      </c>
      <c r="CO362" s="70" t="str">
        <f t="shared" si="4360"/>
        <v>InitUnitNormal('',,,,,,,,,,)</v>
      </c>
      <c r="CP362" s="70" t="str">
        <f t="shared" si="4361"/>
        <v>InitUnitMagic('',,,,,,,,,,)</v>
      </c>
      <c r="CQ362" s="70" t="str">
        <f t="shared" si="4362"/>
        <v>InitUnitAdd('',,,,,,,,,,)</v>
      </c>
      <c r="CR362" s="70" t="str">
        <f t="shared" si="4363"/>
        <v>InitEquipData('',,"",,,,,'','','','','','',"")</v>
      </c>
      <c r="CU362" s="71" t="str">
        <f t="shared" si="4358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20">
      <c r="CN363" s="70" t="str">
        <f t="shared" si="4359"/>
        <v>InitUnitState('',,,,,,,,,,)</v>
      </c>
      <c r="CO363" s="70" t="str">
        <f t="shared" si="4360"/>
        <v>InitUnitNormal('',,,,,,,,,,)</v>
      </c>
      <c r="CP363" s="70" t="str">
        <f t="shared" si="4361"/>
        <v>InitUnitMagic('',,,,,,,,,,)</v>
      </c>
      <c r="CQ363" s="70" t="str">
        <f t="shared" si="4362"/>
        <v>InitUnitAdd('',,,,,,,,,,)</v>
      </c>
      <c r="CR363" s="70" t="str">
        <f t="shared" si="4363"/>
        <v>InitEquipData('',,"",,,,,'','','','','','',"")</v>
      </c>
      <c r="CU363" s="71" t="str">
        <f t="shared" si="4358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20">
      <c r="CN364" s="70" t="str">
        <f t="shared" si="4359"/>
        <v>InitUnitState('',,,,,,,,,,)</v>
      </c>
      <c r="CO364" s="70" t="str">
        <f t="shared" si="4360"/>
        <v>InitUnitNormal('',,,,,,,,,,)</v>
      </c>
      <c r="CP364" s="70" t="str">
        <f t="shared" si="4361"/>
        <v>InitUnitMagic('',,,,,,,,,,)</v>
      </c>
      <c r="CQ364" s="70" t="str">
        <f t="shared" si="4362"/>
        <v>InitUnitAdd('',,,,,,,,,,)</v>
      </c>
      <c r="CR364" s="70" t="str">
        <f t="shared" si="4363"/>
        <v>InitEquipData('',,"",,,,,'','','','','','',"")</v>
      </c>
      <c r="CU364" s="71" t="str">
        <f t="shared" si="4358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20">
      <c r="CN365" s="70" t="str">
        <f t="shared" si="4359"/>
        <v>InitUnitState('',,,,,,,,,,)</v>
      </c>
      <c r="CO365" s="70" t="str">
        <f t="shared" si="4360"/>
        <v>InitUnitNormal('',,,,,,,,,,)</v>
      </c>
      <c r="CP365" s="70" t="str">
        <f t="shared" si="4361"/>
        <v>InitUnitMagic('',,,,,,,,,,)</v>
      </c>
      <c r="CQ365" s="70" t="str">
        <f t="shared" si="4362"/>
        <v>InitUnitAdd('',,,,,,,,,,)</v>
      </c>
      <c r="CR365" s="70" t="str">
        <f t="shared" si="4363"/>
        <v>InitEquipData('',,"",,,,,'','','','','','',"")</v>
      </c>
      <c r="CU365" s="71" t="str">
        <f t="shared" si="4358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20">
      <c r="CN366" s="70" t="str">
        <f t="shared" si="4359"/>
        <v>InitUnitState('',,,,,,,,,,)</v>
      </c>
      <c r="CO366" s="70" t="str">
        <f t="shared" si="4360"/>
        <v>InitUnitNormal('',,,,,,,,,,)</v>
      </c>
      <c r="CP366" s="70" t="str">
        <f t="shared" si="4361"/>
        <v>InitUnitMagic('',,,,,,,,,,)</v>
      </c>
      <c r="CQ366" s="70" t="str">
        <f t="shared" si="4362"/>
        <v>InitUnitAdd('',,,,,,,,,,)</v>
      </c>
      <c r="CR366" s="70" t="str">
        <f t="shared" si="4363"/>
        <v>InitEquipData('',,"",,,,,'','','','','','',"")</v>
      </c>
      <c r="CU366" s="71" t="str">
        <f t="shared" si="4358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20">
      <c r="CN367" s="70" t="str">
        <f t="shared" si="4359"/>
        <v>InitUnitState('',,,,,,,,,,)</v>
      </c>
      <c r="CO367" s="70" t="str">
        <f t="shared" si="4360"/>
        <v>InitUnitNormal('',,,,,,,,,,)</v>
      </c>
      <c r="CP367" s="70" t="str">
        <f t="shared" si="4361"/>
        <v>InitUnitMagic('',,,,,,,,,,)</v>
      </c>
      <c r="CQ367" s="70" t="str">
        <f t="shared" si="4362"/>
        <v>InitUnitAdd('',,,,,,,,,,)</v>
      </c>
      <c r="CR367" s="70" t="str">
        <f t="shared" si="4363"/>
        <v>InitEquipData('',,"",,,,,'','','','','','',"")</v>
      </c>
      <c r="CU367" s="71" t="str">
        <f t="shared" si="4358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20">
      <c r="CN368" s="70" t="str">
        <f t="shared" si="4359"/>
        <v>InitUnitState('',,,,,,,,,,)</v>
      </c>
      <c r="CO368" s="70" t="str">
        <f t="shared" si="4360"/>
        <v>InitUnitNormal('',,,,,,,,,,)</v>
      </c>
      <c r="CP368" s="70" t="str">
        <f t="shared" si="4361"/>
        <v>InitUnitMagic('',,,,,,,,,,)</v>
      </c>
      <c r="CQ368" s="70" t="str">
        <f t="shared" si="4362"/>
        <v>InitUnitAdd('',,,,,,,,,,)</v>
      </c>
      <c r="CR368" s="70" t="str">
        <f t="shared" si="4363"/>
        <v>InitEquipData('',,"",,,,,'','','','','','',"")</v>
      </c>
      <c r="CU368" s="71" t="str">
        <f t="shared" si="4358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0" t="str">
        <f t="shared" si="4359"/>
        <v>InitUnitState('',,,,,,,,,,)</v>
      </c>
      <c r="CO369" s="70" t="str">
        <f t="shared" si="4360"/>
        <v>InitUnitNormal('',,,,,,,,,,)</v>
      </c>
      <c r="CP369" s="70" t="str">
        <f t="shared" si="4361"/>
        <v>InitUnitMagic('',,,,,,,,,,)</v>
      </c>
      <c r="CQ369" s="70" t="str">
        <f t="shared" si="4362"/>
        <v>InitUnitAdd('',,,,,,,,,,)</v>
      </c>
      <c r="CR369" s="70" t="str">
        <f t="shared" si="4363"/>
        <v>InitEquipData('',,"",,,,,'','','','','','',"")</v>
      </c>
      <c r="CU369" s="71" t="str">
        <f t="shared" si="4358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0" t="str">
        <f t="shared" si="4359"/>
        <v>InitUnitState('',,,,,,,,,,)</v>
      </c>
      <c r="CO370" s="70" t="str">
        <f t="shared" si="4360"/>
        <v>InitUnitNormal('',,,,,,,,,,)</v>
      </c>
      <c r="CP370" s="70" t="str">
        <f t="shared" si="4361"/>
        <v>InitUnitMagic('',,,,,,,,,,)</v>
      </c>
      <c r="CQ370" s="70" t="str">
        <f t="shared" si="4362"/>
        <v>InitUnitAdd('',,,,,,,,,,)</v>
      </c>
      <c r="CR370" s="70" t="str">
        <f t="shared" si="4363"/>
        <v>InitEquipData('',,"",,,,,'','','','','','',"")</v>
      </c>
      <c r="CU370" s="71" t="str">
        <f t="shared" si="4358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0" t="str">
        <f t="shared" si="4359"/>
        <v>InitUnitState('',,,,,,,,,,)</v>
      </c>
      <c r="CO371" s="70" t="str">
        <f t="shared" si="4360"/>
        <v>InitUnitNormal('',,,,,,,,,,)</v>
      </c>
      <c r="CP371" s="70" t="str">
        <f t="shared" si="4361"/>
        <v>InitUnitMagic('',,,,,,,,,,)</v>
      </c>
      <c r="CQ371" s="70" t="str">
        <f t="shared" si="4362"/>
        <v>InitUnitAdd('',,,,,,,,,,)</v>
      </c>
      <c r="CR371" s="70" t="str">
        <f t="shared" si="4363"/>
        <v>InitEquipData('',,"",,,,,'','','','','','',"")</v>
      </c>
      <c r="CU371" s="71" t="str">
        <f t="shared" si="4358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0" t="str">
        <f t="shared" si="4359"/>
        <v>InitUnitState('',,,,,,,,,,)</v>
      </c>
      <c r="CO372" s="70" t="str">
        <f t="shared" si="4360"/>
        <v>InitUnitNormal('',,,,,,,,,,)</v>
      </c>
      <c r="CP372" s="70" t="str">
        <f t="shared" si="4361"/>
        <v>InitUnitMagic('',,,,,,,,,,)</v>
      </c>
      <c r="CQ372" s="70" t="str">
        <f t="shared" si="4362"/>
        <v>InitUnitAdd('',,,,,,,,,,)</v>
      </c>
      <c r="CR372" s="70" t="str">
        <f t="shared" si="4363"/>
        <v>InitEquipData('',,"",,,,,'','','','','','',"")</v>
      </c>
      <c r="CU372" s="71" t="str">
        <f t="shared" si="4358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0" t="str">
        <f t="shared" si="4359"/>
        <v>InitUnitState('',,,,,,,,,,)</v>
      </c>
      <c r="CO373" s="70" t="str">
        <f t="shared" si="4360"/>
        <v>InitUnitNormal('',,,,,,,,,,)</v>
      </c>
      <c r="CP373" s="70" t="str">
        <f t="shared" si="4361"/>
        <v>InitUnitMagic('',,,,,,,,,,)</v>
      </c>
      <c r="CQ373" s="70" t="str">
        <f t="shared" si="4362"/>
        <v>InitUnitAdd('',,,,,,,,,,)</v>
      </c>
      <c r="CR373" s="70" t="str">
        <f t="shared" si="4363"/>
        <v>InitEquipData('',,"",,,,,'','','','','','',"")</v>
      </c>
      <c r="CU373" s="71" t="str">
        <f t="shared" si="4358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0" t="str">
        <f t="shared" si="4359"/>
        <v>InitUnitState('',,,,,,,,,,)</v>
      </c>
      <c r="CO374" s="70" t="str">
        <f t="shared" si="4360"/>
        <v>InitUnitNormal('',,,,,,,,,,)</v>
      </c>
      <c r="CP374" s="70" t="str">
        <f t="shared" si="4361"/>
        <v>InitUnitMagic('',,,,,,,,,,)</v>
      </c>
      <c r="CQ374" s="70" t="str">
        <f t="shared" si="4362"/>
        <v>InitUnitAdd('',,,,,,,,,,)</v>
      </c>
      <c r="CR374" s="70" t="str">
        <f t="shared" si="4363"/>
        <v>InitEquipData('',,"",,,,,'','','','','','',"")</v>
      </c>
      <c r="CU374" s="71" t="str">
        <f t="shared" si="4358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0" t="str">
        <f t="shared" si="4359"/>
        <v>InitUnitState('',,,,,,,,,,)</v>
      </c>
      <c r="CO375" s="70" t="str">
        <f t="shared" si="4360"/>
        <v>InitUnitNormal('',,,,,,,,,,)</v>
      </c>
      <c r="CP375" s="70" t="str">
        <f t="shared" si="4361"/>
        <v>InitUnitMagic('',,,,,,,,,,)</v>
      </c>
      <c r="CQ375" s="70" t="str">
        <f t="shared" si="4362"/>
        <v>InitUnitAdd('',,,,,,,,,,)</v>
      </c>
      <c r="CR375" s="70" t="str">
        <f t="shared" si="4363"/>
        <v>InitEquipData('',,"",,,,,'','','','','','',"")</v>
      </c>
      <c r="CU375" s="71" t="str">
        <f t="shared" si="4358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</sheetData>
  <mergeCells count="3">
    <mergeCell ref="F1:O1"/>
    <mergeCell ref="P1:S1"/>
    <mergeCell ref="T1:U1"/>
  </mergeCells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3.8"/>
  <cols>
    <col min="1" max="1" width="28.33203125" style="55" customWidth="1"/>
    <col min="2" max="2" width="9" style="55"/>
    <col min="3" max="14" width="9" style="55" hidden="1" customWidth="1"/>
    <col min="15" max="15" width="41" style="55" customWidth="1"/>
    <col min="16" max="16" width="102.88671875" style="55" customWidth="1"/>
    <col min="17" max="17" width="36.21875" style="55" customWidth="1"/>
    <col min="18" max="18" width="13.21875" style="55" customWidth="1"/>
    <col min="19" max="27" width="9" style="55" customWidth="1"/>
    <col min="28" max="28" width="39.44140625" style="55" customWidth="1"/>
    <col min="29" max="16384" width="9" style="55"/>
  </cols>
  <sheetData>
    <row r="1" spans="1:28">
      <c r="A1" s="56" t="s">
        <v>898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899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物品!A179</f>
        <v>0</v>
      </c>
      <c r="B173" s="56" t="str">
        <f>"'"&amp;物品!B179&amp;"'"</f>
        <v>'IP01'</v>
      </c>
      <c r="C173" s="56">
        <f>物品!J179</f>
        <v>0</v>
      </c>
      <c r="D173" s="56">
        <f>物品!K179</f>
        <v>0</v>
      </c>
      <c r="E173" s="56">
        <f>物品!L179</f>
        <v>0</v>
      </c>
      <c r="F173" s="56">
        <f>物品!M179</f>
        <v>0</v>
      </c>
      <c r="G173" s="56">
        <f>物品!N179</f>
        <v>0</v>
      </c>
      <c r="H173" s="56">
        <f>物品!O179</f>
        <v>0</v>
      </c>
      <c r="I173" s="56">
        <f>IF(物品!J179=0,0,"'"&amp;物品!J179&amp;"'")</f>
        <v>0</v>
      </c>
      <c r="J173" s="56">
        <f>IF(物品!K179=0,0,"'"&amp;物品!K179&amp;"'")</f>
        <v>0</v>
      </c>
      <c r="K173" s="56">
        <f>IF(物品!L179=0,0,"'"&amp;物品!L179&amp;"'")</f>
        <v>0</v>
      </c>
      <c r="L173" s="56">
        <f>IF(物品!M179=0,0,"'"&amp;物品!M179&amp;"'")</f>
        <v>0</v>
      </c>
      <c r="M173" s="56">
        <f>IF(物品!N179=0,0,"'"&amp;物品!N179&amp;"'")</f>
        <v>0</v>
      </c>
      <c r="N173" s="56">
        <f>IF(物品!O179=0,0,"'"&amp;物品!O179&amp;"'")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物品!A180</f>
        <v>0</v>
      </c>
      <c r="B174" s="56" t="str">
        <f>"'"&amp;物品!B180&amp;"'"</f>
        <v>'IP02'</v>
      </c>
      <c r="C174" s="56">
        <f>物品!J180</f>
        <v>0</v>
      </c>
      <c r="D174" s="56">
        <f>物品!K180</f>
        <v>0</v>
      </c>
      <c r="E174" s="56">
        <f>物品!L180</f>
        <v>0</v>
      </c>
      <c r="F174" s="56">
        <f>物品!M180</f>
        <v>0</v>
      </c>
      <c r="G174" s="56">
        <f>物品!N180</f>
        <v>0</v>
      </c>
      <c r="H174" s="56">
        <f>物品!O180</f>
        <v>0</v>
      </c>
      <c r="I174" s="56">
        <f>IF(物品!J180=0,0,"'"&amp;物品!J180&amp;"'")</f>
        <v>0</v>
      </c>
      <c r="J174" s="56">
        <f>IF(物品!K180=0,0,"'"&amp;物品!K180&amp;"'")</f>
        <v>0</v>
      </c>
      <c r="K174" s="56">
        <f>IF(物品!L180=0,0,"'"&amp;物品!L180&amp;"'")</f>
        <v>0</v>
      </c>
      <c r="L174" s="56">
        <f>IF(物品!M180=0,0,"'"&amp;物品!M180&amp;"'")</f>
        <v>0</v>
      </c>
      <c r="M174" s="56">
        <f>IF(物品!N180=0,0,"'"&amp;物品!N180&amp;"'")</f>
        <v>0</v>
      </c>
      <c r="N174" s="56">
        <f>IF(物品!O180=0,0,"'"&amp;物品!O180&amp;"'")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物品!A181</f>
        <v>0</v>
      </c>
      <c r="B175" s="56" t="str">
        <f>"'"&amp;物品!B181&amp;"'"</f>
        <v>'IP03'</v>
      </c>
      <c r="C175" s="56">
        <f>物品!J181</f>
        <v>0</v>
      </c>
      <c r="D175" s="56">
        <f>物品!K181</f>
        <v>0</v>
      </c>
      <c r="E175" s="56">
        <f>物品!L181</f>
        <v>0</v>
      </c>
      <c r="F175" s="56">
        <f>物品!M181</f>
        <v>0</v>
      </c>
      <c r="G175" s="56">
        <f>物品!N181</f>
        <v>0</v>
      </c>
      <c r="H175" s="56">
        <f>物品!O181</f>
        <v>0</v>
      </c>
      <c r="I175" s="56">
        <f>IF(物品!J181=0,0,"'"&amp;物品!J181&amp;"'")</f>
        <v>0</v>
      </c>
      <c r="J175" s="56">
        <f>IF(物品!K181=0,0,"'"&amp;物品!K181&amp;"'")</f>
        <v>0</v>
      </c>
      <c r="K175" s="56">
        <f>IF(物品!L181=0,0,"'"&amp;物品!L181&amp;"'")</f>
        <v>0</v>
      </c>
      <c r="L175" s="56">
        <f>IF(物品!M181=0,0,"'"&amp;物品!M181&amp;"'")</f>
        <v>0</v>
      </c>
      <c r="M175" s="56">
        <f>IF(物品!N181=0,0,"'"&amp;物品!N181&amp;"'")</f>
        <v>0</v>
      </c>
      <c r="N175" s="56">
        <f>IF(物品!O181=0,0,"'"&amp;物品!O181&amp;"'")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物品!A188</f>
        <v>0</v>
      </c>
      <c r="B176" s="56" t="str">
        <f>"'"&amp;物品!B188&amp;"'"</f>
        <v>'IT01'</v>
      </c>
      <c r="C176" s="56">
        <f>物品!J188</f>
        <v>0</v>
      </c>
      <c r="D176" s="56">
        <f>物品!K188</f>
        <v>0</v>
      </c>
      <c r="E176" s="56">
        <f>物品!L188</f>
        <v>0</v>
      </c>
      <c r="F176" s="56">
        <f>物品!M188</f>
        <v>0</v>
      </c>
      <c r="G176" s="56">
        <f>物品!N188</f>
        <v>0</v>
      </c>
      <c r="H176" s="56">
        <f>物品!O188</f>
        <v>0</v>
      </c>
      <c r="I176" s="56">
        <f>IF(物品!J188=0,0,"'"&amp;物品!J188&amp;"'")</f>
        <v>0</v>
      </c>
      <c r="J176" s="56">
        <f>IF(物品!K188=0,0,"'"&amp;物品!K188&amp;"'")</f>
        <v>0</v>
      </c>
      <c r="K176" s="56">
        <f>IF(物品!L188=0,0,"'"&amp;物品!L188&amp;"'")</f>
        <v>0</v>
      </c>
      <c r="L176" s="56">
        <f>IF(物品!M188=0,0,"'"&amp;物品!M188&amp;"'")</f>
        <v>0</v>
      </c>
      <c r="M176" s="56">
        <f>IF(物品!N188=0,0,"'"&amp;物品!N188&amp;"'")</f>
        <v>0</v>
      </c>
      <c r="N176" s="56">
        <f>IF(物品!O188=0,0,"'"&amp;物品!O188&amp;"'")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物品!A189</f>
        <v>0</v>
      </c>
      <c r="B177" s="56" t="str">
        <f>"'"&amp;物品!B189&amp;"'"</f>
        <v>'IT02'</v>
      </c>
      <c r="C177" s="56">
        <f>物品!J189</f>
        <v>0</v>
      </c>
      <c r="D177" s="56">
        <f>物品!K189</f>
        <v>0</v>
      </c>
      <c r="E177" s="56">
        <f>物品!L189</f>
        <v>0</v>
      </c>
      <c r="F177" s="56">
        <f>物品!M189</f>
        <v>0</v>
      </c>
      <c r="G177" s="56">
        <f>物品!N189</f>
        <v>0</v>
      </c>
      <c r="H177" s="56">
        <f>物品!O189</f>
        <v>0</v>
      </c>
      <c r="I177" s="56">
        <f>IF(物品!J189=0,0,"'"&amp;物品!J189&amp;"'")</f>
        <v>0</v>
      </c>
      <c r="J177" s="56">
        <f>IF(物品!K189=0,0,"'"&amp;物品!K189&amp;"'")</f>
        <v>0</v>
      </c>
      <c r="K177" s="56">
        <f>IF(物品!L189=0,0,"'"&amp;物品!L189&amp;"'")</f>
        <v>0</v>
      </c>
      <c r="L177" s="56">
        <f>IF(物品!M189=0,0,"'"&amp;物品!M189&amp;"'")</f>
        <v>0</v>
      </c>
      <c r="M177" s="56">
        <f>IF(物品!N189=0,0,"'"&amp;物品!N189&amp;"'")</f>
        <v>0</v>
      </c>
      <c r="N177" s="56">
        <f>IF(物品!O189=0,0,"'"&amp;物品!O189&amp;"'")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物品!A190</f>
        <v>0</v>
      </c>
      <c r="B178" s="56" t="str">
        <f>"'"&amp;物品!B190&amp;"'"</f>
        <v>'IT03'</v>
      </c>
      <c r="C178" s="56">
        <f>物品!J190</f>
        <v>0</v>
      </c>
      <c r="D178" s="56">
        <f>物品!K190</f>
        <v>0</v>
      </c>
      <c r="E178" s="56">
        <f>物品!L190</f>
        <v>0</v>
      </c>
      <c r="F178" s="56">
        <f>物品!M190</f>
        <v>0</v>
      </c>
      <c r="G178" s="56">
        <f>物品!N190</f>
        <v>0</v>
      </c>
      <c r="H178" s="56">
        <f>物品!O190</f>
        <v>0</v>
      </c>
      <c r="I178" s="56">
        <f>IF(物品!J190=0,0,"'"&amp;物品!J190&amp;"'")</f>
        <v>0</v>
      </c>
      <c r="J178" s="56">
        <f>IF(物品!K190=0,0,"'"&amp;物品!K190&amp;"'")</f>
        <v>0</v>
      </c>
      <c r="K178" s="56">
        <f>IF(物品!L190=0,0,"'"&amp;物品!L190&amp;"'")</f>
        <v>0</v>
      </c>
      <c r="L178" s="56">
        <f>IF(物品!M190=0,0,"'"&amp;物品!M190&amp;"'")</f>
        <v>0</v>
      </c>
      <c r="M178" s="56">
        <f>IF(物品!N190=0,0,"'"&amp;物品!N190&amp;"'")</f>
        <v>0</v>
      </c>
      <c r="N178" s="56">
        <f>IF(物品!O190=0,0,"'"&amp;物品!O190&amp;"'")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物品!A191</f>
        <v>0</v>
      </c>
      <c r="B179" s="56" t="str">
        <f>"'"&amp;物品!B191&amp;"'"</f>
        <v>'IT04'</v>
      </c>
      <c r="C179" s="56">
        <f>物品!J191</f>
        <v>0</v>
      </c>
      <c r="D179" s="56">
        <f>物品!K191</f>
        <v>0</v>
      </c>
      <c r="E179" s="56">
        <f>物品!L191</f>
        <v>0</v>
      </c>
      <c r="F179" s="56">
        <f>物品!M191</f>
        <v>0</v>
      </c>
      <c r="G179" s="56">
        <f>物品!N191</f>
        <v>0</v>
      </c>
      <c r="H179" s="56">
        <f>物品!O191</f>
        <v>0</v>
      </c>
      <c r="I179" s="56">
        <f>IF(物品!J191=0,0,"'"&amp;物品!J191&amp;"'")</f>
        <v>0</v>
      </c>
      <c r="J179" s="56">
        <f>IF(物品!K191=0,0,"'"&amp;物品!K191&amp;"'")</f>
        <v>0</v>
      </c>
      <c r="K179" s="56">
        <f>IF(物品!L191=0,0,"'"&amp;物品!L191&amp;"'")</f>
        <v>0</v>
      </c>
      <c r="L179" s="56">
        <f>IF(物品!M191=0,0,"'"&amp;物品!M191&amp;"'")</f>
        <v>0</v>
      </c>
      <c r="M179" s="56">
        <f>IF(物品!N191=0,0,"'"&amp;物品!N191&amp;"'")</f>
        <v>0</v>
      </c>
      <c r="N179" s="56">
        <f>IF(物品!O191=0,0,"'"&amp;物品!O191&amp;"'")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物品!A192</f>
        <v>0</v>
      </c>
      <c r="B180" s="56" t="str">
        <f>"'"&amp;物品!B192&amp;"'"</f>
        <v>'IT05'</v>
      </c>
      <c r="C180" s="56">
        <f>物品!J192</f>
        <v>0</v>
      </c>
      <c r="D180" s="56">
        <f>物品!K192</f>
        <v>0</v>
      </c>
      <c r="E180" s="56">
        <f>物品!L192</f>
        <v>0</v>
      </c>
      <c r="F180" s="56">
        <f>物品!M192</f>
        <v>0</v>
      </c>
      <c r="G180" s="56">
        <f>物品!N192</f>
        <v>0</v>
      </c>
      <c r="H180" s="56">
        <f>物品!O192</f>
        <v>0</v>
      </c>
      <c r="I180" s="56">
        <f>IF(物品!J192=0,0,"'"&amp;物品!J192&amp;"'")</f>
        <v>0</v>
      </c>
      <c r="J180" s="56">
        <f>IF(物品!K192=0,0,"'"&amp;物品!K192&amp;"'")</f>
        <v>0</v>
      </c>
      <c r="K180" s="56">
        <f>IF(物品!L192=0,0,"'"&amp;物品!L192&amp;"'")</f>
        <v>0</v>
      </c>
      <c r="L180" s="56">
        <f>IF(物品!M192=0,0,"'"&amp;物品!M192&amp;"'")</f>
        <v>0</v>
      </c>
      <c r="M180" s="56">
        <f>IF(物品!N192=0,0,"'"&amp;物品!N192&amp;"'")</f>
        <v>0</v>
      </c>
      <c r="N180" s="56">
        <f>IF(物品!O192=0,0,"'"&amp;物品!O192&amp;"'")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物品!A193</f>
        <v>0</v>
      </c>
      <c r="B181" s="56" t="str">
        <f>"'"&amp;物品!B193&amp;"'"</f>
        <v>'IT06'</v>
      </c>
      <c r="C181" s="56">
        <f>物品!J193</f>
        <v>0</v>
      </c>
      <c r="D181" s="56">
        <f>物品!K193</f>
        <v>0</v>
      </c>
      <c r="E181" s="56">
        <f>物品!L193</f>
        <v>0</v>
      </c>
      <c r="F181" s="56">
        <f>物品!M193</f>
        <v>0</v>
      </c>
      <c r="G181" s="56">
        <f>物品!N193</f>
        <v>0</v>
      </c>
      <c r="H181" s="56">
        <f>物品!O193</f>
        <v>0</v>
      </c>
      <c r="I181" s="56">
        <f>IF(物品!J193=0,0,"'"&amp;物品!J193&amp;"'")</f>
        <v>0</v>
      </c>
      <c r="J181" s="56">
        <f>IF(物品!K193=0,0,"'"&amp;物品!K193&amp;"'")</f>
        <v>0</v>
      </c>
      <c r="K181" s="56">
        <f>IF(物品!L193=0,0,"'"&amp;物品!L193&amp;"'")</f>
        <v>0</v>
      </c>
      <c r="L181" s="56">
        <f>IF(物品!M193=0,0,"'"&amp;物品!M193&amp;"'")</f>
        <v>0</v>
      </c>
      <c r="M181" s="56">
        <f>IF(物品!N193=0,0,"'"&amp;物品!N193&amp;"'")</f>
        <v>0</v>
      </c>
      <c r="N181" s="56">
        <f>IF(物品!O193=0,0,"'"&amp;物品!O193&amp;"'")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物品!A194</f>
        <v>0</v>
      </c>
      <c r="B182" s="56" t="str">
        <f>"'"&amp;物品!B194&amp;"'"</f>
        <v>'IT07'</v>
      </c>
      <c r="C182" s="56">
        <f>物品!J194</f>
        <v>0</v>
      </c>
      <c r="D182" s="56">
        <f>物品!K194</f>
        <v>0</v>
      </c>
      <c r="E182" s="56">
        <f>物品!L194</f>
        <v>0</v>
      </c>
      <c r="F182" s="56">
        <f>物品!M194</f>
        <v>0</v>
      </c>
      <c r="G182" s="56">
        <f>物品!N194</f>
        <v>0</v>
      </c>
      <c r="H182" s="56">
        <f>物品!O194</f>
        <v>0</v>
      </c>
      <c r="I182" s="56">
        <f>IF(物品!J194=0,0,"'"&amp;物品!J194&amp;"'")</f>
        <v>0</v>
      </c>
      <c r="J182" s="56">
        <f>IF(物品!K194=0,0,"'"&amp;物品!K194&amp;"'")</f>
        <v>0</v>
      </c>
      <c r="K182" s="56">
        <f>IF(物品!L194=0,0,"'"&amp;物品!L194&amp;"'")</f>
        <v>0</v>
      </c>
      <c r="L182" s="56">
        <f>IF(物品!M194=0,0,"'"&amp;物品!M194&amp;"'")</f>
        <v>0</v>
      </c>
      <c r="M182" s="56">
        <f>IF(物品!N194=0,0,"'"&amp;物品!N194&amp;"'")</f>
        <v>0</v>
      </c>
      <c r="N182" s="56">
        <f>IF(物品!O194=0,0,"'"&amp;物品!O194&amp;"'")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物品!A195</f>
        <v>.</v>
      </c>
      <c r="B183" s="56" t="str">
        <f>"'"&amp;物品!B195&amp;"'"</f>
        <v>'IT08'</v>
      </c>
      <c r="C183" s="56">
        <f>物品!J195</f>
        <v>0</v>
      </c>
      <c r="D183" s="56">
        <f>物品!K195</f>
        <v>0</v>
      </c>
      <c r="E183" s="56">
        <f>物品!L195</f>
        <v>0</v>
      </c>
      <c r="F183" s="56">
        <f>物品!M195</f>
        <v>0</v>
      </c>
      <c r="G183" s="56">
        <f>物品!N195</f>
        <v>0</v>
      </c>
      <c r="H183" s="56">
        <f>物品!O195</f>
        <v>0</v>
      </c>
      <c r="I183" s="56">
        <f>IF(物品!J195=0,0,"'"&amp;物品!J195&amp;"'")</f>
        <v>0</v>
      </c>
      <c r="J183" s="56">
        <f>IF(物品!K195=0,0,"'"&amp;物品!K195&amp;"'")</f>
        <v>0</v>
      </c>
      <c r="K183" s="56">
        <f>IF(物品!L195=0,0,"'"&amp;物品!L195&amp;"'")</f>
        <v>0</v>
      </c>
      <c r="L183" s="56">
        <f>IF(物品!M195=0,0,"'"&amp;物品!M195&amp;"'")</f>
        <v>0</v>
      </c>
      <c r="M183" s="56">
        <f>IF(物品!N195=0,0,"'"&amp;物品!N195&amp;"'")</f>
        <v>0</v>
      </c>
      <c r="N183" s="56">
        <f>IF(物品!O195=0,0,"'"&amp;物品!O195&amp;"'")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物品!A196</f>
        <v>0</v>
      </c>
      <c r="B184" s="56" t="str">
        <f>"'"&amp;物品!B196&amp;"'"</f>
        <v>'IT09'</v>
      </c>
      <c r="C184" s="56">
        <f>物品!J196</f>
        <v>0</v>
      </c>
      <c r="D184" s="56">
        <f>物品!K196</f>
        <v>0</v>
      </c>
      <c r="E184" s="56">
        <f>物品!L196</f>
        <v>0</v>
      </c>
      <c r="F184" s="56">
        <f>物品!M196</f>
        <v>0</v>
      </c>
      <c r="G184" s="56">
        <f>物品!N196</f>
        <v>0</v>
      </c>
      <c r="H184" s="56">
        <f>物品!O196</f>
        <v>0</v>
      </c>
      <c r="I184" s="56">
        <f>IF(物品!J196=0,0,"'"&amp;物品!J196&amp;"'")</f>
        <v>0</v>
      </c>
      <c r="J184" s="56">
        <f>IF(物品!K196=0,0,"'"&amp;物品!K196&amp;"'")</f>
        <v>0</v>
      </c>
      <c r="K184" s="56">
        <f>IF(物品!L196=0,0,"'"&amp;物品!L196&amp;"'")</f>
        <v>0</v>
      </c>
      <c r="L184" s="56">
        <f>IF(物品!M196=0,0,"'"&amp;物品!M196&amp;"'")</f>
        <v>0</v>
      </c>
      <c r="M184" s="56">
        <f>IF(物品!N196=0,0,"'"&amp;物品!N196&amp;"'")</f>
        <v>0</v>
      </c>
      <c r="N184" s="56">
        <f>IF(物品!O196=0,0,"'"&amp;物品!O196&amp;"'")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物品!A197</f>
        <v>0</v>
      </c>
      <c r="B185" s="56" t="str">
        <f>"'"&amp;物品!B197&amp;"'"</f>
        <v>'IT10'</v>
      </c>
      <c r="C185" s="56">
        <f>物品!J197</f>
        <v>0</v>
      </c>
      <c r="D185" s="56">
        <f>物品!K197</f>
        <v>0</v>
      </c>
      <c r="E185" s="56">
        <f>物品!L197</f>
        <v>0</v>
      </c>
      <c r="F185" s="56">
        <f>物品!M197</f>
        <v>0</v>
      </c>
      <c r="G185" s="56">
        <f>物品!N197</f>
        <v>0</v>
      </c>
      <c r="H185" s="56">
        <f>物品!O197</f>
        <v>0</v>
      </c>
      <c r="I185" s="56">
        <f>IF(物品!J197=0,0,"'"&amp;物品!J197&amp;"'")</f>
        <v>0</v>
      </c>
      <c r="J185" s="56">
        <f>IF(物品!K197=0,0,"'"&amp;物品!K197&amp;"'")</f>
        <v>0</v>
      </c>
      <c r="K185" s="56">
        <f>IF(物品!L197=0,0,"'"&amp;物品!L197&amp;"'")</f>
        <v>0</v>
      </c>
      <c r="L185" s="56">
        <f>IF(物品!M197=0,0,"'"&amp;物品!M197&amp;"'")</f>
        <v>0</v>
      </c>
      <c r="M185" s="56">
        <f>IF(物品!N197=0,0,"'"&amp;物品!N197&amp;"'")</f>
        <v>0</v>
      </c>
      <c r="N185" s="56">
        <f>IF(物品!O197=0,0,"'"&amp;物品!O197&amp;"'")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物品!A210</f>
        <v>0</v>
      </c>
      <c r="B186" s="56" t="str">
        <f>"'"&amp;物品!B210&amp;"'"</f>
        <v>'IS02'</v>
      </c>
      <c r="C186" s="56">
        <f>物品!J210</f>
        <v>0</v>
      </c>
      <c r="D186" s="56">
        <f>物品!K210</f>
        <v>0</v>
      </c>
      <c r="E186" s="56">
        <f>物品!L210</f>
        <v>0</v>
      </c>
      <c r="F186" s="56">
        <f>物品!M210</f>
        <v>0</v>
      </c>
      <c r="G186" s="56">
        <f>物品!N210</f>
        <v>0</v>
      </c>
      <c r="H186" s="56">
        <f>物品!O210</f>
        <v>0</v>
      </c>
      <c r="I186" s="56">
        <f>IF(物品!J210=0,0,"'"&amp;物品!J210&amp;"'")</f>
        <v>0</v>
      </c>
      <c r="J186" s="56">
        <f>IF(物品!K210=0,0,"'"&amp;物品!K210&amp;"'")</f>
        <v>0</v>
      </c>
      <c r="K186" s="56">
        <f>IF(物品!L210=0,0,"'"&amp;物品!L210&amp;"'")</f>
        <v>0</v>
      </c>
      <c r="L186" s="56">
        <f>IF(物品!M210=0,0,"'"&amp;物品!M210&amp;"'")</f>
        <v>0</v>
      </c>
      <c r="M186" s="56">
        <f>IF(物品!N210=0,0,"'"&amp;物品!N210&amp;"'")</f>
        <v>0</v>
      </c>
      <c r="N186" s="56">
        <f>IF(物品!O210=0,0,"'"&amp;物品!O210&amp;"'")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物品!A211</f>
        <v>0</v>
      </c>
      <c r="B187" s="56" t="str">
        <f>"'"&amp;物品!B211&amp;"'"</f>
        <v>'IS03'</v>
      </c>
      <c r="C187" s="56">
        <f>物品!J211</f>
        <v>0</v>
      </c>
      <c r="D187" s="56">
        <f>物品!K211</f>
        <v>0</v>
      </c>
      <c r="E187" s="56">
        <f>物品!L211</f>
        <v>0</v>
      </c>
      <c r="F187" s="56">
        <f>物品!M211</f>
        <v>0</v>
      </c>
      <c r="G187" s="56">
        <f>物品!N211</f>
        <v>0</v>
      </c>
      <c r="H187" s="56">
        <f>物品!O211</f>
        <v>0</v>
      </c>
      <c r="I187" s="56">
        <f>IF(物品!J211=0,0,"'"&amp;物品!J211&amp;"'")</f>
        <v>0</v>
      </c>
      <c r="J187" s="56">
        <f>IF(物品!K211=0,0,"'"&amp;物品!K211&amp;"'")</f>
        <v>0</v>
      </c>
      <c r="K187" s="56">
        <f>IF(物品!L211=0,0,"'"&amp;物品!L211&amp;"'")</f>
        <v>0</v>
      </c>
      <c r="L187" s="56">
        <f>IF(物品!M211=0,0,"'"&amp;物品!M211&amp;"'")</f>
        <v>0</v>
      </c>
      <c r="M187" s="56">
        <f>IF(物品!N211=0,0,"'"&amp;物品!N211&amp;"'")</f>
        <v>0</v>
      </c>
      <c r="N187" s="56">
        <f>IF(物品!O211=0,0,"'"&amp;物品!O211&amp;"'")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物品!A222</f>
        <v>0</v>
      </c>
      <c r="B190" s="56" t="str">
        <f>"'"&amp;物品!B222&amp;"'"</f>
        <v>'IS12'</v>
      </c>
      <c r="C190" s="56">
        <f>物品!J222</f>
        <v>0</v>
      </c>
      <c r="D190" s="56">
        <f>物品!K222</f>
        <v>0</v>
      </c>
      <c r="E190" s="56">
        <f>物品!L222</f>
        <v>0</v>
      </c>
      <c r="F190" s="56">
        <f>物品!M222</f>
        <v>0</v>
      </c>
      <c r="G190" s="56">
        <f>物品!N222</f>
        <v>0</v>
      </c>
      <c r="H190" s="56">
        <f>物品!O222</f>
        <v>0</v>
      </c>
      <c r="I190" s="56">
        <f>IF(物品!J222=0,0,"'"&amp;物品!J222&amp;"'")</f>
        <v>0</v>
      </c>
      <c r="J190" s="56">
        <f>IF(物品!K222=0,0,"'"&amp;物品!K222&amp;"'")</f>
        <v>0</v>
      </c>
      <c r="K190" s="56">
        <f>IF(物品!L222=0,0,"'"&amp;物品!L222&amp;"'")</f>
        <v>0</v>
      </c>
      <c r="L190" s="56">
        <f>IF(物品!M222=0,0,"'"&amp;物品!M222&amp;"'")</f>
        <v>0</v>
      </c>
      <c r="M190" s="56">
        <f>IF(物品!N222=0,0,"'"&amp;物品!N222&amp;"'")</f>
        <v>0</v>
      </c>
      <c r="N190" s="56">
        <f>IF(物品!O222=0,0,"'"&amp;物品!O222&amp;"'")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物品!A253</f>
        <v>0</v>
      </c>
      <c r="B199" s="56" t="str">
        <f>"'"&amp;物品!B253&amp;"'"</f>
        <v>'IF01'</v>
      </c>
      <c r="C199" s="56">
        <f>物品!J253</f>
        <v>0</v>
      </c>
      <c r="D199" s="56">
        <f>物品!K253</f>
        <v>0</v>
      </c>
      <c r="E199" s="56">
        <f>物品!L253</f>
        <v>0</v>
      </c>
      <c r="F199" s="56">
        <f>物品!M253</f>
        <v>0</v>
      </c>
      <c r="G199" s="56">
        <f>物品!N253</f>
        <v>0</v>
      </c>
      <c r="H199" s="56">
        <f>物品!O253</f>
        <v>0</v>
      </c>
      <c r="I199" s="56">
        <f>IF(物品!J253=0,0,"'"&amp;物品!J253&amp;"'")</f>
        <v>0</v>
      </c>
      <c r="J199" s="56">
        <f>IF(物品!K253=0,0,"'"&amp;物品!K253&amp;"'")</f>
        <v>0</v>
      </c>
      <c r="K199" s="56">
        <f>IF(物品!L253=0,0,"'"&amp;物品!L253&amp;"'")</f>
        <v>0</v>
      </c>
      <c r="L199" s="56">
        <f>IF(物品!M253=0,0,"'"&amp;物品!M253&amp;"'")</f>
        <v>0</v>
      </c>
      <c r="M199" s="56">
        <f>IF(物品!N253=0,0,"'"&amp;物品!N253&amp;"'")</f>
        <v>0</v>
      </c>
      <c r="N199" s="56">
        <f>IF(物品!O253=0,0,"'"&amp;物品!O253&amp;"'")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物品!A254</f>
        <v>0</v>
      </c>
      <c r="B200" s="56" t="str">
        <f>"'"&amp;物品!B254&amp;"'"</f>
        <v>'IF02'</v>
      </c>
      <c r="C200" s="56">
        <f>物品!J254</f>
        <v>0</v>
      </c>
      <c r="D200" s="56">
        <f>物品!K254</f>
        <v>0</v>
      </c>
      <c r="E200" s="56">
        <f>物品!L254</f>
        <v>0</v>
      </c>
      <c r="F200" s="56">
        <f>物品!M254</f>
        <v>0</v>
      </c>
      <c r="G200" s="56">
        <f>物品!N254</f>
        <v>0</v>
      </c>
      <c r="H200" s="56">
        <f>物品!O254</f>
        <v>0</v>
      </c>
      <c r="I200" s="56">
        <f>IF(物品!J254=0,0,"'"&amp;物品!J254&amp;"'")</f>
        <v>0</v>
      </c>
      <c r="J200" s="56">
        <f>IF(物品!K254=0,0,"'"&amp;物品!K254&amp;"'")</f>
        <v>0</v>
      </c>
      <c r="K200" s="56">
        <f>IF(物品!L254=0,0,"'"&amp;物品!L254&amp;"'")</f>
        <v>0</v>
      </c>
      <c r="L200" s="56">
        <f>IF(物品!M254=0,0,"'"&amp;物品!M254&amp;"'")</f>
        <v>0</v>
      </c>
      <c r="M200" s="56">
        <f>IF(物品!N254=0,0,"'"&amp;物品!N254&amp;"'")</f>
        <v>0</v>
      </c>
      <c r="N200" s="56">
        <f>IF(物品!O254=0,0,"'"&amp;物品!O254&amp;"'")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物品!A255</f>
        <v>0</v>
      </c>
      <c r="B201" s="56" t="str">
        <f>"'"&amp;物品!B255&amp;"'"</f>
        <v>'IF03'</v>
      </c>
      <c r="C201" s="56">
        <f>物品!J255</f>
        <v>0</v>
      </c>
      <c r="D201" s="56">
        <f>物品!K255</f>
        <v>0</v>
      </c>
      <c r="E201" s="56">
        <f>物品!L255</f>
        <v>0</v>
      </c>
      <c r="F201" s="56">
        <f>物品!M255</f>
        <v>0</v>
      </c>
      <c r="G201" s="56">
        <f>物品!N255</f>
        <v>0</v>
      </c>
      <c r="H201" s="56">
        <f>物品!O255</f>
        <v>0</v>
      </c>
      <c r="I201" s="56">
        <f>IF(物品!J255=0,0,"'"&amp;物品!J255&amp;"'")</f>
        <v>0</v>
      </c>
      <c r="J201" s="56">
        <f>IF(物品!K255=0,0,"'"&amp;物品!K255&amp;"'")</f>
        <v>0</v>
      </c>
      <c r="K201" s="56">
        <f>IF(物品!L255=0,0,"'"&amp;物品!L255&amp;"'")</f>
        <v>0</v>
      </c>
      <c r="L201" s="56">
        <f>IF(物品!M255=0,0,"'"&amp;物品!M255&amp;"'")</f>
        <v>0</v>
      </c>
      <c r="M201" s="56">
        <f>IF(物品!N255=0,0,"'"&amp;物品!N255&amp;"'")</f>
        <v>0</v>
      </c>
      <c r="N201" s="56">
        <f>IF(物品!O255=0,0,"'"&amp;物品!O255&amp;"'")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物品!A256</f>
        <v>0</v>
      </c>
      <c r="B202" s="56" t="str">
        <f>"'"&amp;物品!B256&amp;"'"</f>
        <v>'IF04'</v>
      </c>
      <c r="C202" s="56">
        <f>物品!J256</f>
        <v>0</v>
      </c>
      <c r="D202" s="56">
        <f>物品!K256</f>
        <v>0</v>
      </c>
      <c r="E202" s="56">
        <f>物品!L256</f>
        <v>0</v>
      </c>
      <c r="F202" s="56">
        <f>物品!M256</f>
        <v>0</v>
      </c>
      <c r="G202" s="56">
        <f>物品!N256</f>
        <v>0</v>
      </c>
      <c r="H202" s="56">
        <f>物品!O256</f>
        <v>0</v>
      </c>
      <c r="I202" s="56">
        <f>IF(物品!J256=0,0,"'"&amp;物品!J256&amp;"'")</f>
        <v>0</v>
      </c>
      <c r="J202" s="56">
        <f>IF(物品!K256=0,0,"'"&amp;物品!K256&amp;"'")</f>
        <v>0</v>
      </c>
      <c r="K202" s="56">
        <f>IF(物品!L256=0,0,"'"&amp;物品!L256&amp;"'")</f>
        <v>0</v>
      </c>
      <c r="L202" s="56">
        <f>IF(物品!M256=0,0,"'"&amp;物品!M256&amp;"'")</f>
        <v>0</v>
      </c>
      <c r="M202" s="56">
        <f>IF(物品!N256=0,0,"'"&amp;物品!N256&amp;"'")</f>
        <v>0</v>
      </c>
      <c r="N202" s="56">
        <f>IF(物品!O256=0,0,"'"&amp;物品!O256&amp;"'")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物品!A257</f>
        <v>0</v>
      </c>
      <c r="B203" s="56" t="str">
        <f>"'"&amp;物品!B257&amp;"'"</f>
        <v>'IF05'</v>
      </c>
      <c r="C203" s="56">
        <f>物品!J257</f>
        <v>0</v>
      </c>
      <c r="D203" s="56">
        <f>物品!K257</f>
        <v>0</v>
      </c>
      <c r="E203" s="56">
        <f>物品!L257</f>
        <v>0</v>
      </c>
      <c r="F203" s="56">
        <f>物品!M257</f>
        <v>0</v>
      </c>
      <c r="G203" s="56">
        <f>物品!N257</f>
        <v>0</v>
      </c>
      <c r="H203" s="56">
        <f>物品!O257</f>
        <v>0</v>
      </c>
      <c r="I203" s="56">
        <f>IF(物品!J257=0,0,"'"&amp;物品!J257&amp;"'")</f>
        <v>0</v>
      </c>
      <c r="J203" s="56">
        <f>IF(物品!K257=0,0,"'"&amp;物品!K257&amp;"'")</f>
        <v>0</v>
      </c>
      <c r="K203" s="56">
        <f>IF(物品!L257=0,0,"'"&amp;物品!L257&amp;"'")</f>
        <v>0</v>
      </c>
      <c r="L203" s="56">
        <f>IF(物品!M257=0,0,"'"&amp;物品!M257&amp;"'")</f>
        <v>0</v>
      </c>
      <c r="M203" s="56">
        <f>IF(物品!N257=0,0,"'"&amp;物品!N257&amp;"'")</f>
        <v>0</v>
      </c>
      <c r="N203" s="56">
        <f>IF(物品!O257=0,0,"'"&amp;物品!O257&amp;"'")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物品!A258</f>
        <v>0</v>
      </c>
      <c r="B204" s="56" t="str">
        <f>"'"&amp;物品!B258&amp;"'"</f>
        <v>'IF06'</v>
      </c>
      <c r="C204" s="56">
        <f>物品!J258</f>
        <v>0</v>
      </c>
      <c r="D204" s="56">
        <f>物品!K258</f>
        <v>0</v>
      </c>
      <c r="E204" s="56">
        <f>物品!L258</f>
        <v>0</v>
      </c>
      <c r="F204" s="56">
        <f>物品!M258</f>
        <v>0</v>
      </c>
      <c r="G204" s="56">
        <f>物品!N258</f>
        <v>0</v>
      </c>
      <c r="H204" s="56">
        <f>物品!O258</f>
        <v>0</v>
      </c>
      <c r="I204" s="56">
        <f>IF(物品!J258=0,0,"'"&amp;物品!J258&amp;"'")</f>
        <v>0</v>
      </c>
      <c r="J204" s="56">
        <f>IF(物品!K258=0,0,"'"&amp;物品!K258&amp;"'")</f>
        <v>0</v>
      </c>
      <c r="K204" s="56">
        <f>IF(物品!L258=0,0,"'"&amp;物品!L258&amp;"'")</f>
        <v>0</v>
      </c>
      <c r="L204" s="56">
        <f>IF(物品!M258=0,0,"'"&amp;物品!M258&amp;"'")</f>
        <v>0</v>
      </c>
      <c r="M204" s="56">
        <f>IF(物品!N258=0,0,"'"&amp;物品!N258&amp;"'")</f>
        <v>0</v>
      </c>
      <c r="N204" s="56">
        <f>IF(物品!O258=0,0,"'"&amp;物品!O258&amp;"'")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物品!A259</f>
        <v>0</v>
      </c>
      <c r="B205" s="56" t="str">
        <f>"'"&amp;物品!B259&amp;"'"</f>
        <v>'IF07'</v>
      </c>
      <c r="C205" s="56">
        <f>物品!J259</f>
        <v>0</v>
      </c>
      <c r="D205" s="56">
        <f>物品!K259</f>
        <v>0</v>
      </c>
      <c r="E205" s="56">
        <f>物品!L259</f>
        <v>0</v>
      </c>
      <c r="F205" s="56">
        <f>物品!M259</f>
        <v>0</v>
      </c>
      <c r="G205" s="56">
        <f>物品!N259</f>
        <v>0</v>
      </c>
      <c r="H205" s="56">
        <f>物品!O259</f>
        <v>0</v>
      </c>
      <c r="I205" s="56">
        <f>IF(物品!J259=0,0,"'"&amp;物品!J259&amp;"'")</f>
        <v>0</v>
      </c>
      <c r="J205" s="56">
        <f>IF(物品!K259=0,0,"'"&amp;物品!K259&amp;"'")</f>
        <v>0</v>
      </c>
      <c r="K205" s="56">
        <f>IF(物品!L259=0,0,"'"&amp;物品!L259&amp;"'")</f>
        <v>0</v>
      </c>
      <c r="L205" s="56">
        <f>IF(物品!M259=0,0,"'"&amp;物品!M259&amp;"'")</f>
        <v>0</v>
      </c>
      <c r="M205" s="56">
        <f>IF(物品!N259=0,0,"'"&amp;物品!N259&amp;"'")</f>
        <v>0</v>
      </c>
      <c r="N205" s="56">
        <f>IF(物品!O259=0,0,"'"&amp;物品!O259&amp;"'")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物品!A260</f>
        <v>0</v>
      </c>
      <c r="B206" s="56" t="str">
        <f>"'"&amp;物品!B260&amp;"'"</f>
        <v>'IF08'</v>
      </c>
      <c r="C206" s="56">
        <f>物品!J260</f>
        <v>0</v>
      </c>
      <c r="D206" s="56">
        <f>物品!K260</f>
        <v>0</v>
      </c>
      <c r="E206" s="56">
        <f>物品!L260</f>
        <v>0</v>
      </c>
      <c r="F206" s="56">
        <f>物品!M260</f>
        <v>0</v>
      </c>
      <c r="G206" s="56">
        <f>物品!N260</f>
        <v>0</v>
      </c>
      <c r="H206" s="56">
        <f>物品!O260</f>
        <v>0</v>
      </c>
      <c r="I206" s="56">
        <f>IF(物品!J260=0,0,"'"&amp;物品!J260&amp;"'")</f>
        <v>0</v>
      </c>
      <c r="J206" s="56">
        <f>IF(物品!K260=0,0,"'"&amp;物品!K260&amp;"'")</f>
        <v>0</v>
      </c>
      <c r="K206" s="56">
        <f>IF(物品!L260=0,0,"'"&amp;物品!L260&amp;"'")</f>
        <v>0</v>
      </c>
      <c r="L206" s="56">
        <f>IF(物品!M260=0,0,"'"&amp;物品!M260&amp;"'")</f>
        <v>0</v>
      </c>
      <c r="M206" s="56">
        <f>IF(物品!N260=0,0,"'"&amp;物品!N260&amp;"'")</f>
        <v>0</v>
      </c>
      <c r="N206" s="56">
        <f>IF(物品!O260=0,0,"'"&amp;物品!O260&amp;"'")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物品!A261</f>
        <v>0</v>
      </c>
      <c r="B207" s="56" t="str">
        <f>"'"&amp;物品!B261&amp;"'"</f>
        <v>'IF09'</v>
      </c>
      <c r="C207" s="56">
        <f>物品!J261</f>
        <v>0</v>
      </c>
      <c r="D207" s="56">
        <f>物品!K261</f>
        <v>0</v>
      </c>
      <c r="E207" s="56">
        <f>物品!L261</f>
        <v>0</v>
      </c>
      <c r="F207" s="56">
        <f>物品!M261</f>
        <v>0</v>
      </c>
      <c r="G207" s="56">
        <f>物品!N261</f>
        <v>0</v>
      </c>
      <c r="H207" s="56">
        <f>物品!O261</f>
        <v>0</v>
      </c>
      <c r="I207" s="56">
        <f>IF(物品!J261=0,0,"'"&amp;物品!J261&amp;"'")</f>
        <v>0</v>
      </c>
      <c r="J207" s="56">
        <f>IF(物品!K261=0,0,"'"&amp;物品!K261&amp;"'")</f>
        <v>0</v>
      </c>
      <c r="K207" s="56">
        <f>IF(物品!L261=0,0,"'"&amp;物品!L261&amp;"'")</f>
        <v>0</v>
      </c>
      <c r="L207" s="56">
        <f>IF(物品!M261=0,0,"'"&amp;物品!M261&amp;"'")</f>
        <v>0</v>
      </c>
      <c r="M207" s="56">
        <f>IF(物品!N261=0,0,"'"&amp;物品!N261&amp;"'")</f>
        <v>0</v>
      </c>
      <c r="N207" s="56">
        <f>IF(物品!O261=0,0,"'"&amp;物品!O261&amp;"'")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物品!A262</f>
        <v>0</v>
      </c>
      <c r="B208" s="56" t="str">
        <f>"'"&amp;物品!B262&amp;"'"</f>
        <v>'IF10'</v>
      </c>
      <c r="C208" s="56">
        <f>物品!J262</f>
        <v>0</v>
      </c>
      <c r="D208" s="56">
        <f>物品!K262</f>
        <v>0</v>
      </c>
      <c r="E208" s="56">
        <f>物品!L262</f>
        <v>0</v>
      </c>
      <c r="F208" s="56">
        <f>物品!M262</f>
        <v>0</v>
      </c>
      <c r="G208" s="56">
        <f>物品!N262</f>
        <v>0</v>
      </c>
      <c r="H208" s="56">
        <f>物品!O262</f>
        <v>0</v>
      </c>
      <c r="I208" s="56">
        <f>IF(物品!J262=0,0,"'"&amp;物品!J262&amp;"'")</f>
        <v>0</v>
      </c>
      <c r="J208" s="56">
        <f>IF(物品!K262=0,0,"'"&amp;物品!K262&amp;"'")</f>
        <v>0</v>
      </c>
      <c r="K208" s="56">
        <f>IF(物品!L262=0,0,"'"&amp;物品!L262&amp;"'")</f>
        <v>0</v>
      </c>
      <c r="L208" s="56">
        <f>IF(物品!M262=0,0,"'"&amp;物品!M262&amp;"'")</f>
        <v>0</v>
      </c>
      <c r="M208" s="56">
        <f>IF(物品!N262=0,0,"'"&amp;物品!N262&amp;"'")</f>
        <v>0</v>
      </c>
      <c r="N208" s="56">
        <f>IF(物品!O262=0,0,"'"&amp;物品!O262&amp;"'")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物品!A263</f>
        <v>0</v>
      </c>
      <c r="B209" s="56" t="str">
        <f>"'"&amp;物品!B263&amp;"'"</f>
        <v>'IF11'</v>
      </c>
      <c r="C209" s="56">
        <f>物品!J263</f>
        <v>0</v>
      </c>
      <c r="D209" s="56">
        <f>物品!K263</f>
        <v>0</v>
      </c>
      <c r="E209" s="56">
        <f>物品!L263</f>
        <v>0</v>
      </c>
      <c r="F209" s="56">
        <f>物品!M263</f>
        <v>0</v>
      </c>
      <c r="G209" s="56">
        <f>物品!N263</f>
        <v>0</v>
      </c>
      <c r="H209" s="56">
        <f>物品!O263</f>
        <v>0</v>
      </c>
      <c r="I209" s="56">
        <f>IF(物品!J263=0,0,"'"&amp;物品!J263&amp;"'")</f>
        <v>0</v>
      </c>
      <c r="J209" s="56">
        <f>IF(物品!K263=0,0,"'"&amp;物品!K263&amp;"'")</f>
        <v>0</v>
      </c>
      <c r="K209" s="56">
        <f>IF(物品!L263=0,0,"'"&amp;物品!L263&amp;"'")</f>
        <v>0</v>
      </c>
      <c r="L209" s="56">
        <f>IF(物品!M263=0,0,"'"&amp;物品!M263&amp;"'")</f>
        <v>0</v>
      </c>
      <c r="M209" s="56">
        <f>IF(物品!N263=0,0,"'"&amp;物品!N263&amp;"'")</f>
        <v>0</v>
      </c>
      <c r="N209" s="56">
        <f>IF(物品!O263=0,0,"'"&amp;物品!O263&amp;"'")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物品!A264</f>
        <v>0</v>
      </c>
      <c r="B210" s="56" t="str">
        <f>"'"&amp;物品!B264&amp;"'"</f>
        <v>'IF12'</v>
      </c>
      <c r="C210" s="56">
        <f>物品!J264</f>
        <v>0</v>
      </c>
      <c r="D210" s="56">
        <f>物品!K264</f>
        <v>0</v>
      </c>
      <c r="E210" s="56">
        <f>物品!L264</f>
        <v>0</v>
      </c>
      <c r="F210" s="56">
        <f>物品!M264</f>
        <v>0</v>
      </c>
      <c r="G210" s="56">
        <f>物品!N264</f>
        <v>0</v>
      </c>
      <c r="H210" s="56">
        <f>物品!O264</f>
        <v>0</v>
      </c>
      <c r="I210" s="56">
        <f>IF(物品!J264=0,0,"'"&amp;物品!J264&amp;"'")</f>
        <v>0</v>
      </c>
      <c r="J210" s="56">
        <f>IF(物品!K264=0,0,"'"&amp;物品!K264&amp;"'")</f>
        <v>0</v>
      </c>
      <c r="K210" s="56">
        <f>IF(物品!L264=0,0,"'"&amp;物品!L264&amp;"'")</f>
        <v>0</v>
      </c>
      <c r="L210" s="56">
        <f>IF(物品!M264=0,0,"'"&amp;物品!M264&amp;"'")</f>
        <v>0</v>
      </c>
      <c r="M210" s="56">
        <f>IF(物品!N264=0,0,"'"&amp;物品!N264&amp;"'")</f>
        <v>0</v>
      </c>
      <c r="N210" s="56">
        <f>IF(物品!O264=0,0,"'"&amp;物品!O264&amp;"'")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物品!A265</f>
        <v>0</v>
      </c>
      <c r="B211" s="56" t="str">
        <f>"'"&amp;物品!B265&amp;"'"</f>
        <v>'IF13'</v>
      </c>
      <c r="C211" s="56">
        <f>物品!J265</f>
        <v>0</v>
      </c>
      <c r="D211" s="56">
        <f>物品!K265</f>
        <v>0</v>
      </c>
      <c r="E211" s="56">
        <f>物品!L265</f>
        <v>0</v>
      </c>
      <c r="F211" s="56">
        <f>物品!M265</f>
        <v>0</v>
      </c>
      <c r="G211" s="56">
        <f>物品!N265</f>
        <v>0</v>
      </c>
      <c r="H211" s="56">
        <f>物品!O265</f>
        <v>0</v>
      </c>
      <c r="I211" s="56">
        <f>IF(物品!J265=0,0,"'"&amp;物品!J265&amp;"'")</f>
        <v>0</v>
      </c>
      <c r="J211" s="56">
        <f>IF(物品!K265=0,0,"'"&amp;物品!K265&amp;"'")</f>
        <v>0</v>
      </c>
      <c r="K211" s="56">
        <f>IF(物品!L265=0,0,"'"&amp;物品!L265&amp;"'")</f>
        <v>0</v>
      </c>
      <c r="L211" s="56">
        <f>IF(物品!M265=0,0,"'"&amp;物品!M265&amp;"'")</f>
        <v>0</v>
      </c>
      <c r="M211" s="56">
        <f>IF(物品!N265=0,0,"'"&amp;物品!N265&amp;"'")</f>
        <v>0</v>
      </c>
      <c r="N211" s="56">
        <f>IF(物品!O265=0,0,"'"&amp;物品!O265&amp;"'")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物品!A266</f>
        <v>0</v>
      </c>
      <c r="B212" s="56" t="str">
        <f>"'"&amp;物品!B266&amp;"'"</f>
        <v>'IF14'</v>
      </c>
      <c r="C212" s="56">
        <f>物品!J266</f>
        <v>0</v>
      </c>
      <c r="D212" s="56">
        <f>物品!K266</f>
        <v>0</v>
      </c>
      <c r="E212" s="56">
        <f>物品!L266</f>
        <v>0</v>
      </c>
      <c r="F212" s="56">
        <f>物品!M266</f>
        <v>0</v>
      </c>
      <c r="G212" s="56">
        <f>物品!N266</f>
        <v>0</v>
      </c>
      <c r="H212" s="56">
        <f>物品!O266</f>
        <v>0</v>
      </c>
      <c r="I212" s="56">
        <f>IF(物品!J266=0,0,"'"&amp;物品!J266&amp;"'")</f>
        <v>0</v>
      </c>
      <c r="J212" s="56">
        <f>IF(物品!K266=0,0,"'"&amp;物品!K266&amp;"'")</f>
        <v>0</v>
      </c>
      <c r="K212" s="56">
        <f>IF(物品!L266=0,0,"'"&amp;物品!L266&amp;"'")</f>
        <v>0</v>
      </c>
      <c r="L212" s="56">
        <f>IF(物品!M266=0,0,"'"&amp;物品!M266&amp;"'")</f>
        <v>0</v>
      </c>
      <c r="M212" s="56">
        <f>IF(物品!N266=0,0,"'"&amp;物品!N266&amp;"'")</f>
        <v>0</v>
      </c>
      <c r="N212" s="56">
        <f>IF(物品!O266=0,0,"'"&amp;物品!O266&amp;"'")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物品!A267</f>
        <v>0</v>
      </c>
      <c r="B213" s="56" t="str">
        <f>"'"&amp;物品!B267&amp;"'"</f>
        <v>'IF15'</v>
      </c>
      <c r="C213" s="56">
        <f>物品!J267</f>
        <v>0</v>
      </c>
      <c r="D213" s="56">
        <f>物品!K267</f>
        <v>0</v>
      </c>
      <c r="E213" s="56">
        <f>物品!L267</f>
        <v>0</v>
      </c>
      <c r="F213" s="56">
        <f>物品!M267</f>
        <v>0</v>
      </c>
      <c r="G213" s="56">
        <f>物品!N267</f>
        <v>0</v>
      </c>
      <c r="H213" s="56">
        <f>物品!O267</f>
        <v>0</v>
      </c>
      <c r="I213" s="56">
        <f>IF(物品!J267=0,0,"'"&amp;物品!J267&amp;"'")</f>
        <v>0</v>
      </c>
      <c r="J213" s="56">
        <f>IF(物品!K267=0,0,"'"&amp;物品!K267&amp;"'")</f>
        <v>0</v>
      </c>
      <c r="K213" s="56">
        <f>IF(物品!L267=0,0,"'"&amp;物品!L267&amp;"'")</f>
        <v>0</v>
      </c>
      <c r="L213" s="56">
        <f>IF(物品!M267=0,0,"'"&amp;物品!M267&amp;"'")</f>
        <v>0</v>
      </c>
      <c r="M213" s="56">
        <f>IF(物品!N267=0,0,"'"&amp;物品!N267&amp;"'")</f>
        <v>0</v>
      </c>
      <c r="N213" s="56">
        <f>IF(物品!O267=0,0,"'"&amp;物品!O267&amp;"'")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物品!A268</f>
        <v>0</v>
      </c>
      <c r="B214" s="56" t="str">
        <f>"'"&amp;物品!B268&amp;"'"</f>
        <v>'IF16'</v>
      </c>
      <c r="C214" s="56">
        <f>物品!J268</f>
        <v>0</v>
      </c>
      <c r="D214" s="56">
        <f>物品!K268</f>
        <v>0</v>
      </c>
      <c r="E214" s="56">
        <f>物品!L268</f>
        <v>0</v>
      </c>
      <c r="F214" s="56">
        <f>物品!M268</f>
        <v>0</v>
      </c>
      <c r="G214" s="56">
        <f>物品!N268</f>
        <v>0</v>
      </c>
      <c r="H214" s="56">
        <f>物品!O268</f>
        <v>0</v>
      </c>
      <c r="I214" s="56">
        <f>IF(物品!J268=0,0,"'"&amp;物品!J268&amp;"'")</f>
        <v>0</v>
      </c>
      <c r="J214" s="56">
        <f>IF(物品!K268=0,0,"'"&amp;物品!K268&amp;"'")</f>
        <v>0</v>
      </c>
      <c r="K214" s="56">
        <f>IF(物品!L268=0,0,"'"&amp;物品!L268&amp;"'")</f>
        <v>0</v>
      </c>
      <c r="L214" s="56">
        <f>IF(物品!M268=0,0,"'"&amp;物品!M268&amp;"'")</f>
        <v>0</v>
      </c>
      <c r="M214" s="56">
        <f>IF(物品!N268=0,0,"'"&amp;物品!N268&amp;"'")</f>
        <v>0</v>
      </c>
      <c r="N214" s="56">
        <f>IF(物品!O268=0,0,"'"&amp;物品!O268&amp;"'")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物品!A269</f>
        <v>0</v>
      </c>
      <c r="B215" s="56" t="str">
        <f>"'"&amp;物品!B269&amp;"'"</f>
        <v>'IF17'</v>
      </c>
      <c r="C215" s="56">
        <f>物品!J269</f>
        <v>0</v>
      </c>
      <c r="D215" s="56">
        <f>物品!K269</f>
        <v>0</v>
      </c>
      <c r="E215" s="56">
        <f>物品!L269</f>
        <v>0</v>
      </c>
      <c r="F215" s="56">
        <f>物品!M269</f>
        <v>0</v>
      </c>
      <c r="G215" s="56">
        <f>物品!N269</f>
        <v>0</v>
      </c>
      <c r="H215" s="56">
        <f>物品!O269</f>
        <v>0</v>
      </c>
      <c r="I215" s="56">
        <f>IF(物品!J269=0,0,"'"&amp;物品!J269&amp;"'")</f>
        <v>0</v>
      </c>
      <c r="J215" s="56">
        <f>IF(物品!K269=0,0,"'"&amp;物品!K269&amp;"'")</f>
        <v>0</v>
      </c>
      <c r="K215" s="56">
        <f>IF(物品!L269=0,0,"'"&amp;物品!L269&amp;"'")</f>
        <v>0</v>
      </c>
      <c r="L215" s="56">
        <f>IF(物品!M269=0,0,"'"&amp;物品!M269&amp;"'")</f>
        <v>0</v>
      </c>
      <c r="M215" s="56">
        <f>IF(物品!N269=0,0,"'"&amp;物品!N269&amp;"'")</f>
        <v>0</v>
      </c>
      <c r="N215" s="56">
        <f>IF(物品!O269=0,0,"'"&amp;物品!O269&amp;"'")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物品!A270</f>
        <v>0</v>
      </c>
      <c r="B216" s="56" t="str">
        <f>"'"&amp;物品!B270&amp;"'"</f>
        <v>'IF18'</v>
      </c>
      <c r="C216" s="56">
        <f>物品!J270</f>
        <v>0</v>
      </c>
      <c r="D216" s="56">
        <f>物品!K270</f>
        <v>0</v>
      </c>
      <c r="E216" s="56">
        <f>物品!L270</f>
        <v>0</v>
      </c>
      <c r="F216" s="56">
        <f>物品!M270</f>
        <v>0</v>
      </c>
      <c r="G216" s="56">
        <f>物品!N270</f>
        <v>0</v>
      </c>
      <c r="H216" s="56">
        <f>物品!O270</f>
        <v>0</v>
      </c>
      <c r="I216" s="56">
        <f>IF(物品!J270=0,0,"'"&amp;物品!J270&amp;"'")</f>
        <v>0</v>
      </c>
      <c r="J216" s="56">
        <f>IF(物品!K270=0,0,"'"&amp;物品!K270&amp;"'")</f>
        <v>0</v>
      </c>
      <c r="K216" s="56">
        <f>IF(物品!L270=0,0,"'"&amp;物品!L270&amp;"'")</f>
        <v>0</v>
      </c>
      <c r="L216" s="56">
        <f>IF(物品!M270=0,0,"'"&amp;物品!M270&amp;"'")</f>
        <v>0</v>
      </c>
      <c r="M216" s="56">
        <f>IF(物品!N270=0,0,"'"&amp;物品!N270&amp;"'")</f>
        <v>0</v>
      </c>
      <c r="N216" s="56">
        <f>IF(物品!O270=0,0,"'"&amp;物品!O270&amp;"'")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物品!A271</f>
        <v>0</v>
      </c>
      <c r="B217" s="56" t="str">
        <f>"'"&amp;物品!B271&amp;"'"</f>
        <v>'IF19'</v>
      </c>
      <c r="C217" s="56">
        <f>物品!J271</f>
        <v>0</v>
      </c>
      <c r="D217" s="56">
        <f>物品!K271</f>
        <v>0</v>
      </c>
      <c r="E217" s="56">
        <f>物品!L271</f>
        <v>0</v>
      </c>
      <c r="F217" s="56">
        <f>物品!M271</f>
        <v>0</v>
      </c>
      <c r="G217" s="56">
        <f>物品!N271</f>
        <v>0</v>
      </c>
      <c r="H217" s="56">
        <f>物品!O271</f>
        <v>0</v>
      </c>
      <c r="I217" s="56">
        <f>IF(物品!J271=0,0,"'"&amp;物品!J271&amp;"'")</f>
        <v>0</v>
      </c>
      <c r="J217" s="56">
        <f>IF(物品!K271=0,0,"'"&amp;物品!K271&amp;"'")</f>
        <v>0</v>
      </c>
      <c r="K217" s="56">
        <f>IF(物品!L271=0,0,"'"&amp;物品!L271&amp;"'")</f>
        <v>0</v>
      </c>
      <c r="L217" s="56">
        <f>IF(物品!M271=0,0,"'"&amp;物品!M271&amp;"'")</f>
        <v>0</v>
      </c>
      <c r="M217" s="56">
        <f>IF(物品!N271=0,0,"'"&amp;物品!N271&amp;"'")</f>
        <v>0</v>
      </c>
      <c r="N217" s="56">
        <f>IF(物品!O271=0,0,"'"&amp;物品!O271&amp;"'")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物品!A272</f>
        <v>0</v>
      </c>
      <c r="B218" s="56" t="str">
        <f>"'"&amp;物品!B272&amp;"'"</f>
        <v>'IF20'</v>
      </c>
      <c r="C218" s="56">
        <f>物品!J272</f>
        <v>0</v>
      </c>
      <c r="D218" s="56">
        <f>物品!K272</f>
        <v>0</v>
      </c>
      <c r="E218" s="56">
        <f>物品!L272</f>
        <v>0</v>
      </c>
      <c r="F218" s="56">
        <f>物品!M272</f>
        <v>0</v>
      </c>
      <c r="G218" s="56">
        <f>物品!N272</f>
        <v>0</v>
      </c>
      <c r="H218" s="56">
        <f>物品!O272</f>
        <v>0</v>
      </c>
      <c r="I218" s="56">
        <f>IF(物品!J272=0,0,"'"&amp;物品!J272&amp;"'")</f>
        <v>0</v>
      </c>
      <c r="J218" s="56">
        <f>IF(物品!K272=0,0,"'"&amp;物品!K272&amp;"'")</f>
        <v>0</v>
      </c>
      <c r="K218" s="56">
        <f>IF(物品!L272=0,0,"'"&amp;物品!L272&amp;"'")</f>
        <v>0</v>
      </c>
      <c r="L218" s="56">
        <f>IF(物品!M272=0,0,"'"&amp;物品!M272&amp;"'")</f>
        <v>0</v>
      </c>
      <c r="M218" s="56">
        <f>IF(物品!N272=0,0,"'"&amp;物品!N272&amp;"'")</f>
        <v>0</v>
      </c>
      <c r="N218" s="56">
        <f>IF(物品!O272=0,0,"'"&amp;物品!O272&amp;"'")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物品!A273</f>
        <v>0</v>
      </c>
      <c r="B219" s="56" t="str">
        <f>"'"&amp;物品!B273&amp;"'"</f>
        <v>'IF21'</v>
      </c>
      <c r="C219" s="56">
        <f>物品!J273</f>
        <v>0</v>
      </c>
      <c r="D219" s="56">
        <f>物品!K273</f>
        <v>0</v>
      </c>
      <c r="E219" s="56">
        <f>物品!L273</f>
        <v>0</v>
      </c>
      <c r="F219" s="56">
        <f>物品!M273</f>
        <v>0</v>
      </c>
      <c r="G219" s="56">
        <f>物品!N273</f>
        <v>0</v>
      </c>
      <c r="H219" s="56">
        <f>物品!O273</f>
        <v>0</v>
      </c>
      <c r="I219" s="56">
        <f>IF(物品!J273=0,0,"'"&amp;物品!J273&amp;"'")</f>
        <v>0</v>
      </c>
      <c r="J219" s="56">
        <f>IF(物品!K273=0,0,"'"&amp;物品!K273&amp;"'")</f>
        <v>0</v>
      </c>
      <c r="K219" s="56">
        <f>IF(物品!L273=0,0,"'"&amp;物品!L273&amp;"'")</f>
        <v>0</v>
      </c>
      <c r="L219" s="56">
        <f>IF(物品!M273=0,0,"'"&amp;物品!M273&amp;"'")</f>
        <v>0</v>
      </c>
      <c r="M219" s="56">
        <f>IF(物品!N273=0,0,"'"&amp;物品!N273&amp;"'")</f>
        <v>0</v>
      </c>
      <c r="N219" s="56">
        <f>IF(物品!O273=0,0,"'"&amp;物品!O273&amp;"'")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物品!A274</f>
        <v>0</v>
      </c>
      <c r="B220" s="56" t="str">
        <f>"'"&amp;物品!B274&amp;"'"</f>
        <v>'IF22'</v>
      </c>
      <c r="C220" s="56">
        <f>物品!J274</f>
        <v>0</v>
      </c>
      <c r="D220" s="56">
        <f>物品!K274</f>
        <v>0</v>
      </c>
      <c r="E220" s="56">
        <f>物品!L274</f>
        <v>0</v>
      </c>
      <c r="F220" s="56">
        <f>物品!M274</f>
        <v>0</v>
      </c>
      <c r="G220" s="56">
        <f>物品!N274</f>
        <v>0</v>
      </c>
      <c r="H220" s="56">
        <f>物品!O274</f>
        <v>0</v>
      </c>
      <c r="I220" s="56">
        <f>IF(物品!J274=0,0,"'"&amp;物品!J274&amp;"'")</f>
        <v>0</v>
      </c>
      <c r="J220" s="56">
        <f>IF(物品!K274=0,0,"'"&amp;物品!K274&amp;"'")</f>
        <v>0</v>
      </c>
      <c r="K220" s="56">
        <f>IF(物品!L274=0,0,"'"&amp;物品!L274&amp;"'")</f>
        <v>0</v>
      </c>
      <c r="L220" s="56">
        <f>IF(物品!M274=0,0,"'"&amp;物品!M274&amp;"'")</f>
        <v>0</v>
      </c>
      <c r="M220" s="56">
        <f>IF(物品!N274=0,0,"'"&amp;物品!N274&amp;"'")</f>
        <v>0</v>
      </c>
      <c r="N220" s="56">
        <f>IF(物品!O274=0,0,"'"&amp;物品!O274&amp;"'")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物品!A275</f>
        <v>0</v>
      </c>
      <c r="B221" s="56" t="str">
        <f>"'"&amp;物品!B275&amp;"'"</f>
        <v>'IF23'</v>
      </c>
      <c r="C221" s="56">
        <f>物品!J275</f>
        <v>0</v>
      </c>
      <c r="D221" s="56">
        <f>物品!K275</f>
        <v>0</v>
      </c>
      <c r="E221" s="56">
        <f>物品!L275</f>
        <v>0</v>
      </c>
      <c r="F221" s="56">
        <f>物品!M275</f>
        <v>0</v>
      </c>
      <c r="G221" s="56">
        <f>物品!N275</f>
        <v>0</v>
      </c>
      <c r="H221" s="56">
        <f>物品!O275</f>
        <v>0</v>
      </c>
      <c r="I221" s="56">
        <f>IF(物品!J275=0,0,"'"&amp;物品!J275&amp;"'")</f>
        <v>0</v>
      </c>
      <c r="J221" s="56">
        <f>IF(物品!K275=0,0,"'"&amp;物品!K275&amp;"'")</f>
        <v>0</v>
      </c>
      <c r="K221" s="56">
        <f>IF(物品!L275=0,0,"'"&amp;物品!L275&amp;"'")</f>
        <v>0</v>
      </c>
      <c r="L221" s="56">
        <f>IF(物品!M275=0,0,"'"&amp;物品!M275&amp;"'")</f>
        <v>0</v>
      </c>
      <c r="M221" s="56">
        <f>IF(物品!N275=0,0,"'"&amp;物品!N275&amp;"'")</f>
        <v>0</v>
      </c>
      <c r="N221" s="56">
        <f>IF(物品!O275=0,0,"'"&amp;物品!O275&amp;"'")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物品!A276</f>
        <v>0</v>
      </c>
      <c r="B222" s="56" t="str">
        <f>"'"&amp;物品!B276&amp;"'"</f>
        <v>'IF24'</v>
      </c>
      <c r="C222" s="56">
        <f>物品!J276</f>
        <v>0</v>
      </c>
      <c r="D222" s="56">
        <f>物品!K276</f>
        <v>0</v>
      </c>
      <c r="E222" s="56">
        <f>物品!L276</f>
        <v>0</v>
      </c>
      <c r="F222" s="56">
        <f>物品!M276</f>
        <v>0</v>
      </c>
      <c r="G222" s="56">
        <f>物品!N276</f>
        <v>0</v>
      </c>
      <c r="H222" s="56">
        <f>物品!O276</f>
        <v>0</v>
      </c>
      <c r="I222" s="56">
        <f>IF(物品!J276=0,0,"'"&amp;物品!J276&amp;"'")</f>
        <v>0</v>
      </c>
      <c r="J222" s="56">
        <f>IF(物品!K276=0,0,"'"&amp;物品!K276&amp;"'")</f>
        <v>0</v>
      </c>
      <c r="K222" s="56">
        <f>IF(物品!L276=0,0,"'"&amp;物品!L276&amp;"'")</f>
        <v>0</v>
      </c>
      <c r="L222" s="56">
        <f>IF(物品!M276=0,0,"'"&amp;物品!M276&amp;"'")</f>
        <v>0</v>
      </c>
      <c r="M222" s="56">
        <f>IF(物品!N276=0,0,"'"&amp;物品!N276&amp;"'")</f>
        <v>0</v>
      </c>
      <c r="N222" s="56">
        <f>IF(物品!O276=0,0,"'"&amp;物品!O276&amp;"'")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物品!A277</f>
        <v>0</v>
      </c>
      <c r="B223" s="56" t="str">
        <f>"'"&amp;物品!B277&amp;"'"</f>
        <v>'IF25'</v>
      </c>
      <c r="C223" s="56">
        <f>物品!J277</f>
        <v>0</v>
      </c>
      <c r="D223" s="56">
        <f>物品!K277</f>
        <v>0</v>
      </c>
      <c r="E223" s="56">
        <f>物品!L277</f>
        <v>0</v>
      </c>
      <c r="F223" s="56">
        <f>物品!M277</f>
        <v>0</v>
      </c>
      <c r="G223" s="56">
        <f>物品!N277</f>
        <v>0</v>
      </c>
      <c r="H223" s="56">
        <f>物品!O277</f>
        <v>0</v>
      </c>
      <c r="I223" s="56">
        <f>IF(物品!J277=0,0,"'"&amp;物品!J277&amp;"'")</f>
        <v>0</v>
      </c>
      <c r="J223" s="56">
        <f>IF(物品!K277=0,0,"'"&amp;物品!K277&amp;"'")</f>
        <v>0</v>
      </c>
      <c r="K223" s="56">
        <f>IF(物品!L277=0,0,"'"&amp;物品!L277&amp;"'")</f>
        <v>0</v>
      </c>
      <c r="L223" s="56">
        <f>IF(物品!M277=0,0,"'"&amp;物品!M277&amp;"'")</f>
        <v>0</v>
      </c>
      <c r="M223" s="56">
        <f>IF(物品!N277=0,0,"'"&amp;物品!N277&amp;"'")</f>
        <v>0</v>
      </c>
      <c r="N223" s="56">
        <f>IF(物品!O277=0,0,"'"&amp;物品!O277&amp;"'")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物品!A278</f>
        <v>0</v>
      </c>
      <c r="B224" s="56" t="str">
        <f>"'"&amp;物品!B278&amp;"'"</f>
        <v>'IF26'</v>
      </c>
      <c r="C224" s="56">
        <f>物品!J278</f>
        <v>0</v>
      </c>
      <c r="D224" s="56">
        <f>物品!K278</f>
        <v>0</v>
      </c>
      <c r="E224" s="56">
        <f>物品!L278</f>
        <v>0</v>
      </c>
      <c r="F224" s="56">
        <f>物品!M278</f>
        <v>0</v>
      </c>
      <c r="G224" s="56">
        <f>物品!N278</f>
        <v>0</v>
      </c>
      <c r="H224" s="56">
        <f>物品!O278</f>
        <v>0</v>
      </c>
      <c r="I224" s="56">
        <f>IF(物品!J278=0,0,"'"&amp;物品!J278&amp;"'")</f>
        <v>0</v>
      </c>
      <c r="J224" s="56">
        <f>IF(物品!K278=0,0,"'"&amp;物品!K278&amp;"'")</f>
        <v>0</v>
      </c>
      <c r="K224" s="56">
        <f>IF(物品!L278=0,0,"'"&amp;物品!L278&amp;"'")</f>
        <v>0</v>
      </c>
      <c r="L224" s="56">
        <f>IF(物品!M278=0,0,"'"&amp;物品!M278&amp;"'")</f>
        <v>0</v>
      </c>
      <c r="M224" s="56">
        <f>IF(物品!N278=0,0,"'"&amp;物品!N278&amp;"'")</f>
        <v>0</v>
      </c>
      <c r="N224" s="56">
        <f>IF(物品!O278=0,0,"'"&amp;物品!O278&amp;"'")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物品!A279</f>
        <v>0</v>
      </c>
      <c r="B225" s="56" t="str">
        <f>"'"&amp;物品!B279&amp;"'"</f>
        <v>'IF27'</v>
      </c>
      <c r="C225" s="56">
        <f>物品!J279</f>
        <v>0</v>
      </c>
      <c r="D225" s="56">
        <f>物品!K279</f>
        <v>0</v>
      </c>
      <c r="E225" s="56">
        <f>物品!L279</f>
        <v>0</v>
      </c>
      <c r="F225" s="56">
        <f>物品!M279</f>
        <v>0</v>
      </c>
      <c r="G225" s="56">
        <f>物品!N279</f>
        <v>0</v>
      </c>
      <c r="H225" s="56">
        <f>物品!O279</f>
        <v>0</v>
      </c>
      <c r="I225" s="56">
        <f>IF(物品!J279=0,0,"'"&amp;物品!J279&amp;"'")</f>
        <v>0</v>
      </c>
      <c r="J225" s="56">
        <f>IF(物品!K279=0,0,"'"&amp;物品!K279&amp;"'")</f>
        <v>0</v>
      </c>
      <c r="K225" s="56">
        <f>IF(物品!L279=0,0,"'"&amp;物品!L279&amp;"'")</f>
        <v>0</v>
      </c>
      <c r="L225" s="56">
        <f>IF(物品!M279=0,0,"'"&amp;物品!M279&amp;"'")</f>
        <v>0</v>
      </c>
      <c r="M225" s="56">
        <f>IF(物品!N279=0,0,"'"&amp;物品!N279&amp;"'")</f>
        <v>0</v>
      </c>
      <c r="N225" s="56">
        <f>IF(物品!O279=0,0,"'"&amp;物品!O279&amp;"'")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物品!A286</f>
        <v>0</v>
      </c>
      <c r="B226" s="56" t="str">
        <f>"'"&amp;物品!B286&amp;"'"</f>
        <v>'IC01'</v>
      </c>
      <c r="C226" s="56">
        <f>物品!J286</f>
        <v>0</v>
      </c>
      <c r="D226" s="56">
        <f>物品!K286</f>
        <v>0</v>
      </c>
      <c r="E226" s="56">
        <f>物品!L286</f>
        <v>0</v>
      </c>
      <c r="F226" s="56">
        <f>物品!M286</f>
        <v>0</v>
      </c>
      <c r="G226" s="56">
        <f>物品!N286</f>
        <v>0</v>
      </c>
      <c r="H226" s="56">
        <f>物品!O286</f>
        <v>0</v>
      </c>
      <c r="I226" s="56">
        <f>IF(物品!J286=0,0,"'"&amp;物品!J286&amp;"'")</f>
        <v>0</v>
      </c>
      <c r="J226" s="56">
        <f>IF(物品!K286=0,0,"'"&amp;物品!K286&amp;"'")</f>
        <v>0</v>
      </c>
      <c r="K226" s="56">
        <f>IF(物品!L286=0,0,"'"&amp;物品!L286&amp;"'")</f>
        <v>0</v>
      </c>
      <c r="L226" s="56">
        <f>IF(物品!M286=0,0,"'"&amp;物品!M286&amp;"'")</f>
        <v>0</v>
      </c>
      <c r="M226" s="56">
        <f>IF(物品!N286=0,0,"'"&amp;物品!N286&amp;"'")</f>
        <v>0</v>
      </c>
      <c r="N226" s="56">
        <f>IF(物品!O286=0,0,"'"&amp;物品!O286&amp;"'")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物品!A287</f>
        <v>0</v>
      </c>
      <c r="B227" s="56" t="str">
        <f>"'"&amp;物品!B287&amp;"'"</f>
        <v>'IC02'</v>
      </c>
      <c r="C227" s="56">
        <f>物品!J287</f>
        <v>0</v>
      </c>
      <c r="D227" s="56">
        <f>物品!K287</f>
        <v>0</v>
      </c>
      <c r="E227" s="56">
        <f>物品!L287</f>
        <v>0</v>
      </c>
      <c r="F227" s="56">
        <f>物品!M287</f>
        <v>0</v>
      </c>
      <c r="G227" s="56">
        <f>物品!N287</f>
        <v>0</v>
      </c>
      <c r="H227" s="56">
        <f>物品!O287</f>
        <v>0</v>
      </c>
      <c r="I227" s="56">
        <f>IF(物品!J287=0,0,"'"&amp;物品!J287&amp;"'")</f>
        <v>0</v>
      </c>
      <c r="J227" s="56">
        <f>IF(物品!K287=0,0,"'"&amp;物品!K287&amp;"'")</f>
        <v>0</v>
      </c>
      <c r="K227" s="56">
        <f>IF(物品!L287=0,0,"'"&amp;物品!L287&amp;"'")</f>
        <v>0</v>
      </c>
      <c r="L227" s="56">
        <f>IF(物品!M287=0,0,"'"&amp;物品!M287&amp;"'")</f>
        <v>0</v>
      </c>
      <c r="M227" s="56">
        <f>IF(物品!N287=0,0,"'"&amp;物品!N287&amp;"'")</f>
        <v>0</v>
      </c>
      <c r="N227" s="56">
        <f>IF(物品!O287=0,0,"'"&amp;物品!O287&amp;"'")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物品!A288</f>
        <v>0</v>
      </c>
      <c r="B228" s="56" t="str">
        <f>"'"&amp;物品!B288&amp;"'"</f>
        <v>'IC03'</v>
      </c>
      <c r="C228" s="56">
        <f>物品!J288</f>
        <v>0</v>
      </c>
      <c r="D228" s="56">
        <f>物品!K288</f>
        <v>0</v>
      </c>
      <c r="E228" s="56">
        <f>物品!L288</f>
        <v>0</v>
      </c>
      <c r="F228" s="56">
        <f>物品!M288</f>
        <v>0</v>
      </c>
      <c r="G228" s="56">
        <f>物品!N288</f>
        <v>0</v>
      </c>
      <c r="H228" s="56">
        <f>物品!O288</f>
        <v>0</v>
      </c>
      <c r="I228" s="56">
        <f>IF(物品!J288=0,0,"'"&amp;物品!J288&amp;"'")</f>
        <v>0</v>
      </c>
      <c r="J228" s="56">
        <f>IF(物品!K288=0,0,"'"&amp;物品!K288&amp;"'")</f>
        <v>0</v>
      </c>
      <c r="K228" s="56">
        <f>IF(物品!L288=0,0,"'"&amp;物品!L288&amp;"'")</f>
        <v>0</v>
      </c>
      <c r="L228" s="56">
        <f>IF(物品!M288=0,0,"'"&amp;物品!M288&amp;"'")</f>
        <v>0</v>
      </c>
      <c r="M228" s="56">
        <f>IF(物品!N288=0,0,"'"&amp;物品!N288&amp;"'")</f>
        <v>0</v>
      </c>
      <c r="N228" s="56">
        <f>IF(物品!O288=0,0,"'"&amp;物品!O288&amp;"'")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物品!A289</f>
        <v>0</v>
      </c>
      <c r="B229" s="56" t="str">
        <f>"'"&amp;物品!B289&amp;"'"</f>
        <v>'IC04'</v>
      </c>
      <c r="C229" s="56">
        <f>物品!J289</f>
        <v>0</v>
      </c>
      <c r="D229" s="56">
        <f>物品!K289</f>
        <v>0</v>
      </c>
      <c r="E229" s="56">
        <f>物品!L289</f>
        <v>0</v>
      </c>
      <c r="F229" s="56">
        <f>物品!M289</f>
        <v>0</v>
      </c>
      <c r="G229" s="56">
        <f>物品!N289</f>
        <v>0</v>
      </c>
      <c r="H229" s="56">
        <f>物品!O289</f>
        <v>0</v>
      </c>
      <c r="I229" s="56">
        <f>IF(物品!J289=0,0,"'"&amp;物品!J289&amp;"'")</f>
        <v>0</v>
      </c>
      <c r="J229" s="56">
        <f>IF(物品!K289=0,0,"'"&amp;物品!K289&amp;"'")</f>
        <v>0</v>
      </c>
      <c r="K229" s="56">
        <f>IF(物品!L289=0,0,"'"&amp;物品!L289&amp;"'")</f>
        <v>0</v>
      </c>
      <c r="L229" s="56">
        <f>IF(物品!M289=0,0,"'"&amp;物品!M289&amp;"'")</f>
        <v>0</v>
      </c>
      <c r="M229" s="56">
        <f>IF(物品!N289=0,0,"'"&amp;物品!N289&amp;"'")</f>
        <v>0</v>
      </c>
      <c r="N229" s="56">
        <f>IF(物品!O289=0,0,"'"&amp;物品!O289&amp;"'")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物品!A290</f>
        <v>0</v>
      </c>
      <c r="B230" s="56" t="str">
        <f>"'"&amp;物品!B290&amp;"'"</f>
        <v>'IC05'</v>
      </c>
      <c r="C230" s="56">
        <f>物品!J290</f>
        <v>0</v>
      </c>
      <c r="D230" s="56">
        <f>物品!K290</f>
        <v>0</v>
      </c>
      <c r="E230" s="56">
        <f>物品!L290</f>
        <v>0</v>
      </c>
      <c r="F230" s="56">
        <f>物品!M290</f>
        <v>0</v>
      </c>
      <c r="G230" s="56">
        <f>物品!N290</f>
        <v>0</v>
      </c>
      <c r="H230" s="56">
        <f>物品!O290</f>
        <v>0</v>
      </c>
      <c r="I230" s="56">
        <f>IF(物品!J290=0,0,"'"&amp;物品!J290&amp;"'")</f>
        <v>0</v>
      </c>
      <c r="J230" s="56">
        <f>IF(物品!K290=0,0,"'"&amp;物品!K290&amp;"'")</f>
        <v>0</v>
      </c>
      <c r="K230" s="56">
        <f>IF(物品!L290=0,0,"'"&amp;物品!L290&amp;"'")</f>
        <v>0</v>
      </c>
      <c r="L230" s="56">
        <f>IF(物品!M290=0,0,"'"&amp;物品!M290&amp;"'")</f>
        <v>0</v>
      </c>
      <c r="M230" s="56">
        <f>IF(物品!N290=0,0,"'"&amp;物品!N290&amp;"'")</f>
        <v>0</v>
      </c>
      <c r="N230" s="56">
        <f>IF(物品!O290=0,0,"'"&amp;物品!O290&amp;"'")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物品!A291</f>
        <v>0</v>
      </c>
      <c r="B231" s="56" t="str">
        <f>"'"&amp;物品!B291&amp;"'"</f>
        <v>'IC06'</v>
      </c>
      <c r="C231" s="56">
        <f>物品!J291</f>
        <v>0</v>
      </c>
      <c r="D231" s="56">
        <f>物品!K291</f>
        <v>0</v>
      </c>
      <c r="E231" s="56">
        <f>物品!L291</f>
        <v>0</v>
      </c>
      <c r="F231" s="56">
        <f>物品!M291</f>
        <v>0</v>
      </c>
      <c r="G231" s="56">
        <f>物品!N291</f>
        <v>0</v>
      </c>
      <c r="H231" s="56">
        <f>物品!O291</f>
        <v>0</v>
      </c>
      <c r="I231" s="56">
        <f>IF(物品!J291=0,0,"'"&amp;物品!J291&amp;"'")</f>
        <v>0</v>
      </c>
      <c r="J231" s="56">
        <f>IF(物品!K291=0,0,"'"&amp;物品!K291&amp;"'")</f>
        <v>0</v>
      </c>
      <c r="K231" s="56">
        <f>IF(物品!L291=0,0,"'"&amp;物品!L291&amp;"'")</f>
        <v>0</v>
      </c>
      <c r="L231" s="56">
        <f>IF(物品!M291=0,0,"'"&amp;物品!M291&amp;"'")</f>
        <v>0</v>
      </c>
      <c r="M231" s="56">
        <f>IF(物品!N291=0,0,"'"&amp;物品!N291&amp;"'")</f>
        <v>0</v>
      </c>
      <c r="N231" s="56">
        <f>IF(物品!O291=0,0,"'"&amp;物品!O291&amp;"'")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物品!A292</f>
        <v>0</v>
      </c>
      <c r="B232" s="56" t="str">
        <f>"'"&amp;物品!B292&amp;"'"</f>
        <v>'IC07'</v>
      </c>
      <c r="C232" s="56">
        <f>物品!J292</f>
        <v>0</v>
      </c>
      <c r="D232" s="56">
        <f>物品!K292</f>
        <v>0</v>
      </c>
      <c r="E232" s="56">
        <f>物品!L292</f>
        <v>0</v>
      </c>
      <c r="F232" s="56">
        <f>物品!M292</f>
        <v>0</v>
      </c>
      <c r="G232" s="56">
        <f>物品!N292</f>
        <v>0</v>
      </c>
      <c r="H232" s="56">
        <f>物品!O292</f>
        <v>0</v>
      </c>
      <c r="I232" s="56">
        <f>IF(物品!J292=0,0,"'"&amp;物品!J292&amp;"'")</f>
        <v>0</v>
      </c>
      <c r="J232" s="56">
        <f>IF(物品!K292=0,0,"'"&amp;物品!K292&amp;"'")</f>
        <v>0</v>
      </c>
      <c r="K232" s="56">
        <f>IF(物品!L292=0,0,"'"&amp;物品!L292&amp;"'")</f>
        <v>0</v>
      </c>
      <c r="L232" s="56">
        <f>IF(物品!M292=0,0,"'"&amp;物品!M292&amp;"'")</f>
        <v>0</v>
      </c>
      <c r="M232" s="56">
        <f>IF(物品!N292=0,0,"'"&amp;物品!N292&amp;"'")</f>
        <v>0</v>
      </c>
      <c r="N232" s="56">
        <f>IF(物品!O292=0,0,"'"&amp;物品!O292&amp;"'")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物品!A293</f>
        <v>0</v>
      </c>
      <c r="B233" s="56" t="str">
        <f>"'"&amp;物品!B293&amp;"'"</f>
        <v>'IC08'</v>
      </c>
      <c r="C233" s="56">
        <f>物品!J293</f>
        <v>0</v>
      </c>
      <c r="D233" s="56">
        <f>物品!K293</f>
        <v>0</v>
      </c>
      <c r="E233" s="56">
        <f>物品!L293</f>
        <v>0</v>
      </c>
      <c r="F233" s="56">
        <f>物品!M293</f>
        <v>0</v>
      </c>
      <c r="G233" s="56">
        <f>物品!N293</f>
        <v>0</v>
      </c>
      <c r="H233" s="56">
        <f>物品!O293</f>
        <v>0</v>
      </c>
      <c r="I233" s="56">
        <f>IF(物品!J293=0,0,"'"&amp;物品!J293&amp;"'")</f>
        <v>0</v>
      </c>
      <c r="J233" s="56">
        <f>IF(物品!K293=0,0,"'"&amp;物品!K293&amp;"'")</f>
        <v>0</v>
      </c>
      <c r="K233" s="56">
        <f>IF(物品!L293=0,0,"'"&amp;物品!L293&amp;"'")</f>
        <v>0</v>
      </c>
      <c r="L233" s="56">
        <f>IF(物品!M293=0,0,"'"&amp;物品!M293&amp;"'")</f>
        <v>0</v>
      </c>
      <c r="M233" s="56">
        <f>IF(物品!N293=0,0,"'"&amp;物品!N293&amp;"'")</f>
        <v>0</v>
      </c>
      <c r="N233" s="56">
        <f>IF(物品!O293=0,0,"'"&amp;物品!O293&amp;"'")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物品!A294</f>
        <v>0</v>
      </c>
      <c r="B234" s="56" t="str">
        <f>"'"&amp;物品!B294&amp;"'"</f>
        <v>'IC09'</v>
      </c>
      <c r="C234" s="56">
        <f>物品!J294</f>
        <v>0</v>
      </c>
      <c r="D234" s="56">
        <f>物品!K294</f>
        <v>0</v>
      </c>
      <c r="E234" s="56">
        <f>物品!L294</f>
        <v>0</v>
      </c>
      <c r="F234" s="56">
        <f>物品!M294</f>
        <v>0</v>
      </c>
      <c r="G234" s="56">
        <f>物品!N294</f>
        <v>0</v>
      </c>
      <c r="H234" s="56">
        <f>物品!O294</f>
        <v>0</v>
      </c>
      <c r="I234" s="56">
        <f>IF(物品!J294=0,0,"'"&amp;物品!J294&amp;"'")</f>
        <v>0</v>
      </c>
      <c r="J234" s="56">
        <f>IF(物品!K294=0,0,"'"&amp;物品!K294&amp;"'")</f>
        <v>0</v>
      </c>
      <c r="K234" s="56">
        <f>IF(物品!L294=0,0,"'"&amp;物品!L294&amp;"'")</f>
        <v>0</v>
      </c>
      <c r="L234" s="56">
        <f>IF(物品!M294=0,0,"'"&amp;物品!M294&amp;"'")</f>
        <v>0</v>
      </c>
      <c r="M234" s="56">
        <f>IF(物品!N294=0,0,"'"&amp;物品!N294&amp;"'")</f>
        <v>0</v>
      </c>
      <c r="N234" s="56">
        <f>IF(物品!O294=0,0,"'"&amp;物品!O294&amp;"'")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物品!A295</f>
        <v>0</v>
      </c>
      <c r="B235" s="56" t="str">
        <f>"'"&amp;物品!B295&amp;"'"</f>
        <v>'IC10'</v>
      </c>
      <c r="C235" s="56">
        <f>物品!J295</f>
        <v>0</v>
      </c>
      <c r="D235" s="56">
        <f>物品!K295</f>
        <v>0</v>
      </c>
      <c r="E235" s="56">
        <f>物品!L295</f>
        <v>0</v>
      </c>
      <c r="F235" s="56">
        <f>物品!M295</f>
        <v>0</v>
      </c>
      <c r="G235" s="56">
        <f>物品!N295</f>
        <v>0</v>
      </c>
      <c r="H235" s="56">
        <f>物品!O295</f>
        <v>0</v>
      </c>
      <c r="I235" s="56">
        <f>IF(物品!J295=0,0,"'"&amp;物品!J295&amp;"'")</f>
        <v>0</v>
      </c>
      <c r="J235" s="56">
        <f>IF(物品!K295=0,0,"'"&amp;物品!K295&amp;"'")</f>
        <v>0</v>
      </c>
      <c r="K235" s="56">
        <f>IF(物品!L295=0,0,"'"&amp;物品!L295&amp;"'")</f>
        <v>0</v>
      </c>
      <c r="L235" s="56">
        <f>IF(物品!M295=0,0,"'"&amp;物品!M295&amp;"'")</f>
        <v>0</v>
      </c>
      <c r="M235" s="56">
        <f>IF(物品!N295=0,0,"'"&amp;物品!N295&amp;"'")</f>
        <v>0</v>
      </c>
      <c r="N235" s="56">
        <f>IF(物品!O295=0,0,"'"&amp;物品!O295&amp;"'")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物品!A296</f>
        <v>0</v>
      </c>
      <c r="B236" s="56" t="str">
        <f>"'"&amp;物品!B296&amp;"'"</f>
        <v>'IC11'</v>
      </c>
      <c r="C236" s="56">
        <f>物品!J296</f>
        <v>0</v>
      </c>
      <c r="D236" s="56">
        <f>物品!K296</f>
        <v>0</v>
      </c>
      <c r="E236" s="56">
        <f>物品!L296</f>
        <v>0</v>
      </c>
      <c r="F236" s="56">
        <f>物品!M296</f>
        <v>0</v>
      </c>
      <c r="G236" s="56">
        <f>物品!N296</f>
        <v>0</v>
      </c>
      <c r="H236" s="56">
        <f>物品!O296</f>
        <v>0</v>
      </c>
      <c r="I236" s="56">
        <f>IF(物品!J296=0,0,"'"&amp;物品!J296&amp;"'")</f>
        <v>0</v>
      </c>
      <c r="J236" s="56">
        <f>IF(物品!K296=0,0,"'"&amp;物品!K296&amp;"'")</f>
        <v>0</v>
      </c>
      <c r="K236" s="56">
        <f>IF(物品!L296=0,0,"'"&amp;物品!L296&amp;"'")</f>
        <v>0</v>
      </c>
      <c r="L236" s="56">
        <f>IF(物品!M296=0,0,"'"&amp;物品!M296&amp;"'")</f>
        <v>0</v>
      </c>
      <c r="M236" s="56">
        <f>IF(物品!N296=0,0,"'"&amp;物品!N296&amp;"'")</f>
        <v>0</v>
      </c>
      <c r="N236" s="56">
        <f>IF(物品!O296=0,0,"'"&amp;物品!O296&amp;"'")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物品!A297</f>
        <v>0</v>
      </c>
      <c r="B237" s="56" t="str">
        <f>"'"&amp;物品!B297&amp;"'"</f>
        <v>''</v>
      </c>
      <c r="C237" s="56">
        <f>物品!J297</f>
        <v>0</v>
      </c>
      <c r="D237" s="56">
        <f>物品!K297</f>
        <v>0</v>
      </c>
      <c r="E237" s="56">
        <f>物品!L297</f>
        <v>0</v>
      </c>
      <c r="F237" s="56">
        <f>物品!M297</f>
        <v>0</v>
      </c>
      <c r="G237" s="56">
        <f>物品!N297</f>
        <v>0</v>
      </c>
      <c r="H237" s="56">
        <f>物品!O297</f>
        <v>0</v>
      </c>
      <c r="I237" s="56">
        <f>IF(物品!J297=0,0,"'"&amp;物品!J297&amp;"'")</f>
        <v>0</v>
      </c>
      <c r="J237" s="56">
        <f>IF(物品!K297=0,0,"'"&amp;物品!K297&amp;"'")</f>
        <v>0</v>
      </c>
      <c r="K237" s="56">
        <f>IF(物品!L297=0,0,"'"&amp;物品!L297&amp;"'")</f>
        <v>0</v>
      </c>
      <c r="L237" s="56">
        <f>IF(物品!M297=0,0,"'"&amp;物品!M297&amp;"'")</f>
        <v>0</v>
      </c>
      <c r="M237" s="56">
        <f>IF(物品!N297=0,0,"'"&amp;物品!N297&amp;"'")</f>
        <v>0</v>
      </c>
      <c r="N237" s="56">
        <f>IF(物品!O297=0,0,"'"&amp;物品!O297&amp;"'")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物品!A298</f>
        <v>0</v>
      </c>
      <c r="B238" s="56" t="str">
        <f>"'"&amp;物品!B298&amp;"'"</f>
        <v>''</v>
      </c>
      <c r="C238" s="56">
        <f>物品!J298</f>
        <v>0</v>
      </c>
      <c r="D238" s="56">
        <f>物品!K298</f>
        <v>0</v>
      </c>
      <c r="E238" s="56">
        <f>物品!L298</f>
        <v>0</v>
      </c>
      <c r="F238" s="56">
        <f>物品!M298</f>
        <v>0</v>
      </c>
      <c r="G238" s="56">
        <f>物品!N298</f>
        <v>0</v>
      </c>
      <c r="H238" s="56">
        <f>物品!O298</f>
        <v>0</v>
      </c>
      <c r="I238" s="56">
        <f>IF(物品!J298=0,0,"'"&amp;物品!J298&amp;"'")</f>
        <v>0</v>
      </c>
      <c r="J238" s="56">
        <f>IF(物品!K298=0,0,"'"&amp;物品!K298&amp;"'")</f>
        <v>0</v>
      </c>
      <c r="K238" s="56">
        <f>IF(物品!L298=0,0,"'"&amp;物品!L298&amp;"'")</f>
        <v>0</v>
      </c>
      <c r="L238" s="56">
        <f>IF(物品!M298=0,0,"'"&amp;物品!M298&amp;"'")</f>
        <v>0</v>
      </c>
      <c r="M238" s="56">
        <f>IF(物品!N298=0,0,"'"&amp;物品!N298&amp;"'")</f>
        <v>0</v>
      </c>
      <c r="N238" s="56">
        <f>IF(物品!O298=0,0,"'"&amp;物品!O298&amp;"'")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物品!A299</f>
        <v>0</v>
      </c>
      <c r="B239" s="56" t="str">
        <f>"'"&amp;物品!B299&amp;"'"</f>
        <v>''</v>
      </c>
      <c r="C239" s="56">
        <f>物品!J299</f>
        <v>0</v>
      </c>
      <c r="D239" s="56">
        <f>物品!K299</f>
        <v>0</v>
      </c>
      <c r="E239" s="56">
        <f>物品!L299</f>
        <v>0</v>
      </c>
      <c r="F239" s="56">
        <f>物品!M299</f>
        <v>0</v>
      </c>
      <c r="G239" s="56">
        <f>物品!N299</f>
        <v>0</v>
      </c>
      <c r="H239" s="56">
        <f>物品!O299</f>
        <v>0</v>
      </c>
      <c r="I239" s="56">
        <f>IF(物品!J299=0,0,"'"&amp;物品!J299&amp;"'")</f>
        <v>0</v>
      </c>
      <c r="J239" s="56">
        <f>IF(物品!K299=0,0,"'"&amp;物品!K299&amp;"'")</f>
        <v>0</v>
      </c>
      <c r="K239" s="56">
        <f>IF(物品!L299=0,0,"'"&amp;物品!L299&amp;"'")</f>
        <v>0</v>
      </c>
      <c r="L239" s="56">
        <f>IF(物品!M299=0,0,"'"&amp;物品!M299&amp;"'")</f>
        <v>0</v>
      </c>
      <c r="M239" s="56">
        <f>IF(物品!N299=0,0,"'"&amp;物品!N299&amp;"'")</f>
        <v>0</v>
      </c>
      <c r="N239" s="56">
        <f>IF(物品!O299=0,0,"'"&amp;物品!O299&amp;"'")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物品!A300</f>
        <v>0</v>
      </c>
      <c r="B240" s="56" t="str">
        <f>"'"&amp;物品!B300&amp;"'"</f>
        <v>''</v>
      </c>
      <c r="C240" s="56">
        <f>物品!J300</f>
        <v>0</v>
      </c>
      <c r="D240" s="56">
        <f>物品!K300</f>
        <v>0</v>
      </c>
      <c r="E240" s="56">
        <f>物品!L300</f>
        <v>0</v>
      </c>
      <c r="F240" s="56">
        <f>物品!M300</f>
        <v>0</v>
      </c>
      <c r="G240" s="56">
        <f>物品!N300</f>
        <v>0</v>
      </c>
      <c r="H240" s="56">
        <f>物品!O300</f>
        <v>0</v>
      </c>
      <c r="I240" s="56">
        <f>IF(物品!J300=0,0,"'"&amp;物品!J300&amp;"'")</f>
        <v>0</v>
      </c>
      <c r="J240" s="56">
        <f>IF(物品!K300=0,0,"'"&amp;物品!K300&amp;"'")</f>
        <v>0</v>
      </c>
      <c r="K240" s="56">
        <f>IF(物品!L300=0,0,"'"&amp;物品!L300&amp;"'")</f>
        <v>0</v>
      </c>
      <c r="L240" s="56">
        <f>IF(物品!M300=0,0,"'"&amp;物品!M300&amp;"'")</f>
        <v>0</v>
      </c>
      <c r="M240" s="56">
        <f>IF(物品!N300=0,0,"'"&amp;物品!N300&amp;"'")</f>
        <v>0</v>
      </c>
      <c r="N240" s="56">
        <f>IF(物品!O300=0,0,"'"&amp;物品!O300&amp;"'")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物品!A301</f>
        <v>0</v>
      </c>
      <c r="B241" s="56" t="str">
        <f>"'"&amp;物品!B301&amp;"'"</f>
        <v>''</v>
      </c>
      <c r="C241" s="56">
        <f>物品!J301</f>
        <v>0</v>
      </c>
      <c r="D241" s="56">
        <f>物品!K301</f>
        <v>0</v>
      </c>
      <c r="E241" s="56">
        <f>物品!L301</f>
        <v>0</v>
      </c>
      <c r="F241" s="56">
        <f>物品!M301</f>
        <v>0</v>
      </c>
      <c r="G241" s="56">
        <f>物品!N301</f>
        <v>0</v>
      </c>
      <c r="H241" s="56">
        <f>物品!O301</f>
        <v>0</v>
      </c>
      <c r="I241" s="56">
        <f>IF(物品!J301=0,0,"'"&amp;物品!J301&amp;"'")</f>
        <v>0</v>
      </c>
      <c r="J241" s="56">
        <f>IF(物品!K301=0,0,"'"&amp;物品!K301&amp;"'")</f>
        <v>0</v>
      </c>
      <c r="K241" s="56">
        <f>IF(物品!L301=0,0,"'"&amp;物品!L301&amp;"'")</f>
        <v>0</v>
      </c>
      <c r="L241" s="56">
        <f>IF(物品!M301=0,0,"'"&amp;物品!M301&amp;"'")</f>
        <v>0</v>
      </c>
      <c r="M241" s="56">
        <f>IF(物品!N301=0,0,"'"&amp;物品!N301&amp;"'")</f>
        <v>0</v>
      </c>
      <c r="N241" s="56">
        <f>IF(物品!O301=0,0,"'"&amp;物品!O301&amp;"'")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物品!A302</f>
        <v>0</v>
      </c>
      <c r="B242" s="56" t="str">
        <f>"'"&amp;物品!B302&amp;"'"</f>
        <v>''</v>
      </c>
      <c r="C242" s="56">
        <f>物品!J302</f>
        <v>0</v>
      </c>
      <c r="D242" s="56">
        <f>物品!K302</f>
        <v>0</v>
      </c>
      <c r="E242" s="56">
        <f>物品!L302</f>
        <v>0</v>
      </c>
      <c r="F242" s="56">
        <f>物品!M302</f>
        <v>0</v>
      </c>
      <c r="G242" s="56">
        <f>物品!N302</f>
        <v>0</v>
      </c>
      <c r="H242" s="56">
        <f>物品!O302</f>
        <v>0</v>
      </c>
      <c r="I242" s="56">
        <f>IF(物品!J302=0,0,"'"&amp;物品!J302&amp;"'")</f>
        <v>0</v>
      </c>
      <c r="J242" s="56">
        <f>IF(物品!K302=0,0,"'"&amp;物品!K302&amp;"'")</f>
        <v>0</v>
      </c>
      <c r="K242" s="56">
        <f>IF(物品!L302=0,0,"'"&amp;物品!L302&amp;"'")</f>
        <v>0</v>
      </c>
      <c r="L242" s="56">
        <f>IF(物品!M302=0,0,"'"&amp;物品!M302&amp;"'")</f>
        <v>0</v>
      </c>
      <c r="M242" s="56">
        <f>IF(物品!N302=0,0,"'"&amp;物品!N302&amp;"'")</f>
        <v>0</v>
      </c>
      <c r="N242" s="56">
        <f>IF(物品!O302=0,0,"'"&amp;物品!O302&amp;"'")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物品!A303</f>
        <v>0</v>
      </c>
      <c r="B243" s="56" t="str">
        <f>"'"&amp;物品!B303&amp;"'"</f>
        <v>''</v>
      </c>
      <c r="C243" s="56">
        <f>物品!J303</f>
        <v>0</v>
      </c>
      <c r="D243" s="56">
        <f>物品!K303</f>
        <v>0</v>
      </c>
      <c r="E243" s="56">
        <f>物品!L303</f>
        <v>0</v>
      </c>
      <c r="F243" s="56">
        <f>物品!M303</f>
        <v>0</v>
      </c>
      <c r="G243" s="56">
        <f>物品!N303</f>
        <v>0</v>
      </c>
      <c r="H243" s="56">
        <f>物品!O303</f>
        <v>0</v>
      </c>
      <c r="I243" s="56">
        <f>IF(物品!J303=0,0,"'"&amp;物品!J303&amp;"'")</f>
        <v>0</v>
      </c>
      <c r="J243" s="56">
        <f>IF(物品!K303=0,0,"'"&amp;物品!K303&amp;"'")</f>
        <v>0</v>
      </c>
      <c r="K243" s="56">
        <f>IF(物品!L303=0,0,"'"&amp;物品!L303&amp;"'")</f>
        <v>0</v>
      </c>
      <c r="L243" s="56">
        <f>IF(物品!M303=0,0,"'"&amp;物品!M303&amp;"'")</f>
        <v>0</v>
      </c>
      <c r="M243" s="56">
        <f>IF(物品!N303=0,0,"'"&amp;物品!N303&amp;"'")</f>
        <v>0</v>
      </c>
      <c r="N243" s="56">
        <f>IF(物品!O303=0,0,"'"&amp;物品!O303&amp;"'")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物品!A304</f>
        <v>0</v>
      </c>
      <c r="B244" s="56" t="str">
        <f>"'"&amp;物品!B304&amp;"'"</f>
        <v>''</v>
      </c>
      <c r="C244" s="56">
        <f>物品!J304</f>
        <v>0</v>
      </c>
      <c r="D244" s="56">
        <f>物品!K304</f>
        <v>0</v>
      </c>
      <c r="E244" s="56">
        <f>物品!L304</f>
        <v>0</v>
      </c>
      <c r="F244" s="56">
        <f>物品!M304</f>
        <v>0</v>
      </c>
      <c r="G244" s="56">
        <f>物品!N304</f>
        <v>0</v>
      </c>
      <c r="H244" s="56">
        <f>物品!O304</f>
        <v>0</v>
      </c>
      <c r="I244" s="56">
        <f>IF(物品!J304=0,0,"'"&amp;物品!J304&amp;"'")</f>
        <v>0</v>
      </c>
      <c r="J244" s="56">
        <f>IF(物品!K304=0,0,"'"&amp;物品!K304&amp;"'")</f>
        <v>0</v>
      </c>
      <c r="K244" s="56">
        <f>IF(物品!L304=0,0,"'"&amp;物品!L304&amp;"'")</f>
        <v>0</v>
      </c>
      <c r="L244" s="56">
        <f>IF(物品!M304=0,0,"'"&amp;物品!M304&amp;"'")</f>
        <v>0</v>
      </c>
      <c r="M244" s="56">
        <f>IF(物品!N304=0,0,"'"&amp;物品!N304&amp;"'")</f>
        <v>0</v>
      </c>
      <c r="N244" s="56">
        <f>IF(物品!O304=0,0,"'"&amp;物品!O304&amp;"'")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物品!A305</f>
        <v>0</v>
      </c>
      <c r="B245" s="56" t="str">
        <f>"'"&amp;物品!B305&amp;"'"</f>
        <v>''</v>
      </c>
      <c r="C245" s="56">
        <f>物品!J305</f>
        <v>0</v>
      </c>
      <c r="D245" s="56">
        <f>物品!K305</f>
        <v>0</v>
      </c>
      <c r="E245" s="56">
        <f>物品!L305</f>
        <v>0</v>
      </c>
      <c r="F245" s="56">
        <f>物品!M305</f>
        <v>0</v>
      </c>
      <c r="G245" s="56">
        <f>物品!N305</f>
        <v>0</v>
      </c>
      <c r="H245" s="56">
        <f>物品!O305</f>
        <v>0</v>
      </c>
      <c r="I245" s="56">
        <f>IF(物品!J305=0,0,"'"&amp;物品!J305&amp;"'")</f>
        <v>0</v>
      </c>
      <c r="J245" s="56">
        <f>IF(物品!K305=0,0,"'"&amp;物品!K305&amp;"'")</f>
        <v>0</v>
      </c>
      <c r="K245" s="56">
        <f>IF(物品!L305=0,0,"'"&amp;物品!L305&amp;"'")</f>
        <v>0</v>
      </c>
      <c r="L245" s="56">
        <f>IF(物品!M305=0,0,"'"&amp;物品!M305&amp;"'")</f>
        <v>0</v>
      </c>
      <c r="M245" s="56">
        <f>IF(物品!N305=0,0,"'"&amp;物品!N305&amp;"'")</f>
        <v>0</v>
      </c>
      <c r="N245" s="56">
        <f>IF(物品!O305=0,0,"'"&amp;物品!O305&amp;"'")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物品!A306</f>
        <v>0</v>
      </c>
      <c r="B246" s="56" t="str">
        <f>"'"&amp;物品!B306&amp;"'"</f>
        <v>''</v>
      </c>
      <c r="C246" s="56">
        <f>物品!J306</f>
        <v>0</v>
      </c>
      <c r="D246" s="56">
        <f>物品!K306</f>
        <v>0</v>
      </c>
      <c r="E246" s="56">
        <f>物品!L306</f>
        <v>0</v>
      </c>
      <c r="F246" s="56">
        <f>物品!M306</f>
        <v>0</v>
      </c>
      <c r="G246" s="56">
        <f>物品!N306</f>
        <v>0</v>
      </c>
      <c r="H246" s="56">
        <f>物品!O306</f>
        <v>0</v>
      </c>
      <c r="I246" s="56">
        <f>IF(物品!J306=0,0,"'"&amp;物品!J306&amp;"'")</f>
        <v>0</v>
      </c>
      <c r="J246" s="56">
        <f>IF(物品!K306=0,0,"'"&amp;物品!K306&amp;"'")</f>
        <v>0</v>
      </c>
      <c r="K246" s="56">
        <f>IF(物品!L306=0,0,"'"&amp;物品!L306&amp;"'")</f>
        <v>0</v>
      </c>
      <c r="L246" s="56">
        <f>IF(物品!M306=0,0,"'"&amp;物品!M306&amp;"'")</f>
        <v>0</v>
      </c>
      <c r="M246" s="56">
        <f>IF(物品!N306=0,0,"'"&amp;物品!N306&amp;"'")</f>
        <v>0</v>
      </c>
      <c r="N246" s="56">
        <f>IF(物品!O306=0,0,"'"&amp;物品!O306&amp;"'")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物品!A307</f>
        <v>0</v>
      </c>
      <c r="B247" s="56" t="str">
        <f>"'"&amp;物品!B307&amp;"'"</f>
        <v>''</v>
      </c>
      <c r="C247" s="56">
        <f>物品!J307</f>
        <v>0</v>
      </c>
      <c r="D247" s="56">
        <f>物品!K307</f>
        <v>0</v>
      </c>
      <c r="E247" s="56">
        <f>物品!L307</f>
        <v>0</v>
      </c>
      <c r="F247" s="56">
        <f>物品!M307</f>
        <v>0</v>
      </c>
      <c r="G247" s="56">
        <f>物品!N307</f>
        <v>0</v>
      </c>
      <c r="H247" s="56">
        <f>物品!O307</f>
        <v>0</v>
      </c>
      <c r="I247" s="56">
        <f>IF(物品!J307=0,0,"'"&amp;物品!J307&amp;"'")</f>
        <v>0</v>
      </c>
      <c r="J247" s="56">
        <f>IF(物品!K307=0,0,"'"&amp;物品!K307&amp;"'")</f>
        <v>0</v>
      </c>
      <c r="K247" s="56">
        <f>IF(物品!L307=0,0,"'"&amp;物品!L307&amp;"'")</f>
        <v>0</v>
      </c>
      <c r="L247" s="56">
        <f>IF(物品!M307=0,0,"'"&amp;物品!M307&amp;"'")</f>
        <v>0</v>
      </c>
      <c r="M247" s="56">
        <f>IF(物品!N307=0,0,"'"&amp;物品!N307&amp;"'")</f>
        <v>0</v>
      </c>
      <c r="N247" s="56">
        <f>IF(物品!O307=0,0,"'"&amp;物品!O307&amp;"'")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物品!A308</f>
        <v>0</v>
      </c>
      <c r="B248" s="56" t="str">
        <f>"'"&amp;物品!B308&amp;"'"</f>
        <v>''</v>
      </c>
      <c r="C248" s="56">
        <f>物品!J308</f>
        <v>0</v>
      </c>
      <c r="D248" s="56">
        <f>物品!K308</f>
        <v>0</v>
      </c>
      <c r="E248" s="56">
        <f>物品!L308</f>
        <v>0</v>
      </c>
      <c r="F248" s="56">
        <f>物品!M308</f>
        <v>0</v>
      </c>
      <c r="G248" s="56">
        <f>物品!N308</f>
        <v>0</v>
      </c>
      <c r="H248" s="56">
        <f>物品!O308</f>
        <v>0</v>
      </c>
      <c r="I248" s="56">
        <f>IF(物品!J308=0,0,"'"&amp;物品!J308&amp;"'")</f>
        <v>0</v>
      </c>
      <c r="J248" s="56">
        <f>IF(物品!K308=0,0,"'"&amp;物品!K308&amp;"'")</f>
        <v>0</v>
      </c>
      <c r="K248" s="56">
        <f>IF(物品!L308=0,0,"'"&amp;物品!L308&amp;"'")</f>
        <v>0</v>
      </c>
      <c r="L248" s="56">
        <f>IF(物品!M308=0,0,"'"&amp;物品!M308&amp;"'")</f>
        <v>0</v>
      </c>
      <c r="M248" s="56">
        <f>IF(物品!N308=0,0,"'"&amp;物品!N308&amp;"'")</f>
        <v>0</v>
      </c>
      <c r="N248" s="56">
        <f>IF(物品!O308=0,0,"'"&amp;物品!O308&amp;"'")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物品!A309</f>
        <v>0</v>
      </c>
      <c r="B249" s="56" t="str">
        <f>"'"&amp;物品!B309&amp;"'"</f>
        <v>''</v>
      </c>
      <c r="C249" s="56">
        <f>物品!J309</f>
        <v>0</v>
      </c>
      <c r="D249" s="56">
        <f>物品!K309</f>
        <v>0</v>
      </c>
      <c r="E249" s="56">
        <f>物品!L309</f>
        <v>0</v>
      </c>
      <c r="F249" s="56">
        <f>物品!M309</f>
        <v>0</v>
      </c>
      <c r="G249" s="56">
        <f>物品!N309</f>
        <v>0</v>
      </c>
      <c r="H249" s="56">
        <f>物品!O309</f>
        <v>0</v>
      </c>
      <c r="I249" s="56">
        <f>IF(物品!J309=0,0,"'"&amp;物品!J309&amp;"'")</f>
        <v>0</v>
      </c>
      <c r="J249" s="56">
        <f>IF(物品!K309=0,0,"'"&amp;物品!K309&amp;"'")</f>
        <v>0</v>
      </c>
      <c r="K249" s="56">
        <f>IF(物品!L309=0,0,"'"&amp;物品!L309&amp;"'")</f>
        <v>0</v>
      </c>
      <c r="L249" s="56">
        <f>IF(物品!M309=0,0,"'"&amp;物品!M309&amp;"'")</f>
        <v>0</v>
      </c>
      <c r="M249" s="56">
        <f>IF(物品!N309=0,0,"'"&amp;物品!N309&amp;"'")</f>
        <v>0</v>
      </c>
      <c r="N249" s="56">
        <f>IF(物品!O309=0,0,"'"&amp;物品!O309&amp;"'")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物品!A310</f>
        <v>0</v>
      </c>
      <c r="B250" s="56" t="str">
        <f>"'"&amp;物品!B310&amp;"'"</f>
        <v>''</v>
      </c>
      <c r="C250" s="56">
        <f>物品!J310</f>
        <v>0</v>
      </c>
      <c r="D250" s="56">
        <f>物品!K310</f>
        <v>0</v>
      </c>
      <c r="E250" s="56">
        <f>物品!L310</f>
        <v>0</v>
      </c>
      <c r="F250" s="56">
        <f>物品!M310</f>
        <v>0</v>
      </c>
      <c r="G250" s="56">
        <f>物品!N310</f>
        <v>0</v>
      </c>
      <c r="H250" s="56">
        <f>物品!O310</f>
        <v>0</v>
      </c>
      <c r="I250" s="56">
        <f>IF(物品!J310=0,0,"'"&amp;物品!J310&amp;"'")</f>
        <v>0</v>
      </c>
      <c r="J250" s="56">
        <f>IF(物品!K310=0,0,"'"&amp;物品!K310&amp;"'")</f>
        <v>0</v>
      </c>
      <c r="K250" s="56">
        <f>IF(物品!L310=0,0,"'"&amp;物品!L310&amp;"'")</f>
        <v>0</v>
      </c>
      <c r="L250" s="56">
        <f>IF(物品!M310=0,0,"'"&amp;物品!M310&amp;"'")</f>
        <v>0</v>
      </c>
      <c r="M250" s="56">
        <f>IF(物品!N310=0,0,"'"&amp;物品!N310&amp;"'")</f>
        <v>0</v>
      </c>
      <c r="N250" s="56">
        <f>IF(物品!O310=0,0,"'"&amp;物品!O310&amp;"'")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物品!A311</f>
        <v>0</v>
      </c>
      <c r="B251" s="56" t="str">
        <f>"'"&amp;物品!B311&amp;"'"</f>
        <v>''</v>
      </c>
      <c r="C251" s="56">
        <f>物品!J311</f>
        <v>0</v>
      </c>
      <c r="D251" s="56">
        <f>物品!K311</f>
        <v>0</v>
      </c>
      <c r="E251" s="56">
        <f>物品!L311</f>
        <v>0</v>
      </c>
      <c r="F251" s="56">
        <f>物品!M311</f>
        <v>0</v>
      </c>
      <c r="G251" s="56">
        <f>物品!N311</f>
        <v>0</v>
      </c>
      <c r="H251" s="56">
        <f>物品!O311</f>
        <v>0</v>
      </c>
      <c r="I251" s="56">
        <f>IF(物品!J311=0,0,"'"&amp;物品!J311&amp;"'")</f>
        <v>0</v>
      </c>
      <c r="J251" s="56">
        <f>IF(物品!K311=0,0,"'"&amp;物品!K311&amp;"'")</f>
        <v>0</v>
      </c>
      <c r="K251" s="56">
        <f>IF(物品!L311=0,0,"'"&amp;物品!L311&amp;"'")</f>
        <v>0</v>
      </c>
      <c r="L251" s="56">
        <f>IF(物品!M311=0,0,"'"&amp;物品!M311&amp;"'")</f>
        <v>0</v>
      </c>
      <c r="M251" s="56">
        <f>IF(物品!N311=0,0,"'"&amp;物品!N311&amp;"'")</f>
        <v>0</v>
      </c>
      <c r="N251" s="56">
        <f>IF(物品!O311=0,0,"'"&amp;物品!O311&amp;"'")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物品!A312</f>
        <v>0</v>
      </c>
      <c r="B252" s="56" t="str">
        <f>"'"&amp;物品!B312&amp;"'"</f>
        <v>''</v>
      </c>
      <c r="C252" s="56">
        <f>物品!J312</f>
        <v>0</v>
      </c>
      <c r="D252" s="56">
        <f>物品!K312</f>
        <v>0</v>
      </c>
      <c r="E252" s="56">
        <f>物品!L312</f>
        <v>0</v>
      </c>
      <c r="F252" s="56">
        <f>物品!M312</f>
        <v>0</v>
      </c>
      <c r="G252" s="56">
        <f>物品!N312</f>
        <v>0</v>
      </c>
      <c r="H252" s="56">
        <f>物品!O312</f>
        <v>0</v>
      </c>
      <c r="I252" s="56">
        <f>IF(物品!J312=0,0,"'"&amp;物品!J312&amp;"'")</f>
        <v>0</v>
      </c>
      <c r="J252" s="56">
        <f>IF(物品!K312=0,0,"'"&amp;物品!K312&amp;"'")</f>
        <v>0</v>
      </c>
      <c r="K252" s="56">
        <f>IF(物品!L312=0,0,"'"&amp;物品!L312&amp;"'")</f>
        <v>0</v>
      </c>
      <c r="L252" s="56">
        <f>IF(物品!M312=0,0,"'"&amp;物品!M312&amp;"'")</f>
        <v>0</v>
      </c>
      <c r="M252" s="56">
        <f>IF(物品!N312=0,0,"'"&amp;物品!N312&amp;"'")</f>
        <v>0</v>
      </c>
      <c r="N252" s="56">
        <f>IF(物品!O312=0,0,"'"&amp;物品!O312&amp;"'")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物品!A313</f>
        <v>0</v>
      </c>
      <c r="B253" s="56" t="str">
        <f>"'"&amp;物品!B313&amp;"'"</f>
        <v>''</v>
      </c>
      <c r="C253" s="56">
        <f>物品!J313</f>
        <v>0</v>
      </c>
      <c r="D253" s="56">
        <f>物品!K313</f>
        <v>0</v>
      </c>
      <c r="E253" s="56">
        <f>物品!L313</f>
        <v>0</v>
      </c>
      <c r="F253" s="56">
        <f>物品!M313</f>
        <v>0</v>
      </c>
      <c r="G253" s="56">
        <f>物品!N313</f>
        <v>0</v>
      </c>
      <c r="H253" s="56">
        <f>物品!O313</f>
        <v>0</v>
      </c>
      <c r="I253" s="56">
        <f>IF(物品!J313=0,0,"'"&amp;物品!J313&amp;"'")</f>
        <v>0</v>
      </c>
      <c r="J253" s="56">
        <f>IF(物品!K313=0,0,"'"&amp;物品!K313&amp;"'")</f>
        <v>0</v>
      </c>
      <c r="K253" s="56">
        <f>IF(物品!L313=0,0,"'"&amp;物品!L313&amp;"'")</f>
        <v>0</v>
      </c>
      <c r="L253" s="56">
        <f>IF(物品!M313=0,0,"'"&amp;物品!M313&amp;"'")</f>
        <v>0</v>
      </c>
      <c r="M253" s="56">
        <f>IF(物品!N313=0,0,"'"&amp;物品!N313&amp;"'")</f>
        <v>0</v>
      </c>
      <c r="N253" s="56">
        <f>IF(物品!O313=0,0,"'"&amp;物品!O313&amp;"'")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物品!A314</f>
        <v>0</v>
      </c>
      <c r="B254" s="56" t="str">
        <f>"'"&amp;物品!B314&amp;"'"</f>
        <v>''</v>
      </c>
      <c r="C254" s="56">
        <f>物品!J314</f>
        <v>0</v>
      </c>
      <c r="D254" s="56">
        <f>物品!K314</f>
        <v>0</v>
      </c>
      <c r="E254" s="56">
        <f>物品!L314</f>
        <v>0</v>
      </c>
      <c r="F254" s="56">
        <f>物品!M314</f>
        <v>0</v>
      </c>
      <c r="G254" s="56">
        <f>物品!N314</f>
        <v>0</v>
      </c>
      <c r="H254" s="56">
        <f>物品!O314</f>
        <v>0</v>
      </c>
      <c r="I254" s="56">
        <f>IF(物品!J314=0,0,"'"&amp;物品!J314&amp;"'")</f>
        <v>0</v>
      </c>
      <c r="J254" s="56">
        <f>IF(物品!K314=0,0,"'"&amp;物品!K314&amp;"'")</f>
        <v>0</v>
      </c>
      <c r="K254" s="56">
        <f>IF(物品!L314=0,0,"'"&amp;物品!L314&amp;"'")</f>
        <v>0</v>
      </c>
      <c r="L254" s="56">
        <f>IF(物品!M314=0,0,"'"&amp;物品!M314&amp;"'")</f>
        <v>0</v>
      </c>
      <c r="M254" s="56">
        <f>IF(物品!N314=0,0,"'"&amp;物品!N314&amp;"'")</f>
        <v>0</v>
      </c>
      <c r="N254" s="56">
        <f>IF(物品!O314=0,0,"'"&amp;物品!O314&amp;"'")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物品!A315</f>
        <v>0</v>
      </c>
      <c r="B255" s="56" t="str">
        <f>"'"&amp;物品!B315&amp;"'"</f>
        <v>''</v>
      </c>
      <c r="C255" s="56">
        <f>物品!J315</f>
        <v>0</v>
      </c>
      <c r="D255" s="56">
        <f>物品!K315</f>
        <v>0</v>
      </c>
      <c r="E255" s="56">
        <f>物品!L315</f>
        <v>0</v>
      </c>
      <c r="F255" s="56">
        <f>物品!M315</f>
        <v>0</v>
      </c>
      <c r="G255" s="56">
        <f>物品!N315</f>
        <v>0</v>
      </c>
      <c r="H255" s="56">
        <f>物品!O315</f>
        <v>0</v>
      </c>
      <c r="I255" s="56">
        <f>IF(物品!J315=0,0,"'"&amp;物品!J315&amp;"'")</f>
        <v>0</v>
      </c>
      <c r="J255" s="56">
        <f>IF(物品!K315=0,0,"'"&amp;物品!K315&amp;"'")</f>
        <v>0</v>
      </c>
      <c r="K255" s="56">
        <f>IF(物品!L315=0,0,"'"&amp;物品!L315&amp;"'")</f>
        <v>0</v>
      </c>
      <c r="L255" s="56">
        <f>IF(物品!M315=0,0,"'"&amp;物品!M315&amp;"'")</f>
        <v>0</v>
      </c>
      <c r="M255" s="56">
        <f>IF(物品!N315=0,0,"'"&amp;物品!N315&amp;"'")</f>
        <v>0</v>
      </c>
      <c r="N255" s="56">
        <f>IF(物品!O315=0,0,"'"&amp;物品!O315&amp;"'")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物品!A316</f>
        <v>0</v>
      </c>
      <c r="B256" s="56" t="str">
        <f>"'"&amp;物品!B316&amp;"'"</f>
        <v>''</v>
      </c>
      <c r="C256" s="56">
        <f>物品!J316</f>
        <v>0</v>
      </c>
      <c r="D256" s="56">
        <f>物品!K316</f>
        <v>0</v>
      </c>
      <c r="E256" s="56">
        <f>物品!L316</f>
        <v>0</v>
      </c>
      <c r="F256" s="56">
        <f>物品!M316</f>
        <v>0</v>
      </c>
      <c r="G256" s="56">
        <f>物品!N316</f>
        <v>0</v>
      </c>
      <c r="H256" s="56">
        <f>物品!O316</f>
        <v>0</v>
      </c>
      <c r="I256" s="56">
        <f>IF(物品!J316=0,0,"'"&amp;物品!J316&amp;"'")</f>
        <v>0</v>
      </c>
      <c r="J256" s="56">
        <f>IF(物品!K316=0,0,"'"&amp;物品!K316&amp;"'")</f>
        <v>0</v>
      </c>
      <c r="K256" s="56">
        <f>IF(物品!L316=0,0,"'"&amp;物品!L316&amp;"'")</f>
        <v>0</v>
      </c>
      <c r="L256" s="56">
        <f>IF(物品!M316=0,0,"'"&amp;物品!M316&amp;"'")</f>
        <v>0</v>
      </c>
      <c r="M256" s="56">
        <f>IF(物品!N316=0,0,"'"&amp;物品!N316&amp;"'")</f>
        <v>0</v>
      </c>
      <c r="N256" s="56">
        <f>IF(物品!O316=0,0,"'"&amp;物品!O316&amp;"'")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物品!A317</f>
        <v>0</v>
      </c>
      <c r="B257" s="56" t="str">
        <f>"'"&amp;物品!B317&amp;"'"</f>
        <v>''</v>
      </c>
      <c r="C257" s="56">
        <f>物品!J317</f>
        <v>0</v>
      </c>
      <c r="D257" s="56">
        <f>物品!K317</f>
        <v>0</v>
      </c>
      <c r="E257" s="56">
        <f>物品!L317</f>
        <v>0</v>
      </c>
      <c r="F257" s="56">
        <f>物品!M317</f>
        <v>0</v>
      </c>
      <c r="G257" s="56">
        <f>物品!N317</f>
        <v>0</v>
      </c>
      <c r="H257" s="56">
        <f>物品!O317</f>
        <v>0</v>
      </c>
      <c r="I257" s="56">
        <f>IF(物品!J317=0,0,"'"&amp;物品!J317&amp;"'")</f>
        <v>0</v>
      </c>
      <c r="J257" s="56">
        <f>IF(物品!K317=0,0,"'"&amp;物品!K317&amp;"'")</f>
        <v>0</v>
      </c>
      <c r="K257" s="56">
        <f>IF(物品!L317=0,0,"'"&amp;物品!L317&amp;"'")</f>
        <v>0</v>
      </c>
      <c r="L257" s="56">
        <f>IF(物品!M317=0,0,"'"&amp;物品!M317&amp;"'")</f>
        <v>0</v>
      </c>
      <c r="M257" s="56">
        <f>IF(物品!N317=0,0,"'"&amp;物品!N317&amp;"'")</f>
        <v>0</v>
      </c>
      <c r="N257" s="56">
        <f>IF(物品!O317=0,0,"'"&amp;物品!O317&amp;"'")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物品!A318</f>
        <v>0</v>
      </c>
      <c r="B258" s="56" t="str">
        <f>"'"&amp;物品!B318&amp;"'"</f>
        <v>''</v>
      </c>
      <c r="C258" s="56">
        <f>物品!J318</f>
        <v>0</v>
      </c>
      <c r="D258" s="56">
        <f>物品!K318</f>
        <v>0</v>
      </c>
      <c r="E258" s="56">
        <f>物品!L318</f>
        <v>0</v>
      </c>
      <c r="F258" s="56">
        <f>物品!M318</f>
        <v>0</v>
      </c>
      <c r="G258" s="56">
        <f>物品!N318</f>
        <v>0</v>
      </c>
      <c r="H258" s="56">
        <f>物品!O318</f>
        <v>0</v>
      </c>
      <c r="I258" s="56">
        <f>IF(物品!J318=0,0,"'"&amp;物品!J318&amp;"'")</f>
        <v>0</v>
      </c>
      <c r="J258" s="56">
        <f>IF(物品!K318=0,0,"'"&amp;物品!K318&amp;"'")</f>
        <v>0</v>
      </c>
      <c r="K258" s="56">
        <f>IF(物品!L318=0,0,"'"&amp;物品!L318&amp;"'")</f>
        <v>0</v>
      </c>
      <c r="L258" s="56">
        <f>IF(物品!M318=0,0,"'"&amp;物品!M318&amp;"'")</f>
        <v>0</v>
      </c>
      <c r="M258" s="56">
        <f>IF(物品!N318=0,0,"'"&amp;物品!N318&amp;"'")</f>
        <v>0</v>
      </c>
      <c r="N258" s="56">
        <f>IF(物品!O318=0,0,"'"&amp;物品!O318&amp;"'")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物品!A319</f>
        <v>0</v>
      </c>
      <c r="B259" s="56" t="str">
        <f>"'"&amp;物品!B319&amp;"'"</f>
        <v>''</v>
      </c>
      <c r="C259" s="56">
        <f>物品!J319</f>
        <v>0</v>
      </c>
      <c r="D259" s="56">
        <f>物品!K319</f>
        <v>0</v>
      </c>
      <c r="E259" s="56">
        <f>物品!L319</f>
        <v>0</v>
      </c>
      <c r="F259" s="56">
        <f>物品!M319</f>
        <v>0</v>
      </c>
      <c r="G259" s="56">
        <f>物品!N319</f>
        <v>0</v>
      </c>
      <c r="H259" s="56">
        <f>物品!O319</f>
        <v>0</v>
      </c>
      <c r="I259" s="56">
        <f>IF(物品!J319=0,0,"'"&amp;物品!J319&amp;"'")</f>
        <v>0</v>
      </c>
      <c r="J259" s="56">
        <f>IF(物品!K319=0,0,"'"&amp;物品!K319&amp;"'")</f>
        <v>0</v>
      </c>
      <c r="K259" s="56">
        <f>IF(物品!L319=0,0,"'"&amp;物品!L319&amp;"'")</f>
        <v>0</v>
      </c>
      <c r="L259" s="56">
        <f>IF(物品!M319=0,0,"'"&amp;物品!M319&amp;"'")</f>
        <v>0</v>
      </c>
      <c r="M259" s="56">
        <f>IF(物品!N319=0,0,"'"&amp;物品!N319&amp;"'")</f>
        <v>0</v>
      </c>
      <c r="N259" s="56">
        <f>IF(物品!O319=0,0,"'"&amp;物品!O319&amp;"'")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物品!A320</f>
        <v>0</v>
      </c>
      <c r="B260" s="56" t="str">
        <f>"'"&amp;物品!B320&amp;"'"</f>
        <v>''</v>
      </c>
      <c r="C260" s="56">
        <f>物品!J320</f>
        <v>0</v>
      </c>
      <c r="D260" s="56">
        <f>物品!K320</f>
        <v>0</v>
      </c>
      <c r="E260" s="56">
        <f>物品!L320</f>
        <v>0</v>
      </c>
      <c r="F260" s="56">
        <f>物品!M320</f>
        <v>0</v>
      </c>
      <c r="G260" s="56">
        <f>物品!N320</f>
        <v>0</v>
      </c>
      <c r="H260" s="56">
        <f>物品!O320</f>
        <v>0</v>
      </c>
      <c r="I260" s="56">
        <f>IF(物品!J320=0,0,"'"&amp;物品!J320&amp;"'")</f>
        <v>0</v>
      </c>
      <c r="J260" s="56">
        <f>IF(物品!K320=0,0,"'"&amp;物品!K320&amp;"'")</f>
        <v>0</v>
      </c>
      <c r="K260" s="56">
        <f>IF(物品!L320=0,0,"'"&amp;物品!L320&amp;"'")</f>
        <v>0</v>
      </c>
      <c r="L260" s="56">
        <f>IF(物品!M320=0,0,"'"&amp;物品!M320&amp;"'")</f>
        <v>0</v>
      </c>
      <c r="M260" s="56">
        <f>IF(物品!N320=0,0,"'"&amp;物品!N320&amp;"'")</f>
        <v>0</v>
      </c>
      <c r="N260" s="56">
        <f>IF(物品!O320=0,0,"'"&amp;物品!O320&amp;"'")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物品!A321</f>
        <v>0</v>
      </c>
      <c r="B261" s="56" t="str">
        <f>"'"&amp;物品!B321&amp;"'"</f>
        <v>''</v>
      </c>
      <c r="C261" s="56">
        <f>物品!J321</f>
        <v>0</v>
      </c>
      <c r="D261" s="56">
        <f>物品!K321</f>
        <v>0</v>
      </c>
      <c r="E261" s="56">
        <f>物品!L321</f>
        <v>0</v>
      </c>
      <c r="F261" s="56">
        <f>物品!M321</f>
        <v>0</v>
      </c>
      <c r="G261" s="56">
        <f>物品!N321</f>
        <v>0</v>
      </c>
      <c r="H261" s="56">
        <f>物品!O321</f>
        <v>0</v>
      </c>
      <c r="I261" s="56">
        <f>IF(物品!J321=0,0,"'"&amp;物品!J321&amp;"'")</f>
        <v>0</v>
      </c>
      <c r="J261" s="56">
        <f>IF(物品!K321=0,0,"'"&amp;物品!K321&amp;"'")</f>
        <v>0</v>
      </c>
      <c r="K261" s="56">
        <f>IF(物品!L321=0,0,"'"&amp;物品!L321&amp;"'")</f>
        <v>0</v>
      </c>
      <c r="L261" s="56">
        <f>IF(物品!M321=0,0,"'"&amp;物品!M321&amp;"'")</f>
        <v>0</v>
      </c>
      <c r="M261" s="56">
        <f>IF(物品!N321=0,0,"'"&amp;物品!N321&amp;"'")</f>
        <v>0</v>
      </c>
      <c r="N261" s="56">
        <f>IF(物品!O321=0,0,"'"&amp;物品!O321&amp;"'")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物品!A322</f>
        <v>0</v>
      </c>
      <c r="B262" s="56" t="str">
        <f>"'"&amp;物品!B322&amp;"'"</f>
        <v>''</v>
      </c>
      <c r="C262" s="56">
        <f>物品!J322</f>
        <v>0</v>
      </c>
      <c r="D262" s="56">
        <f>物品!K322</f>
        <v>0</v>
      </c>
      <c r="E262" s="56">
        <f>物品!L322</f>
        <v>0</v>
      </c>
      <c r="F262" s="56">
        <f>物品!M322</f>
        <v>0</v>
      </c>
      <c r="G262" s="56">
        <f>物品!N322</f>
        <v>0</v>
      </c>
      <c r="H262" s="56">
        <f>物品!O322</f>
        <v>0</v>
      </c>
      <c r="I262" s="56">
        <f>IF(物品!J322=0,0,"'"&amp;物品!J322&amp;"'")</f>
        <v>0</v>
      </c>
      <c r="J262" s="56">
        <f>IF(物品!K322=0,0,"'"&amp;物品!K322&amp;"'")</f>
        <v>0</v>
      </c>
      <c r="K262" s="56">
        <f>IF(物品!L322=0,0,"'"&amp;物品!L322&amp;"'")</f>
        <v>0</v>
      </c>
      <c r="L262" s="56">
        <f>IF(物品!M322=0,0,"'"&amp;物品!M322&amp;"'")</f>
        <v>0</v>
      </c>
      <c r="M262" s="56">
        <f>IF(物品!N322=0,0,"'"&amp;物品!N322&amp;"'")</f>
        <v>0</v>
      </c>
      <c r="N262" s="56">
        <f>IF(物品!O322=0,0,"'"&amp;物品!O322&amp;"'")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物品!A323</f>
        <v>0</v>
      </c>
      <c r="B263" s="56" t="str">
        <f>"'"&amp;物品!B323&amp;"'"</f>
        <v>''</v>
      </c>
      <c r="C263" s="56">
        <f>物品!J323</f>
        <v>0</v>
      </c>
      <c r="D263" s="56">
        <f>物品!K323</f>
        <v>0</v>
      </c>
      <c r="E263" s="56">
        <f>物品!L323</f>
        <v>0</v>
      </c>
      <c r="F263" s="56">
        <f>物品!M323</f>
        <v>0</v>
      </c>
      <c r="G263" s="56">
        <f>物品!N323</f>
        <v>0</v>
      </c>
      <c r="H263" s="56">
        <f>物品!O323</f>
        <v>0</v>
      </c>
      <c r="I263" s="56">
        <f>IF(物品!J323=0,0,"'"&amp;物品!J323&amp;"'")</f>
        <v>0</v>
      </c>
      <c r="J263" s="56">
        <f>IF(物品!K323=0,0,"'"&amp;物品!K323&amp;"'")</f>
        <v>0</v>
      </c>
      <c r="K263" s="56">
        <f>IF(物品!L323=0,0,"'"&amp;物品!L323&amp;"'")</f>
        <v>0</v>
      </c>
      <c r="L263" s="56">
        <f>IF(物品!M323=0,0,"'"&amp;物品!M323&amp;"'")</f>
        <v>0</v>
      </c>
      <c r="M263" s="56">
        <f>IF(物品!N323=0,0,"'"&amp;物品!N323&amp;"'")</f>
        <v>0</v>
      </c>
      <c r="N263" s="56">
        <f>IF(物品!O323=0,0,"'"&amp;物品!O323&amp;"'")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7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225"/>
  <sheetViews>
    <sheetView workbookViewId="0">
      <selection activeCell="N18" sqref="N18"/>
    </sheetView>
  </sheetViews>
  <sheetFormatPr defaultColWidth="9" defaultRowHeight="13.8"/>
  <cols>
    <col min="1" max="1" width="9" customWidth="1"/>
    <col min="2" max="9" width="9" hidden="1" customWidth="1"/>
    <col min="10" max="10" width="17.6640625" customWidth="1"/>
    <col min="11" max="11" width="91.6640625" hidden="1" customWidth="1"/>
    <col min="12" max="12" width="51" hidden="1" customWidth="1"/>
    <col min="13" max="13" width="37.33203125" customWidth="1"/>
    <col min="14" max="14" width="126.3320312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900</v>
      </c>
      <c r="H1" s="40" t="s">
        <v>901</v>
      </c>
      <c r="I1" s="44" t="s">
        <v>902</v>
      </c>
      <c r="J1" s="45" t="s">
        <v>898</v>
      </c>
      <c r="K1" s="46" t="s">
        <v>130</v>
      </c>
      <c r="L1" s="47" t="s">
        <v>131</v>
      </c>
      <c r="M1" s="48" t="s">
        <v>903</v>
      </c>
      <c r="N1" s="49" t="s">
        <v>904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400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"|n|Cff00ff7f击杀400只怪有50%概率升级|r"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InitEquipData('E105',400,0,0,50,0,'E106',0,0)</v>
      </c>
      <c r="N37" t="str">
        <f t="shared" si="3"/>
        <v>call InitTypeIdStrings('E105',"[饰品]青珑挂珠lv5","ReplaceableTextures\\CommandButtons\\BTNZ06.blp","|n|Cff00ff7f击杀400只怪有50%概率升级|r")</v>
      </c>
    </row>
    <row r="38" spans="1:14">
      <c r="A38" t="str">
        <f>IF(物品!B38="",0,"'"&amp;物品!B38&amp;"'")</f>
        <v>'E106'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InitEquipData('E106',300,0,0,50,0,'E107',0,0)</v>
      </c>
      <c r="N38" t="str">
        <f t="shared" si="3"/>
        <v>call InitTypeIdStrings('E106',"|Cff00FF7F[饰品]紫晶坠子lv1|r","ReplaceableTextures\\CommandButtons\\BTNZ07.blp","|n|Cff00ff7f击杀300只怪有50%概率升级|r")</v>
      </c>
    </row>
    <row r="39" spans="1:14">
      <c r="A39" t="str">
        <f>IF(物品!B39="",0,"'"&amp;物品!B39&amp;"'")</f>
        <v>'E107'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InitEquipData('E107',300,0,0,50,0,'E108',0,0)</v>
      </c>
      <c r="N39" t="str">
        <f t="shared" si="3"/>
        <v>call InitTypeIdStrings('E107',"|Cff00FF7F[饰品]紫晶坠子lv2|r","ReplaceableTextures\\CommandButtons\\BTNZ07.blp","|n|Cff00ff7f击杀300只怪有50%概率升级|r")</v>
      </c>
    </row>
    <row r="40" spans="1:14">
      <c r="A40" t="str">
        <f>IF(物品!B40="",0,"'"&amp;物品!B40&amp;"'")</f>
        <v>'E108'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InitEquipData('E108',300,0,0,50,0,'E109',0,0)</v>
      </c>
      <c r="N40" t="str">
        <f t="shared" si="3"/>
        <v>call InitTypeIdStrings('E108',"|Cff00FF7F[饰品]紫晶坠子lv3|r","ReplaceableTextures\\CommandButtons\\BTNZ07.blp","|n|Cff00ff7f击杀300只怪有50%概率升级|r")</v>
      </c>
    </row>
    <row r="41" spans="1:14">
      <c r="A41" t="str">
        <f>IF(物品!B41="",0,"'"&amp;物品!B41&amp;"'")</f>
        <v>'E109'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InitEquipData('E109',300,0,0,50,0,'E110',0,0)</v>
      </c>
      <c r="N41" t="str">
        <f t="shared" si="3"/>
        <v>call InitTypeIdStrings('E109',"|Cff00FF7F[饰品]紫晶坠子lv4|r","ReplaceableTextures\\CommandButtons\\BTNZ07.blp","|n|Cff00ff7f击杀300只怪有50%概率升级|r")</v>
      </c>
    </row>
    <row r="42" spans="1:14">
      <c r="A42" t="str">
        <f>IF(物品!B42="",0,"'"&amp;物品!B42&amp;"'")</f>
        <v>'E110'</v>
      </c>
      <c r="B42">
        <f>物品!D42</f>
        <v>600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"|n|Cff00ff7f击杀600只怪有50%概率升级|r"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InitEquipData('E110',600,0,0,50,0,'E111',0,0)</v>
      </c>
      <c r="N42" t="str">
        <f t="shared" si="3"/>
        <v>call InitTypeIdStrings('E110',"|Cff00FF7F[饰品]紫晶坠子lv5|r","ReplaceableTextures\\CommandButtons\\BTNZ07.blp","|n|Cff00ff7f击杀600只怪有50%概率升级|r")</v>
      </c>
    </row>
    <row r="43" spans="1:14">
      <c r="A43" t="str">
        <f>IF(物品!B43="",0,"'"&amp;物品!B43&amp;"'")</f>
        <v>'E111'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InitEquipData('E111',400,0,0,50,0,'E112',0,0)</v>
      </c>
      <c r="N43" t="str">
        <f t="shared" si="3"/>
        <v>call InitTypeIdStrings('E111',"|Cff00BFFF[饰品]三才项圈lv1|r","ReplaceableTextures\\CommandButtons\\BTNZ08.blp","|n|Cff00ff7f击杀400只怪有50%概率升级|r")</v>
      </c>
    </row>
    <row r="44" spans="1:14">
      <c r="A44" t="str">
        <f>IF(物品!B44="",0,"'"&amp;物品!B44&amp;"'")</f>
        <v>'E112'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InitEquipData('E112',400,0,0,50,0,'E113',0,0)</v>
      </c>
      <c r="N44" t="str">
        <f t="shared" si="3"/>
        <v>call InitTypeIdStrings('E112',"|Cff00BFFF[饰品]三才项圈lv2|r","ReplaceableTextures\\CommandButtons\\BTNZ08.blp","|n|Cff00ff7f击杀400只怪有50%概率升级|r")</v>
      </c>
    </row>
    <row r="45" spans="1:14">
      <c r="A45" t="str">
        <f>IF(物品!B45="",0,"'"&amp;物品!B45&amp;"'")</f>
        <v>'E113'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InitEquipData('E113',400,0,0,50,0,'E114',0,0)</v>
      </c>
      <c r="N45" t="str">
        <f t="shared" si="3"/>
        <v>call InitTypeIdStrings('E113',"|Cff00BFFF[饰品]三才项圈lv3|r","ReplaceableTextures\\CommandButtons\\BTNZ08.blp","|n|Cff00ff7f击杀400只怪有50%概率升级|r")</v>
      </c>
    </row>
    <row r="46" spans="1:14">
      <c r="A46" t="str">
        <f>IF(物品!B46="",0,"'"&amp;物品!B46&amp;"'")</f>
        <v>'E114'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InitEquipData('E114',400,0,0,50,0,'E115',0,0)</v>
      </c>
      <c r="N46" t="str">
        <f t="shared" si="3"/>
        <v>call InitTypeIdStrings('E114',"|Cff00BFFF[饰品]三才项圈lv4|r","ReplaceableTextures\\CommandButtons\\BTNZ08.blp","|n|Cff00ff7f击杀400只怪有50%概率升级|r")</v>
      </c>
    </row>
    <row r="47" spans="1:14">
      <c r="A47" t="str">
        <f>IF(物品!B47="",0,"'"&amp;物品!B47&amp;"'")</f>
        <v>'E115'</v>
      </c>
      <c r="B47">
        <f>物品!D47</f>
        <v>800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"|n|Cff00ff7f击杀800只怪有50%概率升级|r"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InitEquipData('E115',800,0,0,50,0,'E116',0,0)</v>
      </c>
      <c r="N47" t="str">
        <f t="shared" si="3"/>
        <v>call InitTypeIdStrings('E115',"|Cff00BFFF[饰品]三才项圈lv5|r","ReplaceableTextures\\CommandButtons\\BTNZ08.blp","|n|Cff00ff7f击杀800只怪有50%概率升级|r")</v>
      </c>
    </row>
    <row r="48" spans="1:14">
      <c r="A48" t="str">
        <f>IF(物品!B48="",0,"'"&amp;物品!B48&amp;"'")</f>
        <v>'E116'</v>
      </c>
      <c r="B48">
        <f>物品!D48</f>
        <v>600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"|n|Cff00ff7f击杀600只怪有50%概率升级|r"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InitEquipData('E116',600,0,0,50,0,'E117',0,0)</v>
      </c>
      <c r="N48" t="str">
        <f t="shared" si="3"/>
        <v>call InitTypeIdStrings('E116',"|CffBF00FF[饰品]化龙护符lv1|r","ReplaceableTextures\\CommandButtons\\BTNZ24.blp","|n|Cff00ff7f击杀600只怪有50%概率升级|r")</v>
      </c>
    </row>
    <row r="49" spans="1:14">
      <c r="A49" t="str">
        <f>IF(物品!B49="",0,"'"&amp;物品!B49&amp;"'")</f>
        <v>'E117'</v>
      </c>
      <c r="B49">
        <f>物品!D49</f>
        <v>600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"|n|Cff00ff7f击杀600只怪有50%概率升级|r"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InitEquipData('E117',600,0,0,50,0,'E118',0,0)</v>
      </c>
      <c r="N49" t="str">
        <f t="shared" si="3"/>
        <v>call InitTypeIdStrings('E117',"|CffBF00FF[饰品]化龙护符lv2|r","ReplaceableTextures\\CommandButtons\\BTNZ24.blp","|n|Cff00ff7f击杀600只怪有50%概率升级|r")</v>
      </c>
    </row>
    <row r="50" spans="1:14">
      <c r="A50" t="str">
        <f>IF(物品!B50="",0,"'"&amp;物品!B50&amp;"'")</f>
        <v>'E118'</v>
      </c>
      <c r="B50">
        <f>物品!D50</f>
        <v>600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"|n|Cff00ff7f击杀600只怪有50%概率升级|r"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InitEquipData('E118',600,0,0,50,0,'E119',0,0)</v>
      </c>
      <c r="N50" t="str">
        <f t="shared" si="3"/>
        <v>call InitTypeIdStrings('E118',"|CffBF00FF[饰品]化龙护符lv3|r","ReplaceableTextures\\CommandButtons\\BTNZ24.blp","|n|Cff00ff7f击杀600只怪有50%概率升级|r")</v>
      </c>
    </row>
    <row r="51" spans="1:14">
      <c r="A51" t="str">
        <f>IF(物品!B51="",0,"'"&amp;物品!B51&amp;"'")</f>
        <v>'E119'</v>
      </c>
      <c r="B51">
        <f>物品!D51</f>
        <v>600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"|n|Cff00ff7f击杀600只怪有50%概率升级|r"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InitEquipData('E119',600,0,0,50,0,'E120',0,0)</v>
      </c>
      <c r="N51" t="str">
        <f t="shared" si="3"/>
        <v>call InitTypeIdStrings('E119',"|CffBF00FF[饰品]化龙护符lv4|r","ReplaceableTextures\\CommandButtons\\BTNZ24.blp","|n|Cff00ff7f击杀600只怪有50%概率升级|r")</v>
      </c>
    </row>
    <row r="52" spans="1:14">
      <c r="A52" t="str">
        <f>IF(物品!B52="",0,"'"&amp;物品!B52&amp;"'")</f>
        <v>'E120'</v>
      </c>
      <c r="B52">
        <f>物品!D52</f>
        <v>1200</v>
      </c>
      <c r="C52">
        <f>物品!E52</f>
        <v>0</v>
      </c>
      <c r="D52">
        <f>物品!F52</f>
        <v>0</v>
      </c>
      <c r="E52">
        <f>IF(ISTEXT(物品!G52)=TRUE,"'"&amp;物品!G52&amp;"'",物品!G52)</f>
        <v>50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"|n|Cff00ff7f击杀1200只怪有50%概率升级|r"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InitEquipData('E120',1200,0,0,50,0,'E121',0,0)</v>
      </c>
      <c r="N52" t="str">
        <f t="shared" si="3"/>
        <v>call InitTypeIdStrings('E120',"|CffBF00FF[饰品]化龙护符lv5|r","ReplaceableTextures\\CommandButtons\\BTNZ24.blp","|n|Cff00ff7f击杀1200只怪有50%概率升级|r")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1600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"|n|Cff00ff7f击杀1600只怪有50%概率升级|r"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InitEquipData('E125',1600,0,0,50,0,'E126',0,0)</v>
      </c>
      <c r="N57" t="str">
        <f t="shared" si="3"/>
        <v>call InitTypeIdStrings('E125',"|CffFFC926[饰品]秘魔灵珠lv5|r","ReplaceableTextures\\CommandButtons\\BTNZ09.blp","|n|Cff00ff7f击杀1600只怪有50%概率升级|r")</v>
      </c>
    </row>
    <row r="58" spans="1:14">
      <c r="A58" t="str">
        <f>IF(物品!B58="",0,"'"&amp;物品!B58&amp;"'")</f>
        <v>'E126'</v>
      </c>
      <c r="B58">
        <f>物品!D58</f>
        <v>1000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"|n|Cff00ff7f击杀1000只怪有50%概率升级|r"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InitEquipData('E126',1000,0,0,50,0,'E127',0,0)</v>
      </c>
      <c r="N58" t="str">
        <f t="shared" si="3"/>
        <v>call InitTypeIdStrings('E126',"|CffFF0000[饰品]流光绝影lv1|r","ReplaceableTextures\\CommandButtons\\BTNZ10.blp","|n|Cff00ff7f击杀1000只怪有50%概率升级|r")</v>
      </c>
    </row>
    <row r="59" spans="1:14">
      <c r="A59" t="str">
        <f>IF(物品!B59="",0,"'"&amp;物品!B59&amp;"'")</f>
        <v>'E127'</v>
      </c>
      <c r="B59">
        <f>物品!D59</f>
        <v>1000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"|n|Cff00ff7f击杀1000只怪有50%概率升级|r"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InitEquipData('E127',1000,0,0,50,0,'E128',0,0)</v>
      </c>
      <c r="N59" t="str">
        <f t="shared" si="3"/>
        <v>call InitTypeIdStrings('E127',"|CffFF0000[饰品]流光绝影lv2|r","ReplaceableTextures\\CommandButtons\\BTNZ10.blp","|n|Cff00ff7f击杀1000只怪有50%概率升级|r")</v>
      </c>
    </row>
    <row r="60" spans="1:14">
      <c r="A60" t="str">
        <f>IF(物品!B60="",0,"'"&amp;物品!B60&amp;"'")</f>
        <v>'E128'</v>
      </c>
      <c r="B60">
        <f>物品!D60</f>
        <v>1000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"|n|Cff00ff7f击杀1000只怪有50%概率升级|r"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InitEquipData('E128',1000,0,0,50,0,'E129',0,0)</v>
      </c>
      <c r="N60" t="str">
        <f t="shared" si="3"/>
        <v>call InitTypeIdStrings('E128',"|CffFF0000[饰品]流光绝影lv3|r","ReplaceableTextures\\CommandButtons\\BTNZ10.blp","|n|Cff00ff7f击杀1000只怪有50%概率升级|r")</v>
      </c>
    </row>
    <row r="61" spans="1:14">
      <c r="A61" t="str">
        <f>IF(物品!B61="",0,"'"&amp;物品!B61&amp;"'")</f>
        <v>'E129'</v>
      </c>
      <c r="B61">
        <f>物品!D61</f>
        <v>1000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"|n|Cff00ff7f击杀1000只怪有50%概率升级|r"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InitEquipData('E129',1000,0,0,50,0,'E130',0,0)</v>
      </c>
      <c r="N61" t="str">
        <f t="shared" si="3"/>
        <v>call InitTypeIdStrings('E129',"|CffFF0000[饰品]流光绝影lv4|r","ReplaceableTextures\\CommandButtons\\BTNZ10.blp","|n|Cff00ff7f击杀1000只怪有50%概率升级|r")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"残缺的低级道果【1】"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残缺的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"残缺的中级道果【2】"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残缺的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"|Cff00FF7F残缺的高级道果【3】|r"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残缺的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"|Cff00FF7F残缺的黄级道果【4】|r"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残缺的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"|Cff00BFFF残缺的玄级道果【5】|r"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残缺的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"|Cff00BFFF残缺的地级道果【6】|r"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残缺的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"|CffFFC926残缺的天级道果【7】|r"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残缺的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"|CffFFC926残缺的仙品道果【8】|r"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残缺的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"|CffFF0000残缺的至圣道果【9】|r"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残缺的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"|CffFF0000残缺的混沌道果【10】|r"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残缺的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"Q技能随机卷"</v>
      </c>
      <c r="K123" t="str">
        <f>IF(物品!T123="","""""",""""&amp;物品!T123&amp;"""")</f>
        <v>"随机获得|Cffffd24d1|r个|Cffffd24dQ技能|r"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InitTypeIdStrings('CS01',"Q技能随机卷","ReplaceableTextures\\CommandButtons\\BTN001.blp","随机获得|Cffffd24d1|r个|Cffffd24dQ技能|r")</v>
      </c>
    </row>
    <row r="124" spans="1:14">
      <c r="A124" t="str">
        <f>IF(物品!B124="",0,"'"&amp;物品!B124&amp;"'")</f>
        <v>'I021'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"|Cff00BFFF技能进阶石【完美】|r"</v>
      </c>
      <c r="K124" t="str">
        <f>IF(物品!T124="","""""",""""&amp;物品!T124&amp;"""")</f>
        <v>"|CffFFC926100%概率|r提升指定技能的|Cffffc926品质|r。|n|n|Cffffc926价格：|n|r玄铁x20|n|n|Cff00ff7f只能对A级|r|Cffffc926及以|r|Cff00ff7f下的技能使用。|r"</v>
      </c>
      <c r="L124" t="str">
        <f>IF(物品!U124="",0,""""&amp;物品!U124&amp;"""")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IF(物品!B125="",0,"'"&amp;物品!B125&amp;"'")</f>
        <v>'I022'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"|CffFFD24D品质潜能石【完美】|r"</v>
      </c>
      <c r="K125" t="str">
        <f>IF(物品!T125="","""""",""""&amp;物品!T125&amp;"""")</f>
        <v>"购买需求：灵力x20|n|n使用后为指定技能增加1点品质潜力"</v>
      </c>
      <c r="L125" t="str">
        <f>IF(物品!U125="",0,""""&amp;物品!U125&amp;"""")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IF(物品!B126="",0,"'"&amp;物品!B126&amp;"'")</f>
        <v>'I023'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"|Cff00FF7F技能进阶石【残缺】|r"</v>
      </c>
      <c r="K126" t="str">
        <f>IF(物品!T126="","""""",""""&amp;物品!T126&amp;"""")</f>
        <v>"|CffFFC92650%概率|r提升指定技能的|Cffffc926品质|r。|n|n|Cffffc926价格：|n|r玄铁x10|n|n|Cff00ff7f只能对A级|r|Cffffc926及以|r|Cff00ff7f下的技能使用。|r"</v>
      </c>
      <c r="L126" t="str">
        <f>IF(物品!U126="",0,""""&amp;物品!U126&amp;"""")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IF(物品!B127="",0,"'"&amp;物品!B127&amp;"'")</f>
        <v>'I024'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"|CffFFD24D品质潜能石【】|r"</v>
      </c>
      <c r="K127" t="str">
        <f>IF(物品!T127="","""""",""""&amp;物品!T127&amp;"""")</f>
        <v>""</v>
      </c>
      <c r="L127" t="str">
        <f>IF(物品!U127="",0,""""&amp;物品!U127&amp;"""")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IF(物品!B128="",0,"'"&amp;物品!B128&amp;"'")</f>
        <v>'CS21'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"|Cff00BFFF技能进阶石【完美】|r"</v>
      </c>
      <c r="K128" t="str">
        <f>IF(物品!T128="","""""",""""&amp;物品!T128&amp;"""")</f>
        <v>"|CffFFC926100%概率|r提升指定技能的|Cffffc926品质|r。|n|n|Cff00ff7f只能对|r|Cffffc926A级|r|Cff00ff7f及以下的技能使用。|r"</v>
      </c>
      <c r="L128" t="str">
        <f>IF(物品!U128="",0,""""&amp;物品!U128&amp;"""")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InitTypeIdStrings('CS21',"|Cff00BFFF技能进阶石【完美】|r","ReplaceableTextures\\CommandButtons\\BTNIN05.blp","|CffFFC926100%概率|r提升指定技能的|Cffffc926品质|r。|n|n|Cff00ff7f只能对|r|Cffffc926A级|r|Cff00ff7f及以下的技能使用。|r")</v>
      </c>
    </row>
    <row r="129" spans="1:14">
      <c r="A129" t="str">
        <f>IF(物品!B129="",0,"'"&amp;物品!B129&amp;"'")</f>
        <v>'CS22'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"|CffFF0000技能进化石|r"</v>
      </c>
      <c r="K129" t="str">
        <f>IF(物品!T129="","""""",""""&amp;物品!T129&amp;"""")</f>
        <v>"使指定的|Cffffc926A级|r技能进化为|Cffff0000S级|r。"</v>
      </c>
      <c r="L129" t="str">
        <f>IF(物品!U129="",0,""""&amp;物品!U129&amp;"""")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IF(物品!B130="",0,"'"&amp;物品!B130&amp;"'")</f>
        <v>'CS23'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"|Cff00FF7F技能进阶石【残缺】|r"</v>
      </c>
      <c r="K130" t="str">
        <f>IF(物品!T130="","""""",""""&amp;物品!T130&amp;"""")</f>
        <v>"|CffFFC92650%概率|r提升指定技能的|Cffffc926品质|r。|n|n|Cff00ff7f只能对|r|Cffffc926A级|r|Cff00ff7f及以下的技能使用。|r"</v>
      </c>
      <c r="L130" t="str">
        <f>IF(物品!U130="",0,""""&amp;物品!U130&amp;"""")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InitTypeIdStrings('CS23',"|Cff00FF7F技能进阶石【残缺】|r","ReplaceableTextures\\CommandButtons\\BTNIN06.blp","|CffFFC92650%概率|r提升指定技能的|Cffffc926品质|r。|n|n|Cff00ff7f只能对|r|Cffffc926A级|r|Cff00ff7f及以下的技能使用。|r")</v>
      </c>
    </row>
    <row r="131" spans="1:14">
      <c r="A131" t="str">
        <f>IF(物品!B131="",0,"'"&amp;物品!B131&amp;"'")</f>
        <v>'CS24'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"|CffFFD24D品质潜能石【】|r"</v>
      </c>
      <c r="K131" t="str">
        <f>IF(物品!T131="","""""",""""&amp;物品!T131&amp;"""")</f>
        <v>""</v>
      </c>
      <c r="L131" t="str">
        <f>IF(物品!U131="",0,""""&amp;物品!U131&amp;"""")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IF(物品!B132="",0,"'"&amp;物品!B132&amp;"'")</f>
        <v>'CF01'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"随机法宝"</v>
      </c>
      <c r="K132" t="str">
        <f>IF(物品!T132="","""""",""""&amp;物品!T132&amp;"""")</f>
        <v>"获得一个随机品质的|Cffffc926法宝|r。"</v>
      </c>
      <c r="L132" t="str">
        <f>IF(物品!U132="",0,""""&amp;物品!U132&amp;"""")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IF(物品!B133="",0,"'"&amp;物品!B133&amp;"'")</f>
        <v>'I001'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"蛋黄月饼"</v>
      </c>
      <c r="K133" t="str">
        <f>IF(物品!T133="","""""",""""&amp;物品!T133&amp;"""")</f>
        <v>"回复|Cffffd24d80%|r生命，|Cff00ff7f解除|r异常状态"</v>
      </c>
      <c r="L133" t="str">
        <f>IF(物品!U133="",0,""""&amp;物品!U133&amp;"""")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IF(物品!B134="",0,"'"&amp;物品!B134&amp;"'")</f>
        <v>'I002'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"豆沙月饼"</v>
      </c>
      <c r="K134" t="str">
        <f>IF(物品!T134="","""""",""""&amp;物品!T134&amp;"""")</f>
        <v>"暴击|Cffff0000+10%|n|n|r|Cff00ff7f效果持续15秒。|r"</v>
      </c>
      <c r="L134" t="str">
        <f>IF(物品!U134="",0,""""&amp;物品!U134&amp;"""")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IF(物品!B135="",0,"'"&amp;物品!B135&amp;"'")</f>
        <v>'I003'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"冰皮月饼"</v>
      </c>
      <c r="K135" t="str">
        <f>IF(物品!T135="","""""",""""&amp;物品!T135&amp;"""")</f>
        <v>"攻击速度|Cffffd24d+40%|r。|n|n|Cff00ff7f持续15秒。|r"</v>
      </c>
      <c r="L135" t="str">
        <f>IF(物品!U135="",0,""""&amp;物品!U135&amp;"""")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IF(物品!B136="",0,"'"&amp;物品!B136&amp;"'")</f>
        <v>'I004'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"果蔬月饼"</v>
      </c>
      <c r="K136" t="str">
        <f>IF(物品!T136="","""""",""""&amp;物品!T136&amp;"""")</f>
        <v>"技能伤害提高|Cffffd24d20%|r|Cfff0f0f0。|n|n|r|Cff00ff7f持续15秒。|r"</v>
      </c>
      <c r="L136" t="str">
        <f>IF(物品!U136="",0,""""&amp;物品!U136&amp;"""")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IF(物品!B137="",0,"'"&amp;物品!B137&amp;"'")</f>
        <v>'I005'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"鲜肉月饼"</v>
      </c>
      <c r="K137" t="str">
        <f>IF(物品!T137="","""""",""""&amp;物品!T137&amp;"""")</f>
        <v>"攻击伤害提高|Cffffd24d20%|r。|n|n|Cff00ff7f持续15秒。|r"</v>
      </c>
      <c r="L137" t="str">
        <f>IF(物品!U137="",0,""""&amp;物品!U137&amp;"""")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IF(物品!B138="",0,"'"&amp;物品!B138&amp;"'")</f>
        <v>'I010'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"招魂幡Lv0"</v>
      </c>
      <c r="K138" t="str">
        <f>IF(物品!T138="","""""",""""&amp;物品!T138&amp;"""")</f>
        <v>"击杀|Cff00ff7f300个|r敌人后奖励：|n金币|Cffffc926+3000~6000|r|n|n|Cff00ff7f同时只能携带一个招魂幡|r"</v>
      </c>
      <c r="L138" t="str">
        <f>IF(物品!U138="",0,""""&amp;物品!U138&amp;"""")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IF(物品!B139="",0,"'"&amp;物品!B139&amp;"'")</f>
        <v>'I011'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"招魂幡Lv1"</v>
      </c>
      <c r="K139" t="str">
        <f>IF(物品!T139="","""""",""""&amp;物品!T139&amp;"""")</f>
        <v>"击杀|Cff00ff7f1000|r个敌人后奖励：|n金币|Cffffc926+7000~12000|r|n经验|Cffffc926+1000|r|n|n|Cff00ff7f同时只能携带一个招魂幡|r"</v>
      </c>
      <c r="L139" t="str">
        <f>IF(物品!U139="",0,""""&amp;物品!U139&amp;"""")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IF(物品!B140="",0,"'"&amp;物品!B140&amp;"'")</f>
        <v>'I012'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"|Cff00FF7F招魂幡Lv2|r"</v>
      </c>
      <c r="K140" t="str">
        <f>IF(物品!T140="","""""",""""&amp;物品!T140&amp;"""")</f>
        <v>"金币加成|Cffffc926+5%|r|n|n击杀|Cff00ff7f1000个|r敌人后奖励：|n金币|Cffffc926+8000~13000|r|n经验|Cffffc926+2000|r|n|n|Cff00ff7f同时只能携带一个招魂幡|r"</v>
      </c>
      <c r="L140" t="str">
        <f>IF(物品!U140="",0,""""&amp;物品!U140&amp;"""")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IF(物品!B141="",0,"'"&amp;物品!B141&amp;"'")</f>
        <v>'I013'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"|Cff00BFFF招魂幡Lv3|r"</v>
      </c>
      <c r="K141" t="str">
        <f>IF(物品!T141="","""""",""""&amp;物品!T141&amp;"""")</f>
        <v>"金币加成|Cffffc926+10%|r|n|n击杀|Cff00ff7f1000个|r敌人后奖励：|n金币|Cffffc926+9000~14000|r|n经验|Cffffc926+4000|r|n|n|Cff00ff7f同时只能携带一个招魂幡|r"</v>
      </c>
      <c r="L141" t="str">
        <f>IF(物品!U141="",0,""""&amp;物品!U141&amp;"""")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IF(物品!B142="",0,"'"&amp;物品!B142&amp;"'")</f>
        <v>'I014'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"|CffFFD24D招魂幡Lv4|r"</v>
      </c>
      <c r="K142" t="str">
        <f>IF(物品!T142="","""""",""""&amp;物品!T142&amp;"""")</f>
        <v>"金币加成|Cffffc926+20%|r|n|n击杀|Cff00ff7f1000个|r敌人后奖励：|n金币|Cffffc926+10000~15000|r|n经验|Cffffc926+7000|r|n|n|Cff00ff7f同时只能携带一个招魂幡|r"</v>
      </c>
      <c r="L142" t="str">
        <f>IF(物品!U142="",0,""""&amp;物品!U142&amp;"""")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IF(物品!B143="",0,"'"&amp;物品!B143&amp;"'")</f>
        <v>'I015'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"|CffFF0000招魂幡Lv5|r"</v>
      </c>
      <c r="K143" t="str">
        <f>IF(物品!T143="","""""",""""&amp;物品!T143&amp;"""")</f>
        <v>"金币加成|Cffffc926+30%|r|n|n击杀|Cff00ff7f1000个|r敌人后奖励：|n金币|Cffffc926+12000~17000|r|n经验|Cffffc926+10000|r|n|n|Cff00ff7f同时只能携带一个招魂幡|r"</v>
      </c>
      <c r="L143" t="str">
        <f>IF(物品!U143="",0,""""&amp;物品!U143&amp;"""")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IF(物品!B144="",0,"'"&amp;物品!B144&amp;"'")</f>
        <v>'IN00'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"|CffFFD24D锦囊|r"</v>
      </c>
      <c r="K144" t="str">
        <f>IF(物品!T144="","""""",""""&amp;物品!T144&amp;"""")</f>
        <v>"开启后获得一个|Cffffc926随机锦囊|r。"</v>
      </c>
      <c r="L144" t="str">
        <f>IF(物品!U144="",0,""""&amp;物品!U144&amp;"""")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IF(物品!B145="",0,"'"&amp;物品!B145&amp;"'")</f>
        <v>'IN07'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"|Cff00BFFF来份快餐|r"</v>
      </c>
      <c r="K145" t="str">
        <f>IF(物品!T145="","""""",""""&amp;物品!T145&amp;"""")</f>
        <v>"每秒回复|Cffffc92610%|r生命值，持续|Cffffc92610|r秒"</v>
      </c>
      <c r="L145" t="str">
        <f>IF(物品!U145="",0,""""&amp;物品!U145&amp;"""")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IF(物品!B146="",0,"'"&amp;物品!B146&amp;"'")</f>
        <v>'IN08'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"|CffFF0000抬你一手|r"</v>
      </c>
      <c r="K146" t="str">
        <f>IF(物品!T146="","""""",""""&amp;物品!T146&amp;"""")</f>
        <v>"|CffFFC926击杀|r当前存在的|Cffffc926进攻怪|r和|Cffffc926Boss|r。|n|n|Cff00ff7f无法在大决战时使用|r"</v>
      </c>
      <c r="L146" t="str">
        <f>IF(物品!U146="",0,""""&amp;物品!U146&amp;"""")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IF(物品!B147="",0,"'"&amp;物品!B147&amp;"'")</f>
        <v>'IN09'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"|CffFFC926死者苏生|r"</v>
      </c>
      <c r="K147" t="str">
        <f>IF(物品!T147="","""""",""""&amp;物品!T147&amp;"""")</f>
        <v>"死亡时复活。"</v>
      </c>
      <c r="L147" t="str">
        <f>IF(物品!U147="",0,""""&amp;物品!U147&amp;"""")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IF(物品!B148="",0,"'"&amp;物品!B148&amp;"'")</f>
        <v>'IN10'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"|Cff00BFFF福娃这么可爱..|r"</v>
      </c>
      <c r="K148" t="str">
        <f>IF(物品!T148="","""""",""""&amp;物品!T148&amp;"""")</f>
        <v>"点金一个|Cffffc926练功房福娃|r，获得|Cffffc926300|r倍金币奖励"</v>
      </c>
      <c r="L148" t="str">
        <f>IF(物品!U148="",0,""""&amp;物品!U148&amp;"""")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IF(物品!B149="",0,"'"&amp;物品!B149&amp;"'")</f>
        <v>'IN11'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"|CffFFC926奥里给Lo他|r"</v>
      </c>
      <c r="K149" t="str">
        <f>IF(物品!T149="","""""",""""&amp;物品!T149&amp;"""")</f>
        <v>"|CffFFC92610秒|r内提高|Cffffc926100%|r攻击伤害"</v>
      </c>
      <c r="L149" t="str">
        <f>IF(物品!U149="",0,""""&amp;物品!U149&amp;"""")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IF(物品!B150="",0,"'"&amp;物品!B150&amp;"'")</f>
        <v>'IN12'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"|CffFF0000以逸待劳|r"</v>
      </c>
      <c r="K150" t="str">
        <f>IF(物品!T150="","""""",""""&amp;物品!T150&amp;"""")</f>
        <v>"在|Cffffc926基地-周文王|r附近召唤|Cffffc9261|r个|Cffffc926黑市商店|r，仅存在|Cffffc92630|r秒。"</v>
      </c>
      <c r="L150" t="str">
        <f>IF(物品!U150="",0,""""&amp;物品!U150&amp;"""")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IF(物品!B151="",0,"'"&amp;物品!B151&amp;"'")</f>
        <v>'IN13'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"|CffFF0000全军出击|r"</v>
      </c>
      <c r="K151" t="str">
        <f>IF(物品!T151="","""""",""""&amp;物品!T151&amp;"""")</f>
        <v>"场上存活的队友|Cffffc92615|r秒内提高|Cffffc92650%|r技能伤害"</v>
      </c>
      <c r="L151" t="str">
        <f>IF(物品!U151="",0,""""&amp;物品!U151&amp;"""")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IF(物品!B152="",0,"'"&amp;物品!B152&amp;"'")</f>
        <v>'IN14'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"|CffFFC926心跳时刻|r"</v>
      </c>
      <c r="K152" t="str">
        <f>IF(物品!T152="","""""",""""&amp;物品!T152&amp;"""")</f>
        <v>"使用后基地无敌|Cffffc92610|r秒。"</v>
      </c>
      <c r="L152" t="str">
        <f>IF(物品!U152="",0,""""&amp;物品!U152&amp;"""")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IF(物品!B153="",0,"'"&amp;物品!B153&amp;"'")</f>
        <v>'IN15'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"|CffFFC926据守|r"</v>
      </c>
      <c r="K153" t="str">
        <f>IF(物品!T153="","""""",""""&amp;物品!T153&amp;"""")</f>
        <v>"场上存活的队友|Cffffc92615|r秒内减少|Cffffc92620%|r承受伤害"</v>
      </c>
      <c r="L153" t="str">
        <f>IF(物品!U153="",0,""""&amp;物品!U153&amp;"""")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IF(物品!B154="",0,"'"&amp;物品!B154&amp;"'")</f>
        <v>'IN16'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"赌输可退"</v>
      </c>
      <c r="K154" t="str">
        <f>IF(物品!T154="","""""",""""&amp;物品!T154&amp;"""")</f>
        <v>"使|Cffffd24d1|r个|Cffffd24d道果品质|r提高|Cffffd24d-1~+2|r。|n|n|Cff00ff7f只能对天级【7】或以下的道果使用|r"</v>
      </c>
      <c r="L154" t="str">
        <f>IF(物品!U154="",0,""""&amp;物品!U154&amp;"""")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IF(物品!B155="",0,"'"&amp;物品!B155&amp;"'")</f>
        <v>'IN17'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"|Cff00BFFF来点玄铁|r"</v>
      </c>
      <c r="K155" t="str">
        <f>IF(物品!T155="","""""",""""&amp;物品!T155&amp;"""")</f>
        <v>"玄铁|Cffffc926+5~20|r"</v>
      </c>
      <c r="L155" t="str">
        <f>IF(物品!U155="",0,""""&amp;物品!U155&amp;"""")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IF(物品!B156="",0,"'"&amp;物品!B156&amp;"'")</f>
        <v>'IN18'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"|CffFFC926恭喜发财|r"</v>
      </c>
      <c r="K156" t="str">
        <f>IF(物品!T156="","""""",""""&amp;物品!T156&amp;"""")</f>
        <v>"|CffFFC92630|r秒内金币加成|Cffffc926+50%|r"</v>
      </c>
      <c r="L156" t="str">
        <f>IF(物品!U156="",0,""""&amp;物品!U156&amp;"""")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IF(物品!B157="",0,"'"&amp;物品!B157&amp;"'")</f>
        <v>'IN19'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"附魔宝箱"</v>
      </c>
      <c r="K157" t="str">
        <f>IF(物品!T157="","""""",""""&amp;物品!T157&amp;"""")</f>
        <v>"使用后获得|Cffffc926随机类型技能附魔石|r"</v>
      </c>
      <c r="L157" t="str">
        <f>IF(物品!U157="",0,""""&amp;物品!U157&amp;"""")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IF(物品!B158="",0,"'"&amp;物品!B158&amp;"'")</f>
        <v>'IN20'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"|CffFFC926鼠年大吉|r"</v>
      </c>
      <c r="K158" t="str">
        <f>IF(物品!T158="","""""",""""&amp;物品!T158&amp;"""")</f>
        <v>"|CffFFC92630|r秒内杀敌金币|Cffffc926+25|r"</v>
      </c>
      <c r="L158" t="str">
        <f>IF(物品!U158="",0,""""&amp;物品!U158&amp;"""")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IF(物品!B159="",0,"'"&amp;物品!B159&amp;"'")</f>
        <v>'IN21'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"|Cff00FF7F小金库|r"</v>
      </c>
      <c r="K159" t="str">
        <f>IF(物品!T159="","""""",""""&amp;物品!T159&amp;"""")</f>
        <v>"金币|Cffffc926+888~8888|r"</v>
      </c>
      <c r="L159" t="str">
        <f>IF(物品!U159="",0,""""&amp;物品!U159&amp;"""")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IF(物品!B160="",0,"'"&amp;物品!B160&amp;"'")</f>
        <v>'IN22'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"|Cff00BFFF小银行|r"</v>
      </c>
      <c r="K160" t="str">
        <f>IF(物品!T160="","""""",""""&amp;物品!T160&amp;"""")</f>
        <v>"金币|Cffffc926+2888~18888|r"</v>
      </c>
      <c r="L160" t="str">
        <f>IF(物品!U160="",0,""""&amp;物品!U160&amp;"""")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IF(物品!B161="",0,"'"&amp;物品!B161&amp;"'")</f>
        <v>'IN23'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"|CffFFC926大金矿|r"</v>
      </c>
      <c r="K161" t="str">
        <f>IF(物品!T161="","""""",""""&amp;物品!T161&amp;"""")</f>
        <v>"金币|Cffffc926+8888~88888|r"</v>
      </c>
      <c r="L161" t="str">
        <f>IF(物品!U161="",0,""""&amp;物品!U161&amp;"""")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IF(物品!B162="",0,"'"&amp;物品!B162&amp;"'")</f>
        <v>'IN24'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"|Cff00FF7F培元丹|r"</v>
      </c>
      <c r="K162" t="str">
        <f>IF(物品!T162="","""""",""""&amp;物品!T162&amp;"""")</f>
        <v>"攻击|Cffffc926+1000|r"</v>
      </c>
      <c r="L162" t="str">
        <f>IF(物品!U162="",0,""""&amp;物品!U162&amp;"""")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IF(物品!B163="",0,"'"&amp;物品!B163&amp;"'")</f>
        <v>'IN25'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"|Cff00BFFF入门道果箱|r"</v>
      </c>
      <c r="K163" t="str">
        <f>IF(物品!T163="","""""",""""&amp;物品!T163&amp;"""")</f>
        <v>"打开后有几率获得以下奖励：|n【随机品质】中级道果|n|Cff00ff7f【随机品质】高级道果|r"</v>
      </c>
      <c r="L163" t="str">
        <f>IF(物品!U163="",0,""""&amp;物品!U163&amp;"""")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IF(物品!B164="",0,"'"&amp;物品!B164&amp;"'")</f>
        <v>'IN26'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"|CffFFD24D后天道果箱|r"</v>
      </c>
      <c r="K164" t="str">
        <f>IF(物品!T164="","""""",""""&amp;物品!T164&amp;"""")</f>
        <v>"打开后有几率获得以下奖励：|n|Cff00ff7f【随机品质】黄级道果|r|n|Cff00bfff【随机品质】玄级道果|n【随机品质】地级道果|r"</v>
      </c>
      <c r="L164" t="str">
        <f>IF(物品!U164="",0,""""&amp;物品!U164&amp;"""")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IF(物品!B165="",0,"'"&amp;物品!B165&amp;"'")</f>
        <v>'IN27'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"|CffFF0000先天道果箱|r"</v>
      </c>
      <c r="K165" t="str">
        <f>IF(物品!T165="","""""",""""&amp;物品!T165&amp;"""")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IF(物品!U165="",0,""""&amp;物品!U165&amp;"""")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IF(物品!B166="",0,"'"&amp;物品!B166&amp;"'")</f>
        <v>'IN28'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"|CffFFD24D技能宝箱|r"</v>
      </c>
      <c r="K166" t="str">
        <f>IF(物品!T166="","""""",""""&amp;物品!T166&amp;"""")</f>
        <v>"使用后获得|Cffffc926随机类型技能升阶石|r"</v>
      </c>
      <c r="L166" t="str">
        <f>IF(物品!U166="",0,""""&amp;物品!U166&amp;"""")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IF(物品!B167="",0,"'"&amp;物品!B167&amp;"'")</f>
        <v>'IN29'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"|CffFFD24D附魔宝箱|r"</v>
      </c>
      <c r="K167" t="str">
        <f>IF(物品!T167="","""""",""""&amp;物品!T167&amp;"""")</f>
        <v>"使用后获得|Cffffc926随机类型技能附魔石|r"</v>
      </c>
      <c r="L167" t="str">
        <f>IF(物品!U167="",0,""""&amp;物品!U167&amp;"""")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IF(物品!B168="",0,"'"&amp;物品!B168&amp;"'")</f>
        <v>'IN30'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"|Cff00FF7F幸运星盒|r"</v>
      </c>
      <c r="K168" t="str">
        <f>IF(物品!T168="","""""",""""&amp;物品!T168&amp;"""")</f>
        <v>"开启后获得|Cff00bfff随机奖励|r。"</v>
      </c>
      <c r="L168" t="str">
        <f>IF(物品!U168="",0,""""&amp;物品!U168&amp;"""")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IF(物品!B169="",0,"'"&amp;物品!B169&amp;"'")</f>
        <v>'IN31'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"|CffFFD24D炽星魔盒|r"</v>
      </c>
      <c r="K169" t="str">
        <f>IF(物品!T169="","""""",""""&amp;物品!T169&amp;"""")</f>
        <v>"开启后获得|Cffffd24d随机奖励|r。"</v>
      </c>
      <c r="L169" t="str">
        <f>IF(物品!U169="",0,""""&amp;物品!U169&amp;"""")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IF(物品!B170="",0,"'"&amp;物品!B170&amp;"'")</f>
        <v>'IN32'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"|CffFFD24D技能宝箱|r"</v>
      </c>
      <c r="K170" t="str">
        <f>IF(物品!T170="","""""",""""&amp;物品!T170&amp;"""")</f>
        <v>"使用后获得|Cffffc926随机类型技能升阶石|r"</v>
      </c>
      <c r="L170" t="str">
        <f>IF(物品!U170="",0,""""&amp;物品!U170&amp;"""")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IF(物品!B171="",0,"'"&amp;物品!B171&amp;"'")</f>
        <v>'IN33'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"|Cff00BFFF血莲丹|r"</v>
      </c>
      <c r="K171" t="str">
        <f>IF(物品!T171="","""""",""""&amp;物品!T171&amp;"""")</f>
        <v>"攻击|Cffffc926+2500|r"</v>
      </c>
      <c r="L171" t="str">
        <f>IF(物品!U171="",0,""""&amp;物品!U171&amp;"""")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IF(物品!B172="",0,"'"&amp;物品!B172&amp;"'")</f>
        <v>'IN34'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"|CffFFC926天魂融血丹|r"</v>
      </c>
      <c r="K172" t="str">
        <f>IF(物品!T172="","""""",""""&amp;物品!T172&amp;"""")</f>
        <v>"攻击|Cffffc926+10000|r"</v>
      </c>
      <c r="L172" t="str">
        <f>IF(物品!U172="",0,""""&amp;物品!U172&amp;"""")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IF(物品!B173="",0,"'"&amp;物品!B173&amp;"'")</f>
        <v>'IN35'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"|Cff00FF7F聚灵丹|r"</v>
      </c>
      <c r="K173" t="str">
        <f>IF(物品!T173="","""""",""""&amp;物品!T173&amp;"""")</f>
        <v>"业力|Cffffc926+1000|r"</v>
      </c>
      <c r="L173" t="str">
        <f>IF(物品!U173="",0,""""&amp;物品!U173&amp;"""")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IF(物品!B174="",0,"'"&amp;物品!B174&amp;"'")</f>
        <v>'IN36'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"|Cff00BFFF地灵丹|r"</v>
      </c>
      <c r="K174" t="str">
        <f>IF(物品!T174="","""""",""""&amp;物品!T174&amp;"""")</f>
        <v>"业力|Cffffc926+2500|r"</v>
      </c>
      <c r="L174" t="str">
        <f>IF(物品!U174="",0,""""&amp;物品!U174&amp;"""")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IF(物品!B175="",0,"'"&amp;物品!B175&amp;"'")</f>
        <v>'IN37'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"|CffFFC926三纹清灵丹|r"</v>
      </c>
      <c r="K175" t="str">
        <f>IF(物品!T175="","""""",""""&amp;物品!T175&amp;"""")</f>
        <v>"业力|Cffffc926+10000|r"</v>
      </c>
      <c r="L175" t="str">
        <f>IF(物品!U175="",0,""""&amp;物品!U175&amp;"""")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IF(物品!B176="",0,"'"&amp;物品!B176&amp;"'")</f>
        <v>'IN38'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"|Cff00FF7F血气丹|r"</v>
      </c>
      <c r="K176" t="str">
        <f>IF(物品!T176="","""""",""""&amp;物品!T176&amp;"""")</f>
        <v>"生命|Cffffc926+20000|r"</v>
      </c>
      <c r="L176" t="str">
        <f>IF(物品!U176="",0,""""&amp;物品!U176&amp;"""")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IF(物品!B177="",0,"'"&amp;物品!B177&amp;"'")</f>
        <v>'IN39'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"|Cff00BFFF洗髓丹|r"</v>
      </c>
      <c r="K177" t="str">
        <f>IF(物品!T177="","""""",""""&amp;物品!T177&amp;"""")</f>
        <v>"生命|Cffffc926+50000|r"</v>
      </c>
      <c r="L177" t="str">
        <f>IF(物品!U177="",0,""""&amp;物品!U177&amp;"""")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IF(物品!B178="",0,"'"&amp;物品!B178&amp;"'")</f>
        <v>'IN40'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"|CffFFC926七命玄门丹|r"</v>
      </c>
      <c r="K178" t="str">
        <f>IF(物品!T178="","""""",""""&amp;物品!T178&amp;"""")</f>
        <v>"生命|Cffffc926+200000|r"</v>
      </c>
      <c r="L178" t="str">
        <f>IF(物品!U178="",0,""""&amp;物品!U178&amp;"""")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IF(物品!B179="",0,"'"&amp;物品!B179&amp;"'")</f>
        <v>'IP01'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"|CffFF0000时渊入场券|r"</v>
      </c>
      <c r="K179" t="str">
        <f>IF(物品!T179="","""""",""""&amp;物品!T179&amp;"""")</f>
        <v>"每次|Cffffd24d完成|r时渊副本将消耗|Cffffd24d1|r个|Cffffd24d时渊入场券|r"</v>
      </c>
      <c r="L179" t="str">
        <f>IF(物品!U179="",0,""""&amp;物品!U179&amp;"""")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IF(物品!B180="",0,"'"&amp;物品!B180&amp;"'")</f>
        <v>'IP02'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"|CffFFD24D补天石|r"</v>
      </c>
      <c r="K180" t="str">
        <f>IF(物品!T180="","""""",""""&amp;物品!T180&amp;"""")</f>
        <v>"点击|Cffffc926选中指定法宝|r后，再点击|Cffffc926重铸|r，可|Cffffc926重置|r指定法宝，|Cffffc926品质不变|r。|n|n|Cff00ff7f每次重铸消耗1个补天石|r"</v>
      </c>
      <c r="L180" t="str">
        <f>IF(物品!U180="",0,""""&amp;物品!U180&amp;"""")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181" spans="1:14">
      <c r="A181" t="str">
        <f>IF(物品!B181="",0,"'"&amp;物品!B181&amp;"'")</f>
        <v>'IP03'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"|CffFF0000鸿蒙结晶|r"</v>
      </c>
      <c r="K181" t="str">
        <f>IF(物品!T181="","""""",""""&amp;物品!T181&amp;"""")</f>
        <v>"点击|Cffffc926选中指定法宝|r后，再点击|Cffffc926锻造|r，可|Cffffc926重置|r指定法宝，|Cffffc926品质提升一级|r。|n|n|Cff00ff7f每次重铸消耗1个鸿蒙结晶|r"</v>
      </c>
      <c r="L181" t="str">
        <f>IF(物品!U181="",0,""""&amp;物品!U181&amp;"""")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182" spans="1:14">
      <c r="A182" t="str">
        <f>IF(物品!B182="",0,"'"&amp;物品!B182&amp;"'")</f>
        <v>'IP04'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"|CffFF0000神兽洗灵石|r"</v>
      </c>
      <c r="K182" t="str">
        <f>IF(物品!T182="","""""",""""&amp;物品!T182&amp;"""")</f>
        <v>"使用后|Cffffc926重置|r当前|Cffff0000觉醒神通【R】|r|Cfff0f0f0。|r"</v>
      </c>
      <c r="L182" t="str">
        <f>IF(物品!U182="",0,""""&amp;物品!U182&amp;"""")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IF(物品!B183="",0,"'"&amp;物品!B183&amp;"'")</f>
        <v>'IP05'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"|CffFF0000虚空圣战卡|r"</v>
      </c>
      <c r="K183" t="str">
        <f>IF(物品!T183="","""""",""""&amp;物品!T183&amp;"""")</f>
        <v>"开启|Cffffc926结界|r，前往虚空终止|Cffff0000封神圣战|r。"</v>
      </c>
      <c r="L183" t="str">
        <f>IF(物品!U183="",0,""""&amp;物品!U183&amp;"""")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IF(物品!B184="",0,"'"&amp;物品!B184&amp;"'")</f>
        <v>'IP06'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"|Cff00FF7F大补丸|r"</v>
      </c>
      <c r="K184" t="str">
        <f>IF(物品!T184="","""""",""""&amp;物品!T184&amp;"""")</f>
        <v>"使用后增加|Cffffd24d100点|r境界经验。"</v>
      </c>
      <c r="L184" t="str">
        <f>IF(物品!U184="",0,""""&amp;物品!U184&amp;"""")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IF(物品!B185="",0,"'"&amp;物品!B185&amp;"'")</f>
        <v>'IP07'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"|Cff00FF7F抽奖抵用券|r"</v>
      </c>
      <c r="K185" t="str">
        <f>IF(物品!T185="","""""",""""&amp;物品!T185&amp;"""")</f>
        <v>"可抵扣|Cffffd24d1|r次抽奖消耗"</v>
      </c>
      <c r="L185" t="str">
        <f>IF(物品!U185="",0,""""&amp;物品!U185&amp;"""")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IF(物品!B186="",0,"'"&amp;物品!B186&amp;"'")</f>
        <v>'IP08'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"|Cff00FF7F超级大补丸|r"</v>
      </c>
      <c r="K186" t="str">
        <f>IF(物品!T186="","""""",""""&amp;物品!T186&amp;"""")</f>
        <v>"使用后增加|Cffffd24d300点|r境界经验。"</v>
      </c>
      <c r="L186" t="str">
        <f>IF(物品!U186="",0,""""&amp;物品!U186&amp;"""")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IF(物品!B327="",0,"'"&amp;物品!B327&amp;"'")</f>
        <v>0</v>
      </c>
      <c r="B187">
        <f>物品!D232</f>
        <v>0</v>
      </c>
      <c r="C187">
        <f>物品!E327</f>
        <v>0</v>
      </c>
      <c r="D187">
        <f>物品!F327</f>
        <v>0</v>
      </c>
      <c r="E187">
        <f>IF(ISTEXT(物品!G318)=TRUE,"'"&amp;物品!G318&amp;"'",物品!G318)</f>
        <v>0</v>
      </c>
      <c r="F187">
        <f>IF(ISTEXT(物品!H318)=TRUE,"'"&amp;物品!H318&amp;"'",物品!H318)</f>
        <v>0</v>
      </c>
      <c r="G187">
        <f>IF(物品!I327="",0,"'"&amp;物品!I327&amp;"'")</f>
        <v>0</v>
      </c>
      <c r="H187">
        <f>IF(物品!R318="",0,物品!R318)</f>
        <v>0</v>
      </c>
      <c r="I187">
        <f>IF(物品!S318="",0,物品!S318)</f>
        <v>0</v>
      </c>
      <c r="J187">
        <f>IF(物品!C327="",0,""""&amp;物品!C327&amp;"""")</f>
        <v>0</v>
      </c>
      <c r="K187" t="str">
        <f>IF(物品!T327="","""""",""""&amp;物品!T327&amp;"""")</f>
        <v>""</v>
      </c>
      <c r="L187">
        <f>IF(物品!U327="",0,""""&amp;物品!U327&amp;"""")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IF(物品!B328="",0,"'"&amp;物品!B328&amp;"'")</f>
        <v>0</v>
      </c>
      <c r="B188">
        <f>物品!D233</f>
        <v>0</v>
      </c>
      <c r="C188">
        <f>物品!E328</f>
        <v>0</v>
      </c>
      <c r="D188">
        <f>物品!F328</f>
        <v>0</v>
      </c>
      <c r="E188">
        <f>IF(ISTEXT(物品!G319)=TRUE,"'"&amp;物品!G319&amp;"'",物品!G319)</f>
        <v>0</v>
      </c>
      <c r="F188">
        <f>IF(ISTEXT(物品!H319)=TRUE,"'"&amp;物品!H319&amp;"'",物品!H319)</f>
        <v>0</v>
      </c>
      <c r="G188">
        <f>IF(物品!I328="",0,"'"&amp;物品!I328&amp;"'")</f>
        <v>0</v>
      </c>
      <c r="H188">
        <f>IF(物品!R319="",0,物品!R319)</f>
        <v>0</v>
      </c>
      <c r="I188">
        <f>IF(物品!S319="",0,物品!S319)</f>
        <v>0</v>
      </c>
      <c r="J188">
        <f>IF(物品!C328="",0,""""&amp;物品!C328&amp;"""")</f>
        <v>0</v>
      </c>
      <c r="K188" t="str">
        <f>IF(物品!T328="","""""",""""&amp;物品!T328&amp;"""")</f>
        <v>""</v>
      </c>
      <c r="L188">
        <f>IF(物品!U328="",0,""""&amp;物品!U328&amp;"""")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IF(物品!B329="",0,"'"&amp;物品!B329&amp;"'")</f>
        <v>0</v>
      </c>
      <c r="B189">
        <f>物品!D234</f>
        <v>0</v>
      </c>
      <c r="C189">
        <f>物品!E329</f>
        <v>0</v>
      </c>
      <c r="D189">
        <f>物品!F329</f>
        <v>0</v>
      </c>
      <c r="E189">
        <f>IF(ISTEXT(物品!G320)=TRUE,"'"&amp;物品!G320&amp;"'",物品!G320)</f>
        <v>0</v>
      </c>
      <c r="F189">
        <f>IF(ISTEXT(物品!H320)=TRUE,"'"&amp;物品!H320&amp;"'",物品!H320)</f>
        <v>0</v>
      </c>
      <c r="G189">
        <f>IF(物品!I329="",0,"'"&amp;物品!I329&amp;"'")</f>
        <v>0</v>
      </c>
      <c r="H189">
        <f>IF(物品!R320="",0,物品!R320)</f>
        <v>0</v>
      </c>
      <c r="I189">
        <f>IF(物品!S320="",0,物品!S320)</f>
        <v>0</v>
      </c>
      <c r="J189">
        <f>IF(物品!C329="",0,""""&amp;物品!C329&amp;"""")</f>
        <v>0</v>
      </c>
      <c r="K189" t="str">
        <f>IF(物品!T329="","""""",""""&amp;物品!T329&amp;"""")</f>
        <v>""</v>
      </c>
      <c r="L189">
        <f>IF(物品!U329="",0,""""&amp;物品!U329&amp;"""")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IF(物品!B330="",0,"'"&amp;物品!B330&amp;"'")</f>
        <v>0</v>
      </c>
      <c r="B190">
        <f>物品!D235</f>
        <v>0</v>
      </c>
      <c r="C190">
        <f>物品!E330</f>
        <v>0</v>
      </c>
      <c r="D190">
        <f>物品!F330</f>
        <v>0</v>
      </c>
      <c r="E190">
        <f>IF(ISTEXT(物品!G321)=TRUE,"'"&amp;物品!G321&amp;"'",物品!G321)</f>
        <v>0</v>
      </c>
      <c r="F190">
        <f>IF(ISTEXT(物品!H321)=TRUE,"'"&amp;物品!H321&amp;"'",物品!H321)</f>
        <v>0</v>
      </c>
      <c r="G190">
        <f>IF(物品!I330="",0,"'"&amp;物品!I330&amp;"'")</f>
        <v>0</v>
      </c>
      <c r="H190">
        <f>IF(物品!R321="",0,物品!R321)</f>
        <v>0</v>
      </c>
      <c r="I190">
        <f>IF(物品!S321="",0,物品!S321)</f>
        <v>0</v>
      </c>
      <c r="J190">
        <f>IF(物品!C330="",0,""""&amp;物品!C330&amp;"""")</f>
        <v>0</v>
      </c>
      <c r="K190" t="str">
        <f>IF(物品!T330="","""""",""""&amp;物品!T330&amp;"""")</f>
        <v>""</v>
      </c>
      <c r="L190">
        <f>IF(物品!U330="",0,""""&amp;物品!U330&amp;"""")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IF(物品!B331="",0,"'"&amp;物品!B331&amp;"'")</f>
        <v>0</v>
      </c>
      <c r="B191">
        <f>物品!D236</f>
        <v>0</v>
      </c>
      <c r="C191">
        <f>物品!E331</f>
        <v>0</v>
      </c>
      <c r="D191">
        <f>物品!F331</f>
        <v>0</v>
      </c>
      <c r="E191">
        <f>IF(ISTEXT(物品!G322)=TRUE,"'"&amp;物品!G322&amp;"'",物品!G322)</f>
        <v>0</v>
      </c>
      <c r="F191">
        <f>IF(ISTEXT(物品!H322)=TRUE,"'"&amp;物品!H322&amp;"'",物品!H322)</f>
        <v>0</v>
      </c>
      <c r="G191">
        <f>IF(物品!I331="",0,"'"&amp;物品!I331&amp;"'")</f>
        <v>0</v>
      </c>
      <c r="H191">
        <f>IF(物品!R322="",0,物品!R322)</f>
        <v>0</v>
      </c>
      <c r="I191">
        <f>IF(物品!S322="",0,物品!S322)</f>
        <v>0</v>
      </c>
      <c r="J191">
        <f>IF(物品!C331="",0,""""&amp;物品!C331&amp;"""")</f>
        <v>0</v>
      </c>
      <c r="K191" t="str">
        <f>IF(物品!T331="","""""",""""&amp;物品!T331&amp;"""")</f>
        <v>""</v>
      </c>
      <c r="L191">
        <f>IF(物品!U331="",0,""""&amp;物品!U331&amp;"""")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IF(物品!B332="",0,"'"&amp;物品!B332&amp;"'")</f>
        <v>0</v>
      </c>
      <c r="B192">
        <f>物品!D253</f>
        <v>0</v>
      </c>
      <c r="C192">
        <f>物品!E332</f>
        <v>0</v>
      </c>
      <c r="D192">
        <f>物品!F332</f>
        <v>0</v>
      </c>
      <c r="E192">
        <f>IF(ISTEXT(物品!G323)=TRUE,"'"&amp;物品!G323&amp;"'",物品!G323)</f>
        <v>0</v>
      </c>
      <c r="F192">
        <f>IF(ISTEXT(物品!H323)=TRUE,"'"&amp;物品!H323&amp;"'",物品!H323)</f>
        <v>0</v>
      </c>
      <c r="G192">
        <f>IF(物品!I332="",0,"'"&amp;物品!I332&amp;"'")</f>
        <v>0</v>
      </c>
      <c r="H192">
        <f>IF(物品!R323="",0,物品!R323)</f>
        <v>0</v>
      </c>
      <c r="I192">
        <f>IF(物品!S323="",0,物品!S323)</f>
        <v>0</v>
      </c>
      <c r="J192">
        <f>IF(物品!C332="",0,""""&amp;物品!C332&amp;"""")</f>
        <v>0</v>
      </c>
      <c r="K192" t="str">
        <f>IF(物品!T332="","""""",""""&amp;物品!T332&amp;"""")</f>
        <v>""</v>
      </c>
      <c r="L192">
        <f>IF(物品!U332="",0,""""&amp;物品!U332&amp;"""")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IF(物品!B333="",0,"'"&amp;物品!B333&amp;"'")</f>
        <v>0</v>
      </c>
      <c r="B193">
        <f>物品!D254</f>
        <v>0</v>
      </c>
      <c r="C193">
        <f>物品!E333</f>
        <v>0</v>
      </c>
      <c r="D193">
        <f>物品!F333</f>
        <v>0</v>
      </c>
      <c r="E193">
        <f>IF(ISTEXT(物品!G324)=TRUE,"'"&amp;物品!G324&amp;"'",物品!G324)</f>
        <v>0</v>
      </c>
      <c r="F193">
        <f>IF(ISTEXT(物品!H324)=TRUE,"'"&amp;物品!H324&amp;"'",物品!H324)</f>
        <v>0</v>
      </c>
      <c r="G193">
        <f>IF(物品!I333="",0,"'"&amp;物品!I333&amp;"'")</f>
        <v>0</v>
      </c>
      <c r="H193">
        <f>IF(物品!R324="",0,物品!R324)</f>
        <v>0</v>
      </c>
      <c r="I193">
        <f>IF(物品!S324="",0,物品!S324)</f>
        <v>0</v>
      </c>
      <c r="J193">
        <f>IF(物品!C333="",0,""""&amp;物品!C333&amp;"""")</f>
        <v>0</v>
      </c>
      <c r="K193" t="str">
        <f>IF(物品!T333="","""""",""""&amp;物品!T333&amp;"""")</f>
        <v>""</v>
      </c>
      <c r="L193">
        <f>IF(物品!U333="",0,""""&amp;物品!U333&amp;"""")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IF(物品!B334="",0,"'"&amp;物品!B334&amp;"'")</f>
        <v>0</v>
      </c>
      <c r="B194">
        <f>物品!D255</f>
        <v>0</v>
      </c>
      <c r="C194">
        <f>物品!E334</f>
        <v>0</v>
      </c>
      <c r="D194">
        <f>物品!F334</f>
        <v>0</v>
      </c>
      <c r="E194">
        <f>IF(ISTEXT(物品!G325)=TRUE,"'"&amp;物品!G325&amp;"'",物品!G325)</f>
        <v>0</v>
      </c>
      <c r="F194">
        <f>IF(ISTEXT(物品!H325)=TRUE,"'"&amp;物品!H325&amp;"'",物品!H325)</f>
        <v>0</v>
      </c>
      <c r="G194">
        <f>IF(物品!I334="",0,"'"&amp;物品!I334&amp;"'")</f>
        <v>0</v>
      </c>
      <c r="H194">
        <f>IF(物品!R325="",0,物品!R325)</f>
        <v>0</v>
      </c>
      <c r="I194">
        <f>IF(物品!S325="",0,物品!S325)</f>
        <v>0</v>
      </c>
      <c r="J194">
        <f>IF(物品!C334="",0,""""&amp;物品!C334&amp;"""")</f>
        <v>0</v>
      </c>
      <c r="K194" t="str">
        <f>IF(物品!T334="","""""",""""&amp;物品!T334&amp;"""")</f>
        <v>""</v>
      </c>
      <c r="L194">
        <f>IF(物品!U334="",0,""""&amp;物品!U334&amp;"""")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IF(物品!B335="",0,"'"&amp;物品!B335&amp;"'")</f>
        <v>0</v>
      </c>
      <c r="B195">
        <f>物品!D256</f>
        <v>0</v>
      </c>
      <c r="C195">
        <f>物品!E335</f>
        <v>0</v>
      </c>
      <c r="D195">
        <f>物品!F335</f>
        <v>0</v>
      </c>
      <c r="E195">
        <f>IF(ISTEXT(物品!G326)=TRUE,"'"&amp;物品!G326&amp;"'",物品!G326)</f>
        <v>0</v>
      </c>
      <c r="F195">
        <f>IF(ISTEXT(物品!H326)=TRUE,"'"&amp;物品!H326&amp;"'",物品!H326)</f>
        <v>0</v>
      </c>
      <c r="G195">
        <f>IF(物品!I335="",0,"'"&amp;物品!I335&amp;"'")</f>
        <v>0</v>
      </c>
      <c r="H195">
        <f>IF(物品!R326="",0,物品!R326)</f>
        <v>0</v>
      </c>
      <c r="I195">
        <f>IF(物品!S326="",0,物品!S326)</f>
        <v>0</v>
      </c>
      <c r="J195">
        <f>IF(物品!C335="",0,""""&amp;物品!C335&amp;"""")</f>
        <v>0</v>
      </c>
      <c r="K195" t="str">
        <f>IF(物品!T335="","""""",""""&amp;物品!T335&amp;"""")</f>
        <v>""</v>
      </c>
      <c r="L195">
        <f>IF(物品!U335="",0,""""&amp;物品!U335&amp;"""")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IF(物品!B336="",0,"'"&amp;物品!B336&amp;"'")</f>
        <v>0</v>
      </c>
      <c r="B196">
        <f>物品!D257</f>
        <v>0</v>
      </c>
      <c r="C196">
        <f>物品!E336</f>
        <v>0</v>
      </c>
      <c r="D196">
        <f>物品!F336</f>
        <v>0</v>
      </c>
      <c r="E196">
        <f>IF(ISTEXT(物品!G327)=TRUE,"'"&amp;物品!G327&amp;"'",物品!G327)</f>
        <v>0</v>
      </c>
      <c r="F196">
        <f>IF(ISTEXT(物品!H327)=TRUE,"'"&amp;物品!H327&amp;"'",物品!H327)</f>
        <v>0</v>
      </c>
      <c r="G196">
        <f>IF(物品!I336="",0,"'"&amp;物品!I336&amp;"'")</f>
        <v>0</v>
      </c>
      <c r="H196">
        <f>IF(物品!R327="",0,物品!R327)</f>
        <v>0</v>
      </c>
      <c r="I196">
        <f>IF(物品!S327="",0,物品!S327)</f>
        <v>0</v>
      </c>
      <c r="J196">
        <f>IF(物品!C336="",0,""""&amp;物品!C336&amp;"""")</f>
        <v>0</v>
      </c>
      <c r="K196" t="str">
        <f>IF(物品!T336="","""""",""""&amp;物品!T336&amp;"""")</f>
        <v>""</v>
      </c>
      <c r="L196">
        <f>IF(物品!U336="",0,""""&amp;物品!U336&amp;"""")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IF(物品!B337="",0,"'"&amp;物品!B337&amp;"'")</f>
        <v>0</v>
      </c>
      <c r="B197">
        <f>物品!D258</f>
        <v>0</v>
      </c>
      <c r="C197">
        <f>物品!E337</f>
        <v>0</v>
      </c>
      <c r="D197">
        <f>物品!F337</f>
        <v>0</v>
      </c>
      <c r="E197">
        <f>IF(ISTEXT(物品!G328)=TRUE,"'"&amp;物品!G328&amp;"'",物品!G328)</f>
        <v>0</v>
      </c>
      <c r="F197">
        <f>IF(ISTEXT(物品!H328)=TRUE,"'"&amp;物品!H328&amp;"'",物品!H328)</f>
        <v>0</v>
      </c>
      <c r="G197">
        <f>IF(物品!I337="",0,"'"&amp;物品!I337&amp;"'")</f>
        <v>0</v>
      </c>
      <c r="H197">
        <f>IF(物品!R328="",0,物品!R328)</f>
        <v>0</v>
      </c>
      <c r="I197">
        <f>IF(物品!S328="",0,物品!S328)</f>
        <v>0</v>
      </c>
      <c r="J197">
        <f>IF(物品!C337="",0,""""&amp;物品!C337&amp;"""")</f>
        <v>0</v>
      </c>
      <c r="K197" t="str">
        <f>IF(物品!T337="","""""",""""&amp;物品!T337&amp;"""")</f>
        <v>""</v>
      </c>
      <c r="L197">
        <f>IF(物品!U337="",0,""""&amp;物品!U337&amp;"""")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IF(物品!B338="",0,"'"&amp;物品!B338&amp;"'")</f>
        <v>0</v>
      </c>
      <c r="B198">
        <f>物品!D259</f>
        <v>0</v>
      </c>
      <c r="C198">
        <f>物品!E338</f>
        <v>0</v>
      </c>
      <c r="D198">
        <f>物品!F338</f>
        <v>0</v>
      </c>
      <c r="E198">
        <f>IF(ISTEXT(物品!G329)=TRUE,"'"&amp;物品!G329&amp;"'",物品!G329)</f>
        <v>0</v>
      </c>
      <c r="F198">
        <f>IF(ISTEXT(物品!H329)=TRUE,"'"&amp;物品!H329&amp;"'",物品!H329)</f>
        <v>0</v>
      </c>
      <c r="G198">
        <f>IF(物品!I338="",0,"'"&amp;物品!I338&amp;"'")</f>
        <v>0</v>
      </c>
      <c r="H198">
        <f>IF(物品!R329="",0,物品!R329)</f>
        <v>0</v>
      </c>
      <c r="I198">
        <f>IF(物品!S329="",0,物品!S329)</f>
        <v>0</v>
      </c>
      <c r="J198">
        <f>IF(物品!C338="",0,""""&amp;物品!C338&amp;"""")</f>
        <v>0</v>
      </c>
      <c r="K198" t="str">
        <f>IF(物品!T338="","""""",""""&amp;物品!T338&amp;"""")</f>
        <v>""</v>
      </c>
      <c r="L198">
        <f>IF(物品!U338="",0,""""&amp;物品!U338&amp;"""")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IF(物品!B339="",0,"'"&amp;物品!B339&amp;"'")</f>
        <v>0</v>
      </c>
      <c r="B199">
        <f>物品!D260</f>
        <v>0</v>
      </c>
      <c r="C199">
        <f>物品!E339</f>
        <v>0</v>
      </c>
      <c r="D199">
        <f>物品!F339</f>
        <v>0</v>
      </c>
      <c r="E199">
        <f>IF(ISTEXT(物品!G330)=TRUE,"'"&amp;物品!G330&amp;"'",物品!G330)</f>
        <v>0</v>
      </c>
      <c r="F199">
        <f>IF(ISTEXT(物品!H330)=TRUE,"'"&amp;物品!H330&amp;"'",物品!H330)</f>
        <v>0</v>
      </c>
      <c r="G199">
        <f>IF(物品!I339="",0,"'"&amp;物品!I339&amp;"'")</f>
        <v>0</v>
      </c>
      <c r="H199">
        <f>IF(物品!R330="",0,物品!R330)</f>
        <v>0</v>
      </c>
      <c r="I199">
        <f>IF(物品!S330="",0,物品!S330)</f>
        <v>0</v>
      </c>
      <c r="J199">
        <f>IF(物品!C339="",0,""""&amp;物品!C339&amp;"""")</f>
        <v>0</v>
      </c>
      <c r="K199" t="str">
        <f>IF(物品!T339="","""""",""""&amp;物品!T339&amp;"""")</f>
        <v>""</v>
      </c>
      <c r="L199">
        <f>IF(物品!U339="",0,""""&amp;物品!U339&amp;"""")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IF(物品!B340="",0,"'"&amp;物品!B340&amp;"'")</f>
        <v>0</v>
      </c>
      <c r="B200">
        <f>物品!D261</f>
        <v>0</v>
      </c>
      <c r="C200">
        <f>物品!E340</f>
        <v>0</v>
      </c>
      <c r="D200">
        <f>物品!F340</f>
        <v>0</v>
      </c>
      <c r="E200">
        <f>IF(ISTEXT(物品!G331)=TRUE,"'"&amp;物品!G331&amp;"'",物品!G331)</f>
        <v>0</v>
      </c>
      <c r="F200">
        <f>IF(ISTEXT(物品!H331)=TRUE,"'"&amp;物品!H331&amp;"'",物品!H331)</f>
        <v>0</v>
      </c>
      <c r="G200">
        <f>IF(物品!I340="",0,"'"&amp;物品!I340&amp;"'")</f>
        <v>0</v>
      </c>
      <c r="H200">
        <f>IF(物品!R331="",0,物品!R331)</f>
        <v>0</v>
      </c>
      <c r="I200">
        <f>IF(物品!S331="",0,物品!S331)</f>
        <v>0</v>
      </c>
      <c r="J200">
        <f>IF(物品!C340="",0,""""&amp;物品!C340&amp;"""")</f>
        <v>0</v>
      </c>
      <c r="K200" t="str">
        <f>IF(物品!T340="","""""",""""&amp;物品!T340&amp;"""")</f>
        <v>""</v>
      </c>
      <c r="L200">
        <f>IF(物品!U340="",0,""""&amp;物品!U340&amp;"""")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IF(物品!B341="",0,"'"&amp;物品!B341&amp;"'")</f>
        <v>0</v>
      </c>
      <c r="B201">
        <f>物品!D262</f>
        <v>0</v>
      </c>
      <c r="C201">
        <f>物品!E341</f>
        <v>0</v>
      </c>
      <c r="D201">
        <f>物品!F341</f>
        <v>0</v>
      </c>
      <c r="E201">
        <f>IF(ISTEXT(物品!G332)=TRUE,"'"&amp;物品!G332&amp;"'",物品!G332)</f>
        <v>0</v>
      </c>
      <c r="F201">
        <f>IF(ISTEXT(物品!H332)=TRUE,"'"&amp;物品!H332&amp;"'",物品!H332)</f>
        <v>0</v>
      </c>
      <c r="G201">
        <f>IF(物品!I341="",0,"'"&amp;物品!I341&amp;"'")</f>
        <v>0</v>
      </c>
      <c r="H201">
        <f>IF(物品!R332="",0,物品!R332)</f>
        <v>0</v>
      </c>
      <c r="I201">
        <f>IF(物品!S332="",0,物品!S332)</f>
        <v>0</v>
      </c>
      <c r="J201">
        <f>IF(物品!C341="",0,""""&amp;物品!C341&amp;"""")</f>
        <v>0</v>
      </c>
      <c r="K201" t="str">
        <f>IF(物品!T341="","""""",""""&amp;物品!T341&amp;"""")</f>
        <v>""</v>
      </c>
      <c r="L201">
        <f>IF(物品!U341="",0,""""&amp;物品!U341&amp;"""")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IF(物品!B342="",0,"'"&amp;物品!B342&amp;"'")</f>
        <v>0</v>
      </c>
      <c r="B202">
        <f>物品!D263</f>
        <v>0</v>
      </c>
      <c r="C202">
        <f>物品!E342</f>
        <v>0</v>
      </c>
      <c r="D202">
        <f>物品!F342</f>
        <v>0</v>
      </c>
      <c r="E202">
        <f>IF(ISTEXT(物品!G333)=TRUE,"'"&amp;物品!G333&amp;"'",物品!G333)</f>
        <v>0</v>
      </c>
      <c r="F202">
        <f>IF(ISTEXT(物品!H333)=TRUE,"'"&amp;物品!H333&amp;"'",物品!H333)</f>
        <v>0</v>
      </c>
      <c r="G202">
        <f>IF(物品!I342="",0,"'"&amp;物品!I342&amp;"'")</f>
        <v>0</v>
      </c>
      <c r="H202">
        <f>IF(物品!R333="",0,物品!R333)</f>
        <v>0</v>
      </c>
      <c r="I202">
        <f>IF(物品!S333="",0,物品!S333)</f>
        <v>0</v>
      </c>
      <c r="J202">
        <f>IF(物品!C342="",0,""""&amp;物品!C342&amp;"""")</f>
        <v>0</v>
      </c>
      <c r="K202" t="str">
        <f>IF(物品!T342="","""""",""""&amp;物品!T342&amp;"""")</f>
        <v>""</v>
      </c>
      <c r="L202">
        <f>IF(物品!U342="",0,""""&amp;物品!U342&amp;"""")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IF(物品!B343="",0,"'"&amp;物品!B343&amp;"'")</f>
        <v>0</v>
      </c>
      <c r="B203">
        <f>物品!D264</f>
        <v>0</v>
      </c>
      <c r="C203">
        <f>物品!E343</f>
        <v>0</v>
      </c>
      <c r="D203">
        <f>物品!F343</f>
        <v>0</v>
      </c>
      <c r="E203">
        <f>IF(ISTEXT(物品!G334)=TRUE,"'"&amp;物品!G334&amp;"'",物品!G334)</f>
        <v>0</v>
      </c>
      <c r="F203">
        <f>IF(ISTEXT(物品!H334)=TRUE,"'"&amp;物品!H334&amp;"'",物品!H334)</f>
        <v>0</v>
      </c>
      <c r="G203">
        <f>IF(物品!I343="",0,"'"&amp;物品!I343&amp;"'")</f>
        <v>0</v>
      </c>
      <c r="H203">
        <f>IF(物品!R334="",0,物品!R334)</f>
        <v>0</v>
      </c>
      <c r="I203">
        <f>IF(物品!S334="",0,物品!S334)</f>
        <v>0</v>
      </c>
      <c r="J203">
        <f>IF(物品!C343="",0,""""&amp;物品!C343&amp;"""")</f>
        <v>0</v>
      </c>
      <c r="K203" t="str">
        <f>IF(物品!T343="","""""",""""&amp;物品!T343&amp;"""")</f>
        <v>""</v>
      </c>
      <c r="L203">
        <f>IF(物品!U343="",0,""""&amp;物品!U343&amp;"""")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IF(物品!B344="",0,"'"&amp;物品!B344&amp;"'")</f>
        <v>0</v>
      </c>
      <c r="B204">
        <f>物品!D265</f>
        <v>0</v>
      </c>
      <c r="C204">
        <f>物品!E344</f>
        <v>0</v>
      </c>
      <c r="D204">
        <f>物品!F344</f>
        <v>0</v>
      </c>
      <c r="E204">
        <f>IF(ISTEXT(物品!G335)=TRUE,"'"&amp;物品!G335&amp;"'",物品!G335)</f>
        <v>0</v>
      </c>
      <c r="F204">
        <f>IF(ISTEXT(物品!H335)=TRUE,"'"&amp;物品!H335&amp;"'",物品!H335)</f>
        <v>0</v>
      </c>
      <c r="G204">
        <f>IF(物品!I344="",0,"'"&amp;物品!I344&amp;"'")</f>
        <v>0</v>
      </c>
      <c r="H204">
        <f>IF(物品!R335="",0,物品!R335)</f>
        <v>0</v>
      </c>
      <c r="I204">
        <f>IF(物品!S335="",0,物品!S335)</f>
        <v>0</v>
      </c>
      <c r="J204">
        <f>IF(物品!C344="",0,""""&amp;物品!C344&amp;"""")</f>
        <v>0</v>
      </c>
      <c r="K204" t="str">
        <f>IF(物品!T344="","""""",""""&amp;物品!T344&amp;"""")</f>
        <v>""</v>
      </c>
      <c r="L204">
        <f>IF(物品!U344="",0,""""&amp;物品!U344&amp;"""")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IF(物品!B345="",0,"'"&amp;物品!B345&amp;"'")</f>
        <v>0</v>
      </c>
      <c r="B205">
        <f>物品!D266</f>
        <v>0</v>
      </c>
      <c r="C205">
        <f>物品!E345</f>
        <v>0</v>
      </c>
      <c r="D205">
        <f>物品!F345</f>
        <v>0</v>
      </c>
      <c r="E205">
        <f>IF(ISTEXT(物品!G336)=TRUE,"'"&amp;物品!G336&amp;"'",物品!G336)</f>
        <v>0</v>
      </c>
      <c r="F205">
        <f>IF(ISTEXT(物品!H336)=TRUE,"'"&amp;物品!H336&amp;"'",物品!H336)</f>
        <v>0</v>
      </c>
      <c r="G205">
        <f>IF(物品!I345="",0,"'"&amp;物品!I345&amp;"'")</f>
        <v>0</v>
      </c>
      <c r="H205">
        <f>IF(物品!R336="",0,物品!R336)</f>
        <v>0</v>
      </c>
      <c r="I205">
        <f>IF(物品!S336="",0,物品!S336)</f>
        <v>0</v>
      </c>
      <c r="J205">
        <f>IF(物品!C345="",0,""""&amp;物品!C345&amp;"""")</f>
        <v>0</v>
      </c>
      <c r="K205" t="str">
        <f>IF(物品!T345="","""""",""""&amp;物品!T345&amp;"""")</f>
        <v>""</v>
      </c>
      <c r="L205">
        <f>IF(物品!U345="",0,""""&amp;物品!U345&amp;"""")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IF(物品!B346="",0,"'"&amp;物品!B346&amp;"'")</f>
        <v>0</v>
      </c>
      <c r="B206">
        <f>物品!D267</f>
        <v>0</v>
      </c>
      <c r="C206">
        <f>物品!E346</f>
        <v>0</v>
      </c>
      <c r="D206">
        <f>物品!F346</f>
        <v>0</v>
      </c>
      <c r="E206">
        <f>IF(ISTEXT(物品!G337)=TRUE,"'"&amp;物品!G337&amp;"'",物品!G337)</f>
        <v>0</v>
      </c>
      <c r="F206">
        <f>IF(ISTEXT(物品!H337)=TRUE,"'"&amp;物品!H337&amp;"'",物品!H337)</f>
        <v>0</v>
      </c>
      <c r="G206">
        <f>IF(物品!I346="",0,"'"&amp;物品!I346&amp;"'")</f>
        <v>0</v>
      </c>
      <c r="H206">
        <f>IF(物品!R337="",0,物品!R337)</f>
        <v>0</v>
      </c>
      <c r="I206">
        <f>IF(物品!S337="",0,物品!S337)</f>
        <v>0</v>
      </c>
      <c r="J206">
        <f>IF(物品!C346="",0,""""&amp;物品!C346&amp;"""")</f>
        <v>0</v>
      </c>
      <c r="K206" t="str">
        <f>IF(物品!T346="","""""",""""&amp;物品!T346&amp;"""")</f>
        <v>""</v>
      </c>
      <c r="L206">
        <f>IF(物品!U346="",0,""""&amp;物品!U346&amp;"""")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IF(物品!B347="",0,"'"&amp;物品!B347&amp;"'")</f>
        <v>0</v>
      </c>
      <c r="B207">
        <f>物品!D268</f>
        <v>0</v>
      </c>
      <c r="C207">
        <f>物品!E347</f>
        <v>0</v>
      </c>
      <c r="D207">
        <f>物品!F347</f>
        <v>0</v>
      </c>
      <c r="E207">
        <f>IF(ISTEXT(物品!G338)=TRUE,"'"&amp;物品!G338&amp;"'",物品!G338)</f>
        <v>0</v>
      </c>
      <c r="F207">
        <f>IF(ISTEXT(物品!H338)=TRUE,"'"&amp;物品!H338&amp;"'",物品!H338)</f>
        <v>0</v>
      </c>
      <c r="G207">
        <f>IF(物品!I347="",0,"'"&amp;物品!I347&amp;"'")</f>
        <v>0</v>
      </c>
      <c r="H207">
        <f>IF(物品!R338="",0,物品!R338)</f>
        <v>0</v>
      </c>
      <c r="I207">
        <f>IF(物品!S338="",0,物品!S338)</f>
        <v>0</v>
      </c>
      <c r="J207">
        <f>IF(物品!C347="",0,""""&amp;物品!C347&amp;"""")</f>
        <v>0</v>
      </c>
      <c r="K207" t="str">
        <f>IF(物品!T347="","""""",""""&amp;物品!T347&amp;"""")</f>
        <v>""</v>
      </c>
      <c r="L207">
        <f>IF(物品!U347="",0,""""&amp;物品!U347&amp;"""")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IF(物品!B348="",0,"'"&amp;物品!B348&amp;"'")</f>
        <v>0</v>
      </c>
      <c r="B208">
        <f>物品!D269</f>
        <v>0</v>
      </c>
      <c r="C208">
        <f>物品!E348</f>
        <v>0</v>
      </c>
      <c r="D208">
        <f>物品!F348</f>
        <v>0</v>
      </c>
      <c r="E208">
        <f>IF(ISTEXT(物品!G339)=TRUE,"'"&amp;物品!G339&amp;"'",物品!G339)</f>
        <v>0</v>
      </c>
      <c r="F208">
        <f>IF(ISTEXT(物品!H339)=TRUE,"'"&amp;物品!H339&amp;"'",物品!H339)</f>
        <v>0</v>
      </c>
      <c r="G208">
        <f>IF(物品!I348="",0,"'"&amp;物品!I348&amp;"'")</f>
        <v>0</v>
      </c>
      <c r="H208">
        <f>IF(物品!R339="",0,物品!R339)</f>
        <v>0</v>
      </c>
      <c r="I208">
        <f>IF(物品!S339="",0,物品!S339)</f>
        <v>0</v>
      </c>
      <c r="J208">
        <f>IF(物品!C348="",0,""""&amp;物品!C348&amp;"""")</f>
        <v>0</v>
      </c>
      <c r="K208" t="str">
        <f>IF(物品!T348="","""""",""""&amp;物品!T348&amp;"""")</f>
        <v>""</v>
      </c>
      <c r="L208">
        <f>IF(物品!U348="",0,""""&amp;物品!U348&amp;"""")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IF(物品!B349="",0,"'"&amp;物品!B349&amp;"'")</f>
        <v>0</v>
      </c>
      <c r="B209">
        <f>物品!D270</f>
        <v>0</v>
      </c>
      <c r="C209">
        <f>物品!E349</f>
        <v>0</v>
      </c>
      <c r="D209">
        <f>物品!F349</f>
        <v>0</v>
      </c>
      <c r="E209">
        <f>IF(ISTEXT(物品!G340)=TRUE,"'"&amp;物品!G340&amp;"'",物品!G340)</f>
        <v>0</v>
      </c>
      <c r="F209">
        <f>IF(ISTEXT(物品!H340)=TRUE,"'"&amp;物品!H340&amp;"'",物品!H340)</f>
        <v>0</v>
      </c>
      <c r="G209">
        <f>IF(物品!I349="",0,"'"&amp;物品!I349&amp;"'")</f>
        <v>0</v>
      </c>
      <c r="H209">
        <f>IF(物品!R340="",0,物品!R340)</f>
        <v>0</v>
      </c>
      <c r="I209">
        <f>IF(物品!S340="",0,物品!S340)</f>
        <v>0</v>
      </c>
      <c r="J209">
        <f>IF(物品!C349="",0,""""&amp;物品!C349&amp;"""")</f>
        <v>0</v>
      </c>
      <c r="K209" t="str">
        <f>IF(物品!T349="","""""",""""&amp;物品!T349&amp;"""")</f>
        <v>""</v>
      </c>
      <c r="L209">
        <f>IF(物品!U349="",0,""""&amp;物品!U349&amp;"""")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IF(物品!B350="",0,"'"&amp;物品!B350&amp;"'")</f>
        <v>0</v>
      </c>
      <c r="B210">
        <f>物品!D271</f>
        <v>0</v>
      </c>
      <c r="C210">
        <f>物品!E350</f>
        <v>0</v>
      </c>
      <c r="D210">
        <f>物品!F350</f>
        <v>0</v>
      </c>
      <c r="E210">
        <f>IF(ISTEXT(物品!G341)=TRUE,"'"&amp;物品!G341&amp;"'",物品!G341)</f>
        <v>0</v>
      </c>
      <c r="F210">
        <f>IF(ISTEXT(物品!H341)=TRUE,"'"&amp;物品!H341&amp;"'",物品!H341)</f>
        <v>0</v>
      </c>
      <c r="G210">
        <f>IF(物品!I350="",0,"'"&amp;物品!I350&amp;"'")</f>
        <v>0</v>
      </c>
      <c r="H210">
        <f>IF(物品!R341="",0,物品!R341)</f>
        <v>0</v>
      </c>
      <c r="I210">
        <f>IF(物品!S341="",0,物品!S341)</f>
        <v>0</v>
      </c>
      <c r="J210">
        <f>IF(物品!C350="",0,""""&amp;物品!C350&amp;"""")</f>
        <v>0</v>
      </c>
      <c r="K210" t="str">
        <f>IF(物品!T350="","""""",""""&amp;物品!T350&amp;"""")</f>
        <v>""</v>
      </c>
      <c r="L210">
        <f>IF(物品!U350="",0,""""&amp;物品!U350&amp;"""")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IF(物品!B351="",0,"'"&amp;物品!B351&amp;"'")</f>
        <v>0</v>
      </c>
      <c r="B211">
        <f>物品!D272</f>
        <v>0</v>
      </c>
      <c r="C211">
        <f>物品!E351</f>
        <v>0</v>
      </c>
      <c r="D211">
        <f>物品!F351</f>
        <v>0</v>
      </c>
      <c r="E211">
        <f>IF(ISTEXT(物品!G342)=TRUE,"'"&amp;物品!G342&amp;"'",物品!G342)</f>
        <v>0</v>
      </c>
      <c r="F211">
        <f>IF(ISTEXT(物品!H342)=TRUE,"'"&amp;物品!H342&amp;"'",物品!H342)</f>
        <v>0</v>
      </c>
      <c r="G211">
        <f>IF(物品!I351="",0,"'"&amp;物品!I351&amp;"'")</f>
        <v>0</v>
      </c>
      <c r="H211">
        <f>IF(物品!R342="",0,物品!R342)</f>
        <v>0</v>
      </c>
      <c r="I211">
        <f>IF(物品!S342="",0,物品!S342)</f>
        <v>0</v>
      </c>
      <c r="J211">
        <f>IF(物品!C351="",0,""""&amp;物品!C351&amp;"""")</f>
        <v>0</v>
      </c>
      <c r="K211" t="str">
        <f>IF(物品!T351="","""""",""""&amp;物品!T351&amp;"""")</f>
        <v>""</v>
      </c>
      <c r="L211">
        <f>IF(物品!U351="",0,""""&amp;物品!U351&amp;"""")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IF(物品!B352="",0,"'"&amp;物品!B352&amp;"'")</f>
        <v>0</v>
      </c>
      <c r="B212">
        <f>物品!D273</f>
        <v>0</v>
      </c>
      <c r="C212">
        <f>物品!E352</f>
        <v>0</v>
      </c>
      <c r="D212">
        <f>物品!F352</f>
        <v>0</v>
      </c>
      <c r="E212">
        <f>IF(ISTEXT(物品!G343)=TRUE,"'"&amp;物品!G343&amp;"'",物品!G343)</f>
        <v>0</v>
      </c>
      <c r="F212">
        <f>IF(ISTEXT(物品!H343)=TRUE,"'"&amp;物品!H343&amp;"'",物品!H343)</f>
        <v>0</v>
      </c>
      <c r="G212">
        <f>IF(物品!I352="",0,"'"&amp;物品!I352&amp;"'")</f>
        <v>0</v>
      </c>
      <c r="H212">
        <f>IF(物品!R343="",0,物品!R343)</f>
        <v>0</v>
      </c>
      <c r="I212">
        <f>IF(物品!S343="",0,物品!S343)</f>
        <v>0</v>
      </c>
      <c r="J212">
        <f>IF(物品!C352="",0,""""&amp;物品!C352&amp;"""")</f>
        <v>0</v>
      </c>
      <c r="K212" t="str">
        <f>IF(物品!T352="","""""",""""&amp;物品!T352&amp;"""")</f>
        <v>""</v>
      </c>
      <c r="L212">
        <f>IF(物品!U352="",0,""""&amp;物品!U352&amp;"""")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IF(物品!B353="",0,"'"&amp;物品!B353&amp;"'")</f>
        <v>0</v>
      </c>
      <c r="B213">
        <f>物品!D274</f>
        <v>0</v>
      </c>
      <c r="C213">
        <f>物品!E353</f>
        <v>0</v>
      </c>
      <c r="D213">
        <f>物品!F353</f>
        <v>0</v>
      </c>
      <c r="E213">
        <f>IF(ISTEXT(物品!G344)=TRUE,"'"&amp;物品!G344&amp;"'",物品!G344)</f>
        <v>0</v>
      </c>
      <c r="F213">
        <f>IF(ISTEXT(物品!H344)=TRUE,"'"&amp;物品!H344&amp;"'",物品!H344)</f>
        <v>0</v>
      </c>
      <c r="G213">
        <f>IF(物品!I353="",0,"'"&amp;物品!I353&amp;"'")</f>
        <v>0</v>
      </c>
      <c r="H213">
        <f>IF(物品!R344="",0,物品!R344)</f>
        <v>0</v>
      </c>
      <c r="I213">
        <f>IF(物品!S344="",0,物品!S344)</f>
        <v>0</v>
      </c>
      <c r="J213">
        <f>IF(物品!C353="",0,""""&amp;物品!C353&amp;"""")</f>
        <v>0</v>
      </c>
      <c r="K213" t="str">
        <f>IF(物品!T353="","""""",""""&amp;物品!T353&amp;"""")</f>
        <v>""</v>
      </c>
      <c r="L213">
        <f>IF(物品!U353="",0,""""&amp;物品!U353&amp;"""")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IF(物品!B354="",0,"'"&amp;物品!B354&amp;"'")</f>
        <v>0</v>
      </c>
      <c r="B214">
        <f>物品!D275</f>
        <v>0</v>
      </c>
      <c r="C214">
        <f>物品!E354</f>
        <v>0</v>
      </c>
      <c r="D214">
        <f>物品!F354</f>
        <v>0</v>
      </c>
      <c r="E214">
        <f>IF(ISTEXT(物品!G345)=TRUE,"'"&amp;物品!G345&amp;"'",物品!G345)</f>
        <v>0</v>
      </c>
      <c r="F214">
        <f>IF(ISTEXT(物品!H345)=TRUE,"'"&amp;物品!H345&amp;"'",物品!H345)</f>
        <v>0</v>
      </c>
      <c r="G214">
        <f>IF(物品!I354="",0,"'"&amp;物品!I354&amp;"'")</f>
        <v>0</v>
      </c>
      <c r="H214">
        <f>IF(物品!R345="",0,物品!R345)</f>
        <v>0</v>
      </c>
      <c r="I214">
        <f>IF(物品!S345="",0,物品!S345)</f>
        <v>0</v>
      </c>
      <c r="J214">
        <f>IF(物品!C354="",0,""""&amp;物品!C354&amp;"""")</f>
        <v>0</v>
      </c>
      <c r="K214" t="str">
        <f>IF(物品!T354="","""""",""""&amp;物品!T354&amp;"""")</f>
        <v>""</v>
      </c>
      <c r="L214">
        <f>IF(物品!U354="",0,""""&amp;物品!U354&amp;"""")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IF(物品!B355="",0,"'"&amp;物品!B355&amp;"'")</f>
        <v>0</v>
      </c>
      <c r="B215">
        <f>物品!D276</f>
        <v>0</v>
      </c>
      <c r="C215">
        <f>物品!E355</f>
        <v>0</v>
      </c>
      <c r="D215">
        <f>物品!F355</f>
        <v>0</v>
      </c>
      <c r="E215">
        <f>IF(ISTEXT(物品!G346)=TRUE,"'"&amp;物品!G346&amp;"'",物品!G346)</f>
        <v>0</v>
      </c>
      <c r="F215">
        <f>IF(ISTEXT(物品!H346)=TRUE,"'"&amp;物品!H346&amp;"'",物品!H346)</f>
        <v>0</v>
      </c>
      <c r="G215">
        <f>IF(物品!I355="",0,"'"&amp;物品!I355&amp;"'")</f>
        <v>0</v>
      </c>
      <c r="H215">
        <f>IF(物品!R346="",0,物品!R346)</f>
        <v>0</v>
      </c>
      <c r="I215">
        <f>IF(物品!S346="",0,物品!S346)</f>
        <v>0</v>
      </c>
      <c r="J215">
        <f>IF(物品!C355="",0,""""&amp;物品!C355&amp;"""")</f>
        <v>0</v>
      </c>
      <c r="K215" t="str">
        <f>IF(物品!T355="","""""",""""&amp;物品!T355&amp;"""")</f>
        <v>""</v>
      </c>
      <c r="L215">
        <f>IF(物品!U355="",0,""""&amp;物品!U355&amp;"""")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IF(物品!B356="",0,"'"&amp;物品!B356&amp;"'")</f>
        <v>0</v>
      </c>
      <c r="B216">
        <f>物品!D277</f>
        <v>0</v>
      </c>
      <c r="C216">
        <f>物品!E356</f>
        <v>0</v>
      </c>
      <c r="D216">
        <f>物品!F356</f>
        <v>0</v>
      </c>
      <c r="E216">
        <f>IF(ISTEXT(物品!G347)=TRUE,"'"&amp;物品!G347&amp;"'",物品!G347)</f>
        <v>0</v>
      </c>
      <c r="F216">
        <f>IF(ISTEXT(物品!H347)=TRUE,"'"&amp;物品!H347&amp;"'",物品!H347)</f>
        <v>0</v>
      </c>
      <c r="G216">
        <f>IF(物品!I356="",0,"'"&amp;物品!I356&amp;"'")</f>
        <v>0</v>
      </c>
      <c r="H216">
        <f>IF(物品!R347="",0,物品!R347)</f>
        <v>0</v>
      </c>
      <c r="I216">
        <f>IF(物品!S347="",0,物品!S347)</f>
        <v>0</v>
      </c>
      <c r="J216">
        <f>IF(物品!C356="",0,""""&amp;物品!C356&amp;"""")</f>
        <v>0</v>
      </c>
      <c r="K216" t="str">
        <f>IF(物品!T356="","""""",""""&amp;物品!T356&amp;"""")</f>
        <v>""</v>
      </c>
      <c r="L216">
        <f>IF(物品!U356="",0,""""&amp;物品!U356&amp;"""")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IF(物品!B357="",0,"'"&amp;物品!B357&amp;"'")</f>
        <v>0</v>
      </c>
      <c r="B217">
        <f>物品!D278</f>
        <v>0</v>
      </c>
      <c r="C217">
        <f>物品!E357</f>
        <v>0</v>
      </c>
      <c r="D217">
        <f>物品!F357</f>
        <v>0</v>
      </c>
      <c r="E217">
        <f>IF(ISTEXT(物品!G348)=TRUE,"'"&amp;物品!G348&amp;"'",物品!G348)</f>
        <v>0</v>
      </c>
      <c r="F217">
        <f>IF(ISTEXT(物品!H348)=TRUE,"'"&amp;物品!H348&amp;"'",物品!H348)</f>
        <v>0</v>
      </c>
      <c r="G217">
        <f>IF(物品!I357="",0,"'"&amp;物品!I357&amp;"'")</f>
        <v>0</v>
      </c>
      <c r="H217">
        <f>IF(物品!R348="",0,物品!R348)</f>
        <v>0</v>
      </c>
      <c r="I217">
        <f>IF(物品!S348="",0,物品!S348)</f>
        <v>0</v>
      </c>
      <c r="J217">
        <f>IF(物品!C357="",0,""""&amp;物品!C357&amp;"""")</f>
        <v>0</v>
      </c>
      <c r="K217" t="str">
        <f>IF(物品!T357="","""""",""""&amp;物品!T357&amp;"""")</f>
        <v>""</v>
      </c>
      <c r="L217">
        <f>IF(物品!U357="",0,""""&amp;物品!U357&amp;"""")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IF(物品!B358="",0,"'"&amp;物品!B358&amp;"'")</f>
        <v>0</v>
      </c>
      <c r="B218">
        <f>物品!D279</f>
        <v>0</v>
      </c>
      <c r="C218">
        <f>物品!E358</f>
        <v>0</v>
      </c>
      <c r="D218">
        <f>物品!F358</f>
        <v>0</v>
      </c>
      <c r="E218">
        <f>IF(ISTEXT(物品!G349)=TRUE,"'"&amp;物品!G349&amp;"'",物品!G349)</f>
        <v>0</v>
      </c>
      <c r="F218">
        <f>IF(ISTEXT(物品!H349)=TRUE,"'"&amp;物品!H349&amp;"'",物品!H349)</f>
        <v>0</v>
      </c>
      <c r="G218">
        <f>IF(物品!I358="",0,"'"&amp;物品!I358&amp;"'")</f>
        <v>0</v>
      </c>
      <c r="H218">
        <f>IF(物品!R349="",0,物品!R349)</f>
        <v>0</v>
      </c>
      <c r="I218">
        <f>IF(物品!S349="",0,物品!S349)</f>
        <v>0</v>
      </c>
      <c r="J218">
        <f>IF(物品!C358="",0,""""&amp;物品!C358&amp;"""")</f>
        <v>0</v>
      </c>
      <c r="K218" t="str">
        <f>IF(物品!T358="","""""",""""&amp;物品!T358&amp;"""")</f>
        <v>""</v>
      </c>
      <c r="L218">
        <f>IF(物品!U358="",0,""""&amp;物品!U358&amp;"""")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IF(物品!B359="",0,"'"&amp;物品!B359&amp;"'")</f>
        <v>0</v>
      </c>
      <c r="B219">
        <f>物品!D286</f>
        <v>0</v>
      </c>
      <c r="C219">
        <f>物品!E359</f>
        <v>0</v>
      </c>
      <c r="D219">
        <f>物品!F359</f>
        <v>0</v>
      </c>
      <c r="E219">
        <f>IF(ISTEXT(物品!G350)=TRUE,"'"&amp;物品!G350&amp;"'",物品!G350)</f>
        <v>0</v>
      </c>
      <c r="F219">
        <f>IF(ISTEXT(物品!H350)=TRUE,"'"&amp;物品!H350&amp;"'",物品!H350)</f>
        <v>0</v>
      </c>
      <c r="G219">
        <f>IF(物品!I359="",0,"'"&amp;物品!I359&amp;"'")</f>
        <v>0</v>
      </c>
      <c r="H219">
        <f>IF(物品!R350="",0,物品!R350)</f>
        <v>0</v>
      </c>
      <c r="I219">
        <f>IF(物品!S350="",0,物品!S350)</f>
        <v>0</v>
      </c>
      <c r="J219">
        <f>IF(物品!C359="",0,""""&amp;物品!C359&amp;"""")</f>
        <v>0</v>
      </c>
      <c r="K219" t="str">
        <f>IF(物品!T359="","""""",""""&amp;物品!T359&amp;"""")</f>
        <v>""</v>
      </c>
      <c r="L219">
        <f>IF(物品!U359="",0,""""&amp;物品!U359&amp;"""")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IF(物品!B360="",0,"'"&amp;物品!B360&amp;"'")</f>
        <v>0</v>
      </c>
      <c r="B220">
        <f>物品!D287</f>
        <v>0</v>
      </c>
      <c r="C220">
        <f>物品!E360</f>
        <v>0</v>
      </c>
      <c r="D220">
        <f>物品!F360</f>
        <v>0</v>
      </c>
      <c r="E220">
        <f>IF(ISTEXT(物品!G351)=TRUE,"'"&amp;物品!G351&amp;"'",物品!G351)</f>
        <v>0</v>
      </c>
      <c r="F220">
        <f>IF(ISTEXT(物品!H351)=TRUE,"'"&amp;物品!H351&amp;"'",物品!H351)</f>
        <v>0</v>
      </c>
      <c r="G220">
        <f>IF(物品!I360="",0,"'"&amp;物品!I360&amp;"'")</f>
        <v>0</v>
      </c>
      <c r="H220">
        <f>IF(物品!R351="",0,物品!R351)</f>
        <v>0</v>
      </c>
      <c r="I220">
        <f>IF(物品!S351="",0,物品!S351)</f>
        <v>0</v>
      </c>
      <c r="J220">
        <f>IF(物品!C360="",0,""""&amp;物品!C360&amp;"""")</f>
        <v>0</v>
      </c>
      <c r="K220" t="str">
        <f>IF(物品!T360="","""""",""""&amp;物品!T360&amp;"""")</f>
        <v>""</v>
      </c>
      <c r="L220">
        <f>IF(物品!U360="",0,""""&amp;物品!U360&amp;"""")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IF(物品!B361="",0,"'"&amp;物品!B361&amp;"'")</f>
        <v>0</v>
      </c>
      <c r="B221">
        <f>物品!D288</f>
        <v>0</v>
      </c>
      <c r="C221">
        <f>物品!E361</f>
        <v>0</v>
      </c>
      <c r="D221">
        <f>物品!F361</f>
        <v>0</v>
      </c>
      <c r="E221">
        <f>IF(ISTEXT(物品!G352)=TRUE,"'"&amp;物品!G352&amp;"'",物品!G352)</f>
        <v>0</v>
      </c>
      <c r="F221">
        <f>IF(ISTEXT(物品!H352)=TRUE,"'"&amp;物品!H352&amp;"'",物品!H352)</f>
        <v>0</v>
      </c>
      <c r="G221">
        <f>IF(物品!I361="",0,"'"&amp;物品!I361&amp;"'")</f>
        <v>0</v>
      </c>
      <c r="H221">
        <f>IF(物品!R352="",0,物品!R352)</f>
        <v>0</v>
      </c>
      <c r="I221">
        <f>IF(物品!S352="",0,物品!S352)</f>
        <v>0</v>
      </c>
      <c r="J221">
        <f>IF(物品!C361="",0,""""&amp;物品!C361&amp;"""")</f>
        <v>0</v>
      </c>
      <c r="K221" t="str">
        <f>IF(物品!T361="","""""",""""&amp;物品!T361&amp;"""")</f>
        <v>""</v>
      </c>
      <c r="L221">
        <f>IF(物品!U361="",0,""""&amp;物品!U361&amp;"""")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IF(物品!B362="",0,"'"&amp;物品!B362&amp;"'")</f>
        <v>0</v>
      </c>
      <c r="B222">
        <f>物品!D289</f>
        <v>0</v>
      </c>
      <c r="C222">
        <f>物品!E362</f>
        <v>0</v>
      </c>
      <c r="D222">
        <f>物品!F362</f>
        <v>0</v>
      </c>
      <c r="E222">
        <f>IF(ISTEXT(物品!G353)=TRUE,"'"&amp;物品!G353&amp;"'",物品!G353)</f>
        <v>0</v>
      </c>
      <c r="F222">
        <f>IF(ISTEXT(物品!H353)=TRUE,"'"&amp;物品!H353&amp;"'",物品!H353)</f>
        <v>0</v>
      </c>
      <c r="G222">
        <f>IF(物品!I362="",0,"'"&amp;物品!I362&amp;"'")</f>
        <v>0</v>
      </c>
      <c r="H222">
        <f>IF(物品!R353="",0,物品!R353)</f>
        <v>0</v>
      </c>
      <c r="I222">
        <f>IF(物品!S353="",0,物品!S353)</f>
        <v>0</v>
      </c>
      <c r="J222">
        <f>IF(物品!C362="",0,""""&amp;物品!C362&amp;"""")</f>
        <v>0</v>
      </c>
      <c r="K222" t="str">
        <f>IF(物品!T362="","""""",""""&amp;物品!T362&amp;"""")</f>
        <v>""</v>
      </c>
      <c r="L222">
        <f>IF(物品!U362="",0,""""&amp;物品!U362&amp;"""")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IF(物品!B363="",0,"'"&amp;物品!B363&amp;"'")</f>
        <v>0</v>
      </c>
      <c r="B223">
        <f>物品!D290</f>
        <v>0</v>
      </c>
      <c r="C223">
        <f>物品!E363</f>
        <v>0</v>
      </c>
      <c r="D223">
        <f>物品!F363</f>
        <v>0</v>
      </c>
      <c r="E223">
        <f>IF(ISTEXT(物品!G354)=TRUE,"'"&amp;物品!G354&amp;"'",物品!G354)</f>
        <v>0</v>
      </c>
      <c r="F223">
        <f>IF(ISTEXT(物品!H354)=TRUE,"'"&amp;物品!H354&amp;"'",物品!H354)</f>
        <v>0</v>
      </c>
      <c r="G223">
        <f>IF(物品!I363="",0,"'"&amp;物品!I363&amp;"'")</f>
        <v>0</v>
      </c>
      <c r="H223">
        <f>IF(物品!R354="",0,物品!R354)</f>
        <v>0</v>
      </c>
      <c r="I223">
        <f>IF(物品!S354="",0,物品!S354)</f>
        <v>0</v>
      </c>
      <c r="J223">
        <f>IF(物品!C363="",0,""""&amp;物品!C363&amp;"""")</f>
        <v>0</v>
      </c>
      <c r="K223" t="str">
        <f>IF(物品!T363="","""""",""""&amp;物品!T363&amp;"""")</f>
        <v>""</v>
      </c>
      <c r="L223">
        <f>IF(物品!U363="",0,""""&amp;物品!U363&amp;"""")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IF(物品!B364="",0,"'"&amp;物品!B364&amp;"'")</f>
        <v>0</v>
      </c>
      <c r="B224">
        <f>物品!D291</f>
        <v>0</v>
      </c>
      <c r="C224">
        <f>物品!E364</f>
        <v>0</v>
      </c>
      <c r="D224">
        <f>物品!F364</f>
        <v>0</v>
      </c>
      <c r="E224">
        <f>IF(ISTEXT(物品!G355)=TRUE,"'"&amp;物品!G355&amp;"'",物品!G355)</f>
        <v>0</v>
      </c>
      <c r="F224">
        <f>IF(ISTEXT(物品!H355)=TRUE,"'"&amp;物品!H355&amp;"'",物品!H355)</f>
        <v>0</v>
      </c>
      <c r="G224">
        <f>IF(物品!I364="",0,"'"&amp;物品!I364&amp;"'")</f>
        <v>0</v>
      </c>
      <c r="H224">
        <f>IF(物品!R355="",0,物品!R355)</f>
        <v>0</v>
      </c>
      <c r="I224">
        <f>IF(物品!S355="",0,物品!S355)</f>
        <v>0</v>
      </c>
      <c r="J224">
        <f>IF(物品!C364="",0,""""&amp;物品!C364&amp;"""")</f>
        <v>0</v>
      </c>
      <c r="K224" t="str">
        <f>IF(物品!T364="","""""",""""&amp;物品!T364&amp;"""")</f>
        <v>""</v>
      </c>
      <c r="L224">
        <f>IF(物品!U364="",0,""""&amp;物品!U364&amp;"""")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IF(物品!B365="",0,"'"&amp;物品!B365&amp;"'")</f>
        <v>0</v>
      </c>
      <c r="B225">
        <f>物品!D292</f>
        <v>0</v>
      </c>
      <c r="C225">
        <f>物品!E365</f>
        <v>0</v>
      </c>
      <c r="D225">
        <f>物品!F365</f>
        <v>0</v>
      </c>
      <c r="E225">
        <f>IF(ISTEXT(物品!G356)=TRUE,"'"&amp;物品!G356&amp;"'",物品!G356)</f>
        <v>0</v>
      </c>
      <c r="F225">
        <f>IF(ISTEXT(物品!H356)=TRUE,"'"&amp;物品!H356&amp;"'",物品!H356)</f>
        <v>0</v>
      </c>
      <c r="G225">
        <f>IF(物品!I365="",0,"'"&amp;物品!I365&amp;"'")</f>
        <v>0</v>
      </c>
      <c r="H225">
        <f>IF(物品!R356="",0,物品!R356)</f>
        <v>0</v>
      </c>
      <c r="I225">
        <f>IF(物品!S356="",0,物品!S356)</f>
        <v>0</v>
      </c>
      <c r="J225">
        <f>IF(物品!C365="",0,""""&amp;物品!C365&amp;"""")</f>
        <v>0</v>
      </c>
      <c r="K225" t="str">
        <f>IF(物品!T365="","""""",""""&amp;物品!T365&amp;"""")</f>
        <v>""</v>
      </c>
      <c r="L225">
        <f>IF(物品!U365="",0,""""&amp;物品!U365&amp;"""")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7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1875" customWidth="1"/>
    <col min="2" max="2" width="18.109375" customWidth="1"/>
    <col min="3" max="12" width="9" hidden="1" customWidth="1"/>
    <col min="13" max="13" width="9.88671875" hidden="1" customWidth="1"/>
    <col min="14" max="23" width="9" hidden="1" customWidth="1"/>
    <col min="24" max="24" width="9.88671875" hidden="1" customWidth="1"/>
    <col min="25" max="34" width="9" hidden="1" customWidth="1"/>
    <col min="35" max="35" width="9.88671875" hidden="1" customWidth="1"/>
    <col min="36" max="45" width="9" hidden="1" customWidth="1"/>
    <col min="46" max="46" width="9.88671875" hidden="1" customWidth="1"/>
    <col min="47" max="56" width="9" hidden="1" customWidth="1"/>
    <col min="57" max="57" width="9.88671875" hidden="1" customWidth="1"/>
    <col min="58" max="67" width="9" hidden="1" customWidth="1"/>
    <col min="68" max="68" width="9.88671875" hidden="1" customWidth="1"/>
    <col min="69" max="78" width="9" hidden="1" customWidth="1"/>
    <col min="79" max="79" width="9.88671875" hidden="1" customWidth="1"/>
    <col min="80" max="86" width="20.6640625" customWidth="1"/>
  </cols>
  <sheetData>
    <row r="1" spans="1:86">
      <c r="B1" s="37"/>
      <c r="CC1" s="10" t="s">
        <v>905</v>
      </c>
      <c r="CD1" s="10" t="s">
        <v>905</v>
      </c>
      <c r="CE1" s="10" t="s">
        <v>905</v>
      </c>
      <c r="CF1" s="10" t="s">
        <v>905</v>
      </c>
      <c r="CH1" s="10" t="s">
        <v>905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906</v>
      </c>
      <c r="CC2" s="10" t="s">
        <v>907</v>
      </c>
      <c r="CD2" s="10" t="s">
        <v>908</v>
      </c>
      <c r="CE2" s="10" t="s">
        <v>909</v>
      </c>
      <c r="CF2" s="10" t="s">
        <v>910</v>
      </c>
      <c r="CG2" s="10" t="s">
        <v>911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7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96"/>
  <sheetViews>
    <sheetView topLeftCell="A31" workbookViewId="0">
      <selection activeCell="E38" sqref="E38:E47"/>
    </sheetView>
  </sheetViews>
  <sheetFormatPr defaultColWidth="9" defaultRowHeight="13.8"/>
  <cols>
    <col min="4" max="4" width="12.21875" customWidth="1"/>
  </cols>
  <sheetData>
    <row r="1" spans="1:11">
      <c r="A1" s="10" t="s">
        <v>912</v>
      </c>
      <c r="B1" s="10" t="s">
        <v>913</v>
      </c>
      <c r="C1" s="10" t="s">
        <v>914</v>
      </c>
      <c r="D1" s="10" t="s">
        <v>915</v>
      </c>
      <c r="E1" s="10" t="s">
        <v>916</v>
      </c>
    </row>
    <row r="2" spans="1:11" ht="15">
      <c r="A2" s="9">
        <v>1</v>
      </c>
      <c r="B2" s="9" t="s">
        <v>917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 xml:space="preserve">            ItemPoolAddItemType(ItemPool[1],'IN01',4)</v>
      </c>
    </row>
    <row r="3" spans="1:11" ht="15">
      <c r="A3" s="9">
        <v>1</v>
      </c>
      <c r="B3" s="9" t="s">
        <v>918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 xml:space="preserve">            ItemPoolAddItemType(ItemPool[1],'IN02',4)</v>
      </c>
    </row>
    <row r="4" spans="1:11" ht="15">
      <c r="A4" s="9">
        <v>1</v>
      </c>
      <c r="B4" s="9" t="s">
        <v>919</v>
      </c>
      <c r="C4" s="20">
        <v>4</v>
      </c>
      <c r="D4" s="10" t="e">
        <f>VLOOKUP(B4,物品!B:E,2,FALSE)</f>
        <v>#N/A</v>
      </c>
      <c r="E4" t="str">
        <f t="shared" si="0"/>
        <v xml:space="preserve">            ItemPoolAddItemType(ItemPool[1],'IN03',4)</v>
      </c>
    </row>
    <row r="5" spans="1:11" ht="15">
      <c r="A5" s="9">
        <v>1</v>
      </c>
      <c r="B5" s="9" t="s">
        <v>920</v>
      </c>
      <c r="C5" s="20">
        <v>1</v>
      </c>
      <c r="D5" s="10" t="e">
        <f>VLOOKUP(B5,物品!B:E,2,FALSE)</f>
        <v>#N/A</v>
      </c>
      <c r="E5" t="str">
        <f t="shared" si="0"/>
        <v xml:space="preserve">            ItemPoolAddItemType(ItemPool[1],'IN04',1)</v>
      </c>
    </row>
    <row r="6" spans="1:11" ht="15">
      <c r="A6" s="9">
        <v>1</v>
      </c>
      <c r="B6" s="9" t="s">
        <v>921</v>
      </c>
      <c r="C6" s="20">
        <v>1</v>
      </c>
      <c r="D6" s="10" t="e">
        <f>VLOOKUP(B6,物品!B:E,2,FALSE)</f>
        <v>#N/A</v>
      </c>
      <c r="E6" t="str">
        <f t="shared" si="0"/>
        <v xml:space="preserve">            ItemPoolAddItemType(ItemPool[1],'IN05',1)</v>
      </c>
    </row>
    <row r="7" spans="1:11" ht="15">
      <c r="A7" s="9">
        <v>1</v>
      </c>
      <c r="B7" s="9" t="s">
        <v>922</v>
      </c>
      <c r="C7" s="20">
        <v>1</v>
      </c>
      <c r="D7" s="10" t="e">
        <f>VLOOKUP(B7,物品!B:E,2,FALSE)</f>
        <v>#N/A</v>
      </c>
      <c r="E7" t="str">
        <f t="shared" si="0"/>
        <v xml:space="preserve">            ItemPoolAddItemType(ItemPool[1],'IN06',1)</v>
      </c>
    </row>
    <row r="8" spans="1:11" ht="15">
      <c r="A8" s="9">
        <v>1</v>
      </c>
      <c r="B8" s="9" t="s">
        <v>548</v>
      </c>
      <c r="C8" s="20">
        <v>2</v>
      </c>
      <c r="D8" s="10" t="str">
        <f>VLOOKUP(B8,物品!B:E,2,FALSE)</f>
        <v>|Cff00BFFF来份快餐|r</v>
      </c>
      <c r="E8" t="str">
        <f t="shared" si="0"/>
        <v xml:space="preserve">            ItemPoolAddItemType(ItemPool[1],'IN07',2)</v>
      </c>
    </row>
    <row r="9" spans="1:11" ht="15">
      <c r="A9" s="9">
        <v>1</v>
      </c>
      <c r="B9" s="9" t="s">
        <v>551</v>
      </c>
      <c r="C9" s="20">
        <v>2</v>
      </c>
      <c r="D9" s="10" t="str">
        <f>VLOOKUP(B9,物品!B:E,2,FALSE)</f>
        <v>|CffFF0000抬你一手|r</v>
      </c>
      <c r="E9" t="str">
        <f t="shared" si="0"/>
        <v xml:space="preserve">            ItemPoolAddItemType(ItemPool[1],'IN08',2)</v>
      </c>
    </row>
    <row r="10" spans="1:11" ht="15">
      <c r="A10" s="9">
        <v>1</v>
      </c>
      <c r="B10" s="9" t="s">
        <v>554</v>
      </c>
      <c r="C10" s="20">
        <v>3</v>
      </c>
      <c r="D10" s="10" t="str">
        <f>VLOOKUP(B10,物品!B:E,2,FALSE)</f>
        <v>|CffFFC926死者苏生|r</v>
      </c>
      <c r="E10" t="str">
        <f t="shared" si="0"/>
        <v xml:space="preserve">            ItemPoolAddItemType(ItemPool[1],'IN09',3)</v>
      </c>
    </row>
    <row r="11" spans="1:11" ht="15">
      <c r="A11" s="9">
        <v>1</v>
      </c>
      <c r="B11" s="9" t="s">
        <v>557</v>
      </c>
      <c r="C11" s="20">
        <v>2</v>
      </c>
      <c r="D11" s="10" t="str">
        <f>VLOOKUP(B11,物品!B:E,2,FALSE)</f>
        <v>|Cff00BFFF福娃这么可爱..|r</v>
      </c>
      <c r="E11" t="str">
        <f t="shared" si="0"/>
        <v xml:space="preserve">            ItemPoolAddItemType(ItemPool[1],'IN10',2)</v>
      </c>
      <c r="K11" s="35"/>
    </row>
    <row r="12" spans="1:11" ht="15">
      <c r="A12" s="9">
        <v>1</v>
      </c>
      <c r="B12" s="9" t="s">
        <v>560</v>
      </c>
      <c r="C12" s="20">
        <v>2</v>
      </c>
      <c r="D12" s="10" t="str">
        <f>VLOOKUP(B12,物品!B:E,2,FALSE)</f>
        <v>|CffFFC926奥里给Lo他|r</v>
      </c>
      <c r="E12" t="str">
        <f t="shared" si="0"/>
        <v xml:space="preserve">            ItemPoolAddItemType(ItemPool[1],'IN11',2)</v>
      </c>
    </row>
    <row r="13" spans="1:11" ht="15">
      <c r="A13" s="9">
        <v>1</v>
      </c>
      <c r="B13" s="9" t="s">
        <v>563</v>
      </c>
      <c r="C13" s="20">
        <v>2</v>
      </c>
      <c r="D13" s="10" t="str">
        <f>VLOOKUP(B13,物品!B:E,2,FALSE)</f>
        <v>|CffFF0000以逸待劳|r</v>
      </c>
      <c r="E13" t="str">
        <f t="shared" si="0"/>
        <v xml:space="preserve">            ItemPoolAddItemType(ItemPool[1],'IN12',2)</v>
      </c>
    </row>
    <row r="14" spans="1:11" ht="15">
      <c r="A14" s="9">
        <v>1</v>
      </c>
      <c r="B14" s="9" t="s">
        <v>566</v>
      </c>
      <c r="C14" s="20">
        <v>4</v>
      </c>
      <c r="D14" s="10" t="str">
        <f>VLOOKUP(B14,物品!B:E,2,FALSE)</f>
        <v>|CffFF0000全军出击|r</v>
      </c>
      <c r="E14" t="str">
        <f t="shared" si="0"/>
        <v xml:space="preserve">            ItemPoolAddItemType(ItemPool[1],'IN13',4)</v>
      </c>
    </row>
    <row r="15" spans="1:11" ht="15">
      <c r="A15" s="9">
        <v>1</v>
      </c>
      <c r="B15" s="9" t="s">
        <v>569</v>
      </c>
      <c r="C15" s="20">
        <v>1</v>
      </c>
      <c r="D15" s="10" t="str">
        <f>VLOOKUP(B15,物品!B:E,2,FALSE)</f>
        <v>|CffFFC926心跳时刻|r</v>
      </c>
      <c r="E15" t="str">
        <f t="shared" si="0"/>
        <v xml:space="preserve">            ItemPoolAddItemType(ItemPool[1],'IN14',1)</v>
      </c>
    </row>
    <row r="16" spans="1:11" ht="15">
      <c r="A16" s="9">
        <v>1</v>
      </c>
      <c r="B16" s="9" t="s">
        <v>572</v>
      </c>
      <c r="C16" s="20">
        <v>1</v>
      </c>
      <c r="D16" s="10" t="str">
        <f>VLOOKUP(B16,物品!B:E,2,FALSE)</f>
        <v>|CffFFC926据守|r</v>
      </c>
      <c r="E16" t="str">
        <f t="shared" si="0"/>
        <v xml:space="preserve">            ItemPoolAddItemType(ItemPool[1],'IN15',1)</v>
      </c>
    </row>
    <row r="17" spans="1:5" ht="15">
      <c r="A17" s="9">
        <v>1</v>
      </c>
      <c r="B17" s="9" t="s">
        <v>575</v>
      </c>
      <c r="C17" s="20">
        <v>1</v>
      </c>
      <c r="D17" s="10" t="str">
        <f>VLOOKUP(B17,物品!B:E,2,FALSE)</f>
        <v>赌输可退</v>
      </c>
      <c r="E17" t="str">
        <f t="shared" si="0"/>
        <v xml:space="preserve">            ItemPoolAddItemType(ItemPool[1],'IN16',1)</v>
      </c>
    </row>
    <row r="18" spans="1:5" ht="15">
      <c r="A18" s="9">
        <v>1</v>
      </c>
      <c r="B18" s="9" t="s">
        <v>578</v>
      </c>
      <c r="C18" s="20">
        <v>2</v>
      </c>
      <c r="D18" s="10" t="str">
        <f>VLOOKUP(B18,物品!B:E,2,FALSE)</f>
        <v>|Cff00BFFF来点玄铁|r</v>
      </c>
      <c r="E18" t="str">
        <f t="shared" si="0"/>
        <v xml:space="preserve">            ItemPoolAddItemType(ItemPool[1],'IN17',2)</v>
      </c>
    </row>
    <row r="19" spans="1:5" ht="15">
      <c r="A19" s="9">
        <v>1</v>
      </c>
      <c r="B19" s="9" t="s">
        <v>581</v>
      </c>
      <c r="C19" s="20">
        <v>2</v>
      </c>
      <c r="D19" s="10" t="str">
        <f>VLOOKUP(B19,物品!B:E,2,FALSE)</f>
        <v>|CffFFC926恭喜发财|r</v>
      </c>
      <c r="E19" t="str">
        <f t="shared" si="0"/>
        <v xml:space="preserve">            ItemPoolAddItemType(ItemPool[1],'IN18',2)</v>
      </c>
    </row>
    <row r="20" spans="1:5">
      <c r="A20" s="34"/>
      <c r="B20" s="10"/>
      <c r="C20" s="20"/>
      <c r="D20" s="10"/>
    </row>
    <row r="21" spans="1:5" ht="15">
      <c r="A21" s="9">
        <v>2</v>
      </c>
      <c r="B21" s="28" t="s">
        <v>842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 xml:space="preserve">            ItemPoolAddItemType(ItemPool[2],'IF01',3)</v>
      </c>
    </row>
    <row r="22" spans="1:5" ht="15">
      <c r="A22" s="9">
        <v>2</v>
      </c>
      <c r="B22" s="28" t="s">
        <v>844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 xml:space="preserve">            ItemPoolAddItemType(ItemPool[2],'IF02',3)</v>
      </c>
    </row>
    <row r="23" spans="1:5" ht="15">
      <c r="A23" s="9">
        <v>2</v>
      </c>
      <c r="B23" s="28" t="s">
        <v>845</v>
      </c>
      <c r="C23" s="20">
        <v>1</v>
      </c>
      <c r="D23" s="10" t="str">
        <f>VLOOKUP(B23,物品!B:E,2,FALSE)</f>
        <v>附魔</v>
      </c>
      <c r="E23" t="str">
        <f t="shared" si="1"/>
        <v xml:space="preserve">            ItemPoolAddItemType(ItemPool[2],'IF03',1)</v>
      </c>
    </row>
    <row r="24" spans="1:5" ht="15">
      <c r="A24" s="9">
        <v>2</v>
      </c>
      <c r="B24" s="28" t="s">
        <v>846</v>
      </c>
      <c r="C24" s="20">
        <v>1</v>
      </c>
      <c r="D24" s="10" t="str">
        <f>VLOOKUP(B24,物品!B:E,2,FALSE)</f>
        <v>附魔</v>
      </c>
      <c r="E24" t="str">
        <f t="shared" si="1"/>
        <v xml:space="preserve">            ItemPoolAddItemType(ItemPool[2],'IF04',1)</v>
      </c>
    </row>
    <row r="25" spans="1:5" ht="15">
      <c r="A25" s="9">
        <v>2</v>
      </c>
      <c r="B25" s="28" t="s">
        <v>847</v>
      </c>
      <c r="C25" s="20">
        <v>1</v>
      </c>
      <c r="D25" s="10" t="str">
        <f>VLOOKUP(B25,物品!B:E,2,FALSE)</f>
        <v>附魔</v>
      </c>
      <c r="E25" t="str">
        <f t="shared" si="1"/>
        <v xml:space="preserve">            ItemPoolAddItemType(ItemPool[2],'IF05',1)</v>
      </c>
    </row>
    <row r="26" spans="1:5" ht="15">
      <c r="A26" s="9">
        <v>2</v>
      </c>
      <c r="B26" s="28" t="s">
        <v>848</v>
      </c>
      <c r="C26" s="20">
        <v>1</v>
      </c>
      <c r="D26" s="10" t="str">
        <f>VLOOKUP(B26,物品!B:E,2,FALSE)</f>
        <v>附魔</v>
      </c>
      <c r="E26" t="str">
        <f t="shared" si="1"/>
        <v xml:space="preserve">            ItemPoolAddItemType(ItemPool[2],'IF06',1)</v>
      </c>
    </row>
    <row r="27" spans="1:5" ht="15">
      <c r="A27" s="9">
        <v>2</v>
      </c>
      <c r="B27" s="28" t="s">
        <v>849</v>
      </c>
      <c r="C27" s="20">
        <v>3</v>
      </c>
      <c r="D27" s="10" t="str">
        <f>VLOOKUP(B27,物品!B:E,2,FALSE)</f>
        <v>附魔</v>
      </c>
      <c r="E27" t="str">
        <f t="shared" si="1"/>
        <v xml:space="preserve">            ItemPoolAddItemType(ItemPool[2],'IF07',3)</v>
      </c>
    </row>
    <row r="28" spans="1:5" ht="15">
      <c r="A28" s="9">
        <v>2</v>
      </c>
      <c r="B28" s="28" t="s">
        <v>850</v>
      </c>
      <c r="C28" s="20">
        <v>3</v>
      </c>
      <c r="D28" s="10" t="str">
        <f>VLOOKUP(B28,物品!B:E,2,FALSE)</f>
        <v>附魔</v>
      </c>
      <c r="E28" t="str">
        <f t="shared" si="1"/>
        <v xml:space="preserve">            ItemPoolAddItemType(ItemPool[2],'IF08',3)</v>
      </c>
    </row>
    <row r="29" spans="1:5" ht="15">
      <c r="A29" s="9">
        <v>2</v>
      </c>
      <c r="B29" s="28" t="s">
        <v>851</v>
      </c>
      <c r="C29" s="20">
        <v>1</v>
      </c>
      <c r="D29" s="10" t="str">
        <f>VLOOKUP(B29,物品!B:E,2,FALSE)</f>
        <v>附魔</v>
      </c>
      <c r="E29" t="str">
        <f t="shared" si="1"/>
        <v xml:space="preserve">            ItemPoolAddItemType(ItemPool[2],'IF09',1)</v>
      </c>
    </row>
    <row r="30" spans="1:5" ht="15">
      <c r="A30" s="9">
        <v>2</v>
      </c>
      <c r="B30" s="28" t="s">
        <v>852</v>
      </c>
      <c r="C30" s="20">
        <v>1</v>
      </c>
      <c r="D30" s="10" t="str">
        <f>VLOOKUP(B30,物品!B:E,2,FALSE)</f>
        <v>附魔</v>
      </c>
      <c r="E30" t="str">
        <f t="shared" si="1"/>
        <v xml:space="preserve">            ItemPoolAddItemType(ItemPool[2],'IF10',1)</v>
      </c>
    </row>
    <row r="31" spans="1:5" ht="15">
      <c r="A31" s="9">
        <v>2</v>
      </c>
      <c r="B31" s="28" t="s">
        <v>853</v>
      </c>
      <c r="C31" s="20">
        <v>2</v>
      </c>
      <c r="D31" s="10" t="str">
        <f>VLOOKUP(B31,物品!B:E,2,FALSE)</f>
        <v>附魔</v>
      </c>
      <c r="E31" t="str">
        <f t="shared" si="1"/>
        <v xml:space="preserve">            ItemPoolAddItemType(ItemPool[2],'IF11',2)</v>
      </c>
    </row>
    <row r="32" spans="1:5" ht="15">
      <c r="A32" s="9">
        <v>2</v>
      </c>
      <c r="B32" s="28" t="s">
        <v>854</v>
      </c>
      <c r="C32" s="20">
        <v>1</v>
      </c>
      <c r="D32" s="10" t="str">
        <f>VLOOKUP(B32,物品!B:E,2,FALSE)</f>
        <v>附魔</v>
      </c>
      <c r="E32" t="str">
        <f t="shared" si="1"/>
        <v xml:space="preserve">            ItemPoolAddItemType(ItemPool[2],'IF12',1)</v>
      </c>
    </row>
    <row r="33" spans="1:5" ht="15">
      <c r="A33" s="9">
        <v>2</v>
      </c>
      <c r="B33" s="28" t="s">
        <v>855</v>
      </c>
      <c r="C33" s="20">
        <v>3</v>
      </c>
      <c r="D33" s="10" t="str">
        <f>VLOOKUP(B33,物品!B:E,2,FALSE)</f>
        <v>附魔</v>
      </c>
      <c r="E33" t="str">
        <f t="shared" si="1"/>
        <v xml:space="preserve">            ItemPoolAddItemType(ItemPool[2],'IF13',3)</v>
      </c>
    </row>
    <row r="34" spans="1:5" ht="15">
      <c r="A34" s="9">
        <v>2</v>
      </c>
      <c r="B34" s="28" t="s">
        <v>856</v>
      </c>
      <c r="C34" s="20">
        <v>2</v>
      </c>
      <c r="D34" s="10" t="str">
        <f>VLOOKUP(B34,物品!B:E,2,FALSE)</f>
        <v>附魔</v>
      </c>
      <c r="E34" t="str">
        <f t="shared" si="1"/>
        <v xml:space="preserve">            ItemPoolAddItemType(ItemPool[2],'IF14',2)</v>
      </c>
    </row>
    <row r="35" spans="1:5" ht="15">
      <c r="A35" s="9">
        <v>2</v>
      </c>
      <c r="B35" s="28" t="s">
        <v>857</v>
      </c>
      <c r="C35" s="20">
        <v>1</v>
      </c>
      <c r="D35" s="10" t="str">
        <f>VLOOKUP(B35,物品!B:E,2,FALSE)</f>
        <v>附魔</v>
      </c>
      <c r="E35" t="str">
        <f t="shared" si="1"/>
        <v xml:space="preserve">            ItemPoolAddItemType(ItemPool[2],'IF15',1)</v>
      </c>
    </row>
    <row r="36" spans="1:5" ht="15">
      <c r="A36" s="9">
        <v>2</v>
      </c>
      <c r="B36" s="28" t="s">
        <v>858</v>
      </c>
      <c r="C36" s="20">
        <v>2</v>
      </c>
      <c r="D36" s="10" t="str">
        <f>VLOOKUP(B36,物品!B:E,2,FALSE)</f>
        <v>附魔</v>
      </c>
      <c r="E36" t="str">
        <f t="shared" si="1"/>
        <v xml:space="preserve">            ItemPoolAddItemType(ItemPool[2],'IF16',2)</v>
      </c>
    </row>
    <row r="37" spans="1:5" ht="15">
      <c r="A37" s="9">
        <v>2</v>
      </c>
      <c r="B37" s="28" t="s">
        <v>859</v>
      </c>
      <c r="C37" s="20">
        <v>1</v>
      </c>
      <c r="D37" s="10" t="str">
        <f>VLOOKUP(B37,物品!B:E,2,FALSE)</f>
        <v>附魔</v>
      </c>
      <c r="E37" t="str">
        <f t="shared" si="1"/>
        <v xml:space="preserve">            ItemPoolAddItemType(ItemPool[2],'IF17',1)</v>
      </c>
    </row>
    <row r="38" spans="1:5" ht="15">
      <c r="A38" s="9">
        <v>2</v>
      </c>
      <c r="B38" s="28" t="s">
        <v>860</v>
      </c>
      <c r="C38" s="20">
        <v>2</v>
      </c>
      <c r="D38" s="10" t="str">
        <f>VLOOKUP(B38,物品!B:E,2,FALSE)</f>
        <v>附魔</v>
      </c>
      <c r="E38" t="str">
        <f t="shared" si="1"/>
        <v xml:space="preserve">            ItemPoolAddItemType(ItemPool[2],'IF18',2)</v>
      </c>
    </row>
    <row r="39" spans="1:5" ht="15">
      <c r="A39" s="9">
        <v>2</v>
      </c>
      <c r="B39" s="28" t="s">
        <v>861</v>
      </c>
      <c r="C39" s="20">
        <v>1</v>
      </c>
      <c r="D39" s="10" t="str">
        <f>VLOOKUP(B39,物品!B:E,2,FALSE)</f>
        <v>附魔</v>
      </c>
      <c r="E39" t="str">
        <f t="shared" si="1"/>
        <v xml:space="preserve">            ItemPoolAddItemType(ItemPool[2],'IF19',1)</v>
      </c>
    </row>
    <row r="40" spans="1:5" ht="15">
      <c r="A40" s="9">
        <v>2</v>
      </c>
      <c r="B40" s="28" t="s">
        <v>862</v>
      </c>
      <c r="C40" s="20">
        <v>3</v>
      </c>
      <c r="D40" s="10" t="str">
        <f>VLOOKUP(B40,物品!B:E,2,FALSE)</f>
        <v>附魔</v>
      </c>
      <c r="E40" t="str">
        <f t="shared" si="1"/>
        <v xml:space="preserve">            ItemPoolAddItemType(ItemPool[2],'IF20',3)</v>
      </c>
    </row>
    <row r="41" spans="1:5" ht="15">
      <c r="A41" s="9">
        <v>2</v>
      </c>
      <c r="B41" s="28" t="s">
        <v>863</v>
      </c>
      <c r="C41" s="20">
        <v>1</v>
      </c>
      <c r="D41" s="10" t="str">
        <f>VLOOKUP(B41,物品!B:E,2,FALSE)</f>
        <v>附魔</v>
      </c>
      <c r="E41" t="str">
        <f t="shared" si="1"/>
        <v xml:space="preserve">            ItemPoolAddItemType(ItemPool[2],'IF21',1)</v>
      </c>
    </row>
    <row r="42" spans="1:5" ht="15">
      <c r="A42" s="9">
        <v>2</v>
      </c>
      <c r="B42" s="28" t="s">
        <v>864</v>
      </c>
      <c r="C42" s="20">
        <v>3</v>
      </c>
      <c r="D42" s="10" t="str">
        <f>VLOOKUP(B42,物品!B:E,2,FALSE)</f>
        <v>附魔</v>
      </c>
      <c r="E42" t="str">
        <f t="shared" si="1"/>
        <v xml:space="preserve">            ItemPoolAddItemType(ItemPool[2],'IF22',3)</v>
      </c>
    </row>
    <row r="43" spans="1:5" ht="15">
      <c r="A43" s="9">
        <v>2</v>
      </c>
      <c r="B43" s="28" t="s">
        <v>865</v>
      </c>
      <c r="C43" s="20">
        <v>1</v>
      </c>
      <c r="D43" s="10" t="str">
        <f>VLOOKUP(B43,物品!B:E,2,FALSE)</f>
        <v>附魔</v>
      </c>
      <c r="E43" t="str">
        <f t="shared" si="1"/>
        <v xml:space="preserve">            ItemPoolAddItemType(ItemPool[2],'IF23',1)</v>
      </c>
    </row>
    <row r="44" spans="1:5" ht="15">
      <c r="A44" s="9">
        <v>2</v>
      </c>
      <c r="B44" s="28" t="s">
        <v>866</v>
      </c>
      <c r="C44" s="20">
        <v>2</v>
      </c>
      <c r="D44" s="10" t="str">
        <f>VLOOKUP(B44,物品!B:E,2,FALSE)</f>
        <v>附魔</v>
      </c>
      <c r="E44" t="str">
        <f t="shared" si="1"/>
        <v xml:space="preserve">            ItemPoolAddItemType(ItemPool[2],'IF24',2)</v>
      </c>
    </row>
    <row r="45" spans="1:5" ht="15">
      <c r="A45" s="9">
        <v>2</v>
      </c>
      <c r="B45" s="28" t="s">
        <v>867</v>
      </c>
      <c r="C45" s="20">
        <v>2</v>
      </c>
      <c r="D45" s="10" t="str">
        <f>VLOOKUP(B45,物品!B:E,2,FALSE)</f>
        <v>附魔</v>
      </c>
      <c r="E45" t="str">
        <f t="shared" si="1"/>
        <v xml:space="preserve">            ItemPoolAddItemType(ItemPool[2],'IF25',2)</v>
      </c>
    </row>
    <row r="46" spans="1:5" ht="15">
      <c r="A46" s="9">
        <v>2</v>
      </c>
      <c r="B46" s="28" t="s">
        <v>868</v>
      </c>
      <c r="C46" s="20">
        <v>3</v>
      </c>
      <c r="D46" s="10" t="str">
        <f>VLOOKUP(B46,物品!B:E,2,FALSE)</f>
        <v>附魔</v>
      </c>
      <c r="E46" t="str">
        <f t="shared" si="1"/>
        <v xml:space="preserve">            ItemPoolAddItemType(ItemPool[2],'IF26',3)</v>
      </c>
    </row>
    <row r="47" spans="1:5" ht="15">
      <c r="A47" s="9">
        <v>2</v>
      </c>
      <c r="B47" s="28" t="s">
        <v>869</v>
      </c>
      <c r="C47" s="20">
        <v>3</v>
      </c>
      <c r="D47" s="10" t="str">
        <f>VLOOKUP(B47,物品!B:E,2,FALSE)</f>
        <v>附魔</v>
      </c>
      <c r="E47" t="str">
        <f t="shared" si="1"/>
        <v xml:space="preserve">            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5">
      <c r="A83" s="34"/>
      <c r="B83" s="14"/>
      <c r="C83" s="34"/>
      <c r="D83" s="10"/>
    </row>
    <row r="84" spans="1:4" ht="15">
      <c r="A84" s="34"/>
      <c r="B84" s="14"/>
      <c r="C84" s="34"/>
      <c r="D84" s="10"/>
    </row>
    <row r="85" spans="1:4" ht="15">
      <c r="A85" s="34"/>
      <c r="B85" s="14"/>
      <c r="C85" s="34"/>
      <c r="D85" s="10"/>
    </row>
    <row r="86" spans="1:4" ht="15">
      <c r="A86" s="34"/>
      <c r="B86" s="14"/>
      <c r="C86" s="34"/>
      <c r="D86" s="10"/>
    </row>
    <row r="87" spans="1:4" ht="15">
      <c r="A87" s="34"/>
      <c r="B87" s="14"/>
      <c r="C87" s="34"/>
      <c r="D87" s="10"/>
    </row>
    <row r="88" spans="1:4" ht="15">
      <c r="A88" s="34"/>
      <c r="B88" s="14"/>
      <c r="C88" s="34"/>
      <c r="D88" s="10"/>
    </row>
    <row r="89" spans="1:4" ht="15">
      <c r="A89" s="34"/>
      <c r="B89" s="2"/>
      <c r="C89" s="34"/>
      <c r="D89" s="10"/>
    </row>
    <row r="90" spans="1:4" ht="15">
      <c r="A90" s="34"/>
      <c r="B90" s="14"/>
      <c r="C90" s="34"/>
      <c r="D90" s="10"/>
    </row>
    <row r="91" spans="1:4" ht="15">
      <c r="A91" s="34"/>
      <c r="B91" s="14"/>
      <c r="C91" s="34"/>
      <c r="D91" s="10"/>
    </row>
    <row r="92" spans="1:4" ht="15">
      <c r="A92" s="34"/>
      <c r="B92" s="14"/>
      <c r="C92" s="34"/>
      <c r="D92" s="10"/>
    </row>
    <row r="93" spans="1:4" ht="15">
      <c r="B93" s="14"/>
      <c r="C93" s="34"/>
      <c r="D93" s="10"/>
    </row>
    <row r="94" spans="1:4" ht="15">
      <c r="B94" s="14"/>
      <c r="C94" s="34"/>
      <c r="D94" s="10"/>
    </row>
    <row r="95" spans="1:4" ht="15">
      <c r="A95" s="10"/>
      <c r="B95" s="36"/>
      <c r="D95" s="10"/>
    </row>
    <row r="96" spans="1:4" ht="15">
      <c r="A96" s="10"/>
      <c r="B96" s="36"/>
      <c r="D96" s="10"/>
    </row>
    <row r="97" spans="1:4" ht="15">
      <c r="A97" s="10"/>
      <c r="B97" s="36"/>
      <c r="D97" s="10"/>
    </row>
    <row r="98" spans="1:4" ht="15">
      <c r="A98" s="10"/>
      <c r="B98" s="36"/>
      <c r="D98" s="10"/>
    </row>
    <row r="99" spans="1:4" ht="15">
      <c r="A99" s="10"/>
      <c r="B99" s="36"/>
      <c r="D99" s="10"/>
    </row>
    <row r="100" spans="1:4" ht="15">
      <c r="A100" s="10"/>
      <c r="B100" s="36"/>
      <c r="D100" s="10"/>
    </row>
    <row r="101" spans="1:4" ht="15">
      <c r="A101" s="10"/>
      <c r="B101" s="36"/>
      <c r="D101" s="10"/>
    </row>
    <row r="102" spans="1:4" ht="15">
      <c r="A102" s="10"/>
      <c r="B102" s="36"/>
      <c r="D102" s="10"/>
    </row>
    <row r="103" spans="1:4" ht="15">
      <c r="A103" s="10"/>
      <c r="B103" s="36"/>
      <c r="D103" s="10"/>
    </row>
    <row r="104" spans="1:4" ht="15">
      <c r="A104" s="10"/>
      <c r="B104" s="36"/>
      <c r="D104" s="10"/>
    </row>
    <row r="105" spans="1:4" ht="1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7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Y75"/>
  <sheetViews>
    <sheetView topLeftCell="A13" workbookViewId="0">
      <selection activeCell="I5" sqref="I5"/>
    </sheetView>
  </sheetViews>
  <sheetFormatPr defaultColWidth="9" defaultRowHeight="13.8"/>
  <cols>
    <col min="9" max="9" width="10.88671875" customWidth="1"/>
  </cols>
  <sheetData>
    <row r="1" spans="1:25">
      <c r="D1" t="s">
        <v>117</v>
      </c>
      <c r="E1" t="s">
        <v>118</v>
      </c>
      <c r="F1" t="s">
        <v>923</v>
      </c>
      <c r="G1" t="s">
        <v>924</v>
      </c>
      <c r="I1" t="s">
        <v>925</v>
      </c>
      <c r="J1">
        <v>11</v>
      </c>
      <c r="P1" t="s">
        <v>926</v>
      </c>
      <c r="U1" t="s">
        <v>927</v>
      </c>
      <c r="V1" t="s">
        <v>928</v>
      </c>
      <c r="X1" s="10" t="s">
        <v>929</v>
      </c>
    </row>
    <row r="2" spans="1:25">
      <c r="A2" t="s">
        <v>930</v>
      </c>
      <c r="D2">
        <v>800</v>
      </c>
      <c r="E2" s="31">
        <v>1</v>
      </c>
      <c r="F2" s="32">
        <f>D2/E2</f>
        <v>800</v>
      </c>
      <c r="I2" t="s">
        <v>931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932</v>
      </c>
      <c r="D3">
        <v>800</v>
      </c>
      <c r="E3" s="31">
        <v>1</v>
      </c>
      <c r="F3" s="32">
        <f t="shared" ref="F3:F25" si="1">D3/E3</f>
        <v>800</v>
      </c>
      <c r="I3" t="s">
        <v>933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934</v>
      </c>
      <c r="D4">
        <v>800</v>
      </c>
      <c r="E4" s="31">
        <v>1</v>
      </c>
      <c r="F4" s="32">
        <f t="shared" si="1"/>
        <v>800</v>
      </c>
      <c r="I4" t="s">
        <v>935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936</v>
      </c>
      <c r="D5">
        <v>800</v>
      </c>
      <c r="E5" s="31">
        <v>1</v>
      </c>
      <c r="F5" s="32">
        <f t="shared" si="1"/>
        <v>800</v>
      </c>
      <c r="I5" t="s">
        <v>937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938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939</v>
      </c>
      <c r="D7">
        <v>2500</v>
      </c>
      <c r="E7" s="31">
        <v>0.85</v>
      </c>
      <c r="F7" s="32">
        <f t="shared" si="1"/>
        <v>2941.1764705882356</v>
      </c>
      <c r="J7" t="s">
        <v>940</v>
      </c>
      <c r="K7" s="10" t="s">
        <v>941</v>
      </c>
      <c r="L7" s="10" t="s">
        <v>942</v>
      </c>
      <c r="M7" t="s">
        <v>943</v>
      </c>
      <c r="N7" t="s">
        <v>944</v>
      </c>
      <c r="P7">
        <f t="shared" si="0"/>
        <v>85</v>
      </c>
    </row>
    <row r="8" spans="1:25">
      <c r="A8" t="s">
        <v>945</v>
      </c>
      <c r="D8">
        <v>2500</v>
      </c>
      <c r="E8" s="31">
        <v>0.85</v>
      </c>
      <c r="F8" s="32">
        <f t="shared" si="1"/>
        <v>2941.1764705882356</v>
      </c>
      <c r="I8" t="s">
        <v>946</v>
      </c>
      <c r="J8" s="32">
        <f>G6/J$1/W2</f>
        <v>29.090909090909093</v>
      </c>
      <c r="K8" s="32">
        <f>D2/J$1/W2*J$2</f>
        <v>5.8181818181818192</v>
      </c>
      <c r="L8" s="32">
        <f>K8*8</f>
        <v>46.545454545454554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947</v>
      </c>
      <c r="D9">
        <v>2500</v>
      </c>
      <c r="E9" s="31">
        <v>0.85</v>
      </c>
      <c r="F9" s="32">
        <f t="shared" si="1"/>
        <v>2941.1764705882356</v>
      </c>
      <c r="I9" t="s">
        <v>948</v>
      </c>
      <c r="J9" s="32">
        <f>G11/J$1/W3</f>
        <v>35.650623885918009</v>
      </c>
      <c r="K9" s="32">
        <f>D6/J$1/W3*J$2</f>
        <v>6.0606060606060614</v>
      </c>
      <c r="L9" s="32">
        <f t="shared" ref="L9:L12" si="4">K9*8</f>
        <v>48.484848484848492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949</v>
      </c>
      <c r="D10">
        <v>2500</v>
      </c>
      <c r="E10" s="31">
        <v>0.85</v>
      </c>
      <c r="F10" s="32">
        <f t="shared" si="1"/>
        <v>2941.1764705882356</v>
      </c>
      <c r="I10" t="s">
        <v>950</v>
      </c>
      <c r="J10" s="32">
        <f>G16/J$1/W4</f>
        <v>75.560802833530119</v>
      </c>
      <c r="K10" s="32">
        <f>D11/J$1/W4*J$2</f>
        <v>13.223140495867771</v>
      </c>
      <c r="L10" s="32">
        <f t="shared" si="4"/>
        <v>105.78512396694217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951</v>
      </c>
      <c r="D11">
        <v>10000</v>
      </c>
      <c r="E11" s="31">
        <v>1</v>
      </c>
      <c r="F11" s="32">
        <f t="shared" si="1"/>
        <v>10000</v>
      </c>
      <c r="G11">
        <f>SUM(F7:F10)</f>
        <v>11764.705882352942</v>
      </c>
      <c r="I11" t="s">
        <v>952</v>
      </c>
      <c r="J11" s="32">
        <f>G21/J$1/W5</f>
        <v>134.6801346801347</v>
      </c>
      <c r="K11" s="32">
        <f>D16/J$1/W5*J$2</f>
        <v>24.242424242424246</v>
      </c>
      <c r="L11" s="32">
        <f t="shared" si="4"/>
        <v>193.93939393939397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953</v>
      </c>
      <c r="D12">
        <v>8000</v>
      </c>
      <c r="E12" s="31">
        <v>0.7</v>
      </c>
      <c r="F12" s="32">
        <f t="shared" si="1"/>
        <v>11428.571428571429</v>
      </c>
      <c r="I12" t="s">
        <v>954</v>
      </c>
      <c r="J12" s="32">
        <f>G26/J$1/W6</f>
        <v>169.69696969696972</v>
      </c>
      <c r="K12" s="32">
        <f>D21/J$1/W6*J$2</f>
        <v>16.969696969696972</v>
      </c>
      <c r="L12" s="32">
        <f t="shared" si="4"/>
        <v>135.75757575757578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955</v>
      </c>
      <c r="D13">
        <v>8000</v>
      </c>
      <c r="E13" s="31">
        <v>0.7</v>
      </c>
      <c r="F13" s="32">
        <f t="shared" si="1"/>
        <v>11428.571428571429</v>
      </c>
      <c r="J13" s="32"/>
      <c r="M13" t="s">
        <v>956</v>
      </c>
      <c r="N13">
        <f>SUM(N8:N12)</f>
        <v>1061280</v>
      </c>
      <c r="P13">
        <f t="shared" si="0"/>
        <v>70</v>
      </c>
    </row>
    <row r="14" spans="1:25">
      <c r="A14" t="s">
        <v>957</v>
      </c>
      <c r="D14">
        <v>8000</v>
      </c>
      <c r="E14" s="31">
        <v>0.7</v>
      </c>
      <c r="F14" s="32">
        <f t="shared" si="1"/>
        <v>11428.571428571429</v>
      </c>
      <c r="P14">
        <f t="shared" si="0"/>
        <v>70</v>
      </c>
    </row>
    <row r="15" spans="1:25">
      <c r="A15" t="s">
        <v>958</v>
      </c>
      <c r="D15">
        <v>8000</v>
      </c>
      <c r="E15" s="31">
        <v>0.7</v>
      </c>
      <c r="F15" s="32">
        <f t="shared" si="1"/>
        <v>11428.571428571429</v>
      </c>
      <c r="P15">
        <f t="shared" si="0"/>
        <v>70</v>
      </c>
    </row>
    <row r="16" spans="1:25">
      <c r="A16" t="s">
        <v>959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45714.285714285717</v>
      </c>
      <c r="J16">
        <v>1000</v>
      </c>
      <c r="K16" s="31">
        <v>1</v>
      </c>
      <c r="P16">
        <f t="shared" si="0"/>
        <v>100</v>
      </c>
    </row>
    <row r="17" spans="1:16">
      <c r="A17" t="s">
        <v>960</v>
      </c>
      <c r="D17">
        <v>20000</v>
      </c>
      <c r="E17" s="31">
        <v>0.6</v>
      </c>
      <c r="F17" s="32">
        <f t="shared" si="1"/>
        <v>33333.333333333336</v>
      </c>
      <c r="J17">
        <v>1000</v>
      </c>
      <c r="P17">
        <f t="shared" si="0"/>
        <v>60</v>
      </c>
    </row>
    <row r="18" spans="1:16">
      <c r="A18" t="s">
        <v>961</v>
      </c>
      <c r="D18">
        <v>20000</v>
      </c>
      <c r="E18" s="31">
        <v>0.6</v>
      </c>
      <c r="F18" s="32">
        <f t="shared" si="1"/>
        <v>33333.333333333336</v>
      </c>
      <c r="J18">
        <v>5000</v>
      </c>
      <c r="P18">
        <f t="shared" si="0"/>
        <v>60</v>
      </c>
    </row>
    <row r="19" spans="1:16">
      <c r="A19" t="s">
        <v>962</v>
      </c>
      <c r="D19">
        <v>20000</v>
      </c>
      <c r="E19" s="31">
        <v>0.6</v>
      </c>
      <c r="F19" s="32">
        <f t="shared" si="1"/>
        <v>33333.333333333336</v>
      </c>
      <c r="J19">
        <v>2500</v>
      </c>
      <c r="K19" s="31">
        <v>0.85</v>
      </c>
      <c r="P19">
        <f t="shared" si="0"/>
        <v>60</v>
      </c>
    </row>
    <row r="20" spans="1:16">
      <c r="A20" t="s">
        <v>963</v>
      </c>
      <c r="D20">
        <v>20000</v>
      </c>
      <c r="E20" s="31">
        <v>0.6</v>
      </c>
      <c r="F20" s="32">
        <f t="shared" si="1"/>
        <v>33333.333333333336</v>
      </c>
      <c r="J20">
        <v>2500</v>
      </c>
      <c r="P20">
        <f t="shared" si="0"/>
        <v>60</v>
      </c>
    </row>
    <row r="21" spans="1:16">
      <c r="A21" t="s">
        <v>964</v>
      </c>
      <c r="D21">
        <v>35000</v>
      </c>
      <c r="E21" s="31">
        <v>1</v>
      </c>
      <c r="F21" s="32">
        <f t="shared" si="1"/>
        <v>35000</v>
      </c>
      <c r="G21">
        <f>SUM(F17:F20)</f>
        <v>133333.33333333334</v>
      </c>
      <c r="J21">
        <v>10000</v>
      </c>
      <c r="P21">
        <f t="shared" si="0"/>
        <v>100</v>
      </c>
    </row>
    <row r="22" spans="1:16">
      <c r="A22" t="s">
        <v>965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966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967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968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969</v>
      </c>
      <c r="E26" t="s">
        <v>970</v>
      </c>
      <c r="F26" s="32">
        <f>SUM(F2:F25)</f>
        <v>551512.32492997206</v>
      </c>
      <c r="G26">
        <f>SUM(F22:F25)</f>
        <v>280000</v>
      </c>
      <c r="J26" s="10">
        <v>20000</v>
      </c>
    </row>
    <row r="27" spans="1:16">
      <c r="E27" t="s">
        <v>971</v>
      </c>
      <c r="F27">
        <f>F26*2</f>
        <v>1103024.6498599441</v>
      </c>
    </row>
    <row r="29" spans="1:16">
      <c r="K29" s="10"/>
    </row>
    <row r="30" spans="1:16">
      <c r="J30" s="10"/>
      <c r="K30" s="10"/>
    </row>
    <row r="31" spans="1:16">
      <c r="A31" s="10" t="s">
        <v>972</v>
      </c>
      <c r="B31" s="10" t="s">
        <v>117</v>
      </c>
      <c r="C31" s="10" t="s">
        <v>127</v>
      </c>
      <c r="F31" s="10" t="s">
        <v>973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974</v>
      </c>
      <c r="G32" s="10" t="s">
        <v>975</v>
      </c>
      <c r="H32" s="10" t="s">
        <v>923</v>
      </c>
      <c r="J32" s="10" t="s">
        <v>976</v>
      </c>
      <c r="K32" s="10" t="s">
        <v>977</v>
      </c>
      <c r="L32" s="10" t="s">
        <v>1</v>
      </c>
      <c r="M32" s="10" t="s">
        <v>923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0.58000000000000007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1.6400000000000001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1.9800000000000002</v>
      </c>
      <c r="K41" s="10"/>
      <c r="M41" s="10" t="s">
        <v>970</v>
      </c>
      <c r="N41">
        <f>SUM(N33:N40)</f>
        <v>28860</v>
      </c>
      <c r="O41">
        <f>SUM(O33:O40)</f>
        <v>9600</v>
      </c>
    </row>
    <row r="42" spans="1:15">
      <c r="A42" s="10" t="s">
        <v>970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978</v>
      </c>
      <c r="B45" s="10" t="s">
        <v>979</v>
      </c>
      <c r="C45" s="10" t="s">
        <v>980</v>
      </c>
      <c r="F45" s="10" t="s">
        <v>981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982</v>
      </c>
      <c r="G46" s="33" t="s">
        <v>983</v>
      </c>
      <c r="H46" s="33" t="s">
        <v>168</v>
      </c>
      <c r="I46" s="10" t="s">
        <v>984</v>
      </c>
      <c r="K46" s="10"/>
    </row>
    <row r="47" spans="1:15">
      <c r="A47">
        <v>2</v>
      </c>
      <c r="B47">
        <f t="shared" si="11"/>
        <v>200</v>
      </c>
      <c r="C47" s="10" t="s">
        <v>985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986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0.60000000000000009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970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7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248"/>
  <sheetViews>
    <sheetView workbookViewId="0">
      <selection activeCell="J26" sqref="J26"/>
    </sheetView>
  </sheetViews>
  <sheetFormatPr defaultColWidth="9" defaultRowHeight="13.8"/>
  <sheetData>
    <row r="1" spans="1:8" ht="15">
      <c r="A1" s="1" t="s">
        <v>182</v>
      </c>
      <c r="B1" s="2" t="s">
        <v>183</v>
      </c>
      <c r="G1" s="3" t="s">
        <v>626</v>
      </c>
      <c r="H1" t="str">
        <f>IF(G1="","",VLOOKUP(G1,A:B,2,FALSE))</f>
        <v>炽星魔盒</v>
      </c>
    </row>
    <row r="2" spans="1:8" ht="15">
      <c r="A2" s="1" t="s">
        <v>186</v>
      </c>
      <c r="B2" s="2" t="s">
        <v>187</v>
      </c>
      <c r="G2" s="4" t="s">
        <v>526</v>
      </c>
      <c r="H2" t="str">
        <f t="shared" ref="H2:H65" si="0">IF(G2="","",VLOOKUP(G2,A:B,2,FALSE))</f>
        <v>招魂幡Lv1</v>
      </c>
    </row>
    <row r="3" spans="1:8" ht="15">
      <c r="A3" s="1" t="s">
        <v>188</v>
      </c>
      <c r="B3" s="2" t="s">
        <v>189</v>
      </c>
      <c r="G3" s="4" t="s">
        <v>533</v>
      </c>
      <c r="H3" t="str">
        <f t="shared" si="0"/>
        <v>|Cff00BFFF招魂幡Lv3|r</v>
      </c>
    </row>
    <row r="4" spans="1:8" ht="15">
      <c r="A4" s="1" t="s">
        <v>190</v>
      </c>
      <c r="B4" s="2" t="s">
        <v>191</v>
      </c>
      <c r="G4" s="4" t="s">
        <v>541</v>
      </c>
      <c r="H4" t="str">
        <f t="shared" si="0"/>
        <v>|CffFF0000招魂幡Lv5|r</v>
      </c>
    </row>
    <row r="5" spans="1:8" ht="15">
      <c r="A5" s="1" t="s">
        <v>192</v>
      </c>
      <c r="B5" s="2" t="s">
        <v>193</v>
      </c>
      <c r="G5" s="5" t="s">
        <v>607</v>
      </c>
      <c r="H5" t="str">
        <f t="shared" si="0"/>
        <v>|CffFFD24D后天道果箱|r</v>
      </c>
    </row>
    <row r="6" spans="1:8" ht="15">
      <c r="A6" s="1" t="s">
        <v>195</v>
      </c>
      <c r="B6" s="2" t="s">
        <v>196</v>
      </c>
      <c r="G6" s="5" t="s">
        <v>880</v>
      </c>
      <c r="H6" t="str">
        <f t="shared" si="0"/>
        <v>攻击力低</v>
      </c>
    </row>
    <row r="7" spans="1:8" ht="15">
      <c r="A7" s="1" t="s">
        <v>198</v>
      </c>
      <c r="B7" s="2" t="s">
        <v>199</v>
      </c>
      <c r="G7" s="5" t="s">
        <v>882</v>
      </c>
      <c r="H7" t="str">
        <f t="shared" si="0"/>
        <v>攻击力中</v>
      </c>
    </row>
    <row r="8" spans="1:8" ht="15">
      <c r="A8" s="1" t="s">
        <v>200</v>
      </c>
      <c r="B8" s="2" t="s">
        <v>201</v>
      </c>
      <c r="G8" s="5" t="s">
        <v>886</v>
      </c>
      <c r="H8" t="str">
        <f t="shared" si="0"/>
        <v>生命值低</v>
      </c>
    </row>
    <row r="9" spans="1:8" ht="15">
      <c r="A9" s="1" t="s">
        <v>202</v>
      </c>
      <c r="B9" s="2" t="s">
        <v>203</v>
      </c>
      <c r="G9" s="5" t="s">
        <v>888</v>
      </c>
      <c r="H9" t="str">
        <f t="shared" si="0"/>
        <v>生命值中</v>
      </c>
    </row>
    <row r="10" spans="1:8" ht="15">
      <c r="A10" s="1" t="s">
        <v>204</v>
      </c>
      <c r="B10" s="2" t="s">
        <v>205</v>
      </c>
      <c r="G10" s="5" t="s">
        <v>892</v>
      </c>
      <c r="H10" t="str">
        <f t="shared" si="0"/>
        <v>业力低</v>
      </c>
    </row>
    <row r="11" spans="1:8" ht="15">
      <c r="A11" s="1" t="s">
        <v>207</v>
      </c>
      <c r="B11" s="2" t="s">
        <v>208</v>
      </c>
      <c r="G11" s="5" t="s">
        <v>894</v>
      </c>
      <c r="H11" t="str">
        <f t="shared" si="0"/>
        <v>业力中</v>
      </c>
    </row>
    <row r="12" spans="1:8" ht="15">
      <c r="A12" s="1" t="s">
        <v>210</v>
      </c>
      <c r="B12" s="2" t="s">
        <v>211</v>
      </c>
      <c r="G12" s="5" t="s">
        <v>615</v>
      </c>
      <c r="H12" t="str">
        <f t="shared" si="0"/>
        <v>|CffFFD24D技能宝箱|r</v>
      </c>
    </row>
    <row r="13" spans="1:8" ht="15">
      <c r="A13" s="1" t="s">
        <v>212</v>
      </c>
      <c r="B13" s="2" t="s">
        <v>213</v>
      </c>
      <c r="G13" s="5" t="s">
        <v>603</v>
      </c>
      <c r="H13" t="str">
        <f t="shared" si="0"/>
        <v>|Cff00BFFF入门道果箱|r</v>
      </c>
    </row>
    <row r="14" spans="1:8" ht="15">
      <c r="A14" s="1" t="s">
        <v>214</v>
      </c>
      <c r="B14" s="2" t="s">
        <v>215</v>
      </c>
      <c r="G14" s="5" t="s">
        <v>655</v>
      </c>
      <c r="H14" t="str">
        <f t="shared" si="0"/>
        <v>|CffFF0000时渊碎片|r</v>
      </c>
    </row>
    <row r="15" spans="1:8" ht="15">
      <c r="A15" s="1" t="s">
        <v>216</v>
      </c>
      <c r="B15" s="2" t="s">
        <v>217</v>
      </c>
      <c r="G15" s="5" t="s">
        <v>670</v>
      </c>
      <c r="H15" t="str">
        <f t="shared" si="0"/>
        <v>|Cff00FF7F大补丸|r</v>
      </c>
    </row>
    <row r="16" spans="1:8" ht="15">
      <c r="A16" s="1" t="s">
        <v>219</v>
      </c>
      <c r="B16" s="2" t="s">
        <v>231</v>
      </c>
      <c r="G16" s="6" t="s">
        <v>677</v>
      </c>
      <c r="H16" t="str">
        <f t="shared" si="0"/>
        <v>|Cff00FF7F超级大补丸|r</v>
      </c>
    </row>
    <row r="17" spans="1:15" ht="15">
      <c r="A17" s="1" t="s">
        <v>221</v>
      </c>
      <c r="B17" s="2" t="s">
        <v>234</v>
      </c>
      <c r="G17" s="5" t="s">
        <v>681</v>
      </c>
      <c r="H17" t="str">
        <f t="shared" si="0"/>
        <v>|Cff00FF7F特级大补丸|r</v>
      </c>
      <c r="O17" s="12"/>
    </row>
    <row r="18" spans="1:15" ht="15">
      <c r="A18" s="1" t="s">
        <v>223</v>
      </c>
      <c r="B18" s="2" t="s">
        <v>236</v>
      </c>
      <c r="G18" s="7" t="s">
        <v>987</v>
      </c>
      <c r="H18" t="e">
        <f t="shared" si="0"/>
        <v>#N/A</v>
      </c>
      <c r="O18" s="12"/>
    </row>
    <row r="19" spans="1:15" ht="15">
      <c r="A19" s="1" t="s">
        <v>225</v>
      </c>
      <c r="B19" s="2" t="s">
        <v>238</v>
      </c>
      <c r="G19" s="8" t="s">
        <v>584</v>
      </c>
      <c r="H19" t="str">
        <f t="shared" si="0"/>
        <v>附魔宝箱</v>
      </c>
      <c r="O19" s="12"/>
    </row>
    <row r="20" spans="1:15" ht="15">
      <c r="A20" s="1" t="s">
        <v>227</v>
      </c>
      <c r="B20" s="2" t="s">
        <v>240</v>
      </c>
      <c r="G20" s="5" t="s">
        <v>875</v>
      </c>
      <c r="H20" t="str">
        <f t="shared" si="0"/>
        <v>没抽到任何东西</v>
      </c>
    </row>
    <row r="21" spans="1:15" ht="15">
      <c r="A21" s="1" t="s">
        <v>230</v>
      </c>
      <c r="B21" s="2" t="s">
        <v>243</v>
      </c>
      <c r="G21" s="9"/>
      <c r="H21" t="str">
        <f t="shared" si="0"/>
        <v/>
      </c>
    </row>
    <row r="22" spans="1:15" ht="15">
      <c r="A22" s="1" t="s">
        <v>233</v>
      </c>
      <c r="B22" s="2" t="s">
        <v>246</v>
      </c>
      <c r="G22" s="9"/>
      <c r="H22" t="str">
        <f t="shared" si="0"/>
        <v/>
      </c>
    </row>
    <row r="23" spans="1:15" ht="15">
      <c r="A23" s="1" t="s">
        <v>235</v>
      </c>
      <c r="B23" s="2" t="s">
        <v>248</v>
      </c>
      <c r="G23" s="9"/>
      <c r="H23" t="str">
        <f t="shared" si="0"/>
        <v/>
      </c>
    </row>
    <row r="24" spans="1:15" ht="15">
      <c r="A24" s="1" t="s">
        <v>237</v>
      </c>
      <c r="B24" s="2" t="s">
        <v>250</v>
      </c>
      <c r="G24" s="9"/>
      <c r="H24" t="str">
        <f t="shared" si="0"/>
        <v/>
      </c>
    </row>
    <row r="25" spans="1:15" ht="15">
      <c r="A25" s="1" t="s">
        <v>239</v>
      </c>
      <c r="B25" s="2" t="s">
        <v>252</v>
      </c>
      <c r="G25" s="9" t="s">
        <v>988</v>
      </c>
      <c r="H25" t="e">
        <f t="shared" si="0"/>
        <v>#N/A</v>
      </c>
    </row>
    <row r="26" spans="1:15" ht="15">
      <c r="A26" s="1" t="s">
        <v>253</v>
      </c>
      <c r="B26" s="10" t="s">
        <v>254</v>
      </c>
      <c r="G26" s="4" t="s">
        <v>664</v>
      </c>
      <c r="H26" t="str">
        <f t="shared" si="0"/>
        <v>|CffFF0000神兽洗灵石|r</v>
      </c>
    </row>
    <row r="27" spans="1:15" ht="15">
      <c r="A27" s="1" t="s">
        <v>256</v>
      </c>
      <c r="B27" s="10" t="s">
        <v>257</v>
      </c>
      <c r="G27" s="5" t="s">
        <v>658</v>
      </c>
      <c r="H27" t="str">
        <f t="shared" si="0"/>
        <v>|CffFFD24D补天石|r</v>
      </c>
    </row>
    <row r="28" spans="1:15" ht="15">
      <c r="A28" s="1" t="s">
        <v>258</v>
      </c>
      <c r="B28" s="10" t="s">
        <v>259</v>
      </c>
      <c r="G28" s="5" t="s">
        <v>661</v>
      </c>
      <c r="H28" t="str">
        <f t="shared" si="0"/>
        <v>|CffFF0000鸿蒙结晶|r</v>
      </c>
    </row>
    <row r="29" spans="1:15" ht="15">
      <c r="A29" s="1" t="s">
        <v>260</v>
      </c>
      <c r="B29" s="10" t="s">
        <v>261</v>
      </c>
      <c r="G29" s="5" t="s">
        <v>882</v>
      </c>
      <c r="H29" t="str">
        <f t="shared" si="0"/>
        <v>攻击力中</v>
      </c>
    </row>
    <row r="30" spans="1:15" ht="15">
      <c r="A30" s="1" t="s">
        <v>262</v>
      </c>
      <c r="B30" s="10" t="s">
        <v>263</v>
      </c>
      <c r="G30" s="5" t="s">
        <v>884</v>
      </c>
      <c r="H30" t="str">
        <f t="shared" si="0"/>
        <v>攻击力高</v>
      </c>
    </row>
    <row r="31" spans="1:15" ht="15">
      <c r="A31" s="1" t="s">
        <v>264</v>
      </c>
      <c r="B31" s="10" t="s">
        <v>265</v>
      </c>
      <c r="G31" s="5" t="s">
        <v>888</v>
      </c>
      <c r="H31" t="str">
        <f t="shared" si="0"/>
        <v>生命值中</v>
      </c>
    </row>
    <row r="32" spans="1:15" ht="15">
      <c r="A32" s="1" t="s">
        <v>267</v>
      </c>
      <c r="B32" s="10" t="s">
        <v>268</v>
      </c>
      <c r="G32" s="5" t="s">
        <v>890</v>
      </c>
      <c r="H32" t="str">
        <f t="shared" si="0"/>
        <v>生命值高</v>
      </c>
    </row>
    <row r="33" spans="1:8" ht="15">
      <c r="A33" s="1" t="s">
        <v>269</v>
      </c>
      <c r="B33" s="10" t="s">
        <v>270</v>
      </c>
      <c r="G33" s="5" t="s">
        <v>894</v>
      </c>
      <c r="H33" t="str">
        <f t="shared" si="0"/>
        <v>业力中</v>
      </c>
    </row>
    <row r="34" spans="1:8" ht="15">
      <c r="A34" s="1" t="s">
        <v>271</v>
      </c>
      <c r="B34" s="10" t="s">
        <v>272</v>
      </c>
      <c r="G34" s="5" t="s">
        <v>896</v>
      </c>
      <c r="H34" t="str">
        <f t="shared" si="0"/>
        <v>业力高</v>
      </c>
    </row>
    <row r="35" spans="1:8" ht="15">
      <c r="A35" s="1" t="s">
        <v>273</v>
      </c>
      <c r="B35" s="10" t="s">
        <v>274</v>
      </c>
      <c r="G35" s="5" t="s">
        <v>607</v>
      </c>
      <c r="H35" t="str">
        <f t="shared" si="0"/>
        <v>|CffFFD24D后天道果箱|r</v>
      </c>
    </row>
    <row r="36" spans="1:8" ht="15">
      <c r="A36" s="1" t="s">
        <v>275</v>
      </c>
      <c r="B36" s="10" t="s">
        <v>276</v>
      </c>
      <c r="G36" s="8" t="s">
        <v>611</v>
      </c>
      <c r="H36" t="str">
        <f t="shared" si="0"/>
        <v>|CffFF0000先天道果箱|r</v>
      </c>
    </row>
    <row r="37" spans="1:8" ht="15">
      <c r="A37" s="1" t="s">
        <v>278</v>
      </c>
      <c r="B37" s="10" t="s">
        <v>279</v>
      </c>
      <c r="G37" s="4" t="s">
        <v>533</v>
      </c>
      <c r="H37" t="str">
        <f t="shared" si="0"/>
        <v>|Cff00BFFF招魂幡Lv3|r</v>
      </c>
    </row>
    <row r="38" spans="1:8" ht="15">
      <c r="A38" s="1" t="s">
        <v>280</v>
      </c>
      <c r="B38" s="10" t="s">
        <v>281</v>
      </c>
      <c r="G38" s="3" t="s">
        <v>541</v>
      </c>
      <c r="H38" t="str">
        <f t="shared" si="0"/>
        <v>|CffFF0000招魂幡Lv5|r</v>
      </c>
    </row>
    <row r="39" spans="1:8" ht="15">
      <c r="A39" s="1" t="s">
        <v>282</v>
      </c>
      <c r="B39" s="10" t="s">
        <v>283</v>
      </c>
      <c r="G39" s="5" t="s">
        <v>615</v>
      </c>
      <c r="H39" t="str">
        <f t="shared" si="0"/>
        <v>|CffFFD24D技能宝箱|r</v>
      </c>
    </row>
    <row r="40" spans="1:8" ht="15">
      <c r="A40" s="1" t="s">
        <v>284</v>
      </c>
      <c r="B40" s="10" t="s">
        <v>285</v>
      </c>
      <c r="G40" s="7" t="s">
        <v>987</v>
      </c>
      <c r="H40" t="e">
        <f t="shared" si="0"/>
        <v>#N/A</v>
      </c>
    </row>
    <row r="41" spans="1:8" ht="15">
      <c r="A41" s="1" t="s">
        <v>286</v>
      </c>
      <c r="B41" s="10" t="s">
        <v>297</v>
      </c>
      <c r="G41" s="5" t="s">
        <v>584</v>
      </c>
      <c r="H41" t="str">
        <f t="shared" si="0"/>
        <v>附魔宝箱</v>
      </c>
    </row>
    <row r="42" spans="1:8" ht="15">
      <c r="A42" s="1" t="s">
        <v>288</v>
      </c>
      <c r="B42" s="10" t="s">
        <v>300</v>
      </c>
      <c r="G42" s="5" t="s">
        <v>655</v>
      </c>
      <c r="H42" t="str">
        <f t="shared" si="0"/>
        <v>|CffFF0000时渊碎片|r</v>
      </c>
    </row>
    <row r="43" spans="1:8" ht="15">
      <c r="A43" s="1" t="s">
        <v>290</v>
      </c>
      <c r="B43" s="10" t="s">
        <v>302</v>
      </c>
      <c r="G43" s="5" t="s">
        <v>670</v>
      </c>
      <c r="H43" t="str">
        <f t="shared" si="0"/>
        <v>|Cff00FF7F大补丸|r</v>
      </c>
    </row>
    <row r="44" spans="1:8" ht="15">
      <c r="A44" s="1" t="s">
        <v>292</v>
      </c>
      <c r="B44" s="10" t="s">
        <v>304</v>
      </c>
      <c r="G44" s="6" t="s">
        <v>677</v>
      </c>
      <c r="H44" t="str">
        <f t="shared" si="0"/>
        <v>|Cff00FF7F超级大补丸|r</v>
      </c>
    </row>
    <row r="45" spans="1:8" ht="15">
      <c r="A45" s="1" t="s">
        <v>294</v>
      </c>
      <c r="B45" s="10" t="s">
        <v>306</v>
      </c>
      <c r="G45" s="5" t="s">
        <v>875</v>
      </c>
      <c r="H45" t="str">
        <f t="shared" si="0"/>
        <v>没抽到任何东西</v>
      </c>
    </row>
    <row r="46" spans="1:8" ht="15">
      <c r="A46" s="1" t="s">
        <v>296</v>
      </c>
      <c r="B46" s="10" t="s">
        <v>308</v>
      </c>
      <c r="G46" s="8" t="s">
        <v>603</v>
      </c>
      <c r="H46" t="str">
        <f t="shared" si="0"/>
        <v>|Cff00BFFF入门道果箱|r</v>
      </c>
    </row>
    <row r="47" spans="1:8" ht="15">
      <c r="A47" s="1" t="s">
        <v>299</v>
      </c>
      <c r="B47" s="10" t="s">
        <v>311</v>
      </c>
      <c r="G47" s="3" t="s">
        <v>451</v>
      </c>
      <c r="H47" t="str">
        <f t="shared" si="0"/>
        <v>残缺的中级道果【2】</v>
      </c>
    </row>
    <row r="48" spans="1:8" ht="15">
      <c r="A48" s="1" t="s">
        <v>301</v>
      </c>
      <c r="B48" s="10" t="s">
        <v>313</v>
      </c>
      <c r="G48" s="3" t="s">
        <v>454</v>
      </c>
      <c r="H48" t="str">
        <f t="shared" si="0"/>
        <v>|Cff00FF7F残缺的高级道果【3】|r</v>
      </c>
    </row>
    <row r="49" spans="1:8" ht="15">
      <c r="A49" s="1" t="s">
        <v>303</v>
      </c>
      <c r="B49" s="10" t="s">
        <v>315</v>
      </c>
      <c r="G49" s="9" t="s">
        <v>421</v>
      </c>
      <c r="H49" t="str">
        <f t="shared" si="0"/>
        <v>完美的中级道果【2】</v>
      </c>
    </row>
    <row r="50" spans="1:8" ht="15">
      <c r="A50" s="1" t="s">
        <v>305</v>
      </c>
      <c r="B50" s="10" t="s">
        <v>317</v>
      </c>
      <c r="G50" s="9" t="s">
        <v>424</v>
      </c>
      <c r="H50" t="str">
        <f t="shared" si="0"/>
        <v>|Cff00FF7F完美的高级道果【3】|r</v>
      </c>
    </row>
    <row r="51" spans="1:8" ht="15">
      <c r="A51" s="1" t="s">
        <v>318</v>
      </c>
      <c r="B51" s="2" t="s">
        <v>319</v>
      </c>
      <c r="G51" s="9"/>
      <c r="H51" t="str">
        <f t="shared" si="0"/>
        <v/>
      </c>
    </row>
    <row r="52" spans="1:8" ht="15">
      <c r="A52" s="1" t="s">
        <v>321</v>
      </c>
      <c r="B52" s="2" t="s">
        <v>322</v>
      </c>
      <c r="G52" s="11"/>
      <c r="H52" t="str">
        <f t="shared" si="0"/>
        <v/>
      </c>
    </row>
    <row r="53" spans="1:8" ht="15">
      <c r="A53" s="1" t="s">
        <v>323</v>
      </c>
      <c r="B53" s="2" t="s">
        <v>324</v>
      </c>
      <c r="G53" s="9"/>
      <c r="H53" t="str">
        <f t="shared" si="0"/>
        <v/>
      </c>
    </row>
    <row r="54" spans="1:8" ht="15">
      <c r="A54" s="1" t="s">
        <v>325</v>
      </c>
      <c r="B54" s="2" t="s">
        <v>326</v>
      </c>
      <c r="G54" s="11"/>
      <c r="H54" t="str">
        <f t="shared" si="0"/>
        <v/>
      </c>
    </row>
    <row r="55" spans="1:8" ht="15">
      <c r="A55" s="1" t="s">
        <v>327</v>
      </c>
      <c r="B55" s="2" t="s">
        <v>328</v>
      </c>
      <c r="G55" s="8" t="s">
        <v>607</v>
      </c>
      <c r="H55" t="str">
        <f t="shared" si="0"/>
        <v>|CffFFD24D后天道果箱|r</v>
      </c>
    </row>
    <row r="56" spans="1:8" ht="15">
      <c r="A56" s="1" t="s">
        <v>330</v>
      </c>
      <c r="B56" s="2" t="s">
        <v>331</v>
      </c>
      <c r="G56" s="3" t="s">
        <v>457</v>
      </c>
      <c r="H56" t="str">
        <f t="shared" si="0"/>
        <v>|Cff00FF7F残缺的黄级道果【4】|r</v>
      </c>
    </row>
    <row r="57" spans="1:8" ht="15">
      <c r="A57" s="1" t="s">
        <v>333</v>
      </c>
      <c r="B57" s="2" t="s">
        <v>334</v>
      </c>
      <c r="G57" s="3" t="s">
        <v>460</v>
      </c>
      <c r="H57" t="str">
        <f t="shared" si="0"/>
        <v>|Cff00BFFF残缺的玄级道果【5】|r</v>
      </c>
    </row>
    <row r="58" spans="1:8" ht="15">
      <c r="A58" s="1" t="s">
        <v>335</v>
      </c>
      <c r="B58" s="2" t="s">
        <v>336</v>
      </c>
      <c r="G58" s="3" t="s">
        <v>463</v>
      </c>
      <c r="H58" t="str">
        <f t="shared" si="0"/>
        <v>|Cff00BFFF残缺的地级道果【6】|r</v>
      </c>
    </row>
    <row r="59" spans="1:8" ht="15">
      <c r="A59" s="1" t="s">
        <v>337</v>
      </c>
      <c r="B59" s="2" t="s">
        <v>338</v>
      </c>
      <c r="G59" s="9" t="s">
        <v>427</v>
      </c>
      <c r="H59" t="str">
        <f t="shared" si="0"/>
        <v>|Cff00FF7F完美的黄级道果【4】|r</v>
      </c>
    </row>
    <row r="60" spans="1:8" ht="15">
      <c r="A60" s="1" t="s">
        <v>339</v>
      </c>
      <c r="B60" s="2" t="s">
        <v>340</v>
      </c>
      <c r="G60" s="9" t="s">
        <v>430</v>
      </c>
      <c r="H60" t="str">
        <f t="shared" si="0"/>
        <v>|Cff00BFFF完美的玄级道果【5】|r</v>
      </c>
    </row>
    <row r="61" spans="1:8" ht="15">
      <c r="A61" s="1" t="s">
        <v>342</v>
      </c>
      <c r="B61" s="2" t="s">
        <v>343</v>
      </c>
      <c r="G61" s="9" t="s">
        <v>433</v>
      </c>
      <c r="H61" t="str">
        <f t="shared" si="0"/>
        <v>|Cff00BFFF完美的地级道果【6】|r</v>
      </c>
    </row>
    <row r="62" spans="1:8" ht="15">
      <c r="A62" s="1" t="s">
        <v>345</v>
      </c>
      <c r="B62" s="2" t="s">
        <v>346</v>
      </c>
      <c r="G62" s="11" t="s">
        <v>677</v>
      </c>
      <c r="H62" t="str">
        <f t="shared" si="0"/>
        <v>|Cff00FF7F超级大补丸|r</v>
      </c>
    </row>
    <row r="63" spans="1:8" ht="15">
      <c r="A63" s="1" t="s">
        <v>347</v>
      </c>
      <c r="B63" s="2" t="s">
        <v>348</v>
      </c>
      <c r="G63" s="9" t="s">
        <v>681</v>
      </c>
      <c r="H63" t="str">
        <f t="shared" si="0"/>
        <v>|Cff00FF7F特级大补丸|r</v>
      </c>
    </row>
    <row r="64" spans="1:8" ht="15">
      <c r="A64" s="1" t="s">
        <v>349</v>
      </c>
      <c r="B64" s="2" t="s">
        <v>350</v>
      </c>
      <c r="G64" s="9"/>
      <c r="H64" t="str">
        <f t="shared" si="0"/>
        <v/>
      </c>
    </row>
    <row r="65" spans="1:8" ht="15">
      <c r="A65" s="1" t="s">
        <v>351</v>
      </c>
      <c r="B65" s="2" t="s">
        <v>352</v>
      </c>
      <c r="G65" s="11"/>
      <c r="H65" t="str">
        <f t="shared" si="0"/>
        <v/>
      </c>
    </row>
    <row r="66" spans="1:8" ht="15">
      <c r="A66" s="1" t="s">
        <v>354</v>
      </c>
      <c r="B66" s="2" t="s">
        <v>366</v>
      </c>
      <c r="G66" s="11"/>
      <c r="H66" t="str">
        <f t="shared" ref="H66:H129" si="1">IF(G66="","",VLOOKUP(G66,A:B,2,FALSE))</f>
        <v/>
      </c>
    </row>
    <row r="67" spans="1:8" ht="15">
      <c r="A67" s="1" t="s">
        <v>356</v>
      </c>
      <c r="B67" s="2" t="s">
        <v>369</v>
      </c>
      <c r="G67" s="11"/>
      <c r="H67" t="str">
        <f t="shared" si="1"/>
        <v/>
      </c>
    </row>
    <row r="68" spans="1:8" ht="15">
      <c r="A68" s="1" t="s">
        <v>358</v>
      </c>
      <c r="B68" s="2" t="s">
        <v>371</v>
      </c>
      <c r="G68" s="8" t="s">
        <v>611</v>
      </c>
      <c r="H68" t="str">
        <f t="shared" si="1"/>
        <v>|CffFF0000先天道果箱|r</v>
      </c>
    </row>
    <row r="69" spans="1:8" ht="15">
      <c r="A69" s="1" t="s">
        <v>360</v>
      </c>
      <c r="B69" s="2" t="s">
        <v>373</v>
      </c>
      <c r="G69" s="3" t="s">
        <v>436</v>
      </c>
      <c r="H69" t="str">
        <f t="shared" si="1"/>
        <v>|CffFFC926完美的天级道果【7】|r</v>
      </c>
    </row>
    <row r="70" spans="1:8" ht="15">
      <c r="A70" s="1" t="s">
        <v>362</v>
      </c>
      <c r="B70" s="2" t="s">
        <v>375</v>
      </c>
      <c r="G70" s="3" t="s">
        <v>439</v>
      </c>
      <c r="H70" t="str">
        <f t="shared" si="1"/>
        <v>|CffFFC926完美的仙品道果【8】|r</v>
      </c>
    </row>
    <row r="71" spans="1:8" ht="15">
      <c r="A71" s="1" t="s">
        <v>365</v>
      </c>
      <c r="B71" s="2" t="s">
        <v>378</v>
      </c>
      <c r="G71" s="3" t="s">
        <v>442</v>
      </c>
      <c r="H71" t="str">
        <f t="shared" si="1"/>
        <v>|CffFF0000完美的至圣道果【9】|r</v>
      </c>
    </row>
    <row r="72" spans="1:8" ht="15">
      <c r="A72" s="1" t="s">
        <v>368</v>
      </c>
      <c r="B72" s="2" t="s">
        <v>381</v>
      </c>
      <c r="G72" s="3" t="s">
        <v>445</v>
      </c>
      <c r="H72" t="str">
        <f t="shared" si="1"/>
        <v>|CffFF0000完美的混沌道果【10】|r</v>
      </c>
    </row>
    <row r="73" spans="1:8" ht="15">
      <c r="A73" s="1" t="s">
        <v>370</v>
      </c>
      <c r="B73" s="2" t="s">
        <v>383</v>
      </c>
      <c r="G73" s="9" t="s">
        <v>466</v>
      </c>
      <c r="H73" t="str">
        <f t="shared" si="1"/>
        <v>|CffFFC926残缺的天级道果【7】|r</v>
      </c>
    </row>
    <row r="74" spans="1:8" ht="15">
      <c r="A74" s="1" t="s">
        <v>372</v>
      </c>
      <c r="B74" s="2" t="s">
        <v>385</v>
      </c>
      <c r="G74" s="9" t="s">
        <v>469</v>
      </c>
      <c r="H74" t="str">
        <f t="shared" si="1"/>
        <v>|CffFFC926残缺的仙品道果【8】|r</v>
      </c>
    </row>
    <row r="75" spans="1:8" ht="15">
      <c r="A75" s="1" t="s">
        <v>374</v>
      </c>
      <c r="B75" s="2" t="s">
        <v>387</v>
      </c>
      <c r="G75" s="9" t="s">
        <v>472</v>
      </c>
      <c r="H75" t="str">
        <f t="shared" si="1"/>
        <v>|CffFF0000残缺的至圣道果【9】|r</v>
      </c>
    </row>
    <row r="76" spans="1:8" ht="15">
      <c r="A76" s="1" t="s">
        <v>388</v>
      </c>
      <c r="B76" s="13" t="s">
        <v>389</v>
      </c>
      <c r="G76" s="9" t="s">
        <v>475</v>
      </c>
      <c r="H76" t="str">
        <f t="shared" si="1"/>
        <v>|CffFF0000残缺的混沌道果【10】|r</v>
      </c>
    </row>
    <row r="77" spans="1:8" ht="15">
      <c r="A77" s="1" t="s">
        <v>391</v>
      </c>
      <c r="B77" s="13" t="s">
        <v>392</v>
      </c>
      <c r="G77" s="11" t="s">
        <v>677</v>
      </c>
      <c r="H77" t="str">
        <f t="shared" si="1"/>
        <v>|Cff00FF7F超级大补丸|r</v>
      </c>
    </row>
    <row r="78" spans="1:8" ht="15">
      <c r="A78" s="1" t="s">
        <v>394</v>
      </c>
      <c r="B78" s="14" t="s">
        <v>395</v>
      </c>
      <c r="G78" s="9" t="s">
        <v>681</v>
      </c>
      <c r="H78" t="str">
        <f t="shared" si="1"/>
        <v>|Cff00FF7F特级大补丸|r</v>
      </c>
    </row>
    <row r="79" spans="1:8" ht="15">
      <c r="A79" s="1" t="s">
        <v>397</v>
      </c>
      <c r="B79" s="14" t="s">
        <v>398</v>
      </c>
      <c r="G79" s="9"/>
      <c r="H79" t="str">
        <f t="shared" si="1"/>
        <v/>
      </c>
    </row>
    <row r="80" spans="1:8" ht="15">
      <c r="A80" s="1" t="s">
        <v>400</v>
      </c>
      <c r="B80" s="14" t="s">
        <v>401</v>
      </c>
      <c r="G80" s="11"/>
      <c r="H80" t="str">
        <f t="shared" si="1"/>
        <v/>
      </c>
    </row>
    <row r="81" spans="1:8" ht="15">
      <c r="A81" s="1" t="s">
        <v>403</v>
      </c>
      <c r="B81" s="2" t="s">
        <v>404</v>
      </c>
      <c r="G81" s="3" t="s">
        <v>622</v>
      </c>
      <c r="H81" t="str">
        <f t="shared" si="1"/>
        <v>幸运星盒</v>
      </c>
    </row>
    <row r="82" spans="1:8" ht="15">
      <c r="A82" s="1" t="s">
        <v>406</v>
      </c>
      <c r="B82" s="2" t="s">
        <v>407</v>
      </c>
      <c r="G82" s="9" t="s">
        <v>877</v>
      </c>
      <c r="H82" t="str">
        <f t="shared" si="1"/>
        <v>玄铁</v>
      </c>
    </row>
    <row r="83" spans="1:8" ht="15">
      <c r="A83" s="1" t="s">
        <v>409</v>
      </c>
      <c r="B83" s="2" t="s">
        <v>410</v>
      </c>
      <c r="G83" s="9" t="s">
        <v>879</v>
      </c>
      <c r="H83" t="str">
        <f t="shared" si="1"/>
        <v>杀敌数</v>
      </c>
    </row>
    <row r="84" spans="1:8" ht="15">
      <c r="A84" s="1" t="s">
        <v>412</v>
      </c>
      <c r="B84" s="2" t="s">
        <v>413</v>
      </c>
      <c r="G84" s="9" t="s">
        <v>880</v>
      </c>
      <c r="H84" t="str">
        <f t="shared" si="1"/>
        <v>攻击力低</v>
      </c>
    </row>
    <row r="85" spans="1:8" ht="15">
      <c r="A85" s="1" t="s">
        <v>415</v>
      </c>
      <c r="B85" s="2" t="s">
        <v>416</v>
      </c>
      <c r="G85" s="9" t="s">
        <v>882</v>
      </c>
      <c r="H85" t="str">
        <f t="shared" si="1"/>
        <v>攻击力中</v>
      </c>
    </row>
    <row r="86" spans="1:8" ht="15">
      <c r="A86" s="9" t="s">
        <v>418</v>
      </c>
      <c r="B86" s="13" t="s">
        <v>419</v>
      </c>
      <c r="G86" s="9" t="s">
        <v>884</v>
      </c>
      <c r="H86" t="str">
        <f t="shared" si="1"/>
        <v>攻击力高</v>
      </c>
    </row>
    <row r="87" spans="1:8" ht="15">
      <c r="A87" s="9" t="s">
        <v>421</v>
      </c>
      <c r="B87" s="13" t="s">
        <v>422</v>
      </c>
      <c r="G87" s="9" t="s">
        <v>886</v>
      </c>
      <c r="H87" t="str">
        <f t="shared" si="1"/>
        <v>生命值低</v>
      </c>
    </row>
    <row r="88" spans="1:8" ht="15">
      <c r="A88" s="9" t="s">
        <v>424</v>
      </c>
      <c r="B88" s="14" t="s">
        <v>425</v>
      </c>
      <c r="G88" s="9" t="s">
        <v>888</v>
      </c>
      <c r="H88" t="str">
        <f t="shared" si="1"/>
        <v>生命值中</v>
      </c>
    </row>
    <row r="89" spans="1:8" ht="15">
      <c r="A89" s="9" t="s">
        <v>427</v>
      </c>
      <c r="B89" s="14" t="s">
        <v>428</v>
      </c>
      <c r="G89" s="9" t="s">
        <v>890</v>
      </c>
      <c r="H89" t="str">
        <f t="shared" si="1"/>
        <v>生命值高</v>
      </c>
    </row>
    <row r="90" spans="1:8" ht="15">
      <c r="A90" s="9" t="s">
        <v>430</v>
      </c>
      <c r="B90" s="14" t="s">
        <v>431</v>
      </c>
      <c r="G90" s="9" t="s">
        <v>892</v>
      </c>
      <c r="H90" t="str">
        <f t="shared" si="1"/>
        <v>业力低</v>
      </c>
    </row>
    <row r="91" spans="1:8" ht="15">
      <c r="A91" s="9" t="s">
        <v>433</v>
      </c>
      <c r="B91" s="2" t="s">
        <v>434</v>
      </c>
      <c r="G91" s="9" t="s">
        <v>894</v>
      </c>
      <c r="H91" t="str">
        <f t="shared" si="1"/>
        <v>业力中</v>
      </c>
    </row>
    <row r="92" spans="1:8" ht="15">
      <c r="A92" s="9" t="s">
        <v>436</v>
      </c>
      <c r="B92" s="2" t="s">
        <v>437</v>
      </c>
      <c r="G92" s="9" t="s">
        <v>896</v>
      </c>
      <c r="H92" t="str">
        <f t="shared" si="1"/>
        <v>业力高</v>
      </c>
    </row>
    <row r="93" spans="1:8" ht="15">
      <c r="A93" s="9" t="s">
        <v>439</v>
      </c>
      <c r="B93" s="2" t="s">
        <v>440</v>
      </c>
      <c r="G93" s="9" t="s">
        <v>674</v>
      </c>
      <c r="H93" t="str">
        <f t="shared" si="1"/>
        <v>|Cff00FF7F抽奖抵用券|r</v>
      </c>
    </row>
    <row r="94" spans="1:8" ht="15">
      <c r="A94" s="9" t="s">
        <v>442</v>
      </c>
      <c r="B94" s="2" t="s">
        <v>443</v>
      </c>
      <c r="G94" s="9" t="s">
        <v>875</v>
      </c>
      <c r="H94" t="str">
        <f t="shared" si="1"/>
        <v>没抽到任何东西</v>
      </c>
    </row>
    <row r="95" spans="1:8" ht="15">
      <c r="A95" s="9" t="s">
        <v>445</v>
      </c>
      <c r="B95" s="2" t="s">
        <v>446</v>
      </c>
      <c r="G95" s="11"/>
      <c r="H95" t="str">
        <f t="shared" si="1"/>
        <v/>
      </c>
    </row>
    <row r="96" spans="1:8" ht="15">
      <c r="A96" s="9" t="s">
        <v>448</v>
      </c>
      <c r="B96" s="13" t="s">
        <v>449</v>
      </c>
      <c r="G96" s="8" t="s">
        <v>545</v>
      </c>
      <c r="H96" t="str">
        <f t="shared" si="1"/>
        <v>锦囊</v>
      </c>
    </row>
    <row r="97" spans="1:8" ht="15">
      <c r="A97" s="9" t="s">
        <v>451</v>
      </c>
      <c r="B97" s="13" t="s">
        <v>452</v>
      </c>
      <c r="G97" s="9" t="s">
        <v>548</v>
      </c>
      <c r="H97" t="str">
        <f t="shared" si="1"/>
        <v>来份快餐</v>
      </c>
    </row>
    <row r="98" spans="1:8" ht="15">
      <c r="A98" s="9" t="s">
        <v>454</v>
      </c>
      <c r="B98" s="14" t="s">
        <v>455</v>
      </c>
      <c r="G98" s="9" t="s">
        <v>551</v>
      </c>
      <c r="H98" t="str">
        <f t="shared" si="1"/>
        <v>抬你一手</v>
      </c>
    </row>
    <row r="99" spans="1:8" ht="15">
      <c r="A99" s="9" t="s">
        <v>457</v>
      </c>
      <c r="B99" s="14" t="s">
        <v>458</v>
      </c>
      <c r="G99" s="9" t="s">
        <v>554</v>
      </c>
      <c r="H99" t="str">
        <f t="shared" si="1"/>
        <v>死者苏生</v>
      </c>
    </row>
    <row r="100" spans="1:8" ht="15">
      <c r="A100" s="9" t="s">
        <v>460</v>
      </c>
      <c r="B100" s="14" t="s">
        <v>461</v>
      </c>
      <c r="G100" s="9" t="s">
        <v>557</v>
      </c>
      <c r="H100" t="str">
        <f t="shared" si="1"/>
        <v>福娃这么可爱..</v>
      </c>
    </row>
    <row r="101" spans="1:8" ht="15">
      <c r="A101" s="9" t="s">
        <v>463</v>
      </c>
      <c r="B101" s="2" t="s">
        <v>464</v>
      </c>
      <c r="G101" s="9" t="s">
        <v>560</v>
      </c>
      <c r="H101" t="str">
        <f t="shared" si="1"/>
        <v>奥里给Lo他</v>
      </c>
    </row>
    <row r="102" spans="1:8" ht="15">
      <c r="A102" s="9" t="s">
        <v>466</v>
      </c>
      <c r="B102" s="2" t="s">
        <v>467</v>
      </c>
      <c r="G102" s="9" t="s">
        <v>563</v>
      </c>
      <c r="H102" t="str">
        <f t="shared" si="1"/>
        <v>以逸待劳</v>
      </c>
    </row>
    <row r="103" spans="1:8" ht="15">
      <c r="A103" s="9" t="s">
        <v>469</v>
      </c>
      <c r="B103" s="2" t="s">
        <v>470</v>
      </c>
      <c r="G103" s="9" t="s">
        <v>566</v>
      </c>
      <c r="H103" t="str">
        <f t="shared" si="1"/>
        <v>全军出击</v>
      </c>
    </row>
    <row r="104" spans="1:8" ht="15">
      <c r="A104" s="9" t="s">
        <v>472</v>
      </c>
      <c r="B104" s="2" t="s">
        <v>473</v>
      </c>
      <c r="G104" s="9" t="s">
        <v>569</v>
      </c>
      <c r="H104" t="str">
        <f t="shared" si="1"/>
        <v>心跳时刻</v>
      </c>
    </row>
    <row r="105" spans="1:8" ht="15">
      <c r="A105" s="9" t="s">
        <v>475</v>
      </c>
      <c r="B105" s="2" t="s">
        <v>476</v>
      </c>
      <c r="G105" s="9" t="s">
        <v>572</v>
      </c>
      <c r="H105" t="str">
        <f t="shared" si="1"/>
        <v>据守</v>
      </c>
    </row>
    <row r="106" spans="1:8" ht="15">
      <c r="A106" s="9" t="s">
        <v>478</v>
      </c>
      <c r="B106" s="9" t="s">
        <v>479</v>
      </c>
      <c r="G106" s="9" t="s">
        <v>575</v>
      </c>
      <c r="H106" t="str">
        <f t="shared" si="1"/>
        <v>赌输可退</v>
      </c>
    </row>
    <row r="107" spans="1:8" ht="15">
      <c r="A107" s="9" t="s">
        <v>496</v>
      </c>
      <c r="B107" s="9" t="s">
        <v>483</v>
      </c>
      <c r="G107" s="9" t="s">
        <v>578</v>
      </c>
      <c r="H107" t="str">
        <f t="shared" si="1"/>
        <v>来点玄铁</v>
      </c>
    </row>
    <row r="108" spans="1:8" ht="15">
      <c r="A108" s="9" t="s">
        <v>498</v>
      </c>
      <c r="B108" s="9" t="s">
        <v>989</v>
      </c>
      <c r="G108" s="9" t="s">
        <v>581</v>
      </c>
      <c r="H108" t="str">
        <f t="shared" si="1"/>
        <v>恭喜发财</v>
      </c>
    </row>
    <row r="109" spans="1:8" ht="15">
      <c r="A109" s="9" t="s">
        <v>501</v>
      </c>
      <c r="B109" s="9" t="s">
        <v>491</v>
      </c>
      <c r="G109" s="9" t="s">
        <v>588</v>
      </c>
      <c r="H109" t="str">
        <f t="shared" si="1"/>
        <v>鼠年大吉</v>
      </c>
    </row>
    <row r="110" spans="1:8" ht="15">
      <c r="A110" s="9" t="s">
        <v>503</v>
      </c>
      <c r="B110" s="9" t="s">
        <v>990</v>
      </c>
      <c r="G110" s="9" t="s">
        <v>591</v>
      </c>
      <c r="H110" t="str">
        <f t="shared" si="1"/>
        <v>兄弟们拼了</v>
      </c>
    </row>
    <row r="111" spans="1:8" ht="15">
      <c r="A111" s="9" t="s">
        <v>504</v>
      </c>
      <c r="B111" s="15" t="s">
        <v>505</v>
      </c>
      <c r="G111" s="9" t="s">
        <v>594</v>
      </c>
      <c r="H111" t="str">
        <f t="shared" si="1"/>
        <v>老铁忍住啊</v>
      </c>
    </row>
    <row r="112" spans="1:8" ht="15">
      <c r="A112" s="9" t="s">
        <v>507</v>
      </c>
      <c r="B112" s="9" t="s">
        <v>508</v>
      </c>
      <c r="G112" s="9" t="s">
        <v>597</v>
      </c>
      <c r="H112" t="str">
        <f t="shared" si="1"/>
        <v>老铁忍住呀</v>
      </c>
    </row>
    <row r="113" spans="1:8" ht="15">
      <c r="A113" s="9" t="s">
        <v>510</v>
      </c>
      <c r="B113" s="9" t="s">
        <v>511</v>
      </c>
      <c r="G113" s="9" t="s">
        <v>600</v>
      </c>
      <c r="H113" t="str">
        <f t="shared" si="1"/>
        <v>跳不动了</v>
      </c>
    </row>
    <row r="114" spans="1:8" ht="15">
      <c r="A114" s="9" t="s">
        <v>513</v>
      </c>
      <c r="B114" s="9" t="s">
        <v>514</v>
      </c>
      <c r="G114" s="9" t="s">
        <v>880</v>
      </c>
      <c r="H114" t="str">
        <f t="shared" si="1"/>
        <v>攻击力低</v>
      </c>
    </row>
    <row r="115" spans="1:8" ht="15">
      <c r="A115" s="9" t="s">
        <v>516</v>
      </c>
      <c r="B115" s="9" t="s">
        <v>517</v>
      </c>
      <c r="G115" s="9" t="s">
        <v>886</v>
      </c>
      <c r="H115" t="str">
        <f t="shared" si="1"/>
        <v>生命值低</v>
      </c>
    </row>
    <row r="116" spans="1:8" ht="15">
      <c r="A116" s="9" t="s">
        <v>519</v>
      </c>
      <c r="B116" s="9" t="s">
        <v>520</v>
      </c>
      <c r="G116" s="9" t="s">
        <v>892</v>
      </c>
      <c r="H116" t="str">
        <f t="shared" si="1"/>
        <v>业力低</v>
      </c>
    </row>
    <row r="117" spans="1:8" ht="15">
      <c r="A117" s="9" t="s">
        <v>526</v>
      </c>
      <c r="B117" s="16" t="s">
        <v>527</v>
      </c>
      <c r="G117" s="11"/>
      <c r="H117" t="str">
        <f t="shared" si="1"/>
        <v/>
      </c>
    </row>
    <row r="118" spans="1:8" ht="15">
      <c r="A118" s="9" t="s">
        <v>529</v>
      </c>
      <c r="B118" s="17" t="s">
        <v>530</v>
      </c>
      <c r="G118" s="8" t="s">
        <v>584</v>
      </c>
      <c r="H118" t="str">
        <f t="shared" si="1"/>
        <v>附魔宝箱</v>
      </c>
    </row>
    <row r="119" spans="1:8" ht="15">
      <c r="A119" s="9" t="s">
        <v>533</v>
      </c>
      <c r="B119" s="17" t="s">
        <v>534</v>
      </c>
      <c r="G119" s="9" t="s">
        <v>751</v>
      </c>
      <c r="H119" t="str">
        <f t="shared" si="1"/>
        <v>Q技能附魔卷</v>
      </c>
    </row>
    <row r="120" spans="1:8" ht="15">
      <c r="A120" s="9" t="s">
        <v>537</v>
      </c>
      <c r="B120" s="17" t="s">
        <v>538</v>
      </c>
      <c r="G120" s="9" t="s">
        <v>755</v>
      </c>
      <c r="H120" t="str">
        <f t="shared" si="1"/>
        <v>W技能附魔卷</v>
      </c>
    </row>
    <row r="121" spans="1:8" ht="15">
      <c r="A121" s="9" t="s">
        <v>541</v>
      </c>
      <c r="B121" s="17" t="s">
        <v>542</v>
      </c>
      <c r="G121" s="9" t="s">
        <v>759</v>
      </c>
      <c r="H121" t="str">
        <f t="shared" si="1"/>
        <v>E技能附魔卷</v>
      </c>
    </row>
    <row r="122" spans="1:8" ht="15">
      <c r="A122" s="9" t="s">
        <v>545</v>
      </c>
      <c r="B122" s="9" t="s">
        <v>991</v>
      </c>
      <c r="G122" s="9" t="s">
        <v>763</v>
      </c>
      <c r="H122" t="str">
        <f t="shared" si="1"/>
        <v>|CffFFD24DQ强力附魔卷|r</v>
      </c>
    </row>
    <row r="123" spans="1:8" ht="15">
      <c r="A123" s="18" t="s">
        <v>548</v>
      </c>
      <c r="B123" s="19" t="s">
        <v>992</v>
      </c>
      <c r="G123" s="9" t="s">
        <v>766</v>
      </c>
      <c r="H123" t="str">
        <f t="shared" si="1"/>
        <v>|CffFFD24DW强力附魔卷|r</v>
      </c>
    </row>
    <row r="124" spans="1:8" ht="15">
      <c r="A124" s="9" t="s">
        <v>551</v>
      </c>
      <c r="B124" s="20" t="s">
        <v>993</v>
      </c>
      <c r="G124" s="9" t="s">
        <v>769</v>
      </c>
      <c r="H124" t="str">
        <f t="shared" si="1"/>
        <v>|CffFFD24DE强力附魔卷|r</v>
      </c>
    </row>
    <row r="125" spans="1:8" ht="15">
      <c r="A125" s="18" t="s">
        <v>554</v>
      </c>
      <c r="B125" s="19" t="s">
        <v>994</v>
      </c>
      <c r="G125" s="11"/>
      <c r="H125" t="str">
        <f t="shared" si="1"/>
        <v/>
      </c>
    </row>
    <row r="126" spans="1:8" ht="15">
      <c r="A126" s="18" t="s">
        <v>557</v>
      </c>
      <c r="B126" s="19" t="s">
        <v>995</v>
      </c>
      <c r="G126" s="8" t="s">
        <v>615</v>
      </c>
      <c r="H126" t="str">
        <f t="shared" si="1"/>
        <v>|CffFFD24D技能宝箱|r</v>
      </c>
    </row>
    <row r="127" spans="1:8" ht="15">
      <c r="A127" s="18" t="s">
        <v>560</v>
      </c>
      <c r="B127" s="19" t="s">
        <v>996</v>
      </c>
      <c r="G127" s="9" t="s">
        <v>501</v>
      </c>
      <c r="H127" t="str">
        <f t="shared" si="1"/>
        <v>|Cff00FF7F技能进阶石【残缺】|r</v>
      </c>
    </row>
    <row r="128" spans="1:8" ht="15">
      <c r="A128" s="18" t="s">
        <v>563</v>
      </c>
      <c r="B128" s="19" t="s">
        <v>997</v>
      </c>
      <c r="G128" s="9" t="s">
        <v>496</v>
      </c>
      <c r="H128" t="str">
        <f t="shared" si="1"/>
        <v>|Cff00BFFF技能进阶石【完美】|r</v>
      </c>
    </row>
    <row r="129" spans="1:8" ht="15">
      <c r="A129" s="18" t="s">
        <v>566</v>
      </c>
      <c r="B129" s="19" t="s">
        <v>998</v>
      </c>
      <c r="G129" s="9" t="s">
        <v>498</v>
      </c>
      <c r="H129" t="str">
        <f t="shared" si="1"/>
        <v>|CffFF0000技能进化石【完美】|r</v>
      </c>
    </row>
    <row r="130" spans="1:8" ht="15">
      <c r="A130" s="18" t="s">
        <v>569</v>
      </c>
      <c r="B130" s="19" t="s">
        <v>999</v>
      </c>
      <c r="G130" s="9" t="s">
        <v>503</v>
      </c>
      <c r="H130" t="str">
        <f t="shared" ref="H130:H174" si="2">IF(G130="","",VLOOKUP(G130,A:B,2,FALSE))</f>
        <v>|CffFFD24D技能进化石【残缺】|r</v>
      </c>
    </row>
    <row r="131" spans="1:8" ht="15">
      <c r="A131" s="18" t="s">
        <v>572</v>
      </c>
      <c r="B131" s="19" t="s">
        <v>1000</v>
      </c>
      <c r="G131" s="11"/>
      <c r="H131" t="str">
        <f t="shared" si="2"/>
        <v/>
      </c>
    </row>
    <row r="132" spans="1:8" ht="15">
      <c r="A132" s="18" t="s">
        <v>575</v>
      </c>
      <c r="B132" s="18" t="s">
        <v>576</v>
      </c>
      <c r="G132" s="8" t="s">
        <v>630</v>
      </c>
      <c r="H132" t="str">
        <f t="shared" si="2"/>
        <v>|CffFFD24D技能宝箱|r</v>
      </c>
    </row>
    <row r="133" spans="1:8" ht="15">
      <c r="A133" s="18" t="s">
        <v>578</v>
      </c>
      <c r="B133" s="19" t="s">
        <v>1001</v>
      </c>
      <c r="G133" s="9" t="s">
        <v>501</v>
      </c>
      <c r="H133" t="str">
        <f t="shared" si="2"/>
        <v>|Cff00FF7F技能进阶石【残缺】|r</v>
      </c>
    </row>
    <row r="134" spans="1:8" ht="15">
      <c r="A134" s="18" t="s">
        <v>581</v>
      </c>
      <c r="B134" s="19" t="s">
        <v>1002</v>
      </c>
      <c r="G134" s="9" t="s">
        <v>496</v>
      </c>
      <c r="H134" t="str">
        <f t="shared" si="2"/>
        <v>|Cff00BFFF技能进阶石【完美】|r</v>
      </c>
    </row>
    <row r="135" spans="1:8" ht="15">
      <c r="A135" s="9" t="s">
        <v>584</v>
      </c>
      <c r="B135" s="21" t="s">
        <v>585</v>
      </c>
      <c r="G135" s="11"/>
      <c r="H135" t="str">
        <f t="shared" si="2"/>
        <v/>
      </c>
    </row>
    <row r="136" spans="1:8" ht="15">
      <c r="A136" s="18" t="s">
        <v>588</v>
      </c>
      <c r="B136" s="22" t="s">
        <v>1003</v>
      </c>
      <c r="G136" s="8" t="s">
        <v>619</v>
      </c>
      <c r="H136" t="str">
        <f t="shared" si="2"/>
        <v>|CffFFD24D附魔宝箱|r</v>
      </c>
    </row>
    <row r="137" spans="1:8" ht="15">
      <c r="A137" s="18" t="s">
        <v>591</v>
      </c>
      <c r="B137" s="23" t="s">
        <v>1004</v>
      </c>
      <c r="G137" s="9" t="s">
        <v>751</v>
      </c>
      <c r="H137" t="str">
        <f t="shared" si="2"/>
        <v>Q技能附魔卷</v>
      </c>
    </row>
    <row r="138" spans="1:8" ht="15">
      <c r="A138" s="9" t="s">
        <v>594</v>
      </c>
      <c r="B138" s="24" t="s">
        <v>1005</v>
      </c>
      <c r="G138" s="9" t="s">
        <v>763</v>
      </c>
      <c r="H138" t="str">
        <f t="shared" si="2"/>
        <v>|CffFFD24DQ强力附魔卷|r</v>
      </c>
    </row>
    <row r="139" spans="1:8" ht="15">
      <c r="A139" s="18" t="s">
        <v>597</v>
      </c>
      <c r="B139" s="22" t="s">
        <v>1006</v>
      </c>
      <c r="G139" s="9"/>
      <c r="H139" t="str">
        <f t="shared" si="2"/>
        <v/>
      </c>
    </row>
    <row r="140" spans="1:8" ht="15">
      <c r="A140" s="18" t="s">
        <v>600</v>
      </c>
      <c r="B140" s="22" t="s">
        <v>1007</v>
      </c>
      <c r="G140" s="8"/>
      <c r="H140" t="str">
        <f t="shared" si="2"/>
        <v/>
      </c>
    </row>
    <row r="141" spans="1:8" ht="15">
      <c r="A141" s="25" t="s">
        <v>603</v>
      </c>
      <c r="B141" s="24" t="s">
        <v>604</v>
      </c>
      <c r="G141" s="9" t="s">
        <v>842</v>
      </c>
      <c r="H141" t="str">
        <f t="shared" si="2"/>
        <v>附魔</v>
      </c>
    </row>
    <row r="142" spans="1:8" ht="15">
      <c r="A142" s="25" t="s">
        <v>607</v>
      </c>
      <c r="B142" s="24" t="s">
        <v>608</v>
      </c>
      <c r="G142" s="9" t="s">
        <v>844</v>
      </c>
      <c r="H142" t="str">
        <f t="shared" si="2"/>
        <v>附魔</v>
      </c>
    </row>
    <row r="143" spans="1:8" ht="15">
      <c r="A143" s="25" t="s">
        <v>611</v>
      </c>
      <c r="B143" s="24" t="s">
        <v>612</v>
      </c>
      <c r="G143" s="9" t="s">
        <v>845</v>
      </c>
      <c r="H143" t="str">
        <f t="shared" si="2"/>
        <v>附魔</v>
      </c>
    </row>
    <row r="144" spans="1:8" ht="15">
      <c r="A144" s="25" t="s">
        <v>615</v>
      </c>
      <c r="B144" s="21" t="s">
        <v>616</v>
      </c>
      <c r="G144" s="9" t="s">
        <v>846</v>
      </c>
      <c r="H144" t="str">
        <f t="shared" si="2"/>
        <v>附魔</v>
      </c>
    </row>
    <row r="145" spans="1:8" ht="15">
      <c r="A145" s="25" t="s">
        <v>619</v>
      </c>
      <c r="B145" s="21" t="s">
        <v>620</v>
      </c>
      <c r="G145" s="9" t="s">
        <v>847</v>
      </c>
      <c r="H145" t="str">
        <f t="shared" si="2"/>
        <v>附魔</v>
      </c>
    </row>
    <row r="146" spans="1:8" ht="15">
      <c r="A146" s="25" t="s">
        <v>622</v>
      </c>
      <c r="B146" s="21" t="s">
        <v>1008</v>
      </c>
      <c r="G146" s="9" t="s">
        <v>848</v>
      </c>
      <c r="H146" t="str">
        <f t="shared" si="2"/>
        <v>附魔</v>
      </c>
    </row>
    <row r="147" spans="1:8" ht="15">
      <c r="A147" s="25" t="s">
        <v>626</v>
      </c>
      <c r="B147" s="21" t="s">
        <v>1009</v>
      </c>
      <c r="G147" s="9" t="s">
        <v>849</v>
      </c>
      <c r="H147" t="str">
        <f t="shared" si="2"/>
        <v>附魔</v>
      </c>
    </row>
    <row r="148" spans="1:8" ht="15">
      <c r="A148" s="25" t="s">
        <v>630</v>
      </c>
      <c r="B148" s="21" t="s">
        <v>616</v>
      </c>
      <c r="G148" s="9" t="s">
        <v>850</v>
      </c>
      <c r="H148" t="str">
        <f t="shared" si="2"/>
        <v>附魔</v>
      </c>
    </row>
    <row r="149" spans="1:8" ht="15">
      <c r="A149" s="9" t="s">
        <v>655</v>
      </c>
      <c r="B149" s="9" t="s">
        <v>1010</v>
      </c>
      <c r="G149" s="9" t="s">
        <v>851</v>
      </c>
      <c r="H149" t="str">
        <f t="shared" si="2"/>
        <v>附魔</v>
      </c>
    </row>
    <row r="150" spans="1:8" ht="15">
      <c r="A150" s="9" t="s">
        <v>658</v>
      </c>
      <c r="B150" s="16" t="s">
        <v>659</v>
      </c>
      <c r="G150" s="9" t="s">
        <v>852</v>
      </c>
      <c r="H150" t="str">
        <f t="shared" si="2"/>
        <v>附魔</v>
      </c>
    </row>
    <row r="151" spans="1:8" ht="15">
      <c r="A151" s="9" t="s">
        <v>661</v>
      </c>
      <c r="B151" s="16" t="s">
        <v>662</v>
      </c>
      <c r="G151" s="9" t="s">
        <v>853</v>
      </c>
      <c r="H151" t="str">
        <f t="shared" si="2"/>
        <v>附魔</v>
      </c>
    </row>
    <row r="152" spans="1:8" ht="15">
      <c r="A152" s="9" t="s">
        <v>664</v>
      </c>
      <c r="B152" s="16" t="s">
        <v>665</v>
      </c>
      <c r="G152" s="9" t="s">
        <v>854</v>
      </c>
      <c r="H152" t="str">
        <f t="shared" si="2"/>
        <v>附魔</v>
      </c>
    </row>
    <row r="153" spans="1:8" ht="15">
      <c r="A153" s="9" t="s">
        <v>667</v>
      </c>
      <c r="B153" s="16" t="s">
        <v>668</v>
      </c>
      <c r="G153" s="9" t="s">
        <v>855</v>
      </c>
      <c r="H153" t="str">
        <f t="shared" si="2"/>
        <v>附魔</v>
      </c>
    </row>
    <row r="154" spans="1:8" ht="15">
      <c r="A154" s="9" t="s">
        <v>670</v>
      </c>
      <c r="B154" s="26" t="s">
        <v>671</v>
      </c>
      <c r="G154" s="9" t="s">
        <v>856</v>
      </c>
      <c r="H154" t="str">
        <f t="shared" si="2"/>
        <v>附魔</v>
      </c>
    </row>
    <row r="155" spans="1:8" ht="15">
      <c r="A155" s="9" t="s">
        <v>674</v>
      </c>
      <c r="B155" s="26" t="s">
        <v>675</v>
      </c>
      <c r="G155" s="9" t="s">
        <v>857</v>
      </c>
      <c r="H155" t="str">
        <f t="shared" si="2"/>
        <v>附魔</v>
      </c>
    </row>
    <row r="156" spans="1:8" ht="15">
      <c r="A156" s="9" t="s">
        <v>677</v>
      </c>
      <c r="B156" s="26" t="s">
        <v>678</v>
      </c>
      <c r="G156" s="9" t="s">
        <v>858</v>
      </c>
      <c r="H156" t="str">
        <f t="shared" si="2"/>
        <v>附魔</v>
      </c>
    </row>
    <row r="157" spans="1:8" ht="15">
      <c r="A157" s="9" t="s">
        <v>681</v>
      </c>
      <c r="B157" s="26" t="s">
        <v>682</v>
      </c>
      <c r="G157" s="11"/>
      <c r="H157" t="str">
        <f t="shared" si="2"/>
        <v/>
      </c>
    </row>
    <row r="158" spans="1:8" ht="15">
      <c r="A158" s="9" t="s">
        <v>685</v>
      </c>
      <c r="B158" s="16" t="s">
        <v>686</v>
      </c>
      <c r="G158" s="8"/>
      <c r="H158" t="str">
        <f t="shared" si="2"/>
        <v/>
      </c>
    </row>
    <row r="159" spans="1:8" ht="15">
      <c r="A159" s="9" t="s">
        <v>687</v>
      </c>
      <c r="B159" s="16" t="s">
        <v>688</v>
      </c>
      <c r="G159" s="9" t="s">
        <v>859</v>
      </c>
      <c r="H159" t="str">
        <f t="shared" si="2"/>
        <v>附魔</v>
      </c>
    </row>
    <row r="160" spans="1:8" ht="15">
      <c r="A160" s="9" t="s">
        <v>689</v>
      </c>
      <c r="B160" s="16" t="s">
        <v>690</v>
      </c>
      <c r="G160" s="9" t="s">
        <v>860</v>
      </c>
      <c r="H160" t="str">
        <f t="shared" si="2"/>
        <v>附魔</v>
      </c>
    </row>
    <row r="161" spans="1:8" ht="15">
      <c r="A161" s="9" t="s">
        <v>691</v>
      </c>
      <c r="B161" s="16" t="s">
        <v>692</v>
      </c>
      <c r="G161" s="9" t="s">
        <v>861</v>
      </c>
      <c r="H161" t="str">
        <f t="shared" si="2"/>
        <v>附魔</v>
      </c>
    </row>
    <row r="162" spans="1:8" ht="15">
      <c r="A162" s="9" t="s">
        <v>693</v>
      </c>
      <c r="B162" s="16" t="s">
        <v>694</v>
      </c>
      <c r="G162" s="9" t="s">
        <v>862</v>
      </c>
      <c r="H162" t="str">
        <f t="shared" si="2"/>
        <v>附魔</v>
      </c>
    </row>
    <row r="163" spans="1:8" ht="15">
      <c r="A163" s="9" t="s">
        <v>695</v>
      </c>
      <c r="B163" s="16" t="s">
        <v>696</v>
      </c>
      <c r="G163" s="9" t="s">
        <v>863</v>
      </c>
      <c r="H163" t="str">
        <f t="shared" si="2"/>
        <v>附魔</v>
      </c>
    </row>
    <row r="164" spans="1:8" ht="15">
      <c r="A164" s="9" t="s">
        <v>697</v>
      </c>
      <c r="B164" s="16" t="s">
        <v>698</v>
      </c>
      <c r="G164" s="9" t="s">
        <v>864</v>
      </c>
      <c r="H164" t="str">
        <f t="shared" si="2"/>
        <v>附魔</v>
      </c>
    </row>
    <row r="165" spans="1:8" ht="15">
      <c r="A165" s="9" t="s">
        <v>700</v>
      </c>
      <c r="B165" s="16" t="s">
        <v>701</v>
      </c>
      <c r="G165" s="9" t="s">
        <v>865</v>
      </c>
      <c r="H165" t="str">
        <f t="shared" si="2"/>
        <v>附魔</v>
      </c>
    </row>
    <row r="166" spans="1:8" ht="15">
      <c r="A166" s="9" t="s">
        <v>702</v>
      </c>
      <c r="B166" s="16" t="s">
        <v>703</v>
      </c>
      <c r="G166" s="9" t="s">
        <v>866</v>
      </c>
      <c r="H166" t="str">
        <f t="shared" si="2"/>
        <v>附魔</v>
      </c>
    </row>
    <row r="167" spans="1:8" ht="15">
      <c r="A167" s="9" t="s">
        <v>704</v>
      </c>
      <c r="B167" s="16" t="s">
        <v>705</v>
      </c>
      <c r="G167" s="9" t="s">
        <v>867</v>
      </c>
      <c r="H167" t="str">
        <f t="shared" si="2"/>
        <v>附魔</v>
      </c>
    </row>
    <row r="168" spans="1:8" ht="15">
      <c r="A168" s="9" t="s">
        <v>706</v>
      </c>
      <c r="B168" s="16" t="s">
        <v>707</v>
      </c>
      <c r="G168" s="9" t="s">
        <v>868</v>
      </c>
      <c r="H168" t="str">
        <f t="shared" si="2"/>
        <v>附魔</v>
      </c>
    </row>
    <row r="169" spans="1:8" ht="15">
      <c r="A169" s="9" t="s">
        <v>709</v>
      </c>
      <c r="B169" s="16" t="s">
        <v>710</v>
      </c>
      <c r="G169" s="9" t="s">
        <v>869</v>
      </c>
      <c r="H169" t="str">
        <f t="shared" si="2"/>
        <v>附魔</v>
      </c>
    </row>
    <row r="170" spans="1:8" ht="15">
      <c r="A170" s="9" t="s">
        <v>712</v>
      </c>
      <c r="B170" s="16" t="s">
        <v>713</v>
      </c>
      <c r="G170" s="9" t="s">
        <v>870</v>
      </c>
      <c r="H170" t="str">
        <f t="shared" si="2"/>
        <v>附魔</v>
      </c>
    </row>
    <row r="171" spans="1:8" ht="15">
      <c r="A171" s="9" t="s">
        <v>715</v>
      </c>
      <c r="B171" s="16" t="s">
        <v>716</v>
      </c>
      <c r="G171" s="9" t="s">
        <v>871</v>
      </c>
      <c r="H171" t="str">
        <f t="shared" si="2"/>
        <v>附魔</v>
      </c>
    </row>
    <row r="172" spans="1:8" ht="15">
      <c r="A172" s="9" t="s">
        <v>717</v>
      </c>
      <c r="B172" s="16" t="s">
        <v>718</v>
      </c>
      <c r="G172" s="9" t="s">
        <v>872</v>
      </c>
      <c r="H172" t="str">
        <f t="shared" si="2"/>
        <v>附魔</v>
      </c>
    </row>
    <row r="173" spans="1:8" ht="15">
      <c r="A173" s="9" t="s">
        <v>720</v>
      </c>
      <c r="B173" s="16" t="s">
        <v>721</v>
      </c>
      <c r="G173" s="9" t="s">
        <v>873</v>
      </c>
      <c r="H173" t="str">
        <f t="shared" si="2"/>
        <v>附魔</v>
      </c>
    </row>
    <row r="174" spans="1:8" ht="15">
      <c r="A174" s="9" t="s">
        <v>727</v>
      </c>
      <c r="B174" s="16" t="s">
        <v>728</v>
      </c>
      <c r="G174" s="9" t="s">
        <v>874</v>
      </c>
      <c r="H174" t="e">
        <f t="shared" si="2"/>
        <v>#N/A</v>
      </c>
    </row>
    <row r="175" spans="1:8" ht="15">
      <c r="A175" s="9" t="s">
        <v>730</v>
      </c>
      <c r="B175" s="16" t="s">
        <v>1011</v>
      </c>
    </row>
    <row r="176" spans="1:8" ht="15">
      <c r="A176" s="9" t="s">
        <v>734</v>
      </c>
      <c r="B176" s="16" t="s">
        <v>1012</v>
      </c>
    </row>
    <row r="177" spans="1:2" ht="15">
      <c r="A177" s="9" t="s">
        <v>738</v>
      </c>
      <c r="B177" s="16" t="s">
        <v>1013</v>
      </c>
    </row>
    <row r="178" spans="1:2" ht="15">
      <c r="A178" s="9" t="s">
        <v>751</v>
      </c>
      <c r="B178" s="16" t="s">
        <v>1014</v>
      </c>
    </row>
    <row r="179" spans="1:2" ht="15">
      <c r="A179" s="9" t="s">
        <v>755</v>
      </c>
      <c r="B179" s="16" t="s">
        <v>1015</v>
      </c>
    </row>
    <row r="180" spans="1:2" ht="15">
      <c r="A180" s="9" t="s">
        <v>759</v>
      </c>
      <c r="B180" s="16" t="s">
        <v>1016</v>
      </c>
    </row>
    <row r="181" spans="1:2" ht="15">
      <c r="A181" s="9" t="s">
        <v>763</v>
      </c>
      <c r="B181" s="26" t="s">
        <v>1017</v>
      </c>
    </row>
    <row r="182" spans="1:2" ht="15">
      <c r="A182" s="9" t="s">
        <v>766</v>
      </c>
      <c r="B182" s="27" t="s">
        <v>1018</v>
      </c>
    </row>
    <row r="183" spans="1:2" ht="15">
      <c r="A183" s="9" t="s">
        <v>769</v>
      </c>
      <c r="B183" s="27" t="s">
        <v>1019</v>
      </c>
    </row>
    <row r="184" spans="1:2" ht="15">
      <c r="A184" s="9" t="s">
        <v>772</v>
      </c>
      <c r="B184" s="16" t="s">
        <v>773</v>
      </c>
    </row>
    <row r="185" spans="1:2" ht="15">
      <c r="A185" s="9" t="s">
        <v>774</v>
      </c>
      <c r="B185" s="16" t="s">
        <v>775</v>
      </c>
    </row>
    <row r="186" spans="1:2" ht="15">
      <c r="A186" s="9" t="s">
        <v>784</v>
      </c>
      <c r="B186" s="16" t="s">
        <v>785</v>
      </c>
    </row>
    <row r="187" spans="1:2" ht="15">
      <c r="A187" s="9" t="s">
        <v>786</v>
      </c>
      <c r="B187" s="16" t="s">
        <v>787</v>
      </c>
    </row>
    <row r="188" spans="1:2" ht="14.4">
      <c r="A188" s="28" t="s">
        <v>793</v>
      </c>
      <c r="B188" s="29" t="s">
        <v>794</v>
      </c>
    </row>
    <row r="189" spans="1:2" ht="14.4">
      <c r="A189" s="28" t="s">
        <v>796</v>
      </c>
      <c r="B189" s="29" t="s">
        <v>797</v>
      </c>
    </row>
    <row r="190" spans="1:2" ht="14.4">
      <c r="A190" s="28" t="s">
        <v>799</v>
      </c>
      <c r="B190" s="29" t="s">
        <v>800</v>
      </c>
    </row>
    <row r="191" spans="1:2" ht="14.4">
      <c r="A191" s="28" t="s">
        <v>802</v>
      </c>
      <c r="B191" s="29" t="s">
        <v>803</v>
      </c>
    </row>
    <row r="192" spans="1:2" ht="14.4">
      <c r="A192" s="28" t="s">
        <v>805</v>
      </c>
      <c r="B192" s="29" t="s">
        <v>806</v>
      </c>
    </row>
    <row r="193" spans="1:2" ht="14.4">
      <c r="A193" s="28" t="s">
        <v>808</v>
      </c>
      <c r="B193" s="29" t="s">
        <v>809</v>
      </c>
    </row>
    <row r="194" spans="1:2" ht="14.4">
      <c r="A194" s="28" t="s">
        <v>811</v>
      </c>
      <c r="B194" s="29" t="s">
        <v>812</v>
      </c>
    </row>
    <row r="195" spans="1:2" ht="14.4">
      <c r="A195" s="28" t="s">
        <v>814</v>
      </c>
      <c r="B195" s="29" t="s">
        <v>815</v>
      </c>
    </row>
    <row r="196" spans="1:2" ht="14.4">
      <c r="A196" s="28" t="s">
        <v>817</v>
      </c>
      <c r="B196" s="29" t="s">
        <v>818</v>
      </c>
    </row>
    <row r="197" spans="1:2" ht="14.4">
      <c r="A197" s="28" t="s">
        <v>1020</v>
      </c>
      <c r="B197" s="29" t="str">
        <f>"已领取"&amp;B188</f>
        <v>已领取公众号礼包</v>
      </c>
    </row>
    <row r="198" spans="1:2" ht="14.4">
      <c r="A198" s="28" t="s">
        <v>1021</v>
      </c>
      <c r="B198" s="29" t="str">
        <f t="shared" ref="B198:B205" si="3">"已领取"&amp;B189</f>
        <v>已领取入群礼包</v>
      </c>
    </row>
    <row r="199" spans="1:2" ht="14.4">
      <c r="A199" s="28" t="s">
        <v>1022</v>
      </c>
      <c r="B199" s="29" t="str">
        <f t="shared" si="3"/>
        <v>已领取拜年礼包</v>
      </c>
    </row>
    <row r="200" spans="1:2" ht="14.4">
      <c r="A200" s="28" t="s">
        <v>1023</v>
      </c>
      <c r="B200" s="29" t="str">
        <f t="shared" si="3"/>
        <v>已领取收藏礼包</v>
      </c>
    </row>
    <row r="201" spans="1:2" ht="14.4">
      <c r="A201" s="28" t="s">
        <v>1024</v>
      </c>
      <c r="B201" s="29" t="str">
        <f t="shared" si="3"/>
        <v>已领取重置版礼包</v>
      </c>
    </row>
    <row r="202" spans="1:2" ht="14.4">
      <c r="A202" s="28" t="s">
        <v>1025</v>
      </c>
      <c r="B202" s="29" t="str">
        <f t="shared" si="3"/>
        <v>已领取公会福利</v>
      </c>
    </row>
    <row r="203" spans="1:2" ht="14.4">
      <c r="A203" s="28" t="s">
        <v>1026</v>
      </c>
      <c r="B203" s="29" t="str">
        <f t="shared" si="3"/>
        <v>已领取星耀礼包</v>
      </c>
    </row>
    <row r="204" spans="1:2" ht="14.4">
      <c r="A204" s="28" t="s">
        <v>1027</v>
      </c>
      <c r="B204" s="29" t="str">
        <f t="shared" si="3"/>
        <v>已领取魔芝RPG礼包</v>
      </c>
    </row>
    <row r="205" spans="1:2" ht="14.4">
      <c r="A205" s="28" t="s">
        <v>1028</v>
      </c>
      <c r="B205" s="29" t="str">
        <f t="shared" si="3"/>
        <v>已领取老铁礼包</v>
      </c>
    </row>
    <row r="206" spans="1:2">
      <c r="A206" s="28" t="s">
        <v>842</v>
      </c>
      <c r="B206" s="30" t="s">
        <v>843</v>
      </c>
    </row>
    <row r="207" spans="1:2">
      <c r="A207" s="28" t="s">
        <v>844</v>
      </c>
      <c r="B207" s="30" t="s">
        <v>843</v>
      </c>
    </row>
    <row r="208" spans="1:2">
      <c r="A208" s="28" t="s">
        <v>845</v>
      </c>
      <c r="B208" s="30" t="s">
        <v>843</v>
      </c>
    </row>
    <row r="209" spans="1:2">
      <c r="A209" s="28" t="s">
        <v>846</v>
      </c>
      <c r="B209" s="30" t="s">
        <v>843</v>
      </c>
    </row>
    <row r="210" spans="1:2">
      <c r="A210" s="28" t="s">
        <v>847</v>
      </c>
      <c r="B210" s="30" t="s">
        <v>843</v>
      </c>
    </row>
    <row r="211" spans="1:2">
      <c r="A211" s="28" t="s">
        <v>848</v>
      </c>
      <c r="B211" s="30" t="s">
        <v>843</v>
      </c>
    </row>
    <row r="212" spans="1:2">
      <c r="A212" s="28" t="s">
        <v>849</v>
      </c>
      <c r="B212" s="30" t="s">
        <v>843</v>
      </c>
    </row>
    <row r="213" spans="1:2">
      <c r="A213" s="28" t="s">
        <v>850</v>
      </c>
      <c r="B213" s="30" t="s">
        <v>843</v>
      </c>
    </row>
    <row r="214" spans="1:2">
      <c r="A214" s="28" t="s">
        <v>851</v>
      </c>
      <c r="B214" s="30" t="s">
        <v>843</v>
      </c>
    </row>
    <row r="215" spans="1:2">
      <c r="A215" s="28" t="s">
        <v>852</v>
      </c>
      <c r="B215" s="30" t="s">
        <v>843</v>
      </c>
    </row>
    <row r="216" spans="1:2">
      <c r="A216" s="28" t="s">
        <v>853</v>
      </c>
      <c r="B216" s="30" t="s">
        <v>843</v>
      </c>
    </row>
    <row r="217" spans="1:2">
      <c r="A217" s="28" t="s">
        <v>854</v>
      </c>
      <c r="B217" s="30" t="s">
        <v>843</v>
      </c>
    </row>
    <row r="218" spans="1:2">
      <c r="A218" s="28" t="s">
        <v>855</v>
      </c>
      <c r="B218" s="30" t="s">
        <v>843</v>
      </c>
    </row>
    <row r="219" spans="1:2">
      <c r="A219" s="28" t="s">
        <v>856</v>
      </c>
      <c r="B219" s="30" t="s">
        <v>843</v>
      </c>
    </row>
    <row r="220" spans="1:2">
      <c r="A220" s="28" t="s">
        <v>857</v>
      </c>
      <c r="B220" s="30" t="s">
        <v>843</v>
      </c>
    </row>
    <row r="221" spans="1:2">
      <c r="A221" s="28" t="s">
        <v>858</v>
      </c>
      <c r="B221" s="30" t="s">
        <v>843</v>
      </c>
    </row>
    <row r="222" spans="1:2">
      <c r="A222" s="28" t="s">
        <v>859</v>
      </c>
      <c r="B222" s="30" t="s">
        <v>843</v>
      </c>
    </row>
    <row r="223" spans="1:2">
      <c r="A223" s="28" t="s">
        <v>860</v>
      </c>
      <c r="B223" s="30" t="s">
        <v>843</v>
      </c>
    </row>
    <row r="224" spans="1:2">
      <c r="A224" s="28" t="s">
        <v>861</v>
      </c>
      <c r="B224" s="30" t="s">
        <v>843</v>
      </c>
    </row>
    <row r="225" spans="1:2">
      <c r="A225" s="28" t="s">
        <v>862</v>
      </c>
      <c r="B225" s="30" t="s">
        <v>843</v>
      </c>
    </row>
    <row r="226" spans="1:2">
      <c r="A226" s="28" t="s">
        <v>863</v>
      </c>
      <c r="B226" s="30" t="s">
        <v>843</v>
      </c>
    </row>
    <row r="227" spans="1:2">
      <c r="A227" s="28" t="s">
        <v>864</v>
      </c>
      <c r="B227" s="30" t="s">
        <v>843</v>
      </c>
    </row>
    <row r="228" spans="1:2">
      <c r="A228" s="28" t="s">
        <v>865</v>
      </c>
      <c r="B228" s="30" t="s">
        <v>843</v>
      </c>
    </row>
    <row r="229" spans="1:2">
      <c r="A229" s="28" t="s">
        <v>866</v>
      </c>
      <c r="B229" s="30" t="s">
        <v>843</v>
      </c>
    </row>
    <row r="230" spans="1:2">
      <c r="A230" s="28" t="s">
        <v>867</v>
      </c>
      <c r="B230" s="30" t="s">
        <v>843</v>
      </c>
    </row>
    <row r="231" spans="1:2">
      <c r="A231" s="28" t="s">
        <v>868</v>
      </c>
      <c r="B231" s="30" t="s">
        <v>843</v>
      </c>
    </row>
    <row r="232" spans="1:2">
      <c r="A232" s="28" t="s">
        <v>869</v>
      </c>
      <c r="B232" s="30" t="s">
        <v>843</v>
      </c>
    </row>
    <row r="233" spans="1:2">
      <c r="A233" s="28" t="s">
        <v>870</v>
      </c>
      <c r="B233" s="30" t="s">
        <v>843</v>
      </c>
    </row>
    <row r="234" spans="1:2">
      <c r="A234" s="28" t="s">
        <v>871</v>
      </c>
      <c r="B234" s="30" t="s">
        <v>843</v>
      </c>
    </row>
    <row r="235" spans="1:2">
      <c r="A235" s="28" t="s">
        <v>872</v>
      </c>
      <c r="B235" s="30" t="s">
        <v>843</v>
      </c>
    </row>
    <row r="236" spans="1:2">
      <c r="A236" s="28" t="s">
        <v>873</v>
      </c>
      <c r="B236" s="30" t="s">
        <v>843</v>
      </c>
    </row>
    <row r="237" spans="1:2" ht="15">
      <c r="A237" s="9" t="s">
        <v>875</v>
      </c>
      <c r="B237" s="9" t="s">
        <v>876</v>
      </c>
    </row>
    <row r="238" spans="1:2" ht="15">
      <c r="A238" s="9" t="s">
        <v>877</v>
      </c>
      <c r="B238" s="9" t="s">
        <v>878</v>
      </c>
    </row>
    <row r="239" spans="1:2" ht="15">
      <c r="A239" s="9" t="s">
        <v>879</v>
      </c>
      <c r="B239" s="9" t="s">
        <v>119</v>
      </c>
    </row>
    <row r="240" spans="1:2" ht="15">
      <c r="A240" s="9" t="s">
        <v>880</v>
      </c>
      <c r="B240" s="9" t="s">
        <v>881</v>
      </c>
    </row>
    <row r="241" spans="1:2" ht="15">
      <c r="A241" s="9" t="s">
        <v>882</v>
      </c>
      <c r="B241" s="9" t="s">
        <v>883</v>
      </c>
    </row>
    <row r="242" spans="1:2" ht="15">
      <c r="A242" s="9" t="s">
        <v>884</v>
      </c>
      <c r="B242" s="9" t="s">
        <v>885</v>
      </c>
    </row>
    <row r="243" spans="1:2" ht="15">
      <c r="A243" s="9" t="s">
        <v>886</v>
      </c>
      <c r="B243" s="9" t="s">
        <v>887</v>
      </c>
    </row>
    <row r="244" spans="1:2" ht="15">
      <c r="A244" s="9" t="s">
        <v>888</v>
      </c>
      <c r="B244" s="9" t="s">
        <v>889</v>
      </c>
    </row>
    <row r="245" spans="1:2" ht="15">
      <c r="A245" s="9" t="s">
        <v>890</v>
      </c>
      <c r="B245" s="9" t="s">
        <v>891</v>
      </c>
    </row>
    <row r="246" spans="1:2" ht="15">
      <c r="A246" s="9" t="s">
        <v>892</v>
      </c>
      <c r="B246" s="9" t="s">
        <v>893</v>
      </c>
    </row>
    <row r="247" spans="1:2" ht="15">
      <c r="A247" s="9" t="s">
        <v>894</v>
      </c>
      <c r="B247" s="9" t="s">
        <v>895</v>
      </c>
    </row>
    <row r="248" spans="1:2" ht="15">
      <c r="A248" s="9" t="s">
        <v>896</v>
      </c>
      <c r="B248" s="9" t="s">
        <v>897</v>
      </c>
    </row>
  </sheetData>
  <phoneticPr fontId="3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dell</cp:lastModifiedBy>
  <dcterms:created xsi:type="dcterms:W3CDTF">2015-06-05T18:19:00Z</dcterms:created>
  <dcterms:modified xsi:type="dcterms:W3CDTF">2020-03-21T14:54:16Z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