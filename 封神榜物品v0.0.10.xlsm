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P000!$A$1:$AP$672</definedName>
  </definedNames>
  <calcPr calcId="125725"/>
</workbook>
</file>

<file path=xl/calcChain.xml><?xml version="1.0" encoding="utf-8"?>
<calcChain xmlns="http://schemas.openxmlformats.org/spreadsheetml/2006/main">
  <c r="X6" i="7"/>
  <c r="X5"/>
  <c r="X4"/>
  <c r="X3"/>
  <c r="B42"/>
  <c r="M12"/>
  <c r="N12" s="1"/>
  <c r="M11"/>
  <c r="N11" s="1"/>
  <c r="M10"/>
  <c r="N10" s="1"/>
  <c r="M9"/>
  <c r="N9" s="1"/>
  <c r="M8"/>
  <c r="J8"/>
  <c r="J12"/>
  <c r="J11"/>
  <c r="J10"/>
  <c r="J9"/>
  <c r="F27" l="1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AB32" i="2"/>
  <c r="AB31"/>
  <c r="AB30"/>
  <c r="AB29"/>
  <c r="AB28"/>
  <c r="B4" i="4" l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1" i="1"/>
  <c r="H191" s="1"/>
  <c r="J191" s="1"/>
  <c r="M190"/>
  <c r="H190"/>
  <c r="J190" s="1"/>
  <c r="B190"/>
  <c r="I190" s="1"/>
  <c r="K190" s="1"/>
  <c r="I189"/>
  <c r="K189" s="1"/>
  <c r="B189"/>
  <c r="H189" s="1"/>
  <c r="J189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I191" i="1" l="1"/>
  <c r="K191" s="1"/>
  <c r="M191"/>
  <c r="CU190" i="2"/>
  <c r="CU189"/>
  <c r="CU191"/>
  <c r="M189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I93" s="1"/>
  <c r="K93" s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M91" i="1" l="1"/>
  <c r="CU173" i="2"/>
  <c r="CU92"/>
  <c r="CU171"/>
  <c r="H91" i="1"/>
  <c r="J91" s="1"/>
  <c r="M92"/>
  <c r="CU93" i="2"/>
  <c r="CU172"/>
  <c r="CU91"/>
  <c r="H93" i="1"/>
  <c r="J93" s="1"/>
  <c r="I91"/>
  <c r="K91" s="1"/>
  <c r="H92"/>
  <c r="J92" s="1"/>
  <c r="I92"/>
  <c r="K92" s="1"/>
  <c r="M93"/>
  <c r="I173"/>
  <c r="K173" s="1"/>
  <c r="H173"/>
  <c r="J173" s="1"/>
  <c r="M172"/>
  <c r="I172"/>
  <c r="K172" s="1"/>
  <c r="H171"/>
  <c r="J171" s="1"/>
  <c r="M171"/>
  <c r="M173"/>
  <c r="N8" i="7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8" i="2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L128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CR105" s="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CR104" s="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8" i="1"/>
  <c r="B217"/>
  <c r="B216"/>
  <c r="B215"/>
  <c r="M215" s="1"/>
  <c r="B214"/>
  <c r="B213"/>
  <c r="H213" s="1"/>
  <c r="J213" s="1"/>
  <c r="B212"/>
  <c r="B211"/>
  <c r="H211" s="1"/>
  <c r="J211" s="1"/>
  <c r="B210"/>
  <c r="B209"/>
  <c r="B208"/>
  <c r="B207"/>
  <c r="M207" s="1"/>
  <c r="B206"/>
  <c r="B205"/>
  <c r="H205" s="1"/>
  <c r="J205" s="1"/>
  <c r="B204"/>
  <c r="B203"/>
  <c r="H203" s="1"/>
  <c r="J203" s="1"/>
  <c r="B202"/>
  <c r="B201"/>
  <c r="B200"/>
  <c r="B199"/>
  <c r="M199" s="1"/>
  <c r="B198"/>
  <c r="B197"/>
  <c r="H197" s="1"/>
  <c r="J197" s="1"/>
  <c r="B196"/>
  <c r="B195"/>
  <c r="H195" s="1"/>
  <c r="J195" s="1"/>
  <c r="B194"/>
  <c r="B193"/>
  <c r="B192"/>
  <c r="B188"/>
  <c r="B187"/>
  <c r="B186"/>
  <c r="H186" s="1"/>
  <c r="J186" s="1"/>
  <c r="B185"/>
  <c r="H185" s="1"/>
  <c r="J185" s="1"/>
  <c r="B184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B137"/>
  <c r="H137" s="1"/>
  <c r="J137" s="1"/>
  <c r="B136"/>
  <c r="B135"/>
  <c r="H135" s="1"/>
  <c r="J135" s="1"/>
  <c r="B134"/>
  <c r="M134" s="1"/>
  <c r="B133"/>
  <c r="H133" s="1"/>
  <c r="J133" s="1"/>
  <c r="B132"/>
  <c r="B131"/>
  <c r="H131" s="1"/>
  <c r="J131" s="1"/>
  <c r="B130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B101"/>
  <c r="H101" s="1"/>
  <c r="J101" s="1"/>
  <c r="B100"/>
  <c r="M100" s="1"/>
  <c r="B99"/>
  <c r="H99" s="1"/>
  <c r="J99" s="1"/>
  <c r="B98"/>
  <c r="B97"/>
  <c r="H97" s="1"/>
  <c r="J97" s="1"/>
  <c r="B96"/>
  <c r="M96" s="1"/>
  <c r="B95"/>
  <c r="H95" s="1"/>
  <c r="J95" s="1"/>
  <c r="B94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102" l="1"/>
  <c r="M27" i="4"/>
  <c r="M94" i="1"/>
  <c r="M26" i="4"/>
  <c r="M25"/>
  <c r="M184" i="1"/>
  <c r="M132"/>
  <c r="CU184" i="2"/>
  <c r="CU241"/>
  <c r="CR28"/>
  <c r="CR36"/>
  <c r="CN38"/>
  <c r="CU140"/>
  <c r="CU157"/>
  <c r="CU168"/>
  <c r="CU125"/>
  <c r="M98" i="1"/>
  <c r="CR132" i="2"/>
  <c r="CU94"/>
  <c r="CU111"/>
  <c r="CR119"/>
  <c r="CR102"/>
  <c r="CR120"/>
  <c r="M176" i="1"/>
  <c r="M278" i="5"/>
  <c r="CB278" s="1"/>
  <c r="M290"/>
  <c r="CB290" s="1"/>
  <c r="N128" i="4"/>
  <c r="M297" i="5"/>
  <c r="CB297" s="1"/>
  <c r="N116" i="4"/>
  <c r="N104"/>
  <c r="CU107" i="2"/>
  <c r="CU142"/>
  <c r="CU145"/>
  <c r="CU159"/>
  <c r="CU170"/>
  <c r="CU175"/>
  <c r="CU186"/>
  <c r="CU229"/>
  <c r="CU235"/>
  <c r="CU240"/>
  <c r="CU245"/>
  <c r="CU251"/>
  <c r="CU280"/>
  <c r="CU283"/>
  <c r="CU286"/>
  <c r="CU289"/>
  <c r="CU292"/>
  <c r="CU295"/>
  <c r="CU298"/>
  <c r="CU301"/>
  <c r="CU304"/>
  <c r="CU307"/>
  <c r="CR44"/>
  <c r="CU96"/>
  <c r="CU101"/>
  <c r="CU114"/>
  <c r="CU121"/>
  <c r="CR125"/>
  <c r="CU128"/>
  <c r="CU131"/>
  <c r="CU148"/>
  <c r="CU151"/>
  <c r="CU162"/>
  <c r="CU178"/>
  <c r="CN53"/>
  <c r="CU104"/>
  <c r="CU118"/>
  <c r="CU134"/>
  <c r="CU137"/>
  <c r="CU154"/>
  <c r="CU165"/>
  <c r="CU192"/>
  <c r="CU196"/>
  <c r="CU200"/>
  <c r="CU204"/>
  <c r="CU208"/>
  <c r="CU212"/>
  <c r="CU216"/>
  <c r="CU220"/>
  <c r="CU224"/>
  <c r="CU228"/>
  <c r="CU234"/>
  <c r="CU244"/>
  <c r="CU250"/>
  <c r="CU256"/>
  <c r="CU260"/>
  <c r="CU264"/>
  <c r="CU268"/>
  <c r="CU272"/>
  <c r="CU276"/>
  <c r="CU181"/>
  <c r="CU143"/>
  <c r="CU176"/>
  <c r="CU233"/>
  <c r="CU243"/>
  <c r="CU249"/>
  <c r="CU255"/>
  <c r="CU279"/>
  <c r="CU282"/>
  <c r="CU285"/>
  <c r="CU288"/>
  <c r="CU291"/>
  <c r="CU294"/>
  <c r="CU297"/>
  <c r="CU300"/>
  <c r="CU303"/>
  <c r="CU306"/>
  <c r="CU122"/>
  <c r="M136" i="1"/>
  <c r="CU129" i="2"/>
  <c r="CR138"/>
  <c r="CU149"/>
  <c r="CU152"/>
  <c r="CU160"/>
  <c r="CU163"/>
  <c r="CR174"/>
  <c r="CU187"/>
  <c r="CU193"/>
  <c r="CU197"/>
  <c r="CU201"/>
  <c r="CU205"/>
  <c r="CU209"/>
  <c r="CU213"/>
  <c r="CU217"/>
  <c r="CU221"/>
  <c r="CU225"/>
  <c r="CU257"/>
  <c r="CU261"/>
  <c r="CU265"/>
  <c r="CU269"/>
  <c r="CU273"/>
  <c r="CU277"/>
  <c r="CU89"/>
  <c r="CU99"/>
  <c r="CU97"/>
  <c r="CU102"/>
  <c r="CU105"/>
  <c r="CU112"/>
  <c r="CU119"/>
  <c r="CR123"/>
  <c r="CU126"/>
  <c r="CU132"/>
  <c r="CU135"/>
  <c r="CU155"/>
  <c r="CU166"/>
  <c r="CU179"/>
  <c r="CU232"/>
  <c r="CU238"/>
  <c r="CU242"/>
  <c r="CU248"/>
  <c r="CU254"/>
  <c r="CU108"/>
  <c r="CU115"/>
  <c r="CU146"/>
  <c r="M138" i="1"/>
  <c r="M188"/>
  <c r="CU109" i="2"/>
  <c r="CU138"/>
  <c r="CU141"/>
  <c r="CU169"/>
  <c r="CU174"/>
  <c r="CU182"/>
  <c r="CR97"/>
  <c r="CU90"/>
  <c r="CU95"/>
  <c r="CU100"/>
  <c r="CU116"/>
  <c r="CU123"/>
  <c r="CU144"/>
  <c r="CU147"/>
  <c r="CU158"/>
  <c r="CU185"/>
  <c r="CU194"/>
  <c r="CU198"/>
  <c r="CU202"/>
  <c r="CU206"/>
  <c r="CU210"/>
  <c r="CU214"/>
  <c r="CU218"/>
  <c r="CU222"/>
  <c r="CU226"/>
  <c r="CU231"/>
  <c r="CU237"/>
  <c r="CU247"/>
  <c r="CU253"/>
  <c r="CU258"/>
  <c r="CU262"/>
  <c r="CU266"/>
  <c r="CU270"/>
  <c r="CU274"/>
  <c r="CU278"/>
  <c r="CU281"/>
  <c r="CU284"/>
  <c r="CU287"/>
  <c r="CU290"/>
  <c r="CU293"/>
  <c r="CU296"/>
  <c r="CU299"/>
  <c r="CU302"/>
  <c r="CU305"/>
  <c r="CU308"/>
  <c r="CR98"/>
  <c r="CU106"/>
  <c r="CU113"/>
  <c r="CU127"/>
  <c r="CU130"/>
  <c r="CU150"/>
  <c r="CU153"/>
  <c r="CU161"/>
  <c r="CU177"/>
  <c r="CU239"/>
  <c r="CU103"/>
  <c r="CU120"/>
  <c r="CU133"/>
  <c r="CU136"/>
  <c r="CU164"/>
  <c r="CU167"/>
  <c r="CU180"/>
  <c r="CU188"/>
  <c r="CU230"/>
  <c r="CU236"/>
  <c r="CU246"/>
  <c r="CU252"/>
  <c r="M130" i="1"/>
  <c r="CU88" i="2"/>
  <c r="CU98"/>
  <c r="CR101"/>
  <c r="CU110"/>
  <c r="CU117"/>
  <c r="CU124"/>
  <c r="CU139"/>
  <c r="CU156"/>
  <c r="CU183"/>
  <c r="CU195"/>
  <c r="CU199"/>
  <c r="CU203"/>
  <c r="CU207"/>
  <c r="CU211"/>
  <c r="CU215"/>
  <c r="CU219"/>
  <c r="CU223"/>
  <c r="CU227"/>
  <c r="CU259"/>
  <c r="CU263"/>
  <c r="CU267"/>
  <c r="CU271"/>
  <c r="CU275"/>
  <c r="BE260" i="5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2"/>
  <c r="CR134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7"/>
  <c r="CR146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4" i="1"/>
  <c r="K154" s="1"/>
  <c r="EK34" i="2"/>
  <c r="I183" i="1"/>
  <c r="K183" s="1"/>
  <c r="I207"/>
  <c r="K207" s="1"/>
  <c r="I211"/>
  <c r="K211" s="1"/>
  <c r="I140"/>
  <c r="K140" s="1"/>
  <c r="I134"/>
  <c r="K134" s="1"/>
  <c r="I135"/>
  <c r="K135" s="1"/>
  <c r="I147"/>
  <c r="K147" s="1"/>
  <c r="I155"/>
  <c r="K155" s="1"/>
  <c r="I163"/>
  <c r="K163" s="1"/>
  <c r="I107"/>
  <c r="K107" s="1"/>
  <c r="I176"/>
  <c r="K176" s="1"/>
  <c r="I149"/>
  <c r="K149" s="1"/>
  <c r="I124"/>
  <c r="K124" s="1"/>
  <c r="I104"/>
  <c r="K104" s="1"/>
  <c r="I150"/>
  <c r="K150" s="1"/>
  <c r="I158"/>
  <c r="K158" s="1"/>
  <c r="I166"/>
  <c r="K166" s="1"/>
  <c r="I119"/>
  <c r="K119" s="1"/>
  <c r="I162"/>
  <c r="K162" s="1"/>
  <c r="I96"/>
  <c r="K96" s="1"/>
  <c r="I102"/>
  <c r="K102" s="1"/>
  <c r="I133"/>
  <c r="K133" s="1"/>
  <c r="I145"/>
  <c r="K145" s="1"/>
  <c r="I100"/>
  <c r="K100" s="1"/>
  <c r="I131"/>
  <c r="K131" s="1"/>
  <c r="I143"/>
  <c r="K143" s="1"/>
  <c r="I178"/>
  <c r="K178" s="1"/>
  <c r="I186"/>
  <c r="K186" s="1"/>
  <c r="I132"/>
  <c r="K132" s="1"/>
  <c r="I144"/>
  <c r="K144" s="1"/>
  <c r="I179"/>
  <c r="K179" s="1"/>
  <c r="I187"/>
  <c r="K187" s="1"/>
  <c r="I193"/>
  <c r="K193" s="1"/>
  <c r="I201"/>
  <c r="K201" s="1"/>
  <c r="I205"/>
  <c r="K205" s="1"/>
  <c r="I213"/>
  <c r="K213" s="1"/>
  <c r="I217"/>
  <c r="K217" s="1"/>
  <c r="I184"/>
  <c r="K184" s="1"/>
  <c r="I157"/>
  <c r="K157" s="1"/>
  <c r="I165"/>
  <c r="K165" s="1"/>
  <c r="I194"/>
  <c r="K194" s="1"/>
  <c r="I206"/>
  <c r="K206" s="1"/>
  <c r="I218"/>
  <c r="K218" s="1"/>
  <c r="I180"/>
  <c r="K180" s="1"/>
  <c r="I136"/>
  <c r="K136" s="1"/>
  <c r="I148"/>
  <c r="K148" s="1"/>
  <c r="I156"/>
  <c r="K156" s="1"/>
  <c r="I164"/>
  <c r="K164" s="1"/>
  <c r="I215"/>
  <c r="K215" s="1"/>
  <c r="I105"/>
  <c r="K105" s="1"/>
  <c r="I181"/>
  <c r="K181" s="1"/>
  <c r="I192"/>
  <c r="K192" s="1"/>
  <c r="I196"/>
  <c r="K196" s="1"/>
  <c r="I208"/>
  <c r="K208" s="1"/>
  <c r="I216"/>
  <c r="K216" s="1"/>
  <c r="I108"/>
  <c r="K108" s="1"/>
  <c r="I170"/>
  <c r="K170" s="1"/>
  <c r="I106"/>
  <c r="K106" s="1"/>
  <c r="I90"/>
  <c r="K90" s="1"/>
  <c r="I121"/>
  <c r="K121" s="1"/>
  <c r="I142"/>
  <c r="K142" s="1"/>
  <c r="I152"/>
  <c r="K152" s="1"/>
  <c r="I160"/>
  <c r="K160" s="1"/>
  <c r="I168"/>
  <c r="K168" s="1"/>
  <c r="I130"/>
  <c r="K130" s="1"/>
  <c r="I177"/>
  <c r="K177" s="1"/>
  <c r="I185"/>
  <c r="K185" s="1"/>
  <c r="I198"/>
  <c r="K198" s="1"/>
  <c r="I202"/>
  <c r="K202" s="1"/>
  <c r="I210"/>
  <c r="K210" s="1"/>
  <c r="I197"/>
  <c r="K197" s="1"/>
  <c r="I127"/>
  <c r="K127" s="1"/>
  <c r="I137"/>
  <c r="K137" s="1"/>
  <c r="I174"/>
  <c r="K174" s="1"/>
  <c r="I182"/>
  <c r="K182" s="1"/>
  <c r="M187"/>
  <c r="H187"/>
  <c r="J187" s="1"/>
  <c r="M209"/>
  <c r="I209"/>
  <c r="K209" s="1"/>
  <c r="H209"/>
  <c r="J209" s="1"/>
  <c r="H150"/>
  <c r="J150" s="1"/>
  <c r="M150"/>
  <c r="M201"/>
  <c r="H201"/>
  <c r="J201" s="1"/>
  <c r="M167"/>
  <c r="H167"/>
  <c r="J167" s="1"/>
  <c r="M193"/>
  <c r="H193"/>
  <c r="J193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4"/>
  <c r="H214"/>
  <c r="J214" s="1"/>
  <c r="I214"/>
  <c r="K214" s="1"/>
  <c r="M206"/>
  <c r="H206"/>
  <c r="J206" s="1"/>
  <c r="M198"/>
  <c r="H198"/>
  <c r="J198" s="1"/>
  <c r="M155"/>
  <c r="H155"/>
  <c r="J155" s="1"/>
  <c r="M217"/>
  <c r="H217"/>
  <c r="J217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5"/>
  <c r="K195" s="1"/>
  <c r="M197"/>
  <c r="I203"/>
  <c r="K203" s="1"/>
  <c r="M205"/>
  <c r="M213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5"/>
  <c r="M203"/>
  <c r="M211"/>
  <c r="M196"/>
  <c r="H196"/>
  <c r="J196" s="1"/>
  <c r="M204"/>
  <c r="H204"/>
  <c r="J204" s="1"/>
  <c r="M212"/>
  <c r="H212"/>
  <c r="J212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9"/>
  <c r="J199" s="1"/>
  <c r="I204"/>
  <c r="K204" s="1"/>
  <c r="H207"/>
  <c r="J207" s="1"/>
  <c r="I212"/>
  <c r="K212" s="1"/>
  <c r="H215"/>
  <c r="J215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9"/>
  <c r="K199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4" i="1"/>
  <c r="H194"/>
  <c r="J194" s="1"/>
  <c r="M202"/>
  <c r="H202"/>
  <c r="J202" s="1"/>
  <c r="M210"/>
  <c r="H210"/>
  <c r="J210" s="1"/>
  <c r="M218"/>
  <c r="H218"/>
  <c r="J218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DH58"/>
  <c r="G8" i="4"/>
  <c r="CR8" i="2"/>
  <c r="DB10"/>
  <c r="DB20"/>
  <c r="CU20" s="1"/>
  <c r="M192" i="1"/>
  <c r="H192"/>
  <c r="J192" s="1"/>
  <c r="M200"/>
  <c r="H200"/>
  <c r="J200" s="1"/>
  <c r="M208"/>
  <c r="H208"/>
  <c r="J208" s="1"/>
  <c r="M216"/>
  <c r="H216"/>
  <c r="J216" s="1"/>
  <c r="DB78" i="2"/>
  <c r="DB85"/>
  <c r="DB83"/>
  <c r="DB82"/>
  <c r="DB81"/>
  <c r="DB79"/>
  <c r="DB21"/>
  <c r="DB26"/>
  <c r="DB86"/>
  <c r="DB19"/>
  <c r="DB80"/>
  <c r="DB17"/>
  <c r="CU17" s="1"/>
  <c r="DB87"/>
  <c r="DB22"/>
  <c r="DB15"/>
  <c r="CU15" s="1"/>
  <c r="DB84"/>
  <c r="DB25"/>
  <c r="DB13"/>
  <c r="CU13" s="1"/>
  <c r="DB18"/>
  <c r="DB11"/>
  <c r="CU11" s="1"/>
  <c r="DB23"/>
  <c r="DF35"/>
  <c r="DH67"/>
  <c r="I200" i="1"/>
  <c r="K200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98" i="1"/>
  <c r="K98" s="1"/>
  <c r="I128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1" i="1"/>
  <c r="K111" s="1"/>
  <c r="I125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7" i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3" i="1"/>
  <c r="K153" s="1"/>
  <c r="I161"/>
  <c r="K161" s="1"/>
  <c r="I169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4" i="1"/>
  <c r="K94" s="1"/>
  <c r="I101"/>
  <c r="K101" s="1"/>
  <c r="I103"/>
  <c r="K103" s="1"/>
  <c r="I109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3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99" i="1"/>
  <c r="K99" s="1"/>
  <c r="I112"/>
  <c r="K112" s="1"/>
  <c r="I118"/>
  <c r="K118" s="1"/>
  <c r="I141"/>
  <c r="K141" s="1"/>
  <c r="I151"/>
  <c r="K151" s="1"/>
  <c r="I159"/>
  <c r="K159" s="1"/>
  <c r="I167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6" i="1"/>
  <c r="K126" s="1"/>
  <c r="I129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7" i="1"/>
  <c r="K97" s="1"/>
  <c r="I110"/>
  <c r="K110" s="1"/>
  <c r="I115"/>
  <c r="K115" s="1"/>
  <c r="I139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5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77" i="2" l="1"/>
  <c r="CU61"/>
  <c r="CU28"/>
  <c r="CV28" s="1"/>
  <c r="CU32"/>
  <c r="CV32" s="1"/>
  <c r="CU29"/>
  <c r="CU62"/>
  <c r="CU63"/>
  <c r="CU40"/>
  <c r="CV40" s="1"/>
  <c r="CU44"/>
  <c r="CU41"/>
  <c r="CV41" s="1"/>
  <c r="CU69"/>
  <c r="CV69" s="1"/>
  <c r="I69" i="1" s="1"/>
  <c r="K69" s="1"/>
  <c r="CU57" i="2"/>
  <c r="CU47"/>
  <c r="CU80"/>
  <c r="CU38"/>
  <c r="CU58"/>
  <c r="CV58" s="1"/>
  <c r="CU35"/>
  <c r="CV35" s="1"/>
  <c r="CU50"/>
  <c r="CU60"/>
  <c r="CU59"/>
  <c r="CU30"/>
  <c r="CV30" s="1"/>
  <c r="CU39"/>
  <c r="CV39" s="1"/>
  <c r="CU67"/>
  <c r="CV67" s="1"/>
  <c r="I67" i="1" s="1"/>
  <c r="K67" s="1"/>
  <c r="CU64" i="2"/>
  <c r="CU33"/>
  <c r="CU42"/>
  <c r="CV42" s="1"/>
  <c r="CU51"/>
  <c r="CU36"/>
  <c r="CV36" s="1"/>
  <c r="CU72"/>
  <c r="CU68"/>
  <c r="CU45"/>
  <c r="CV45" s="1"/>
  <c r="CU48"/>
  <c r="CU53"/>
  <c r="CV53" s="1"/>
  <c r="I53" i="1" s="1"/>
  <c r="K53" s="1"/>
  <c r="CU71" i="2"/>
  <c r="CU52"/>
  <c r="CV52" s="1"/>
  <c r="CU65"/>
  <c r="CU31"/>
  <c r="CV31" s="1"/>
  <c r="CU37"/>
  <c r="CU34"/>
  <c r="CU54"/>
  <c r="CV54" s="1"/>
  <c r="I54" i="1" s="1"/>
  <c r="K54" s="1"/>
  <c r="CU70" i="2"/>
  <c r="CU43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48"/>
  <c r="I48" i="1" s="1"/>
  <c r="K48" s="1"/>
  <c r="CV37" i="2"/>
  <c r="CV34"/>
  <c r="I34" i="1" s="1"/>
  <c r="K34" s="1"/>
  <c r="CV29" i="2"/>
  <c r="CV44"/>
  <c r="CV47"/>
  <c r="I47" i="1" s="1"/>
  <c r="K47" s="1"/>
  <c r="CV38" i="2"/>
  <c r="I38" i="1" s="1"/>
  <c r="K38" s="1"/>
  <c r="CV50" i="2"/>
  <c r="CV33"/>
  <c r="CV51"/>
  <c r="CU86"/>
  <c r="CU8"/>
  <c r="CV8" s="1"/>
  <c r="CU18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4" i="2"/>
  <c r="CV61"/>
  <c r="I61" i="1" s="1"/>
  <c r="K61" s="1"/>
  <c r="CV68" i="2"/>
  <c r="CV4"/>
  <c r="I4" i="1" s="1"/>
  <c r="K4" s="1"/>
  <c r="CV15" i="2"/>
  <c r="I15" i="1" s="1"/>
  <c r="K15" s="1"/>
  <c r="CV70" i="2"/>
  <c r="I70" i="1" s="1"/>
  <c r="K70" s="1"/>
  <c r="CV77" i="2"/>
  <c r="I77" i="1" s="1"/>
  <c r="K77" s="1"/>
  <c r="CV71" i="2"/>
  <c r="CV55"/>
  <c r="I55" i="1" s="1"/>
  <c r="K55" s="1"/>
  <c r="CV65" i="2"/>
  <c r="I65" i="1" s="1"/>
  <c r="K65" s="1"/>
  <c r="CV62" i="2"/>
  <c r="CV59"/>
  <c r="CV18"/>
  <c r="CV5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57"/>
  <c r="I57" i="1" s="1"/>
  <c r="K57" s="1"/>
  <c r="CV6" i="2"/>
  <c r="I6" i="1" s="1"/>
  <c r="K6" s="1"/>
  <c r="CV63" i="2"/>
  <c r="CV60"/>
  <c r="I60" i="1" s="1"/>
  <c r="K60" s="1"/>
  <c r="W267" i="5"/>
  <c r="X267" s="1"/>
  <c r="CC267" s="1"/>
  <c r="CO18" i="2"/>
  <c r="CV7"/>
  <c r="I7" i="1" s="1"/>
  <c r="K7" s="1"/>
  <c r="CV80" i="2"/>
  <c r="I80" i="1" s="1"/>
  <c r="K80" s="1"/>
  <c r="I42"/>
  <c r="K42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<sst xmlns="http://schemas.openxmlformats.org/spreadsheetml/2006/main" count="4370" uniqueCount="731">
  <si>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</si>
  <si>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</si>
  <si>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</si>
  <si>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</si>
  <si>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</si>
  <si>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</si>
  <si>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</si>
  <si>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</si>
  <si>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</si>
  <si>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</si>
  <si>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</si>
  <si>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</si>
  <si>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</si>
  <si>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</si>
  <si>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</si>
  <si>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</si>
  <si>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</si>
  <si>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</si>
  <si>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</si>
  <si>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</si>
  <si>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</si>
  <si>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</si>
  <si>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</si>
  <si>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</si>
  <si>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</si>
  <si>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</si>
  <si>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</si>
  <si>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</si>
  <si>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</si>
  <si>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</si>
  <si>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</si>
  <si>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</si>
  <si>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</si>
  <si>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</si>
  <si>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</si>
  <si>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</si>
  <si>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</si>
  <si>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</si>
  <si>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</si>
  <si>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</si>
  <si>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</si>
  <si>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</si>
  <si>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</si>
  <si>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</si>
  <si>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</si>
  <si>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</si>
  <si>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</si>
  <si>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</si>
  <si>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</si>
  <si>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</si>
  <si>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</si>
  <si>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</si>
  <si>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</si>
  <si>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</si>
  <si>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</si>
  <si>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</si>
  <si>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</si>
  <si>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</si>
  <si>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</si>
  <si>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</si>
  <si>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</si>
  <si>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</si>
  <si>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</si>
  <si>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</si>
  <si>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</si>
  <si>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</si>
  <si>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</si>
  <si>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</si>
  <si>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</si>
  <si>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</si>
  <si>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</si>
  <si>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</si>
  <si>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</si>
  <si>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</si>
  <si>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</si>
  <si>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</si>
  <si>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</si>
  <si>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</si>
  <si>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</si>
  <si>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</si>
  <si>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</si>
  <si>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</si>
  <si>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</si>
  <si>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</si>
  <si>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</si>
  <si>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</si>
  <si>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</si>
  <si>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</si>
  <si>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</si>
  <si>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</si>
  <si>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</si>
  <si>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</si>
  <si>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</si>
  <si>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</si>
  <si>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</si>
  <si>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</si>
  <si>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</si>
  <si>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</si>
  <si>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</si>
  <si>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</si>
  <si>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</si>
  <si>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</si>
  <si>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</si>
  <si>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</si>
  <si>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</si>
  <si>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</si>
  <si>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</si>
  <si>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</si>
  <si>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</si>
  <si>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</si>
  <si>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</si>
  <si>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</si>
  <si>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</si>
  <si>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</si>
  <si>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</si>
  <si>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</si>
  <si>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</si>
  <si>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</si>
  <si>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</si>
  <si>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</si>
  <si>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</si>
  <si>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</si>
  <si>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</si>
  <si>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</si>
  <si>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</si>
  <si>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</si>
  <si>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</si>
  <si>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</si>
  <si>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</si>
  <si>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</si>
  <si>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</si>
  <si>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</si>
  <si>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</si>
  <si>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</si>
  <si>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</si>
  <si>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</si>
  <si>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</si>
  <si>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</si>
  <si>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</si>
  <si>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</si>
  <si>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</si>
  <si>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</si>
  <si>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</si>
  <si>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</si>
  <si>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</si>
  <si>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</si>
  <si>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</si>
  <si>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</si>
  <si>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</si>
  <si>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</si>
  <si>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</si>
  <si>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</si>
  <si>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</si>
  <si>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</si>
  <si>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</si>
  <si>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</si>
  <si>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</si>
  <si>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</si>
  <si>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</si>
  <si>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</si>
  <si>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</si>
  <si>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</si>
  <si>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</si>
  <si>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</si>
  <si>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</si>
  <si>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</si>
  <si>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</si>
  <si>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</si>
  <si>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</si>
  <si>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</si>
  <si>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</si>
  <si>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</si>
  <si>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</si>
  <si>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</si>
  <si>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</si>
  <si>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</si>
  <si>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</si>
  <si>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</si>
  <si>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</si>
  <si>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</si>
  <si>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</si>
  <si>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</si>
  <si>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</si>
  <si>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</si>
  <si>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</si>
  <si>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</si>
  <si>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</si>
  <si>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</si>
  <si>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</si>
  <si>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</si>
  <si>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</si>
  <si>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</si>
  <si>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</si>
  <si>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</si>
  <si>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</si>
  <si>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</si>
  <si>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</si>
  <si>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</si>
  <si>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</si>
  <si>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</si>
  <si>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</si>
  <si>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</si>
  <si>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</si>
  <si>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</si>
  <si>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</si>
  <si>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</si>
  <si>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</si>
  <si>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</si>
  <si>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</si>
  <si>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</si>
  <si>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</si>
  <si>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</si>
  <si>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</si>
  <si>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</si>
  <si>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</si>
  <si>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</si>
  <si>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</si>
  <si>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</si>
  <si>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</si>
  <si>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</si>
  <si>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</si>
  <si>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</si>
  <si>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</si>
  <si>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</si>
  <si>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</si>
  <si>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</si>
  <si>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</si>
  <si>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</si>
  <si>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</si>
  <si>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</si>
  <si>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</si>
  <si>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</si>
  <si>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</si>
  <si>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</si>
  <si>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</si>
  <si>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</si>
  <si>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</si>
  <si>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</si>
  <si>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</si>
  <si>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</si>
  <si>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</si>
  <si>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</si>
  <si>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</si>
  <si>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</si>
  <si>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</si>
  <si>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</si>
  <si>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</si>
  <si>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</si>
  <si>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</si>
  <si>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</si>
  <si>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</si>
  <si>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</si>
  <si>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</si>
  <si>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</si>
  <si>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</si>
  <si>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</si>
  <si>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</si>
  <si>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</si>
  <si>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</si>
  <si>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</si>
  <si>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</si>
  <si>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</si>
  <si>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</si>
  <si>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</si>
  <si>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</si>
  <si>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</si>
  <si>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</si>
  <si>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</si>
  <si>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</si>
  <si>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</si>
  <si>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</si>
  <si>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</si>
  <si>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</si>
  <si>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</si>
  <si>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</si>
  <si>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</si>
  <si>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</si>
  <si>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</si>
  <si>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</si>
  <si>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</si>
  <si>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</si>
  <si>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</si>
  <si>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</si>
  <si>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</si>
  <si>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</si>
  <si>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</si>
  <si>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</si>
  <si>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</si>
  <si>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</si>
  <si>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</si>
  <si>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</si>
  <si>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</si>
  <si>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</si>
  <si>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</si>
  <si>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</si>
  <si>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</si>
  <si>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</si>
  <si>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</si>
  <si>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</si>
  <si>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</si>
  <si>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</si>
  <si>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</si>
  <si>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</si>
  <si>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</si>
  <si>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</si>
  <si>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</si>
  <si>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</si>
  <si>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</si>
  <si>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</si>
  <si>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</si>
  <si>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</si>
  <si>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</si>
  <si>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</si>
  <si>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</si>
  <si>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</si>
  <si>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</si>
  <si>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</si>
  <si>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</si>
  <si>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</si>
  <si>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</si>
  <si>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</si>
  <si>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</si>
  <si>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</si>
  <si>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</si>
  <si>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</si>
  <si>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</si>
  <si>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</si>
  <si>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</si>
  <si>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</si>
  <si>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</si>
  <si>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</si>
  <si>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</si>
  <si>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</si>
  <si>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</si>
  <si>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</si>
  <si>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</si>
  <si>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</si>
  <si>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</si>
  <si>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</si>
  <si>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</si>
  <si>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</si>
  <si>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</si>
  <si>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</si>
  <si>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</si>
  <si>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</si>
  <si>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</si>
  <si>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</si>
  <si>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</si>
  <si>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</si>
  <si>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</si>
  <si>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</si>
  <si>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</si>
  <si>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</si>
  <si>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</si>
  <si>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</si>
  <si>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</si>
  <si>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</si>
  <si>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</si>
  <si>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</si>
  <si>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</si>
  <si>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</si>
  <si>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</si>
  <si>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</si>
  <si>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</si>
  <si>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</si>
  <si>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</si>
  <si>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</si>
  <si>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</si>
  <si>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</si>
  <si>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</si>
  <si>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</si>
  <si>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</si>
  <si>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</si>
  <si>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</si>
  <si>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</si>
  <si>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</si>
  <si>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</si>
  <si>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</si>
  <si>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</si>
  <si>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</si>
  <si>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</si>
  <si>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</si>
  <si>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</si>
  <si>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</si>
  <si>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</si>
  <si>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</si>
  <si>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</si>
  <si>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</si>
  <si>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</si>
  <si>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</si>
  <si>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</si>
  <si>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</si>
  <si>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</si>
  <si>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</si>
  <si>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</si>
  <si>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</si>
  <si>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</si>
  <si>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</si>
  <si>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</si>
  <si>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</si>
  <si>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</si>
  <si>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</si>
  <si>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</si>
  <si>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</si>
  <si>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</si>
  <si>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</si>
  <si>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</si>
  <si>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</si>
  <si>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</si>
  <si>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</si>
  <si>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</si>
  <si>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</si>
  <si>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</si>
  <si>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</si>
  <si>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</si>
  <si>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</si>
  <si>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</si>
  <si>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</si>
  <si>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</si>
  <si>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</si>
  <si>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</si>
  <si>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</si>
  <si>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</si>
  <si>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</si>
  <si>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</si>
  <si>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</si>
  <si>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</si>
  <si>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</si>
  <si>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</si>
  <si>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</si>
  <si>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</si>
  <si>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</si>
  <si>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</si>
  <si>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</si>
  <si>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</si>
  <si>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</si>
  <si>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</si>
  <si>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</si>
  <si>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</si>
  <si>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</si>
  <si>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</si>
  <si>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</si>
  <si>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</si>
  <si>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</si>
  <si>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</si>
  <si>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</si>
  <si>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</si>
  <si>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</si>
  <si>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</si>
  <si>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</si>
  <si>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</si>
  <si>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</si>
  <si>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</si>
  <si>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</si>
  <si>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</si>
  <si>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</si>
  <si>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</si>
  <si>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</si>
  <si>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</si>
  <si>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</si>
  <si>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</si>
  <si>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</si>
  <si>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</si>
  <si>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</si>
  <si>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</si>
  <si>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</si>
  <si>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</si>
  <si>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</si>
  <si>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</si>
  <si>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</si>
  <si>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</si>
  <si>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</si>
  <si>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</si>
  <si>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</si>
  <si>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</si>
  <si>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</si>
  <si>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</si>
  <si>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</si>
  <si>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</si>
  <si>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</si>
  <si>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</si>
  <si>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</si>
  <si>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</si>
  <si>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</si>
  <si>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</si>
  <si>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</si>
  <si>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</si>
  <si>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</si>
  <si>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</si>
  <si>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</si>
  <si>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</si>
  <si>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</si>
  <si>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</si>
  <si>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</si>
  <si>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</si>
  <si>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</si>
  <si>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</si>
  <si>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</si>
  <si>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</si>
  <si>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</si>
  <si>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</si>
  <si>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</si>
  <si>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</si>
  <si>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</si>
  <si>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</si>
  <si>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</si>
  <si>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</si>
  <si>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</si>
  <si>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</si>
  <si>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</si>
  <si>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</si>
  <si>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</si>
  <si>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</si>
  <si>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</si>
  <si>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</si>
  <si>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</si>
  <si>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</si>
  <si>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</si>
  <si>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</si>
  <si>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</si>
  <si>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</si>
  <si>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</si>
  <si>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</si>
  <si>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</si>
  <si>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</si>
  <si>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</si>
  <si>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</si>
  <si>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</si>
  <si>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</si>
  <si>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</si>
  <si>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</si>
  <si>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</si>
  <si>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</si>
  <si>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</si>
  <si>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</si>
  <si>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</si>
  <si>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</si>
  <si>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</si>
  <si>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</si>
  <si>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</si>
  <si>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</si>
  <si>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</si>
  <si>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</si>
  <si>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</si>
  <si>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</si>
  <si>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</si>
  <si>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</si>
  <si>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</si>
  <si>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</si>
  <si>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</si>
  <si>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</si>
  <si>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</si>
  <si>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</si>
  <si>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</si>
  <si>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</si>
  <si>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</si>
  <si>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</si>
  <si>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</si>
  <si>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</si>
  <si>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</si>
  <si>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</si>
  <si>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</si>
  <si>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</si>
  <si>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</si>
  <si>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</si>
  <si>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</si>
  <si>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</si>
  <si>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</si>
  <si>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</si>
  <si>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</si>
  <si>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</si>
  <si>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</si>
  <si>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</si>
  <si>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</si>
  <si>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</si>
  <si>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</si>
  <si>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</si>
  <si>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</si>
  <si>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</si>
  <si>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</si>
  <si>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</si>
  <si>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</si>
  <si>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</si>
  <si>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</si>
  <si>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</si>
  <si>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</si>
  <si>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</si>
  <si>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</si>
  <si>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</si>
  <si>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</si>
  <si>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</si>
  <si>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</si>
  <si>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</si>
  <si>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</si>
  <si>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</si>
  <si>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</si>
  <si>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</si>
  <si>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</si>
  <si>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</si>
  <si>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</si>
  <si>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</si>
  <si>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</si>
  <si>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</si>
  <si>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</si>
  <si>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</si>
  <si>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</si>
  <si>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</si>
  <si>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</si>
  <si>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</si>
  <si>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</si>
  <si>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</si>
  <si>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</si>
  <si>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</si>
  <si>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</si>
  <si>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</si>
  <si>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</si>
  <si>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</si>
  <si>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</si>
  <si>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</si>
  <si>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</si>
  <si>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</si>
  <si>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</si>
  <si>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</si>
  <si>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</si>
  <si>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</si>
  <si>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</si>
  <si>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</si>
  <si>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</si>
  <si>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</si>
  <si>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</si>
  <si>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</si>
  <si>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</si>
  <si>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</si>
  <si>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</si>
  <si>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</si>
  <si>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</si>
  <si>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</si>
  <si>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</si>
  <si>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</si>
  <si>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</si>
  <si>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</si>
  <si>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</si>
  <si>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</si>
  <si>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</si>
  <si>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</si>
  <si>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</si>
  <si>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</si>
  <si>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</si>
  <si>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</si>
  <si>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</si>
  <si>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</si>
  <si>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</si>
  <si>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</si>
  <si>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</si>
  <si>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</si>
  <si>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</si>
  <si>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</si>
  <si>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</si>
  <si>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</si>
  <si>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</si>
  <si>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</si>
  <si>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</si>
  <si>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</si>
  <si>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</si>
  <si>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</si>
  <si>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</si>
  <si>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青珑挂珠lv1</t>
    <phoneticPr fontId="21" type="noConversion"/>
  </si>
  <si>
    <t>青珑挂珠lv2</t>
  </si>
  <si>
    <t>青珑挂珠lv3</t>
  </si>
  <si>
    <t>青珑挂珠lv4</t>
  </si>
  <si>
    <t>青珑挂珠lv5</t>
  </si>
  <si>
    <t>|Cff00FF7F鱼肠剑|rlv1</t>
  </si>
  <si>
    <t>|Cff00FF7F鱼肠剑|rlv2</t>
  </si>
  <si>
    <t>|Cff00FF7F鱼肠剑|rlv3</t>
  </si>
  <si>
    <t>|Cff00FF7F鱼肠剑|rlv4</t>
  </si>
  <si>
    <t>|Cff00FF7F鱼肠剑|rlv5</t>
  </si>
  <si>
    <t>|Cff00BFFF太阿剑|rlv1</t>
  </si>
  <si>
    <t>|Cff00BFFF太阿剑|rlv2</t>
  </si>
  <si>
    <t>|Cff00BFFF太阿剑|rlv3</t>
  </si>
  <si>
    <t>|Cff00BFFF太阿剑|rlv4</t>
  </si>
  <si>
    <t>|Cff00BFFF太阿剑|rlv5</t>
  </si>
  <si>
    <t>|CffFFC926轩辕剑|rlv1</t>
  </si>
  <si>
    <t>|CffFFC926轩辕剑|rlv2</t>
  </si>
  <si>
    <t>|CffFFC926轩辕剑|rlv3</t>
  </si>
  <si>
    <t>|CffFFC926轩辕剑|rlv4</t>
  </si>
  <si>
    <t>|CffFFC926轩辕剑|rlv5</t>
  </si>
  <si>
    <t>|CffFF0000太极八卦剑|rlv1</t>
  </si>
  <si>
    <t>|CffFF0000太极八卦剑|rlv2</t>
  </si>
  <si>
    <t>|CffFF0000太极八卦剑|rlv3</t>
  </si>
  <si>
    <t>|CffFF0000太极八卦剑|rlv4</t>
  </si>
  <si>
    <t>|CffFF0000太极八卦剑|rlv5</t>
  </si>
  <si>
    <t>|Cff00FF7F紫晶坠子|rlv1</t>
  </si>
  <si>
    <t>|Cff00FF7F紫晶坠子|rlv2</t>
  </si>
  <si>
    <t>|Cff00FF7F紫晶坠子|rlv3</t>
  </si>
  <si>
    <t>|Cff00FF7F紫晶坠子|rlv4</t>
  </si>
  <si>
    <t>|Cff00FF7F紫晶坠子|rlv5</t>
  </si>
  <si>
    <t>|Cff00BFFF三才项圈|rlv1</t>
  </si>
  <si>
    <t>|Cff00BFFF三才项圈|rlv2</t>
  </si>
  <si>
    <t>|Cff00BFFF三才项圈|rlv3</t>
  </si>
  <si>
    <t>|Cff00BFFF三才项圈|rlv4</t>
  </si>
  <si>
    <t>|Cff00BFFF三才项圈|rlv5</t>
  </si>
  <si>
    <t>|CffFFC926秘魔灵珠|rlv1</t>
  </si>
  <si>
    <t>|CffFFC926秘魔灵珠|rlv2</t>
  </si>
  <si>
    <t>|CffFFC926秘魔灵珠|rlv3</t>
  </si>
  <si>
    <t>|CffFFC926秘魔灵珠|rlv4</t>
  </si>
  <si>
    <t>|CffFFC926秘魔灵珠|rlv5</t>
  </si>
  <si>
    <t>|CffFF0000流光绝影|rlv1</t>
  </si>
  <si>
    <t>|CffFF0000流光绝影|rlv2</t>
  </si>
  <si>
    <t>|CffFF0000流光绝影|rlv3</t>
  </si>
  <si>
    <t>|CffFF0000流光绝影|rlv4</t>
  </si>
  <si>
    <t>|CffFF0000流光绝影|rlv5</t>
  </si>
  <si>
    <t>|Cff00FF7F珊瑚玉衣|rlv1</t>
  </si>
  <si>
    <t>|Cff00FF7F珊瑚玉衣|rlv2</t>
  </si>
  <si>
    <t>|Cff00FF7F珊瑚玉衣|rlv3</t>
  </si>
  <si>
    <t>|Cff00FF7F珊瑚玉衣|rlv4</t>
  </si>
  <si>
    <t>|Cff00FF7F珊瑚玉衣|rlv5</t>
  </si>
  <si>
    <t>|Cff00BFFF圣谕披风|rlv1</t>
  </si>
  <si>
    <t>|Cff00BFFF圣谕披风|rlv2</t>
  </si>
  <si>
    <t>|Cff00BFFF圣谕披风|rlv3</t>
  </si>
  <si>
    <t>|Cff00BFFF圣谕披风|rlv4</t>
  </si>
  <si>
    <t>|Cff00BFFF圣谕披风|rlv5</t>
  </si>
  <si>
    <t>|CffFFC926乾坤护心甲|rlv1</t>
  </si>
  <si>
    <t>|CffFFC926乾坤护心甲|rlv2</t>
  </si>
  <si>
    <t>|CffFFC926乾坤护心甲|rlv3</t>
  </si>
  <si>
    <t>|CffFFC926乾坤护心甲|rlv4</t>
  </si>
  <si>
    <t>|CffFFC926乾坤护心甲|rlv5</t>
  </si>
  <si>
    <t>|CffFF0000九龙黄金甲|rlv1</t>
  </si>
  <si>
    <t>|CffFF0000九龙黄金甲|rlv2</t>
  </si>
  <si>
    <t>|CffFF0000九龙黄金甲|rlv3</t>
  </si>
  <si>
    <t>|CffFF0000九龙黄金甲|rlv4</t>
  </si>
  <si>
    <t>|CffFF0000九龙黄金甲|rlv5</t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</si>
</sst>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4"/>
  <sheetViews>
    <sheetView tabSelected="1" workbookViewId="0">
      <pane xSplit="8" ySplit="2" topLeftCell="AD87" activePane="bottomRight" state="frozen"/>
      <selection pane="topRight"/>
      <selection pane="bottomLeft"/>
      <selection pane="bottomRight" activeCell="AN101" sqref="AN10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218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|Cffbbbbbb属性：|r|n攻击+8000|n|n|Cff00ff7f点击消耗3000金币进行晋阶挑战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|Cffbbbbbb属性：|r|n攻击+8000|n|n|Cff00ff7f点击消耗3000金币进行晋阶挑战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|Cff00FF7F鱼肠剑|rlv1</v>
      </c>
      <c r="I8" s="5" t="str">
        <f>VLOOKUP(B8,装备!B:CV,99,FALSE)</f>
        <v>|Cffbbbbbb属性：|r|n攻击+12000|n暴击+5%|n暴伤+100%|n伤害吸取+1%|n|n|Cff00ff7f点击消耗2000金币进行强化|n成功率90%</v>
      </c>
      <c r="J8" s="107" t="str">
        <f t="shared" ref="J8:J18" si="4">H8</f>
        <v>|Cff00FF7F鱼肠剑|rlv1</v>
      </c>
      <c r="K8" s="107" t="str">
        <f t="shared" ref="K8:K18" si="5">I8</f>
        <v>|Cffbbbbbb属性：|r|n攻击+12000|n暴击+5%|n暴伤+100%|n伤害吸取+1%|n|n|Cff00ff7f点击消耗2000金币进行强化|n成功率90%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|Cff00FF7F鱼肠剑|rlv2</v>
      </c>
      <c r="I9" s="5" t="str">
        <f>VLOOKUP(B9,装备!B:CV,99,FALSE)</f>
        <v>|Cffbbbbbb属性：|r|n攻击+16000|n暴击+5%|n暴伤+100%|n伤害吸取+1%|n|n|Cff00ff7f点击消耗2000金币进行强化|n成功率90%</v>
      </c>
      <c r="J9" s="107" t="str">
        <f t="shared" si="4"/>
        <v>|Cff00FF7F鱼肠剑|rlv2</v>
      </c>
      <c r="K9" s="107" t="str">
        <f t="shared" si="5"/>
        <v>|Cffbbbbbb属性：|r|n攻击+16000|n暴击+5%|n暴伤+100%|n伤害吸取+1%|n|n|Cff00ff7f点击消耗2000金币进行强化|n成功率90%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|Cff00FF7F鱼肠剑|rlv3</v>
      </c>
      <c r="I10" s="5" t="str">
        <f>VLOOKUP(B10,装备!B:CV,99,FALSE)</f>
        <v>|Cffbbbbbb属性：|r|n攻击+20000|n暴击+5%|n暴伤+100%|n伤害吸取+2%|n|n|Cff00ff7f点击消耗2000金币进行强化|n成功率90%</v>
      </c>
      <c r="J10" s="107" t="str">
        <f t="shared" si="4"/>
        <v>|Cff00FF7F鱼肠剑|rlv3</v>
      </c>
      <c r="K10" s="107" t="str">
        <f t="shared" si="5"/>
        <v>|Cffbbbbbb属性：|r|n攻击+20000|n暴击+5%|n暴伤+100%|n伤害吸取+2%|n|n|Cff00ff7f点击消耗2000金币进行强化|n成功率90%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|Cff00FF7F鱼肠剑|rlv4</v>
      </c>
      <c r="I11" s="5" t="str">
        <f>VLOOKUP(B11,装备!B:CV,99,FALSE)</f>
        <v>|Cffbbbbbb属性：|r|n攻击+24000|n暴击+5%|n暴伤+100%|n伤害吸取+2%|n|n|Cff00ff7f点击消耗2000金币进行强化|n成功率90%</v>
      </c>
      <c r="J11" s="107" t="str">
        <f t="shared" si="4"/>
        <v>|Cff00FF7F鱼肠剑|rlv4</v>
      </c>
      <c r="K11" s="107" t="str">
        <f t="shared" si="5"/>
        <v>|Cffbbbbbb属性：|r|n攻击+24000|n暴击+5%|n暴伤+100%|n伤害吸取+2%|n|n|Cff00ff7f点击消耗2000金币进行强化|n成功率90%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|Cff00FF7F鱼肠剑|rlv5</v>
      </c>
      <c r="I12" s="5" t="str">
        <f>VLOOKUP(B12,装备!B:CV,99,FALSE)</f>
        <v>|Cffbbbbbb属性：|r|n攻击+28000|n暴击+5%|n暴伤+100%|n伤害吸取+2%|n|n|Cff00ff7f点击消耗8000金币进行晋阶挑战</v>
      </c>
      <c r="J12" s="107" t="str">
        <f t="shared" si="4"/>
        <v>|Cff00FF7F鱼肠剑|rlv5</v>
      </c>
      <c r="K12" s="107" t="str">
        <f t="shared" si="5"/>
        <v>|Cffbbbbbb属性：|r|n攻击+28000|n暴击+5%|n暴伤+100%|n伤害吸取+2%|n|n|Cff00ff7f点击消耗8000金币进行晋阶挑战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|Cff00BFFF太阿剑|rlv1</v>
      </c>
      <c r="I13" s="5" t="str">
        <f>VLOOKUP(B13,装备!B:CV,99,FALSE)</f>
        <v>|Cffbbbbbb属性：|r|n攻击+60000|n暴击+6%|n暴伤+200%|n伤害吸取+3%|n|n|Cff00ff7f点击消耗5000金币进行强化|n成功率80%</v>
      </c>
      <c r="J13" s="107" t="str">
        <f t="shared" si="4"/>
        <v>|Cff00BFFF太阿剑|rlv1</v>
      </c>
      <c r="K13" s="107" t="str">
        <f t="shared" si="5"/>
        <v>|Cffbbbbbb属性：|r|n攻击+60000|n暴击+6%|n暴伤+200%|n伤害吸取+3%|n|n|Cff00ff7f点击消耗5000金币进行强化|n成功率80%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|Cff00BFFF太阿剑|rlv2</v>
      </c>
      <c r="I14" s="5" t="str">
        <f>VLOOKUP(B14,装备!B:CV,99,FALSE)</f>
        <v>|Cffbbbbbb属性：|r|n攻击+80000|n暴击+6%|n暴伤+200%|n伤害吸取+3%|n|n|Cff00ff7f点击消耗5000金币进行强化|n成功率80%</v>
      </c>
      <c r="J14" s="107" t="str">
        <f t="shared" si="4"/>
        <v>|Cff00BFFF太阿剑|rlv2</v>
      </c>
      <c r="K14" s="107" t="str">
        <f t="shared" si="5"/>
        <v>|Cffbbbbbb属性：|r|n攻击+80000|n暴击+6%|n暴伤+200%|n伤害吸取+3%|n|n|Cff00ff7f点击消耗5000金币进行强化|n成功率80%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|Cff00BFFF太阿剑|rlv3</v>
      </c>
      <c r="I15" s="5" t="str">
        <f>VLOOKUP(B15,装备!B:CV,99,FALSE)</f>
        <v>|Cffbbbbbb属性：|r|n攻击+100000|n暴击+6%|n暴伤+200%|n伤害吸取+3%|n|n|Cff00ff7f点击消耗5000金币进行强化|n成功率80%</v>
      </c>
      <c r="J15" s="107" t="str">
        <f t="shared" si="4"/>
        <v>|Cff00BFFF太阿剑|rlv3</v>
      </c>
      <c r="K15" s="107" t="str">
        <f t="shared" si="5"/>
        <v>|Cffbbbbbb属性：|r|n攻击+100000|n暴击+6%|n暴伤+200%|n伤害吸取+3%|n|n|Cff00ff7f点击消耗5000金币进行强化|n成功率80%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|Cff00BFFF太阿剑|rlv4</v>
      </c>
      <c r="I16" s="5" t="str">
        <f>VLOOKUP(B16,装备!B:CV,99,FALSE)</f>
        <v>|Cffbbbbbb属性：|r|n攻击+120000|n暴击+6%|n暴伤+200%|n伤害吸取+3%|n|n|Cff00ff7f点击消耗5000金币进行强化|n成功率80%</v>
      </c>
      <c r="J16" s="107" t="str">
        <f t="shared" si="4"/>
        <v>|Cff00BFFF太阿剑|rlv4</v>
      </c>
      <c r="K16" s="107" t="str">
        <f t="shared" si="5"/>
        <v>|Cffbbbbbb属性：|r|n攻击+120000|n暴击+6%|n暴伤+200%|n伤害吸取+3%|n|n|Cff00ff7f点击消耗5000金币进行强化|n成功率80%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|Cff00BFFF太阿剑|rlv5</v>
      </c>
      <c r="I17" s="5" t="str">
        <f>VLOOKUP(B17,装备!B:CV,99,FALSE)</f>
        <v>|Cffbbbbbb属性：|r|n攻击+140000|n暴击+6%|n暴伤+200%|n伤害吸取+3%|n|n|Cff00ff7f点击消耗20000金币进行晋阶挑战</v>
      </c>
      <c r="J17" s="107" t="str">
        <f t="shared" si="4"/>
        <v>|Cff00BFFF太阿剑|rlv5</v>
      </c>
      <c r="K17" s="107" t="str">
        <f t="shared" si="5"/>
        <v>|Cffbbbbbb属性：|r|n攻击+140000|n暴击+6%|n暴伤+200%|n伤害吸取+3%|n|n|Cff00ff7f点击消耗20000金币进行晋阶挑战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|CffFFC926轩辕剑|rlv5</v>
      </c>
      <c r="I22" s="5" t="str">
        <f>VLOOKUP(B22,装备!B:CV,99,FALSE)</f>
        <v>|Cffbbbbbb属性：|r|n攻击+550000|n暴击+7%|n暴伤+300%|n伤害吸取+4%|n|n|Cff00ff7f点击消耗35000金币进行晋阶挑战</v>
      </c>
      <c r="J22" s="107" t="str">
        <f t="shared" si="6"/>
        <v>|CffFFC926轩辕剑|rlv5</v>
      </c>
      <c r="K22" s="107" t="str">
        <f t="shared" si="7"/>
        <v>|Cffbbbbbb属性：|r|n攻击+550000|n暴击+7%|n暴伤+300%|n伤害吸取+4%|n|n|Cff00ff7f点击消耗35000金币进行晋阶挑战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649</v>
      </c>
      <c r="F28" s="5"/>
      <c r="G28" s="5"/>
      <c r="H28" s="5" t="str">
        <f>VLOOKUP(LEFT(RIGHT(B28,5),4),装备!B:CU,2,FALSE)</f>
        <v>青珑挂珠lv1</v>
      </c>
      <c r="I28" s="5" t="str">
        <f>VLOOKUP(B28,装备!B:CV,99,FALSE)</f>
        <v>|Cffbbbbbb属性：|r|n生命值+500|n生命回复+10|n攻速+10%|n闪避+3%|n杀敌生命+5|n每秒业力+1|n|n攻击6%概率范围|cffff4646业力*15|r魔法伤害|n|n|Cff00ff7f击杀150只怪有50%概率升级|r</v>
      </c>
      <c r="J28" s="107" t="str">
        <f t="shared" si="6"/>
        <v>青珑挂珠lv1</v>
      </c>
      <c r="K28" s="107" t="str">
        <f t="shared" si="7"/>
        <v>|Cffbbbbbb属性：|r|n生命值+500|n生命回复+10|n攻速+10%|n闪避+3%|n杀敌生命+5|n每秒业力+1|n|n攻击6%概率范围|cffff4646业力*15|r魔法伤害|n|n|Cff00ff7f击杀150只怪有50%概率升级|r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649</v>
      </c>
      <c r="F29" s="5"/>
      <c r="G29" s="5"/>
      <c r="H29" s="5" t="str">
        <f>VLOOKUP(LEFT(RIGHT(B29,5),4),装备!B:CU,2,FALSE)</f>
        <v>青珑挂珠lv2</v>
      </c>
      <c r="I29" s="5" t="str">
        <f>VLOOKUP(B29,装备!B:CV,99,FALSE)</f>
        <v>|Cffbbbbbb属性：|r|n生命值+1000|n生命回复+20|n攻速+15%|n闪避+3%|n杀敌生命+5|n每秒业力+2|n|n攻击6%概率范围|cffff4646业力*15|r魔法伤害|n|n|Cff00ff7f击杀150只怪有50%概率升级|r</v>
      </c>
      <c r="J29" s="107" t="str">
        <f t="shared" si="6"/>
        <v>青珑挂珠lv2</v>
      </c>
      <c r="K29" s="107" t="str">
        <f t="shared" si="7"/>
        <v>|Cffbbbbbb属性：|r|n生命值+1000|n生命回复+20|n攻速+15%|n闪避+3%|n杀敌生命+5|n每秒业力+2|n|n攻击6%概率范围|cffff4646业力*15|r魔法伤害|n|n|Cff00ff7f击杀150只怪有50%概率升级|r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649</v>
      </c>
      <c r="F30" s="5"/>
      <c r="G30" s="5"/>
      <c r="H30" s="5" t="str">
        <f>VLOOKUP(LEFT(RIGHT(B30,5),4),装备!B:CU,2,FALSE)</f>
        <v>青珑挂珠lv3</v>
      </c>
      <c r="I30" s="5" t="str">
        <f>VLOOKUP(B30,装备!B:CV,99,FALSE)</f>
        <v>|Cffbbbbbb属性：|r|n生命值+2000|n生命回复+40|n攻速+20%|n闪避+3%|n杀敌生命+5|n每秒业力+3|n|n攻击6%概率范围|cffff4646业力*15|r魔法伤害|n|n|Cff00ff7f击杀150只怪有50%概率升级|r</v>
      </c>
      <c r="J30" s="107" t="str">
        <f t="shared" si="6"/>
        <v>青珑挂珠lv3</v>
      </c>
      <c r="K30" s="107" t="str">
        <f t="shared" si="7"/>
        <v>|Cffbbbbbb属性：|r|n生命值+2000|n生命回复+40|n攻速+20%|n闪避+3%|n杀敌生命+5|n每秒业力+3|n|n攻击6%概率范围|cffff4646业力*15|r魔法伤害|n|n|Cff00ff7f击杀150只怪有50%概率升级|r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649</v>
      </c>
      <c r="F31" s="5"/>
      <c r="G31" s="5"/>
      <c r="H31" s="5" t="str">
        <f>VLOOKUP(LEFT(RIGHT(B31,5),4),装备!B:CU,2,FALSE)</f>
        <v>青珑挂珠lv4</v>
      </c>
      <c r="I31" s="5" t="str">
        <f>VLOOKUP(B31,装备!B:CV,99,FALSE)</f>
        <v>|Cffbbbbbb属性：|r|n生命值+3000|n生命回复+60|n攻速+25%|n闪避+3%|n杀敌生命+10|n每秒业力+4|n|n攻击6%概率范围|cffff4646业力*15|r魔法伤害|n|n|Cff00ff7f击杀150只怪有50%概率升级|r</v>
      </c>
      <c r="J31" s="107" t="str">
        <f t="shared" si="6"/>
        <v>青珑挂珠lv4</v>
      </c>
      <c r="K31" s="107" t="str">
        <f t="shared" si="7"/>
        <v>|Cffbbbbbb属性：|r|n生命值+3000|n生命回复+60|n攻速+25%|n闪避+3%|n杀敌生命+10|n每秒业力+4|n|n攻击6%概率范围|cffff4646业力*15|r魔法伤害|n|n|Cff00ff7f击杀150只怪有50%概率升级|r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649</v>
      </c>
      <c r="F32" s="5"/>
      <c r="G32" s="5"/>
      <c r="H32" s="5" t="str">
        <f>VLOOKUP(LEFT(RIGHT(B32,5),4),装备!B:CU,2,FALSE)</f>
        <v>青珑挂珠lv5</v>
      </c>
      <c r="I32" s="5" t="str">
        <f>VLOOKUP(B32,装备!B:CV,99,FALSE)</f>
        <v>|Cffbbbbbb属性：|r|n生命值+5000|n生命回复+100|n攻速+30%|n闪避+3%|n杀敌生命+10|n每秒业力+5|n|n攻击6%概率范围|cffff4646业力*15|r魔法伤害|n|n|Cff00ff7f击杀150只怪有50%概率升级|r</v>
      </c>
      <c r="J32" s="107" t="str">
        <f t="shared" si="6"/>
        <v>青珑挂珠lv5</v>
      </c>
      <c r="K32" s="107" t="str">
        <f t="shared" si="7"/>
        <v>|Cffbbbbbb属性：|r|n生命值+5000|n生命回复+100|n攻速+30%|n闪避+3%|n杀敌生命+10|n每秒业力+5|n|n攻击6%概率范围|cffff4646业力*15|r魔法伤害|n|n|Cff00ff7f击杀150只怪有50%概率升级|r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649</v>
      </c>
      <c r="F33" s="5"/>
      <c r="G33" s="5"/>
      <c r="H33" s="5" t="str">
        <f>VLOOKUP(LEFT(RIGHT(B33,5),4),装备!B:CU,2,FALSE)</f>
        <v>|Cff00FF7F紫晶坠子|rlv1</v>
      </c>
      <c r="I33" s="5" t="str">
        <f>VLOOKUP(B33,装备!B:CV,99,FALSE)</f>
        <v>|Cffbbbbbb属性：|r|n生命值+7000|n生命回复+140|n攻速+35%|n闪避+6%|n杀敌生命+15|n每秒业力+6|n|n攻击6%概率范围|cffff4646业力*15|r魔法伤害|n|n|Cff00ff7f击杀200只怪有50%概率升级|r</v>
      </c>
      <c r="J33" s="107" t="str">
        <f t="shared" si="6"/>
        <v>|Cff00FF7F紫晶坠子|rlv1</v>
      </c>
      <c r="K33" s="107" t="str">
        <f t="shared" si="7"/>
        <v>|Cffbbbbbb属性：|r|n生命值+7000|n生命回复+140|n攻速+35%|n闪避+6%|n杀敌生命+15|n每秒业力+6|n|n攻击6%概率范围|cffff4646业力*15|r魔法伤害|n|n|Cff00ff7f击杀200只怪有50%概率升级|r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649</v>
      </c>
      <c r="F34" s="5"/>
      <c r="G34" s="5"/>
      <c r="H34" s="5" t="str">
        <f>VLOOKUP(LEFT(RIGHT(B34,5),4),装备!B:CU,2,FALSE)</f>
        <v>|Cff00FF7F紫晶坠子|rlv2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|Cff00FF7F紫晶坠子|rlv2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649</v>
      </c>
      <c r="F35" s="5"/>
      <c r="G35" s="5"/>
      <c r="H35" s="5" t="str">
        <f>VLOOKUP(LEFT(RIGHT(B35,5),4),装备!B:CU,2,FALSE)</f>
        <v>|Cff00FF7F紫晶坠子|rlv3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|Cff00FF7F紫晶坠子|rlv3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649</v>
      </c>
      <c r="F36" s="5"/>
      <c r="G36" s="5"/>
      <c r="H36" s="5" t="str">
        <f>VLOOKUP(LEFT(RIGHT(B36,5),4),装备!B:CU,2,FALSE)</f>
        <v>|Cff00FF7F紫晶坠子|rlv4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|Cff00FF7F紫晶坠子|rlv4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649</v>
      </c>
      <c r="F37" s="5"/>
      <c r="G37" s="5"/>
      <c r="H37" s="5" t="str">
        <f>VLOOKUP(LEFT(RIGHT(B37,5),4),装备!B:CU,2,FALSE)</f>
        <v>|Cff00FF7F紫晶坠子|rlv5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|Cff00FF7F紫晶坠子|rlv5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649</v>
      </c>
      <c r="F38" s="5"/>
      <c r="G38" s="5"/>
      <c r="H38" s="5" t="str">
        <f>VLOOKUP(LEFT(RIGHT(B38,5),4),装备!B:CU,2,FALSE)</f>
        <v>|Cff00BFFF三才项圈|rlv1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|Cff00BFFF三才项圈|rlv1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649</v>
      </c>
      <c r="F39" s="5"/>
      <c r="G39" s="5"/>
      <c r="H39" s="5" t="str">
        <f>VLOOKUP(LEFT(RIGHT(B39,5),4),装备!B:CU,2,FALSE)</f>
        <v>|Cff00BFFF三才项圈|rlv2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|Cff00BFFF三才项圈|rlv2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649</v>
      </c>
      <c r="F40" s="5"/>
      <c r="G40" s="5"/>
      <c r="H40" s="5" t="str">
        <f>VLOOKUP(LEFT(RIGHT(B40,5),4),装备!B:CU,2,FALSE)</f>
        <v>|Cff00BFFF三才项圈|rlv3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|Cff00BFFF三才项圈|rlv3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649</v>
      </c>
      <c r="F41" s="5"/>
      <c r="G41" s="5"/>
      <c r="H41" s="5" t="str">
        <f>VLOOKUP(LEFT(RIGHT(B41,5),4),装备!B:CU,2,FALSE)</f>
        <v>|Cff00BFFF三才项圈|rlv4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|Cff00BFFF三才项圈|rlv4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649</v>
      </c>
      <c r="F42" s="5"/>
      <c r="G42" s="5"/>
      <c r="H42" s="5" t="str">
        <f>VLOOKUP(LEFT(RIGHT(B42,5),4),装备!B:CU,2,FALSE)</f>
        <v>|Cff00BFFF三才项圈|rlv5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|Cff00BFFF三才项圈|rlv5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649</v>
      </c>
      <c r="F43" s="5"/>
      <c r="G43" s="5"/>
      <c r="H43" s="5" t="str">
        <f>VLOOKUP(LEFT(RIGHT(B43,5),4),装备!B:CU,2,FALSE)</f>
        <v>|CffFFC926秘魔灵珠|rlv1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|CffFFC926秘魔灵珠|rlv1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649</v>
      </c>
      <c r="F44" s="5"/>
      <c r="G44" s="5"/>
      <c r="H44" s="5" t="str">
        <f>VLOOKUP(LEFT(RIGHT(B44,5),4),装备!B:CU,2,FALSE)</f>
        <v>|CffFFC926秘魔灵珠|rlv2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|CffFFC926秘魔灵珠|rlv2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649</v>
      </c>
      <c r="F45" s="5"/>
      <c r="G45" s="5"/>
      <c r="H45" s="5" t="str">
        <f>VLOOKUP(LEFT(RIGHT(B45,5),4),装备!B:CU,2,FALSE)</f>
        <v>|CffFFC926秘魔灵珠|rlv3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|CffFFC926秘魔灵珠|rlv3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649</v>
      </c>
      <c r="F46" s="5"/>
      <c r="G46" s="5"/>
      <c r="H46" s="5" t="str">
        <f>VLOOKUP(LEFT(RIGHT(B46,5),4),装备!B:CU,2,FALSE)</f>
        <v>|CffFFC926秘魔灵珠|rlv4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|CffFFC926秘魔灵珠|rlv4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649</v>
      </c>
      <c r="F47" s="5"/>
      <c r="G47" s="5"/>
      <c r="H47" s="5" t="str">
        <f>VLOOKUP(LEFT(RIGHT(B47,5),4),装备!B:CU,2,FALSE)</f>
        <v>|CffFFC926秘魔灵珠|rlv5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|CffFFC926秘魔灵珠|rlv5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649</v>
      </c>
      <c r="F48" s="5"/>
      <c r="G48" s="5"/>
      <c r="H48" s="5" t="str">
        <f>VLOOKUP(LEFT(RIGHT(B48,5),4),装备!B:CU,2,FALSE)</f>
        <v>|CffFF0000流光绝影|rlv1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|CffFF0000流光绝影|rlv1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649</v>
      </c>
      <c r="F49" s="5"/>
      <c r="G49" s="5"/>
      <c r="H49" s="5" t="str">
        <f>VLOOKUP(LEFT(RIGHT(B49,5),4),装备!B:CU,2,FALSE)</f>
        <v>|CffFF0000流光绝影|rlv2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|CffFF0000流光绝影|rlv2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649</v>
      </c>
      <c r="F50" s="5"/>
      <c r="G50" s="5"/>
      <c r="H50" s="5" t="str">
        <f>VLOOKUP(LEFT(RIGHT(B50,5),4),装备!B:CU,2,FALSE)</f>
        <v>|CffFF0000流光绝影|rlv3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|CffFF0000流光绝影|rlv3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649</v>
      </c>
      <c r="F51" s="5"/>
      <c r="G51" s="5"/>
      <c r="H51" s="5" t="str">
        <f>VLOOKUP(LEFT(RIGHT(B51,5),4),装备!B:CU,2,FALSE)</f>
        <v>|CffFF0000流光绝影|rlv4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|CffFF0000流光绝影|rlv4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649</v>
      </c>
      <c r="F52" s="5"/>
      <c r="G52" s="5"/>
      <c r="H52" s="5" t="str">
        <f>VLOOKUP(LEFT(RIGHT(B52,5),4),装备!B:CU,2,FALSE)</f>
        <v>|CffFF0000流光绝影|rlv5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|Cffbbbbbb属性：|r|n生命值+625000|n生命回复+12500|n攻速+130%|n闪避+15%|n杀敌生命+110|n每秒业力+25|n|n攻击6%概率范围|cffff4646业力*15|r魔法伤害|n|n|Cff00ff7f击杀只怪有50%概率升级|r</v>
      </c>
      <c r="J52" s="107" t="str">
        <f t="shared" si="8"/>
        <v>|CffFF0000流光绝影|rlv5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|Cffbbbbbb属性：|r|n护甲+15|n生命值+500|n生命回复+10|n|n|Cff00ff7f点击消耗300金币进行强化|n成功率100%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|Cffbbbbbb属性：|r|n护甲+15|n生命值+500|n生命回复+10|n|n|Cff00ff7f点击消耗300金币进行强化|n成功率100%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|Cffbbbbbb属性：|r|n护甲+30|n生命值+1000|n生命回复+20|n|n|Cff00ff7f点击消耗500金币进行强化|n成功率100%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|Cffbbbbbb属性：|r|n护甲+30|n生命值+1000|n生命回复+20|n|n|Cff00ff7f点击消耗500金币进行强化|n成功率100%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|Cffbbbbbb属性：|r|n护甲+45|n生命值+1500|n生命回复+30|n|n|Cff00ff7f点击消耗600金币进行强化|n成功率100%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|Cffbbbbbb属性：|r|n护甲+45|n生命值+1500|n生命回复+30|n|n|Cff00ff7f点击消耗600金币进行强化|n成功率100%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|Cffbbbbbb属性：|r|n护甲+60|n生命值+2500|n生命回复+50|n|n|Cff00ff7f点击消耗1000金币进行强化|n成功率100%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|Cffbbbbbb属性：|r|n护甲+60|n生命值+2500|n生命回复+50|n|n|Cff00ff7f点击消耗1000金币进行强化|n成功率100%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|Cffbbbbbb属性：|r|n护甲+75|n生命值+3500|n生命回复+70|n|n|Cff00ff7f点击消耗5000金币进行晋阶挑战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|Cffbbbbbb属性：|r|n护甲+75|n生命值+3500|n生命回复+70|n|n|Cff00ff7f点击消耗5000金币进行晋阶挑战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300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300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300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2000</v>
      </c>
      <c r="Y153" s="125" t="s">
        <v>83</v>
      </c>
      <c r="Z153" s="5">
        <v>0</v>
      </c>
      <c r="AA153" s="5">
        <v>0</v>
      </c>
      <c r="AB153" s="107">
        <v>1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4000</v>
      </c>
      <c r="Y154" s="125" t="s">
        <v>83</v>
      </c>
      <c r="Z154" s="5">
        <v>0</v>
      </c>
      <c r="AA154" s="5">
        <v>0</v>
      </c>
      <c r="AB154" s="107">
        <v>2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6000</v>
      </c>
      <c r="Y155" s="125" t="s">
        <v>83</v>
      </c>
      <c r="Z155" s="5">
        <v>0</v>
      </c>
      <c r="AA155" s="5">
        <v>0</v>
      </c>
      <c r="AB155" s="107">
        <v>3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10000</v>
      </c>
      <c r="Y156" s="125" t="s">
        <v>83</v>
      </c>
      <c r="Z156" s="5">
        <v>0</v>
      </c>
      <c r="AA156" s="5">
        <v>0</v>
      </c>
      <c r="AB156" s="107">
        <v>4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15000</v>
      </c>
      <c r="Y157" s="125" t="s">
        <v>83</v>
      </c>
      <c r="Z157" s="5">
        <v>0</v>
      </c>
      <c r="AA157" s="5">
        <v>0</v>
      </c>
      <c r="AB157" s="107">
        <v>5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20000</v>
      </c>
      <c r="Y158" s="125" t="s">
        <v>83</v>
      </c>
      <c r="Z158" s="5">
        <v>0</v>
      </c>
      <c r="AA158" s="5">
        <v>0</v>
      </c>
      <c r="AB158" s="107">
        <v>6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30000</v>
      </c>
      <c r="Y159" s="125" t="s">
        <v>83</v>
      </c>
      <c r="Z159" s="5">
        <v>0</v>
      </c>
      <c r="AA159" s="5">
        <v>0</v>
      </c>
      <c r="AB159" s="107">
        <v>7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40000</v>
      </c>
      <c r="Y160" s="125" t="s">
        <v>83</v>
      </c>
      <c r="Z160" s="5">
        <v>0</v>
      </c>
      <c r="AA160" s="5">
        <v>0</v>
      </c>
      <c r="AB160" s="107">
        <v>8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50000</v>
      </c>
      <c r="Y161" s="125" t="s">
        <v>83</v>
      </c>
      <c r="Z161" s="5">
        <v>0</v>
      </c>
      <c r="AA161" s="5">
        <v>0</v>
      </c>
      <c r="AB161" s="107">
        <v>9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80000</v>
      </c>
      <c r="Y162" s="125" t="s">
        <v>83</v>
      </c>
      <c r="Z162" s="5">
        <v>0</v>
      </c>
      <c r="AA162" s="5">
        <v>0</v>
      </c>
      <c r="AB162" s="107">
        <v>10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入群礼包</v>
      </c>
      <c r="I185" s="5" t="str">
        <f>VLOOKUP(B185,装备!B:CV,99,FALSE)</f>
        <v>入群礼包</v>
      </c>
      <c r="J185" s="107" t="str">
        <f t="shared" si="58"/>
        <v>入群礼包</v>
      </c>
      <c r="K185" s="107" t="str">
        <f t="shared" si="59"/>
        <v>入群礼包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评价礼包</v>
      </c>
      <c r="I186" s="5" t="str">
        <f>VLOOKUP(B186,装备!B:CV,99,FALSE)</f>
        <v>评价礼包</v>
      </c>
      <c r="J186" s="107" t="str">
        <f t="shared" si="58"/>
        <v>评价礼包</v>
      </c>
      <c r="K186" s="107" t="str">
        <f t="shared" si="59"/>
        <v>评价礼包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收藏礼包</v>
      </c>
      <c r="I187" s="5" t="str">
        <f>VLOOKUP(B187,装备!B:CV,99,FALSE)</f>
        <v>收藏礼包</v>
      </c>
      <c r="J187" s="107" t="str">
        <f t="shared" si="58"/>
        <v>收藏礼包</v>
      </c>
      <c r="K187" s="107" t="str">
        <f t="shared" si="59"/>
        <v>收藏礼包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重置版礼包</v>
      </c>
      <c r="I188" s="5" t="str">
        <f>VLOOKUP(B188,装备!B:CV,99,FALSE)</f>
        <v>重置版礼包</v>
      </c>
      <c r="J188" s="107" t="str">
        <f t="shared" si="58"/>
        <v>重置版礼包</v>
      </c>
      <c r="K188" s="107" t="str">
        <f t="shared" si="59"/>
        <v>重置版礼包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工会福利</v>
      </c>
      <c r="I189" s="5" t="str">
        <f>VLOOKUP(B189,装备!B:CV,99,FALSE)</f>
        <v>工会福利</v>
      </c>
      <c r="J189" s="107" t="str">
        <f t="shared" ref="J189:J191" si="68">H189</f>
        <v>工会福利</v>
      </c>
      <c r="K189" s="107" t="str">
        <f t="shared" ref="K189:K191" si="69">I189</f>
        <v>工会福利</v>
      </c>
      <c r="L189" s="5"/>
      <c r="M189" s="108" t="str">
        <f>VLOOKUP(LEFT(RIGHT(B189,5),4),装备!B:CU,20,FALSE)</f>
        <v>ReplaceableTextures\\CommandButtons\\BTNIB06.blp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星耀称号</v>
      </c>
      <c r="I190" s="5" t="str">
        <f>VLOOKUP(B190,装备!B:CV,99,FALSE)</f>
        <v>星耀称号</v>
      </c>
      <c r="J190" s="107" t="str">
        <f t="shared" si="68"/>
        <v>星耀称号</v>
      </c>
      <c r="K190" s="107" t="str">
        <f t="shared" si="69"/>
        <v>星耀称号</v>
      </c>
      <c r="L190" s="5"/>
      <c r="M190" s="108" t="str">
        <f>VLOOKUP(LEFT(RIGHT(B190,5),4),装备!B:CU,20,FALSE)</f>
        <v>ReplaceableTextures\\CommandButtons\\BTNIB07.blp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品牌礼包</v>
      </c>
      <c r="I191" s="5" t="str">
        <f>VLOOKUP(B191,装备!B:CV,99,FALSE)</f>
        <v>品牌礼包</v>
      </c>
      <c r="J191" s="107" t="str">
        <f t="shared" si="68"/>
        <v>品牌礼包</v>
      </c>
      <c r="K191" s="107" t="str">
        <f t="shared" si="69"/>
        <v>品牌礼包</v>
      </c>
      <c r="L191" s="5"/>
      <c r="M191" s="108" t="str">
        <f>VLOOKUP(LEFT(RIGHT(B191,5),4),装备!B:CU,20,FALSE)</f>
        <v>ReplaceableTextures\\CommandButtons\\BTNIB08.blp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IF01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ref="J192" si="70">H192</f>
        <v>攻击</v>
      </c>
      <c r="K192" s="107">
        <f t="shared" ref="K192" si="71">I192</f>
        <v>0</v>
      </c>
      <c r="L192" s="5"/>
      <c r="M192" s="108" t="str">
        <f>VLOOKUP(LEFT(RIGHT(B192,5),4),装备!B:CU,20,FALSE)</f>
        <v>ReplaceableTextures\\CommandButtons\\BTNIF01.blp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IF02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ref="J193:J218" si="72">H193</f>
        <v>法强</v>
      </c>
      <c r="K193" s="107">
        <f t="shared" ref="K193:K218" si="73">I193</f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IF03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2"/>
        <v>攻击</v>
      </c>
      <c r="K194" s="107">
        <f t="shared" si="73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IF04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2"/>
        <v>法强</v>
      </c>
      <c r="K195" s="107">
        <f t="shared" si="73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IF05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IF06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IF07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IF08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IF09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IF10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IF11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攻击和法强</v>
      </c>
      <c r="I202" s="5">
        <f>VLOOKUP(B202,装备!B:CV,99,FALSE)</f>
        <v>0</v>
      </c>
      <c r="J202" s="107" t="str">
        <f t="shared" si="72"/>
        <v>攻击和法强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IF12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暴击</v>
      </c>
      <c r="I203" s="5">
        <f>VLOOKUP(B203,装备!B:CV,99,FALSE)</f>
        <v>0</v>
      </c>
      <c r="J203" s="107" t="str">
        <f t="shared" si="72"/>
        <v>暴击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IF13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爆伤</v>
      </c>
      <c r="I204" s="5">
        <f>VLOOKUP(B204,装备!B:CV,99,FALSE)</f>
        <v>0</v>
      </c>
      <c r="J204" s="107" t="str">
        <f t="shared" si="72"/>
        <v>爆伤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IF14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爆伤</v>
      </c>
      <c r="I205" s="5">
        <f>VLOOKUP(B205,装备!B:CV,99,FALSE)</f>
        <v>0</v>
      </c>
      <c r="J205" s="107" t="str">
        <f t="shared" si="72"/>
        <v>爆伤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IF15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IF16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冷却缩减</v>
      </c>
      <c r="I207" s="5">
        <f>VLOOKUP(B207,装备!B:CV,99,FALSE)</f>
        <v>0</v>
      </c>
      <c r="J207" s="107" t="str">
        <f t="shared" si="72"/>
        <v>冷却缩减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IF17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冷却缩减</v>
      </c>
      <c r="I208" s="5">
        <f>VLOOKUP(B208,装备!B:CV,99,FALSE)</f>
        <v>0</v>
      </c>
      <c r="J208" s="107" t="str">
        <f t="shared" si="72"/>
        <v>冷却缩减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IF18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攻击速度</v>
      </c>
      <c r="I209" s="5">
        <f>VLOOKUP(B209,装备!B:CV,99,FALSE)</f>
        <v>0</v>
      </c>
      <c r="J209" s="107" t="str">
        <f t="shared" si="72"/>
        <v>攻击速度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IF19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攻击速度</v>
      </c>
      <c r="I210" s="5">
        <f>VLOOKUP(B210,装备!B:CV,99,FALSE)</f>
        <v>0</v>
      </c>
      <c r="J210" s="107" t="str">
        <f t="shared" si="72"/>
        <v>攻击速度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IF20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普攻伤害</v>
      </c>
      <c r="I211" s="5">
        <f>VLOOKUP(B211,装备!B:CV,99,FALSE)</f>
        <v>0</v>
      </c>
      <c r="J211" s="107" t="str">
        <f t="shared" si="72"/>
        <v>普攻伤害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IF21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普攻伤害</v>
      </c>
      <c r="I212" s="5">
        <f>VLOOKUP(B212,装备!B:CV,99,FALSE)</f>
        <v>0</v>
      </c>
      <c r="J212" s="107" t="str">
        <f t="shared" si="72"/>
        <v>普攻伤害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IF22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回蓝</v>
      </c>
      <c r="I213" s="5">
        <f>VLOOKUP(B213,装备!B:CV,99,FALSE)</f>
        <v>0</v>
      </c>
      <c r="J213" s="107" t="str">
        <f t="shared" si="72"/>
        <v>回蓝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IF23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回蓝</v>
      </c>
      <c r="I214" s="5">
        <f>VLOOKUP(B214,装备!B:CV,99,FALSE)</f>
        <v>0</v>
      </c>
      <c r="J214" s="107" t="str">
        <f t="shared" si="72"/>
        <v>回蓝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IF24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生命回复</v>
      </c>
      <c r="I215" s="5">
        <f>VLOOKUP(B215,装备!B:CV,99,FALSE)</f>
        <v>0</v>
      </c>
      <c r="J215" s="107" t="str">
        <f t="shared" si="72"/>
        <v>生命回复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IF25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伤害吸血</v>
      </c>
      <c r="I216" s="5">
        <f>VLOOKUP(B216,装备!B:CV,99,FALSE)</f>
        <v>0</v>
      </c>
      <c r="J216" s="107" t="str">
        <f t="shared" si="72"/>
        <v>伤害吸血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IF26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闪避</v>
      </c>
      <c r="I217" s="5">
        <f>VLOOKUP(B217,装备!B:CV,99,FALSE)</f>
        <v>0</v>
      </c>
      <c r="J217" s="107" t="str">
        <f t="shared" si="72"/>
        <v>闪避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IF27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伤害减免</v>
      </c>
      <c r="I218" s="5">
        <f>VLOOKUP(B218,装备!B:CV,99,FALSE)</f>
        <v>0</v>
      </c>
      <c r="J218" s="107" t="str">
        <f t="shared" si="72"/>
        <v>伤害减免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5"/>
      <c r="S344" s="5"/>
      <c r="T344" s="5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5"/>
      <c r="S345" s="5"/>
      <c r="T345" s="5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>
      <c r="B364" s="101"/>
      <c r="C364" s="5"/>
      <c r="D364" s="5"/>
      <c r="E364" s="5"/>
      <c r="H364" s="5"/>
      <c r="J364" s="107"/>
      <c r="K364" s="5"/>
      <c r="L364" s="5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7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7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2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2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1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1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0"/>
      <c r="O374" s="108"/>
      <c r="P374" s="5"/>
      <c r="Q374" s="5"/>
      <c r="W374" s="101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2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2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I388" s="102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0"/>
      <c r="O389" s="108"/>
      <c r="P389" s="5"/>
      <c r="Q389" s="5"/>
      <c r="W389" s="101"/>
      <c r="X389" s="5"/>
      <c r="Z389" s="5"/>
      <c r="AA389" s="5"/>
      <c r="AC389" s="5"/>
      <c r="AD389" s="5"/>
      <c r="AJ389" s="5"/>
      <c r="AK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101"/>
      <c r="X392" s="5"/>
      <c r="Z392" s="5"/>
      <c r="AA392" s="5"/>
      <c r="AC392" s="5"/>
      <c r="AD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O402" s="108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O403" s="108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101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101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N480" s="101"/>
      <c r="O480" s="108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 s="103" customFormat="1">
      <c r="B483" s="114"/>
      <c r="C483" s="115"/>
      <c r="D483" s="115"/>
      <c r="E483" s="5"/>
      <c r="H483" s="5"/>
      <c r="I483" s="115"/>
      <c r="J483" s="116"/>
      <c r="K483" s="115"/>
      <c r="L483" s="115"/>
      <c r="M483" s="110"/>
      <c r="P483" s="115"/>
      <c r="Q483" s="115"/>
      <c r="W483" s="115"/>
      <c r="X483" s="115"/>
      <c r="Z483" s="115"/>
      <c r="AA483" s="5"/>
      <c r="AB483" s="114"/>
      <c r="AC483" s="115"/>
      <c r="AD483" s="115"/>
      <c r="AI483" s="115"/>
      <c r="AJ483" s="115"/>
      <c r="AK483" s="115"/>
      <c r="AN483" s="114"/>
      <c r="AO483" s="115"/>
      <c r="AP483" s="115"/>
    </row>
    <row r="484" spans="2:42" s="103" customFormat="1">
      <c r="B484" s="114"/>
      <c r="C484" s="115"/>
      <c r="D484" s="115"/>
      <c r="E484" s="5"/>
      <c r="H484" s="5"/>
      <c r="I484" s="115"/>
      <c r="J484" s="116"/>
      <c r="K484" s="115"/>
      <c r="L484" s="115"/>
      <c r="M484" s="110"/>
      <c r="P484" s="115"/>
      <c r="Q484" s="115"/>
      <c r="W484" s="115"/>
      <c r="X484" s="115"/>
      <c r="Z484" s="115"/>
      <c r="AA484" s="5"/>
      <c r="AB484" s="114"/>
      <c r="AC484" s="115"/>
      <c r="AD484" s="115"/>
      <c r="AI484" s="115"/>
      <c r="AJ484" s="115"/>
      <c r="AK484" s="115"/>
      <c r="AN484" s="114"/>
      <c r="AO484" s="115"/>
      <c r="AP484" s="11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2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9"/>
      <c r="O522" s="5"/>
      <c r="P522" s="5"/>
      <c r="Q522" s="5"/>
      <c r="W522" s="5"/>
      <c r="X522" s="5"/>
      <c r="Z522" s="5"/>
      <c r="AA522" s="5"/>
      <c r="AC522" s="5"/>
      <c r="AD522" s="5"/>
      <c r="AI522" s="101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101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C575" s="5"/>
      <c r="AD575" s="5"/>
      <c r="AJ575" s="5"/>
      <c r="AK575" s="5"/>
    </row>
    <row r="576" spans="2:42">
      <c r="B576" s="5"/>
      <c r="C576" s="5"/>
      <c r="D576" s="5"/>
      <c r="E576" s="5"/>
      <c r="H576" s="5"/>
      <c r="I576" s="5"/>
      <c r="J576" s="107"/>
      <c r="K576" s="5"/>
      <c r="L576" s="5"/>
      <c r="M576" s="120"/>
      <c r="O576" s="105"/>
      <c r="P576" s="5"/>
      <c r="Q576" s="5"/>
      <c r="V576" s="5"/>
      <c r="W576" s="101"/>
      <c r="X576" s="5"/>
      <c r="Z576" s="5"/>
      <c r="AA576" s="5"/>
      <c r="AB576" s="5"/>
      <c r="AC576" s="5"/>
      <c r="AD576" s="5"/>
      <c r="AJ576" s="5"/>
      <c r="AK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B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B579" s="124"/>
      <c r="AC579" s="117"/>
      <c r="AD579" s="117"/>
      <c r="AJ579" s="117"/>
      <c r="AK579" s="117"/>
      <c r="AN579" s="124"/>
    </row>
    <row r="580" spans="2:42" s="104" customFormat="1">
      <c r="B580" s="117"/>
      <c r="C580" s="117"/>
      <c r="D580" s="117"/>
      <c r="E580" s="5"/>
      <c r="H580" s="5"/>
      <c r="I580" s="117"/>
      <c r="J580" s="121"/>
      <c r="K580" s="117"/>
      <c r="L580" s="117"/>
      <c r="M580" s="122"/>
      <c r="O580" s="123"/>
      <c r="P580" s="117"/>
      <c r="Q580" s="117"/>
      <c r="V580" s="117"/>
      <c r="W580" s="124"/>
      <c r="X580" s="117"/>
      <c r="Z580" s="117"/>
      <c r="AA580" s="117"/>
      <c r="AB580" s="124"/>
      <c r="AC580" s="117"/>
      <c r="AD580" s="117"/>
      <c r="AJ580" s="117"/>
      <c r="AK580" s="117"/>
      <c r="AN580" s="124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B581" s="124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C583" s="5"/>
      <c r="AD583" s="5"/>
      <c r="AJ583" s="5"/>
      <c r="AK583" s="5"/>
      <c r="AO583" s="5"/>
      <c r="AP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W584" s="5"/>
      <c r="X584" s="5"/>
      <c r="Z584" s="5"/>
      <c r="AA584" s="5"/>
      <c r="AB584" s="5"/>
      <c r="AC584" s="5"/>
      <c r="AD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B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B587" s="124"/>
      <c r="AC587" s="117"/>
      <c r="AD587" s="117"/>
      <c r="AJ587" s="117"/>
      <c r="AK587" s="117"/>
      <c r="AN587" s="124"/>
      <c r="AO587" s="117"/>
      <c r="AP587" s="117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W588" s="117"/>
      <c r="X588" s="117"/>
      <c r="Z588" s="117"/>
      <c r="AA588" s="117"/>
      <c r="AB588" s="124"/>
      <c r="AC588" s="117"/>
      <c r="AD588" s="117"/>
      <c r="AJ588" s="117"/>
      <c r="AK588" s="117"/>
      <c r="AN588" s="124"/>
      <c r="AO588" s="117"/>
      <c r="AP588" s="117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B589" s="124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107"/>
      <c r="C605" s="5"/>
      <c r="D605" s="5"/>
      <c r="E605" s="5"/>
      <c r="H605" s="5"/>
      <c r="I605" s="107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O606" s="105"/>
      <c r="P606" s="5"/>
      <c r="Q606" s="5"/>
      <c r="V606" s="5"/>
      <c r="W606" s="101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J633" s="107"/>
      <c r="K633" s="5"/>
    </row>
    <row r="634" spans="2:41">
      <c r="B634" s="5"/>
      <c r="C634" s="5"/>
      <c r="D634" s="5"/>
      <c r="E634" s="5"/>
      <c r="H634" s="5"/>
      <c r="J634" s="107"/>
      <c r="K634" s="101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5">
      <c r="E673" s="5"/>
    </row>
    <row r="674" spans="5:5">
      <c r="E674" s="5"/>
    </row>
  </sheetData>
  <autoFilter ref="A1:AP672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8"/>
  <sheetViews>
    <sheetView zoomScaleNormal="100" workbookViewId="0">
      <pane xSplit="5" ySplit="2" topLeftCell="F3" activePane="bottomRight" state="frozen"/>
      <selection pane="topRight"/>
      <selection pane="bottomLeft"/>
      <selection pane="bottomRight" activeCell="C21" sqref="C21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622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615</v>
      </c>
      <c r="AW2" s="1" t="s">
        <v>611</v>
      </c>
      <c r="AX2" s="1" t="s">
        <v>612</v>
      </c>
      <c r="AY2"/>
      <c r="AZ2" s="128" t="s">
        <v>618</v>
      </c>
      <c r="BA2" s="128" t="s">
        <v>617</v>
      </c>
      <c r="BB2" s="128" t="s">
        <v>616</v>
      </c>
      <c r="BC2" s="128" t="s">
        <v>620</v>
      </c>
      <c r="BD2" s="128" t="s">
        <v>619</v>
      </c>
      <c r="BE2" s="128"/>
      <c r="BF2" s="128"/>
      <c r="BG2" s="128"/>
      <c r="BH2" s="128"/>
      <c r="BI2" s="128" t="s">
        <v>613</v>
      </c>
      <c r="BJ2" s="128" t="s">
        <v>614</v>
      </c>
      <c r="BK2"/>
      <c r="BL2" s="129" t="s">
        <v>605</v>
      </c>
      <c r="BM2" s="129" t="s">
        <v>606</v>
      </c>
      <c r="BN2" s="129" t="s">
        <v>607</v>
      </c>
      <c r="BO2" s="129"/>
      <c r="BP2" s="129" t="s">
        <v>608</v>
      </c>
      <c r="BQ2" s="129" t="s">
        <v>609</v>
      </c>
      <c r="BR2" s="129" t="s">
        <v>610</v>
      </c>
      <c r="BS2"/>
      <c r="BT2" s="128" t="s">
        <v>621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|Cffbbbbbb属性：|r|n攻击+6000|n|n|Cff00ff7f点击消耗1000金币进行强化|n成功率100%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3000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InitEquipData('E005',,"",,E006,3000,100,'','','','','','',"ReplaceableTextures\\CommandButtons\\BTNZ02.blp")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|Cffbbbbbb属性：|r|n攻击+8000|n|n|Cff00ff7f点击消耗3000金币进行晋阶挑战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671</v>
      </c>
      <c r="D8" s="42"/>
      <c r="E8" s="43"/>
      <c r="F8" s="44">
        <v>2000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161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InitEquipData('E006',,"",,E007,2000,90,'','','','','','',"ReplaceableTextures\\CommandButtons\\BTNZ02.blp")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|Cffbbbbbb属性：|r|n攻击+12000|n暴击+5%|n暴伤+100%|n伤害吸取+1%|n|n|Cff00ff7f点击消耗2000金币进行强化|n成功率90%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162</v>
      </c>
      <c r="C9" s="8" t="s">
        <v>672</v>
      </c>
      <c r="D9" s="42"/>
      <c r="E9" s="43"/>
      <c r="F9" s="44">
        <v>2000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161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InitEquipData('E007',,"",,E008,2000,90,'','','','','','',"ReplaceableTextures\\CommandButtons\\BTNZ02.blp")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|Cffbbbbbb属性：|r|n攻击+16000|n暴击+5%|n暴伤+100%|n伤害吸取+1%|n|n|Cff00ff7f点击消耗2000金币进行强化|n成功率90%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163</v>
      </c>
      <c r="C10" s="8" t="s">
        <v>673</v>
      </c>
      <c r="D10" s="42"/>
      <c r="E10" s="43"/>
      <c r="F10" s="44">
        <v>2000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161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InitEquipData('E008',,"",,E009,2000,90,'','','','','','',"ReplaceableTextures\\CommandButtons\\BTNZ02.blp")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|Cffbbbbbb属性：|r|n攻击+20000|n暴击+5%|n暴伤+100%|n伤害吸取+2%|n|n|Cff00ff7f点击消耗2000金币进行强化|n成功率90%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164</v>
      </c>
      <c r="C11" s="8" t="s">
        <v>674</v>
      </c>
      <c r="D11" s="42"/>
      <c r="E11" s="43"/>
      <c r="F11" s="44">
        <v>2000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161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InitEquipData('E009',,"",,E010,2000,90,'','','','','','',"ReplaceableTextures\\CommandButtons\\BTNZ02.blp")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|Cffbbbbbb属性：|r|n攻击+24000|n暴击+5%|n暴伤+100%|n伤害吸取+2%|n|n|Cff00ff7f点击消耗2000金币进行强化|n成功率90%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165</v>
      </c>
      <c r="C12" s="8" t="s">
        <v>675</v>
      </c>
      <c r="D12" s="42"/>
      <c r="E12" s="43"/>
      <c r="F12" s="44">
        <v>8000</v>
      </c>
      <c r="G12" s="45">
        <v>100</v>
      </c>
      <c r="H12" s="46" t="s">
        <v>166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161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InitEquipData('E010',,"",,E011,8000,100,'','','','','','',"ReplaceableTextures\\CommandButtons\\BTNZ03.blp")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|Cffbbbbbb属性：|r|n攻击+28000|n暴击+5%|n暴伤+100%|n伤害吸取+2%|n|n|Cff00ff7f点击消耗8000金币进行晋阶挑战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167</v>
      </c>
      <c r="C13" s="8" t="s">
        <v>676</v>
      </c>
      <c r="D13" s="42"/>
      <c r="E13" s="43"/>
      <c r="F13" s="44">
        <v>5000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168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InitEquipData('E011',,"",,E012,5000,80,'','','','','','',"ReplaceableTextures\\CommandButtons\\BTNZ03.blp")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169</v>
      </c>
      <c r="C14" s="8" t="s">
        <v>677</v>
      </c>
      <c r="D14" s="42"/>
      <c r="E14" s="43"/>
      <c r="F14" s="44">
        <v>5000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168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InitEquipData('E012',,"",,E013,5000,80,'','','','','','',"ReplaceableTextures\\CommandButtons\\BTNZ03.blp")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170</v>
      </c>
      <c r="C15" s="8" t="s">
        <v>678</v>
      </c>
      <c r="D15" s="42"/>
      <c r="E15" s="43"/>
      <c r="F15" s="44">
        <v>5000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168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InitEquipData('E013',,"",,E014,5000,80,'','','','','','',"ReplaceableTextures\\CommandButtons\\BTNZ03.blp")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171</v>
      </c>
      <c r="C16" s="8" t="s">
        <v>679</v>
      </c>
      <c r="D16" s="42"/>
      <c r="E16" s="43"/>
      <c r="F16" s="44">
        <v>5000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168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InitEquipData('E014',,"",,E015,5000,80,'','','','','','',"ReplaceableTextures\\CommandButtons\\BTNZ03.blp")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172</v>
      </c>
      <c r="C17" s="8" t="s">
        <v>680</v>
      </c>
      <c r="D17" s="42"/>
      <c r="E17" s="43"/>
      <c r="F17" s="44">
        <v>20000</v>
      </c>
      <c r="G17" s="45">
        <v>100</v>
      </c>
      <c r="H17" s="46" t="s">
        <v>173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168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InitEquipData('E015',,"",,E016,20000,100,'','','','','','',"ReplaceableTextures\\CommandButtons\\BTNZ04.blp")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174</v>
      </c>
      <c r="C18" s="8" t="s">
        <v>681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175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176</v>
      </c>
      <c r="C19" s="8" t="s">
        <v>682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175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177</v>
      </c>
      <c r="C20" s="8" t="s">
        <v>683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175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178</v>
      </c>
      <c r="C21" s="8" t="s">
        <v>684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175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179</v>
      </c>
      <c r="C22" s="8" t="s">
        <v>685</v>
      </c>
      <c r="D22" s="42"/>
      <c r="E22" s="43"/>
      <c r="F22" s="44">
        <v>35000</v>
      </c>
      <c r="G22" s="45">
        <v>100</v>
      </c>
      <c r="H22" s="46" t="s">
        <v>180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175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InitEquipData('E020',,"",,E021,35000,100,'','','','','','',"ReplaceableTextures\\CommandButtons\\BTNZ05.blp")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181</v>
      </c>
      <c r="C23" s="8" t="s">
        <v>686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182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183</v>
      </c>
      <c r="C24" s="8" t="s">
        <v>687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182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184</v>
      </c>
      <c r="C25" s="8" t="s">
        <v>688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182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185</v>
      </c>
      <c r="C26" s="8" t="s">
        <v>689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182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186</v>
      </c>
      <c r="C27" s="8" t="s">
        <v>690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650</v>
      </c>
      <c r="U27" s="51" t="s">
        <v>182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188</v>
      </c>
      <c r="C28" s="128" t="s">
        <v>666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189</v>
      </c>
      <c r="V28" s="52"/>
      <c r="W28" s="52"/>
      <c r="X28" s="52"/>
      <c r="Y28" s="52"/>
      <c r="Z28" s="52">
        <v>500</v>
      </c>
      <c r="AA28" s="52"/>
      <c r="AB28" s="52">
        <f t="shared" ref="AB28:AB32" si="290">Z28/50</f>
        <v>10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InitUnitState('E101',,,,,500,,10,,10,3)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|n生命值+500|n生命回复+10|n攻速+10%|n闪避+3%|n杀敌生命+5|n每秒业力+1|n</v>
      </c>
      <c r="CV28" s="3" t="str">
        <f>"|Cffbbbbbb属性：|r"&amp;CU28&amp;VLOOKUP(A28,合成公式!A:P,16,FALSE)&amp;T28</f>
        <v>|Cffbbbbbb属性：|r|n生命值+500|n生命回复+10|n攻速+10%|n闪避+3%|n杀敌生命+5|n每秒业力+1|n|n攻击6%概率范围|cffff4646业力*15|r魔法伤害|n|n|Cff00ff7f击杀150只怪有50%概率升级|r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>|n生命回复+10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190</v>
      </c>
      <c r="C29" s="128" t="s">
        <v>667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189</v>
      </c>
      <c r="V29" s="52"/>
      <c r="W29" s="52"/>
      <c r="X29" s="52"/>
      <c r="Y29"/>
      <c r="Z29" s="52">
        <v>1000</v>
      </c>
      <c r="AA29" s="52"/>
      <c r="AB29" s="52">
        <f t="shared" si="290"/>
        <v>20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InitUnitState('E102',,,,,1000,,20,,15,3)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|n生命值+1000|n生命回复+20|n攻速+15%|n闪避+3%|n杀敌生命+5|n每秒业力+2|n</v>
      </c>
      <c r="CV29" s="3" t="str">
        <f>"|Cffbbbbbb属性：|r"&amp;CU29&amp;VLOOKUP(A29,合成公式!A:P,16,FALSE)&amp;T29</f>
        <v>|Cffbbbbbb属性：|r|n生命值+1000|n生命回复+20|n攻速+15%|n闪避+3%|n杀敌生命+5|n每秒业力+2|n|n攻击6%概率范围|cffff4646业力*15|r魔法伤害|n|n|Cff00ff7f击杀150只怪有50%概率升级|r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>|n生命回复+20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191</v>
      </c>
      <c r="C30" s="128" t="s">
        <v>668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189</v>
      </c>
      <c r="V30" s="52"/>
      <c r="W30" s="52"/>
      <c r="X30" s="52"/>
      <c r="Y30"/>
      <c r="Z30" s="52">
        <v>2000</v>
      </c>
      <c r="AA30" s="52"/>
      <c r="AB30" s="52">
        <f t="shared" si="290"/>
        <v>40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InitUnitState('E103',,,,,2000,,40,,20,3)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|n生命值+2000|n生命回复+40|n攻速+20%|n闪避+3%|n杀敌生命+5|n每秒业力+3|n</v>
      </c>
      <c r="CV30" s="3" t="str">
        <f>"|Cffbbbbbb属性：|r"&amp;CU30&amp;VLOOKUP(A30,合成公式!A:P,16,FALSE)&amp;T30</f>
        <v>|Cffbbbbbb属性：|r|n生命值+2000|n生命回复+40|n攻速+20%|n闪避+3%|n杀敌生命+5|n每秒业力+3|n|n攻击6%概率范围|cffff4646业力*15|r魔法伤害|n|n|Cff00ff7f击杀150只怪有50%概率升级|r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|n生命值+2000</v>
      </c>
      <c r="DG30" s="40" t="str">
        <f t="shared" si="225"/>
        <v/>
      </c>
      <c r="DH30" s="40" t="str">
        <f t="shared" si="226"/>
        <v>|n生命回复+40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192</v>
      </c>
      <c r="C31" s="128" t="s">
        <v>669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189</v>
      </c>
      <c r="V31" s="52"/>
      <c r="W31" s="52"/>
      <c r="X31" s="52"/>
      <c r="Y31"/>
      <c r="Z31" s="52">
        <v>3000</v>
      </c>
      <c r="AA31" s="52"/>
      <c r="AB31" s="52">
        <f t="shared" si="290"/>
        <v>60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InitUnitState('E104',,,,,3000,,60,,25,3)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|n生命值+3000|n生命回复+60|n攻速+25%|n闪避+3%|n杀敌生命+10|n每秒业力+4|n</v>
      </c>
      <c r="CV31" s="3" t="str">
        <f>"|Cffbbbbbb属性：|r"&amp;CU31&amp;VLOOKUP(A31,合成公式!A:P,16,FALSE)&amp;T31</f>
        <v>|Cffbbbbbb属性：|r|n生命值+3000|n生命回复+60|n攻速+25%|n闪避+3%|n杀敌生命+10|n每秒业力+4|n|n攻击6%概率范围|cffff4646业力*15|r魔法伤害|n|n|Cff00ff7f击杀150只怪有50%概率升级|r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|n生命值+3000</v>
      </c>
      <c r="DG31" s="40" t="str">
        <f t="shared" si="225"/>
        <v/>
      </c>
      <c r="DH31" s="40" t="str">
        <f t="shared" si="226"/>
        <v>|n生命回复+60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193</v>
      </c>
      <c r="C32" s="128" t="s">
        <v>670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189</v>
      </c>
      <c r="V32" s="52"/>
      <c r="W32" s="52"/>
      <c r="X32"/>
      <c r="Y32"/>
      <c r="Z32" s="52">
        <v>5000</v>
      </c>
      <c r="AA32" s="52"/>
      <c r="AB32" s="52">
        <f t="shared" si="290"/>
        <v>100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InitUnitState('E105',,,,,5000,,100,,30,3)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|n生命值+5000|n生命回复+100|n攻速+30%|n闪避+3%|n杀敌生命+10|n每秒业力+5|n</v>
      </c>
      <c r="CV32" s="3" t="str">
        <f>"|Cffbbbbbb属性：|r"&amp;CU32&amp;VLOOKUP(A32,合成公式!A:P,16,FALSE)&amp;T32</f>
        <v>|Cffbbbbbb属性：|r|n生命值+5000|n生命回复+100|n攻速+30%|n闪避+3%|n杀敌生命+10|n每秒业力+5|n|n攻击6%概率范围|cffff4646业力*15|r魔法伤害|n|n|Cff00ff7f击杀150只怪有50%概率升级|r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|n生命值+5000</v>
      </c>
      <c r="DG32" s="40" t="str">
        <f t="shared" si="225"/>
        <v/>
      </c>
      <c r="DH32" s="40" t="str">
        <f t="shared" si="226"/>
        <v>|n生命回复+100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194</v>
      </c>
      <c r="C33" s="128" t="s">
        <v>691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195</v>
      </c>
      <c r="V33" s="52"/>
      <c r="W33" s="52"/>
      <c r="X33"/>
      <c r="Y33"/>
      <c r="Z33" s="52">
        <v>7000</v>
      </c>
      <c r="AA33" s="52"/>
      <c r="AB33" s="52">
        <f t="shared" ref="AB33:AB77" si="293">Z33/50</f>
        <v>140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InitUnitState('E106',,,,,7000,,140,,35,6)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|n生命值+7000|n生命回复+140|n攻速+35%|n闪避+6%|n杀敌生命+15|n每秒业力+6|n</v>
      </c>
      <c r="CV33" s="3" t="str">
        <f>"|Cffbbbbbb属性：|r"&amp;CU33&amp;VLOOKUP(A33,合成公式!A:P,16,FALSE)&amp;T33</f>
        <v>|Cffbbbbbb属性：|r|n生命值+7000|n生命回复+140|n攻速+35%|n闪避+6%|n杀敌生命+15|n每秒业力+6|n|n攻击6%概率范围|cffff4646业力*15|r魔法伤害|n|n|Cff00ff7f击杀200只怪有50%概率升级|r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|n生命值+7000</v>
      </c>
      <c r="DG33" s="40" t="str">
        <f t="shared" si="225"/>
        <v/>
      </c>
      <c r="DH33" s="40" t="str">
        <f t="shared" si="226"/>
        <v>|n生命回复+140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196</v>
      </c>
      <c r="C34" s="128" t="s">
        <v>692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195</v>
      </c>
      <c r="V34" s="52"/>
      <c r="W34" s="52"/>
      <c r="X34" s="52"/>
      <c r="Y34" s="52"/>
      <c r="Z34" s="52">
        <v>10000</v>
      </c>
      <c r="AA34" s="52"/>
      <c r="AB34" s="52">
        <f t="shared" si="293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197</v>
      </c>
      <c r="C35" s="128" t="s">
        <v>693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195</v>
      </c>
      <c r="V35" s="52"/>
      <c r="W35" s="52"/>
      <c r="X35" s="52"/>
      <c r="Y35" s="52"/>
      <c r="Z35" s="52">
        <v>15000</v>
      </c>
      <c r="AA35" s="52"/>
      <c r="AB35" s="52">
        <f t="shared" si="293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198</v>
      </c>
      <c r="C36" s="128" t="s">
        <v>694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195</v>
      </c>
      <c r="V36" s="52"/>
      <c r="W36" s="52"/>
      <c r="X36" s="52"/>
      <c r="Y36" s="52"/>
      <c r="Z36" s="52">
        <v>20000</v>
      </c>
      <c r="AA36" s="52"/>
      <c r="AB36" s="52">
        <f t="shared" si="293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4"/>
        <v>InitUnitState('E109',,,,,20000,,400,,50,6)</v>
      </c>
      <c r="CO36" s="58" t="str">
        <f t="shared" si="295"/>
        <v>InitUnitNormal('E109',,,,,,,,,,)</v>
      </c>
      <c r="CP36" s="58" t="str">
        <f t="shared" si="296"/>
        <v>InitUnitMagic('E109',,,,,,,,,,)</v>
      </c>
      <c r="CQ36" s="58" t="str">
        <f t="shared" si="297"/>
        <v>InitUnitAdd('E109',,,,30,,,9,,,)</v>
      </c>
      <c r="CR36" s="58" t="str">
        <f t="shared" si="298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9">IF(V36="","","|n"&amp;DB$2&amp;"+"&amp;V36&amp;DB$1)</f>
        <v/>
      </c>
      <c r="DC36" s="40" t="str">
        <f t="shared" ref="DC36:DC52" si="300">IF(W36="","","|n"&amp;DC$2&amp;"+"&amp;W36&amp;DC$1)</f>
        <v/>
      </c>
      <c r="DD36" s="40" t="str">
        <f t="shared" ref="DD36:DD52" si="301">IF(X36="","","|n"&amp;DD$2&amp;"+"&amp;X36&amp;DD$1)</f>
        <v/>
      </c>
      <c r="DE36" s="40" t="str">
        <f t="shared" ref="DE36:DE52" si="302">IF(Y36="","","|n"&amp;DE$2&amp;"+"&amp;Y36&amp;DE$1)</f>
        <v/>
      </c>
      <c r="DF36" s="40" t="str">
        <f t="shared" ref="DF36:DF52" si="303">IF(Z36="","","|n"&amp;DF$2&amp;"+"&amp;Z36&amp;DF$1)</f>
        <v>|n生命值+20000</v>
      </c>
      <c r="DG36" s="40" t="str">
        <f t="shared" ref="DG36:DG52" si="304">IF(AA36="","","|n"&amp;DG$2&amp;"+"&amp;AA36&amp;DG$1)</f>
        <v/>
      </c>
      <c r="DH36" s="40" t="str">
        <f t="shared" ref="DH36:DH52" si="305">IF(AB36="","","|n"&amp;DH$2&amp;"+"&amp;AB36&amp;DH$1)</f>
        <v>|n生命回复+400</v>
      </c>
      <c r="DI36" s="40" t="str">
        <f t="shared" ref="DI36:DI52" si="306">IF(AC36="","","|n"&amp;DI$2&amp;"+"&amp;AC36&amp;DI$1)</f>
        <v/>
      </c>
      <c r="DJ36" s="40" t="str">
        <f t="shared" ref="DJ36:DJ52" si="307">IF(AD36="","","|n"&amp;DJ$2&amp;"+"&amp;AD36&amp;DJ$1)</f>
        <v>|n攻速+50%</v>
      </c>
      <c r="DK36" s="40" t="str">
        <f t="shared" ref="DK36:DK52" si="308">IF(AE36="","","|n"&amp;DK$2&amp;"+"&amp;AE36&amp;DK$1)</f>
        <v>|n闪避+6%</v>
      </c>
      <c r="DL36" s="40" t="str">
        <f t="shared" ref="DL36:DL52" si="309">IF(AF36="","","|n"&amp;DL$2&amp;"+"&amp;AF36&amp;DL$1)</f>
        <v/>
      </c>
      <c r="DM36" s="40" t="str">
        <f t="shared" ref="DM36:DM52" si="310">IF(AG36="","","|n"&amp;DM$2&amp;"+"&amp;AG36&amp;DM$1)</f>
        <v/>
      </c>
      <c r="DN36" s="40" t="str">
        <f t="shared" ref="DN36:DN52" si="311">IF(AH36="","","|n"&amp;DN$2&amp;"+"&amp;AH36&amp;DN$1)</f>
        <v/>
      </c>
      <c r="DO36" s="40" t="str">
        <f t="shared" ref="DO36:DO52" si="312">IF(AI36="","","|n"&amp;DO$2&amp;"+"&amp;AI36&amp;DO$1)</f>
        <v/>
      </c>
      <c r="DP36" s="40" t="str">
        <f t="shared" ref="DP36:DP52" si="313">IF(AJ36="","","|n"&amp;DP$2&amp;"+"&amp;AJ36&amp;DP$1)</f>
        <v/>
      </c>
      <c r="DQ36" s="40" t="str">
        <f t="shared" ref="DQ36:DQ52" si="314">IF(AK36="","","|n"&amp;DQ$2&amp;"+"&amp;AK36&amp;DQ$1)</f>
        <v/>
      </c>
      <c r="DR36" s="40" t="str">
        <f t="shared" ref="DR36:DR52" si="315">IF(AL36="","","|n"&amp;DR$2&amp;"+"&amp;AL36&amp;DR$1)</f>
        <v/>
      </c>
      <c r="DS36" s="40" t="str">
        <f t="shared" ref="DS36:DS52" si="316">IF(AM36="","","|n"&amp;DS$2&amp;"+"&amp;AM36&amp;DS$1)</f>
        <v/>
      </c>
      <c r="DT36" s="40" t="str">
        <f t="shared" ref="DT36:DT52" si="317">IF(AN36="","","|n"&amp;DT$2&amp;"+"&amp;AN36&amp;DT$1)</f>
        <v/>
      </c>
      <c r="DU36" s="40" t="str">
        <f t="shared" ref="DU36:DU52" si="318">IF(AO36="","","|n"&amp;DU$2&amp;"+"&amp;AO36&amp;DU$1)</f>
        <v/>
      </c>
      <c r="DV36" s="40" t="str">
        <f t="shared" ref="DV36:DV52" si="319">IF(AP36="","","|n"&amp;DV$2&amp;"+"&amp;AP36&amp;DV$1)</f>
        <v/>
      </c>
      <c r="DW36" s="40" t="str">
        <f t="shared" ref="DW36:DW52" si="320">IF(AQ36="","","|n"&amp;DW$2&amp;"+"&amp;AQ36&amp;DW$1)</f>
        <v/>
      </c>
      <c r="DX36" s="40" t="str">
        <f t="shared" ref="DX36:DX52" si="321">IF(AR36="","","|n"&amp;DX$2&amp;"+"&amp;AR36&amp;DX$1)</f>
        <v/>
      </c>
      <c r="DY36" s="40" t="str">
        <f t="shared" ref="DY36:DY52" si="322">IF(AS36="","","|n"&amp;DY$2&amp;"+"&amp;AS36&amp;DY$1)</f>
        <v/>
      </c>
      <c r="DZ36" s="40" t="str">
        <f t="shared" ref="DZ36:DZ52" si="323">IF(AT36="","","|n"&amp;DZ$2&amp;"+"&amp;AT36&amp;DZ$1)</f>
        <v/>
      </c>
      <c r="EA36" s="40" t="str">
        <f t="shared" ref="EA36:EA52" si="324">IF(AU36="","","|n"&amp;EA$2&amp;"+"&amp;AU36&amp;EA$1)</f>
        <v/>
      </c>
      <c r="EB36" s="40" t="str">
        <f t="shared" ref="EB36:EB52" si="325">IF(AV36="","","|n"&amp;EB$2&amp;"+"&amp;AV36&amp;EB$1)</f>
        <v/>
      </c>
      <c r="EC36" s="40" t="str">
        <f t="shared" ref="EC36:EC52" si="326">IF(AW36="","","|n"&amp;EC$2&amp;"+"&amp;AW36&amp;EC$1)</f>
        <v/>
      </c>
      <c r="ED36" s="40" t="str">
        <f t="shared" ref="ED36:ED52" si="327">IF(AX36="","","|n"&amp;ED$2&amp;"+"&amp;AX36&amp;ED$1)</f>
        <v/>
      </c>
      <c r="EE36" s="40" t="str">
        <f t="shared" ref="EE36:EE52" si="328">IF(AY36="","","|n"&amp;EE$2&amp;"+"&amp;AY36&amp;EE$1)</f>
        <v/>
      </c>
      <c r="EF36" s="40" t="str">
        <f t="shared" ref="EF36:EF52" si="329">IF(AZ36="","","|n"&amp;EF$2&amp;"+"&amp;AZ36&amp;EF$1)</f>
        <v/>
      </c>
      <c r="EG36" s="40" t="str">
        <f t="shared" ref="EG36:EG52" si="330">IF(BA36="","","|n"&amp;EG$2&amp;"+"&amp;BA36&amp;EG$1)</f>
        <v/>
      </c>
      <c r="EH36" s="40" t="str">
        <f t="shared" ref="EH36:EH52" si="331">IF(BB36="","","|n"&amp;EH$2&amp;"+"&amp;BB36&amp;EH$1)</f>
        <v/>
      </c>
      <c r="EI36" s="40" t="str">
        <f t="shared" ref="EI36:EI52" si="332">IF(BC36="","","|n"&amp;EI$2&amp;"+"&amp;BC36&amp;EI$1)</f>
        <v/>
      </c>
      <c r="EJ36" s="40" t="str">
        <f t="shared" ref="EJ36:EJ52" si="333">IF(BD36="","","|n"&amp;EJ$2&amp;"+"&amp;BD36&amp;EJ$1)</f>
        <v/>
      </c>
      <c r="EK36" s="40" t="str">
        <f t="shared" ref="EK36:EK52" si="334">IF(BE36="","","|n"&amp;EK$2&amp;"+"&amp;BE36&amp;EK$1)</f>
        <v/>
      </c>
      <c r="EL36" s="40" t="str">
        <f t="shared" ref="EL36:EL52" si="335">IF(BF36="","","|n"&amp;EL$2&amp;"+"&amp;BF36&amp;EL$1)</f>
        <v/>
      </c>
      <c r="EM36" s="40" t="str">
        <f t="shared" ref="EM36:EM52" si="336">IF(BG36="","","|n"&amp;EM$2&amp;"+"&amp;BG36&amp;EM$1)</f>
        <v/>
      </c>
      <c r="EN36" s="40" t="str">
        <f t="shared" ref="EN36:EN52" si="337">IF(BH36="","","|n"&amp;EN$2&amp;"+"&amp;BH36&amp;EN$1)</f>
        <v/>
      </c>
      <c r="EO36" s="40" t="str">
        <f t="shared" ref="EO36:EO52" si="338">IF(BI36="","","|n"&amp;EO$2&amp;"+"&amp;BI36&amp;EO$1)</f>
        <v/>
      </c>
      <c r="EP36" s="40" t="str">
        <f t="shared" ref="EP36:EP52" si="339">IF(BJ36="","","|n"&amp;EP$2&amp;"+"&amp;BJ36&amp;EP$1)</f>
        <v/>
      </c>
      <c r="EQ36" s="40" t="str">
        <f t="shared" ref="EQ36:EQ52" si="340">IF(BK36="","","|n"&amp;EQ$2&amp;"+"&amp;BK36&amp;EQ$1)</f>
        <v/>
      </c>
      <c r="ER36" s="40" t="str">
        <f t="shared" ref="ER36:ER52" si="341">IF(BL36="","","|n"&amp;ER$2&amp;"+"&amp;BL36&amp;ER$1)</f>
        <v/>
      </c>
      <c r="ES36" s="40" t="str">
        <f t="shared" ref="ES36:ES52" si="342">IF(BM36="","","|n"&amp;ES$2&amp;"+"&amp;BM36&amp;ES$1)</f>
        <v/>
      </c>
      <c r="ET36" s="40" t="str">
        <f t="shared" ref="ET36:ET52" si="343">IF(BN36="","","|n"&amp;ET$2&amp;"+"&amp;BN36&amp;ET$1)</f>
        <v>|n杀敌生命+30</v>
      </c>
      <c r="EU36" s="40" t="str">
        <f t="shared" ref="EU36:EU52" si="344">IF(BO36="","","|n"&amp;EU$2&amp;"+"&amp;BO36&amp;EU$1)</f>
        <v/>
      </c>
      <c r="EV36" s="40" t="str">
        <f t="shared" ref="EV36:EV52" si="345">IF(BP36="","","|n"&amp;EV$2&amp;"+"&amp;BP36&amp;EV$1)</f>
        <v/>
      </c>
      <c r="EW36" s="40" t="str">
        <f t="shared" ref="EW36:EW52" si="346">IF(BQ36="","","|n"&amp;EW$2&amp;"+"&amp;BQ36&amp;EW$1)</f>
        <v>|n每秒业力+9</v>
      </c>
      <c r="EX36" s="40" t="str">
        <f t="shared" ref="EX36:EX52" si="347">IF(BR36="","","|n"&amp;EX$2&amp;"+"&amp;BR36&amp;EX$1)</f>
        <v/>
      </c>
      <c r="EY36" s="40" t="str">
        <f t="shared" ref="EY36:EY52" si="348">IF(BS36="","","|n"&amp;EY$2&amp;"+"&amp;BS36&amp;EY$1)</f>
        <v/>
      </c>
      <c r="EZ36" s="40" t="str">
        <f t="shared" ref="EZ36:EZ52" si="349">IF(BT36="","","|n"&amp;EZ$2&amp;"+"&amp;BT36&amp;EZ$1)</f>
        <v/>
      </c>
      <c r="FA36" s="40" t="str">
        <f t="shared" ref="FA36:FA52" si="350">IF(BU36="","","|n"&amp;FA$2&amp;"+"&amp;BU36&amp;FA$1)</f>
        <v/>
      </c>
      <c r="FB36" s="40" t="str">
        <f t="shared" ref="FB36:FB52" si="351">IF(BV36="","","|n"&amp;FB$2&amp;"+"&amp;BV36&amp;FB$1)</f>
        <v/>
      </c>
      <c r="FC36" s="40" t="str">
        <f t="shared" ref="FC36:FC52" si="352">IF(BW36="","","|n"&amp;FC$2&amp;"+"&amp;BW36&amp;FC$1)</f>
        <v/>
      </c>
      <c r="FD36" s="40" t="str">
        <f t="shared" ref="FD36:FD52" si="353">IF(BX36="","","|n"&amp;FD$2&amp;"+"&amp;BX36&amp;FD$1)</f>
        <v/>
      </c>
      <c r="FE36" s="40" t="str">
        <f t="shared" ref="FE36:FE52" si="354">IF(BY36="","","|n"&amp;FE$2&amp;"+"&amp;BY36&amp;FE$1)</f>
        <v/>
      </c>
      <c r="FF36" s="40" t="str">
        <f t="shared" ref="FF36:FF52" si="355">IF(BZ36="","","|n"&amp;FF$2&amp;"+"&amp;BZ36&amp;FF$1)</f>
        <v/>
      </c>
      <c r="FG36" s="40" t="str">
        <f t="shared" ref="FG36:FG52" si="356">IF(CA36="","","|n"&amp;FG$2&amp;"+"&amp;CA36&amp;FG$1)</f>
        <v/>
      </c>
      <c r="FH36" s="40" t="str">
        <f t="shared" ref="FH36:FH52" si="357">IF(CB36="","","|n"&amp;FH$2&amp;"+"&amp;CB36&amp;FH$1)</f>
        <v/>
      </c>
      <c r="FI36" s="40" t="str">
        <f t="shared" ref="FI36:FI52" si="358">IF(CC36="","","|n"&amp;FI$2&amp;"+"&amp;CC36&amp;FI$1)</f>
        <v/>
      </c>
      <c r="FJ36" s="40" t="str">
        <f t="shared" ref="FJ36:FJ52" si="359">IF(CD36="","","|n"&amp;FJ$2&amp;"+"&amp;CD36&amp;FJ$1)</f>
        <v/>
      </c>
      <c r="FK36" s="40" t="str">
        <f t="shared" ref="FK36:FK52" si="360">IF(CE36="","","|n"&amp;FK$2&amp;"+"&amp;CE36&amp;FK$1)</f>
        <v/>
      </c>
      <c r="FL36" s="40" t="str">
        <f t="shared" ref="FL36:FL52" si="361">IF(CF36="","","|n"&amp;FL$2&amp;"+"&amp;CF36&amp;FL$1)</f>
        <v/>
      </c>
      <c r="FM36" s="40" t="str">
        <f t="shared" ref="FM36:FM52" si="362">IF(CG36="","","|n"&amp;FM$2&amp;"+"&amp;CG36&amp;FM$1)</f>
        <v/>
      </c>
      <c r="FN36" s="40" t="str">
        <f t="shared" ref="FN36:FN52" si="363">IF(CH36="","","|n"&amp;FN$2&amp;"+"&amp;CH36&amp;FN$1)</f>
        <v/>
      </c>
      <c r="FO36" s="40" t="str">
        <f t="shared" ref="FO36:FO52" si="364">IF(CI36="","","|n"&amp;FO$2&amp;"+"&amp;CI36&amp;FO$1)</f>
        <v/>
      </c>
      <c r="FP36" s="40" t="str">
        <f t="shared" ref="FP36:FP52" si="365">IF(CJ36="","","|n"&amp;FP$2&amp;"+"&amp;CJ36&amp;FP$1)</f>
        <v/>
      </c>
      <c r="FQ36" s="40" t="str">
        <f t="shared" ref="FQ36:FQ52" si="366">IF(CK36="","","|n"&amp;FQ$2&amp;"+"&amp;CK36&amp;FQ$1)</f>
        <v/>
      </c>
      <c r="FR36" s="40" t="str">
        <f t="shared" ref="FR36:FR52" si="367">IF(CL36="","","|n"&amp;FR$2&amp;"+"&amp;CL36&amp;FR$1)</f>
        <v/>
      </c>
      <c r="FS36" s="40" t="str">
        <f t="shared" ref="FS36:FS52" si="368">IF(CM36="","","|n"&amp;FS$2&amp;"+"&amp;CM36&amp;FS$1)</f>
        <v/>
      </c>
    </row>
    <row r="37" spans="1:175" s="4" customFormat="1" ht="16.5">
      <c r="A37" s="8"/>
      <c r="B37" s="41" t="s">
        <v>199</v>
      </c>
      <c r="C37" s="128" t="s">
        <v>695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195</v>
      </c>
      <c r="V37" s="52"/>
      <c r="W37" s="52"/>
      <c r="X37"/>
      <c r="Y37" s="52"/>
      <c r="Z37" s="52">
        <v>25000</v>
      </c>
      <c r="AA37" s="52"/>
      <c r="AB37" s="52">
        <f t="shared" si="293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4"/>
        <v>InitUnitState('E110',,,,,25000,,500,,55,6)</v>
      </c>
      <c r="CO37" s="58" t="str">
        <f t="shared" si="295"/>
        <v>InitUnitNormal('E110',,,,,,,,,,)</v>
      </c>
      <c r="CP37" s="58" t="str">
        <f t="shared" si="296"/>
        <v>InitUnitMagic('E110',,,,,,,,,,)</v>
      </c>
      <c r="CQ37" s="58" t="str">
        <f t="shared" si="297"/>
        <v>InitUnitAdd('E110',,,,35,,,10,,,)</v>
      </c>
      <c r="CR37" s="58" t="str">
        <f t="shared" si="298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9"/>
        <v/>
      </c>
      <c r="DC37" s="40" t="str">
        <f t="shared" si="300"/>
        <v/>
      </c>
      <c r="DD37" s="40" t="str">
        <f t="shared" si="301"/>
        <v/>
      </c>
      <c r="DE37" s="40" t="str">
        <f t="shared" si="302"/>
        <v/>
      </c>
      <c r="DF37" s="40" t="str">
        <f t="shared" si="303"/>
        <v>|n生命值+25000</v>
      </c>
      <c r="DG37" s="40" t="str">
        <f t="shared" si="304"/>
        <v/>
      </c>
      <c r="DH37" s="40" t="str">
        <f t="shared" si="305"/>
        <v>|n生命回复+500</v>
      </c>
      <c r="DI37" s="40" t="str">
        <f t="shared" si="306"/>
        <v/>
      </c>
      <c r="DJ37" s="40" t="str">
        <f t="shared" si="307"/>
        <v>|n攻速+55%</v>
      </c>
      <c r="DK37" s="40" t="str">
        <f t="shared" si="308"/>
        <v>|n闪避+6%</v>
      </c>
      <c r="DL37" s="40" t="str">
        <f t="shared" si="309"/>
        <v/>
      </c>
      <c r="DM37" s="40" t="str">
        <f t="shared" si="310"/>
        <v/>
      </c>
      <c r="DN37" s="40" t="str">
        <f t="shared" si="311"/>
        <v/>
      </c>
      <c r="DO37" s="40" t="str">
        <f t="shared" si="312"/>
        <v/>
      </c>
      <c r="DP37" s="40" t="str">
        <f t="shared" si="313"/>
        <v/>
      </c>
      <c r="DQ37" s="40" t="str">
        <f t="shared" si="314"/>
        <v/>
      </c>
      <c r="DR37" s="40" t="str">
        <f t="shared" si="315"/>
        <v/>
      </c>
      <c r="DS37" s="40" t="str">
        <f t="shared" si="316"/>
        <v/>
      </c>
      <c r="DT37" s="40" t="str">
        <f t="shared" si="317"/>
        <v/>
      </c>
      <c r="DU37" s="40" t="str">
        <f t="shared" si="318"/>
        <v/>
      </c>
      <c r="DV37" s="40" t="str">
        <f t="shared" si="319"/>
        <v/>
      </c>
      <c r="DW37" s="40" t="str">
        <f t="shared" si="320"/>
        <v/>
      </c>
      <c r="DX37" s="40" t="str">
        <f t="shared" si="321"/>
        <v/>
      </c>
      <c r="DY37" s="40" t="str">
        <f t="shared" si="322"/>
        <v/>
      </c>
      <c r="DZ37" s="40" t="str">
        <f t="shared" si="323"/>
        <v/>
      </c>
      <c r="EA37" s="40" t="str">
        <f t="shared" si="324"/>
        <v/>
      </c>
      <c r="EB37" s="40" t="str">
        <f t="shared" si="325"/>
        <v/>
      </c>
      <c r="EC37" s="40" t="str">
        <f t="shared" si="326"/>
        <v/>
      </c>
      <c r="ED37" s="40" t="str">
        <f t="shared" si="327"/>
        <v/>
      </c>
      <c r="EE37" s="40" t="str">
        <f t="shared" si="328"/>
        <v/>
      </c>
      <c r="EF37" s="40" t="str">
        <f t="shared" si="329"/>
        <v/>
      </c>
      <c r="EG37" s="40" t="str">
        <f t="shared" si="330"/>
        <v/>
      </c>
      <c r="EH37" s="40" t="str">
        <f t="shared" si="331"/>
        <v/>
      </c>
      <c r="EI37" s="40" t="str">
        <f t="shared" si="332"/>
        <v/>
      </c>
      <c r="EJ37" s="40" t="str">
        <f t="shared" si="333"/>
        <v/>
      </c>
      <c r="EK37" s="40" t="str">
        <f t="shared" si="334"/>
        <v/>
      </c>
      <c r="EL37" s="40" t="str">
        <f t="shared" si="335"/>
        <v/>
      </c>
      <c r="EM37" s="40" t="str">
        <f t="shared" si="336"/>
        <v/>
      </c>
      <c r="EN37" s="40" t="str">
        <f t="shared" si="337"/>
        <v/>
      </c>
      <c r="EO37" s="40" t="str">
        <f t="shared" si="338"/>
        <v/>
      </c>
      <c r="EP37" s="40" t="str">
        <f t="shared" si="339"/>
        <v/>
      </c>
      <c r="EQ37" s="40" t="str">
        <f t="shared" si="340"/>
        <v/>
      </c>
      <c r="ER37" s="40" t="str">
        <f t="shared" si="341"/>
        <v/>
      </c>
      <c r="ES37" s="40" t="str">
        <f t="shared" si="342"/>
        <v/>
      </c>
      <c r="ET37" s="40" t="str">
        <f t="shared" si="343"/>
        <v>|n杀敌生命+35</v>
      </c>
      <c r="EU37" s="40" t="str">
        <f t="shared" si="344"/>
        <v/>
      </c>
      <c r="EV37" s="40" t="str">
        <f t="shared" si="345"/>
        <v/>
      </c>
      <c r="EW37" s="40" t="str">
        <f t="shared" si="346"/>
        <v>|n每秒业力+10</v>
      </c>
      <c r="EX37" s="40" t="str">
        <f t="shared" si="347"/>
        <v/>
      </c>
      <c r="EY37" s="40" t="str">
        <f t="shared" si="348"/>
        <v/>
      </c>
      <c r="EZ37" s="40" t="str">
        <f t="shared" si="349"/>
        <v/>
      </c>
      <c r="FA37" s="40" t="str">
        <f t="shared" si="350"/>
        <v/>
      </c>
      <c r="FB37" s="40" t="str">
        <f t="shared" si="351"/>
        <v/>
      </c>
      <c r="FC37" s="40" t="str">
        <f t="shared" si="352"/>
        <v/>
      </c>
      <c r="FD37" s="40" t="str">
        <f t="shared" si="353"/>
        <v/>
      </c>
      <c r="FE37" s="40" t="str">
        <f t="shared" si="354"/>
        <v/>
      </c>
      <c r="FF37" s="40" t="str">
        <f t="shared" si="355"/>
        <v/>
      </c>
      <c r="FG37" s="40" t="str">
        <f t="shared" si="356"/>
        <v/>
      </c>
      <c r="FH37" s="40" t="str">
        <f t="shared" si="357"/>
        <v/>
      </c>
      <c r="FI37" s="40" t="str">
        <f t="shared" si="358"/>
        <v/>
      </c>
      <c r="FJ37" s="40" t="str">
        <f t="shared" si="359"/>
        <v/>
      </c>
      <c r="FK37" s="40" t="str">
        <f t="shared" si="360"/>
        <v/>
      </c>
      <c r="FL37" s="40" t="str">
        <f t="shared" si="361"/>
        <v/>
      </c>
      <c r="FM37" s="40" t="str">
        <f t="shared" si="362"/>
        <v/>
      </c>
      <c r="FN37" s="40" t="str">
        <f t="shared" si="363"/>
        <v/>
      </c>
      <c r="FO37" s="40" t="str">
        <f t="shared" si="364"/>
        <v/>
      </c>
      <c r="FP37" s="40" t="str">
        <f t="shared" si="365"/>
        <v/>
      </c>
      <c r="FQ37" s="40" t="str">
        <f t="shared" si="366"/>
        <v/>
      </c>
      <c r="FR37" s="40" t="str">
        <f t="shared" si="367"/>
        <v/>
      </c>
      <c r="FS37" s="40" t="str">
        <f t="shared" si="368"/>
        <v/>
      </c>
    </row>
    <row r="38" spans="1:175" s="4" customFormat="1" ht="16.5">
      <c r="A38" s="8"/>
      <c r="B38" s="41" t="s">
        <v>200</v>
      </c>
      <c r="C38" s="128" t="s">
        <v>696</v>
      </c>
      <c r="D38" s="5">
        <v>300</v>
      </c>
      <c r="E38" s="43"/>
      <c r="F38" s="44"/>
      <c r="G38" s="45">
        <v>50</v>
      </c>
      <c r="H38" s="45"/>
      <c r="I38" s="45" t="str">
        <f t="shared" ref="I38:I43" si="369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201</v>
      </c>
      <c r="V38" s="52"/>
      <c r="W38" s="52"/>
      <c r="X38"/>
      <c r="Y38" s="52"/>
      <c r="Z38" s="52">
        <v>50000</v>
      </c>
      <c r="AA38" s="52"/>
      <c r="AB38" s="52">
        <f t="shared" si="293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4"/>
        <v>InitUnitState('E111',,,,,50000,,1000,,60,9)</v>
      </c>
      <c r="CO38" s="58" t="str">
        <f t="shared" si="295"/>
        <v>InitUnitNormal('E111',,,,,,,,,,)</v>
      </c>
      <c r="CP38" s="58" t="str">
        <f t="shared" si="296"/>
        <v>InitUnitMagic('E111',,,,,,,,,,)</v>
      </c>
      <c r="CQ38" s="58" t="str">
        <f t="shared" si="297"/>
        <v>InitUnitAdd('E111',,,,40,,,11,,,)</v>
      </c>
      <c r="CR38" s="58" t="str">
        <f t="shared" si="298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9"/>
        <v/>
      </c>
      <c r="DC38" s="40" t="str">
        <f t="shared" si="300"/>
        <v/>
      </c>
      <c r="DD38" s="40" t="str">
        <f t="shared" si="301"/>
        <v/>
      </c>
      <c r="DE38" s="40" t="str">
        <f t="shared" si="302"/>
        <v/>
      </c>
      <c r="DF38" s="40" t="str">
        <f t="shared" si="303"/>
        <v>|n生命值+50000</v>
      </c>
      <c r="DG38" s="40" t="str">
        <f t="shared" si="304"/>
        <v/>
      </c>
      <c r="DH38" s="40" t="str">
        <f t="shared" si="305"/>
        <v>|n生命回复+1000</v>
      </c>
      <c r="DI38" s="40" t="str">
        <f t="shared" si="306"/>
        <v/>
      </c>
      <c r="DJ38" s="40" t="str">
        <f t="shared" si="307"/>
        <v>|n攻速+60%</v>
      </c>
      <c r="DK38" s="40" t="str">
        <f t="shared" si="308"/>
        <v>|n闪避+9%</v>
      </c>
      <c r="DL38" s="40" t="str">
        <f t="shared" si="309"/>
        <v/>
      </c>
      <c r="DM38" s="40" t="str">
        <f t="shared" si="310"/>
        <v/>
      </c>
      <c r="DN38" s="40" t="str">
        <f t="shared" si="311"/>
        <v/>
      </c>
      <c r="DO38" s="40" t="str">
        <f t="shared" si="312"/>
        <v/>
      </c>
      <c r="DP38" s="40" t="str">
        <f t="shared" si="313"/>
        <v/>
      </c>
      <c r="DQ38" s="40" t="str">
        <f t="shared" si="314"/>
        <v/>
      </c>
      <c r="DR38" s="40" t="str">
        <f t="shared" si="315"/>
        <v/>
      </c>
      <c r="DS38" s="40" t="str">
        <f t="shared" si="316"/>
        <v/>
      </c>
      <c r="DT38" s="40" t="str">
        <f t="shared" si="317"/>
        <v/>
      </c>
      <c r="DU38" s="40" t="str">
        <f t="shared" si="318"/>
        <v/>
      </c>
      <c r="DV38" s="40" t="str">
        <f t="shared" si="319"/>
        <v/>
      </c>
      <c r="DW38" s="40" t="str">
        <f t="shared" si="320"/>
        <v/>
      </c>
      <c r="DX38" s="40" t="str">
        <f t="shared" si="321"/>
        <v/>
      </c>
      <c r="DY38" s="40" t="str">
        <f t="shared" si="322"/>
        <v/>
      </c>
      <c r="DZ38" s="40" t="str">
        <f t="shared" si="323"/>
        <v/>
      </c>
      <c r="EA38" s="40" t="str">
        <f t="shared" si="324"/>
        <v/>
      </c>
      <c r="EB38" s="40" t="str">
        <f t="shared" si="325"/>
        <v/>
      </c>
      <c r="EC38" s="40" t="str">
        <f t="shared" si="326"/>
        <v/>
      </c>
      <c r="ED38" s="40" t="str">
        <f t="shared" si="327"/>
        <v/>
      </c>
      <c r="EE38" s="40" t="str">
        <f t="shared" si="328"/>
        <v/>
      </c>
      <c r="EF38" s="40" t="str">
        <f t="shared" si="329"/>
        <v/>
      </c>
      <c r="EG38" s="40" t="str">
        <f t="shared" si="330"/>
        <v/>
      </c>
      <c r="EH38" s="40" t="str">
        <f t="shared" si="331"/>
        <v/>
      </c>
      <c r="EI38" s="40" t="str">
        <f t="shared" si="332"/>
        <v/>
      </c>
      <c r="EJ38" s="40" t="str">
        <f t="shared" si="333"/>
        <v/>
      </c>
      <c r="EK38" s="40" t="str">
        <f t="shared" si="334"/>
        <v/>
      </c>
      <c r="EL38" s="40" t="str">
        <f t="shared" si="335"/>
        <v/>
      </c>
      <c r="EM38" s="40" t="str">
        <f t="shared" si="336"/>
        <v/>
      </c>
      <c r="EN38" s="40" t="str">
        <f t="shared" si="337"/>
        <v/>
      </c>
      <c r="EO38" s="40" t="str">
        <f t="shared" si="338"/>
        <v/>
      </c>
      <c r="EP38" s="40" t="str">
        <f t="shared" si="339"/>
        <v/>
      </c>
      <c r="EQ38" s="40" t="str">
        <f t="shared" si="340"/>
        <v/>
      </c>
      <c r="ER38" s="40" t="str">
        <f t="shared" si="341"/>
        <v/>
      </c>
      <c r="ES38" s="40" t="str">
        <f t="shared" si="342"/>
        <v/>
      </c>
      <c r="ET38" s="40" t="str">
        <f t="shared" si="343"/>
        <v>|n杀敌生命+40</v>
      </c>
      <c r="EU38" s="40" t="str">
        <f t="shared" si="344"/>
        <v/>
      </c>
      <c r="EV38" s="40" t="str">
        <f t="shared" si="345"/>
        <v/>
      </c>
      <c r="EW38" s="40" t="str">
        <f t="shared" si="346"/>
        <v>|n每秒业力+11</v>
      </c>
      <c r="EX38" s="40" t="str">
        <f t="shared" si="347"/>
        <v/>
      </c>
      <c r="EY38" s="40" t="str">
        <f t="shared" si="348"/>
        <v/>
      </c>
      <c r="EZ38" s="40" t="str">
        <f t="shared" si="349"/>
        <v/>
      </c>
      <c r="FA38" s="40" t="str">
        <f t="shared" si="350"/>
        <v/>
      </c>
      <c r="FB38" s="40" t="str">
        <f t="shared" si="351"/>
        <v/>
      </c>
      <c r="FC38" s="40" t="str">
        <f t="shared" si="352"/>
        <v/>
      </c>
      <c r="FD38" s="40" t="str">
        <f t="shared" si="353"/>
        <v/>
      </c>
      <c r="FE38" s="40" t="str">
        <f t="shared" si="354"/>
        <v/>
      </c>
      <c r="FF38" s="40" t="str">
        <f t="shared" si="355"/>
        <v/>
      </c>
      <c r="FG38" s="40" t="str">
        <f t="shared" si="356"/>
        <v/>
      </c>
      <c r="FH38" s="40" t="str">
        <f t="shared" si="357"/>
        <v/>
      </c>
      <c r="FI38" s="40" t="str">
        <f t="shared" si="358"/>
        <v/>
      </c>
      <c r="FJ38" s="40" t="str">
        <f t="shared" si="359"/>
        <v/>
      </c>
      <c r="FK38" s="40" t="str">
        <f t="shared" si="360"/>
        <v/>
      </c>
      <c r="FL38" s="40" t="str">
        <f t="shared" si="361"/>
        <v/>
      </c>
      <c r="FM38" s="40" t="str">
        <f t="shared" si="362"/>
        <v/>
      </c>
      <c r="FN38" s="40" t="str">
        <f t="shared" si="363"/>
        <v/>
      </c>
      <c r="FO38" s="40" t="str">
        <f t="shared" si="364"/>
        <v/>
      </c>
      <c r="FP38" s="40" t="str">
        <f t="shared" si="365"/>
        <v/>
      </c>
      <c r="FQ38" s="40" t="str">
        <f t="shared" si="366"/>
        <v/>
      </c>
      <c r="FR38" s="40" t="str">
        <f t="shared" si="367"/>
        <v/>
      </c>
      <c r="FS38" s="40" t="str">
        <f t="shared" si="368"/>
        <v/>
      </c>
    </row>
    <row r="39" spans="1:175" s="4" customFormat="1" ht="16.5">
      <c r="A39" s="8"/>
      <c r="B39" s="41" t="s">
        <v>202</v>
      </c>
      <c r="C39" s="128" t="s">
        <v>697</v>
      </c>
      <c r="D39" s="5">
        <v>300</v>
      </c>
      <c r="E39" s="43"/>
      <c r="F39" s="44"/>
      <c r="G39" s="45">
        <v>50</v>
      </c>
      <c r="H39" s="45"/>
      <c r="I39" s="45" t="str">
        <f t="shared" si="369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201</v>
      </c>
      <c r="V39" s="52"/>
      <c r="W39" s="52"/>
      <c r="X39" s="52"/>
      <c r="Y39" s="52"/>
      <c r="Z39" s="52">
        <v>65000</v>
      </c>
      <c r="AA39" s="52"/>
      <c r="AB39" s="52">
        <f t="shared" si="293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9"/>
        <v/>
      </c>
      <c r="DC39" s="40" t="str">
        <f t="shared" si="300"/>
        <v/>
      </c>
      <c r="DD39" s="40" t="str">
        <f t="shared" si="301"/>
        <v/>
      </c>
      <c r="DE39" s="40" t="str">
        <f t="shared" si="302"/>
        <v/>
      </c>
      <c r="DF39" s="40" t="str">
        <f t="shared" si="303"/>
        <v>|n生命值+65000</v>
      </c>
      <c r="DG39" s="40" t="str">
        <f t="shared" si="304"/>
        <v/>
      </c>
      <c r="DH39" s="40" t="str">
        <f t="shared" si="305"/>
        <v>|n生命回复+1300</v>
      </c>
      <c r="DI39" s="40" t="str">
        <f t="shared" si="306"/>
        <v/>
      </c>
      <c r="DJ39" s="40" t="str">
        <f t="shared" si="307"/>
        <v>|n攻速+65%</v>
      </c>
      <c r="DK39" s="40" t="str">
        <f t="shared" si="308"/>
        <v>|n闪避+9%</v>
      </c>
      <c r="DL39" s="40" t="str">
        <f t="shared" si="309"/>
        <v/>
      </c>
      <c r="DM39" s="40" t="str">
        <f t="shared" si="310"/>
        <v/>
      </c>
      <c r="DN39" s="40" t="str">
        <f t="shared" si="311"/>
        <v/>
      </c>
      <c r="DO39" s="40" t="str">
        <f t="shared" si="312"/>
        <v/>
      </c>
      <c r="DP39" s="40" t="str">
        <f t="shared" si="313"/>
        <v/>
      </c>
      <c r="DQ39" s="40" t="str">
        <f t="shared" si="314"/>
        <v/>
      </c>
      <c r="DR39" s="40" t="str">
        <f t="shared" si="315"/>
        <v/>
      </c>
      <c r="DS39" s="40" t="str">
        <f t="shared" si="316"/>
        <v/>
      </c>
      <c r="DT39" s="40" t="str">
        <f t="shared" si="317"/>
        <v/>
      </c>
      <c r="DU39" s="40" t="str">
        <f t="shared" si="318"/>
        <v/>
      </c>
      <c r="DV39" s="40" t="str">
        <f t="shared" si="319"/>
        <v/>
      </c>
      <c r="DW39" s="40" t="str">
        <f t="shared" si="320"/>
        <v/>
      </c>
      <c r="DX39" s="40" t="str">
        <f t="shared" si="321"/>
        <v/>
      </c>
      <c r="DY39" s="40" t="str">
        <f t="shared" si="322"/>
        <v/>
      </c>
      <c r="DZ39" s="40" t="str">
        <f t="shared" si="323"/>
        <v/>
      </c>
      <c r="EA39" s="40" t="str">
        <f t="shared" si="324"/>
        <v/>
      </c>
      <c r="EB39" s="40" t="str">
        <f t="shared" si="325"/>
        <v/>
      </c>
      <c r="EC39" s="40" t="str">
        <f t="shared" si="326"/>
        <v/>
      </c>
      <c r="ED39" s="40" t="str">
        <f t="shared" si="327"/>
        <v/>
      </c>
      <c r="EE39" s="40" t="str">
        <f t="shared" si="328"/>
        <v/>
      </c>
      <c r="EF39" s="40" t="str">
        <f t="shared" si="329"/>
        <v/>
      </c>
      <c r="EG39" s="40" t="str">
        <f t="shared" si="330"/>
        <v/>
      </c>
      <c r="EH39" s="40" t="str">
        <f t="shared" si="331"/>
        <v/>
      </c>
      <c r="EI39" s="40" t="str">
        <f t="shared" si="332"/>
        <v/>
      </c>
      <c r="EJ39" s="40" t="str">
        <f t="shared" si="333"/>
        <v/>
      </c>
      <c r="EK39" s="40" t="str">
        <f t="shared" si="334"/>
        <v/>
      </c>
      <c r="EL39" s="40" t="str">
        <f t="shared" si="335"/>
        <v/>
      </c>
      <c r="EM39" s="40" t="str">
        <f t="shared" si="336"/>
        <v/>
      </c>
      <c r="EN39" s="40" t="str">
        <f t="shared" si="337"/>
        <v/>
      </c>
      <c r="EO39" s="40" t="str">
        <f t="shared" si="338"/>
        <v/>
      </c>
      <c r="EP39" s="40" t="str">
        <f t="shared" si="339"/>
        <v/>
      </c>
      <c r="EQ39" s="40" t="str">
        <f t="shared" si="340"/>
        <v/>
      </c>
      <c r="ER39" s="40" t="str">
        <f t="shared" si="341"/>
        <v/>
      </c>
      <c r="ES39" s="40" t="str">
        <f t="shared" si="342"/>
        <v/>
      </c>
      <c r="ET39" s="40" t="str">
        <f t="shared" si="343"/>
        <v>|n杀敌生命+45</v>
      </c>
      <c r="EU39" s="40" t="str">
        <f t="shared" si="344"/>
        <v/>
      </c>
      <c r="EV39" s="40" t="str">
        <f t="shared" si="345"/>
        <v/>
      </c>
      <c r="EW39" s="40" t="str">
        <f t="shared" si="346"/>
        <v>|n每秒业力+12</v>
      </c>
      <c r="EX39" s="40" t="str">
        <f t="shared" si="347"/>
        <v/>
      </c>
      <c r="EY39" s="40" t="str">
        <f t="shared" si="348"/>
        <v/>
      </c>
      <c r="EZ39" s="40" t="str">
        <f t="shared" si="349"/>
        <v/>
      </c>
      <c r="FA39" s="40" t="str">
        <f t="shared" si="350"/>
        <v/>
      </c>
      <c r="FB39" s="40" t="str">
        <f t="shared" si="351"/>
        <v/>
      </c>
      <c r="FC39" s="40" t="str">
        <f t="shared" si="352"/>
        <v/>
      </c>
      <c r="FD39" s="40" t="str">
        <f t="shared" si="353"/>
        <v/>
      </c>
      <c r="FE39" s="40" t="str">
        <f t="shared" si="354"/>
        <v/>
      </c>
      <c r="FF39" s="40" t="str">
        <f t="shared" si="355"/>
        <v/>
      </c>
      <c r="FG39" s="40" t="str">
        <f t="shared" si="356"/>
        <v/>
      </c>
      <c r="FH39" s="40" t="str">
        <f t="shared" si="357"/>
        <v/>
      </c>
      <c r="FI39" s="40" t="str">
        <f t="shared" si="358"/>
        <v/>
      </c>
      <c r="FJ39" s="40" t="str">
        <f t="shared" si="359"/>
        <v/>
      </c>
      <c r="FK39" s="40" t="str">
        <f t="shared" si="360"/>
        <v/>
      </c>
      <c r="FL39" s="40" t="str">
        <f t="shared" si="361"/>
        <v/>
      </c>
      <c r="FM39" s="40" t="str">
        <f t="shared" si="362"/>
        <v/>
      </c>
      <c r="FN39" s="40" t="str">
        <f t="shared" si="363"/>
        <v/>
      </c>
      <c r="FO39" s="40" t="str">
        <f t="shared" si="364"/>
        <v/>
      </c>
      <c r="FP39" s="40" t="str">
        <f t="shared" si="365"/>
        <v/>
      </c>
      <c r="FQ39" s="40" t="str">
        <f t="shared" si="366"/>
        <v/>
      </c>
      <c r="FR39" s="40" t="str">
        <f t="shared" si="367"/>
        <v/>
      </c>
      <c r="FS39" s="40" t="str">
        <f t="shared" si="368"/>
        <v/>
      </c>
    </row>
    <row r="40" spans="1:175" s="4" customFormat="1" ht="16.5">
      <c r="A40" s="8"/>
      <c r="B40" s="41" t="s">
        <v>203</v>
      </c>
      <c r="C40" s="128" t="s">
        <v>698</v>
      </c>
      <c r="D40" s="5">
        <v>300</v>
      </c>
      <c r="E40" s="43"/>
      <c r="F40" s="44"/>
      <c r="G40" s="45">
        <v>50</v>
      </c>
      <c r="H40" s="45"/>
      <c r="I40" s="45" t="str">
        <f t="shared" si="369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201</v>
      </c>
      <c r="V40" s="52"/>
      <c r="W40" s="52"/>
      <c r="X40" s="52"/>
      <c r="Y40" s="52"/>
      <c r="Z40" s="52">
        <v>80000</v>
      </c>
      <c r="AA40" s="52"/>
      <c r="AB40" s="52">
        <f t="shared" si="293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9"/>
        <v/>
      </c>
      <c r="DC40" s="40" t="str">
        <f t="shared" si="300"/>
        <v/>
      </c>
      <c r="DD40" s="40" t="str">
        <f t="shared" si="301"/>
        <v/>
      </c>
      <c r="DE40" s="40" t="str">
        <f t="shared" si="302"/>
        <v/>
      </c>
      <c r="DF40" s="40" t="str">
        <f t="shared" si="303"/>
        <v>|n生命值+80000</v>
      </c>
      <c r="DG40" s="40" t="str">
        <f t="shared" si="304"/>
        <v/>
      </c>
      <c r="DH40" s="40" t="str">
        <f t="shared" si="305"/>
        <v>|n生命回复+1600</v>
      </c>
      <c r="DI40" s="40" t="str">
        <f t="shared" si="306"/>
        <v/>
      </c>
      <c r="DJ40" s="40" t="str">
        <f t="shared" si="307"/>
        <v>|n攻速+70%</v>
      </c>
      <c r="DK40" s="40" t="str">
        <f t="shared" si="308"/>
        <v>|n闪避+9%</v>
      </c>
      <c r="DL40" s="40" t="str">
        <f t="shared" si="309"/>
        <v/>
      </c>
      <c r="DM40" s="40" t="str">
        <f t="shared" si="310"/>
        <v/>
      </c>
      <c r="DN40" s="40" t="str">
        <f t="shared" si="311"/>
        <v/>
      </c>
      <c r="DO40" s="40" t="str">
        <f t="shared" si="312"/>
        <v/>
      </c>
      <c r="DP40" s="40" t="str">
        <f t="shared" si="313"/>
        <v/>
      </c>
      <c r="DQ40" s="40" t="str">
        <f t="shared" si="314"/>
        <v/>
      </c>
      <c r="DR40" s="40" t="str">
        <f t="shared" si="315"/>
        <v/>
      </c>
      <c r="DS40" s="40" t="str">
        <f t="shared" si="316"/>
        <v/>
      </c>
      <c r="DT40" s="40" t="str">
        <f t="shared" si="317"/>
        <v/>
      </c>
      <c r="DU40" s="40" t="str">
        <f t="shared" si="318"/>
        <v/>
      </c>
      <c r="DV40" s="40" t="str">
        <f t="shared" si="319"/>
        <v/>
      </c>
      <c r="DW40" s="40" t="str">
        <f t="shared" si="320"/>
        <v/>
      </c>
      <c r="DX40" s="40" t="str">
        <f t="shared" si="321"/>
        <v/>
      </c>
      <c r="DY40" s="40" t="str">
        <f t="shared" si="322"/>
        <v/>
      </c>
      <c r="DZ40" s="40" t="str">
        <f t="shared" si="323"/>
        <v/>
      </c>
      <c r="EA40" s="40" t="str">
        <f t="shared" si="324"/>
        <v/>
      </c>
      <c r="EB40" s="40" t="str">
        <f t="shared" si="325"/>
        <v/>
      </c>
      <c r="EC40" s="40" t="str">
        <f t="shared" si="326"/>
        <v/>
      </c>
      <c r="ED40" s="40" t="str">
        <f t="shared" si="327"/>
        <v/>
      </c>
      <c r="EE40" s="40" t="str">
        <f t="shared" si="328"/>
        <v/>
      </c>
      <c r="EF40" s="40" t="str">
        <f t="shared" si="329"/>
        <v/>
      </c>
      <c r="EG40" s="40" t="str">
        <f t="shared" si="330"/>
        <v/>
      </c>
      <c r="EH40" s="40" t="str">
        <f t="shared" si="331"/>
        <v/>
      </c>
      <c r="EI40" s="40" t="str">
        <f t="shared" si="332"/>
        <v/>
      </c>
      <c r="EJ40" s="40" t="str">
        <f t="shared" si="333"/>
        <v/>
      </c>
      <c r="EK40" s="40" t="str">
        <f t="shared" si="334"/>
        <v/>
      </c>
      <c r="EL40" s="40" t="str">
        <f t="shared" si="335"/>
        <v/>
      </c>
      <c r="EM40" s="40" t="str">
        <f t="shared" si="336"/>
        <v/>
      </c>
      <c r="EN40" s="40" t="str">
        <f t="shared" si="337"/>
        <v/>
      </c>
      <c r="EO40" s="40" t="str">
        <f t="shared" si="338"/>
        <v/>
      </c>
      <c r="EP40" s="40" t="str">
        <f t="shared" si="339"/>
        <v/>
      </c>
      <c r="EQ40" s="40" t="str">
        <f t="shared" si="340"/>
        <v/>
      </c>
      <c r="ER40" s="40" t="str">
        <f t="shared" si="341"/>
        <v/>
      </c>
      <c r="ES40" s="40" t="str">
        <f t="shared" si="342"/>
        <v/>
      </c>
      <c r="ET40" s="40" t="str">
        <f t="shared" si="343"/>
        <v>|n杀敌生命+50</v>
      </c>
      <c r="EU40" s="40" t="str">
        <f t="shared" si="344"/>
        <v/>
      </c>
      <c r="EV40" s="40" t="str">
        <f t="shared" si="345"/>
        <v/>
      </c>
      <c r="EW40" s="40" t="str">
        <f t="shared" si="346"/>
        <v>|n每秒业力+13</v>
      </c>
      <c r="EX40" s="40" t="str">
        <f t="shared" si="347"/>
        <v/>
      </c>
      <c r="EY40" s="40" t="str">
        <f t="shared" si="348"/>
        <v/>
      </c>
      <c r="EZ40" s="40" t="str">
        <f t="shared" si="349"/>
        <v/>
      </c>
      <c r="FA40" s="40" t="str">
        <f t="shared" si="350"/>
        <v/>
      </c>
      <c r="FB40" s="40" t="str">
        <f t="shared" si="351"/>
        <v/>
      </c>
      <c r="FC40" s="40" t="str">
        <f t="shared" si="352"/>
        <v/>
      </c>
      <c r="FD40" s="40" t="str">
        <f t="shared" si="353"/>
        <v/>
      </c>
      <c r="FE40" s="40" t="str">
        <f t="shared" si="354"/>
        <v/>
      </c>
      <c r="FF40" s="40" t="str">
        <f t="shared" si="355"/>
        <v/>
      </c>
      <c r="FG40" s="40" t="str">
        <f t="shared" si="356"/>
        <v/>
      </c>
      <c r="FH40" s="40" t="str">
        <f t="shared" si="357"/>
        <v/>
      </c>
      <c r="FI40" s="40" t="str">
        <f t="shared" si="358"/>
        <v/>
      </c>
      <c r="FJ40" s="40" t="str">
        <f t="shared" si="359"/>
        <v/>
      </c>
      <c r="FK40" s="40" t="str">
        <f t="shared" si="360"/>
        <v/>
      </c>
      <c r="FL40" s="40" t="str">
        <f t="shared" si="361"/>
        <v/>
      </c>
      <c r="FM40" s="40" t="str">
        <f t="shared" si="362"/>
        <v/>
      </c>
      <c r="FN40" s="40" t="str">
        <f t="shared" si="363"/>
        <v/>
      </c>
      <c r="FO40" s="40" t="str">
        <f t="shared" si="364"/>
        <v/>
      </c>
      <c r="FP40" s="40" t="str">
        <f t="shared" si="365"/>
        <v/>
      </c>
      <c r="FQ40" s="40" t="str">
        <f t="shared" si="366"/>
        <v/>
      </c>
      <c r="FR40" s="40" t="str">
        <f t="shared" si="367"/>
        <v/>
      </c>
      <c r="FS40" s="40" t="str">
        <f t="shared" si="368"/>
        <v/>
      </c>
    </row>
    <row r="41" spans="1:175" s="4" customFormat="1" ht="16.5">
      <c r="A41" s="8"/>
      <c r="B41" s="41" t="s">
        <v>204</v>
      </c>
      <c r="C41" s="128" t="s">
        <v>699</v>
      </c>
      <c r="D41" s="5">
        <v>300</v>
      </c>
      <c r="E41" s="43"/>
      <c r="F41" s="44"/>
      <c r="G41" s="45">
        <v>50</v>
      </c>
      <c r="H41" s="45"/>
      <c r="I41" s="45" t="str">
        <f t="shared" si="369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201</v>
      </c>
      <c r="V41" s="52"/>
      <c r="W41" s="52"/>
      <c r="X41" s="52"/>
      <c r="Y41" s="52"/>
      <c r="Z41" s="52">
        <v>95000</v>
      </c>
      <c r="AA41" s="52"/>
      <c r="AB41" s="52">
        <f t="shared" si="293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9"/>
        <v/>
      </c>
      <c r="DC41" s="40" t="str">
        <f t="shared" si="300"/>
        <v/>
      </c>
      <c r="DD41" s="40" t="str">
        <f t="shared" si="301"/>
        <v/>
      </c>
      <c r="DE41" s="40" t="str">
        <f t="shared" si="302"/>
        <v/>
      </c>
      <c r="DF41" s="40" t="str">
        <f t="shared" si="303"/>
        <v>|n生命值+95000</v>
      </c>
      <c r="DG41" s="40" t="str">
        <f t="shared" si="304"/>
        <v/>
      </c>
      <c r="DH41" s="40" t="str">
        <f t="shared" si="305"/>
        <v>|n生命回复+1900</v>
      </c>
      <c r="DI41" s="40" t="str">
        <f t="shared" si="306"/>
        <v/>
      </c>
      <c r="DJ41" s="40" t="str">
        <f t="shared" si="307"/>
        <v>|n攻速+75%</v>
      </c>
      <c r="DK41" s="40" t="str">
        <f t="shared" si="308"/>
        <v>|n闪避+9%</v>
      </c>
      <c r="DL41" s="40" t="str">
        <f t="shared" si="309"/>
        <v/>
      </c>
      <c r="DM41" s="40" t="str">
        <f t="shared" si="310"/>
        <v/>
      </c>
      <c r="DN41" s="40" t="str">
        <f t="shared" si="311"/>
        <v/>
      </c>
      <c r="DO41" s="40" t="str">
        <f t="shared" si="312"/>
        <v/>
      </c>
      <c r="DP41" s="40" t="str">
        <f t="shared" si="313"/>
        <v/>
      </c>
      <c r="DQ41" s="40" t="str">
        <f t="shared" si="314"/>
        <v/>
      </c>
      <c r="DR41" s="40" t="str">
        <f t="shared" si="315"/>
        <v/>
      </c>
      <c r="DS41" s="40" t="str">
        <f t="shared" si="316"/>
        <v/>
      </c>
      <c r="DT41" s="40" t="str">
        <f t="shared" si="317"/>
        <v/>
      </c>
      <c r="DU41" s="40" t="str">
        <f t="shared" si="318"/>
        <v/>
      </c>
      <c r="DV41" s="40" t="str">
        <f t="shared" si="319"/>
        <v/>
      </c>
      <c r="DW41" s="40" t="str">
        <f t="shared" si="320"/>
        <v/>
      </c>
      <c r="DX41" s="40" t="str">
        <f t="shared" si="321"/>
        <v/>
      </c>
      <c r="DY41" s="40" t="str">
        <f t="shared" si="322"/>
        <v/>
      </c>
      <c r="DZ41" s="40" t="str">
        <f t="shared" si="323"/>
        <v/>
      </c>
      <c r="EA41" s="40" t="str">
        <f t="shared" si="324"/>
        <v/>
      </c>
      <c r="EB41" s="40" t="str">
        <f t="shared" si="325"/>
        <v/>
      </c>
      <c r="EC41" s="40" t="str">
        <f t="shared" si="326"/>
        <v/>
      </c>
      <c r="ED41" s="40" t="str">
        <f t="shared" si="327"/>
        <v/>
      </c>
      <c r="EE41" s="40" t="str">
        <f t="shared" si="328"/>
        <v/>
      </c>
      <c r="EF41" s="40" t="str">
        <f t="shared" si="329"/>
        <v/>
      </c>
      <c r="EG41" s="40" t="str">
        <f t="shared" si="330"/>
        <v/>
      </c>
      <c r="EH41" s="40" t="str">
        <f t="shared" si="331"/>
        <v/>
      </c>
      <c r="EI41" s="40" t="str">
        <f t="shared" si="332"/>
        <v/>
      </c>
      <c r="EJ41" s="40" t="str">
        <f t="shared" si="333"/>
        <v/>
      </c>
      <c r="EK41" s="40" t="str">
        <f t="shared" si="334"/>
        <v/>
      </c>
      <c r="EL41" s="40" t="str">
        <f t="shared" si="335"/>
        <v/>
      </c>
      <c r="EM41" s="40" t="str">
        <f t="shared" si="336"/>
        <v/>
      </c>
      <c r="EN41" s="40" t="str">
        <f t="shared" si="337"/>
        <v/>
      </c>
      <c r="EO41" s="40" t="str">
        <f t="shared" si="338"/>
        <v/>
      </c>
      <c r="EP41" s="40" t="str">
        <f t="shared" si="339"/>
        <v/>
      </c>
      <c r="EQ41" s="40" t="str">
        <f t="shared" si="340"/>
        <v/>
      </c>
      <c r="ER41" s="40" t="str">
        <f t="shared" si="341"/>
        <v/>
      </c>
      <c r="ES41" s="40" t="str">
        <f t="shared" si="342"/>
        <v/>
      </c>
      <c r="ET41" s="40" t="str">
        <f t="shared" si="343"/>
        <v>|n杀敌生命+55</v>
      </c>
      <c r="EU41" s="40" t="str">
        <f t="shared" si="344"/>
        <v/>
      </c>
      <c r="EV41" s="40" t="str">
        <f t="shared" si="345"/>
        <v/>
      </c>
      <c r="EW41" s="40" t="str">
        <f t="shared" si="346"/>
        <v>|n每秒业力+14</v>
      </c>
      <c r="EX41" s="40" t="str">
        <f t="shared" si="347"/>
        <v/>
      </c>
      <c r="EY41" s="40" t="str">
        <f t="shared" si="348"/>
        <v/>
      </c>
      <c r="EZ41" s="40" t="str">
        <f t="shared" si="349"/>
        <v/>
      </c>
      <c r="FA41" s="40" t="str">
        <f t="shared" si="350"/>
        <v/>
      </c>
      <c r="FB41" s="40" t="str">
        <f t="shared" si="351"/>
        <v/>
      </c>
      <c r="FC41" s="40" t="str">
        <f t="shared" si="352"/>
        <v/>
      </c>
      <c r="FD41" s="40" t="str">
        <f t="shared" si="353"/>
        <v/>
      </c>
      <c r="FE41" s="40" t="str">
        <f t="shared" si="354"/>
        <v/>
      </c>
      <c r="FF41" s="40" t="str">
        <f t="shared" si="355"/>
        <v/>
      </c>
      <c r="FG41" s="40" t="str">
        <f t="shared" si="356"/>
        <v/>
      </c>
      <c r="FH41" s="40" t="str">
        <f t="shared" si="357"/>
        <v/>
      </c>
      <c r="FI41" s="40" t="str">
        <f t="shared" si="358"/>
        <v/>
      </c>
      <c r="FJ41" s="40" t="str">
        <f t="shared" si="359"/>
        <v/>
      </c>
      <c r="FK41" s="40" t="str">
        <f t="shared" si="360"/>
        <v/>
      </c>
      <c r="FL41" s="40" t="str">
        <f t="shared" si="361"/>
        <v/>
      </c>
      <c r="FM41" s="40" t="str">
        <f t="shared" si="362"/>
        <v/>
      </c>
      <c r="FN41" s="40" t="str">
        <f t="shared" si="363"/>
        <v/>
      </c>
      <c r="FO41" s="40" t="str">
        <f t="shared" si="364"/>
        <v/>
      </c>
      <c r="FP41" s="40" t="str">
        <f t="shared" si="365"/>
        <v/>
      </c>
      <c r="FQ41" s="40" t="str">
        <f t="shared" si="366"/>
        <v/>
      </c>
      <c r="FR41" s="40" t="str">
        <f t="shared" si="367"/>
        <v/>
      </c>
      <c r="FS41" s="40" t="str">
        <f t="shared" si="368"/>
        <v/>
      </c>
    </row>
    <row r="42" spans="1:175" s="4" customFormat="1" ht="16.5">
      <c r="A42" s="8"/>
      <c r="B42" s="41" t="s">
        <v>205</v>
      </c>
      <c r="C42" s="128" t="s">
        <v>700</v>
      </c>
      <c r="D42" s="5">
        <v>300</v>
      </c>
      <c r="E42" s="43"/>
      <c r="F42" s="44"/>
      <c r="G42" s="45">
        <v>50</v>
      </c>
      <c r="H42" s="45"/>
      <c r="I42" s="45" t="str">
        <f t="shared" si="369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201</v>
      </c>
      <c r="V42" s="52"/>
      <c r="W42" s="52"/>
      <c r="X42"/>
      <c r="Y42" s="52"/>
      <c r="Z42" s="52">
        <v>105000</v>
      </c>
      <c r="AA42" s="52"/>
      <c r="AB42" s="52">
        <f t="shared" si="293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9"/>
        <v/>
      </c>
      <c r="DC42" s="40" t="str">
        <f t="shared" si="300"/>
        <v/>
      </c>
      <c r="DD42" s="40" t="str">
        <f t="shared" si="301"/>
        <v/>
      </c>
      <c r="DE42" s="40" t="str">
        <f t="shared" si="302"/>
        <v/>
      </c>
      <c r="DF42" s="40" t="str">
        <f t="shared" si="303"/>
        <v>|n生命值+105000</v>
      </c>
      <c r="DG42" s="40" t="str">
        <f t="shared" si="304"/>
        <v/>
      </c>
      <c r="DH42" s="40" t="str">
        <f t="shared" si="305"/>
        <v>|n生命回复+2100</v>
      </c>
      <c r="DI42" s="40" t="str">
        <f t="shared" si="306"/>
        <v/>
      </c>
      <c r="DJ42" s="40" t="str">
        <f t="shared" si="307"/>
        <v>|n攻速+80%</v>
      </c>
      <c r="DK42" s="40" t="str">
        <f t="shared" si="308"/>
        <v>|n闪避+9%</v>
      </c>
      <c r="DL42" s="40" t="str">
        <f t="shared" si="309"/>
        <v/>
      </c>
      <c r="DM42" s="40" t="str">
        <f t="shared" si="310"/>
        <v/>
      </c>
      <c r="DN42" s="40" t="str">
        <f t="shared" si="311"/>
        <v/>
      </c>
      <c r="DO42" s="40" t="str">
        <f t="shared" si="312"/>
        <v/>
      </c>
      <c r="DP42" s="40" t="str">
        <f t="shared" si="313"/>
        <v/>
      </c>
      <c r="DQ42" s="40" t="str">
        <f t="shared" si="314"/>
        <v/>
      </c>
      <c r="DR42" s="40" t="str">
        <f t="shared" si="315"/>
        <v/>
      </c>
      <c r="DS42" s="40" t="str">
        <f t="shared" si="316"/>
        <v/>
      </c>
      <c r="DT42" s="40" t="str">
        <f t="shared" si="317"/>
        <v/>
      </c>
      <c r="DU42" s="40" t="str">
        <f t="shared" si="318"/>
        <v/>
      </c>
      <c r="DV42" s="40" t="str">
        <f t="shared" si="319"/>
        <v/>
      </c>
      <c r="DW42" s="40" t="str">
        <f t="shared" si="320"/>
        <v/>
      </c>
      <c r="DX42" s="40" t="str">
        <f t="shared" si="321"/>
        <v/>
      </c>
      <c r="DY42" s="40" t="str">
        <f t="shared" si="322"/>
        <v/>
      </c>
      <c r="DZ42" s="40" t="str">
        <f t="shared" si="323"/>
        <v/>
      </c>
      <c r="EA42" s="40" t="str">
        <f t="shared" si="324"/>
        <v/>
      </c>
      <c r="EB42" s="40" t="str">
        <f t="shared" si="325"/>
        <v/>
      </c>
      <c r="EC42" s="40" t="str">
        <f t="shared" si="326"/>
        <v/>
      </c>
      <c r="ED42" s="40" t="str">
        <f t="shared" si="327"/>
        <v/>
      </c>
      <c r="EE42" s="40" t="str">
        <f t="shared" si="328"/>
        <v/>
      </c>
      <c r="EF42" s="40" t="str">
        <f t="shared" si="329"/>
        <v/>
      </c>
      <c r="EG42" s="40" t="str">
        <f t="shared" si="330"/>
        <v/>
      </c>
      <c r="EH42" s="40" t="str">
        <f t="shared" si="331"/>
        <v/>
      </c>
      <c r="EI42" s="40" t="str">
        <f t="shared" si="332"/>
        <v/>
      </c>
      <c r="EJ42" s="40" t="str">
        <f t="shared" si="333"/>
        <v/>
      </c>
      <c r="EK42" s="40" t="str">
        <f t="shared" si="334"/>
        <v/>
      </c>
      <c r="EL42" s="40" t="str">
        <f t="shared" si="335"/>
        <v/>
      </c>
      <c r="EM42" s="40" t="str">
        <f t="shared" si="336"/>
        <v/>
      </c>
      <c r="EN42" s="40" t="str">
        <f t="shared" si="337"/>
        <v/>
      </c>
      <c r="EO42" s="40" t="str">
        <f t="shared" si="338"/>
        <v/>
      </c>
      <c r="EP42" s="40" t="str">
        <f t="shared" si="339"/>
        <v/>
      </c>
      <c r="EQ42" s="40" t="str">
        <f t="shared" si="340"/>
        <v/>
      </c>
      <c r="ER42" s="40" t="str">
        <f t="shared" si="341"/>
        <v/>
      </c>
      <c r="ES42" s="40" t="str">
        <f t="shared" si="342"/>
        <v/>
      </c>
      <c r="ET42" s="40" t="str">
        <f t="shared" si="343"/>
        <v>|n杀敌生命+60</v>
      </c>
      <c r="EU42" s="40" t="str">
        <f t="shared" si="344"/>
        <v/>
      </c>
      <c r="EV42" s="40" t="str">
        <f t="shared" si="345"/>
        <v/>
      </c>
      <c r="EW42" s="40" t="str">
        <f t="shared" si="346"/>
        <v>|n每秒业力+15</v>
      </c>
      <c r="EX42" s="40" t="str">
        <f t="shared" si="347"/>
        <v/>
      </c>
      <c r="EY42" s="40" t="str">
        <f t="shared" si="348"/>
        <v/>
      </c>
      <c r="EZ42" s="40" t="str">
        <f t="shared" si="349"/>
        <v/>
      </c>
      <c r="FA42" s="40" t="str">
        <f t="shared" si="350"/>
        <v/>
      </c>
      <c r="FB42" s="40" t="str">
        <f t="shared" si="351"/>
        <v/>
      </c>
      <c r="FC42" s="40" t="str">
        <f t="shared" si="352"/>
        <v/>
      </c>
      <c r="FD42" s="40" t="str">
        <f t="shared" si="353"/>
        <v/>
      </c>
      <c r="FE42" s="40" t="str">
        <f t="shared" si="354"/>
        <v/>
      </c>
      <c r="FF42" s="40" t="str">
        <f t="shared" si="355"/>
        <v/>
      </c>
      <c r="FG42" s="40" t="str">
        <f t="shared" si="356"/>
        <v/>
      </c>
      <c r="FH42" s="40" t="str">
        <f t="shared" si="357"/>
        <v/>
      </c>
      <c r="FI42" s="40" t="str">
        <f t="shared" si="358"/>
        <v/>
      </c>
      <c r="FJ42" s="40" t="str">
        <f t="shared" si="359"/>
        <v/>
      </c>
      <c r="FK42" s="40" t="str">
        <f t="shared" si="360"/>
        <v/>
      </c>
      <c r="FL42" s="40" t="str">
        <f t="shared" si="361"/>
        <v/>
      </c>
      <c r="FM42" s="40" t="str">
        <f t="shared" si="362"/>
        <v/>
      </c>
      <c r="FN42" s="40" t="str">
        <f t="shared" si="363"/>
        <v/>
      </c>
      <c r="FO42" s="40" t="str">
        <f t="shared" si="364"/>
        <v/>
      </c>
      <c r="FP42" s="40" t="str">
        <f t="shared" si="365"/>
        <v/>
      </c>
      <c r="FQ42" s="40" t="str">
        <f t="shared" si="366"/>
        <v/>
      </c>
      <c r="FR42" s="40" t="str">
        <f t="shared" si="367"/>
        <v/>
      </c>
      <c r="FS42" s="40" t="str">
        <f t="shared" si="368"/>
        <v/>
      </c>
    </row>
    <row r="43" spans="1:175" s="4" customFormat="1" ht="16.5">
      <c r="A43" s="8"/>
      <c r="B43" s="41" t="s">
        <v>206</v>
      </c>
      <c r="C43" s="128" t="s">
        <v>701</v>
      </c>
      <c r="D43" s="5">
        <v>400</v>
      </c>
      <c r="E43" s="43"/>
      <c r="F43" s="44"/>
      <c r="G43" s="45">
        <v>50</v>
      </c>
      <c r="H43" s="45"/>
      <c r="I43" s="45" t="str">
        <f t="shared" si="369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207</v>
      </c>
      <c r="V43" s="52"/>
      <c r="W43" s="52"/>
      <c r="X43"/>
      <c r="Y43" s="52"/>
      <c r="Z43" s="52">
        <v>150000</v>
      </c>
      <c r="AA43" s="52"/>
      <c r="AB43" s="52">
        <f t="shared" si="293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9"/>
        <v/>
      </c>
      <c r="DC43" s="40" t="str">
        <f t="shared" si="300"/>
        <v/>
      </c>
      <c r="DD43" s="40" t="str">
        <f t="shared" si="301"/>
        <v/>
      </c>
      <c r="DE43" s="40" t="str">
        <f t="shared" si="302"/>
        <v/>
      </c>
      <c r="DF43" s="40" t="str">
        <f t="shared" si="303"/>
        <v>|n生命值+150000</v>
      </c>
      <c r="DG43" s="40" t="str">
        <f t="shared" si="304"/>
        <v/>
      </c>
      <c r="DH43" s="40" t="str">
        <f t="shared" si="305"/>
        <v>|n生命回复+3000</v>
      </c>
      <c r="DI43" s="40" t="str">
        <f t="shared" si="306"/>
        <v/>
      </c>
      <c r="DJ43" s="40" t="str">
        <f t="shared" si="307"/>
        <v>|n攻速+85%</v>
      </c>
      <c r="DK43" s="40" t="str">
        <f t="shared" si="308"/>
        <v>|n闪避+12%</v>
      </c>
      <c r="DL43" s="40" t="str">
        <f t="shared" si="309"/>
        <v/>
      </c>
      <c r="DM43" s="40" t="str">
        <f t="shared" si="310"/>
        <v/>
      </c>
      <c r="DN43" s="40" t="str">
        <f t="shared" si="311"/>
        <v/>
      </c>
      <c r="DO43" s="40" t="str">
        <f t="shared" si="312"/>
        <v/>
      </c>
      <c r="DP43" s="40" t="str">
        <f t="shared" si="313"/>
        <v/>
      </c>
      <c r="DQ43" s="40" t="str">
        <f t="shared" si="314"/>
        <v/>
      </c>
      <c r="DR43" s="40" t="str">
        <f t="shared" si="315"/>
        <v/>
      </c>
      <c r="DS43" s="40" t="str">
        <f t="shared" si="316"/>
        <v/>
      </c>
      <c r="DT43" s="40" t="str">
        <f t="shared" si="317"/>
        <v/>
      </c>
      <c r="DU43" s="40" t="str">
        <f t="shared" si="318"/>
        <v/>
      </c>
      <c r="DV43" s="40" t="str">
        <f t="shared" si="319"/>
        <v/>
      </c>
      <c r="DW43" s="40" t="str">
        <f t="shared" si="320"/>
        <v/>
      </c>
      <c r="DX43" s="40" t="str">
        <f t="shared" si="321"/>
        <v/>
      </c>
      <c r="DY43" s="40" t="str">
        <f t="shared" si="322"/>
        <v/>
      </c>
      <c r="DZ43" s="40" t="str">
        <f t="shared" si="323"/>
        <v/>
      </c>
      <c r="EA43" s="40" t="str">
        <f t="shared" si="324"/>
        <v/>
      </c>
      <c r="EB43" s="40" t="str">
        <f t="shared" si="325"/>
        <v/>
      </c>
      <c r="EC43" s="40" t="str">
        <f t="shared" si="326"/>
        <v/>
      </c>
      <c r="ED43" s="40" t="str">
        <f t="shared" si="327"/>
        <v/>
      </c>
      <c r="EE43" s="40" t="str">
        <f t="shared" si="328"/>
        <v/>
      </c>
      <c r="EF43" s="40" t="str">
        <f t="shared" si="329"/>
        <v/>
      </c>
      <c r="EG43" s="40" t="str">
        <f t="shared" si="330"/>
        <v/>
      </c>
      <c r="EH43" s="40" t="str">
        <f t="shared" si="331"/>
        <v/>
      </c>
      <c r="EI43" s="40" t="str">
        <f t="shared" si="332"/>
        <v/>
      </c>
      <c r="EJ43" s="40" t="str">
        <f t="shared" si="333"/>
        <v/>
      </c>
      <c r="EK43" s="40" t="str">
        <f t="shared" si="334"/>
        <v/>
      </c>
      <c r="EL43" s="40" t="str">
        <f t="shared" si="335"/>
        <v/>
      </c>
      <c r="EM43" s="40" t="str">
        <f t="shared" si="336"/>
        <v/>
      </c>
      <c r="EN43" s="40" t="str">
        <f t="shared" si="337"/>
        <v/>
      </c>
      <c r="EO43" s="40" t="str">
        <f t="shared" si="338"/>
        <v/>
      </c>
      <c r="EP43" s="40" t="str">
        <f t="shared" si="339"/>
        <v/>
      </c>
      <c r="EQ43" s="40" t="str">
        <f t="shared" si="340"/>
        <v/>
      </c>
      <c r="ER43" s="40" t="str">
        <f t="shared" si="341"/>
        <v/>
      </c>
      <c r="ES43" s="40" t="str">
        <f t="shared" si="342"/>
        <v/>
      </c>
      <c r="ET43" s="40" t="str">
        <f t="shared" si="343"/>
        <v>|n杀敌生命+65</v>
      </c>
      <c r="EU43" s="40" t="str">
        <f t="shared" si="344"/>
        <v/>
      </c>
      <c r="EV43" s="40" t="str">
        <f t="shared" si="345"/>
        <v/>
      </c>
      <c r="EW43" s="40" t="str">
        <f t="shared" si="346"/>
        <v>|n每秒业力+16</v>
      </c>
      <c r="EX43" s="40" t="str">
        <f t="shared" si="347"/>
        <v/>
      </c>
      <c r="EY43" s="40" t="str">
        <f t="shared" si="348"/>
        <v/>
      </c>
      <c r="EZ43" s="40" t="str">
        <f t="shared" si="349"/>
        <v/>
      </c>
      <c r="FA43" s="40" t="str">
        <f t="shared" si="350"/>
        <v/>
      </c>
      <c r="FB43" s="40" t="str">
        <f t="shared" si="351"/>
        <v/>
      </c>
      <c r="FC43" s="40" t="str">
        <f t="shared" si="352"/>
        <v/>
      </c>
      <c r="FD43" s="40" t="str">
        <f t="shared" si="353"/>
        <v/>
      </c>
      <c r="FE43" s="40" t="str">
        <f t="shared" si="354"/>
        <v/>
      </c>
      <c r="FF43" s="40" t="str">
        <f t="shared" si="355"/>
        <v/>
      </c>
      <c r="FG43" s="40" t="str">
        <f t="shared" si="356"/>
        <v/>
      </c>
      <c r="FH43" s="40" t="str">
        <f t="shared" si="357"/>
        <v/>
      </c>
      <c r="FI43" s="40" t="str">
        <f t="shared" si="358"/>
        <v/>
      </c>
      <c r="FJ43" s="40" t="str">
        <f t="shared" si="359"/>
        <v/>
      </c>
      <c r="FK43" s="40" t="str">
        <f t="shared" si="360"/>
        <v/>
      </c>
      <c r="FL43" s="40" t="str">
        <f t="shared" si="361"/>
        <v/>
      </c>
      <c r="FM43" s="40" t="str">
        <f t="shared" si="362"/>
        <v/>
      </c>
      <c r="FN43" s="40" t="str">
        <f t="shared" si="363"/>
        <v/>
      </c>
      <c r="FO43" s="40" t="str">
        <f t="shared" si="364"/>
        <v/>
      </c>
      <c r="FP43" s="40" t="str">
        <f t="shared" si="365"/>
        <v/>
      </c>
      <c r="FQ43" s="40" t="str">
        <f t="shared" si="366"/>
        <v/>
      </c>
      <c r="FR43" s="40" t="str">
        <f t="shared" si="367"/>
        <v/>
      </c>
      <c r="FS43" s="40" t="str">
        <f t="shared" si="368"/>
        <v/>
      </c>
    </row>
    <row r="44" spans="1:175" s="4" customFormat="1" ht="16.5">
      <c r="A44" s="8"/>
      <c r="B44" s="41" t="s">
        <v>208</v>
      </c>
      <c r="C44" s="128" t="s">
        <v>702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207</v>
      </c>
      <c r="V44" s="52"/>
      <c r="W44" s="52"/>
      <c r="X44" s="52"/>
      <c r="Y44" s="52"/>
      <c r="Z44" s="52">
        <v>175000</v>
      </c>
      <c r="AA44" s="52"/>
      <c r="AB44" s="52">
        <f t="shared" si="293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4"/>
        <v>InitUnitState('E117',,,,,175000,,3500,,90,12)</v>
      </c>
      <c r="CO44" s="58" t="str">
        <f t="shared" si="295"/>
        <v>InitUnitNormal('E117',,,,,,,,,,)</v>
      </c>
      <c r="CP44" s="58" t="str">
        <f t="shared" si="296"/>
        <v>InitUnitMagic('E117',,,,,,,,,,)</v>
      </c>
      <c r="CQ44" s="58" t="str">
        <f t="shared" si="297"/>
        <v>InitUnitAdd('E117',,,,70,,,17,,,)</v>
      </c>
      <c r="CR44" s="58" t="str">
        <f t="shared" si="298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9"/>
        <v/>
      </c>
      <c r="DC44" s="40" t="str">
        <f t="shared" si="300"/>
        <v/>
      </c>
      <c r="DD44" s="40" t="str">
        <f t="shared" si="301"/>
        <v/>
      </c>
      <c r="DE44" s="40" t="str">
        <f t="shared" si="302"/>
        <v/>
      </c>
      <c r="DF44" s="40" t="str">
        <f t="shared" si="303"/>
        <v>|n生命值+175000</v>
      </c>
      <c r="DG44" s="40" t="str">
        <f t="shared" si="304"/>
        <v/>
      </c>
      <c r="DH44" s="40" t="str">
        <f t="shared" si="305"/>
        <v>|n生命回复+3500</v>
      </c>
      <c r="DI44" s="40" t="str">
        <f t="shared" si="306"/>
        <v/>
      </c>
      <c r="DJ44" s="40" t="str">
        <f t="shared" si="307"/>
        <v>|n攻速+90%</v>
      </c>
      <c r="DK44" s="40" t="str">
        <f t="shared" si="308"/>
        <v>|n闪避+12%</v>
      </c>
      <c r="DL44" s="40" t="str">
        <f t="shared" si="309"/>
        <v/>
      </c>
      <c r="DM44" s="40" t="str">
        <f t="shared" si="310"/>
        <v/>
      </c>
      <c r="DN44" s="40" t="str">
        <f t="shared" si="311"/>
        <v/>
      </c>
      <c r="DO44" s="40" t="str">
        <f t="shared" si="312"/>
        <v/>
      </c>
      <c r="DP44" s="40" t="str">
        <f t="shared" si="313"/>
        <v/>
      </c>
      <c r="DQ44" s="40" t="str">
        <f t="shared" si="314"/>
        <v/>
      </c>
      <c r="DR44" s="40" t="str">
        <f t="shared" si="315"/>
        <v/>
      </c>
      <c r="DS44" s="40" t="str">
        <f t="shared" si="316"/>
        <v/>
      </c>
      <c r="DT44" s="40" t="str">
        <f t="shared" si="317"/>
        <v/>
      </c>
      <c r="DU44" s="40" t="str">
        <f t="shared" si="318"/>
        <v/>
      </c>
      <c r="DV44" s="40" t="str">
        <f t="shared" si="319"/>
        <v/>
      </c>
      <c r="DW44" s="40" t="str">
        <f t="shared" si="320"/>
        <v/>
      </c>
      <c r="DX44" s="40" t="str">
        <f t="shared" si="321"/>
        <v/>
      </c>
      <c r="DY44" s="40" t="str">
        <f t="shared" si="322"/>
        <v/>
      </c>
      <c r="DZ44" s="40" t="str">
        <f t="shared" si="323"/>
        <v/>
      </c>
      <c r="EA44" s="40" t="str">
        <f t="shared" si="324"/>
        <v/>
      </c>
      <c r="EB44" s="40" t="str">
        <f t="shared" si="325"/>
        <v/>
      </c>
      <c r="EC44" s="40" t="str">
        <f t="shared" si="326"/>
        <v/>
      </c>
      <c r="ED44" s="40" t="str">
        <f t="shared" si="327"/>
        <v/>
      </c>
      <c r="EE44" s="40" t="str">
        <f t="shared" si="328"/>
        <v/>
      </c>
      <c r="EF44" s="40" t="str">
        <f t="shared" si="329"/>
        <v/>
      </c>
      <c r="EG44" s="40" t="str">
        <f t="shared" si="330"/>
        <v/>
      </c>
      <c r="EH44" s="40" t="str">
        <f t="shared" si="331"/>
        <v/>
      </c>
      <c r="EI44" s="40" t="str">
        <f t="shared" si="332"/>
        <v/>
      </c>
      <c r="EJ44" s="40" t="str">
        <f t="shared" si="333"/>
        <v/>
      </c>
      <c r="EK44" s="40" t="str">
        <f t="shared" si="334"/>
        <v/>
      </c>
      <c r="EL44" s="40" t="str">
        <f t="shared" si="335"/>
        <v/>
      </c>
      <c r="EM44" s="40" t="str">
        <f t="shared" si="336"/>
        <v/>
      </c>
      <c r="EN44" s="40" t="str">
        <f t="shared" si="337"/>
        <v/>
      </c>
      <c r="EO44" s="40" t="str">
        <f t="shared" si="338"/>
        <v/>
      </c>
      <c r="EP44" s="40" t="str">
        <f t="shared" si="339"/>
        <v/>
      </c>
      <c r="EQ44" s="40" t="str">
        <f t="shared" si="340"/>
        <v/>
      </c>
      <c r="ER44" s="40" t="str">
        <f t="shared" si="341"/>
        <v/>
      </c>
      <c r="ES44" s="40" t="str">
        <f t="shared" si="342"/>
        <v/>
      </c>
      <c r="ET44" s="40" t="str">
        <f t="shared" si="343"/>
        <v>|n杀敌生命+70</v>
      </c>
      <c r="EU44" s="40" t="str">
        <f t="shared" si="344"/>
        <v/>
      </c>
      <c r="EV44" s="40" t="str">
        <f t="shared" si="345"/>
        <v/>
      </c>
      <c r="EW44" s="40" t="str">
        <f t="shared" si="346"/>
        <v>|n每秒业力+17</v>
      </c>
      <c r="EX44" s="40" t="str">
        <f t="shared" si="347"/>
        <v/>
      </c>
      <c r="EY44" s="40" t="str">
        <f t="shared" si="348"/>
        <v/>
      </c>
      <c r="EZ44" s="40" t="str">
        <f t="shared" si="349"/>
        <v/>
      </c>
      <c r="FA44" s="40" t="str">
        <f t="shared" si="350"/>
        <v/>
      </c>
      <c r="FB44" s="40" t="str">
        <f t="shared" si="351"/>
        <v/>
      </c>
      <c r="FC44" s="40" t="str">
        <f t="shared" si="352"/>
        <v/>
      </c>
      <c r="FD44" s="40" t="str">
        <f t="shared" si="353"/>
        <v/>
      </c>
      <c r="FE44" s="40" t="str">
        <f t="shared" si="354"/>
        <v/>
      </c>
      <c r="FF44" s="40" t="str">
        <f t="shared" si="355"/>
        <v/>
      </c>
      <c r="FG44" s="40" t="str">
        <f t="shared" si="356"/>
        <v/>
      </c>
      <c r="FH44" s="40" t="str">
        <f t="shared" si="357"/>
        <v/>
      </c>
      <c r="FI44" s="40" t="str">
        <f t="shared" si="358"/>
        <v/>
      </c>
      <c r="FJ44" s="40" t="str">
        <f t="shared" si="359"/>
        <v/>
      </c>
      <c r="FK44" s="40" t="str">
        <f t="shared" si="360"/>
        <v/>
      </c>
      <c r="FL44" s="40" t="str">
        <f t="shared" si="361"/>
        <v/>
      </c>
      <c r="FM44" s="40" t="str">
        <f t="shared" si="362"/>
        <v/>
      </c>
      <c r="FN44" s="40" t="str">
        <f t="shared" si="363"/>
        <v/>
      </c>
      <c r="FO44" s="40" t="str">
        <f t="shared" si="364"/>
        <v/>
      </c>
      <c r="FP44" s="40" t="str">
        <f t="shared" si="365"/>
        <v/>
      </c>
      <c r="FQ44" s="40" t="str">
        <f t="shared" si="366"/>
        <v/>
      </c>
      <c r="FR44" s="40" t="str">
        <f t="shared" si="367"/>
        <v/>
      </c>
      <c r="FS44" s="40" t="str">
        <f t="shared" si="368"/>
        <v/>
      </c>
    </row>
    <row r="45" spans="1:175" s="4" customFormat="1" ht="16.5">
      <c r="A45" s="8"/>
      <c r="B45" s="41" t="s">
        <v>209</v>
      </c>
      <c r="C45" s="128" t="s">
        <v>703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207</v>
      </c>
      <c r="V45" s="52"/>
      <c r="W45" s="52"/>
      <c r="X45" s="52"/>
      <c r="Y45" s="52"/>
      <c r="Z45" s="52">
        <v>200000</v>
      </c>
      <c r="AA45" s="52"/>
      <c r="AB45" s="52">
        <f t="shared" si="293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4"/>
        <v>InitUnitState('E118',,,,,200000,,4000,,95,12)</v>
      </c>
      <c r="CO45" s="58" t="str">
        <f t="shared" si="295"/>
        <v>InitUnitNormal('E118',,,,,,,,,,)</v>
      </c>
      <c r="CP45" s="58" t="str">
        <f t="shared" si="296"/>
        <v>InitUnitMagic('E118',,,,,,,,,,)</v>
      </c>
      <c r="CQ45" s="58" t="str">
        <f t="shared" si="297"/>
        <v>InitUnitAdd('E118',,,,75,,,18,,,)</v>
      </c>
      <c r="CR45" s="58" t="str">
        <f t="shared" si="298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9"/>
        <v/>
      </c>
      <c r="DC45" s="40" t="str">
        <f t="shared" si="300"/>
        <v/>
      </c>
      <c r="DD45" s="40" t="str">
        <f t="shared" si="301"/>
        <v/>
      </c>
      <c r="DE45" s="40" t="str">
        <f t="shared" si="302"/>
        <v/>
      </c>
      <c r="DF45" s="40" t="str">
        <f t="shared" si="303"/>
        <v>|n生命值+200000</v>
      </c>
      <c r="DG45" s="40" t="str">
        <f t="shared" si="304"/>
        <v/>
      </c>
      <c r="DH45" s="40" t="str">
        <f t="shared" si="305"/>
        <v>|n生命回复+4000</v>
      </c>
      <c r="DI45" s="40" t="str">
        <f t="shared" si="306"/>
        <v/>
      </c>
      <c r="DJ45" s="40" t="str">
        <f t="shared" si="307"/>
        <v>|n攻速+95%</v>
      </c>
      <c r="DK45" s="40" t="str">
        <f t="shared" si="308"/>
        <v>|n闪避+12%</v>
      </c>
      <c r="DL45" s="40" t="str">
        <f t="shared" si="309"/>
        <v/>
      </c>
      <c r="DM45" s="40" t="str">
        <f t="shared" si="310"/>
        <v/>
      </c>
      <c r="DN45" s="40" t="str">
        <f t="shared" si="311"/>
        <v/>
      </c>
      <c r="DO45" s="40" t="str">
        <f t="shared" si="312"/>
        <v/>
      </c>
      <c r="DP45" s="40" t="str">
        <f t="shared" si="313"/>
        <v/>
      </c>
      <c r="DQ45" s="40" t="str">
        <f t="shared" si="314"/>
        <v/>
      </c>
      <c r="DR45" s="40" t="str">
        <f t="shared" si="315"/>
        <v/>
      </c>
      <c r="DS45" s="40" t="str">
        <f t="shared" si="316"/>
        <v/>
      </c>
      <c r="DT45" s="40" t="str">
        <f t="shared" si="317"/>
        <v/>
      </c>
      <c r="DU45" s="40" t="str">
        <f t="shared" si="318"/>
        <v/>
      </c>
      <c r="DV45" s="40" t="str">
        <f t="shared" si="319"/>
        <v/>
      </c>
      <c r="DW45" s="40" t="str">
        <f t="shared" si="320"/>
        <v/>
      </c>
      <c r="DX45" s="40" t="str">
        <f t="shared" si="321"/>
        <v/>
      </c>
      <c r="DY45" s="40" t="str">
        <f t="shared" si="322"/>
        <v/>
      </c>
      <c r="DZ45" s="40" t="str">
        <f t="shared" si="323"/>
        <v/>
      </c>
      <c r="EA45" s="40" t="str">
        <f t="shared" si="324"/>
        <v/>
      </c>
      <c r="EB45" s="40" t="str">
        <f t="shared" si="325"/>
        <v/>
      </c>
      <c r="EC45" s="40" t="str">
        <f t="shared" si="326"/>
        <v/>
      </c>
      <c r="ED45" s="40" t="str">
        <f t="shared" si="327"/>
        <v/>
      </c>
      <c r="EE45" s="40" t="str">
        <f t="shared" si="328"/>
        <v/>
      </c>
      <c r="EF45" s="40" t="str">
        <f t="shared" si="329"/>
        <v/>
      </c>
      <c r="EG45" s="40" t="str">
        <f t="shared" si="330"/>
        <v/>
      </c>
      <c r="EH45" s="40" t="str">
        <f t="shared" si="331"/>
        <v/>
      </c>
      <c r="EI45" s="40" t="str">
        <f t="shared" si="332"/>
        <v/>
      </c>
      <c r="EJ45" s="40" t="str">
        <f t="shared" si="333"/>
        <v/>
      </c>
      <c r="EK45" s="40" t="str">
        <f t="shared" si="334"/>
        <v/>
      </c>
      <c r="EL45" s="40" t="str">
        <f t="shared" si="335"/>
        <v/>
      </c>
      <c r="EM45" s="40" t="str">
        <f t="shared" si="336"/>
        <v/>
      </c>
      <c r="EN45" s="40" t="str">
        <f t="shared" si="337"/>
        <v/>
      </c>
      <c r="EO45" s="40" t="str">
        <f t="shared" si="338"/>
        <v/>
      </c>
      <c r="EP45" s="40" t="str">
        <f t="shared" si="339"/>
        <v/>
      </c>
      <c r="EQ45" s="40" t="str">
        <f t="shared" si="340"/>
        <v/>
      </c>
      <c r="ER45" s="40" t="str">
        <f t="shared" si="341"/>
        <v/>
      </c>
      <c r="ES45" s="40" t="str">
        <f t="shared" si="342"/>
        <v/>
      </c>
      <c r="ET45" s="40" t="str">
        <f t="shared" si="343"/>
        <v>|n杀敌生命+75</v>
      </c>
      <c r="EU45" s="40" t="str">
        <f t="shared" si="344"/>
        <v/>
      </c>
      <c r="EV45" s="40" t="str">
        <f t="shared" si="345"/>
        <v/>
      </c>
      <c r="EW45" s="40" t="str">
        <f t="shared" si="346"/>
        <v>|n每秒业力+18</v>
      </c>
      <c r="EX45" s="40" t="str">
        <f t="shared" si="347"/>
        <v/>
      </c>
      <c r="EY45" s="40" t="str">
        <f t="shared" si="348"/>
        <v/>
      </c>
      <c r="EZ45" s="40" t="str">
        <f t="shared" si="349"/>
        <v/>
      </c>
      <c r="FA45" s="40" t="str">
        <f t="shared" si="350"/>
        <v/>
      </c>
      <c r="FB45" s="40" t="str">
        <f t="shared" si="351"/>
        <v/>
      </c>
      <c r="FC45" s="40" t="str">
        <f t="shared" si="352"/>
        <v/>
      </c>
      <c r="FD45" s="40" t="str">
        <f t="shared" si="353"/>
        <v/>
      </c>
      <c r="FE45" s="40" t="str">
        <f t="shared" si="354"/>
        <v/>
      </c>
      <c r="FF45" s="40" t="str">
        <f t="shared" si="355"/>
        <v/>
      </c>
      <c r="FG45" s="40" t="str">
        <f t="shared" si="356"/>
        <v/>
      </c>
      <c r="FH45" s="40" t="str">
        <f t="shared" si="357"/>
        <v/>
      </c>
      <c r="FI45" s="40" t="str">
        <f t="shared" si="358"/>
        <v/>
      </c>
      <c r="FJ45" s="40" t="str">
        <f t="shared" si="359"/>
        <v/>
      </c>
      <c r="FK45" s="40" t="str">
        <f t="shared" si="360"/>
        <v/>
      </c>
      <c r="FL45" s="40" t="str">
        <f t="shared" si="361"/>
        <v/>
      </c>
      <c r="FM45" s="40" t="str">
        <f t="shared" si="362"/>
        <v/>
      </c>
      <c r="FN45" s="40" t="str">
        <f t="shared" si="363"/>
        <v/>
      </c>
      <c r="FO45" s="40" t="str">
        <f t="shared" si="364"/>
        <v/>
      </c>
      <c r="FP45" s="40" t="str">
        <f t="shared" si="365"/>
        <v/>
      </c>
      <c r="FQ45" s="40" t="str">
        <f t="shared" si="366"/>
        <v/>
      </c>
      <c r="FR45" s="40" t="str">
        <f t="shared" si="367"/>
        <v/>
      </c>
      <c r="FS45" s="40" t="str">
        <f t="shared" si="368"/>
        <v/>
      </c>
    </row>
    <row r="46" spans="1:175" s="4" customFormat="1" ht="16.5">
      <c r="A46" s="8"/>
      <c r="B46" s="41" t="s">
        <v>210</v>
      </c>
      <c r="C46" s="128" t="s">
        <v>704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207</v>
      </c>
      <c r="V46" s="52"/>
      <c r="W46" s="52"/>
      <c r="X46" s="52"/>
      <c r="Y46" s="52"/>
      <c r="Z46" s="52">
        <v>225000</v>
      </c>
      <c r="AA46" s="52"/>
      <c r="AB46" s="52">
        <f t="shared" si="293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4"/>
        <v>InitUnitState('E119',,,,,225000,,4500,,100,12)</v>
      </c>
      <c r="CO46" s="58" t="str">
        <f t="shared" si="295"/>
        <v>InitUnitNormal('E119',,,,,,,,,,)</v>
      </c>
      <c r="CP46" s="58" t="str">
        <f t="shared" si="296"/>
        <v>InitUnitMagic('E119',,,,,,,,,,)</v>
      </c>
      <c r="CQ46" s="58" t="str">
        <f t="shared" si="297"/>
        <v>InitUnitAdd('E119',,,,80,,,19,,,)</v>
      </c>
      <c r="CR46" s="58" t="str">
        <f t="shared" si="298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9"/>
        <v/>
      </c>
      <c r="DC46" s="40" t="str">
        <f t="shared" si="300"/>
        <v/>
      </c>
      <c r="DD46" s="40" t="str">
        <f t="shared" si="301"/>
        <v/>
      </c>
      <c r="DE46" s="40" t="str">
        <f t="shared" si="302"/>
        <v/>
      </c>
      <c r="DF46" s="40" t="str">
        <f t="shared" si="303"/>
        <v>|n生命值+225000</v>
      </c>
      <c r="DG46" s="40" t="str">
        <f t="shared" si="304"/>
        <v/>
      </c>
      <c r="DH46" s="40" t="str">
        <f t="shared" si="305"/>
        <v>|n生命回复+4500</v>
      </c>
      <c r="DI46" s="40" t="str">
        <f t="shared" si="306"/>
        <v/>
      </c>
      <c r="DJ46" s="40" t="str">
        <f t="shared" si="307"/>
        <v>|n攻速+100%</v>
      </c>
      <c r="DK46" s="40" t="str">
        <f t="shared" si="308"/>
        <v>|n闪避+12%</v>
      </c>
      <c r="DL46" s="40" t="str">
        <f t="shared" si="309"/>
        <v/>
      </c>
      <c r="DM46" s="40" t="str">
        <f t="shared" si="310"/>
        <v/>
      </c>
      <c r="DN46" s="40" t="str">
        <f t="shared" si="311"/>
        <v/>
      </c>
      <c r="DO46" s="40" t="str">
        <f t="shared" si="312"/>
        <v/>
      </c>
      <c r="DP46" s="40" t="str">
        <f t="shared" si="313"/>
        <v/>
      </c>
      <c r="DQ46" s="40" t="str">
        <f t="shared" si="314"/>
        <v/>
      </c>
      <c r="DR46" s="40" t="str">
        <f t="shared" si="315"/>
        <v/>
      </c>
      <c r="DS46" s="40" t="str">
        <f t="shared" si="316"/>
        <v/>
      </c>
      <c r="DT46" s="40" t="str">
        <f t="shared" si="317"/>
        <v/>
      </c>
      <c r="DU46" s="40" t="str">
        <f t="shared" si="318"/>
        <v/>
      </c>
      <c r="DV46" s="40" t="str">
        <f t="shared" si="319"/>
        <v/>
      </c>
      <c r="DW46" s="40" t="str">
        <f t="shared" si="320"/>
        <v/>
      </c>
      <c r="DX46" s="40" t="str">
        <f t="shared" si="321"/>
        <v/>
      </c>
      <c r="DY46" s="40" t="str">
        <f t="shared" si="322"/>
        <v/>
      </c>
      <c r="DZ46" s="40" t="str">
        <f t="shared" si="323"/>
        <v/>
      </c>
      <c r="EA46" s="40" t="str">
        <f t="shared" si="324"/>
        <v/>
      </c>
      <c r="EB46" s="40" t="str">
        <f t="shared" si="325"/>
        <v/>
      </c>
      <c r="EC46" s="40" t="str">
        <f t="shared" si="326"/>
        <v/>
      </c>
      <c r="ED46" s="40" t="str">
        <f t="shared" si="327"/>
        <v/>
      </c>
      <c r="EE46" s="40" t="str">
        <f t="shared" si="328"/>
        <v/>
      </c>
      <c r="EF46" s="40" t="str">
        <f t="shared" si="329"/>
        <v/>
      </c>
      <c r="EG46" s="40" t="str">
        <f t="shared" si="330"/>
        <v/>
      </c>
      <c r="EH46" s="40" t="str">
        <f t="shared" si="331"/>
        <v/>
      </c>
      <c r="EI46" s="40" t="str">
        <f t="shared" si="332"/>
        <v/>
      </c>
      <c r="EJ46" s="40" t="str">
        <f t="shared" si="333"/>
        <v/>
      </c>
      <c r="EK46" s="40" t="str">
        <f t="shared" si="334"/>
        <v/>
      </c>
      <c r="EL46" s="40" t="str">
        <f t="shared" si="335"/>
        <v/>
      </c>
      <c r="EM46" s="40" t="str">
        <f t="shared" si="336"/>
        <v/>
      </c>
      <c r="EN46" s="40" t="str">
        <f t="shared" si="337"/>
        <v/>
      </c>
      <c r="EO46" s="40" t="str">
        <f t="shared" si="338"/>
        <v/>
      </c>
      <c r="EP46" s="40" t="str">
        <f t="shared" si="339"/>
        <v/>
      </c>
      <c r="EQ46" s="40" t="str">
        <f t="shared" si="340"/>
        <v/>
      </c>
      <c r="ER46" s="40" t="str">
        <f t="shared" si="341"/>
        <v/>
      </c>
      <c r="ES46" s="40" t="str">
        <f t="shared" si="342"/>
        <v/>
      </c>
      <c r="ET46" s="40" t="str">
        <f t="shared" si="343"/>
        <v>|n杀敌生命+80</v>
      </c>
      <c r="EU46" s="40" t="str">
        <f t="shared" si="344"/>
        <v/>
      </c>
      <c r="EV46" s="40" t="str">
        <f t="shared" si="345"/>
        <v/>
      </c>
      <c r="EW46" s="40" t="str">
        <f t="shared" si="346"/>
        <v>|n每秒业力+19</v>
      </c>
      <c r="EX46" s="40" t="str">
        <f t="shared" si="347"/>
        <v/>
      </c>
      <c r="EY46" s="40" t="str">
        <f t="shared" si="348"/>
        <v/>
      </c>
      <c r="EZ46" s="40" t="str">
        <f t="shared" si="349"/>
        <v/>
      </c>
      <c r="FA46" s="40" t="str">
        <f t="shared" si="350"/>
        <v/>
      </c>
      <c r="FB46" s="40" t="str">
        <f t="shared" si="351"/>
        <v/>
      </c>
      <c r="FC46" s="40" t="str">
        <f t="shared" si="352"/>
        <v/>
      </c>
      <c r="FD46" s="40" t="str">
        <f t="shared" si="353"/>
        <v/>
      </c>
      <c r="FE46" s="40" t="str">
        <f t="shared" si="354"/>
        <v/>
      </c>
      <c r="FF46" s="40" t="str">
        <f t="shared" si="355"/>
        <v/>
      </c>
      <c r="FG46" s="40" t="str">
        <f t="shared" si="356"/>
        <v/>
      </c>
      <c r="FH46" s="40" t="str">
        <f t="shared" si="357"/>
        <v/>
      </c>
      <c r="FI46" s="40" t="str">
        <f t="shared" si="358"/>
        <v/>
      </c>
      <c r="FJ46" s="40" t="str">
        <f t="shared" si="359"/>
        <v/>
      </c>
      <c r="FK46" s="40" t="str">
        <f t="shared" si="360"/>
        <v/>
      </c>
      <c r="FL46" s="40" t="str">
        <f t="shared" si="361"/>
        <v/>
      </c>
      <c r="FM46" s="40" t="str">
        <f t="shared" si="362"/>
        <v/>
      </c>
      <c r="FN46" s="40" t="str">
        <f t="shared" si="363"/>
        <v/>
      </c>
      <c r="FO46" s="40" t="str">
        <f t="shared" si="364"/>
        <v/>
      </c>
      <c r="FP46" s="40" t="str">
        <f t="shared" si="365"/>
        <v/>
      </c>
      <c r="FQ46" s="40" t="str">
        <f t="shared" si="366"/>
        <v/>
      </c>
      <c r="FR46" s="40" t="str">
        <f t="shared" si="367"/>
        <v/>
      </c>
      <c r="FS46" s="40" t="str">
        <f t="shared" si="368"/>
        <v/>
      </c>
    </row>
    <row r="47" spans="1:175" s="4" customFormat="1" ht="16.5">
      <c r="A47" s="8"/>
      <c r="B47" s="41" t="s">
        <v>211</v>
      </c>
      <c r="C47" s="128" t="s">
        <v>705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207</v>
      </c>
      <c r="V47" s="52"/>
      <c r="W47" s="52"/>
      <c r="X47"/>
      <c r="Y47" s="52"/>
      <c r="Z47" s="52">
        <v>250000</v>
      </c>
      <c r="AA47" s="52"/>
      <c r="AB47" s="52">
        <f t="shared" si="293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4"/>
        <v>InitUnitState('E120',,,,,250000,,5000,,105,12)</v>
      </c>
      <c r="CO47" s="58" t="str">
        <f t="shared" si="295"/>
        <v>InitUnitNormal('E120',,,,,,,,,,)</v>
      </c>
      <c r="CP47" s="58" t="str">
        <f t="shared" si="296"/>
        <v>InitUnitMagic('E120',,,,,,,,,,)</v>
      </c>
      <c r="CQ47" s="58" t="str">
        <f t="shared" si="297"/>
        <v>InitUnitAdd('E120',,,,85,,,20,,,)</v>
      </c>
      <c r="CR47" s="58" t="str">
        <f t="shared" si="298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9"/>
        <v/>
      </c>
      <c r="DC47" s="40" t="str">
        <f t="shared" si="300"/>
        <v/>
      </c>
      <c r="DD47" s="40" t="str">
        <f t="shared" si="301"/>
        <v/>
      </c>
      <c r="DE47" s="40" t="str">
        <f t="shared" si="302"/>
        <v/>
      </c>
      <c r="DF47" s="40" t="str">
        <f t="shared" si="303"/>
        <v>|n生命值+250000</v>
      </c>
      <c r="DG47" s="40" t="str">
        <f t="shared" si="304"/>
        <v/>
      </c>
      <c r="DH47" s="40" t="str">
        <f t="shared" si="305"/>
        <v>|n生命回复+5000</v>
      </c>
      <c r="DI47" s="40" t="str">
        <f t="shared" si="306"/>
        <v/>
      </c>
      <c r="DJ47" s="40" t="str">
        <f t="shared" si="307"/>
        <v>|n攻速+105%</v>
      </c>
      <c r="DK47" s="40" t="str">
        <f t="shared" si="308"/>
        <v>|n闪避+12%</v>
      </c>
      <c r="DL47" s="40" t="str">
        <f t="shared" si="309"/>
        <v/>
      </c>
      <c r="DM47" s="40" t="str">
        <f t="shared" si="310"/>
        <v/>
      </c>
      <c r="DN47" s="40" t="str">
        <f t="shared" si="311"/>
        <v/>
      </c>
      <c r="DO47" s="40" t="str">
        <f t="shared" si="312"/>
        <v/>
      </c>
      <c r="DP47" s="40" t="str">
        <f t="shared" si="313"/>
        <v/>
      </c>
      <c r="DQ47" s="40" t="str">
        <f t="shared" si="314"/>
        <v/>
      </c>
      <c r="DR47" s="40" t="str">
        <f t="shared" si="315"/>
        <v/>
      </c>
      <c r="DS47" s="40" t="str">
        <f t="shared" si="316"/>
        <v/>
      </c>
      <c r="DT47" s="40" t="str">
        <f t="shared" si="317"/>
        <v/>
      </c>
      <c r="DU47" s="40" t="str">
        <f t="shared" si="318"/>
        <v/>
      </c>
      <c r="DV47" s="40" t="str">
        <f t="shared" si="319"/>
        <v/>
      </c>
      <c r="DW47" s="40" t="str">
        <f t="shared" si="320"/>
        <v/>
      </c>
      <c r="DX47" s="40" t="str">
        <f t="shared" si="321"/>
        <v/>
      </c>
      <c r="DY47" s="40" t="str">
        <f t="shared" si="322"/>
        <v/>
      </c>
      <c r="DZ47" s="40" t="str">
        <f t="shared" si="323"/>
        <v/>
      </c>
      <c r="EA47" s="40" t="str">
        <f t="shared" si="324"/>
        <v/>
      </c>
      <c r="EB47" s="40" t="str">
        <f t="shared" si="325"/>
        <v/>
      </c>
      <c r="EC47" s="40" t="str">
        <f t="shared" si="326"/>
        <v/>
      </c>
      <c r="ED47" s="40" t="str">
        <f t="shared" si="327"/>
        <v/>
      </c>
      <c r="EE47" s="40" t="str">
        <f t="shared" si="328"/>
        <v/>
      </c>
      <c r="EF47" s="40" t="str">
        <f t="shared" si="329"/>
        <v/>
      </c>
      <c r="EG47" s="40" t="str">
        <f t="shared" si="330"/>
        <v/>
      </c>
      <c r="EH47" s="40" t="str">
        <f t="shared" si="331"/>
        <v/>
      </c>
      <c r="EI47" s="40" t="str">
        <f t="shared" si="332"/>
        <v/>
      </c>
      <c r="EJ47" s="40" t="str">
        <f t="shared" si="333"/>
        <v/>
      </c>
      <c r="EK47" s="40" t="str">
        <f t="shared" si="334"/>
        <v/>
      </c>
      <c r="EL47" s="40" t="str">
        <f t="shared" si="335"/>
        <v/>
      </c>
      <c r="EM47" s="40" t="str">
        <f t="shared" si="336"/>
        <v/>
      </c>
      <c r="EN47" s="40" t="str">
        <f t="shared" si="337"/>
        <v/>
      </c>
      <c r="EO47" s="40" t="str">
        <f t="shared" si="338"/>
        <v/>
      </c>
      <c r="EP47" s="40" t="str">
        <f t="shared" si="339"/>
        <v/>
      </c>
      <c r="EQ47" s="40" t="str">
        <f t="shared" si="340"/>
        <v/>
      </c>
      <c r="ER47" s="40" t="str">
        <f t="shared" si="341"/>
        <v/>
      </c>
      <c r="ES47" s="40" t="str">
        <f t="shared" si="342"/>
        <v/>
      </c>
      <c r="ET47" s="40" t="str">
        <f t="shared" si="343"/>
        <v>|n杀敌生命+85</v>
      </c>
      <c r="EU47" s="40" t="str">
        <f t="shared" si="344"/>
        <v/>
      </c>
      <c r="EV47" s="40" t="str">
        <f t="shared" si="345"/>
        <v/>
      </c>
      <c r="EW47" s="40" t="str">
        <f t="shared" si="346"/>
        <v>|n每秒业力+20</v>
      </c>
      <c r="EX47" s="40" t="str">
        <f t="shared" si="347"/>
        <v/>
      </c>
      <c r="EY47" s="40" t="str">
        <f t="shared" si="348"/>
        <v/>
      </c>
      <c r="EZ47" s="40" t="str">
        <f t="shared" si="349"/>
        <v/>
      </c>
      <c r="FA47" s="40" t="str">
        <f t="shared" si="350"/>
        <v/>
      </c>
      <c r="FB47" s="40" t="str">
        <f t="shared" si="351"/>
        <v/>
      </c>
      <c r="FC47" s="40" t="str">
        <f t="shared" si="352"/>
        <v/>
      </c>
      <c r="FD47" s="40" t="str">
        <f t="shared" si="353"/>
        <v/>
      </c>
      <c r="FE47" s="40" t="str">
        <f t="shared" si="354"/>
        <v/>
      </c>
      <c r="FF47" s="40" t="str">
        <f t="shared" si="355"/>
        <v/>
      </c>
      <c r="FG47" s="40" t="str">
        <f t="shared" si="356"/>
        <v/>
      </c>
      <c r="FH47" s="40" t="str">
        <f t="shared" si="357"/>
        <v/>
      </c>
      <c r="FI47" s="40" t="str">
        <f t="shared" si="358"/>
        <v/>
      </c>
      <c r="FJ47" s="40" t="str">
        <f t="shared" si="359"/>
        <v/>
      </c>
      <c r="FK47" s="40" t="str">
        <f t="shared" si="360"/>
        <v/>
      </c>
      <c r="FL47" s="40" t="str">
        <f t="shared" si="361"/>
        <v/>
      </c>
      <c r="FM47" s="40" t="str">
        <f t="shared" si="362"/>
        <v/>
      </c>
      <c r="FN47" s="40" t="str">
        <f t="shared" si="363"/>
        <v/>
      </c>
      <c r="FO47" s="40" t="str">
        <f t="shared" si="364"/>
        <v/>
      </c>
      <c r="FP47" s="40" t="str">
        <f t="shared" si="365"/>
        <v/>
      </c>
      <c r="FQ47" s="40" t="str">
        <f t="shared" si="366"/>
        <v/>
      </c>
      <c r="FR47" s="40" t="str">
        <f t="shared" si="367"/>
        <v/>
      </c>
      <c r="FS47" s="40" t="str">
        <f t="shared" si="368"/>
        <v/>
      </c>
    </row>
    <row r="48" spans="1:175" s="4" customFormat="1" ht="16.5">
      <c r="A48" s="8"/>
      <c r="B48" s="41" t="s">
        <v>212</v>
      </c>
      <c r="C48" s="128" t="s">
        <v>706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213</v>
      </c>
      <c r="V48" s="52"/>
      <c r="W48" s="52"/>
      <c r="X48"/>
      <c r="Y48" s="52"/>
      <c r="Z48" s="52">
        <v>375000</v>
      </c>
      <c r="AA48" s="52"/>
      <c r="AB48" s="52">
        <f t="shared" si="293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4"/>
        <v>InitUnitState('E121',,,,,375000,,7500,,110,15)</v>
      </c>
      <c r="CO48" s="58" t="str">
        <f t="shared" si="295"/>
        <v>InitUnitNormal('E121',,,,,,,,,,)</v>
      </c>
      <c r="CP48" s="58" t="str">
        <f t="shared" si="296"/>
        <v>InitUnitMagic('E121',,,,,,,,,,)</v>
      </c>
      <c r="CQ48" s="58" t="str">
        <f t="shared" si="297"/>
        <v>InitUnitAdd('E121',,,,90,,,21,,,)</v>
      </c>
      <c r="CR48" s="58" t="str">
        <f t="shared" si="298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9"/>
        <v/>
      </c>
      <c r="DC48" s="40" t="str">
        <f t="shared" si="300"/>
        <v/>
      </c>
      <c r="DD48" s="40" t="str">
        <f t="shared" si="301"/>
        <v/>
      </c>
      <c r="DE48" s="40" t="str">
        <f t="shared" si="302"/>
        <v/>
      </c>
      <c r="DF48" s="40" t="str">
        <f t="shared" si="303"/>
        <v>|n生命值+375000</v>
      </c>
      <c r="DG48" s="40" t="str">
        <f t="shared" si="304"/>
        <v/>
      </c>
      <c r="DH48" s="40" t="str">
        <f t="shared" si="305"/>
        <v>|n生命回复+7500</v>
      </c>
      <c r="DI48" s="40" t="str">
        <f t="shared" si="306"/>
        <v/>
      </c>
      <c r="DJ48" s="40" t="str">
        <f t="shared" si="307"/>
        <v>|n攻速+110%</v>
      </c>
      <c r="DK48" s="40" t="str">
        <f t="shared" si="308"/>
        <v>|n闪避+15%</v>
      </c>
      <c r="DL48" s="40" t="str">
        <f t="shared" si="309"/>
        <v/>
      </c>
      <c r="DM48" s="40" t="str">
        <f t="shared" si="310"/>
        <v/>
      </c>
      <c r="DN48" s="40" t="str">
        <f t="shared" si="311"/>
        <v/>
      </c>
      <c r="DO48" s="40" t="str">
        <f t="shared" si="312"/>
        <v/>
      </c>
      <c r="DP48" s="40" t="str">
        <f t="shared" si="313"/>
        <v/>
      </c>
      <c r="DQ48" s="40" t="str">
        <f t="shared" si="314"/>
        <v/>
      </c>
      <c r="DR48" s="40" t="str">
        <f t="shared" si="315"/>
        <v/>
      </c>
      <c r="DS48" s="40" t="str">
        <f t="shared" si="316"/>
        <v/>
      </c>
      <c r="DT48" s="40" t="str">
        <f t="shared" si="317"/>
        <v/>
      </c>
      <c r="DU48" s="40" t="str">
        <f t="shared" si="318"/>
        <v/>
      </c>
      <c r="DV48" s="40" t="str">
        <f t="shared" si="319"/>
        <v/>
      </c>
      <c r="DW48" s="40" t="str">
        <f t="shared" si="320"/>
        <v/>
      </c>
      <c r="DX48" s="40" t="str">
        <f t="shared" si="321"/>
        <v/>
      </c>
      <c r="DY48" s="40" t="str">
        <f t="shared" si="322"/>
        <v/>
      </c>
      <c r="DZ48" s="40" t="str">
        <f t="shared" si="323"/>
        <v/>
      </c>
      <c r="EA48" s="40" t="str">
        <f t="shared" si="324"/>
        <v/>
      </c>
      <c r="EB48" s="40" t="str">
        <f t="shared" si="325"/>
        <v/>
      </c>
      <c r="EC48" s="40" t="str">
        <f t="shared" si="326"/>
        <v/>
      </c>
      <c r="ED48" s="40" t="str">
        <f t="shared" si="327"/>
        <v/>
      </c>
      <c r="EE48" s="40" t="str">
        <f t="shared" si="328"/>
        <v/>
      </c>
      <c r="EF48" s="40" t="str">
        <f t="shared" si="329"/>
        <v/>
      </c>
      <c r="EG48" s="40" t="str">
        <f t="shared" si="330"/>
        <v/>
      </c>
      <c r="EH48" s="40" t="str">
        <f t="shared" si="331"/>
        <v/>
      </c>
      <c r="EI48" s="40" t="str">
        <f t="shared" si="332"/>
        <v/>
      </c>
      <c r="EJ48" s="40" t="str">
        <f t="shared" si="333"/>
        <v/>
      </c>
      <c r="EK48" s="40" t="str">
        <f t="shared" si="334"/>
        <v/>
      </c>
      <c r="EL48" s="40" t="str">
        <f t="shared" si="335"/>
        <v/>
      </c>
      <c r="EM48" s="40" t="str">
        <f t="shared" si="336"/>
        <v/>
      </c>
      <c r="EN48" s="40" t="str">
        <f t="shared" si="337"/>
        <v/>
      </c>
      <c r="EO48" s="40" t="str">
        <f t="shared" si="338"/>
        <v/>
      </c>
      <c r="EP48" s="40" t="str">
        <f t="shared" si="339"/>
        <v/>
      </c>
      <c r="EQ48" s="40" t="str">
        <f t="shared" si="340"/>
        <v/>
      </c>
      <c r="ER48" s="40" t="str">
        <f t="shared" si="341"/>
        <v/>
      </c>
      <c r="ES48" s="40" t="str">
        <f t="shared" si="342"/>
        <v/>
      </c>
      <c r="ET48" s="40" t="str">
        <f t="shared" si="343"/>
        <v>|n杀敌生命+90</v>
      </c>
      <c r="EU48" s="40" t="str">
        <f t="shared" si="344"/>
        <v/>
      </c>
      <c r="EV48" s="40" t="str">
        <f t="shared" si="345"/>
        <v/>
      </c>
      <c r="EW48" s="40" t="str">
        <f t="shared" si="346"/>
        <v>|n每秒业力+21</v>
      </c>
      <c r="EX48" s="40" t="str">
        <f t="shared" si="347"/>
        <v/>
      </c>
      <c r="EY48" s="40" t="str">
        <f t="shared" si="348"/>
        <v/>
      </c>
      <c r="EZ48" s="40" t="str">
        <f t="shared" si="349"/>
        <v/>
      </c>
      <c r="FA48" s="40" t="str">
        <f t="shared" si="350"/>
        <v/>
      </c>
      <c r="FB48" s="40" t="str">
        <f t="shared" si="351"/>
        <v/>
      </c>
      <c r="FC48" s="40" t="str">
        <f t="shared" si="352"/>
        <v/>
      </c>
      <c r="FD48" s="40" t="str">
        <f t="shared" si="353"/>
        <v/>
      </c>
      <c r="FE48" s="40" t="str">
        <f t="shared" si="354"/>
        <v/>
      </c>
      <c r="FF48" s="40" t="str">
        <f t="shared" si="355"/>
        <v/>
      </c>
      <c r="FG48" s="40" t="str">
        <f t="shared" si="356"/>
        <v/>
      </c>
      <c r="FH48" s="40" t="str">
        <f t="shared" si="357"/>
        <v/>
      </c>
      <c r="FI48" s="40" t="str">
        <f t="shared" si="358"/>
        <v/>
      </c>
      <c r="FJ48" s="40" t="str">
        <f t="shared" si="359"/>
        <v/>
      </c>
      <c r="FK48" s="40" t="str">
        <f t="shared" si="360"/>
        <v/>
      </c>
      <c r="FL48" s="40" t="str">
        <f t="shared" si="361"/>
        <v/>
      </c>
      <c r="FM48" s="40" t="str">
        <f t="shared" si="362"/>
        <v/>
      </c>
      <c r="FN48" s="40" t="str">
        <f t="shared" si="363"/>
        <v/>
      </c>
      <c r="FO48" s="40" t="str">
        <f t="shared" si="364"/>
        <v/>
      </c>
      <c r="FP48" s="40" t="str">
        <f t="shared" si="365"/>
        <v/>
      </c>
      <c r="FQ48" s="40" t="str">
        <f t="shared" si="366"/>
        <v/>
      </c>
      <c r="FR48" s="40" t="str">
        <f t="shared" si="367"/>
        <v/>
      </c>
      <c r="FS48" s="40" t="str">
        <f t="shared" si="368"/>
        <v/>
      </c>
    </row>
    <row r="49" spans="1:175" s="4" customFormat="1" ht="16.5">
      <c r="A49" s="8"/>
      <c r="B49" s="41" t="s">
        <v>214</v>
      </c>
      <c r="C49" s="128" t="s">
        <v>707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213</v>
      </c>
      <c r="V49" s="52"/>
      <c r="W49" s="52"/>
      <c r="X49" s="52"/>
      <c r="Y49" s="52"/>
      <c r="Z49" s="52">
        <v>425000</v>
      </c>
      <c r="AA49" s="52"/>
      <c r="AB49" s="52">
        <f t="shared" si="293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4"/>
        <v>InitUnitState('E122',,,,,425000,,8500,,115,15)</v>
      </c>
      <c r="CO49" s="58" t="str">
        <f t="shared" si="295"/>
        <v>InitUnitNormal('E122',,,,,,,,,,)</v>
      </c>
      <c r="CP49" s="58" t="str">
        <f t="shared" si="296"/>
        <v>InitUnitMagic('E122',,,,,,,,,,)</v>
      </c>
      <c r="CQ49" s="58" t="str">
        <f t="shared" si="297"/>
        <v>InitUnitAdd('E122',,,,95,,,22,,,)</v>
      </c>
      <c r="CR49" s="58" t="str">
        <f t="shared" si="298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9"/>
        <v/>
      </c>
      <c r="DC49" s="40" t="str">
        <f t="shared" si="300"/>
        <v/>
      </c>
      <c r="DD49" s="40" t="str">
        <f t="shared" si="301"/>
        <v/>
      </c>
      <c r="DE49" s="40" t="str">
        <f t="shared" si="302"/>
        <v/>
      </c>
      <c r="DF49" s="40" t="str">
        <f t="shared" si="303"/>
        <v>|n生命值+425000</v>
      </c>
      <c r="DG49" s="40" t="str">
        <f t="shared" si="304"/>
        <v/>
      </c>
      <c r="DH49" s="40" t="str">
        <f t="shared" si="305"/>
        <v>|n生命回复+8500</v>
      </c>
      <c r="DI49" s="40" t="str">
        <f t="shared" si="306"/>
        <v/>
      </c>
      <c r="DJ49" s="40" t="str">
        <f t="shared" si="307"/>
        <v>|n攻速+115%</v>
      </c>
      <c r="DK49" s="40" t="str">
        <f t="shared" si="308"/>
        <v>|n闪避+15%</v>
      </c>
      <c r="DL49" s="40" t="str">
        <f t="shared" si="309"/>
        <v/>
      </c>
      <c r="DM49" s="40" t="str">
        <f t="shared" si="310"/>
        <v/>
      </c>
      <c r="DN49" s="40" t="str">
        <f t="shared" si="311"/>
        <v/>
      </c>
      <c r="DO49" s="40" t="str">
        <f t="shared" si="312"/>
        <v/>
      </c>
      <c r="DP49" s="40" t="str">
        <f t="shared" si="313"/>
        <v/>
      </c>
      <c r="DQ49" s="40" t="str">
        <f t="shared" si="314"/>
        <v/>
      </c>
      <c r="DR49" s="40" t="str">
        <f t="shared" si="315"/>
        <v/>
      </c>
      <c r="DS49" s="40" t="str">
        <f t="shared" si="316"/>
        <v/>
      </c>
      <c r="DT49" s="40" t="str">
        <f t="shared" si="317"/>
        <v/>
      </c>
      <c r="DU49" s="40" t="str">
        <f t="shared" si="318"/>
        <v/>
      </c>
      <c r="DV49" s="40" t="str">
        <f t="shared" si="319"/>
        <v/>
      </c>
      <c r="DW49" s="40" t="str">
        <f t="shared" si="320"/>
        <v/>
      </c>
      <c r="DX49" s="40" t="str">
        <f t="shared" si="321"/>
        <v/>
      </c>
      <c r="DY49" s="40" t="str">
        <f t="shared" si="322"/>
        <v/>
      </c>
      <c r="DZ49" s="40" t="str">
        <f t="shared" si="323"/>
        <v/>
      </c>
      <c r="EA49" s="40" t="str">
        <f t="shared" si="324"/>
        <v/>
      </c>
      <c r="EB49" s="40" t="str">
        <f t="shared" si="325"/>
        <v/>
      </c>
      <c r="EC49" s="40" t="str">
        <f t="shared" si="326"/>
        <v/>
      </c>
      <c r="ED49" s="40" t="str">
        <f t="shared" si="327"/>
        <v/>
      </c>
      <c r="EE49" s="40" t="str">
        <f t="shared" si="328"/>
        <v/>
      </c>
      <c r="EF49" s="40" t="str">
        <f t="shared" si="329"/>
        <v/>
      </c>
      <c r="EG49" s="40" t="str">
        <f t="shared" si="330"/>
        <v/>
      </c>
      <c r="EH49" s="40" t="str">
        <f t="shared" si="331"/>
        <v/>
      </c>
      <c r="EI49" s="40" t="str">
        <f t="shared" si="332"/>
        <v/>
      </c>
      <c r="EJ49" s="40" t="str">
        <f t="shared" si="333"/>
        <v/>
      </c>
      <c r="EK49" s="40" t="str">
        <f t="shared" si="334"/>
        <v/>
      </c>
      <c r="EL49" s="40" t="str">
        <f t="shared" si="335"/>
        <v/>
      </c>
      <c r="EM49" s="40" t="str">
        <f t="shared" si="336"/>
        <v/>
      </c>
      <c r="EN49" s="40" t="str">
        <f t="shared" si="337"/>
        <v/>
      </c>
      <c r="EO49" s="40" t="str">
        <f t="shared" si="338"/>
        <v/>
      </c>
      <c r="EP49" s="40" t="str">
        <f t="shared" si="339"/>
        <v/>
      </c>
      <c r="EQ49" s="40" t="str">
        <f t="shared" si="340"/>
        <v/>
      </c>
      <c r="ER49" s="40" t="str">
        <f t="shared" si="341"/>
        <v/>
      </c>
      <c r="ES49" s="40" t="str">
        <f t="shared" si="342"/>
        <v/>
      </c>
      <c r="ET49" s="40" t="str">
        <f t="shared" si="343"/>
        <v>|n杀敌生命+95</v>
      </c>
      <c r="EU49" s="40" t="str">
        <f t="shared" si="344"/>
        <v/>
      </c>
      <c r="EV49" s="40" t="str">
        <f t="shared" si="345"/>
        <v/>
      </c>
      <c r="EW49" s="40" t="str">
        <f t="shared" si="346"/>
        <v>|n每秒业力+22</v>
      </c>
      <c r="EX49" s="40" t="str">
        <f t="shared" si="347"/>
        <v/>
      </c>
      <c r="EY49" s="40" t="str">
        <f t="shared" si="348"/>
        <v/>
      </c>
      <c r="EZ49" s="40" t="str">
        <f t="shared" si="349"/>
        <v/>
      </c>
      <c r="FA49" s="40" t="str">
        <f t="shared" si="350"/>
        <v/>
      </c>
      <c r="FB49" s="40" t="str">
        <f t="shared" si="351"/>
        <v/>
      </c>
      <c r="FC49" s="40" t="str">
        <f t="shared" si="352"/>
        <v/>
      </c>
      <c r="FD49" s="40" t="str">
        <f t="shared" si="353"/>
        <v/>
      </c>
      <c r="FE49" s="40" t="str">
        <f t="shared" si="354"/>
        <v/>
      </c>
      <c r="FF49" s="40" t="str">
        <f t="shared" si="355"/>
        <v/>
      </c>
      <c r="FG49" s="40" t="str">
        <f t="shared" si="356"/>
        <v/>
      </c>
      <c r="FH49" s="40" t="str">
        <f t="shared" si="357"/>
        <v/>
      </c>
      <c r="FI49" s="40" t="str">
        <f t="shared" si="358"/>
        <v/>
      </c>
      <c r="FJ49" s="40" t="str">
        <f t="shared" si="359"/>
        <v/>
      </c>
      <c r="FK49" s="40" t="str">
        <f t="shared" si="360"/>
        <v/>
      </c>
      <c r="FL49" s="40" t="str">
        <f t="shared" si="361"/>
        <v/>
      </c>
      <c r="FM49" s="40" t="str">
        <f t="shared" si="362"/>
        <v/>
      </c>
      <c r="FN49" s="40" t="str">
        <f t="shared" si="363"/>
        <v/>
      </c>
      <c r="FO49" s="40" t="str">
        <f t="shared" si="364"/>
        <v/>
      </c>
      <c r="FP49" s="40" t="str">
        <f t="shared" si="365"/>
        <v/>
      </c>
      <c r="FQ49" s="40" t="str">
        <f t="shared" si="366"/>
        <v/>
      </c>
      <c r="FR49" s="40" t="str">
        <f t="shared" si="367"/>
        <v/>
      </c>
      <c r="FS49" s="40" t="str">
        <f t="shared" si="368"/>
        <v/>
      </c>
    </row>
    <row r="50" spans="1:175" s="4" customFormat="1" ht="16.5">
      <c r="A50" s="8"/>
      <c r="B50" s="41" t="s">
        <v>215</v>
      </c>
      <c r="C50" s="128" t="s">
        <v>708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213</v>
      </c>
      <c r="V50" s="52"/>
      <c r="W50" s="52"/>
      <c r="X50" s="52"/>
      <c r="Y50" s="52"/>
      <c r="Z50" s="52">
        <v>475000</v>
      </c>
      <c r="AA50" s="52"/>
      <c r="AB50" s="52">
        <f t="shared" si="293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4"/>
        <v>InitUnitState('E123',,,,,475000,,9500,,120,15)</v>
      </c>
      <c r="CO50" s="58" t="str">
        <f t="shared" si="295"/>
        <v>InitUnitNormal('E123',,,,,,,,,,)</v>
      </c>
      <c r="CP50" s="58" t="str">
        <f t="shared" si="296"/>
        <v>InitUnitMagic('E123',,,,,,,,,,)</v>
      </c>
      <c r="CQ50" s="58" t="str">
        <f t="shared" si="297"/>
        <v>InitUnitAdd('E123',,,,100,,,23,,,)</v>
      </c>
      <c r="CR50" s="58" t="str">
        <f t="shared" si="298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9"/>
        <v/>
      </c>
      <c r="DC50" s="40" t="str">
        <f t="shared" si="300"/>
        <v/>
      </c>
      <c r="DD50" s="40" t="str">
        <f t="shared" si="301"/>
        <v/>
      </c>
      <c r="DE50" s="40" t="str">
        <f t="shared" si="302"/>
        <v/>
      </c>
      <c r="DF50" s="40" t="str">
        <f t="shared" si="303"/>
        <v>|n生命值+475000</v>
      </c>
      <c r="DG50" s="40" t="str">
        <f t="shared" si="304"/>
        <v/>
      </c>
      <c r="DH50" s="40" t="str">
        <f t="shared" si="305"/>
        <v>|n生命回复+9500</v>
      </c>
      <c r="DI50" s="40" t="str">
        <f t="shared" si="306"/>
        <v/>
      </c>
      <c r="DJ50" s="40" t="str">
        <f t="shared" si="307"/>
        <v>|n攻速+120%</v>
      </c>
      <c r="DK50" s="40" t="str">
        <f t="shared" si="308"/>
        <v>|n闪避+15%</v>
      </c>
      <c r="DL50" s="40" t="str">
        <f t="shared" si="309"/>
        <v/>
      </c>
      <c r="DM50" s="40" t="str">
        <f t="shared" si="310"/>
        <v/>
      </c>
      <c r="DN50" s="40" t="str">
        <f t="shared" si="311"/>
        <v/>
      </c>
      <c r="DO50" s="40" t="str">
        <f t="shared" si="312"/>
        <v/>
      </c>
      <c r="DP50" s="40" t="str">
        <f t="shared" si="313"/>
        <v/>
      </c>
      <c r="DQ50" s="40" t="str">
        <f t="shared" si="314"/>
        <v/>
      </c>
      <c r="DR50" s="40" t="str">
        <f t="shared" si="315"/>
        <v/>
      </c>
      <c r="DS50" s="40" t="str">
        <f t="shared" si="316"/>
        <v/>
      </c>
      <c r="DT50" s="40" t="str">
        <f t="shared" si="317"/>
        <v/>
      </c>
      <c r="DU50" s="40" t="str">
        <f t="shared" si="318"/>
        <v/>
      </c>
      <c r="DV50" s="40" t="str">
        <f t="shared" si="319"/>
        <v/>
      </c>
      <c r="DW50" s="40" t="str">
        <f t="shared" si="320"/>
        <v/>
      </c>
      <c r="DX50" s="40" t="str">
        <f t="shared" si="321"/>
        <v/>
      </c>
      <c r="DY50" s="40" t="str">
        <f t="shared" si="322"/>
        <v/>
      </c>
      <c r="DZ50" s="40" t="str">
        <f t="shared" si="323"/>
        <v/>
      </c>
      <c r="EA50" s="40" t="str">
        <f t="shared" si="324"/>
        <v/>
      </c>
      <c r="EB50" s="40" t="str">
        <f t="shared" si="325"/>
        <v/>
      </c>
      <c r="EC50" s="40" t="str">
        <f t="shared" si="326"/>
        <v/>
      </c>
      <c r="ED50" s="40" t="str">
        <f t="shared" si="327"/>
        <v/>
      </c>
      <c r="EE50" s="40" t="str">
        <f t="shared" si="328"/>
        <v/>
      </c>
      <c r="EF50" s="40" t="str">
        <f t="shared" si="329"/>
        <v/>
      </c>
      <c r="EG50" s="40" t="str">
        <f t="shared" si="330"/>
        <v/>
      </c>
      <c r="EH50" s="40" t="str">
        <f t="shared" si="331"/>
        <v/>
      </c>
      <c r="EI50" s="40" t="str">
        <f t="shared" si="332"/>
        <v/>
      </c>
      <c r="EJ50" s="40" t="str">
        <f t="shared" si="333"/>
        <v/>
      </c>
      <c r="EK50" s="40" t="str">
        <f t="shared" si="334"/>
        <v/>
      </c>
      <c r="EL50" s="40" t="str">
        <f t="shared" si="335"/>
        <v/>
      </c>
      <c r="EM50" s="40" t="str">
        <f t="shared" si="336"/>
        <v/>
      </c>
      <c r="EN50" s="40" t="str">
        <f t="shared" si="337"/>
        <v/>
      </c>
      <c r="EO50" s="40" t="str">
        <f t="shared" si="338"/>
        <v/>
      </c>
      <c r="EP50" s="40" t="str">
        <f t="shared" si="339"/>
        <v/>
      </c>
      <c r="EQ50" s="40" t="str">
        <f t="shared" si="340"/>
        <v/>
      </c>
      <c r="ER50" s="40" t="str">
        <f t="shared" si="341"/>
        <v/>
      </c>
      <c r="ES50" s="40" t="str">
        <f t="shared" si="342"/>
        <v/>
      </c>
      <c r="ET50" s="40" t="str">
        <f t="shared" si="343"/>
        <v>|n杀敌生命+100</v>
      </c>
      <c r="EU50" s="40" t="str">
        <f t="shared" si="344"/>
        <v/>
      </c>
      <c r="EV50" s="40" t="str">
        <f t="shared" si="345"/>
        <v/>
      </c>
      <c r="EW50" s="40" t="str">
        <f t="shared" si="346"/>
        <v>|n每秒业力+23</v>
      </c>
      <c r="EX50" s="40" t="str">
        <f t="shared" si="347"/>
        <v/>
      </c>
      <c r="EY50" s="40" t="str">
        <f t="shared" si="348"/>
        <v/>
      </c>
      <c r="EZ50" s="40" t="str">
        <f t="shared" si="349"/>
        <v/>
      </c>
      <c r="FA50" s="40" t="str">
        <f t="shared" si="350"/>
        <v/>
      </c>
      <c r="FB50" s="40" t="str">
        <f t="shared" si="351"/>
        <v/>
      </c>
      <c r="FC50" s="40" t="str">
        <f t="shared" si="352"/>
        <v/>
      </c>
      <c r="FD50" s="40" t="str">
        <f t="shared" si="353"/>
        <v/>
      </c>
      <c r="FE50" s="40" t="str">
        <f t="shared" si="354"/>
        <v/>
      </c>
      <c r="FF50" s="40" t="str">
        <f t="shared" si="355"/>
        <v/>
      </c>
      <c r="FG50" s="40" t="str">
        <f t="shared" si="356"/>
        <v/>
      </c>
      <c r="FH50" s="40" t="str">
        <f t="shared" si="357"/>
        <v/>
      </c>
      <c r="FI50" s="40" t="str">
        <f t="shared" si="358"/>
        <v/>
      </c>
      <c r="FJ50" s="40" t="str">
        <f t="shared" si="359"/>
        <v/>
      </c>
      <c r="FK50" s="40" t="str">
        <f t="shared" si="360"/>
        <v/>
      </c>
      <c r="FL50" s="40" t="str">
        <f t="shared" si="361"/>
        <v/>
      </c>
      <c r="FM50" s="40" t="str">
        <f t="shared" si="362"/>
        <v/>
      </c>
      <c r="FN50" s="40" t="str">
        <f t="shared" si="363"/>
        <v/>
      </c>
      <c r="FO50" s="40" t="str">
        <f t="shared" si="364"/>
        <v/>
      </c>
      <c r="FP50" s="40" t="str">
        <f t="shared" si="365"/>
        <v/>
      </c>
      <c r="FQ50" s="40" t="str">
        <f t="shared" si="366"/>
        <v/>
      </c>
      <c r="FR50" s="40" t="str">
        <f t="shared" si="367"/>
        <v/>
      </c>
      <c r="FS50" s="40" t="str">
        <f t="shared" si="368"/>
        <v/>
      </c>
    </row>
    <row r="51" spans="1:175" s="4" customFormat="1" ht="16.5">
      <c r="A51" s="8"/>
      <c r="B51" s="41" t="s">
        <v>216</v>
      </c>
      <c r="C51" s="128" t="s">
        <v>709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213</v>
      </c>
      <c r="V51" s="52"/>
      <c r="W51" s="52"/>
      <c r="X51" s="52"/>
      <c r="Y51" s="52"/>
      <c r="Z51" s="52">
        <v>525000</v>
      </c>
      <c r="AA51" s="52"/>
      <c r="AB51" s="52">
        <f t="shared" si="293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4"/>
        <v>InitUnitState('E124',,,,,525000,,10500,,125,15)</v>
      </c>
      <c r="CO51" s="58" t="str">
        <f t="shared" si="295"/>
        <v>InitUnitNormal('E124',,,,,,,,,,)</v>
      </c>
      <c r="CP51" s="58" t="str">
        <f t="shared" si="296"/>
        <v>InitUnitMagic('E124',,,,,,,,,,)</v>
      </c>
      <c r="CQ51" s="58" t="str">
        <f t="shared" si="297"/>
        <v>InitUnitAdd('E124',,,,105,,,24,,,)</v>
      </c>
      <c r="CR51" s="58" t="str">
        <f t="shared" si="298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9"/>
        <v/>
      </c>
      <c r="DC51" s="40" t="str">
        <f t="shared" si="300"/>
        <v/>
      </c>
      <c r="DD51" s="40" t="str">
        <f t="shared" si="301"/>
        <v/>
      </c>
      <c r="DE51" s="40" t="str">
        <f t="shared" si="302"/>
        <v/>
      </c>
      <c r="DF51" s="40" t="str">
        <f t="shared" si="303"/>
        <v>|n生命值+525000</v>
      </c>
      <c r="DG51" s="40" t="str">
        <f t="shared" si="304"/>
        <v/>
      </c>
      <c r="DH51" s="40" t="str">
        <f t="shared" si="305"/>
        <v>|n生命回复+10500</v>
      </c>
      <c r="DI51" s="40" t="str">
        <f t="shared" si="306"/>
        <v/>
      </c>
      <c r="DJ51" s="40" t="str">
        <f t="shared" si="307"/>
        <v>|n攻速+125%</v>
      </c>
      <c r="DK51" s="40" t="str">
        <f t="shared" si="308"/>
        <v>|n闪避+15%</v>
      </c>
      <c r="DL51" s="40" t="str">
        <f t="shared" si="309"/>
        <v/>
      </c>
      <c r="DM51" s="40" t="str">
        <f t="shared" si="310"/>
        <v/>
      </c>
      <c r="DN51" s="40" t="str">
        <f t="shared" si="311"/>
        <v/>
      </c>
      <c r="DO51" s="40" t="str">
        <f t="shared" si="312"/>
        <v/>
      </c>
      <c r="DP51" s="40" t="str">
        <f t="shared" si="313"/>
        <v/>
      </c>
      <c r="DQ51" s="40" t="str">
        <f t="shared" si="314"/>
        <v/>
      </c>
      <c r="DR51" s="40" t="str">
        <f t="shared" si="315"/>
        <v/>
      </c>
      <c r="DS51" s="40" t="str">
        <f t="shared" si="316"/>
        <v/>
      </c>
      <c r="DT51" s="40" t="str">
        <f t="shared" si="317"/>
        <v/>
      </c>
      <c r="DU51" s="40" t="str">
        <f t="shared" si="318"/>
        <v/>
      </c>
      <c r="DV51" s="40" t="str">
        <f t="shared" si="319"/>
        <v/>
      </c>
      <c r="DW51" s="40" t="str">
        <f t="shared" si="320"/>
        <v/>
      </c>
      <c r="DX51" s="40" t="str">
        <f t="shared" si="321"/>
        <v/>
      </c>
      <c r="DY51" s="40" t="str">
        <f t="shared" si="322"/>
        <v/>
      </c>
      <c r="DZ51" s="40" t="str">
        <f t="shared" si="323"/>
        <v/>
      </c>
      <c r="EA51" s="40" t="str">
        <f t="shared" si="324"/>
        <v/>
      </c>
      <c r="EB51" s="40" t="str">
        <f t="shared" si="325"/>
        <v/>
      </c>
      <c r="EC51" s="40" t="str">
        <f t="shared" si="326"/>
        <v/>
      </c>
      <c r="ED51" s="40" t="str">
        <f t="shared" si="327"/>
        <v/>
      </c>
      <c r="EE51" s="40" t="str">
        <f t="shared" si="328"/>
        <v/>
      </c>
      <c r="EF51" s="40" t="str">
        <f t="shared" si="329"/>
        <v/>
      </c>
      <c r="EG51" s="40" t="str">
        <f t="shared" si="330"/>
        <v/>
      </c>
      <c r="EH51" s="40" t="str">
        <f t="shared" si="331"/>
        <v/>
      </c>
      <c r="EI51" s="40" t="str">
        <f t="shared" si="332"/>
        <v/>
      </c>
      <c r="EJ51" s="40" t="str">
        <f t="shared" si="333"/>
        <v/>
      </c>
      <c r="EK51" s="40" t="str">
        <f t="shared" si="334"/>
        <v/>
      </c>
      <c r="EL51" s="40" t="str">
        <f t="shared" si="335"/>
        <v/>
      </c>
      <c r="EM51" s="40" t="str">
        <f t="shared" si="336"/>
        <v/>
      </c>
      <c r="EN51" s="40" t="str">
        <f t="shared" si="337"/>
        <v/>
      </c>
      <c r="EO51" s="40" t="str">
        <f t="shared" si="338"/>
        <v/>
      </c>
      <c r="EP51" s="40" t="str">
        <f t="shared" si="339"/>
        <v/>
      </c>
      <c r="EQ51" s="40" t="str">
        <f t="shared" si="340"/>
        <v/>
      </c>
      <c r="ER51" s="40" t="str">
        <f t="shared" si="341"/>
        <v/>
      </c>
      <c r="ES51" s="40" t="str">
        <f t="shared" si="342"/>
        <v/>
      </c>
      <c r="ET51" s="40" t="str">
        <f t="shared" si="343"/>
        <v>|n杀敌生命+105</v>
      </c>
      <c r="EU51" s="40" t="str">
        <f t="shared" si="344"/>
        <v/>
      </c>
      <c r="EV51" s="40" t="str">
        <f t="shared" si="345"/>
        <v/>
      </c>
      <c r="EW51" s="40" t="str">
        <f t="shared" si="346"/>
        <v>|n每秒业力+24</v>
      </c>
      <c r="EX51" s="40" t="str">
        <f t="shared" si="347"/>
        <v/>
      </c>
      <c r="EY51" s="40" t="str">
        <f t="shared" si="348"/>
        <v/>
      </c>
      <c r="EZ51" s="40" t="str">
        <f t="shared" si="349"/>
        <v/>
      </c>
      <c r="FA51" s="40" t="str">
        <f t="shared" si="350"/>
        <v/>
      </c>
      <c r="FB51" s="40" t="str">
        <f t="shared" si="351"/>
        <v/>
      </c>
      <c r="FC51" s="40" t="str">
        <f t="shared" si="352"/>
        <v/>
      </c>
      <c r="FD51" s="40" t="str">
        <f t="shared" si="353"/>
        <v/>
      </c>
      <c r="FE51" s="40" t="str">
        <f t="shared" si="354"/>
        <v/>
      </c>
      <c r="FF51" s="40" t="str">
        <f t="shared" si="355"/>
        <v/>
      </c>
      <c r="FG51" s="40" t="str">
        <f t="shared" si="356"/>
        <v/>
      </c>
      <c r="FH51" s="40" t="str">
        <f t="shared" si="357"/>
        <v/>
      </c>
      <c r="FI51" s="40" t="str">
        <f t="shared" si="358"/>
        <v/>
      </c>
      <c r="FJ51" s="40" t="str">
        <f t="shared" si="359"/>
        <v/>
      </c>
      <c r="FK51" s="40" t="str">
        <f t="shared" si="360"/>
        <v/>
      </c>
      <c r="FL51" s="40" t="str">
        <f t="shared" si="361"/>
        <v/>
      </c>
      <c r="FM51" s="40" t="str">
        <f t="shared" si="362"/>
        <v/>
      </c>
      <c r="FN51" s="40" t="str">
        <f t="shared" si="363"/>
        <v/>
      </c>
      <c r="FO51" s="40" t="str">
        <f t="shared" si="364"/>
        <v/>
      </c>
      <c r="FP51" s="40" t="str">
        <f t="shared" si="365"/>
        <v/>
      </c>
      <c r="FQ51" s="40" t="str">
        <f t="shared" si="366"/>
        <v/>
      </c>
      <c r="FR51" s="40" t="str">
        <f t="shared" si="367"/>
        <v/>
      </c>
      <c r="FS51" s="40" t="str">
        <f t="shared" si="368"/>
        <v/>
      </c>
    </row>
    <row r="52" spans="1:175" s="4" customFormat="1" ht="16.5">
      <c r="A52" s="8"/>
      <c r="B52" s="41" t="s">
        <v>217</v>
      </c>
      <c r="C52" s="128" t="s">
        <v>710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213</v>
      </c>
      <c r="V52" s="52"/>
      <c r="W52" s="52"/>
      <c r="X52"/>
      <c r="Y52" s="52"/>
      <c r="Z52" s="52">
        <v>625000</v>
      </c>
      <c r="AA52" s="52"/>
      <c r="AB52" s="52">
        <f t="shared" si="293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4"/>
        <v>InitUnitState('E125',,,,,625000,,12500,,130,15)</v>
      </c>
      <c r="CO52" s="58" t="str">
        <f t="shared" si="295"/>
        <v>InitUnitNormal('E125',,,,,,,,,,)</v>
      </c>
      <c r="CP52" s="58" t="str">
        <f t="shared" si="296"/>
        <v>InitUnitMagic('E125',,,,,,,,,,)</v>
      </c>
      <c r="CQ52" s="58" t="str">
        <f t="shared" si="297"/>
        <v>InitUnitAdd('E125',,,,110,,,25,,,)</v>
      </c>
      <c r="CR52" s="58" t="str">
        <f t="shared" si="298"/>
        <v>InitEquipData('E125',,"",,,,,'','','','','','',"ReplaceableTextures\\CommandButtons\\BTNZ11.blp")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|Cffbbbbbb属性：|r|n生命值+625000|n生命回复+12500|n攻速+130%|n闪避+15%|n杀敌生命+110|n每秒业力+25|n|n攻击6%概率范围|cffff4646业力*15|r魔法伤害|n|n|Cff00ff7f击杀只怪有50%概率升级|r</v>
      </c>
      <c r="DB52" s="40" t="str">
        <f t="shared" si="299"/>
        <v/>
      </c>
      <c r="DC52" s="40" t="str">
        <f t="shared" si="300"/>
        <v/>
      </c>
      <c r="DD52" s="40" t="str">
        <f t="shared" si="301"/>
        <v/>
      </c>
      <c r="DE52" s="40" t="str">
        <f t="shared" si="302"/>
        <v/>
      </c>
      <c r="DF52" s="40" t="str">
        <f t="shared" si="303"/>
        <v>|n生命值+625000</v>
      </c>
      <c r="DG52" s="40" t="str">
        <f t="shared" si="304"/>
        <v/>
      </c>
      <c r="DH52" s="40" t="str">
        <f t="shared" si="305"/>
        <v>|n生命回复+12500</v>
      </c>
      <c r="DI52" s="40" t="str">
        <f t="shared" si="306"/>
        <v/>
      </c>
      <c r="DJ52" s="40" t="str">
        <f t="shared" si="307"/>
        <v>|n攻速+130%</v>
      </c>
      <c r="DK52" s="40" t="str">
        <f t="shared" si="308"/>
        <v>|n闪避+15%</v>
      </c>
      <c r="DL52" s="40" t="str">
        <f t="shared" si="309"/>
        <v/>
      </c>
      <c r="DM52" s="40" t="str">
        <f t="shared" si="310"/>
        <v/>
      </c>
      <c r="DN52" s="40" t="str">
        <f t="shared" si="311"/>
        <v/>
      </c>
      <c r="DO52" s="40" t="str">
        <f t="shared" si="312"/>
        <v/>
      </c>
      <c r="DP52" s="40" t="str">
        <f t="shared" si="313"/>
        <v/>
      </c>
      <c r="DQ52" s="40" t="str">
        <f t="shared" si="314"/>
        <v/>
      </c>
      <c r="DR52" s="40" t="str">
        <f t="shared" si="315"/>
        <v/>
      </c>
      <c r="DS52" s="40" t="str">
        <f t="shared" si="316"/>
        <v/>
      </c>
      <c r="DT52" s="40" t="str">
        <f t="shared" si="317"/>
        <v/>
      </c>
      <c r="DU52" s="40" t="str">
        <f t="shared" si="318"/>
        <v/>
      </c>
      <c r="DV52" s="40" t="str">
        <f t="shared" si="319"/>
        <v/>
      </c>
      <c r="DW52" s="40" t="str">
        <f t="shared" si="320"/>
        <v/>
      </c>
      <c r="DX52" s="40" t="str">
        <f t="shared" si="321"/>
        <v/>
      </c>
      <c r="DY52" s="40" t="str">
        <f t="shared" si="322"/>
        <v/>
      </c>
      <c r="DZ52" s="40" t="str">
        <f t="shared" si="323"/>
        <v/>
      </c>
      <c r="EA52" s="40" t="str">
        <f t="shared" si="324"/>
        <v/>
      </c>
      <c r="EB52" s="40" t="str">
        <f t="shared" si="325"/>
        <v/>
      </c>
      <c r="EC52" s="40" t="str">
        <f t="shared" si="326"/>
        <v/>
      </c>
      <c r="ED52" s="40" t="str">
        <f t="shared" si="327"/>
        <v/>
      </c>
      <c r="EE52" s="40" t="str">
        <f t="shared" si="328"/>
        <v/>
      </c>
      <c r="EF52" s="40" t="str">
        <f t="shared" si="329"/>
        <v/>
      </c>
      <c r="EG52" s="40" t="str">
        <f t="shared" si="330"/>
        <v/>
      </c>
      <c r="EH52" s="40" t="str">
        <f t="shared" si="331"/>
        <v/>
      </c>
      <c r="EI52" s="40" t="str">
        <f t="shared" si="332"/>
        <v/>
      </c>
      <c r="EJ52" s="40" t="str">
        <f t="shared" si="333"/>
        <v/>
      </c>
      <c r="EK52" s="40" t="str">
        <f t="shared" si="334"/>
        <v/>
      </c>
      <c r="EL52" s="40" t="str">
        <f t="shared" si="335"/>
        <v/>
      </c>
      <c r="EM52" s="40" t="str">
        <f t="shared" si="336"/>
        <v/>
      </c>
      <c r="EN52" s="40" t="str">
        <f t="shared" si="337"/>
        <v/>
      </c>
      <c r="EO52" s="40" t="str">
        <f t="shared" si="338"/>
        <v/>
      </c>
      <c r="EP52" s="40" t="str">
        <f t="shared" si="339"/>
        <v/>
      </c>
      <c r="EQ52" s="40" t="str">
        <f t="shared" si="340"/>
        <v/>
      </c>
      <c r="ER52" s="40" t="str">
        <f t="shared" si="341"/>
        <v/>
      </c>
      <c r="ES52" s="40" t="str">
        <f t="shared" si="342"/>
        <v/>
      </c>
      <c r="ET52" s="40" t="str">
        <f t="shared" si="343"/>
        <v>|n杀敌生命+110</v>
      </c>
      <c r="EU52" s="40" t="str">
        <f t="shared" si="344"/>
        <v/>
      </c>
      <c r="EV52" s="40" t="str">
        <f t="shared" si="345"/>
        <v/>
      </c>
      <c r="EW52" s="40" t="str">
        <f t="shared" si="346"/>
        <v>|n每秒业力+25</v>
      </c>
      <c r="EX52" s="40" t="str">
        <f t="shared" si="347"/>
        <v/>
      </c>
      <c r="EY52" s="40" t="str">
        <f t="shared" si="348"/>
        <v/>
      </c>
      <c r="EZ52" s="40" t="str">
        <f t="shared" si="349"/>
        <v/>
      </c>
      <c r="FA52" s="40" t="str">
        <f t="shared" si="350"/>
        <v/>
      </c>
      <c r="FB52" s="40" t="str">
        <f t="shared" si="351"/>
        <v/>
      </c>
      <c r="FC52" s="40" t="str">
        <f t="shared" si="352"/>
        <v/>
      </c>
      <c r="FD52" s="40" t="str">
        <f t="shared" si="353"/>
        <v/>
      </c>
      <c r="FE52" s="40" t="str">
        <f t="shared" si="354"/>
        <v/>
      </c>
      <c r="FF52" s="40" t="str">
        <f t="shared" si="355"/>
        <v/>
      </c>
      <c r="FG52" s="40" t="str">
        <f t="shared" si="356"/>
        <v/>
      </c>
      <c r="FH52" s="40" t="str">
        <f t="shared" si="357"/>
        <v/>
      </c>
      <c r="FI52" s="40" t="str">
        <f t="shared" si="358"/>
        <v/>
      </c>
      <c r="FJ52" s="40" t="str">
        <f t="shared" si="359"/>
        <v/>
      </c>
      <c r="FK52" s="40" t="str">
        <f t="shared" si="360"/>
        <v/>
      </c>
      <c r="FL52" s="40" t="str">
        <f t="shared" si="361"/>
        <v/>
      </c>
      <c r="FM52" s="40" t="str">
        <f t="shared" si="362"/>
        <v/>
      </c>
      <c r="FN52" s="40" t="str">
        <f t="shared" si="363"/>
        <v/>
      </c>
      <c r="FO52" s="40" t="str">
        <f t="shared" si="364"/>
        <v/>
      </c>
      <c r="FP52" s="40" t="str">
        <f t="shared" si="365"/>
        <v/>
      </c>
      <c r="FQ52" s="40" t="str">
        <f t="shared" si="366"/>
        <v/>
      </c>
      <c r="FR52" s="40" t="str">
        <f t="shared" si="367"/>
        <v/>
      </c>
      <c r="FS52" s="40" t="str">
        <f t="shared" si="368"/>
        <v/>
      </c>
    </row>
    <row r="53" spans="1:175" s="4" customFormat="1" ht="16.5">
      <c r="A53" s="8"/>
      <c r="B53" s="41" t="s">
        <v>218</v>
      </c>
      <c r="C53" s="8" t="s">
        <v>219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220</v>
      </c>
      <c r="V53" s="52"/>
      <c r="W53" s="52"/>
      <c r="X53" s="52">
        <v>15</v>
      </c>
      <c r="Y53" s="52"/>
      <c r="Z53" s="52">
        <v>500</v>
      </c>
      <c r="AA53" s="52"/>
      <c r="AB53" s="52">
        <f t="shared" si="293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4"/>
        <v>InitUnitState('E201',,,15,,500,,10,,,)</v>
      </c>
      <c r="CO53" s="58" t="str">
        <f t="shared" si="295"/>
        <v>InitUnitNormal('E201',,,,,,,,,,)</v>
      </c>
      <c r="CP53" s="58" t="str">
        <f t="shared" si="296"/>
        <v>InitUnitMagic('E201',,,,,,,,,,)</v>
      </c>
      <c r="CQ53" s="58" t="str">
        <f t="shared" si="297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|n护甲+15|n生命值+500|n生命回复+10|n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|Cffbbbbbb属性：|r|n护甲+15|n生命值+500|n生命回复+10|n|n|Cff00ff7f点击消耗300金币进行强化|n成功率100%</v>
      </c>
      <c r="DB53" s="40" t="str">
        <f t="shared" ref="DB53:DB54" si="370">IF(V53="","","|n"&amp;DB$2&amp;"+"&amp;V53&amp;DB$1)</f>
        <v/>
      </c>
      <c r="DC53" s="40" t="str">
        <f t="shared" ref="DC53:DC54" si="371">IF(W53="","","|n"&amp;DC$2&amp;"+"&amp;W53&amp;DC$1)</f>
        <v/>
      </c>
      <c r="DD53" s="40" t="str">
        <f t="shared" ref="DD53:DD54" si="372">IF(X53="","","|n"&amp;DD$2&amp;"+"&amp;X53&amp;DD$1)</f>
        <v>|n护甲+15</v>
      </c>
      <c r="DE53" s="40" t="str">
        <f t="shared" ref="DE53:DE54" si="373">IF(Y53="","","|n"&amp;DE$2&amp;"+"&amp;Y53&amp;DE$1)</f>
        <v/>
      </c>
      <c r="DF53" s="40" t="str">
        <f t="shared" ref="DF53:DF54" si="374">IF(Z53="","","|n"&amp;DF$2&amp;"+"&amp;Z53&amp;DF$1)</f>
        <v>|n生命值+500</v>
      </c>
      <c r="DG53" s="40" t="str">
        <f t="shared" ref="DG53:DG54" si="375">IF(AA53="","","|n"&amp;DG$2&amp;"+"&amp;AA53&amp;DG$1)</f>
        <v/>
      </c>
      <c r="DH53" s="40" t="str">
        <f t="shared" ref="DH53:DH54" si="376">IF(AB53="","","|n"&amp;DH$2&amp;"+"&amp;AB53&amp;DH$1)</f>
        <v>|n生命回复+10</v>
      </c>
      <c r="DI53" s="40" t="str">
        <f t="shared" ref="DI53:DI54" si="377">IF(AC53="","","|n"&amp;DI$2&amp;"+"&amp;AC53&amp;DI$1)</f>
        <v/>
      </c>
      <c r="DJ53" s="40" t="str">
        <f t="shared" ref="DJ53:DJ54" si="378">IF(AD53="","","|n"&amp;DJ$2&amp;"+"&amp;AD53&amp;DJ$1)</f>
        <v/>
      </c>
      <c r="DK53" s="40" t="str">
        <f t="shared" ref="DK53:DK54" si="379">IF(AE53="","","|n"&amp;DK$2&amp;"+"&amp;AE53&amp;DK$1)</f>
        <v/>
      </c>
      <c r="DL53" s="40" t="str">
        <f t="shared" ref="DL53:DL54" si="380">IF(AF53="","","|n"&amp;DL$2&amp;"+"&amp;AF53&amp;DL$1)</f>
        <v/>
      </c>
      <c r="DM53" s="40" t="str">
        <f t="shared" ref="DM53:DM54" si="381">IF(AG53="","","|n"&amp;DM$2&amp;"+"&amp;AG53&amp;DM$1)</f>
        <v/>
      </c>
      <c r="DN53" s="40" t="str">
        <f t="shared" ref="DN53:DN54" si="382">IF(AH53="","","|n"&amp;DN$2&amp;"+"&amp;AH53&amp;DN$1)</f>
        <v/>
      </c>
      <c r="DO53" s="40" t="str">
        <f t="shared" ref="DO53:DO54" si="383">IF(AI53="","","|n"&amp;DO$2&amp;"+"&amp;AI53&amp;DO$1)</f>
        <v/>
      </c>
      <c r="DP53" s="40" t="str">
        <f t="shared" ref="DP53:DP54" si="384">IF(AJ53="","","|n"&amp;DP$2&amp;"+"&amp;AJ53&amp;DP$1)</f>
        <v/>
      </c>
      <c r="DQ53" s="40" t="str">
        <f t="shared" ref="DQ53:DQ54" si="385">IF(AK53="","","|n"&amp;DQ$2&amp;"+"&amp;AK53&amp;DQ$1)</f>
        <v/>
      </c>
      <c r="DR53" s="40" t="str">
        <f t="shared" ref="DR53:DR54" si="386">IF(AL53="","","|n"&amp;DR$2&amp;"+"&amp;AL53&amp;DR$1)</f>
        <v/>
      </c>
      <c r="DS53" s="40" t="str">
        <f t="shared" ref="DS53:DS54" si="387">IF(AM53="","","|n"&amp;DS$2&amp;"+"&amp;AM53&amp;DS$1)</f>
        <v/>
      </c>
      <c r="DT53" s="40" t="str">
        <f t="shared" ref="DT53:DT54" si="388">IF(AN53="","","|n"&amp;DT$2&amp;"+"&amp;AN53&amp;DT$1)</f>
        <v/>
      </c>
      <c r="DU53" s="40" t="str">
        <f t="shared" ref="DU53:DU54" si="389">IF(AO53="","","|n"&amp;DU$2&amp;"+"&amp;AO53&amp;DU$1)</f>
        <v/>
      </c>
      <c r="DV53" s="40" t="str">
        <f t="shared" ref="DV53:DV54" si="390">IF(AP53="","","|n"&amp;DV$2&amp;"+"&amp;AP53&amp;DV$1)</f>
        <v/>
      </c>
      <c r="DW53" s="40" t="str">
        <f t="shared" ref="DW53:DW54" si="391">IF(AQ53="","","|n"&amp;DW$2&amp;"+"&amp;AQ53&amp;DW$1)</f>
        <v/>
      </c>
      <c r="DX53" s="40" t="str">
        <f t="shared" ref="DX53:DX54" si="392">IF(AR53="","","|n"&amp;DX$2&amp;"+"&amp;AR53&amp;DX$1)</f>
        <v/>
      </c>
      <c r="DY53" s="40" t="str">
        <f t="shared" ref="DY53:DY54" si="393">IF(AS53="","","|n"&amp;DY$2&amp;"+"&amp;AS53&amp;DY$1)</f>
        <v/>
      </c>
      <c r="DZ53" s="40" t="str">
        <f t="shared" ref="DZ53:DZ54" si="394">IF(AT53="","","|n"&amp;DZ$2&amp;"+"&amp;AT53&amp;DZ$1)</f>
        <v/>
      </c>
      <c r="EA53" s="40" t="str">
        <f t="shared" ref="EA53:EA54" si="395">IF(AU53="","","|n"&amp;EA$2&amp;"+"&amp;AU53&amp;EA$1)</f>
        <v/>
      </c>
      <c r="EB53" s="40" t="str">
        <f t="shared" ref="EB53:EB54" si="396">IF(AV53="","","|n"&amp;EB$2&amp;"+"&amp;AV53&amp;EB$1)</f>
        <v/>
      </c>
      <c r="EC53" s="40" t="str">
        <f t="shared" ref="EC53:EC54" si="397">IF(AW53="","","|n"&amp;EC$2&amp;"+"&amp;AW53&amp;EC$1)</f>
        <v/>
      </c>
      <c r="ED53" s="40" t="str">
        <f t="shared" ref="ED53:ED54" si="398">IF(AX53="","","|n"&amp;ED$2&amp;"+"&amp;AX53&amp;ED$1)</f>
        <v/>
      </c>
      <c r="EE53" s="40" t="str">
        <f t="shared" ref="EE53:EE54" si="399">IF(AY53="","","|n"&amp;EE$2&amp;"+"&amp;AY53&amp;EE$1)</f>
        <v/>
      </c>
      <c r="EF53" s="40" t="str">
        <f t="shared" ref="EF53:EF54" si="400">IF(AZ53="","","|n"&amp;EF$2&amp;"+"&amp;AZ53&amp;EF$1)</f>
        <v/>
      </c>
      <c r="EG53" s="40" t="str">
        <f t="shared" ref="EG53:EG54" si="401">IF(BA53="","","|n"&amp;EG$2&amp;"+"&amp;BA53&amp;EG$1)</f>
        <v/>
      </c>
      <c r="EH53" s="40" t="str">
        <f t="shared" ref="EH53:EH54" si="402">IF(BB53="","","|n"&amp;EH$2&amp;"+"&amp;BB53&amp;EH$1)</f>
        <v/>
      </c>
      <c r="EI53" s="40" t="str">
        <f t="shared" ref="EI53:EI54" si="403">IF(BC53="","","|n"&amp;EI$2&amp;"+"&amp;BC53&amp;EI$1)</f>
        <v/>
      </c>
      <c r="EJ53" s="40" t="str">
        <f t="shared" ref="EJ53:EJ54" si="404">IF(BD53="","","|n"&amp;EJ$2&amp;"+"&amp;BD53&amp;EJ$1)</f>
        <v/>
      </c>
      <c r="EK53" s="40" t="str">
        <f t="shared" ref="EK53:EK54" si="405">IF(BE53="","","|n"&amp;EK$2&amp;"+"&amp;BE53&amp;EK$1)</f>
        <v/>
      </c>
      <c r="EL53" s="40" t="str">
        <f t="shared" ref="EL53:EL54" si="406">IF(BF53="","","|n"&amp;EL$2&amp;"+"&amp;BF53&amp;EL$1)</f>
        <v/>
      </c>
      <c r="EM53" s="40" t="str">
        <f t="shared" ref="EM53:EM54" si="407">IF(BG53="","","|n"&amp;EM$2&amp;"+"&amp;BG53&amp;EM$1)</f>
        <v/>
      </c>
      <c r="EN53" s="40" t="str">
        <f t="shared" ref="EN53:EN54" si="408">IF(BH53="","","|n"&amp;EN$2&amp;"+"&amp;BH53&amp;EN$1)</f>
        <v/>
      </c>
      <c r="EO53" s="40" t="str">
        <f t="shared" ref="EO53:EO54" si="409">IF(BI53="","","|n"&amp;EO$2&amp;"+"&amp;BI53&amp;EO$1)</f>
        <v/>
      </c>
      <c r="EP53" s="40" t="str">
        <f t="shared" ref="EP53:EP54" si="410">IF(BJ53="","","|n"&amp;EP$2&amp;"+"&amp;BJ53&amp;EP$1)</f>
        <v/>
      </c>
      <c r="EQ53" s="40" t="str">
        <f t="shared" ref="EQ53:EQ54" si="411">IF(BK53="","","|n"&amp;EQ$2&amp;"+"&amp;BK53&amp;EQ$1)</f>
        <v/>
      </c>
      <c r="ER53" s="40" t="str">
        <f t="shared" ref="ER53:ER54" si="412">IF(BL53="","","|n"&amp;ER$2&amp;"+"&amp;BL53&amp;ER$1)</f>
        <v/>
      </c>
      <c r="ES53" s="40" t="str">
        <f t="shared" ref="ES53:ES54" si="413">IF(BM53="","","|n"&amp;ES$2&amp;"+"&amp;BM53&amp;ES$1)</f>
        <v/>
      </c>
      <c r="ET53" s="40" t="str">
        <f t="shared" ref="ET53:ET54" si="414">IF(BN53="","","|n"&amp;ET$2&amp;"+"&amp;BN53&amp;ET$1)</f>
        <v/>
      </c>
      <c r="EU53" s="40" t="str">
        <f t="shared" ref="EU53:EU54" si="415">IF(BO53="","","|n"&amp;EU$2&amp;"+"&amp;BO53&amp;EU$1)</f>
        <v/>
      </c>
      <c r="EV53" s="40" t="str">
        <f t="shared" ref="EV53:EV54" si="416">IF(BP53="","","|n"&amp;EV$2&amp;"+"&amp;BP53&amp;EV$1)</f>
        <v/>
      </c>
      <c r="EW53" s="40" t="str">
        <f t="shared" ref="EW53:EW54" si="417">IF(BQ53="","","|n"&amp;EW$2&amp;"+"&amp;BQ53&amp;EW$1)</f>
        <v/>
      </c>
      <c r="EX53" s="40" t="str">
        <f t="shared" ref="EX53:EX54" si="418">IF(BR53="","","|n"&amp;EX$2&amp;"+"&amp;BR53&amp;EX$1)</f>
        <v/>
      </c>
      <c r="EY53" s="40" t="str">
        <f t="shared" ref="EY53:EY54" si="419">IF(BS53="","","|n"&amp;EY$2&amp;"+"&amp;BS53&amp;EY$1)</f>
        <v/>
      </c>
      <c r="EZ53" s="40" t="str">
        <f t="shared" ref="EZ53:EZ54" si="420">IF(BT53="","","|n"&amp;EZ$2&amp;"+"&amp;BT53&amp;EZ$1)</f>
        <v/>
      </c>
      <c r="FA53" s="40" t="str">
        <f t="shared" ref="FA53:FA54" si="421">IF(BU53="","","|n"&amp;FA$2&amp;"+"&amp;BU53&amp;FA$1)</f>
        <v/>
      </c>
      <c r="FB53" s="40" t="str">
        <f t="shared" ref="FB53:FB54" si="422">IF(BV53="","","|n"&amp;FB$2&amp;"+"&amp;BV53&amp;FB$1)</f>
        <v/>
      </c>
      <c r="FC53" s="40" t="str">
        <f t="shared" ref="FC53:FC54" si="423">IF(BW53="","","|n"&amp;FC$2&amp;"+"&amp;BW53&amp;FC$1)</f>
        <v/>
      </c>
      <c r="FD53" s="40" t="str">
        <f t="shared" ref="FD53:FD54" si="424">IF(BX53="","","|n"&amp;FD$2&amp;"+"&amp;BX53&amp;FD$1)</f>
        <v/>
      </c>
      <c r="FE53" s="40" t="str">
        <f t="shared" ref="FE53:FE54" si="425">IF(BY53="","","|n"&amp;FE$2&amp;"+"&amp;BY53&amp;FE$1)</f>
        <v/>
      </c>
      <c r="FF53" s="40" t="str">
        <f t="shared" ref="FF53:FF54" si="426">IF(BZ53="","","|n"&amp;FF$2&amp;"+"&amp;BZ53&amp;FF$1)</f>
        <v/>
      </c>
      <c r="FG53" s="40" t="str">
        <f t="shared" ref="FG53:FG54" si="427">IF(CA53="","","|n"&amp;FG$2&amp;"+"&amp;CA53&amp;FG$1)</f>
        <v/>
      </c>
      <c r="FH53" s="40" t="str">
        <f t="shared" ref="FH53:FH54" si="428">IF(CB53="","","|n"&amp;FH$2&amp;"+"&amp;CB53&amp;FH$1)</f>
        <v/>
      </c>
      <c r="FI53" s="40" t="str">
        <f t="shared" ref="FI53:FI54" si="429">IF(CC53="","","|n"&amp;FI$2&amp;"+"&amp;CC53&amp;FI$1)</f>
        <v/>
      </c>
      <c r="FJ53" s="40" t="str">
        <f t="shared" ref="FJ53:FJ54" si="430">IF(CD53="","","|n"&amp;FJ$2&amp;"+"&amp;CD53&amp;FJ$1)</f>
        <v/>
      </c>
      <c r="FK53" s="40" t="str">
        <f t="shared" ref="FK53:FK54" si="431">IF(CE53="","","|n"&amp;FK$2&amp;"+"&amp;CE53&amp;FK$1)</f>
        <v/>
      </c>
      <c r="FL53" s="40" t="str">
        <f t="shared" ref="FL53:FL54" si="432">IF(CF53="","","|n"&amp;FL$2&amp;"+"&amp;CF53&amp;FL$1)</f>
        <v/>
      </c>
      <c r="FM53" s="40" t="str">
        <f t="shared" ref="FM53:FM54" si="433">IF(CG53="","","|n"&amp;FM$2&amp;"+"&amp;CG53&amp;FM$1)</f>
        <v/>
      </c>
      <c r="FN53" s="40" t="str">
        <f t="shared" ref="FN53:FN54" si="434">IF(CH53="","","|n"&amp;FN$2&amp;"+"&amp;CH53&amp;FN$1)</f>
        <v/>
      </c>
      <c r="FO53" s="40" t="str">
        <f t="shared" ref="FO53:FO54" si="435">IF(CI53="","","|n"&amp;FO$2&amp;"+"&amp;CI53&amp;FO$1)</f>
        <v/>
      </c>
      <c r="FP53" s="40" t="str">
        <f t="shared" ref="FP53:FP54" si="436">IF(CJ53="","","|n"&amp;FP$2&amp;"+"&amp;CJ53&amp;FP$1)</f>
        <v/>
      </c>
      <c r="FQ53" s="40" t="str">
        <f t="shared" ref="FQ53:FQ54" si="437">IF(CK53="","","|n"&amp;FQ$2&amp;"+"&amp;CK53&amp;FQ$1)</f>
        <v/>
      </c>
      <c r="FR53" s="40" t="str">
        <f t="shared" ref="FR53:FR54" si="438">IF(CL53="","","|n"&amp;FR$2&amp;"+"&amp;CL53&amp;FR$1)</f>
        <v/>
      </c>
      <c r="FS53" s="40" t="str">
        <f t="shared" ref="FS53:FS54" si="439">IF(CM53="","","|n"&amp;FS$2&amp;"+"&amp;CM53&amp;FS$1)</f>
        <v/>
      </c>
    </row>
    <row r="54" spans="1:175" s="4" customFormat="1" ht="16.5">
      <c r="A54" s="8"/>
      <c r="B54" s="41" t="s">
        <v>221</v>
      </c>
      <c r="C54" s="8" t="s">
        <v>222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0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220</v>
      </c>
      <c r="V54" s="52"/>
      <c r="W54" s="52"/>
      <c r="X54" s="52">
        <v>30</v>
      </c>
      <c r="Y54" s="52"/>
      <c r="Z54" s="52">
        <v>1000</v>
      </c>
      <c r="AA54" s="52"/>
      <c r="AB54" s="52">
        <f t="shared" si="293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4"/>
        <v>InitUnitState('E202',,,30,,1000,,20,,,)</v>
      </c>
      <c r="CO54" s="58" t="str">
        <f t="shared" si="295"/>
        <v>InitUnitNormal('E202',,,,,,,,,,)</v>
      </c>
      <c r="CP54" s="58" t="str">
        <f t="shared" si="296"/>
        <v>InitUnitMagic('E202',,,,,,,,,,)</v>
      </c>
      <c r="CQ54" s="58" t="str">
        <f t="shared" si="297"/>
        <v>InitUnitAdd('E202',,,,,,,,,,)</v>
      </c>
      <c r="CR54" s="58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|n护甲+30|n生命值+1000|n生命回复+20|n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|Cffbbbbbb属性：|r|n护甲+30|n生命值+1000|n生命回复+20|n|n|Cff00ff7f点击消耗500金币进行强化|n成功率100%</v>
      </c>
      <c r="DB54" s="40" t="str">
        <f t="shared" si="370"/>
        <v/>
      </c>
      <c r="DC54" s="40" t="str">
        <f t="shared" si="371"/>
        <v/>
      </c>
      <c r="DD54" s="40" t="str">
        <f t="shared" si="372"/>
        <v>|n护甲+30</v>
      </c>
      <c r="DE54" s="40" t="str">
        <f t="shared" si="373"/>
        <v/>
      </c>
      <c r="DF54" s="40" t="str">
        <f t="shared" si="374"/>
        <v>|n生命值+1000</v>
      </c>
      <c r="DG54" s="40" t="str">
        <f t="shared" si="375"/>
        <v/>
      </c>
      <c r="DH54" s="40" t="str">
        <f t="shared" si="376"/>
        <v>|n生命回复+20</v>
      </c>
      <c r="DI54" s="40" t="str">
        <f t="shared" si="377"/>
        <v/>
      </c>
      <c r="DJ54" s="40" t="str">
        <f t="shared" si="378"/>
        <v/>
      </c>
      <c r="DK54" s="40" t="str">
        <f t="shared" si="379"/>
        <v/>
      </c>
      <c r="DL54" s="40" t="str">
        <f t="shared" si="380"/>
        <v/>
      </c>
      <c r="DM54" s="40" t="str">
        <f t="shared" si="381"/>
        <v/>
      </c>
      <c r="DN54" s="40" t="str">
        <f t="shared" si="382"/>
        <v/>
      </c>
      <c r="DO54" s="40" t="str">
        <f t="shared" si="383"/>
        <v/>
      </c>
      <c r="DP54" s="40" t="str">
        <f t="shared" si="384"/>
        <v/>
      </c>
      <c r="DQ54" s="40" t="str">
        <f t="shared" si="385"/>
        <v/>
      </c>
      <c r="DR54" s="40" t="str">
        <f t="shared" si="386"/>
        <v/>
      </c>
      <c r="DS54" s="40" t="str">
        <f t="shared" si="387"/>
        <v/>
      </c>
      <c r="DT54" s="40" t="str">
        <f t="shared" si="388"/>
        <v/>
      </c>
      <c r="DU54" s="40" t="str">
        <f t="shared" si="389"/>
        <v/>
      </c>
      <c r="DV54" s="40" t="str">
        <f t="shared" si="390"/>
        <v/>
      </c>
      <c r="DW54" s="40" t="str">
        <f t="shared" si="391"/>
        <v/>
      </c>
      <c r="DX54" s="40" t="str">
        <f t="shared" si="392"/>
        <v/>
      </c>
      <c r="DY54" s="40" t="str">
        <f t="shared" si="393"/>
        <v/>
      </c>
      <c r="DZ54" s="40" t="str">
        <f t="shared" si="394"/>
        <v/>
      </c>
      <c r="EA54" s="40" t="str">
        <f t="shared" si="395"/>
        <v/>
      </c>
      <c r="EB54" s="40" t="str">
        <f t="shared" si="396"/>
        <v/>
      </c>
      <c r="EC54" s="40" t="str">
        <f t="shared" si="397"/>
        <v/>
      </c>
      <c r="ED54" s="40" t="str">
        <f t="shared" si="398"/>
        <v/>
      </c>
      <c r="EE54" s="40" t="str">
        <f t="shared" si="399"/>
        <v/>
      </c>
      <c r="EF54" s="40" t="str">
        <f t="shared" si="400"/>
        <v/>
      </c>
      <c r="EG54" s="40" t="str">
        <f t="shared" si="401"/>
        <v/>
      </c>
      <c r="EH54" s="40" t="str">
        <f t="shared" si="402"/>
        <v/>
      </c>
      <c r="EI54" s="40" t="str">
        <f t="shared" si="403"/>
        <v/>
      </c>
      <c r="EJ54" s="40" t="str">
        <f t="shared" si="404"/>
        <v/>
      </c>
      <c r="EK54" s="40" t="str">
        <f t="shared" si="405"/>
        <v/>
      </c>
      <c r="EL54" s="40" t="str">
        <f t="shared" si="406"/>
        <v/>
      </c>
      <c r="EM54" s="40" t="str">
        <f t="shared" si="407"/>
        <v/>
      </c>
      <c r="EN54" s="40" t="str">
        <f t="shared" si="408"/>
        <v/>
      </c>
      <c r="EO54" s="40" t="str">
        <f t="shared" si="409"/>
        <v/>
      </c>
      <c r="EP54" s="40" t="str">
        <f t="shared" si="410"/>
        <v/>
      </c>
      <c r="EQ54" s="40" t="str">
        <f t="shared" si="411"/>
        <v/>
      </c>
      <c r="ER54" s="40" t="str">
        <f t="shared" si="412"/>
        <v/>
      </c>
      <c r="ES54" s="40" t="str">
        <f t="shared" si="413"/>
        <v/>
      </c>
      <c r="ET54" s="40" t="str">
        <f t="shared" si="414"/>
        <v/>
      </c>
      <c r="EU54" s="40" t="str">
        <f t="shared" si="415"/>
        <v/>
      </c>
      <c r="EV54" s="40" t="str">
        <f t="shared" si="416"/>
        <v/>
      </c>
      <c r="EW54" s="40" t="str">
        <f t="shared" si="417"/>
        <v/>
      </c>
      <c r="EX54" s="40" t="str">
        <f t="shared" si="418"/>
        <v/>
      </c>
      <c r="EY54" s="40" t="str">
        <f t="shared" si="419"/>
        <v/>
      </c>
      <c r="EZ54" s="40" t="str">
        <f t="shared" si="420"/>
        <v/>
      </c>
      <c r="FA54" s="40" t="str">
        <f t="shared" si="421"/>
        <v/>
      </c>
      <c r="FB54" s="40" t="str">
        <f t="shared" si="422"/>
        <v/>
      </c>
      <c r="FC54" s="40" t="str">
        <f t="shared" si="423"/>
        <v/>
      </c>
      <c r="FD54" s="40" t="str">
        <f t="shared" si="424"/>
        <v/>
      </c>
      <c r="FE54" s="40" t="str">
        <f t="shared" si="425"/>
        <v/>
      </c>
      <c r="FF54" s="40" t="str">
        <f t="shared" si="426"/>
        <v/>
      </c>
      <c r="FG54" s="40" t="str">
        <f t="shared" si="427"/>
        <v/>
      </c>
      <c r="FH54" s="40" t="str">
        <f t="shared" si="428"/>
        <v/>
      </c>
      <c r="FI54" s="40" t="str">
        <f t="shared" si="429"/>
        <v/>
      </c>
      <c r="FJ54" s="40" t="str">
        <f t="shared" si="430"/>
        <v/>
      </c>
      <c r="FK54" s="40" t="str">
        <f t="shared" si="431"/>
        <v/>
      </c>
      <c r="FL54" s="40" t="str">
        <f t="shared" si="432"/>
        <v/>
      </c>
      <c r="FM54" s="40" t="str">
        <f t="shared" si="433"/>
        <v/>
      </c>
      <c r="FN54" s="40" t="str">
        <f t="shared" si="434"/>
        <v/>
      </c>
      <c r="FO54" s="40" t="str">
        <f t="shared" si="435"/>
        <v/>
      </c>
      <c r="FP54" s="40" t="str">
        <f t="shared" si="436"/>
        <v/>
      </c>
      <c r="FQ54" s="40" t="str">
        <f t="shared" si="437"/>
        <v/>
      </c>
      <c r="FR54" s="40" t="str">
        <f t="shared" si="438"/>
        <v/>
      </c>
      <c r="FS54" s="40" t="str">
        <f t="shared" si="439"/>
        <v/>
      </c>
    </row>
    <row r="55" spans="1:175" s="4" customFormat="1" ht="16.5">
      <c r="A55" s="8"/>
      <c r="B55" s="41" t="s">
        <v>223</v>
      </c>
      <c r="C55" s="8" t="s">
        <v>224</v>
      </c>
      <c r="D55" s="42"/>
      <c r="E55" s="43"/>
      <c r="F55" s="44">
        <v>600</v>
      </c>
      <c r="G55" s="45">
        <v>100</v>
      </c>
      <c r="H55" s="45"/>
      <c r="I55" s="45" t="str">
        <f t="shared" si="440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220</v>
      </c>
      <c r="V55" s="52"/>
      <c r="W55" s="52"/>
      <c r="X55" s="52">
        <v>45</v>
      </c>
      <c r="Y55" s="52"/>
      <c r="Z55" s="52">
        <v>1500</v>
      </c>
      <c r="AA55" s="52"/>
      <c r="AB55" s="52">
        <f t="shared" si="293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4"/>
        <v>InitUnitState('E203',,,45,,1500,,30,,,)</v>
      </c>
      <c r="CO55" s="58" t="str">
        <f t="shared" si="295"/>
        <v>InitUnitNormal('E203',,,,,,,,,,)</v>
      </c>
      <c r="CP55" s="58" t="str">
        <f t="shared" si="296"/>
        <v>InitUnitMagic('E203',,,,,,,,,,)</v>
      </c>
      <c r="CQ55" s="58" t="str">
        <f t="shared" si="297"/>
        <v>InitUnitAdd('E203',,,,,,,,,,)</v>
      </c>
      <c r="CR55" s="58" t="str">
        <f t="shared" si="441"/>
        <v>InitEquipData('E203',,"",,E204,600,100,'','','','','','',"ReplaceableTextures\\CommandButtons\\BTNZ13.blp")</v>
      </c>
      <c r="CS55" s="58"/>
      <c r="CT55" s="58"/>
      <c r="CU55" s="61" t="str">
        <f t="shared" si="78"/>
        <v>|n护甲+45|n生命值+1500|n生命回复+30|n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|Cffbbbbbb属性：|r|n护甲+45|n生命值+1500|n生命回复+30|n|n|Cff00ff7f点击消耗600金币进行强化|n成功率100%</v>
      </c>
      <c r="DB55" s="40" t="str">
        <f t="shared" ref="DB55:DB56" si="442">IF(V55="","","|n"&amp;DB$2&amp;"+"&amp;V55&amp;DB$1)</f>
        <v/>
      </c>
      <c r="DC55" s="40" t="str">
        <f t="shared" ref="DC55:DC56" si="443">IF(W55="","","|n"&amp;DC$2&amp;"+"&amp;W55&amp;DC$1)</f>
        <v/>
      </c>
      <c r="DD55" s="40" t="str">
        <f t="shared" ref="DD55:DD56" si="444">IF(X55="","","|n"&amp;DD$2&amp;"+"&amp;X55&amp;DD$1)</f>
        <v>|n护甲+45</v>
      </c>
      <c r="DE55" s="40" t="str">
        <f t="shared" ref="DE55:DE56" si="445">IF(Y55="","","|n"&amp;DE$2&amp;"+"&amp;Y55&amp;DE$1)</f>
        <v/>
      </c>
      <c r="DF55" s="40" t="str">
        <f t="shared" ref="DF55:DF56" si="446">IF(Z55="","","|n"&amp;DF$2&amp;"+"&amp;Z55&amp;DF$1)</f>
        <v>|n生命值+1500</v>
      </c>
      <c r="DG55" s="40" t="str">
        <f t="shared" ref="DG55:DG56" si="447">IF(AA55="","","|n"&amp;DG$2&amp;"+"&amp;AA55&amp;DG$1)</f>
        <v/>
      </c>
      <c r="DH55" s="40" t="str">
        <f t="shared" ref="DH55:DH56" si="448">IF(AB55="","","|n"&amp;DH$2&amp;"+"&amp;AB55&amp;DH$1)</f>
        <v>|n生命回复+30</v>
      </c>
      <c r="DI55" s="40" t="str">
        <f t="shared" ref="DI55:DI56" si="449">IF(AC55="","","|n"&amp;DI$2&amp;"+"&amp;AC55&amp;DI$1)</f>
        <v/>
      </c>
      <c r="DJ55" s="40" t="str">
        <f t="shared" ref="DJ55:DJ56" si="450">IF(AD55="","","|n"&amp;DJ$2&amp;"+"&amp;AD55&amp;DJ$1)</f>
        <v/>
      </c>
      <c r="DK55" s="40" t="str">
        <f t="shared" ref="DK55:DK56" si="451">IF(AE55="","","|n"&amp;DK$2&amp;"+"&amp;AE55&amp;DK$1)</f>
        <v/>
      </c>
      <c r="DL55" s="40" t="str">
        <f t="shared" ref="DL55:DL56" si="452">IF(AF55="","","|n"&amp;DL$2&amp;"+"&amp;AF55&amp;DL$1)</f>
        <v/>
      </c>
      <c r="DM55" s="40" t="str">
        <f t="shared" ref="DM55:DM56" si="453">IF(AG55="","","|n"&amp;DM$2&amp;"+"&amp;AG55&amp;DM$1)</f>
        <v/>
      </c>
      <c r="DN55" s="40" t="str">
        <f t="shared" ref="DN55:DN56" si="454">IF(AH55="","","|n"&amp;DN$2&amp;"+"&amp;AH55&amp;DN$1)</f>
        <v/>
      </c>
      <c r="DO55" s="40" t="str">
        <f t="shared" ref="DO55:DO56" si="455">IF(AI55="","","|n"&amp;DO$2&amp;"+"&amp;AI55&amp;DO$1)</f>
        <v/>
      </c>
      <c r="DP55" s="40" t="str">
        <f t="shared" ref="DP55:DP56" si="456">IF(AJ55="","","|n"&amp;DP$2&amp;"+"&amp;AJ55&amp;DP$1)</f>
        <v/>
      </c>
      <c r="DQ55" s="40" t="str">
        <f t="shared" ref="DQ55:DQ56" si="457">IF(AK55="","","|n"&amp;DQ$2&amp;"+"&amp;AK55&amp;DQ$1)</f>
        <v/>
      </c>
      <c r="DR55" s="40" t="str">
        <f t="shared" ref="DR55:DR56" si="458">IF(AL55="","","|n"&amp;DR$2&amp;"+"&amp;AL55&amp;DR$1)</f>
        <v/>
      </c>
      <c r="DS55" s="40" t="str">
        <f t="shared" ref="DS55:DS56" si="459">IF(AM55="","","|n"&amp;DS$2&amp;"+"&amp;AM55&amp;DS$1)</f>
        <v/>
      </c>
      <c r="DT55" s="40" t="str">
        <f t="shared" ref="DT55:DT56" si="460">IF(AN55="","","|n"&amp;DT$2&amp;"+"&amp;AN55&amp;DT$1)</f>
        <v/>
      </c>
      <c r="DU55" s="40" t="str">
        <f t="shared" ref="DU55:DU56" si="461">IF(AO55="","","|n"&amp;DU$2&amp;"+"&amp;AO55&amp;DU$1)</f>
        <v/>
      </c>
      <c r="DV55" s="40" t="str">
        <f t="shared" ref="DV55:DV56" si="462">IF(AP55="","","|n"&amp;DV$2&amp;"+"&amp;AP55&amp;DV$1)</f>
        <v/>
      </c>
      <c r="DW55" s="40" t="str">
        <f t="shared" ref="DW55:DW56" si="463">IF(AQ55="","","|n"&amp;DW$2&amp;"+"&amp;AQ55&amp;DW$1)</f>
        <v/>
      </c>
      <c r="DX55" s="40" t="str">
        <f t="shared" ref="DX55:DX56" si="464">IF(AR55="","","|n"&amp;DX$2&amp;"+"&amp;AR55&amp;DX$1)</f>
        <v/>
      </c>
      <c r="DY55" s="40" t="str">
        <f t="shared" ref="DY55:DY56" si="465">IF(AS55="","","|n"&amp;DY$2&amp;"+"&amp;AS55&amp;DY$1)</f>
        <v/>
      </c>
      <c r="DZ55" s="40" t="str">
        <f t="shared" ref="DZ55:DZ56" si="466">IF(AT55="","","|n"&amp;DZ$2&amp;"+"&amp;AT55&amp;DZ$1)</f>
        <v/>
      </c>
      <c r="EA55" s="40" t="str">
        <f t="shared" ref="EA55:EA56" si="467">IF(AU55="","","|n"&amp;EA$2&amp;"+"&amp;AU55&amp;EA$1)</f>
        <v/>
      </c>
      <c r="EB55" s="40" t="str">
        <f t="shared" ref="EB55:EB56" si="468">IF(AV55="","","|n"&amp;EB$2&amp;"+"&amp;AV55&amp;EB$1)</f>
        <v/>
      </c>
      <c r="EC55" s="40" t="str">
        <f t="shared" ref="EC55:EC56" si="469">IF(AW55="","","|n"&amp;EC$2&amp;"+"&amp;AW55&amp;EC$1)</f>
        <v/>
      </c>
      <c r="ED55" s="40" t="str">
        <f t="shared" ref="ED55:ED56" si="470">IF(AX55="","","|n"&amp;ED$2&amp;"+"&amp;AX55&amp;ED$1)</f>
        <v/>
      </c>
      <c r="EE55" s="40" t="str">
        <f t="shared" ref="EE55:EE56" si="471">IF(AY55="","","|n"&amp;EE$2&amp;"+"&amp;AY55&amp;EE$1)</f>
        <v/>
      </c>
      <c r="EF55" s="40" t="str">
        <f t="shared" ref="EF55:EF56" si="472">IF(AZ55="","","|n"&amp;EF$2&amp;"+"&amp;AZ55&amp;EF$1)</f>
        <v/>
      </c>
      <c r="EG55" s="40" t="str">
        <f t="shared" ref="EG55:EG56" si="473">IF(BA55="","","|n"&amp;EG$2&amp;"+"&amp;BA55&amp;EG$1)</f>
        <v/>
      </c>
      <c r="EH55" s="40" t="str">
        <f t="shared" ref="EH55:EH56" si="474">IF(BB55="","","|n"&amp;EH$2&amp;"+"&amp;BB55&amp;EH$1)</f>
        <v/>
      </c>
      <c r="EI55" s="40" t="str">
        <f t="shared" ref="EI55:EI56" si="475">IF(BC55="","","|n"&amp;EI$2&amp;"+"&amp;BC55&amp;EI$1)</f>
        <v/>
      </c>
      <c r="EJ55" s="40" t="str">
        <f t="shared" ref="EJ55:EJ56" si="476">IF(BD55="","","|n"&amp;EJ$2&amp;"+"&amp;BD55&amp;EJ$1)</f>
        <v/>
      </c>
      <c r="EK55" s="40" t="str">
        <f t="shared" ref="EK55:EK56" si="477">IF(BE55="","","|n"&amp;EK$2&amp;"+"&amp;BE55&amp;EK$1)</f>
        <v/>
      </c>
      <c r="EL55" s="40" t="str">
        <f t="shared" ref="EL55:EL56" si="478">IF(BF55="","","|n"&amp;EL$2&amp;"+"&amp;BF55&amp;EL$1)</f>
        <v/>
      </c>
      <c r="EM55" s="40" t="str">
        <f t="shared" ref="EM55:EM56" si="479">IF(BG55="","","|n"&amp;EM$2&amp;"+"&amp;BG55&amp;EM$1)</f>
        <v/>
      </c>
      <c r="EN55" s="40" t="str">
        <f t="shared" ref="EN55:EN56" si="480">IF(BH55="","","|n"&amp;EN$2&amp;"+"&amp;BH55&amp;EN$1)</f>
        <v/>
      </c>
      <c r="EO55" s="40" t="str">
        <f t="shared" ref="EO55:EO56" si="481">IF(BI55="","","|n"&amp;EO$2&amp;"+"&amp;BI55&amp;EO$1)</f>
        <v/>
      </c>
      <c r="EP55" s="40" t="str">
        <f t="shared" ref="EP55:EP56" si="482">IF(BJ55="","","|n"&amp;EP$2&amp;"+"&amp;BJ55&amp;EP$1)</f>
        <v/>
      </c>
      <c r="EQ55" s="40" t="str">
        <f t="shared" ref="EQ55:EQ56" si="483">IF(BK55="","","|n"&amp;EQ$2&amp;"+"&amp;BK55&amp;EQ$1)</f>
        <v/>
      </c>
      <c r="ER55" s="40" t="str">
        <f t="shared" ref="ER55:ER56" si="484">IF(BL55="","","|n"&amp;ER$2&amp;"+"&amp;BL55&amp;ER$1)</f>
        <v/>
      </c>
      <c r="ES55" s="40" t="str">
        <f t="shared" ref="ES55:ES56" si="485">IF(BM55="","","|n"&amp;ES$2&amp;"+"&amp;BM55&amp;ES$1)</f>
        <v/>
      </c>
      <c r="ET55" s="40" t="str">
        <f t="shared" ref="ET55:ET56" si="486">IF(BN55="","","|n"&amp;ET$2&amp;"+"&amp;BN55&amp;ET$1)</f>
        <v/>
      </c>
      <c r="EU55" s="40" t="str">
        <f t="shared" ref="EU55:EU56" si="487">IF(BO55="","","|n"&amp;EU$2&amp;"+"&amp;BO55&amp;EU$1)</f>
        <v/>
      </c>
      <c r="EV55" s="40" t="str">
        <f t="shared" ref="EV55:EV56" si="488">IF(BP55="","","|n"&amp;EV$2&amp;"+"&amp;BP55&amp;EV$1)</f>
        <v/>
      </c>
      <c r="EW55" s="40" t="str">
        <f t="shared" ref="EW55:EW56" si="489">IF(BQ55="","","|n"&amp;EW$2&amp;"+"&amp;BQ55&amp;EW$1)</f>
        <v/>
      </c>
      <c r="EX55" s="40" t="str">
        <f t="shared" ref="EX55:EX56" si="490">IF(BR55="","","|n"&amp;EX$2&amp;"+"&amp;BR55&amp;EX$1)</f>
        <v/>
      </c>
      <c r="EY55" s="40" t="str">
        <f t="shared" ref="EY55:EY56" si="491">IF(BS55="","","|n"&amp;EY$2&amp;"+"&amp;BS55&amp;EY$1)</f>
        <v/>
      </c>
      <c r="EZ55" s="40" t="str">
        <f t="shared" ref="EZ55:EZ56" si="492">IF(BT55="","","|n"&amp;EZ$2&amp;"+"&amp;BT55&amp;EZ$1)</f>
        <v/>
      </c>
      <c r="FA55" s="40" t="str">
        <f t="shared" ref="FA55:FA56" si="493">IF(BU55="","","|n"&amp;FA$2&amp;"+"&amp;BU55&amp;FA$1)</f>
        <v/>
      </c>
      <c r="FB55" s="40" t="str">
        <f t="shared" ref="FB55:FB56" si="494">IF(BV55="","","|n"&amp;FB$2&amp;"+"&amp;BV55&amp;FB$1)</f>
        <v/>
      </c>
      <c r="FC55" s="40" t="str">
        <f t="shared" ref="FC55:FC56" si="495">IF(BW55="","","|n"&amp;FC$2&amp;"+"&amp;BW55&amp;FC$1)</f>
        <v/>
      </c>
      <c r="FD55" s="40" t="str">
        <f t="shared" ref="FD55:FD56" si="496">IF(BX55="","","|n"&amp;FD$2&amp;"+"&amp;BX55&amp;FD$1)</f>
        <v/>
      </c>
      <c r="FE55" s="40" t="str">
        <f t="shared" ref="FE55:FE56" si="497">IF(BY55="","","|n"&amp;FE$2&amp;"+"&amp;BY55&amp;FE$1)</f>
        <v/>
      </c>
      <c r="FF55" s="40" t="str">
        <f t="shared" ref="FF55:FF56" si="498">IF(BZ55="","","|n"&amp;FF$2&amp;"+"&amp;BZ55&amp;FF$1)</f>
        <v/>
      </c>
      <c r="FG55" s="40" t="str">
        <f t="shared" ref="FG55:FG56" si="499">IF(CA55="","","|n"&amp;FG$2&amp;"+"&amp;CA55&amp;FG$1)</f>
        <v/>
      </c>
      <c r="FH55" s="40" t="str">
        <f t="shared" ref="FH55:FH56" si="500">IF(CB55="","","|n"&amp;FH$2&amp;"+"&amp;CB55&amp;FH$1)</f>
        <v/>
      </c>
      <c r="FI55" s="40" t="str">
        <f t="shared" ref="FI55:FI56" si="501">IF(CC55="","","|n"&amp;FI$2&amp;"+"&amp;CC55&amp;FI$1)</f>
        <v/>
      </c>
      <c r="FJ55" s="40" t="str">
        <f t="shared" ref="FJ55:FJ56" si="502">IF(CD55="","","|n"&amp;FJ$2&amp;"+"&amp;CD55&amp;FJ$1)</f>
        <v/>
      </c>
      <c r="FK55" s="40" t="str">
        <f t="shared" ref="FK55:FK56" si="503">IF(CE55="","","|n"&amp;FK$2&amp;"+"&amp;CE55&amp;FK$1)</f>
        <v/>
      </c>
      <c r="FL55" s="40" t="str">
        <f t="shared" ref="FL55:FL56" si="504">IF(CF55="","","|n"&amp;FL$2&amp;"+"&amp;CF55&amp;FL$1)</f>
        <v/>
      </c>
      <c r="FM55" s="40" t="str">
        <f t="shared" ref="FM55:FM56" si="505">IF(CG55="","","|n"&amp;FM$2&amp;"+"&amp;CG55&amp;FM$1)</f>
        <v/>
      </c>
      <c r="FN55" s="40" t="str">
        <f t="shared" ref="FN55:FN56" si="506">IF(CH55="","","|n"&amp;FN$2&amp;"+"&amp;CH55&amp;FN$1)</f>
        <v/>
      </c>
      <c r="FO55" s="40" t="str">
        <f t="shared" ref="FO55:FO56" si="507">IF(CI55="","","|n"&amp;FO$2&amp;"+"&amp;CI55&amp;FO$1)</f>
        <v/>
      </c>
      <c r="FP55" s="40" t="str">
        <f t="shared" ref="FP55:FP56" si="508">IF(CJ55="","","|n"&amp;FP$2&amp;"+"&amp;CJ55&amp;FP$1)</f>
        <v/>
      </c>
      <c r="FQ55" s="40" t="str">
        <f t="shared" ref="FQ55:FQ56" si="509">IF(CK55="","","|n"&amp;FQ$2&amp;"+"&amp;CK55&amp;FQ$1)</f>
        <v/>
      </c>
      <c r="FR55" s="40" t="str">
        <f t="shared" ref="FR55:FR56" si="510">IF(CL55="","","|n"&amp;FR$2&amp;"+"&amp;CL55&amp;FR$1)</f>
        <v/>
      </c>
      <c r="FS55" s="40" t="str">
        <f t="shared" ref="FS55:FS56" si="511">IF(CM55="","","|n"&amp;FS$2&amp;"+"&amp;CM55&amp;FS$1)</f>
        <v/>
      </c>
    </row>
    <row r="56" spans="1:175" s="4" customFormat="1" ht="16.5">
      <c r="A56" s="8"/>
      <c r="B56" s="41" t="s">
        <v>225</v>
      </c>
      <c r="C56" s="8" t="s">
        <v>226</v>
      </c>
      <c r="D56" s="42"/>
      <c r="E56" s="43"/>
      <c r="F56" s="44">
        <v>1000</v>
      </c>
      <c r="G56" s="45">
        <v>100</v>
      </c>
      <c r="H56" s="45"/>
      <c r="I56" s="45" t="str">
        <f t="shared" si="440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220</v>
      </c>
      <c r="V56" s="52"/>
      <c r="W56" s="52"/>
      <c r="X56" s="52">
        <v>60</v>
      </c>
      <c r="Y56" s="52"/>
      <c r="Z56" s="52">
        <v>2500</v>
      </c>
      <c r="AA56" s="52"/>
      <c r="AB56" s="52">
        <f t="shared" si="293"/>
        <v>50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4"/>
        <v>InitUnitState('E204',,,60,,2500,,50,,,)</v>
      </c>
      <c r="CO56" s="58" t="str">
        <f t="shared" si="295"/>
        <v>InitUnitNormal('E204',,,,,,,,,,)</v>
      </c>
      <c r="CP56" s="58" t="str">
        <f t="shared" si="296"/>
        <v>InitUnitMagic('E204',,,,,,,,,,)</v>
      </c>
      <c r="CQ56" s="58" t="str">
        <f t="shared" si="297"/>
        <v>InitUnitAdd('E204',,,,,,,,,,)</v>
      </c>
      <c r="CR56" s="58" t="str">
        <f t="shared" si="441"/>
        <v>InitEquipData('E204',,"",,E205,1000,100,'','','','','','',"ReplaceableTextures\\CommandButtons\\BTNZ13.blp")</v>
      </c>
      <c r="CS56" s="58"/>
      <c r="CT56" s="58"/>
      <c r="CU56" s="61" t="str">
        <f t="shared" si="78"/>
        <v>|n护甲+60|n生命值+2500|n生命回复+50|n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|Cffbbbbbb属性：|r|n护甲+60|n生命值+2500|n生命回复+50|n|n|Cff00ff7f点击消耗1000金币进行强化|n成功率100%</v>
      </c>
      <c r="DB56" s="40" t="str">
        <f t="shared" si="442"/>
        <v/>
      </c>
      <c r="DC56" s="40" t="str">
        <f t="shared" si="443"/>
        <v/>
      </c>
      <c r="DD56" s="40" t="str">
        <f t="shared" si="444"/>
        <v>|n护甲+60</v>
      </c>
      <c r="DE56" s="40" t="str">
        <f t="shared" si="445"/>
        <v/>
      </c>
      <c r="DF56" s="40" t="str">
        <f t="shared" si="446"/>
        <v>|n生命值+2500</v>
      </c>
      <c r="DG56" s="40" t="str">
        <f t="shared" si="447"/>
        <v/>
      </c>
      <c r="DH56" s="40" t="str">
        <f t="shared" si="448"/>
        <v>|n生命回复+50</v>
      </c>
      <c r="DI56" s="40" t="str">
        <f t="shared" si="449"/>
        <v/>
      </c>
      <c r="DJ56" s="40" t="str">
        <f t="shared" si="450"/>
        <v/>
      </c>
      <c r="DK56" s="40" t="str">
        <f t="shared" si="451"/>
        <v/>
      </c>
      <c r="DL56" s="40" t="str">
        <f t="shared" si="452"/>
        <v/>
      </c>
      <c r="DM56" s="40" t="str">
        <f t="shared" si="453"/>
        <v/>
      </c>
      <c r="DN56" s="40" t="str">
        <f t="shared" si="454"/>
        <v/>
      </c>
      <c r="DO56" s="40" t="str">
        <f t="shared" si="455"/>
        <v/>
      </c>
      <c r="DP56" s="40" t="str">
        <f t="shared" si="456"/>
        <v/>
      </c>
      <c r="DQ56" s="40" t="str">
        <f t="shared" si="457"/>
        <v/>
      </c>
      <c r="DR56" s="40" t="str">
        <f t="shared" si="458"/>
        <v/>
      </c>
      <c r="DS56" s="40" t="str">
        <f t="shared" si="459"/>
        <v/>
      </c>
      <c r="DT56" s="40" t="str">
        <f t="shared" si="460"/>
        <v/>
      </c>
      <c r="DU56" s="40" t="str">
        <f t="shared" si="461"/>
        <v/>
      </c>
      <c r="DV56" s="40" t="str">
        <f t="shared" si="462"/>
        <v/>
      </c>
      <c r="DW56" s="40" t="str">
        <f t="shared" si="463"/>
        <v/>
      </c>
      <c r="DX56" s="40" t="str">
        <f t="shared" si="464"/>
        <v/>
      </c>
      <c r="DY56" s="40" t="str">
        <f t="shared" si="465"/>
        <v/>
      </c>
      <c r="DZ56" s="40" t="str">
        <f t="shared" si="466"/>
        <v/>
      </c>
      <c r="EA56" s="40" t="str">
        <f t="shared" si="467"/>
        <v/>
      </c>
      <c r="EB56" s="40" t="str">
        <f t="shared" si="468"/>
        <v/>
      </c>
      <c r="EC56" s="40" t="str">
        <f t="shared" si="469"/>
        <v/>
      </c>
      <c r="ED56" s="40" t="str">
        <f t="shared" si="470"/>
        <v/>
      </c>
      <c r="EE56" s="40" t="str">
        <f t="shared" si="471"/>
        <v/>
      </c>
      <c r="EF56" s="40" t="str">
        <f t="shared" si="472"/>
        <v/>
      </c>
      <c r="EG56" s="40" t="str">
        <f t="shared" si="473"/>
        <v/>
      </c>
      <c r="EH56" s="40" t="str">
        <f t="shared" si="474"/>
        <v/>
      </c>
      <c r="EI56" s="40" t="str">
        <f t="shared" si="475"/>
        <v/>
      </c>
      <c r="EJ56" s="40" t="str">
        <f t="shared" si="476"/>
        <v/>
      </c>
      <c r="EK56" s="40" t="str">
        <f t="shared" si="477"/>
        <v/>
      </c>
      <c r="EL56" s="40" t="str">
        <f t="shared" si="478"/>
        <v/>
      </c>
      <c r="EM56" s="40" t="str">
        <f t="shared" si="479"/>
        <v/>
      </c>
      <c r="EN56" s="40" t="str">
        <f t="shared" si="480"/>
        <v/>
      </c>
      <c r="EO56" s="40" t="str">
        <f t="shared" si="481"/>
        <v/>
      </c>
      <c r="EP56" s="40" t="str">
        <f t="shared" si="482"/>
        <v/>
      </c>
      <c r="EQ56" s="40" t="str">
        <f t="shared" si="483"/>
        <v/>
      </c>
      <c r="ER56" s="40" t="str">
        <f t="shared" si="484"/>
        <v/>
      </c>
      <c r="ES56" s="40" t="str">
        <f t="shared" si="485"/>
        <v/>
      </c>
      <c r="ET56" s="40" t="str">
        <f t="shared" si="486"/>
        <v/>
      </c>
      <c r="EU56" s="40" t="str">
        <f t="shared" si="487"/>
        <v/>
      </c>
      <c r="EV56" s="40" t="str">
        <f t="shared" si="488"/>
        <v/>
      </c>
      <c r="EW56" s="40" t="str">
        <f t="shared" si="489"/>
        <v/>
      </c>
      <c r="EX56" s="40" t="str">
        <f t="shared" si="490"/>
        <v/>
      </c>
      <c r="EY56" s="40" t="str">
        <f t="shared" si="491"/>
        <v/>
      </c>
      <c r="EZ56" s="40" t="str">
        <f t="shared" si="492"/>
        <v/>
      </c>
      <c r="FA56" s="40" t="str">
        <f t="shared" si="493"/>
        <v/>
      </c>
      <c r="FB56" s="40" t="str">
        <f t="shared" si="494"/>
        <v/>
      </c>
      <c r="FC56" s="40" t="str">
        <f t="shared" si="495"/>
        <v/>
      </c>
      <c r="FD56" s="40" t="str">
        <f t="shared" si="496"/>
        <v/>
      </c>
      <c r="FE56" s="40" t="str">
        <f t="shared" si="497"/>
        <v/>
      </c>
      <c r="FF56" s="40" t="str">
        <f t="shared" si="498"/>
        <v/>
      </c>
      <c r="FG56" s="40" t="str">
        <f t="shared" si="499"/>
        <v/>
      </c>
      <c r="FH56" s="40" t="str">
        <f t="shared" si="500"/>
        <v/>
      </c>
      <c r="FI56" s="40" t="str">
        <f t="shared" si="501"/>
        <v/>
      </c>
      <c r="FJ56" s="40" t="str">
        <f t="shared" si="502"/>
        <v/>
      </c>
      <c r="FK56" s="40" t="str">
        <f t="shared" si="503"/>
        <v/>
      </c>
      <c r="FL56" s="40" t="str">
        <f t="shared" si="504"/>
        <v/>
      </c>
      <c r="FM56" s="40" t="str">
        <f t="shared" si="505"/>
        <v/>
      </c>
      <c r="FN56" s="40" t="str">
        <f t="shared" si="506"/>
        <v/>
      </c>
      <c r="FO56" s="40" t="str">
        <f t="shared" si="507"/>
        <v/>
      </c>
      <c r="FP56" s="40" t="str">
        <f t="shared" si="508"/>
        <v/>
      </c>
      <c r="FQ56" s="40" t="str">
        <f t="shared" si="509"/>
        <v/>
      </c>
      <c r="FR56" s="40" t="str">
        <f t="shared" si="510"/>
        <v/>
      </c>
      <c r="FS56" s="40" t="str">
        <f t="shared" si="511"/>
        <v/>
      </c>
    </row>
    <row r="57" spans="1:175" s="4" customFormat="1" ht="16.5">
      <c r="A57" s="8"/>
      <c r="B57" s="41" t="s">
        <v>227</v>
      </c>
      <c r="C57" s="8" t="s">
        <v>228</v>
      </c>
      <c r="D57" s="42"/>
      <c r="E57" s="43"/>
      <c r="F57" s="44">
        <v>5000</v>
      </c>
      <c r="G57" s="45">
        <v>100</v>
      </c>
      <c r="H57" s="46" t="s">
        <v>229</v>
      </c>
      <c r="I57" s="45" t="str">
        <f t="shared" si="440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220</v>
      </c>
      <c r="V57" s="52"/>
      <c r="W57" s="52"/>
      <c r="X57" s="52">
        <v>75</v>
      </c>
      <c r="Y57" s="52"/>
      <c r="Z57" s="52">
        <v>3500</v>
      </c>
      <c r="AA57" s="52"/>
      <c r="AB57" s="52">
        <f t="shared" si="293"/>
        <v>70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4"/>
        <v>InitUnitState('E205',,,75,,3500,,70,,,)</v>
      </c>
      <c r="CO57" s="58" t="str">
        <f t="shared" si="295"/>
        <v>InitUnitNormal('E205',,,,,,,,,,)</v>
      </c>
      <c r="CP57" s="58" t="str">
        <f t="shared" si="296"/>
        <v>InitUnitMagic('E205',,,,,,,,,,)</v>
      </c>
      <c r="CQ57" s="58" t="str">
        <f t="shared" si="297"/>
        <v>InitUnitAdd('E205',,,,,,,,,,)</v>
      </c>
      <c r="CR57" s="58" t="str">
        <f t="shared" si="441"/>
        <v>InitEquipData('E205',,"",,E206,5000,100,'','','','','','',"ReplaceableTextures\\CommandButtons\\BTNZ13.blp")</v>
      </c>
      <c r="CS57" s="58"/>
      <c r="CT57" s="58"/>
      <c r="CU57" s="61" t="str">
        <f t="shared" si="78"/>
        <v>|n护甲+75|n生命值+3500|n生命回复+70|n</v>
      </c>
      <c r="CV57" s="3" t="str">
        <f>"|Cffbbbbbb属性：|r"&amp;CU57&amp;VLOOKUP(A57,合成公式!A:P,16,FALSE)&amp;T57&amp;"|n|Cff00ff7f点击消耗"&amp;F57&amp;"金币进行晋阶挑战"</f>
        <v>|Cffbbbbbb属性：|r|n护甲+75|n生命值+3500|n生命回复+70|n|n|Cff00ff7f点击消耗5000金币进行晋阶挑战</v>
      </c>
      <c r="DB57" s="40" t="str">
        <f t="shared" ref="DB57" si="512">IF(V57="","","|n"&amp;DB$2&amp;"+"&amp;V57&amp;DB$1)</f>
        <v/>
      </c>
      <c r="DC57" s="40" t="str">
        <f t="shared" ref="DC57" si="513">IF(W57="","","|n"&amp;DC$2&amp;"+"&amp;W57&amp;DC$1)</f>
        <v/>
      </c>
      <c r="DD57" s="40" t="str">
        <f t="shared" ref="DD57" si="514">IF(X57="","","|n"&amp;DD$2&amp;"+"&amp;X57&amp;DD$1)</f>
        <v>|n护甲+75</v>
      </c>
      <c r="DE57" s="40" t="str">
        <f t="shared" ref="DE57" si="515">IF(Y57="","","|n"&amp;DE$2&amp;"+"&amp;Y57&amp;DE$1)</f>
        <v/>
      </c>
      <c r="DF57" s="40" t="str">
        <f t="shared" ref="DF57" si="516">IF(Z57="","","|n"&amp;DF$2&amp;"+"&amp;Z57&amp;DF$1)</f>
        <v>|n生命值+3500</v>
      </c>
      <c r="DG57" s="40" t="str">
        <f t="shared" ref="DG57" si="517">IF(AA57="","","|n"&amp;DG$2&amp;"+"&amp;AA57&amp;DG$1)</f>
        <v/>
      </c>
      <c r="DH57" s="40" t="str">
        <f t="shared" ref="DH57" si="518">IF(AB57="","","|n"&amp;DH$2&amp;"+"&amp;AB57&amp;DH$1)</f>
        <v>|n生命回复+70</v>
      </c>
      <c r="DI57" s="40" t="str">
        <f t="shared" ref="DI57" si="519">IF(AC57="","","|n"&amp;DI$2&amp;"+"&amp;AC57&amp;DI$1)</f>
        <v/>
      </c>
      <c r="DJ57" s="40" t="str">
        <f t="shared" ref="DJ57" si="520">IF(AD57="","","|n"&amp;DJ$2&amp;"+"&amp;AD57&amp;DJ$1)</f>
        <v/>
      </c>
      <c r="DK57" s="40" t="str">
        <f t="shared" ref="DK57" si="521">IF(AE57="","","|n"&amp;DK$2&amp;"+"&amp;AE57&amp;DK$1)</f>
        <v/>
      </c>
      <c r="DL57" s="40" t="str">
        <f t="shared" ref="DL57" si="522">IF(AF57="","","|n"&amp;DL$2&amp;"+"&amp;AF57&amp;DL$1)</f>
        <v/>
      </c>
      <c r="DM57" s="40" t="str">
        <f t="shared" ref="DM57" si="523">IF(AG57="","","|n"&amp;DM$2&amp;"+"&amp;AG57&amp;DM$1)</f>
        <v/>
      </c>
      <c r="DN57" s="40" t="str">
        <f t="shared" ref="DN57" si="524">IF(AH57="","","|n"&amp;DN$2&amp;"+"&amp;AH57&amp;DN$1)</f>
        <v/>
      </c>
      <c r="DO57" s="40" t="str">
        <f t="shared" ref="DO57" si="525">IF(AI57="","","|n"&amp;DO$2&amp;"+"&amp;AI57&amp;DO$1)</f>
        <v/>
      </c>
      <c r="DP57" s="40" t="str">
        <f t="shared" ref="DP57" si="526">IF(AJ57="","","|n"&amp;DP$2&amp;"+"&amp;AJ57&amp;DP$1)</f>
        <v/>
      </c>
      <c r="DQ57" s="40" t="str">
        <f t="shared" ref="DQ57" si="527">IF(AK57="","","|n"&amp;DQ$2&amp;"+"&amp;AK57&amp;DQ$1)</f>
        <v/>
      </c>
      <c r="DR57" s="40" t="str">
        <f t="shared" ref="DR57" si="528">IF(AL57="","","|n"&amp;DR$2&amp;"+"&amp;AL57&amp;DR$1)</f>
        <v/>
      </c>
      <c r="DS57" s="40" t="str">
        <f t="shared" ref="DS57" si="529">IF(AM57="","","|n"&amp;DS$2&amp;"+"&amp;AM57&amp;DS$1)</f>
        <v/>
      </c>
      <c r="DT57" s="40" t="str">
        <f t="shared" ref="DT57" si="530">IF(AN57="","","|n"&amp;DT$2&amp;"+"&amp;AN57&amp;DT$1)</f>
        <v/>
      </c>
      <c r="DU57" s="40" t="str">
        <f t="shared" ref="DU57" si="531">IF(AO57="","","|n"&amp;DU$2&amp;"+"&amp;AO57&amp;DU$1)</f>
        <v/>
      </c>
      <c r="DV57" s="40" t="str">
        <f t="shared" ref="DV57" si="532">IF(AP57="","","|n"&amp;DV$2&amp;"+"&amp;AP57&amp;DV$1)</f>
        <v/>
      </c>
      <c r="DW57" s="40" t="str">
        <f t="shared" ref="DW57" si="533">IF(AQ57="","","|n"&amp;DW$2&amp;"+"&amp;AQ57&amp;DW$1)</f>
        <v/>
      </c>
      <c r="DX57" s="40" t="str">
        <f t="shared" ref="DX57" si="534">IF(AR57="","","|n"&amp;DX$2&amp;"+"&amp;AR57&amp;DX$1)</f>
        <v/>
      </c>
      <c r="DY57" s="40" t="str">
        <f t="shared" ref="DY57" si="535">IF(AS57="","","|n"&amp;DY$2&amp;"+"&amp;AS57&amp;DY$1)</f>
        <v/>
      </c>
      <c r="DZ57" s="40" t="str">
        <f t="shared" ref="DZ57" si="536">IF(AT57="","","|n"&amp;DZ$2&amp;"+"&amp;AT57&amp;DZ$1)</f>
        <v/>
      </c>
      <c r="EA57" s="40" t="str">
        <f t="shared" ref="EA57" si="537">IF(AU57="","","|n"&amp;EA$2&amp;"+"&amp;AU57&amp;EA$1)</f>
        <v/>
      </c>
      <c r="EB57" s="40" t="str">
        <f t="shared" ref="EB57" si="538">IF(AV57="","","|n"&amp;EB$2&amp;"+"&amp;AV57&amp;EB$1)</f>
        <v/>
      </c>
      <c r="EC57" s="40" t="str">
        <f t="shared" ref="EC57" si="539">IF(AW57="","","|n"&amp;EC$2&amp;"+"&amp;AW57&amp;EC$1)</f>
        <v/>
      </c>
      <c r="ED57" s="40" t="str">
        <f t="shared" ref="ED57" si="540">IF(AX57="","","|n"&amp;ED$2&amp;"+"&amp;AX57&amp;ED$1)</f>
        <v/>
      </c>
      <c r="EE57" s="40" t="str">
        <f t="shared" ref="EE57" si="541">IF(AY57="","","|n"&amp;EE$2&amp;"+"&amp;AY57&amp;EE$1)</f>
        <v/>
      </c>
      <c r="EF57" s="40" t="str">
        <f t="shared" ref="EF57" si="542">IF(AZ57="","","|n"&amp;EF$2&amp;"+"&amp;AZ57&amp;EF$1)</f>
        <v/>
      </c>
      <c r="EG57" s="40" t="str">
        <f t="shared" ref="EG57" si="543">IF(BA57="","","|n"&amp;EG$2&amp;"+"&amp;BA57&amp;EG$1)</f>
        <v/>
      </c>
      <c r="EH57" s="40" t="str">
        <f t="shared" ref="EH57" si="544">IF(BB57="","","|n"&amp;EH$2&amp;"+"&amp;BB57&amp;EH$1)</f>
        <v/>
      </c>
      <c r="EI57" s="40" t="str">
        <f t="shared" ref="EI57" si="545">IF(BC57="","","|n"&amp;EI$2&amp;"+"&amp;BC57&amp;EI$1)</f>
        <v/>
      </c>
      <c r="EJ57" s="40" t="str">
        <f t="shared" ref="EJ57" si="546">IF(BD57="","","|n"&amp;EJ$2&amp;"+"&amp;BD57&amp;EJ$1)</f>
        <v/>
      </c>
      <c r="EK57" s="40" t="str">
        <f t="shared" ref="EK57" si="547">IF(BE57="","","|n"&amp;EK$2&amp;"+"&amp;BE57&amp;EK$1)</f>
        <v/>
      </c>
      <c r="EL57" s="40" t="str">
        <f t="shared" ref="EL57" si="548">IF(BF57="","","|n"&amp;EL$2&amp;"+"&amp;BF57&amp;EL$1)</f>
        <v/>
      </c>
      <c r="EM57" s="40" t="str">
        <f t="shared" ref="EM57" si="549">IF(BG57="","","|n"&amp;EM$2&amp;"+"&amp;BG57&amp;EM$1)</f>
        <v/>
      </c>
      <c r="EN57" s="40" t="str">
        <f t="shared" ref="EN57" si="550">IF(BH57="","","|n"&amp;EN$2&amp;"+"&amp;BH57&amp;EN$1)</f>
        <v/>
      </c>
      <c r="EO57" s="40" t="str">
        <f t="shared" ref="EO57" si="551">IF(BI57="","","|n"&amp;EO$2&amp;"+"&amp;BI57&amp;EO$1)</f>
        <v/>
      </c>
      <c r="EP57" s="40" t="str">
        <f t="shared" ref="EP57" si="552">IF(BJ57="","","|n"&amp;EP$2&amp;"+"&amp;BJ57&amp;EP$1)</f>
        <v/>
      </c>
      <c r="EQ57" s="40" t="str">
        <f t="shared" ref="EQ57" si="553">IF(BK57="","","|n"&amp;EQ$2&amp;"+"&amp;BK57&amp;EQ$1)</f>
        <v/>
      </c>
      <c r="ER57" s="40" t="str">
        <f t="shared" ref="ER57" si="554">IF(BL57="","","|n"&amp;ER$2&amp;"+"&amp;BL57&amp;ER$1)</f>
        <v/>
      </c>
      <c r="ES57" s="40" t="str">
        <f t="shared" ref="ES57" si="555">IF(BM57="","","|n"&amp;ES$2&amp;"+"&amp;BM57&amp;ES$1)</f>
        <v/>
      </c>
      <c r="ET57" s="40" t="str">
        <f t="shared" ref="ET57" si="556">IF(BN57="","","|n"&amp;ET$2&amp;"+"&amp;BN57&amp;ET$1)</f>
        <v/>
      </c>
      <c r="EU57" s="40" t="str">
        <f t="shared" ref="EU57" si="557">IF(BO57="","","|n"&amp;EU$2&amp;"+"&amp;BO57&amp;EU$1)</f>
        <v/>
      </c>
      <c r="EV57" s="40" t="str">
        <f t="shared" ref="EV57" si="558">IF(BP57="","","|n"&amp;EV$2&amp;"+"&amp;BP57&amp;EV$1)</f>
        <v/>
      </c>
      <c r="EW57" s="40" t="str">
        <f t="shared" ref="EW57" si="559">IF(BQ57="","","|n"&amp;EW$2&amp;"+"&amp;BQ57&amp;EW$1)</f>
        <v/>
      </c>
      <c r="EX57" s="40" t="str">
        <f t="shared" ref="EX57" si="560">IF(BR57="","","|n"&amp;EX$2&amp;"+"&amp;BR57&amp;EX$1)</f>
        <v/>
      </c>
      <c r="EY57" s="40" t="str">
        <f t="shared" ref="EY57" si="561">IF(BS57="","","|n"&amp;EY$2&amp;"+"&amp;BS57&amp;EY$1)</f>
        <v/>
      </c>
      <c r="EZ57" s="40" t="str">
        <f t="shared" ref="EZ57" si="562">IF(BT57="","","|n"&amp;EZ$2&amp;"+"&amp;BT57&amp;EZ$1)</f>
        <v/>
      </c>
      <c r="FA57" s="40" t="str">
        <f t="shared" ref="FA57" si="563">IF(BU57="","","|n"&amp;FA$2&amp;"+"&amp;BU57&amp;FA$1)</f>
        <v/>
      </c>
      <c r="FB57" s="40" t="str">
        <f t="shared" ref="FB57" si="564">IF(BV57="","","|n"&amp;FB$2&amp;"+"&amp;BV57&amp;FB$1)</f>
        <v/>
      </c>
      <c r="FC57" s="40" t="str">
        <f t="shared" ref="FC57" si="565">IF(BW57="","","|n"&amp;FC$2&amp;"+"&amp;BW57&amp;FC$1)</f>
        <v/>
      </c>
      <c r="FD57" s="40" t="str">
        <f t="shared" ref="FD57" si="566">IF(BX57="","","|n"&amp;FD$2&amp;"+"&amp;BX57&amp;FD$1)</f>
        <v/>
      </c>
      <c r="FE57" s="40" t="str">
        <f t="shared" ref="FE57" si="567">IF(BY57="","","|n"&amp;FE$2&amp;"+"&amp;BY57&amp;FE$1)</f>
        <v/>
      </c>
      <c r="FF57" s="40" t="str">
        <f t="shared" ref="FF57" si="568">IF(BZ57="","","|n"&amp;FF$2&amp;"+"&amp;BZ57&amp;FF$1)</f>
        <v/>
      </c>
      <c r="FG57" s="40" t="str">
        <f t="shared" ref="FG57" si="569">IF(CA57="","","|n"&amp;FG$2&amp;"+"&amp;CA57&amp;FG$1)</f>
        <v/>
      </c>
      <c r="FH57" s="40" t="str">
        <f t="shared" ref="FH57" si="570">IF(CB57="","","|n"&amp;FH$2&amp;"+"&amp;CB57&amp;FH$1)</f>
        <v/>
      </c>
      <c r="FI57" s="40" t="str">
        <f t="shared" ref="FI57" si="571">IF(CC57="","","|n"&amp;FI$2&amp;"+"&amp;CC57&amp;FI$1)</f>
        <v/>
      </c>
      <c r="FJ57" s="40" t="str">
        <f t="shared" ref="FJ57" si="572">IF(CD57="","","|n"&amp;FJ$2&amp;"+"&amp;CD57&amp;FJ$1)</f>
        <v/>
      </c>
      <c r="FK57" s="40" t="str">
        <f t="shared" ref="FK57" si="573">IF(CE57="","","|n"&amp;FK$2&amp;"+"&amp;CE57&amp;FK$1)</f>
        <v/>
      </c>
      <c r="FL57" s="40" t="str">
        <f t="shared" ref="FL57" si="574">IF(CF57="","","|n"&amp;FL$2&amp;"+"&amp;CF57&amp;FL$1)</f>
        <v/>
      </c>
      <c r="FM57" s="40" t="str">
        <f t="shared" ref="FM57" si="575">IF(CG57="","","|n"&amp;FM$2&amp;"+"&amp;CG57&amp;FM$1)</f>
        <v/>
      </c>
      <c r="FN57" s="40" t="str">
        <f t="shared" ref="FN57" si="576">IF(CH57="","","|n"&amp;FN$2&amp;"+"&amp;CH57&amp;FN$1)</f>
        <v/>
      </c>
      <c r="FO57" s="40" t="str">
        <f t="shared" ref="FO57" si="577">IF(CI57="","","|n"&amp;FO$2&amp;"+"&amp;CI57&amp;FO$1)</f>
        <v/>
      </c>
      <c r="FP57" s="40" t="str">
        <f t="shared" ref="FP57" si="578">IF(CJ57="","","|n"&amp;FP$2&amp;"+"&amp;CJ57&amp;FP$1)</f>
        <v/>
      </c>
      <c r="FQ57" s="40" t="str">
        <f t="shared" ref="FQ57" si="579">IF(CK57="","","|n"&amp;FQ$2&amp;"+"&amp;CK57&amp;FQ$1)</f>
        <v/>
      </c>
      <c r="FR57" s="40" t="str">
        <f t="shared" ref="FR57" si="580">IF(CL57="","","|n"&amp;FR$2&amp;"+"&amp;CL57&amp;FR$1)</f>
        <v/>
      </c>
      <c r="FS57" s="40" t="str">
        <f t="shared" ref="FS57" si="581">IF(CM57="","","|n"&amp;FS$2&amp;"+"&amp;CM57&amp;FS$1)</f>
        <v/>
      </c>
    </row>
    <row r="58" spans="1:175" s="4" customFormat="1" ht="16.5">
      <c r="A58" s="8"/>
      <c r="B58" s="41" t="s">
        <v>230</v>
      </c>
      <c r="C58" s="8" t="s">
        <v>711</v>
      </c>
      <c r="D58" s="42"/>
      <c r="E58" s="43"/>
      <c r="F58" s="44">
        <v>3500</v>
      </c>
      <c r="G58" s="45">
        <v>90</v>
      </c>
      <c r="H58" s="45"/>
      <c r="I58" s="45" t="str">
        <f t="shared" si="440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231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3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4"/>
        <v>InitUnitState('E206',,,100,,5000,,100,,,)</v>
      </c>
      <c r="CO58" s="58" t="str">
        <f t="shared" si="295"/>
        <v>InitUnitNormal('E206',,,,,,,,,,)</v>
      </c>
      <c r="CP58" s="58" t="str">
        <f t="shared" si="296"/>
        <v>InitUnitMagic('E206',,,,,,,,1,,)</v>
      </c>
      <c r="CQ58" s="58" t="str">
        <f t="shared" si="297"/>
        <v>InitUnitAdd('E206',,,,,,,,,,)</v>
      </c>
      <c r="CR58" s="58" t="str">
        <f t="shared" si="441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2">IF(V58="","","|n"&amp;DB$2&amp;"+"&amp;V58&amp;DB$1)</f>
        <v/>
      </c>
      <c r="DC58" s="40" t="str">
        <f t="shared" ref="DC58:DC62" si="583">IF(W58="","","|n"&amp;DC$2&amp;"+"&amp;W58&amp;DC$1)</f>
        <v/>
      </c>
      <c r="DD58" s="40" t="str">
        <f t="shared" ref="DD58:DD62" si="584">IF(X58="","","|n"&amp;DD$2&amp;"+"&amp;X58&amp;DD$1)</f>
        <v>|n护甲+100</v>
      </c>
      <c r="DE58" s="40" t="str">
        <f t="shared" ref="DE58:DE62" si="585">IF(Y58="","","|n"&amp;DE$2&amp;"+"&amp;Y58&amp;DE$1)</f>
        <v/>
      </c>
      <c r="DF58" s="40" t="str">
        <f t="shared" ref="DF58:DF62" si="586">IF(Z58="","","|n"&amp;DF$2&amp;"+"&amp;Z58&amp;DF$1)</f>
        <v>|n生命值+5000</v>
      </c>
      <c r="DG58" s="40" t="str">
        <f t="shared" ref="DG58:DG62" si="587">IF(AA58="","","|n"&amp;DG$2&amp;"+"&amp;AA58&amp;DG$1)</f>
        <v/>
      </c>
      <c r="DH58" s="40" t="str">
        <f t="shared" ref="DH58:DH62" si="588">IF(AB58="","","|n"&amp;DH$2&amp;"+"&amp;AB58&amp;DH$1)</f>
        <v>|n生命回复+100</v>
      </c>
      <c r="DI58" s="40" t="str">
        <f t="shared" ref="DI58:DI62" si="589">IF(AC58="","","|n"&amp;DI$2&amp;"+"&amp;AC58&amp;DI$1)</f>
        <v/>
      </c>
      <c r="DJ58" s="40" t="str">
        <f t="shared" ref="DJ58:DJ62" si="590">IF(AD58="","","|n"&amp;DJ$2&amp;"+"&amp;AD58&amp;DJ$1)</f>
        <v/>
      </c>
      <c r="DK58" s="40" t="str">
        <f t="shared" ref="DK58:DK62" si="591">IF(AE58="","","|n"&amp;DK$2&amp;"+"&amp;AE58&amp;DK$1)</f>
        <v/>
      </c>
      <c r="DL58" s="40" t="str">
        <f t="shared" ref="DL58:DL62" si="592">IF(AF58="","","|n"&amp;DL$2&amp;"+"&amp;AF58&amp;DL$1)</f>
        <v/>
      </c>
      <c r="DM58" s="40" t="str">
        <f t="shared" ref="DM58:DM62" si="593">IF(AG58="","","|n"&amp;DM$2&amp;"+"&amp;AG58&amp;DM$1)</f>
        <v/>
      </c>
      <c r="DN58" s="40" t="str">
        <f t="shared" ref="DN58:DN62" si="594">IF(AH58="","","|n"&amp;DN$2&amp;"+"&amp;AH58&amp;DN$1)</f>
        <v/>
      </c>
      <c r="DO58" s="40" t="str">
        <f t="shared" ref="DO58:DO62" si="595">IF(AI58="","","|n"&amp;DO$2&amp;"+"&amp;AI58&amp;DO$1)</f>
        <v/>
      </c>
      <c r="DP58" s="40" t="str">
        <f t="shared" ref="DP58:DP62" si="596">IF(AJ58="","","|n"&amp;DP$2&amp;"+"&amp;AJ58&amp;DP$1)</f>
        <v/>
      </c>
      <c r="DQ58" s="40" t="str">
        <f t="shared" ref="DQ58:DQ62" si="597">IF(AK58="","","|n"&amp;DQ$2&amp;"+"&amp;AK58&amp;DQ$1)</f>
        <v/>
      </c>
      <c r="DR58" s="40" t="str">
        <f t="shared" ref="DR58:DR62" si="598">IF(AL58="","","|n"&amp;DR$2&amp;"+"&amp;AL58&amp;DR$1)</f>
        <v/>
      </c>
      <c r="DS58" s="40" t="str">
        <f t="shared" ref="DS58:DS62" si="599">IF(AM58="","","|n"&amp;DS$2&amp;"+"&amp;AM58&amp;DS$1)</f>
        <v/>
      </c>
      <c r="DT58" s="40" t="str">
        <f t="shared" ref="DT58:DT62" si="600">IF(AN58="","","|n"&amp;DT$2&amp;"+"&amp;AN58&amp;DT$1)</f>
        <v/>
      </c>
      <c r="DU58" s="40" t="str">
        <f t="shared" ref="DU58:DU62" si="601">IF(AO58="","","|n"&amp;DU$2&amp;"+"&amp;AO58&amp;DU$1)</f>
        <v/>
      </c>
      <c r="DV58" s="40" t="str">
        <f t="shared" ref="DV58:DV62" si="602">IF(AP58="","","|n"&amp;DV$2&amp;"+"&amp;AP58&amp;DV$1)</f>
        <v/>
      </c>
      <c r="DW58" s="40" t="str">
        <f t="shared" ref="DW58:DW62" si="603">IF(AQ58="","","|n"&amp;DW$2&amp;"+"&amp;AQ58&amp;DW$1)</f>
        <v/>
      </c>
      <c r="DX58" s="40" t="str">
        <f t="shared" ref="DX58:DX62" si="604">IF(AR58="","","|n"&amp;DX$2&amp;"+"&amp;AR58&amp;DX$1)</f>
        <v/>
      </c>
      <c r="DY58" s="40" t="str">
        <f t="shared" ref="DY58:DY62" si="605">IF(AS58="","","|n"&amp;DY$2&amp;"+"&amp;AS58&amp;DY$1)</f>
        <v/>
      </c>
      <c r="DZ58" s="40" t="str">
        <f t="shared" ref="DZ58:DZ62" si="606">IF(AT58="","","|n"&amp;DZ$2&amp;"+"&amp;AT58&amp;DZ$1)</f>
        <v/>
      </c>
      <c r="EA58" s="40" t="str">
        <f t="shared" ref="EA58:EA62" si="607">IF(AU58="","","|n"&amp;EA$2&amp;"+"&amp;AU58&amp;EA$1)</f>
        <v/>
      </c>
      <c r="EB58" s="40" t="str">
        <f t="shared" ref="EB58:EB62" si="608">IF(AV58="","","|n"&amp;EB$2&amp;"+"&amp;AV58&amp;EB$1)</f>
        <v/>
      </c>
      <c r="EC58" s="40" t="str">
        <f t="shared" ref="EC58:EC62" si="609">IF(AW58="","","|n"&amp;EC$2&amp;"+"&amp;AW58&amp;EC$1)</f>
        <v>|n生命恢复%+1</v>
      </c>
      <c r="ED58" s="40" t="str">
        <f t="shared" ref="ED58:ED62" si="610">IF(AX58="","","|n"&amp;ED$2&amp;"+"&amp;AX58&amp;ED$1)</f>
        <v/>
      </c>
      <c r="EE58" s="40" t="str">
        <f t="shared" ref="EE58:EE62" si="611">IF(AY58="","","|n"&amp;EE$2&amp;"+"&amp;AY58&amp;EE$1)</f>
        <v/>
      </c>
      <c r="EF58" s="40" t="str">
        <f t="shared" ref="EF58:EF62" si="612">IF(AZ58="","","|n"&amp;EF$2&amp;"+"&amp;AZ58&amp;EF$1)</f>
        <v/>
      </c>
      <c r="EG58" s="40" t="str">
        <f t="shared" ref="EG58:EG62" si="613">IF(BA58="","","|n"&amp;EG$2&amp;"+"&amp;BA58&amp;EG$1)</f>
        <v/>
      </c>
      <c r="EH58" s="40" t="str">
        <f t="shared" ref="EH58:EH62" si="614">IF(BB58="","","|n"&amp;EH$2&amp;"+"&amp;BB58&amp;EH$1)</f>
        <v/>
      </c>
      <c r="EI58" s="40" t="str">
        <f t="shared" ref="EI58:EI62" si="615">IF(BC58="","","|n"&amp;EI$2&amp;"+"&amp;BC58&amp;EI$1)</f>
        <v/>
      </c>
      <c r="EJ58" s="40" t="str">
        <f t="shared" ref="EJ58:EJ62" si="616">IF(BD58="","","|n"&amp;EJ$2&amp;"+"&amp;BD58&amp;EJ$1)</f>
        <v/>
      </c>
      <c r="EK58" s="40" t="str">
        <f t="shared" ref="EK58:EK62" si="617">IF(BE58="","","|n"&amp;EK$2&amp;"+"&amp;BE58&amp;EK$1)</f>
        <v/>
      </c>
      <c r="EL58" s="40" t="str">
        <f t="shared" ref="EL58:EL62" si="618">IF(BF58="","","|n"&amp;EL$2&amp;"+"&amp;BF58&amp;EL$1)</f>
        <v/>
      </c>
      <c r="EM58" s="40" t="str">
        <f t="shared" ref="EM58:EM62" si="619">IF(BG58="","","|n"&amp;EM$2&amp;"+"&amp;BG58&amp;EM$1)</f>
        <v/>
      </c>
      <c r="EN58" s="40" t="str">
        <f t="shared" ref="EN58:EN62" si="620">IF(BH58="","","|n"&amp;EN$2&amp;"+"&amp;BH58&amp;EN$1)</f>
        <v/>
      </c>
      <c r="EO58" s="40" t="str">
        <f t="shared" ref="EO58:EO62" si="621">IF(BI58="","","|n"&amp;EO$2&amp;"+"&amp;BI58&amp;EO$1)</f>
        <v/>
      </c>
      <c r="EP58" s="40" t="str">
        <f t="shared" ref="EP58:EP62" si="622">IF(BJ58="","","|n"&amp;EP$2&amp;"+"&amp;BJ58&amp;EP$1)</f>
        <v/>
      </c>
      <c r="EQ58" s="40" t="str">
        <f t="shared" ref="EQ58:EQ62" si="623">IF(BK58="","","|n"&amp;EQ$2&amp;"+"&amp;BK58&amp;EQ$1)</f>
        <v/>
      </c>
      <c r="ER58" s="40" t="str">
        <f t="shared" ref="ER58:ER62" si="624">IF(BL58="","","|n"&amp;ER$2&amp;"+"&amp;BL58&amp;ER$1)</f>
        <v/>
      </c>
      <c r="ES58" s="40" t="str">
        <f t="shared" ref="ES58:ES62" si="625">IF(BM58="","","|n"&amp;ES$2&amp;"+"&amp;BM58&amp;ES$1)</f>
        <v/>
      </c>
      <c r="ET58" s="40" t="str">
        <f t="shared" ref="ET58:ET62" si="626">IF(BN58="","","|n"&amp;ET$2&amp;"+"&amp;BN58&amp;ET$1)</f>
        <v/>
      </c>
      <c r="EU58" s="40" t="str">
        <f t="shared" ref="EU58:EU62" si="627">IF(BO58="","","|n"&amp;EU$2&amp;"+"&amp;BO58&amp;EU$1)</f>
        <v/>
      </c>
      <c r="EV58" s="40" t="str">
        <f t="shared" ref="EV58:EV62" si="628">IF(BP58="","","|n"&amp;EV$2&amp;"+"&amp;BP58&amp;EV$1)</f>
        <v/>
      </c>
      <c r="EW58" s="40" t="str">
        <f t="shared" ref="EW58:EW62" si="629">IF(BQ58="","","|n"&amp;EW$2&amp;"+"&amp;BQ58&amp;EW$1)</f>
        <v/>
      </c>
      <c r="EX58" s="40" t="str">
        <f t="shared" ref="EX58:EX62" si="630">IF(BR58="","","|n"&amp;EX$2&amp;"+"&amp;BR58&amp;EX$1)</f>
        <v/>
      </c>
      <c r="EY58" s="40" t="str">
        <f t="shared" ref="EY58:EY62" si="631">IF(BS58="","","|n"&amp;EY$2&amp;"+"&amp;BS58&amp;EY$1)</f>
        <v/>
      </c>
      <c r="EZ58" s="40" t="str">
        <f t="shared" ref="EZ58:EZ62" si="632">IF(BT58="","","|n"&amp;EZ$2&amp;"+"&amp;BT58&amp;EZ$1)</f>
        <v/>
      </c>
      <c r="FA58" s="40" t="str">
        <f t="shared" ref="FA58:FA62" si="633">IF(BU58="","","|n"&amp;FA$2&amp;"+"&amp;BU58&amp;FA$1)</f>
        <v/>
      </c>
      <c r="FB58" s="40" t="str">
        <f t="shared" ref="FB58:FB62" si="634">IF(BV58="","","|n"&amp;FB$2&amp;"+"&amp;BV58&amp;FB$1)</f>
        <v/>
      </c>
      <c r="FC58" s="40" t="str">
        <f t="shared" ref="FC58:FC62" si="635">IF(BW58="","","|n"&amp;FC$2&amp;"+"&amp;BW58&amp;FC$1)</f>
        <v/>
      </c>
      <c r="FD58" s="40" t="str">
        <f t="shared" ref="FD58:FD62" si="636">IF(BX58="","","|n"&amp;FD$2&amp;"+"&amp;BX58&amp;FD$1)</f>
        <v/>
      </c>
      <c r="FE58" s="40" t="str">
        <f t="shared" ref="FE58:FE62" si="637">IF(BY58="","","|n"&amp;FE$2&amp;"+"&amp;BY58&amp;FE$1)</f>
        <v/>
      </c>
      <c r="FF58" s="40" t="str">
        <f t="shared" ref="FF58:FF62" si="638">IF(BZ58="","","|n"&amp;FF$2&amp;"+"&amp;BZ58&amp;FF$1)</f>
        <v/>
      </c>
      <c r="FG58" s="40" t="str">
        <f t="shared" ref="FG58:FG62" si="639">IF(CA58="","","|n"&amp;FG$2&amp;"+"&amp;CA58&amp;FG$1)</f>
        <v/>
      </c>
      <c r="FH58" s="40" t="str">
        <f t="shared" ref="FH58:FH62" si="640">IF(CB58="","","|n"&amp;FH$2&amp;"+"&amp;CB58&amp;FH$1)</f>
        <v/>
      </c>
      <c r="FI58" s="40" t="str">
        <f t="shared" ref="FI58:FI62" si="641">IF(CC58="","","|n"&amp;FI$2&amp;"+"&amp;CC58&amp;FI$1)</f>
        <v/>
      </c>
      <c r="FJ58" s="40" t="str">
        <f t="shared" ref="FJ58:FJ62" si="642">IF(CD58="","","|n"&amp;FJ$2&amp;"+"&amp;CD58&amp;FJ$1)</f>
        <v/>
      </c>
      <c r="FK58" s="40" t="str">
        <f t="shared" ref="FK58:FK62" si="643">IF(CE58="","","|n"&amp;FK$2&amp;"+"&amp;CE58&amp;FK$1)</f>
        <v/>
      </c>
      <c r="FL58" s="40" t="str">
        <f t="shared" ref="FL58:FL62" si="644">IF(CF58="","","|n"&amp;FL$2&amp;"+"&amp;CF58&amp;FL$1)</f>
        <v/>
      </c>
      <c r="FM58" s="40" t="str">
        <f t="shared" ref="FM58:FM62" si="645">IF(CG58="","","|n"&amp;FM$2&amp;"+"&amp;CG58&amp;FM$1)</f>
        <v/>
      </c>
      <c r="FN58" s="40" t="str">
        <f t="shared" ref="FN58:FN62" si="646">IF(CH58="","","|n"&amp;FN$2&amp;"+"&amp;CH58&amp;FN$1)</f>
        <v/>
      </c>
      <c r="FO58" s="40" t="str">
        <f t="shared" ref="FO58:FO62" si="647">IF(CI58="","","|n"&amp;FO$2&amp;"+"&amp;CI58&amp;FO$1)</f>
        <v/>
      </c>
      <c r="FP58" s="40" t="str">
        <f t="shared" ref="FP58:FP62" si="648">IF(CJ58="","","|n"&amp;FP$2&amp;"+"&amp;CJ58&amp;FP$1)</f>
        <v/>
      </c>
      <c r="FQ58" s="40" t="str">
        <f t="shared" ref="FQ58:FQ62" si="649">IF(CK58="","","|n"&amp;FQ$2&amp;"+"&amp;CK58&amp;FQ$1)</f>
        <v/>
      </c>
      <c r="FR58" s="40" t="str">
        <f t="shared" ref="FR58:FR62" si="650">IF(CL58="","","|n"&amp;FR$2&amp;"+"&amp;CL58&amp;FR$1)</f>
        <v/>
      </c>
      <c r="FS58" s="40" t="str">
        <f t="shared" ref="FS58:FS62" si="651">IF(CM58="","","|n"&amp;FS$2&amp;"+"&amp;CM58&amp;FS$1)</f>
        <v/>
      </c>
    </row>
    <row r="59" spans="1:175" s="4" customFormat="1" ht="16.5">
      <c r="A59" s="8"/>
      <c r="B59" s="41" t="s">
        <v>232</v>
      </c>
      <c r="C59" s="8" t="s">
        <v>712</v>
      </c>
      <c r="D59" s="42"/>
      <c r="E59" s="43"/>
      <c r="F59" s="44">
        <v>3500</v>
      </c>
      <c r="G59" s="45">
        <v>90</v>
      </c>
      <c r="H59" s="45"/>
      <c r="I59" s="45" t="str">
        <f t="shared" si="440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231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3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4"/>
        <v>InitUnitState('E207',,,130,,8000,,160,,,)</v>
      </c>
      <c r="CO59" s="58" t="str">
        <f t="shared" si="295"/>
        <v>InitUnitNormal('E207',,,,,,,,,,)</v>
      </c>
      <c r="CP59" s="58" t="str">
        <f t="shared" si="296"/>
        <v>InitUnitMagic('E207',,,,,,,,1,,)</v>
      </c>
      <c r="CQ59" s="58" t="str">
        <f t="shared" si="297"/>
        <v>InitUnitAdd('E207',,,,,,,,,,)</v>
      </c>
      <c r="CR59" s="58" t="str">
        <f t="shared" si="441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2"/>
        <v/>
      </c>
      <c r="DC59" s="40" t="str">
        <f t="shared" si="583"/>
        <v/>
      </c>
      <c r="DD59" s="40" t="str">
        <f t="shared" si="584"/>
        <v>|n护甲+130</v>
      </c>
      <c r="DE59" s="40" t="str">
        <f t="shared" si="585"/>
        <v/>
      </c>
      <c r="DF59" s="40" t="str">
        <f t="shared" si="586"/>
        <v>|n生命值+8000</v>
      </c>
      <c r="DG59" s="40" t="str">
        <f t="shared" si="587"/>
        <v/>
      </c>
      <c r="DH59" s="40" t="str">
        <f t="shared" si="588"/>
        <v>|n生命回复+160</v>
      </c>
      <c r="DI59" s="40" t="str">
        <f t="shared" si="589"/>
        <v/>
      </c>
      <c r="DJ59" s="40" t="str">
        <f t="shared" si="590"/>
        <v/>
      </c>
      <c r="DK59" s="40" t="str">
        <f t="shared" si="591"/>
        <v/>
      </c>
      <c r="DL59" s="40" t="str">
        <f t="shared" si="592"/>
        <v/>
      </c>
      <c r="DM59" s="40" t="str">
        <f t="shared" si="593"/>
        <v/>
      </c>
      <c r="DN59" s="40" t="str">
        <f t="shared" si="594"/>
        <v/>
      </c>
      <c r="DO59" s="40" t="str">
        <f t="shared" si="595"/>
        <v/>
      </c>
      <c r="DP59" s="40" t="str">
        <f t="shared" si="596"/>
        <v/>
      </c>
      <c r="DQ59" s="40" t="str">
        <f t="shared" si="597"/>
        <v/>
      </c>
      <c r="DR59" s="40" t="str">
        <f t="shared" si="598"/>
        <v/>
      </c>
      <c r="DS59" s="40" t="str">
        <f t="shared" si="599"/>
        <v/>
      </c>
      <c r="DT59" s="40" t="str">
        <f t="shared" si="600"/>
        <v/>
      </c>
      <c r="DU59" s="40" t="str">
        <f t="shared" si="601"/>
        <v/>
      </c>
      <c r="DV59" s="40" t="str">
        <f t="shared" si="602"/>
        <v/>
      </c>
      <c r="DW59" s="40" t="str">
        <f t="shared" si="603"/>
        <v/>
      </c>
      <c r="DX59" s="40" t="str">
        <f t="shared" si="604"/>
        <v/>
      </c>
      <c r="DY59" s="40" t="str">
        <f t="shared" si="605"/>
        <v/>
      </c>
      <c r="DZ59" s="40" t="str">
        <f t="shared" si="606"/>
        <v/>
      </c>
      <c r="EA59" s="40" t="str">
        <f t="shared" si="607"/>
        <v/>
      </c>
      <c r="EB59" s="40" t="str">
        <f t="shared" si="608"/>
        <v/>
      </c>
      <c r="EC59" s="40" t="str">
        <f t="shared" si="609"/>
        <v>|n生命恢复%+1</v>
      </c>
      <c r="ED59" s="40" t="str">
        <f t="shared" si="610"/>
        <v/>
      </c>
      <c r="EE59" s="40" t="str">
        <f t="shared" si="611"/>
        <v/>
      </c>
      <c r="EF59" s="40" t="str">
        <f t="shared" si="612"/>
        <v/>
      </c>
      <c r="EG59" s="40" t="str">
        <f t="shared" si="613"/>
        <v/>
      </c>
      <c r="EH59" s="40" t="str">
        <f t="shared" si="614"/>
        <v/>
      </c>
      <c r="EI59" s="40" t="str">
        <f t="shared" si="615"/>
        <v/>
      </c>
      <c r="EJ59" s="40" t="str">
        <f t="shared" si="616"/>
        <v/>
      </c>
      <c r="EK59" s="40" t="str">
        <f t="shared" si="617"/>
        <v/>
      </c>
      <c r="EL59" s="40" t="str">
        <f t="shared" si="618"/>
        <v/>
      </c>
      <c r="EM59" s="40" t="str">
        <f t="shared" si="619"/>
        <v/>
      </c>
      <c r="EN59" s="40" t="str">
        <f t="shared" si="620"/>
        <v/>
      </c>
      <c r="EO59" s="40" t="str">
        <f t="shared" si="621"/>
        <v/>
      </c>
      <c r="EP59" s="40" t="str">
        <f t="shared" si="622"/>
        <v/>
      </c>
      <c r="EQ59" s="40" t="str">
        <f t="shared" si="623"/>
        <v/>
      </c>
      <c r="ER59" s="40" t="str">
        <f t="shared" si="624"/>
        <v/>
      </c>
      <c r="ES59" s="40" t="str">
        <f t="shared" si="625"/>
        <v/>
      </c>
      <c r="ET59" s="40" t="str">
        <f t="shared" si="626"/>
        <v/>
      </c>
      <c r="EU59" s="40" t="str">
        <f t="shared" si="627"/>
        <v/>
      </c>
      <c r="EV59" s="40" t="str">
        <f t="shared" si="628"/>
        <v/>
      </c>
      <c r="EW59" s="40" t="str">
        <f t="shared" si="629"/>
        <v/>
      </c>
      <c r="EX59" s="40" t="str">
        <f t="shared" si="630"/>
        <v/>
      </c>
      <c r="EY59" s="40" t="str">
        <f t="shared" si="631"/>
        <v/>
      </c>
      <c r="EZ59" s="40" t="str">
        <f t="shared" si="632"/>
        <v/>
      </c>
      <c r="FA59" s="40" t="str">
        <f t="shared" si="633"/>
        <v/>
      </c>
      <c r="FB59" s="40" t="str">
        <f t="shared" si="634"/>
        <v/>
      </c>
      <c r="FC59" s="40" t="str">
        <f t="shared" si="635"/>
        <v/>
      </c>
      <c r="FD59" s="40" t="str">
        <f t="shared" si="636"/>
        <v/>
      </c>
      <c r="FE59" s="40" t="str">
        <f t="shared" si="637"/>
        <v/>
      </c>
      <c r="FF59" s="40" t="str">
        <f t="shared" si="638"/>
        <v/>
      </c>
      <c r="FG59" s="40" t="str">
        <f t="shared" si="639"/>
        <v/>
      </c>
      <c r="FH59" s="40" t="str">
        <f t="shared" si="640"/>
        <v/>
      </c>
      <c r="FI59" s="40" t="str">
        <f t="shared" si="641"/>
        <v/>
      </c>
      <c r="FJ59" s="40" t="str">
        <f t="shared" si="642"/>
        <v/>
      </c>
      <c r="FK59" s="40" t="str">
        <f t="shared" si="643"/>
        <v/>
      </c>
      <c r="FL59" s="40" t="str">
        <f t="shared" si="644"/>
        <v/>
      </c>
      <c r="FM59" s="40" t="str">
        <f t="shared" si="645"/>
        <v/>
      </c>
      <c r="FN59" s="40" t="str">
        <f t="shared" si="646"/>
        <v/>
      </c>
      <c r="FO59" s="40" t="str">
        <f t="shared" si="647"/>
        <v/>
      </c>
      <c r="FP59" s="40" t="str">
        <f t="shared" si="648"/>
        <v/>
      </c>
      <c r="FQ59" s="40" t="str">
        <f t="shared" si="649"/>
        <v/>
      </c>
      <c r="FR59" s="40" t="str">
        <f t="shared" si="650"/>
        <v/>
      </c>
      <c r="FS59" s="40" t="str">
        <f t="shared" si="651"/>
        <v/>
      </c>
    </row>
    <row r="60" spans="1:175" s="4" customFormat="1" ht="16.5">
      <c r="A60" s="8"/>
      <c r="B60" s="41" t="s">
        <v>233</v>
      </c>
      <c r="C60" s="8" t="s">
        <v>713</v>
      </c>
      <c r="D60" s="42"/>
      <c r="E60" s="43"/>
      <c r="F60" s="44">
        <v>3500</v>
      </c>
      <c r="G60" s="45">
        <v>90</v>
      </c>
      <c r="H60" s="45"/>
      <c r="I60" s="45" t="str">
        <f t="shared" si="440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231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3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4"/>
        <v>InitUnitState('E208',,,160,,11000,,220,,,)</v>
      </c>
      <c r="CO60" s="58" t="str">
        <f t="shared" si="295"/>
        <v>InitUnitNormal('E208',,,,,,,,,,)</v>
      </c>
      <c r="CP60" s="58" t="str">
        <f t="shared" si="296"/>
        <v>InitUnitMagic('E208',,,,,,,,1,,)</v>
      </c>
      <c r="CQ60" s="58" t="str">
        <f t="shared" si="297"/>
        <v>InitUnitAdd('E208',,,,,,,,,,)</v>
      </c>
      <c r="CR60" s="58" t="str">
        <f t="shared" si="441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2"/>
        <v/>
      </c>
      <c r="DC60" s="40" t="str">
        <f t="shared" si="583"/>
        <v/>
      </c>
      <c r="DD60" s="40" t="str">
        <f t="shared" si="584"/>
        <v>|n护甲+160</v>
      </c>
      <c r="DE60" s="40" t="str">
        <f t="shared" si="585"/>
        <v/>
      </c>
      <c r="DF60" s="40" t="str">
        <f t="shared" si="586"/>
        <v>|n生命值+11000</v>
      </c>
      <c r="DG60" s="40" t="str">
        <f t="shared" si="587"/>
        <v/>
      </c>
      <c r="DH60" s="40" t="str">
        <f t="shared" si="588"/>
        <v>|n生命回复+220</v>
      </c>
      <c r="DI60" s="40" t="str">
        <f t="shared" si="589"/>
        <v/>
      </c>
      <c r="DJ60" s="40" t="str">
        <f t="shared" si="590"/>
        <v/>
      </c>
      <c r="DK60" s="40" t="str">
        <f t="shared" si="591"/>
        <v/>
      </c>
      <c r="DL60" s="40" t="str">
        <f t="shared" si="592"/>
        <v/>
      </c>
      <c r="DM60" s="40" t="str">
        <f t="shared" si="593"/>
        <v/>
      </c>
      <c r="DN60" s="40" t="str">
        <f t="shared" si="594"/>
        <v/>
      </c>
      <c r="DO60" s="40" t="str">
        <f t="shared" si="595"/>
        <v/>
      </c>
      <c r="DP60" s="40" t="str">
        <f t="shared" si="596"/>
        <v/>
      </c>
      <c r="DQ60" s="40" t="str">
        <f t="shared" si="597"/>
        <v/>
      </c>
      <c r="DR60" s="40" t="str">
        <f t="shared" si="598"/>
        <v/>
      </c>
      <c r="DS60" s="40" t="str">
        <f t="shared" si="599"/>
        <v/>
      </c>
      <c r="DT60" s="40" t="str">
        <f t="shared" si="600"/>
        <v/>
      </c>
      <c r="DU60" s="40" t="str">
        <f t="shared" si="601"/>
        <v/>
      </c>
      <c r="DV60" s="40" t="str">
        <f t="shared" si="602"/>
        <v/>
      </c>
      <c r="DW60" s="40" t="str">
        <f t="shared" si="603"/>
        <v/>
      </c>
      <c r="DX60" s="40" t="str">
        <f t="shared" si="604"/>
        <v/>
      </c>
      <c r="DY60" s="40" t="str">
        <f t="shared" si="605"/>
        <v/>
      </c>
      <c r="DZ60" s="40" t="str">
        <f t="shared" si="606"/>
        <v/>
      </c>
      <c r="EA60" s="40" t="str">
        <f t="shared" si="607"/>
        <v/>
      </c>
      <c r="EB60" s="40" t="str">
        <f t="shared" si="608"/>
        <v/>
      </c>
      <c r="EC60" s="40" t="str">
        <f t="shared" si="609"/>
        <v>|n生命恢复%+1</v>
      </c>
      <c r="ED60" s="40" t="str">
        <f t="shared" si="610"/>
        <v/>
      </c>
      <c r="EE60" s="40" t="str">
        <f t="shared" si="611"/>
        <v/>
      </c>
      <c r="EF60" s="40" t="str">
        <f t="shared" si="612"/>
        <v/>
      </c>
      <c r="EG60" s="40" t="str">
        <f t="shared" si="613"/>
        <v/>
      </c>
      <c r="EH60" s="40" t="str">
        <f t="shared" si="614"/>
        <v/>
      </c>
      <c r="EI60" s="40" t="str">
        <f t="shared" si="615"/>
        <v/>
      </c>
      <c r="EJ60" s="40" t="str">
        <f t="shared" si="616"/>
        <v/>
      </c>
      <c r="EK60" s="40" t="str">
        <f t="shared" si="617"/>
        <v/>
      </c>
      <c r="EL60" s="40" t="str">
        <f t="shared" si="618"/>
        <v/>
      </c>
      <c r="EM60" s="40" t="str">
        <f t="shared" si="619"/>
        <v/>
      </c>
      <c r="EN60" s="40" t="str">
        <f t="shared" si="620"/>
        <v/>
      </c>
      <c r="EO60" s="40" t="str">
        <f t="shared" si="621"/>
        <v/>
      </c>
      <c r="EP60" s="40" t="str">
        <f t="shared" si="622"/>
        <v/>
      </c>
      <c r="EQ60" s="40" t="str">
        <f t="shared" si="623"/>
        <v/>
      </c>
      <c r="ER60" s="40" t="str">
        <f t="shared" si="624"/>
        <v/>
      </c>
      <c r="ES60" s="40" t="str">
        <f t="shared" si="625"/>
        <v/>
      </c>
      <c r="ET60" s="40" t="str">
        <f t="shared" si="626"/>
        <v/>
      </c>
      <c r="EU60" s="40" t="str">
        <f t="shared" si="627"/>
        <v/>
      </c>
      <c r="EV60" s="40" t="str">
        <f t="shared" si="628"/>
        <v/>
      </c>
      <c r="EW60" s="40" t="str">
        <f t="shared" si="629"/>
        <v/>
      </c>
      <c r="EX60" s="40" t="str">
        <f t="shared" si="630"/>
        <v/>
      </c>
      <c r="EY60" s="40" t="str">
        <f t="shared" si="631"/>
        <v/>
      </c>
      <c r="EZ60" s="40" t="str">
        <f t="shared" si="632"/>
        <v/>
      </c>
      <c r="FA60" s="40" t="str">
        <f t="shared" si="633"/>
        <v/>
      </c>
      <c r="FB60" s="40" t="str">
        <f t="shared" si="634"/>
        <v/>
      </c>
      <c r="FC60" s="40" t="str">
        <f t="shared" si="635"/>
        <v/>
      </c>
      <c r="FD60" s="40" t="str">
        <f t="shared" si="636"/>
        <v/>
      </c>
      <c r="FE60" s="40" t="str">
        <f t="shared" si="637"/>
        <v/>
      </c>
      <c r="FF60" s="40" t="str">
        <f t="shared" si="638"/>
        <v/>
      </c>
      <c r="FG60" s="40" t="str">
        <f t="shared" si="639"/>
        <v/>
      </c>
      <c r="FH60" s="40" t="str">
        <f t="shared" si="640"/>
        <v/>
      </c>
      <c r="FI60" s="40" t="str">
        <f t="shared" si="641"/>
        <v/>
      </c>
      <c r="FJ60" s="40" t="str">
        <f t="shared" si="642"/>
        <v/>
      </c>
      <c r="FK60" s="40" t="str">
        <f t="shared" si="643"/>
        <v/>
      </c>
      <c r="FL60" s="40" t="str">
        <f t="shared" si="644"/>
        <v/>
      </c>
      <c r="FM60" s="40" t="str">
        <f t="shared" si="645"/>
        <v/>
      </c>
      <c r="FN60" s="40" t="str">
        <f t="shared" si="646"/>
        <v/>
      </c>
      <c r="FO60" s="40" t="str">
        <f t="shared" si="647"/>
        <v/>
      </c>
      <c r="FP60" s="40" t="str">
        <f t="shared" si="648"/>
        <v/>
      </c>
      <c r="FQ60" s="40" t="str">
        <f t="shared" si="649"/>
        <v/>
      </c>
      <c r="FR60" s="40" t="str">
        <f t="shared" si="650"/>
        <v/>
      </c>
      <c r="FS60" s="40" t="str">
        <f t="shared" si="651"/>
        <v/>
      </c>
    </row>
    <row r="61" spans="1:175" s="4" customFormat="1" ht="16.5">
      <c r="A61" s="8"/>
      <c r="B61" s="41" t="s">
        <v>234</v>
      </c>
      <c r="C61" s="8" t="s">
        <v>714</v>
      </c>
      <c r="D61" s="42"/>
      <c r="E61" s="43"/>
      <c r="F61" s="44">
        <v>3500</v>
      </c>
      <c r="G61" s="45">
        <v>90</v>
      </c>
      <c r="H61" s="45"/>
      <c r="I61" s="45" t="str">
        <f t="shared" si="440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231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3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4"/>
        <v>InitUnitState('E209',,,190,,14000,,280,,,)</v>
      </c>
      <c r="CO61" s="58" t="str">
        <f t="shared" si="295"/>
        <v>InitUnitNormal('E209',,,,,,,,,,)</v>
      </c>
      <c r="CP61" s="58" t="str">
        <f t="shared" si="296"/>
        <v>InitUnitMagic('E209',,,,,,,,1,,)</v>
      </c>
      <c r="CQ61" s="58" t="str">
        <f t="shared" si="297"/>
        <v>InitUnitAdd('E209',,,,,,,,,,)</v>
      </c>
      <c r="CR61" s="58" t="str">
        <f t="shared" si="441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2"/>
        <v/>
      </c>
      <c r="DC61" s="40" t="str">
        <f t="shared" si="583"/>
        <v/>
      </c>
      <c r="DD61" s="40" t="str">
        <f t="shared" si="584"/>
        <v>|n护甲+190</v>
      </c>
      <c r="DE61" s="40" t="str">
        <f t="shared" si="585"/>
        <v/>
      </c>
      <c r="DF61" s="40" t="str">
        <f t="shared" si="586"/>
        <v>|n生命值+14000</v>
      </c>
      <c r="DG61" s="40" t="str">
        <f t="shared" si="587"/>
        <v/>
      </c>
      <c r="DH61" s="40" t="str">
        <f t="shared" si="588"/>
        <v>|n生命回复+280</v>
      </c>
      <c r="DI61" s="40" t="str">
        <f t="shared" si="589"/>
        <v/>
      </c>
      <c r="DJ61" s="40" t="str">
        <f t="shared" si="590"/>
        <v/>
      </c>
      <c r="DK61" s="40" t="str">
        <f t="shared" si="591"/>
        <v/>
      </c>
      <c r="DL61" s="40" t="str">
        <f t="shared" si="592"/>
        <v/>
      </c>
      <c r="DM61" s="40" t="str">
        <f t="shared" si="593"/>
        <v/>
      </c>
      <c r="DN61" s="40" t="str">
        <f t="shared" si="594"/>
        <v/>
      </c>
      <c r="DO61" s="40" t="str">
        <f t="shared" si="595"/>
        <v/>
      </c>
      <c r="DP61" s="40" t="str">
        <f t="shared" si="596"/>
        <v/>
      </c>
      <c r="DQ61" s="40" t="str">
        <f t="shared" si="597"/>
        <v/>
      </c>
      <c r="DR61" s="40" t="str">
        <f t="shared" si="598"/>
        <v/>
      </c>
      <c r="DS61" s="40" t="str">
        <f t="shared" si="599"/>
        <v/>
      </c>
      <c r="DT61" s="40" t="str">
        <f t="shared" si="600"/>
        <v/>
      </c>
      <c r="DU61" s="40" t="str">
        <f t="shared" si="601"/>
        <v/>
      </c>
      <c r="DV61" s="40" t="str">
        <f t="shared" si="602"/>
        <v/>
      </c>
      <c r="DW61" s="40" t="str">
        <f t="shared" si="603"/>
        <v/>
      </c>
      <c r="DX61" s="40" t="str">
        <f t="shared" si="604"/>
        <v/>
      </c>
      <c r="DY61" s="40" t="str">
        <f t="shared" si="605"/>
        <v/>
      </c>
      <c r="DZ61" s="40" t="str">
        <f t="shared" si="606"/>
        <v/>
      </c>
      <c r="EA61" s="40" t="str">
        <f t="shared" si="607"/>
        <v/>
      </c>
      <c r="EB61" s="40" t="str">
        <f t="shared" si="608"/>
        <v/>
      </c>
      <c r="EC61" s="40" t="str">
        <f t="shared" si="609"/>
        <v>|n生命恢复%+1</v>
      </c>
      <c r="ED61" s="40" t="str">
        <f t="shared" si="610"/>
        <v/>
      </c>
      <c r="EE61" s="40" t="str">
        <f t="shared" si="611"/>
        <v/>
      </c>
      <c r="EF61" s="40" t="str">
        <f t="shared" si="612"/>
        <v/>
      </c>
      <c r="EG61" s="40" t="str">
        <f t="shared" si="613"/>
        <v/>
      </c>
      <c r="EH61" s="40" t="str">
        <f t="shared" si="614"/>
        <v/>
      </c>
      <c r="EI61" s="40" t="str">
        <f t="shared" si="615"/>
        <v/>
      </c>
      <c r="EJ61" s="40" t="str">
        <f t="shared" si="616"/>
        <v/>
      </c>
      <c r="EK61" s="40" t="str">
        <f t="shared" si="617"/>
        <v/>
      </c>
      <c r="EL61" s="40" t="str">
        <f t="shared" si="618"/>
        <v/>
      </c>
      <c r="EM61" s="40" t="str">
        <f t="shared" si="619"/>
        <v/>
      </c>
      <c r="EN61" s="40" t="str">
        <f t="shared" si="620"/>
        <v/>
      </c>
      <c r="EO61" s="40" t="str">
        <f t="shared" si="621"/>
        <v/>
      </c>
      <c r="EP61" s="40" t="str">
        <f t="shared" si="622"/>
        <v/>
      </c>
      <c r="EQ61" s="40" t="str">
        <f t="shared" si="623"/>
        <v/>
      </c>
      <c r="ER61" s="40" t="str">
        <f t="shared" si="624"/>
        <v/>
      </c>
      <c r="ES61" s="40" t="str">
        <f t="shared" si="625"/>
        <v/>
      </c>
      <c r="ET61" s="40" t="str">
        <f t="shared" si="626"/>
        <v/>
      </c>
      <c r="EU61" s="40" t="str">
        <f t="shared" si="627"/>
        <v/>
      </c>
      <c r="EV61" s="40" t="str">
        <f t="shared" si="628"/>
        <v/>
      </c>
      <c r="EW61" s="40" t="str">
        <f t="shared" si="629"/>
        <v/>
      </c>
      <c r="EX61" s="40" t="str">
        <f t="shared" si="630"/>
        <v/>
      </c>
      <c r="EY61" s="40" t="str">
        <f t="shared" si="631"/>
        <v/>
      </c>
      <c r="EZ61" s="40" t="str">
        <f t="shared" si="632"/>
        <v/>
      </c>
      <c r="FA61" s="40" t="str">
        <f t="shared" si="633"/>
        <v/>
      </c>
      <c r="FB61" s="40" t="str">
        <f t="shared" si="634"/>
        <v/>
      </c>
      <c r="FC61" s="40" t="str">
        <f t="shared" si="635"/>
        <v/>
      </c>
      <c r="FD61" s="40" t="str">
        <f t="shared" si="636"/>
        <v/>
      </c>
      <c r="FE61" s="40" t="str">
        <f t="shared" si="637"/>
        <v/>
      </c>
      <c r="FF61" s="40" t="str">
        <f t="shared" si="638"/>
        <v/>
      </c>
      <c r="FG61" s="40" t="str">
        <f t="shared" si="639"/>
        <v/>
      </c>
      <c r="FH61" s="40" t="str">
        <f t="shared" si="640"/>
        <v/>
      </c>
      <c r="FI61" s="40" t="str">
        <f t="shared" si="641"/>
        <v/>
      </c>
      <c r="FJ61" s="40" t="str">
        <f t="shared" si="642"/>
        <v/>
      </c>
      <c r="FK61" s="40" t="str">
        <f t="shared" si="643"/>
        <v/>
      </c>
      <c r="FL61" s="40" t="str">
        <f t="shared" si="644"/>
        <v/>
      </c>
      <c r="FM61" s="40" t="str">
        <f t="shared" si="645"/>
        <v/>
      </c>
      <c r="FN61" s="40" t="str">
        <f t="shared" si="646"/>
        <v/>
      </c>
      <c r="FO61" s="40" t="str">
        <f t="shared" si="647"/>
        <v/>
      </c>
      <c r="FP61" s="40" t="str">
        <f t="shared" si="648"/>
        <v/>
      </c>
      <c r="FQ61" s="40" t="str">
        <f t="shared" si="649"/>
        <v/>
      </c>
      <c r="FR61" s="40" t="str">
        <f t="shared" si="650"/>
        <v/>
      </c>
      <c r="FS61" s="40" t="str">
        <f t="shared" si="651"/>
        <v/>
      </c>
    </row>
    <row r="62" spans="1:175" s="4" customFormat="1" ht="16.5">
      <c r="A62" s="8"/>
      <c r="B62" s="41" t="s">
        <v>235</v>
      </c>
      <c r="C62" s="8" t="s">
        <v>715</v>
      </c>
      <c r="D62" s="42"/>
      <c r="E62" s="43"/>
      <c r="F62" s="44">
        <v>15000</v>
      </c>
      <c r="G62" s="45">
        <v>100</v>
      </c>
      <c r="H62" s="46" t="s">
        <v>236</v>
      </c>
      <c r="I62" s="45" t="str">
        <f t="shared" si="440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231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3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4"/>
        <v>InitUnitState('E210',,,220,,17000,,340,,,)</v>
      </c>
      <c r="CO62" s="58" t="str">
        <f t="shared" si="295"/>
        <v>InitUnitNormal('E210',,,,,,,,,,)</v>
      </c>
      <c r="CP62" s="58" t="str">
        <f t="shared" si="296"/>
        <v>InitUnitMagic('E210',,,,,,,,1,,)</v>
      </c>
      <c r="CQ62" s="58" t="str">
        <f t="shared" si="297"/>
        <v>InitUnitAdd('E210',,,,,,,,,,)</v>
      </c>
      <c r="CR62" s="58" t="str">
        <f t="shared" si="441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2"/>
        <v/>
      </c>
      <c r="DC62" s="40" t="str">
        <f t="shared" si="583"/>
        <v/>
      </c>
      <c r="DD62" s="40" t="str">
        <f t="shared" si="584"/>
        <v>|n护甲+220</v>
      </c>
      <c r="DE62" s="40" t="str">
        <f t="shared" si="585"/>
        <v/>
      </c>
      <c r="DF62" s="40" t="str">
        <f t="shared" si="586"/>
        <v>|n生命值+17000</v>
      </c>
      <c r="DG62" s="40" t="str">
        <f t="shared" si="587"/>
        <v/>
      </c>
      <c r="DH62" s="40" t="str">
        <f t="shared" si="588"/>
        <v>|n生命回复+340</v>
      </c>
      <c r="DI62" s="40" t="str">
        <f t="shared" si="589"/>
        <v/>
      </c>
      <c r="DJ62" s="40" t="str">
        <f t="shared" si="590"/>
        <v/>
      </c>
      <c r="DK62" s="40" t="str">
        <f t="shared" si="591"/>
        <v/>
      </c>
      <c r="DL62" s="40" t="str">
        <f t="shared" si="592"/>
        <v/>
      </c>
      <c r="DM62" s="40" t="str">
        <f t="shared" si="593"/>
        <v/>
      </c>
      <c r="DN62" s="40" t="str">
        <f t="shared" si="594"/>
        <v/>
      </c>
      <c r="DO62" s="40" t="str">
        <f t="shared" si="595"/>
        <v/>
      </c>
      <c r="DP62" s="40" t="str">
        <f t="shared" si="596"/>
        <v/>
      </c>
      <c r="DQ62" s="40" t="str">
        <f t="shared" si="597"/>
        <v/>
      </c>
      <c r="DR62" s="40" t="str">
        <f t="shared" si="598"/>
        <v/>
      </c>
      <c r="DS62" s="40" t="str">
        <f t="shared" si="599"/>
        <v/>
      </c>
      <c r="DT62" s="40" t="str">
        <f t="shared" si="600"/>
        <v/>
      </c>
      <c r="DU62" s="40" t="str">
        <f t="shared" si="601"/>
        <v/>
      </c>
      <c r="DV62" s="40" t="str">
        <f t="shared" si="602"/>
        <v/>
      </c>
      <c r="DW62" s="40" t="str">
        <f t="shared" si="603"/>
        <v/>
      </c>
      <c r="DX62" s="40" t="str">
        <f t="shared" si="604"/>
        <v/>
      </c>
      <c r="DY62" s="40" t="str">
        <f t="shared" si="605"/>
        <v/>
      </c>
      <c r="DZ62" s="40" t="str">
        <f t="shared" si="606"/>
        <v/>
      </c>
      <c r="EA62" s="40" t="str">
        <f t="shared" si="607"/>
        <v/>
      </c>
      <c r="EB62" s="40" t="str">
        <f t="shared" si="608"/>
        <v/>
      </c>
      <c r="EC62" s="40" t="str">
        <f t="shared" si="609"/>
        <v>|n生命恢复%+1</v>
      </c>
      <c r="ED62" s="40" t="str">
        <f t="shared" si="610"/>
        <v/>
      </c>
      <c r="EE62" s="40" t="str">
        <f t="shared" si="611"/>
        <v/>
      </c>
      <c r="EF62" s="40" t="str">
        <f t="shared" si="612"/>
        <v/>
      </c>
      <c r="EG62" s="40" t="str">
        <f t="shared" si="613"/>
        <v/>
      </c>
      <c r="EH62" s="40" t="str">
        <f t="shared" si="614"/>
        <v/>
      </c>
      <c r="EI62" s="40" t="str">
        <f t="shared" si="615"/>
        <v/>
      </c>
      <c r="EJ62" s="40" t="str">
        <f t="shared" si="616"/>
        <v/>
      </c>
      <c r="EK62" s="40" t="str">
        <f t="shared" si="617"/>
        <v/>
      </c>
      <c r="EL62" s="40" t="str">
        <f t="shared" si="618"/>
        <v/>
      </c>
      <c r="EM62" s="40" t="str">
        <f t="shared" si="619"/>
        <v/>
      </c>
      <c r="EN62" s="40" t="str">
        <f t="shared" si="620"/>
        <v/>
      </c>
      <c r="EO62" s="40" t="str">
        <f t="shared" si="621"/>
        <v/>
      </c>
      <c r="EP62" s="40" t="str">
        <f t="shared" si="622"/>
        <v/>
      </c>
      <c r="EQ62" s="40" t="str">
        <f t="shared" si="623"/>
        <v/>
      </c>
      <c r="ER62" s="40" t="str">
        <f t="shared" si="624"/>
        <v/>
      </c>
      <c r="ES62" s="40" t="str">
        <f t="shared" si="625"/>
        <v/>
      </c>
      <c r="ET62" s="40" t="str">
        <f t="shared" si="626"/>
        <v/>
      </c>
      <c r="EU62" s="40" t="str">
        <f t="shared" si="627"/>
        <v/>
      </c>
      <c r="EV62" s="40" t="str">
        <f t="shared" si="628"/>
        <v/>
      </c>
      <c r="EW62" s="40" t="str">
        <f t="shared" si="629"/>
        <v/>
      </c>
      <c r="EX62" s="40" t="str">
        <f t="shared" si="630"/>
        <v/>
      </c>
      <c r="EY62" s="40" t="str">
        <f t="shared" si="631"/>
        <v/>
      </c>
      <c r="EZ62" s="40" t="str">
        <f t="shared" si="632"/>
        <v/>
      </c>
      <c r="FA62" s="40" t="str">
        <f t="shared" si="633"/>
        <v/>
      </c>
      <c r="FB62" s="40" t="str">
        <f t="shared" si="634"/>
        <v/>
      </c>
      <c r="FC62" s="40" t="str">
        <f t="shared" si="635"/>
        <v/>
      </c>
      <c r="FD62" s="40" t="str">
        <f t="shared" si="636"/>
        <v/>
      </c>
      <c r="FE62" s="40" t="str">
        <f t="shared" si="637"/>
        <v/>
      </c>
      <c r="FF62" s="40" t="str">
        <f t="shared" si="638"/>
        <v/>
      </c>
      <c r="FG62" s="40" t="str">
        <f t="shared" si="639"/>
        <v/>
      </c>
      <c r="FH62" s="40" t="str">
        <f t="shared" si="640"/>
        <v/>
      </c>
      <c r="FI62" s="40" t="str">
        <f t="shared" si="641"/>
        <v/>
      </c>
      <c r="FJ62" s="40" t="str">
        <f t="shared" si="642"/>
        <v/>
      </c>
      <c r="FK62" s="40" t="str">
        <f t="shared" si="643"/>
        <v/>
      </c>
      <c r="FL62" s="40" t="str">
        <f t="shared" si="644"/>
        <v/>
      </c>
      <c r="FM62" s="40" t="str">
        <f t="shared" si="645"/>
        <v/>
      </c>
      <c r="FN62" s="40" t="str">
        <f t="shared" si="646"/>
        <v/>
      </c>
      <c r="FO62" s="40" t="str">
        <f t="shared" si="647"/>
        <v/>
      </c>
      <c r="FP62" s="40" t="str">
        <f t="shared" si="648"/>
        <v/>
      </c>
      <c r="FQ62" s="40" t="str">
        <f t="shared" si="649"/>
        <v/>
      </c>
      <c r="FR62" s="40" t="str">
        <f t="shared" si="650"/>
        <v/>
      </c>
      <c r="FS62" s="40" t="str">
        <f t="shared" si="651"/>
        <v/>
      </c>
    </row>
    <row r="63" spans="1:175" s="4" customFormat="1" ht="16.5">
      <c r="A63" s="8"/>
      <c r="B63" s="41" t="s">
        <v>237</v>
      </c>
      <c r="C63" s="8" t="s">
        <v>716</v>
      </c>
      <c r="D63" s="42"/>
      <c r="E63" s="43"/>
      <c r="F63" s="44">
        <v>10000</v>
      </c>
      <c r="G63" s="45">
        <v>80</v>
      </c>
      <c r="H63" s="45"/>
      <c r="I63" s="45" t="str">
        <f t="shared" si="440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238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3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4"/>
        <v>InitUnitState('E211',,,250,,25000,,500,,,)</v>
      </c>
      <c r="CO63" s="58" t="str">
        <f t="shared" si="295"/>
        <v>InitUnitNormal('E211',,,,,,,,,,)</v>
      </c>
      <c r="CP63" s="58" t="str">
        <f t="shared" si="296"/>
        <v>InitUnitMagic('E211',,,,,,,,1,,)</v>
      </c>
      <c r="CQ63" s="58" t="str">
        <f t="shared" si="297"/>
        <v>InitUnitAdd('E211',,,,,,,,,,)</v>
      </c>
      <c r="CR63" s="58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3">IF(V63="","","|n"&amp;DB$2&amp;"+"&amp;V63&amp;DB$1)</f>
        <v/>
      </c>
      <c r="DC63" s="40" t="str">
        <f t="shared" ref="DC63:DC88" si="654">IF(W63="","","|n"&amp;DC$2&amp;"+"&amp;W63&amp;DC$1)</f>
        <v/>
      </c>
      <c r="DD63" s="40" t="str">
        <f t="shared" ref="DD63:DD88" si="655">IF(X63="","","|n"&amp;DD$2&amp;"+"&amp;X63&amp;DD$1)</f>
        <v>|n护甲+250</v>
      </c>
      <c r="DE63" s="40" t="str">
        <f t="shared" ref="DE63:DE88" si="656">IF(Y63="","","|n"&amp;DE$2&amp;"+"&amp;Y63&amp;DE$1)</f>
        <v/>
      </c>
      <c r="DF63" s="40" t="str">
        <f t="shared" ref="DF63:DF88" si="657">IF(Z63="","","|n"&amp;DF$2&amp;"+"&amp;Z63&amp;DF$1)</f>
        <v>|n生命值+25000</v>
      </c>
      <c r="DG63" s="40" t="str">
        <f t="shared" ref="DG63:DG88" si="658">IF(AA63="","","|n"&amp;DG$2&amp;"+"&amp;AA63&amp;DG$1)</f>
        <v/>
      </c>
      <c r="DH63" s="40" t="str">
        <f t="shared" ref="DH63:DH88" si="659">IF(AB63="","","|n"&amp;DH$2&amp;"+"&amp;AB63&amp;DH$1)</f>
        <v>|n生命回复+500</v>
      </c>
      <c r="DI63" s="40" t="str">
        <f t="shared" ref="DI63:DI88" si="660">IF(AC63="","","|n"&amp;DI$2&amp;"+"&amp;AC63&amp;DI$1)</f>
        <v/>
      </c>
      <c r="DJ63" s="40" t="str">
        <f t="shared" ref="DJ63:DJ88" si="661">IF(AD63="","","|n"&amp;DJ$2&amp;"+"&amp;AD63&amp;DJ$1)</f>
        <v/>
      </c>
      <c r="DK63" s="40" t="str">
        <f t="shared" ref="DK63:DK88" si="662">IF(AE63="","","|n"&amp;DK$2&amp;"+"&amp;AE63&amp;DK$1)</f>
        <v/>
      </c>
      <c r="DL63" s="40" t="str">
        <f t="shared" ref="DL63:DL88" si="663">IF(AF63="","","|n"&amp;DL$2&amp;"+"&amp;AF63&amp;DL$1)</f>
        <v/>
      </c>
      <c r="DM63" s="40" t="str">
        <f t="shared" ref="DM63:DM88" si="664">IF(AG63="","","|n"&amp;DM$2&amp;"+"&amp;AG63&amp;DM$1)</f>
        <v/>
      </c>
      <c r="DN63" s="40" t="str">
        <f t="shared" ref="DN63:DN88" si="665">IF(AH63="","","|n"&amp;DN$2&amp;"+"&amp;AH63&amp;DN$1)</f>
        <v/>
      </c>
      <c r="DO63" s="40" t="str">
        <f t="shared" ref="DO63:DO88" si="666">IF(AI63="","","|n"&amp;DO$2&amp;"+"&amp;AI63&amp;DO$1)</f>
        <v/>
      </c>
      <c r="DP63" s="40" t="str">
        <f t="shared" ref="DP63:DP88" si="667">IF(AJ63="","","|n"&amp;DP$2&amp;"+"&amp;AJ63&amp;DP$1)</f>
        <v/>
      </c>
      <c r="DQ63" s="40" t="str">
        <f t="shared" ref="DQ63:DQ88" si="668">IF(AK63="","","|n"&amp;DQ$2&amp;"+"&amp;AK63&amp;DQ$1)</f>
        <v/>
      </c>
      <c r="DR63" s="40" t="str">
        <f t="shared" ref="DR63:DR88" si="669">IF(AL63="","","|n"&amp;DR$2&amp;"+"&amp;AL63&amp;DR$1)</f>
        <v/>
      </c>
      <c r="DS63" s="40" t="str">
        <f t="shared" ref="DS63:DS88" si="670">IF(AM63="","","|n"&amp;DS$2&amp;"+"&amp;AM63&amp;DS$1)</f>
        <v/>
      </c>
      <c r="DT63" s="40" t="str">
        <f t="shared" ref="DT63:DT88" si="671">IF(AN63="","","|n"&amp;DT$2&amp;"+"&amp;AN63&amp;DT$1)</f>
        <v/>
      </c>
      <c r="DU63" s="40" t="str">
        <f t="shared" ref="DU63:DU88" si="672">IF(AO63="","","|n"&amp;DU$2&amp;"+"&amp;AO63&amp;DU$1)</f>
        <v/>
      </c>
      <c r="DV63" s="40" t="str">
        <f t="shared" ref="DV63:DV88" si="673">IF(AP63="","","|n"&amp;DV$2&amp;"+"&amp;AP63&amp;DV$1)</f>
        <v/>
      </c>
      <c r="DW63" s="40" t="str">
        <f t="shared" ref="DW63:DW88" si="674">IF(AQ63="","","|n"&amp;DW$2&amp;"+"&amp;AQ63&amp;DW$1)</f>
        <v/>
      </c>
      <c r="DX63" s="40" t="str">
        <f t="shared" ref="DX63:DX88" si="675">IF(AR63="","","|n"&amp;DX$2&amp;"+"&amp;AR63&amp;DX$1)</f>
        <v/>
      </c>
      <c r="DY63" s="40" t="str">
        <f t="shared" ref="DY63:DY88" si="676">IF(AS63="","","|n"&amp;DY$2&amp;"+"&amp;AS63&amp;DY$1)</f>
        <v/>
      </c>
      <c r="DZ63" s="40" t="str">
        <f t="shared" ref="DZ63:DZ88" si="677">IF(AT63="","","|n"&amp;DZ$2&amp;"+"&amp;AT63&amp;DZ$1)</f>
        <v/>
      </c>
      <c r="EA63" s="40" t="str">
        <f t="shared" ref="EA63:EA88" si="678">IF(AU63="","","|n"&amp;EA$2&amp;"+"&amp;AU63&amp;EA$1)</f>
        <v/>
      </c>
      <c r="EB63" s="40" t="str">
        <f t="shared" ref="EB63:EB88" si="679">IF(AV63="","","|n"&amp;EB$2&amp;"+"&amp;AV63&amp;EB$1)</f>
        <v/>
      </c>
      <c r="EC63" s="40" t="str">
        <f t="shared" ref="EC63:EC88" si="680">IF(AW63="","","|n"&amp;EC$2&amp;"+"&amp;AW63&amp;EC$1)</f>
        <v>|n生命恢复%+1</v>
      </c>
      <c r="ED63" s="40" t="str">
        <f t="shared" ref="ED63:ED88" si="681">IF(AX63="","","|n"&amp;ED$2&amp;"+"&amp;AX63&amp;ED$1)</f>
        <v/>
      </c>
      <c r="EE63" s="40" t="str">
        <f t="shared" ref="EE63:EE88" si="682">IF(AY63="","","|n"&amp;EE$2&amp;"+"&amp;AY63&amp;EE$1)</f>
        <v/>
      </c>
      <c r="EF63" s="40" t="str">
        <f t="shared" ref="EF63:EF88" si="683">IF(AZ63="","","|n"&amp;EF$2&amp;"+"&amp;AZ63&amp;EF$1)</f>
        <v/>
      </c>
      <c r="EG63" s="40" t="str">
        <f t="shared" ref="EG63:EG88" si="684">IF(BA63="","","|n"&amp;EG$2&amp;"+"&amp;BA63&amp;EG$1)</f>
        <v/>
      </c>
      <c r="EH63" s="40" t="str">
        <f t="shared" ref="EH63:EH88" si="685">IF(BB63="","","|n"&amp;EH$2&amp;"+"&amp;BB63&amp;EH$1)</f>
        <v/>
      </c>
      <c r="EI63" s="40" t="str">
        <f t="shared" ref="EI63:EI88" si="686">IF(BC63="","","|n"&amp;EI$2&amp;"+"&amp;BC63&amp;EI$1)</f>
        <v/>
      </c>
      <c r="EJ63" s="40" t="str">
        <f t="shared" ref="EJ63:EJ88" si="687">IF(BD63="","","|n"&amp;EJ$2&amp;"+"&amp;BD63&amp;EJ$1)</f>
        <v/>
      </c>
      <c r="EK63" s="40" t="str">
        <f t="shared" ref="EK63:EK88" si="688">IF(BE63="","","|n"&amp;EK$2&amp;"+"&amp;BE63&amp;EK$1)</f>
        <v/>
      </c>
      <c r="EL63" s="40" t="str">
        <f t="shared" ref="EL63:EL88" si="689">IF(BF63="","","|n"&amp;EL$2&amp;"+"&amp;BF63&amp;EL$1)</f>
        <v/>
      </c>
      <c r="EM63" s="40" t="str">
        <f t="shared" ref="EM63:EM88" si="690">IF(BG63="","","|n"&amp;EM$2&amp;"+"&amp;BG63&amp;EM$1)</f>
        <v/>
      </c>
      <c r="EN63" s="40" t="str">
        <f t="shared" ref="EN63:EN88" si="691">IF(BH63="","","|n"&amp;EN$2&amp;"+"&amp;BH63&amp;EN$1)</f>
        <v/>
      </c>
      <c r="EO63" s="40" t="str">
        <f t="shared" ref="EO63:EO88" si="692">IF(BI63="","","|n"&amp;EO$2&amp;"+"&amp;BI63&amp;EO$1)</f>
        <v/>
      </c>
      <c r="EP63" s="40" t="str">
        <f t="shared" ref="EP63:EP88" si="693">IF(BJ63="","","|n"&amp;EP$2&amp;"+"&amp;BJ63&amp;EP$1)</f>
        <v/>
      </c>
      <c r="EQ63" s="40" t="str">
        <f t="shared" ref="EQ63:EQ88" si="694">IF(BK63="","","|n"&amp;EQ$2&amp;"+"&amp;BK63&amp;EQ$1)</f>
        <v/>
      </c>
      <c r="ER63" s="40" t="str">
        <f t="shared" ref="ER63:ER88" si="695">IF(BL63="","","|n"&amp;ER$2&amp;"+"&amp;BL63&amp;ER$1)</f>
        <v/>
      </c>
      <c r="ES63" s="40" t="str">
        <f t="shared" ref="ES63:ES88" si="696">IF(BM63="","","|n"&amp;ES$2&amp;"+"&amp;BM63&amp;ES$1)</f>
        <v/>
      </c>
      <c r="ET63" s="40" t="str">
        <f t="shared" ref="ET63:ET88" si="697">IF(BN63="","","|n"&amp;ET$2&amp;"+"&amp;BN63&amp;ET$1)</f>
        <v/>
      </c>
      <c r="EU63" s="40" t="str">
        <f t="shared" ref="EU63:EU88" si="698">IF(BO63="","","|n"&amp;EU$2&amp;"+"&amp;BO63&amp;EU$1)</f>
        <v/>
      </c>
      <c r="EV63" s="40" t="str">
        <f t="shared" ref="EV63:EV88" si="699">IF(BP63="","","|n"&amp;EV$2&amp;"+"&amp;BP63&amp;EV$1)</f>
        <v/>
      </c>
      <c r="EW63" s="40" t="str">
        <f t="shared" ref="EW63:EW88" si="700">IF(BQ63="","","|n"&amp;EW$2&amp;"+"&amp;BQ63&amp;EW$1)</f>
        <v/>
      </c>
      <c r="EX63" s="40" t="str">
        <f t="shared" ref="EX63:EX88" si="701">IF(BR63="","","|n"&amp;EX$2&amp;"+"&amp;BR63&amp;EX$1)</f>
        <v/>
      </c>
      <c r="EY63" s="40" t="str">
        <f t="shared" ref="EY63:EY88" si="702">IF(BS63="","","|n"&amp;EY$2&amp;"+"&amp;BS63&amp;EY$1)</f>
        <v/>
      </c>
      <c r="EZ63" s="40" t="str">
        <f t="shared" ref="EZ63:EZ88" si="703">IF(BT63="","","|n"&amp;EZ$2&amp;"+"&amp;BT63&amp;EZ$1)</f>
        <v/>
      </c>
      <c r="FA63" s="40" t="str">
        <f t="shared" ref="FA63:FA88" si="704">IF(BU63="","","|n"&amp;FA$2&amp;"+"&amp;BU63&amp;FA$1)</f>
        <v/>
      </c>
      <c r="FB63" s="40" t="str">
        <f t="shared" ref="FB63:FB88" si="705">IF(BV63="","","|n"&amp;FB$2&amp;"+"&amp;BV63&amp;FB$1)</f>
        <v/>
      </c>
      <c r="FC63" s="40" t="str">
        <f t="shared" ref="FC63:FC88" si="706">IF(BW63="","","|n"&amp;FC$2&amp;"+"&amp;BW63&amp;FC$1)</f>
        <v/>
      </c>
      <c r="FD63" s="40" t="str">
        <f t="shared" ref="FD63:FD88" si="707">IF(BX63="","","|n"&amp;FD$2&amp;"+"&amp;BX63&amp;FD$1)</f>
        <v/>
      </c>
      <c r="FE63" s="40" t="str">
        <f t="shared" ref="FE63:FE88" si="708">IF(BY63="","","|n"&amp;FE$2&amp;"+"&amp;BY63&amp;FE$1)</f>
        <v/>
      </c>
      <c r="FF63" s="40" t="str">
        <f t="shared" ref="FF63:FF88" si="709">IF(BZ63="","","|n"&amp;FF$2&amp;"+"&amp;BZ63&amp;FF$1)</f>
        <v/>
      </c>
      <c r="FG63" s="40" t="str">
        <f t="shared" ref="FG63:FG88" si="710">IF(CA63="","","|n"&amp;FG$2&amp;"+"&amp;CA63&amp;FG$1)</f>
        <v/>
      </c>
      <c r="FH63" s="40" t="str">
        <f t="shared" ref="FH63:FH88" si="711">IF(CB63="","","|n"&amp;FH$2&amp;"+"&amp;CB63&amp;FH$1)</f>
        <v/>
      </c>
      <c r="FI63" s="40" t="str">
        <f t="shared" ref="FI63:FI88" si="712">IF(CC63="","","|n"&amp;FI$2&amp;"+"&amp;CC63&amp;FI$1)</f>
        <v/>
      </c>
      <c r="FJ63" s="40" t="str">
        <f t="shared" ref="FJ63:FJ88" si="713">IF(CD63="","","|n"&amp;FJ$2&amp;"+"&amp;CD63&amp;FJ$1)</f>
        <v/>
      </c>
      <c r="FK63" s="40" t="str">
        <f t="shared" ref="FK63:FK88" si="714">IF(CE63="","","|n"&amp;FK$2&amp;"+"&amp;CE63&amp;FK$1)</f>
        <v/>
      </c>
      <c r="FL63" s="40" t="str">
        <f t="shared" ref="FL63:FL88" si="715">IF(CF63="","","|n"&amp;FL$2&amp;"+"&amp;CF63&amp;FL$1)</f>
        <v/>
      </c>
      <c r="FM63" s="40" t="str">
        <f t="shared" ref="FM63:FM88" si="716">IF(CG63="","","|n"&amp;FM$2&amp;"+"&amp;CG63&amp;FM$1)</f>
        <v/>
      </c>
      <c r="FN63" s="40" t="str">
        <f t="shared" ref="FN63:FN88" si="717">IF(CH63="","","|n"&amp;FN$2&amp;"+"&amp;CH63&amp;FN$1)</f>
        <v/>
      </c>
      <c r="FO63" s="40" t="str">
        <f t="shared" ref="FO63:FO88" si="718">IF(CI63="","","|n"&amp;FO$2&amp;"+"&amp;CI63&amp;FO$1)</f>
        <v/>
      </c>
      <c r="FP63" s="40" t="str">
        <f t="shared" ref="FP63:FP88" si="719">IF(CJ63="","","|n"&amp;FP$2&amp;"+"&amp;CJ63&amp;FP$1)</f>
        <v/>
      </c>
      <c r="FQ63" s="40" t="str">
        <f t="shared" ref="FQ63:FQ88" si="720">IF(CK63="","","|n"&amp;FQ$2&amp;"+"&amp;CK63&amp;FQ$1)</f>
        <v/>
      </c>
      <c r="FR63" s="40" t="str">
        <f t="shared" ref="FR63:FR88" si="721">IF(CL63="","","|n"&amp;FR$2&amp;"+"&amp;CL63&amp;FR$1)</f>
        <v/>
      </c>
      <c r="FS63" s="40" t="str">
        <f t="shared" ref="FS63:FS88" si="722">IF(CM63="","","|n"&amp;FS$2&amp;"+"&amp;CM63&amp;FS$1)</f>
        <v/>
      </c>
    </row>
    <row r="64" spans="1:175" s="4" customFormat="1" ht="16.5">
      <c r="A64" s="8"/>
      <c r="B64" s="41" t="s">
        <v>239</v>
      </c>
      <c r="C64" s="8" t="s">
        <v>717</v>
      </c>
      <c r="D64" s="42"/>
      <c r="E64" s="43"/>
      <c r="F64" s="44">
        <v>10000</v>
      </c>
      <c r="G64" s="45">
        <v>80</v>
      </c>
      <c r="H64" s="45"/>
      <c r="I64" s="45" t="str">
        <f t="shared" si="440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238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3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4"/>
        <v>InitUnitState('E212',,,290,,35000,,700,,,)</v>
      </c>
      <c r="CO64" s="58" t="str">
        <f t="shared" si="295"/>
        <v>InitUnitNormal('E212',,,,,,,,,,)</v>
      </c>
      <c r="CP64" s="58" t="str">
        <f t="shared" si="296"/>
        <v>InitUnitMagic('E212',,,,,,,,1,,)</v>
      </c>
      <c r="CQ64" s="58" t="str">
        <f t="shared" si="297"/>
        <v>InitUnitAdd('E212',,,,,,,,,,)</v>
      </c>
      <c r="CR64" s="58" t="str">
        <f t="shared" si="652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3">IF(V64="","","|n"&amp;DB$2&amp;"+"&amp;V64&amp;DB$1)</f>
        <v/>
      </c>
      <c r="DC64" s="40" t="str">
        <f t="shared" ref="DC64:DC65" si="724">IF(W64="","","|n"&amp;DC$2&amp;"+"&amp;W64&amp;DC$1)</f>
        <v/>
      </c>
      <c r="DD64" s="40" t="str">
        <f t="shared" ref="DD64:DD65" si="725">IF(X64="","","|n"&amp;DD$2&amp;"+"&amp;X64&amp;DD$1)</f>
        <v>|n护甲+290</v>
      </c>
      <c r="DE64" s="40" t="str">
        <f t="shared" ref="DE64:DE65" si="726">IF(Y64="","","|n"&amp;DE$2&amp;"+"&amp;Y64&amp;DE$1)</f>
        <v/>
      </c>
      <c r="DF64" s="40" t="str">
        <f t="shared" ref="DF64:DF65" si="727">IF(Z64="","","|n"&amp;DF$2&amp;"+"&amp;Z64&amp;DF$1)</f>
        <v>|n生命值+35000</v>
      </c>
      <c r="DG64" s="40" t="str">
        <f t="shared" ref="DG64:DG65" si="728">IF(AA64="","","|n"&amp;DG$2&amp;"+"&amp;AA64&amp;DG$1)</f>
        <v/>
      </c>
      <c r="DH64" s="40" t="str">
        <f t="shared" ref="DH64:DH65" si="729">IF(AB64="","","|n"&amp;DH$2&amp;"+"&amp;AB64&amp;DH$1)</f>
        <v>|n生命回复+700</v>
      </c>
      <c r="DI64" s="40" t="str">
        <f t="shared" ref="DI64:DI65" si="730">IF(AC64="","","|n"&amp;DI$2&amp;"+"&amp;AC64&amp;DI$1)</f>
        <v/>
      </c>
      <c r="DJ64" s="40" t="str">
        <f t="shared" ref="DJ64:DJ65" si="731">IF(AD64="","","|n"&amp;DJ$2&amp;"+"&amp;AD64&amp;DJ$1)</f>
        <v/>
      </c>
      <c r="DK64" s="40" t="str">
        <f t="shared" ref="DK64:DK65" si="732">IF(AE64="","","|n"&amp;DK$2&amp;"+"&amp;AE64&amp;DK$1)</f>
        <v/>
      </c>
      <c r="DL64" s="40" t="str">
        <f t="shared" ref="DL64:DL65" si="733">IF(AF64="","","|n"&amp;DL$2&amp;"+"&amp;AF64&amp;DL$1)</f>
        <v/>
      </c>
      <c r="DM64" s="40" t="str">
        <f t="shared" ref="DM64:DM65" si="734">IF(AG64="","","|n"&amp;DM$2&amp;"+"&amp;AG64&amp;DM$1)</f>
        <v/>
      </c>
      <c r="DN64" s="40" t="str">
        <f t="shared" ref="DN64:DN65" si="735">IF(AH64="","","|n"&amp;DN$2&amp;"+"&amp;AH64&amp;DN$1)</f>
        <v/>
      </c>
      <c r="DO64" s="40" t="str">
        <f t="shared" ref="DO64:DO65" si="736">IF(AI64="","","|n"&amp;DO$2&amp;"+"&amp;AI64&amp;DO$1)</f>
        <v/>
      </c>
      <c r="DP64" s="40" t="str">
        <f t="shared" ref="DP64:DP65" si="737">IF(AJ64="","","|n"&amp;DP$2&amp;"+"&amp;AJ64&amp;DP$1)</f>
        <v/>
      </c>
      <c r="DQ64" s="40" t="str">
        <f t="shared" ref="DQ64:DQ65" si="738">IF(AK64="","","|n"&amp;DQ$2&amp;"+"&amp;AK64&amp;DQ$1)</f>
        <v/>
      </c>
      <c r="DR64" s="40" t="str">
        <f t="shared" ref="DR64:DR65" si="739">IF(AL64="","","|n"&amp;DR$2&amp;"+"&amp;AL64&amp;DR$1)</f>
        <v/>
      </c>
      <c r="DS64" s="40" t="str">
        <f t="shared" ref="DS64:DS65" si="740">IF(AM64="","","|n"&amp;DS$2&amp;"+"&amp;AM64&amp;DS$1)</f>
        <v/>
      </c>
      <c r="DT64" s="40" t="str">
        <f t="shared" ref="DT64:DT65" si="741">IF(AN64="","","|n"&amp;DT$2&amp;"+"&amp;AN64&amp;DT$1)</f>
        <v/>
      </c>
      <c r="DU64" s="40" t="str">
        <f t="shared" ref="DU64:DU65" si="742">IF(AO64="","","|n"&amp;DU$2&amp;"+"&amp;AO64&amp;DU$1)</f>
        <v/>
      </c>
      <c r="DV64" s="40" t="str">
        <f t="shared" ref="DV64:DV65" si="743">IF(AP64="","","|n"&amp;DV$2&amp;"+"&amp;AP64&amp;DV$1)</f>
        <v/>
      </c>
      <c r="DW64" s="40" t="str">
        <f t="shared" ref="DW64:DW65" si="744">IF(AQ64="","","|n"&amp;DW$2&amp;"+"&amp;AQ64&amp;DW$1)</f>
        <v/>
      </c>
      <c r="DX64" s="40" t="str">
        <f t="shared" ref="DX64:DX65" si="745">IF(AR64="","","|n"&amp;DX$2&amp;"+"&amp;AR64&amp;DX$1)</f>
        <v/>
      </c>
      <c r="DY64" s="40" t="str">
        <f t="shared" ref="DY64:DY65" si="746">IF(AS64="","","|n"&amp;DY$2&amp;"+"&amp;AS64&amp;DY$1)</f>
        <v/>
      </c>
      <c r="DZ64" s="40" t="str">
        <f t="shared" ref="DZ64:DZ65" si="747">IF(AT64="","","|n"&amp;DZ$2&amp;"+"&amp;AT64&amp;DZ$1)</f>
        <v/>
      </c>
      <c r="EA64" s="40" t="str">
        <f t="shared" ref="EA64:EA65" si="748">IF(AU64="","","|n"&amp;EA$2&amp;"+"&amp;AU64&amp;EA$1)</f>
        <v/>
      </c>
      <c r="EB64" s="40" t="str">
        <f t="shared" ref="EB64:EB65" si="749">IF(AV64="","","|n"&amp;EB$2&amp;"+"&amp;AV64&amp;EB$1)</f>
        <v/>
      </c>
      <c r="EC64" s="40" t="str">
        <f t="shared" ref="EC64:EC65" si="750">IF(AW64="","","|n"&amp;EC$2&amp;"+"&amp;AW64&amp;EC$1)</f>
        <v>|n生命恢复%+1</v>
      </c>
      <c r="ED64" s="40" t="str">
        <f t="shared" ref="ED64:ED65" si="751">IF(AX64="","","|n"&amp;ED$2&amp;"+"&amp;AX64&amp;ED$1)</f>
        <v/>
      </c>
      <c r="EE64" s="40" t="str">
        <f t="shared" ref="EE64:EE65" si="752">IF(AY64="","","|n"&amp;EE$2&amp;"+"&amp;AY64&amp;EE$1)</f>
        <v/>
      </c>
      <c r="EF64" s="40" t="str">
        <f t="shared" ref="EF64:EF65" si="753">IF(AZ64="","","|n"&amp;EF$2&amp;"+"&amp;AZ64&amp;EF$1)</f>
        <v/>
      </c>
      <c r="EG64" s="40" t="str">
        <f t="shared" ref="EG64:EG65" si="754">IF(BA64="","","|n"&amp;EG$2&amp;"+"&amp;BA64&amp;EG$1)</f>
        <v/>
      </c>
      <c r="EH64" s="40" t="str">
        <f t="shared" ref="EH64:EH65" si="755">IF(BB64="","","|n"&amp;EH$2&amp;"+"&amp;BB64&amp;EH$1)</f>
        <v/>
      </c>
      <c r="EI64" s="40" t="str">
        <f t="shared" ref="EI64:EI65" si="756">IF(BC64="","","|n"&amp;EI$2&amp;"+"&amp;BC64&amp;EI$1)</f>
        <v/>
      </c>
      <c r="EJ64" s="40" t="str">
        <f t="shared" ref="EJ64:EJ65" si="757">IF(BD64="","","|n"&amp;EJ$2&amp;"+"&amp;BD64&amp;EJ$1)</f>
        <v/>
      </c>
      <c r="EK64" s="40" t="str">
        <f t="shared" ref="EK64:EK65" si="758">IF(BE64="","","|n"&amp;EK$2&amp;"+"&amp;BE64&amp;EK$1)</f>
        <v/>
      </c>
      <c r="EL64" s="40" t="str">
        <f t="shared" ref="EL64:EL65" si="759">IF(BF64="","","|n"&amp;EL$2&amp;"+"&amp;BF64&amp;EL$1)</f>
        <v/>
      </c>
      <c r="EM64" s="40" t="str">
        <f t="shared" ref="EM64:EM65" si="760">IF(BG64="","","|n"&amp;EM$2&amp;"+"&amp;BG64&amp;EM$1)</f>
        <v/>
      </c>
      <c r="EN64" s="40" t="str">
        <f t="shared" ref="EN64:EN65" si="761">IF(BH64="","","|n"&amp;EN$2&amp;"+"&amp;BH64&amp;EN$1)</f>
        <v/>
      </c>
      <c r="EO64" s="40" t="str">
        <f t="shared" ref="EO64:EO65" si="762">IF(BI64="","","|n"&amp;EO$2&amp;"+"&amp;BI64&amp;EO$1)</f>
        <v/>
      </c>
      <c r="EP64" s="40" t="str">
        <f t="shared" ref="EP64:EP65" si="763">IF(BJ64="","","|n"&amp;EP$2&amp;"+"&amp;BJ64&amp;EP$1)</f>
        <v/>
      </c>
      <c r="EQ64" s="40" t="str">
        <f t="shared" ref="EQ64:EQ65" si="764">IF(BK64="","","|n"&amp;EQ$2&amp;"+"&amp;BK64&amp;EQ$1)</f>
        <v/>
      </c>
      <c r="ER64" s="40" t="str">
        <f t="shared" ref="ER64:ER65" si="765">IF(BL64="","","|n"&amp;ER$2&amp;"+"&amp;BL64&amp;ER$1)</f>
        <v/>
      </c>
      <c r="ES64" s="40" t="str">
        <f t="shared" ref="ES64:ES65" si="766">IF(BM64="","","|n"&amp;ES$2&amp;"+"&amp;BM64&amp;ES$1)</f>
        <v/>
      </c>
      <c r="ET64" s="40" t="str">
        <f t="shared" ref="ET64:ET65" si="767">IF(BN64="","","|n"&amp;ET$2&amp;"+"&amp;BN64&amp;ET$1)</f>
        <v/>
      </c>
      <c r="EU64" s="40" t="str">
        <f t="shared" ref="EU64:EU65" si="768">IF(BO64="","","|n"&amp;EU$2&amp;"+"&amp;BO64&amp;EU$1)</f>
        <v/>
      </c>
      <c r="EV64" s="40" t="str">
        <f t="shared" ref="EV64:EV65" si="769">IF(BP64="","","|n"&amp;EV$2&amp;"+"&amp;BP64&amp;EV$1)</f>
        <v/>
      </c>
      <c r="EW64" s="40" t="str">
        <f t="shared" ref="EW64:EW65" si="770">IF(BQ64="","","|n"&amp;EW$2&amp;"+"&amp;BQ64&amp;EW$1)</f>
        <v/>
      </c>
      <c r="EX64" s="40" t="str">
        <f t="shared" ref="EX64:EX65" si="771">IF(BR64="","","|n"&amp;EX$2&amp;"+"&amp;BR64&amp;EX$1)</f>
        <v/>
      </c>
      <c r="EY64" s="40" t="str">
        <f t="shared" ref="EY64:EY65" si="772">IF(BS64="","","|n"&amp;EY$2&amp;"+"&amp;BS64&amp;EY$1)</f>
        <v/>
      </c>
      <c r="EZ64" s="40" t="str">
        <f t="shared" ref="EZ64:EZ65" si="773">IF(BT64="","","|n"&amp;EZ$2&amp;"+"&amp;BT64&amp;EZ$1)</f>
        <v/>
      </c>
      <c r="FA64" s="40" t="str">
        <f t="shared" ref="FA64:FA65" si="774">IF(BU64="","","|n"&amp;FA$2&amp;"+"&amp;BU64&amp;FA$1)</f>
        <v/>
      </c>
      <c r="FB64" s="40" t="str">
        <f t="shared" ref="FB64:FB65" si="775">IF(BV64="","","|n"&amp;FB$2&amp;"+"&amp;BV64&amp;FB$1)</f>
        <v/>
      </c>
      <c r="FC64" s="40" t="str">
        <f t="shared" ref="FC64:FC65" si="776">IF(BW64="","","|n"&amp;FC$2&amp;"+"&amp;BW64&amp;FC$1)</f>
        <v/>
      </c>
      <c r="FD64" s="40" t="str">
        <f t="shared" ref="FD64:FD65" si="777">IF(BX64="","","|n"&amp;FD$2&amp;"+"&amp;BX64&amp;FD$1)</f>
        <v/>
      </c>
      <c r="FE64" s="40" t="str">
        <f t="shared" ref="FE64:FE65" si="778">IF(BY64="","","|n"&amp;FE$2&amp;"+"&amp;BY64&amp;FE$1)</f>
        <v/>
      </c>
      <c r="FF64" s="40" t="str">
        <f t="shared" ref="FF64:FF65" si="779">IF(BZ64="","","|n"&amp;FF$2&amp;"+"&amp;BZ64&amp;FF$1)</f>
        <v/>
      </c>
      <c r="FG64" s="40" t="str">
        <f t="shared" ref="FG64:FG65" si="780">IF(CA64="","","|n"&amp;FG$2&amp;"+"&amp;CA64&amp;FG$1)</f>
        <v/>
      </c>
      <c r="FH64" s="40" t="str">
        <f t="shared" ref="FH64:FH65" si="781">IF(CB64="","","|n"&amp;FH$2&amp;"+"&amp;CB64&amp;FH$1)</f>
        <v/>
      </c>
      <c r="FI64" s="40" t="str">
        <f t="shared" ref="FI64:FI65" si="782">IF(CC64="","","|n"&amp;FI$2&amp;"+"&amp;CC64&amp;FI$1)</f>
        <v/>
      </c>
      <c r="FJ64" s="40" t="str">
        <f t="shared" ref="FJ64:FJ65" si="783">IF(CD64="","","|n"&amp;FJ$2&amp;"+"&amp;CD64&amp;FJ$1)</f>
        <v/>
      </c>
      <c r="FK64" s="40" t="str">
        <f t="shared" ref="FK64:FK65" si="784">IF(CE64="","","|n"&amp;FK$2&amp;"+"&amp;CE64&amp;FK$1)</f>
        <v/>
      </c>
      <c r="FL64" s="40" t="str">
        <f t="shared" ref="FL64:FL65" si="785">IF(CF64="","","|n"&amp;FL$2&amp;"+"&amp;CF64&amp;FL$1)</f>
        <v/>
      </c>
      <c r="FM64" s="40" t="str">
        <f t="shared" ref="FM64:FM65" si="786">IF(CG64="","","|n"&amp;FM$2&amp;"+"&amp;CG64&amp;FM$1)</f>
        <v/>
      </c>
      <c r="FN64" s="40" t="str">
        <f t="shared" ref="FN64:FN65" si="787">IF(CH64="","","|n"&amp;FN$2&amp;"+"&amp;CH64&amp;FN$1)</f>
        <v/>
      </c>
      <c r="FO64" s="40" t="str">
        <f t="shared" ref="FO64:FO65" si="788">IF(CI64="","","|n"&amp;FO$2&amp;"+"&amp;CI64&amp;FO$1)</f>
        <v/>
      </c>
      <c r="FP64" s="40" t="str">
        <f t="shared" ref="FP64:FP65" si="789">IF(CJ64="","","|n"&amp;FP$2&amp;"+"&amp;CJ64&amp;FP$1)</f>
        <v/>
      </c>
      <c r="FQ64" s="40" t="str">
        <f t="shared" ref="FQ64:FQ65" si="790">IF(CK64="","","|n"&amp;FQ$2&amp;"+"&amp;CK64&amp;FQ$1)</f>
        <v/>
      </c>
      <c r="FR64" s="40" t="str">
        <f t="shared" ref="FR64:FR65" si="791">IF(CL64="","","|n"&amp;FR$2&amp;"+"&amp;CL64&amp;FR$1)</f>
        <v/>
      </c>
      <c r="FS64" s="40" t="str">
        <f t="shared" ref="FS64:FS65" si="792">IF(CM64="","","|n"&amp;FS$2&amp;"+"&amp;CM64&amp;FS$1)</f>
        <v/>
      </c>
    </row>
    <row r="65" spans="1:175" s="4" customFormat="1" ht="16.5">
      <c r="A65" s="8"/>
      <c r="B65" s="41" t="s">
        <v>240</v>
      </c>
      <c r="C65" s="8" t="s">
        <v>718</v>
      </c>
      <c r="D65" s="42"/>
      <c r="E65" s="43"/>
      <c r="F65" s="44">
        <v>10000</v>
      </c>
      <c r="G65" s="45">
        <v>80</v>
      </c>
      <c r="H65" s="45"/>
      <c r="I65" s="45" t="str">
        <f t="shared" si="440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238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3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4"/>
        <v>InitUnitState('E213',,,330,,45000,,900,,,)</v>
      </c>
      <c r="CO65" s="58" t="str">
        <f t="shared" si="295"/>
        <v>InitUnitNormal('E213',,,,,,,,,,)</v>
      </c>
      <c r="CP65" s="58" t="str">
        <f t="shared" si="296"/>
        <v>InitUnitMagic('E213',,,,,,,,1,,)</v>
      </c>
      <c r="CQ65" s="58" t="str">
        <f t="shared" si="297"/>
        <v>InitUnitAdd('E213',,,,,,,,,,)</v>
      </c>
      <c r="CR65" s="58" t="str">
        <f t="shared" si="652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3"/>
        <v/>
      </c>
      <c r="DC65" s="40" t="str">
        <f t="shared" si="724"/>
        <v/>
      </c>
      <c r="DD65" s="40" t="str">
        <f t="shared" si="725"/>
        <v>|n护甲+330</v>
      </c>
      <c r="DE65" s="40" t="str">
        <f t="shared" si="726"/>
        <v/>
      </c>
      <c r="DF65" s="40" t="str">
        <f t="shared" si="727"/>
        <v>|n生命值+45000</v>
      </c>
      <c r="DG65" s="40" t="str">
        <f t="shared" si="728"/>
        <v/>
      </c>
      <c r="DH65" s="40" t="str">
        <f t="shared" si="729"/>
        <v>|n生命回复+900</v>
      </c>
      <c r="DI65" s="40" t="str">
        <f t="shared" si="730"/>
        <v/>
      </c>
      <c r="DJ65" s="40" t="str">
        <f t="shared" si="731"/>
        <v/>
      </c>
      <c r="DK65" s="40" t="str">
        <f t="shared" si="732"/>
        <v/>
      </c>
      <c r="DL65" s="40" t="str">
        <f t="shared" si="733"/>
        <v/>
      </c>
      <c r="DM65" s="40" t="str">
        <f t="shared" si="734"/>
        <v/>
      </c>
      <c r="DN65" s="40" t="str">
        <f t="shared" si="735"/>
        <v/>
      </c>
      <c r="DO65" s="40" t="str">
        <f t="shared" si="736"/>
        <v/>
      </c>
      <c r="DP65" s="40" t="str">
        <f t="shared" si="737"/>
        <v/>
      </c>
      <c r="DQ65" s="40" t="str">
        <f t="shared" si="738"/>
        <v/>
      </c>
      <c r="DR65" s="40" t="str">
        <f t="shared" si="739"/>
        <v/>
      </c>
      <c r="DS65" s="40" t="str">
        <f t="shared" si="740"/>
        <v/>
      </c>
      <c r="DT65" s="40" t="str">
        <f t="shared" si="741"/>
        <v/>
      </c>
      <c r="DU65" s="40" t="str">
        <f t="shared" si="742"/>
        <v/>
      </c>
      <c r="DV65" s="40" t="str">
        <f t="shared" si="743"/>
        <v/>
      </c>
      <c r="DW65" s="40" t="str">
        <f t="shared" si="744"/>
        <v/>
      </c>
      <c r="DX65" s="40" t="str">
        <f t="shared" si="745"/>
        <v/>
      </c>
      <c r="DY65" s="40" t="str">
        <f t="shared" si="746"/>
        <v/>
      </c>
      <c r="DZ65" s="40" t="str">
        <f t="shared" si="747"/>
        <v/>
      </c>
      <c r="EA65" s="40" t="str">
        <f t="shared" si="748"/>
        <v/>
      </c>
      <c r="EB65" s="40" t="str">
        <f t="shared" si="749"/>
        <v/>
      </c>
      <c r="EC65" s="40" t="str">
        <f t="shared" si="750"/>
        <v>|n生命恢复%+1</v>
      </c>
      <c r="ED65" s="40" t="str">
        <f t="shared" si="751"/>
        <v/>
      </c>
      <c r="EE65" s="40" t="str">
        <f t="shared" si="752"/>
        <v/>
      </c>
      <c r="EF65" s="40" t="str">
        <f t="shared" si="753"/>
        <v/>
      </c>
      <c r="EG65" s="40" t="str">
        <f t="shared" si="754"/>
        <v/>
      </c>
      <c r="EH65" s="40" t="str">
        <f t="shared" si="755"/>
        <v/>
      </c>
      <c r="EI65" s="40" t="str">
        <f t="shared" si="756"/>
        <v/>
      </c>
      <c r="EJ65" s="40" t="str">
        <f t="shared" si="757"/>
        <v/>
      </c>
      <c r="EK65" s="40" t="str">
        <f t="shared" si="758"/>
        <v/>
      </c>
      <c r="EL65" s="40" t="str">
        <f t="shared" si="759"/>
        <v/>
      </c>
      <c r="EM65" s="40" t="str">
        <f t="shared" si="760"/>
        <v/>
      </c>
      <c r="EN65" s="40" t="str">
        <f t="shared" si="761"/>
        <v/>
      </c>
      <c r="EO65" s="40" t="str">
        <f t="shared" si="762"/>
        <v/>
      </c>
      <c r="EP65" s="40" t="str">
        <f t="shared" si="763"/>
        <v/>
      </c>
      <c r="EQ65" s="40" t="str">
        <f t="shared" si="764"/>
        <v/>
      </c>
      <c r="ER65" s="40" t="str">
        <f t="shared" si="765"/>
        <v/>
      </c>
      <c r="ES65" s="40" t="str">
        <f t="shared" si="766"/>
        <v/>
      </c>
      <c r="ET65" s="40" t="str">
        <f t="shared" si="767"/>
        <v/>
      </c>
      <c r="EU65" s="40" t="str">
        <f t="shared" si="768"/>
        <v/>
      </c>
      <c r="EV65" s="40" t="str">
        <f t="shared" si="769"/>
        <v/>
      </c>
      <c r="EW65" s="40" t="str">
        <f t="shared" si="770"/>
        <v/>
      </c>
      <c r="EX65" s="40" t="str">
        <f t="shared" si="771"/>
        <v/>
      </c>
      <c r="EY65" s="40" t="str">
        <f t="shared" si="772"/>
        <v/>
      </c>
      <c r="EZ65" s="40" t="str">
        <f t="shared" si="773"/>
        <v/>
      </c>
      <c r="FA65" s="40" t="str">
        <f t="shared" si="774"/>
        <v/>
      </c>
      <c r="FB65" s="40" t="str">
        <f t="shared" si="775"/>
        <v/>
      </c>
      <c r="FC65" s="40" t="str">
        <f t="shared" si="776"/>
        <v/>
      </c>
      <c r="FD65" s="40" t="str">
        <f t="shared" si="777"/>
        <v/>
      </c>
      <c r="FE65" s="40" t="str">
        <f t="shared" si="778"/>
        <v/>
      </c>
      <c r="FF65" s="40" t="str">
        <f t="shared" si="779"/>
        <v/>
      </c>
      <c r="FG65" s="40" t="str">
        <f t="shared" si="780"/>
        <v/>
      </c>
      <c r="FH65" s="40" t="str">
        <f t="shared" si="781"/>
        <v/>
      </c>
      <c r="FI65" s="40" t="str">
        <f t="shared" si="782"/>
        <v/>
      </c>
      <c r="FJ65" s="40" t="str">
        <f t="shared" si="783"/>
        <v/>
      </c>
      <c r="FK65" s="40" t="str">
        <f t="shared" si="784"/>
        <v/>
      </c>
      <c r="FL65" s="40" t="str">
        <f t="shared" si="785"/>
        <v/>
      </c>
      <c r="FM65" s="40" t="str">
        <f t="shared" si="786"/>
        <v/>
      </c>
      <c r="FN65" s="40" t="str">
        <f t="shared" si="787"/>
        <v/>
      </c>
      <c r="FO65" s="40" t="str">
        <f t="shared" si="788"/>
        <v/>
      </c>
      <c r="FP65" s="40" t="str">
        <f t="shared" si="789"/>
        <v/>
      </c>
      <c r="FQ65" s="40" t="str">
        <f t="shared" si="790"/>
        <v/>
      </c>
      <c r="FR65" s="40" t="str">
        <f t="shared" si="791"/>
        <v/>
      </c>
      <c r="FS65" s="40" t="str">
        <f t="shared" si="792"/>
        <v/>
      </c>
    </row>
    <row r="66" spans="1:175" s="4" customFormat="1" ht="16.5">
      <c r="A66" s="8"/>
      <c r="B66" s="41" t="s">
        <v>241</v>
      </c>
      <c r="C66" s="8" t="s">
        <v>719</v>
      </c>
      <c r="D66" s="42"/>
      <c r="E66" s="43"/>
      <c r="F66" s="44">
        <v>10000</v>
      </c>
      <c r="G66" s="45">
        <v>80</v>
      </c>
      <c r="H66" s="45"/>
      <c r="I66" s="45" t="str">
        <f t="shared" si="440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238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3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4"/>
        <v>InitUnitState('E214',,,370,,55000,,1100,,,)</v>
      </c>
      <c r="CO66" s="58" t="str">
        <f t="shared" si="295"/>
        <v>InitUnitNormal('E214',,,,,,,,,,)</v>
      </c>
      <c r="CP66" s="58" t="str">
        <f t="shared" si="296"/>
        <v>InitUnitMagic('E214',,,,,,,,1,,)</v>
      </c>
      <c r="CQ66" s="58" t="str">
        <f t="shared" si="297"/>
        <v>InitUnitAdd('E214',,,,,,,,,,)</v>
      </c>
      <c r="CR66" s="58" t="str">
        <f t="shared" si="652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3">IF(V66="","","|n"&amp;DB$2&amp;"+"&amp;V66&amp;DB$1)</f>
        <v/>
      </c>
      <c r="DC66" s="40" t="str">
        <f t="shared" ref="DC66:DC69" si="794">IF(W66="","","|n"&amp;DC$2&amp;"+"&amp;W66&amp;DC$1)</f>
        <v/>
      </c>
      <c r="DD66" s="40" t="str">
        <f t="shared" ref="DD66:DD69" si="795">IF(X66="","","|n"&amp;DD$2&amp;"+"&amp;X66&amp;DD$1)</f>
        <v>|n护甲+370</v>
      </c>
      <c r="DE66" s="40" t="str">
        <f t="shared" ref="DE66:DE69" si="796">IF(Y66="","","|n"&amp;DE$2&amp;"+"&amp;Y66&amp;DE$1)</f>
        <v/>
      </c>
      <c r="DF66" s="40" t="str">
        <f t="shared" ref="DF66:DF69" si="797">IF(Z66="","","|n"&amp;DF$2&amp;"+"&amp;Z66&amp;DF$1)</f>
        <v>|n生命值+55000</v>
      </c>
      <c r="DG66" s="40" t="str">
        <f t="shared" ref="DG66:DG69" si="798">IF(AA66="","","|n"&amp;DG$2&amp;"+"&amp;AA66&amp;DG$1)</f>
        <v/>
      </c>
      <c r="DH66" s="40" t="str">
        <f t="shared" ref="DH66:DH69" si="799">IF(AB66="","","|n"&amp;DH$2&amp;"+"&amp;AB66&amp;DH$1)</f>
        <v>|n生命回复+1100</v>
      </c>
      <c r="DI66" s="40" t="str">
        <f t="shared" ref="DI66:DI69" si="800">IF(AC66="","","|n"&amp;DI$2&amp;"+"&amp;AC66&amp;DI$1)</f>
        <v/>
      </c>
      <c r="DJ66" s="40" t="str">
        <f t="shared" ref="DJ66:DJ69" si="801">IF(AD66="","","|n"&amp;DJ$2&amp;"+"&amp;AD66&amp;DJ$1)</f>
        <v/>
      </c>
      <c r="DK66" s="40" t="str">
        <f t="shared" ref="DK66:DK69" si="802">IF(AE66="","","|n"&amp;DK$2&amp;"+"&amp;AE66&amp;DK$1)</f>
        <v/>
      </c>
      <c r="DL66" s="40" t="str">
        <f t="shared" ref="DL66:DL69" si="803">IF(AF66="","","|n"&amp;DL$2&amp;"+"&amp;AF66&amp;DL$1)</f>
        <v/>
      </c>
      <c r="DM66" s="40" t="str">
        <f t="shared" ref="DM66:DM69" si="804">IF(AG66="","","|n"&amp;DM$2&amp;"+"&amp;AG66&amp;DM$1)</f>
        <v/>
      </c>
      <c r="DN66" s="40" t="str">
        <f t="shared" ref="DN66:DN69" si="805">IF(AH66="","","|n"&amp;DN$2&amp;"+"&amp;AH66&amp;DN$1)</f>
        <v/>
      </c>
      <c r="DO66" s="40" t="str">
        <f t="shared" ref="DO66:DO69" si="806">IF(AI66="","","|n"&amp;DO$2&amp;"+"&amp;AI66&amp;DO$1)</f>
        <v/>
      </c>
      <c r="DP66" s="40" t="str">
        <f t="shared" ref="DP66:DP69" si="807">IF(AJ66="","","|n"&amp;DP$2&amp;"+"&amp;AJ66&amp;DP$1)</f>
        <v/>
      </c>
      <c r="DQ66" s="40" t="str">
        <f t="shared" ref="DQ66:DQ69" si="808">IF(AK66="","","|n"&amp;DQ$2&amp;"+"&amp;AK66&amp;DQ$1)</f>
        <v/>
      </c>
      <c r="DR66" s="40" t="str">
        <f t="shared" ref="DR66:DR69" si="809">IF(AL66="","","|n"&amp;DR$2&amp;"+"&amp;AL66&amp;DR$1)</f>
        <v/>
      </c>
      <c r="DS66" s="40" t="str">
        <f t="shared" ref="DS66:DS69" si="810">IF(AM66="","","|n"&amp;DS$2&amp;"+"&amp;AM66&amp;DS$1)</f>
        <v/>
      </c>
      <c r="DT66" s="40" t="str">
        <f t="shared" ref="DT66:DT69" si="811">IF(AN66="","","|n"&amp;DT$2&amp;"+"&amp;AN66&amp;DT$1)</f>
        <v/>
      </c>
      <c r="DU66" s="40" t="str">
        <f t="shared" ref="DU66:DU69" si="812">IF(AO66="","","|n"&amp;DU$2&amp;"+"&amp;AO66&amp;DU$1)</f>
        <v/>
      </c>
      <c r="DV66" s="40" t="str">
        <f t="shared" ref="DV66:DV69" si="813">IF(AP66="","","|n"&amp;DV$2&amp;"+"&amp;AP66&amp;DV$1)</f>
        <v/>
      </c>
      <c r="DW66" s="40" t="str">
        <f t="shared" ref="DW66:DW69" si="814">IF(AQ66="","","|n"&amp;DW$2&amp;"+"&amp;AQ66&amp;DW$1)</f>
        <v/>
      </c>
      <c r="DX66" s="40" t="str">
        <f t="shared" ref="DX66:DX69" si="815">IF(AR66="","","|n"&amp;DX$2&amp;"+"&amp;AR66&amp;DX$1)</f>
        <v/>
      </c>
      <c r="DY66" s="40" t="str">
        <f t="shared" ref="DY66:DY69" si="816">IF(AS66="","","|n"&amp;DY$2&amp;"+"&amp;AS66&amp;DY$1)</f>
        <v/>
      </c>
      <c r="DZ66" s="40" t="str">
        <f t="shared" ref="DZ66:DZ69" si="817">IF(AT66="","","|n"&amp;DZ$2&amp;"+"&amp;AT66&amp;DZ$1)</f>
        <v/>
      </c>
      <c r="EA66" s="40" t="str">
        <f t="shared" ref="EA66:EA69" si="818">IF(AU66="","","|n"&amp;EA$2&amp;"+"&amp;AU66&amp;EA$1)</f>
        <v/>
      </c>
      <c r="EB66" s="40" t="str">
        <f t="shared" ref="EB66:EB69" si="819">IF(AV66="","","|n"&amp;EB$2&amp;"+"&amp;AV66&amp;EB$1)</f>
        <v/>
      </c>
      <c r="EC66" s="40" t="str">
        <f t="shared" ref="EC66:EC69" si="820">IF(AW66="","","|n"&amp;EC$2&amp;"+"&amp;AW66&amp;EC$1)</f>
        <v>|n生命恢复%+1</v>
      </c>
      <c r="ED66" s="40" t="str">
        <f t="shared" ref="ED66:ED69" si="821">IF(AX66="","","|n"&amp;ED$2&amp;"+"&amp;AX66&amp;ED$1)</f>
        <v/>
      </c>
      <c r="EE66" s="40" t="str">
        <f t="shared" ref="EE66:EE69" si="822">IF(AY66="","","|n"&amp;EE$2&amp;"+"&amp;AY66&amp;EE$1)</f>
        <v/>
      </c>
      <c r="EF66" s="40" t="str">
        <f t="shared" ref="EF66:EF69" si="823">IF(AZ66="","","|n"&amp;EF$2&amp;"+"&amp;AZ66&amp;EF$1)</f>
        <v/>
      </c>
      <c r="EG66" s="40" t="str">
        <f t="shared" ref="EG66:EG69" si="824">IF(BA66="","","|n"&amp;EG$2&amp;"+"&amp;BA66&amp;EG$1)</f>
        <v/>
      </c>
      <c r="EH66" s="40" t="str">
        <f t="shared" ref="EH66:EH69" si="825">IF(BB66="","","|n"&amp;EH$2&amp;"+"&amp;BB66&amp;EH$1)</f>
        <v/>
      </c>
      <c r="EI66" s="40" t="str">
        <f t="shared" ref="EI66:EI69" si="826">IF(BC66="","","|n"&amp;EI$2&amp;"+"&amp;BC66&amp;EI$1)</f>
        <v/>
      </c>
      <c r="EJ66" s="40" t="str">
        <f t="shared" ref="EJ66:EJ69" si="827">IF(BD66="","","|n"&amp;EJ$2&amp;"+"&amp;BD66&amp;EJ$1)</f>
        <v/>
      </c>
      <c r="EK66" s="40" t="str">
        <f t="shared" ref="EK66:EK69" si="828">IF(BE66="","","|n"&amp;EK$2&amp;"+"&amp;BE66&amp;EK$1)</f>
        <v/>
      </c>
      <c r="EL66" s="40" t="str">
        <f t="shared" ref="EL66:EL69" si="829">IF(BF66="","","|n"&amp;EL$2&amp;"+"&amp;BF66&amp;EL$1)</f>
        <v/>
      </c>
      <c r="EM66" s="40" t="str">
        <f t="shared" ref="EM66:EM69" si="830">IF(BG66="","","|n"&amp;EM$2&amp;"+"&amp;BG66&amp;EM$1)</f>
        <v/>
      </c>
      <c r="EN66" s="40" t="str">
        <f t="shared" ref="EN66:EN69" si="831">IF(BH66="","","|n"&amp;EN$2&amp;"+"&amp;BH66&amp;EN$1)</f>
        <v/>
      </c>
      <c r="EO66" s="40" t="str">
        <f t="shared" ref="EO66:EO69" si="832">IF(BI66="","","|n"&amp;EO$2&amp;"+"&amp;BI66&amp;EO$1)</f>
        <v/>
      </c>
      <c r="EP66" s="40" t="str">
        <f t="shared" ref="EP66:EP69" si="833">IF(BJ66="","","|n"&amp;EP$2&amp;"+"&amp;BJ66&amp;EP$1)</f>
        <v/>
      </c>
      <c r="EQ66" s="40" t="str">
        <f t="shared" ref="EQ66:EQ69" si="834">IF(BK66="","","|n"&amp;EQ$2&amp;"+"&amp;BK66&amp;EQ$1)</f>
        <v/>
      </c>
      <c r="ER66" s="40" t="str">
        <f t="shared" ref="ER66:ER69" si="835">IF(BL66="","","|n"&amp;ER$2&amp;"+"&amp;BL66&amp;ER$1)</f>
        <v/>
      </c>
      <c r="ES66" s="40" t="str">
        <f t="shared" ref="ES66:ES69" si="836">IF(BM66="","","|n"&amp;ES$2&amp;"+"&amp;BM66&amp;ES$1)</f>
        <v/>
      </c>
      <c r="ET66" s="40" t="str">
        <f t="shared" ref="ET66:ET69" si="837">IF(BN66="","","|n"&amp;ET$2&amp;"+"&amp;BN66&amp;ET$1)</f>
        <v/>
      </c>
      <c r="EU66" s="40" t="str">
        <f t="shared" ref="EU66:EU69" si="838">IF(BO66="","","|n"&amp;EU$2&amp;"+"&amp;BO66&amp;EU$1)</f>
        <v/>
      </c>
      <c r="EV66" s="40" t="str">
        <f t="shared" ref="EV66:EV69" si="839">IF(BP66="","","|n"&amp;EV$2&amp;"+"&amp;BP66&amp;EV$1)</f>
        <v/>
      </c>
      <c r="EW66" s="40" t="str">
        <f t="shared" ref="EW66:EW69" si="840">IF(BQ66="","","|n"&amp;EW$2&amp;"+"&amp;BQ66&amp;EW$1)</f>
        <v/>
      </c>
      <c r="EX66" s="40" t="str">
        <f t="shared" ref="EX66:EX69" si="841">IF(BR66="","","|n"&amp;EX$2&amp;"+"&amp;BR66&amp;EX$1)</f>
        <v/>
      </c>
      <c r="EY66" s="40" t="str">
        <f t="shared" ref="EY66:EY69" si="842">IF(BS66="","","|n"&amp;EY$2&amp;"+"&amp;BS66&amp;EY$1)</f>
        <v/>
      </c>
      <c r="EZ66" s="40" t="str">
        <f t="shared" ref="EZ66:EZ69" si="843">IF(BT66="","","|n"&amp;EZ$2&amp;"+"&amp;BT66&amp;EZ$1)</f>
        <v/>
      </c>
      <c r="FA66" s="40" t="str">
        <f t="shared" ref="FA66:FA69" si="844">IF(BU66="","","|n"&amp;FA$2&amp;"+"&amp;BU66&amp;FA$1)</f>
        <v/>
      </c>
      <c r="FB66" s="40" t="str">
        <f t="shared" ref="FB66:FB69" si="845">IF(BV66="","","|n"&amp;FB$2&amp;"+"&amp;BV66&amp;FB$1)</f>
        <v/>
      </c>
      <c r="FC66" s="40" t="str">
        <f t="shared" ref="FC66:FC69" si="846">IF(BW66="","","|n"&amp;FC$2&amp;"+"&amp;BW66&amp;FC$1)</f>
        <v/>
      </c>
      <c r="FD66" s="40" t="str">
        <f t="shared" ref="FD66:FD69" si="847">IF(BX66="","","|n"&amp;FD$2&amp;"+"&amp;BX66&amp;FD$1)</f>
        <v/>
      </c>
      <c r="FE66" s="40" t="str">
        <f t="shared" ref="FE66:FE69" si="848">IF(BY66="","","|n"&amp;FE$2&amp;"+"&amp;BY66&amp;FE$1)</f>
        <v/>
      </c>
      <c r="FF66" s="40" t="str">
        <f t="shared" ref="FF66:FF69" si="849">IF(BZ66="","","|n"&amp;FF$2&amp;"+"&amp;BZ66&amp;FF$1)</f>
        <v/>
      </c>
      <c r="FG66" s="40" t="str">
        <f t="shared" ref="FG66:FG69" si="850">IF(CA66="","","|n"&amp;FG$2&amp;"+"&amp;CA66&amp;FG$1)</f>
        <v/>
      </c>
      <c r="FH66" s="40" t="str">
        <f t="shared" ref="FH66:FH69" si="851">IF(CB66="","","|n"&amp;FH$2&amp;"+"&amp;CB66&amp;FH$1)</f>
        <v/>
      </c>
      <c r="FI66" s="40" t="str">
        <f t="shared" ref="FI66:FI69" si="852">IF(CC66="","","|n"&amp;FI$2&amp;"+"&amp;CC66&amp;FI$1)</f>
        <v/>
      </c>
      <c r="FJ66" s="40" t="str">
        <f t="shared" ref="FJ66:FJ69" si="853">IF(CD66="","","|n"&amp;FJ$2&amp;"+"&amp;CD66&amp;FJ$1)</f>
        <v/>
      </c>
      <c r="FK66" s="40" t="str">
        <f t="shared" ref="FK66:FK69" si="854">IF(CE66="","","|n"&amp;FK$2&amp;"+"&amp;CE66&amp;FK$1)</f>
        <v/>
      </c>
      <c r="FL66" s="40" t="str">
        <f t="shared" ref="FL66:FL69" si="855">IF(CF66="","","|n"&amp;FL$2&amp;"+"&amp;CF66&amp;FL$1)</f>
        <v/>
      </c>
      <c r="FM66" s="40" t="str">
        <f t="shared" ref="FM66:FM69" si="856">IF(CG66="","","|n"&amp;FM$2&amp;"+"&amp;CG66&amp;FM$1)</f>
        <v/>
      </c>
      <c r="FN66" s="40" t="str">
        <f t="shared" ref="FN66:FN69" si="857">IF(CH66="","","|n"&amp;FN$2&amp;"+"&amp;CH66&amp;FN$1)</f>
        <v/>
      </c>
      <c r="FO66" s="40" t="str">
        <f t="shared" ref="FO66:FO69" si="858">IF(CI66="","","|n"&amp;FO$2&amp;"+"&amp;CI66&amp;FO$1)</f>
        <v/>
      </c>
      <c r="FP66" s="40" t="str">
        <f t="shared" ref="FP66:FP69" si="859">IF(CJ66="","","|n"&amp;FP$2&amp;"+"&amp;CJ66&amp;FP$1)</f>
        <v/>
      </c>
      <c r="FQ66" s="40" t="str">
        <f t="shared" ref="FQ66:FQ69" si="860">IF(CK66="","","|n"&amp;FQ$2&amp;"+"&amp;CK66&amp;FQ$1)</f>
        <v/>
      </c>
      <c r="FR66" s="40" t="str">
        <f t="shared" ref="FR66:FR69" si="861">IF(CL66="","","|n"&amp;FR$2&amp;"+"&amp;CL66&amp;FR$1)</f>
        <v/>
      </c>
      <c r="FS66" s="40" t="str">
        <f t="shared" ref="FS66:FS69" si="862">IF(CM66="","","|n"&amp;FS$2&amp;"+"&amp;CM66&amp;FS$1)</f>
        <v/>
      </c>
    </row>
    <row r="67" spans="1:175" s="4" customFormat="1" ht="16.5">
      <c r="A67" s="8"/>
      <c r="B67" s="41" t="s">
        <v>242</v>
      </c>
      <c r="C67" s="8" t="s">
        <v>720</v>
      </c>
      <c r="D67" s="42"/>
      <c r="E67" s="43"/>
      <c r="F67" s="44">
        <v>30000</v>
      </c>
      <c r="G67" s="45">
        <v>100</v>
      </c>
      <c r="H67" s="46" t="s">
        <v>243</v>
      </c>
      <c r="I67" s="45" t="str">
        <f t="shared" si="440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238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3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2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3"/>
        <v/>
      </c>
      <c r="DC67" s="40" t="str">
        <f t="shared" si="794"/>
        <v/>
      </c>
      <c r="DD67" s="40" t="str">
        <f t="shared" si="795"/>
        <v>|n护甲+410</v>
      </c>
      <c r="DE67" s="40" t="str">
        <f t="shared" si="796"/>
        <v/>
      </c>
      <c r="DF67" s="40" t="str">
        <f t="shared" si="797"/>
        <v>|n生命值+65000</v>
      </c>
      <c r="DG67" s="40" t="str">
        <f t="shared" si="798"/>
        <v/>
      </c>
      <c r="DH67" s="40" t="str">
        <f t="shared" si="799"/>
        <v>|n生命回复+1300</v>
      </c>
      <c r="DI67" s="40" t="str">
        <f t="shared" si="800"/>
        <v/>
      </c>
      <c r="DJ67" s="40" t="str">
        <f t="shared" si="801"/>
        <v/>
      </c>
      <c r="DK67" s="40" t="str">
        <f t="shared" si="802"/>
        <v/>
      </c>
      <c r="DL67" s="40" t="str">
        <f t="shared" si="803"/>
        <v/>
      </c>
      <c r="DM67" s="40" t="str">
        <f t="shared" si="804"/>
        <v/>
      </c>
      <c r="DN67" s="40" t="str">
        <f t="shared" si="805"/>
        <v/>
      </c>
      <c r="DO67" s="40" t="str">
        <f t="shared" si="806"/>
        <v/>
      </c>
      <c r="DP67" s="40" t="str">
        <f t="shared" si="807"/>
        <v/>
      </c>
      <c r="DQ67" s="40" t="str">
        <f t="shared" si="808"/>
        <v/>
      </c>
      <c r="DR67" s="40" t="str">
        <f t="shared" si="809"/>
        <v/>
      </c>
      <c r="DS67" s="40" t="str">
        <f t="shared" si="810"/>
        <v/>
      </c>
      <c r="DT67" s="40" t="str">
        <f t="shared" si="811"/>
        <v/>
      </c>
      <c r="DU67" s="40" t="str">
        <f t="shared" si="812"/>
        <v/>
      </c>
      <c r="DV67" s="40" t="str">
        <f t="shared" si="813"/>
        <v/>
      </c>
      <c r="DW67" s="40" t="str">
        <f t="shared" si="814"/>
        <v/>
      </c>
      <c r="DX67" s="40" t="str">
        <f t="shared" si="815"/>
        <v/>
      </c>
      <c r="DY67" s="40" t="str">
        <f t="shared" si="816"/>
        <v/>
      </c>
      <c r="DZ67" s="40" t="str">
        <f t="shared" si="817"/>
        <v/>
      </c>
      <c r="EA67" s="40" t="str">
        <f t="shared" si="818"/>
        <v/>
      </c>
      <c r="EB67" s="40" t="str">
        <f t="shared" si="819"/>
        <v/>
      </c>
      <c r="EC67" s="40" t="str">
        <f t="shared" si="820"/>
        <v>|n生命恢复%+1</v>
      </c>
      <c r="ED67" s="40" t="str">
        <f t="shared" si="821"/>
        <v/>
      </c>
      <c r="EE67" s="40" t="str">
        <f t="shared" si="822"/>
        <v/>
      </c>
      <c r="EF67" s="40" t="str">
        <f t="shared" si="823"/>
        <v/>
      </c>
      <c r="EG67" s="40" t="str">
        <f t="shared" si="824"/>
        <v/>
      </c>
      <c r="EH67" s="40" t="str">
        <f t="shared" si="825"/>
        <v/>
      </c>
      <c r="EI67" s="40" t="str">
        <f t="shared" si="826"/>
        <v/>
      </c>
      <c r="EJ67" s="40" t="str">
        <f t="shared" si="827"/>
        <v/>
      </c>
      <c r="EK67" s="40" t="str">
        <f t="shared" si="828"/>
        <v/>
      </c>
      <c r="EL67" s="40" t="str">
        <f t="shared" si="829"/>
        <v/>
      </c>
      <c r="EM67" s="40" t="str">
        <f t="shared" si="830"/>
        <v/>
      </c>
      <c r="EN67" s="40" t="str">
        <f t="shared" si="831"/>
        <v/>
      </c>
      <c r="EO67" s="40" t="str">
        <f t="shared" si="832"/>
        <v/>
      </c>
      <c r="EP67" s="40" t="str">
        <f t="shared" si="833"/>
        <v/>
      </c>
      <c r="EQ67" s="40" t="str">
        <f t="shared" si="834"/>
        <v/>
      </c>
      <c r="ER67" s="40" t="str">
        <f t="shared" si="835"/>
        <v/>
      </c>
      <c r="ES67" s="40" t="str">
        <f t="shared" si="836"/>
        <v/>
      </c>
      <c r="ET67" s="40" t="str">
        <f t="shared" si="837"/>
        <v/>
      </c>
      <c r="EU67" s="40" t="str">
        <f t="shared" si="838"/>
        <v/>
      </c>
      <c r="EV67" s="40" t="str">
        <f t="shared" si="839"/>
        <v/>
      </c>
      <c r="EW67" s="40" t="str">
        <f t="shared" si="840"/>
        <v/>
      </c>
      <c r="EX67" s="40" t="str">
        <f t="shared" si="841"/>
        <v/>
      </c>
      <c r="EY67" s="40" t="str">
        <f t="shared" si="842"/>
        <v/>
      </c>
      <c r="EZ67" s="40" t="str">
        <f t="shared" si="843"/>
        <v/>
      </c>
      <c r="FA67" s="40" t="str">
        <f t="shared" si="844"/>
        <v/>
      </c>
      <c r="FB67" s="40" t="str">
        <f t="shared" si="845"/>
        <v/>
      </c>
      <c r="FC67" s="40" t="str">
        <f t="shared" si="846"/>
        <v/>
      </c>
      <c r="FD67" s="40" t="str">
        <f t="shared" si="847"/>
        <v/>
      </c>
      <c r="FE67" s="40" t="str">
        <f t="shared" si="848"/>
        <v/>
      </c>
      <c r="FF67" s="40" t="str">
        <f t="shared" si="849"/>
        <v/>
      </c>
      <c r="FG67" s="40" t="str">
        <f t="shared" si="850"/>
        <v/>
      </c>
      <c r="FH67" s="40" t="str">
        <f t="shared" si="851"/>
        <v/>
      </c>
      <c r="FI67" s="40" t="str">
        <f t="shared" si="852"/>
        <v/>
      </c>
      <c r="FJ67" s="40" t="str">
        <f t="shared" si="853"/>
        <v/>
      </c>
      <c r="FK67" s="40" t="str">
        <f t="shared" si="854"/>
        <v/>
      </c>
      <c r="FL67" s="40" t="str">
        <f t="shared" si="855"/>
        <v/>
      </c>
      <c r="FM67" s="40" t="str">
        <f t="shared" si="856"/>
        <v/>
      </c>
      <c r="FN67" s="40" t="str">
        <f t="shared" si="857"/>
        <v/>
      </c>
      <c r="FO67" s="40" t="str">
        <f t="shared" si="858"/>
        <v/>
      </c>
      <c r="FP67" s="40" t="str">
        <f t="shared" si="859"/>
        <v/>
      </c>
      <c r="FQ67" s="40" t="str">
        <f t="shared" si="860"/>
        <v/>
      </c>
      <c r="FR67" s="40" t="str">
        <f t="shared" si="861"/>
        <v/>
      </c>
      <c r="FS67" s="40" t="str">
        <f t="shared" si="862"/>
        <v/>
      </c>
    </row>
    <row r="68" spans="1:175" s="4" customFormat="1" ht="16.5">
      <c r="A68" s="8"/>
      <c r="B68" s="41" t="s">
        <v>244</v>
      </c>
      <c r="C68" s="8" t="s">
        <v>721</v>
      </c>
      <c r="D68" s="42"/>
      <c r="E68" s="43"/>
      <c r="F68" s="44">
        <v>20000</v>
      </c>
      <c r="G68" s="45">
        <v>70</v>
      </c>
      <c r="H68" s="45"/>
      <c r="I68" s="45" t="str">
        <f t="shared" si="440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245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3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7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3"/>
        <v>InitUnitState('E216',,,500,,100000,,2000,,,)</v>
      </c>
      <c r="CO68" s="58" t="str">
        <f t="shared" si="864"/>
        <v>InitUnitNormal('E216',,,,,,,,,,)</v>
      </c>
      <c r="CP68" s="58" t="str">
        <f t="shared" si="865"/>
        <v>InitUnitMagic('E216',,,,,,,,2,,)</v>
      </c>
      <c r="CQ68" s="58" t="str">
        <f t="shared" si="866"/>
        <v>InitUnitAdd('E216',,,,,,,,,,)</v>
      </c>
      <c r="CR68" s="58" t="str">
        <f t="shared" si="652"/>
        <v>InitEquipData('E216',,"",,E217,20000,70,'','','','','','',"ReplaceableTextures\\CommandButtons\\BTNZ14.blp")</v>
      </c>
      <c r="CS68" s="58"/>
      <c r="CT68" s="58"/>
      <c r="CU68" s="61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3"/>
        <v/>
      </c>
      <c r="DC68" s="40" t="str">
        <f t="shared" si="794"/>
        <v/>
      </c>
      <c r="DD68" s="40" t="str">
        <f t="shared" si="795"/>
        <v>|n护甲+500</v>
      </c>
      <c r="DE68" s="40" t="str">
        <f t="shared" si="796"/>
        <v/>
      </c>
      <c r="DF68" s="40" t="str">
        <f t="shared" si="797"/>
        <v>|n生命值+100000</v>
      </c>
      <c r="DG68" s="40" t="str">
        <f t="shared" si="798"/>
        <v/>
      </c>
      <c r="DH68" s="40" t="str">
        <f t="shared" si="799"/>
        <v>|n生命回复+2000</v>
      </c>
      <c r="DI68" s="40" t="str">
        <f t="shared" si="800"/>
        <v/>
      </c>
      <c r="DJ68" s="40" t="str">
        <f t="shared" si="801"/>
        <v/>
      </c>
      <c r="DK68" s="40" t="str">
        <f t="shared" si="802"/>
        <v/>
      </c>
      <c r="DL68" s="40" t="str">
        <f t="shared" si="803"/>
        <v/>
      </c>
      <c r="DM68" s="40" t="str">
        <f t="shared" si="804"/>
        <v/>
      </c>
      <c r="DN68" s="40" t="str">
        <f t="shared" si="805"/>
        <v/>
      </c>
      <c r="DO68" s="40" t="str">
        <f t="shared" si="806"/>
        <v/>
      </c>
      <c r="DP68" s="40" t="str">
        <f t="shared" si="807"/>
        <v/>
      </c>
      <c r="DQ68" s="40" t="str">
        <f t="shared" si="808"/>
        <v/>
      </c>
      <c r="DR68" s="40" t="str">
        <f t="shared" si="809"/>
        <v/>
      </c>
      <c r="DS68" s="40" t="str">
        <f t="shared" si="810"/>
        <v/>
      </c>
      <c r="DT68" s="40" t="str">
        <f t="shared" si="811"/>
        <v/>
      </c>
      <c r="DU68" s="40" t="str">
        <f t="shared" si="812"/>
        <v/>
      </c>
      <c r="DV68" s="40" t="str">
        <f t="shared" si="813"/>
        <v/>
      </c>
      <c r="DW68" s="40" t="str">
        <f t="shared" si="814"/>
        <v/>
      </c>
      <c r="DX68" s="40" t="str">
        <f t="shared" si="815"/>
        <v/>
      </c>
      <c r="DY68" s="40" t="str">
        <f t="shared" si="816"/>
        <v/>
      </c>
      <c r="DZ68" s="40" t="str">
        <f t="shared" si="817"/>
        <v/>
      </c>
      <c r="EA68" s="40" t="str">
        <f t="shared" si="818"/>
        <v/>
      </c>
      <c r="EB68" s="40" t="str">
        <f t="shared" si="819"/>
        <v/>
      </c>
      <c r="EC68" s="40" t="str">
        <f t="shared" si="820"/>
        <v>|n生命恢复%+2</v>
      </c>
      <c r="ED68" s="40" t="str">
        <f t="shared" si="821"/>
        <v/>
      </c>
      <c r="EE68" s="40" t="str">
        <f t="shared" si="822"/>
        <v/>
      </c>
      <c r="EF68" s="40" t="str">
        <f t="shared" si="823"/>
        <v/>
      </c>
      <c r="EG68" s="40" t="str">
        <f t="shared" si="824"/>
        <v/>
      </c>
      <c r="EH68" s="40" t="str">
        <f t="shared" si="825"/>
        <v/>
      </c>
      <c r="EI68" s="40" t="str">
        <f t="shared" si="826"/>
        <v/>
      </c>
      <c r="EJ68" s="40" t="str">
        <f t="shared" si="827"/>
        <v/>
      </c>
      <c r="EK68" s="40" t="str">
        <f t="shared" si="828"/>
        <v/>
      </c>
      <c r="EL68" s="40" t="str">
        <f t="shared" si="829"/>
        <v/>
      </c>
      <c r="EM68" s="40" t="str">
        <f t="shared" si="830"/>
        <v/>
      </c>
      <c r="EN68" s="40" t="str">
        <f t="shared" si="831"/>
        <v/>
      </c>
      <c r="EO68" s="40" t="str">
        <f t="shared" si="832"/>
        <v/>
      </c>
      <c r="EP68" s="40" t="str">
        <f t="shared" si="833"/>
        <v/>
      </c>
      <c r="EQ68" s="40" t="str">
        <f t="shared" si="834"/>
        <v/>
      </c>
      <c r="ER68" s="40" t="str">
        <f t="shared" si="835"/>
        <v/>
      </c>
      <c r="ES68" s="40" t="str">
        <f t="shared" si="836"/>
        <v/>
      </c>
      <c r="ET68" s="40" t="str">
        <f t="shared" si="837"/>
        <v/>
      </c>
      <c r="EU68" s="40" t="str">
        <f t="shared" si="838"/>
        <v/>
      </c>
      <c r="EV68" s="40" t="str">
        <f t="shared" si="839"/>
        <v/>
      </c>
      <c r="EW68" s="40" t="str">
        <f t="shared" si="840"/>
        <v/>
      </c>
      <c r="EX68" s="40" t="str">
        <f t="shared" si="841"/>
        <v/>
      </c>
      <c r="EY68" s="40" t="str">
        <f t="shared" si="842"/>
        <v/>
      </c>
      <c r="EZ68" s="40" t="str">
        <f t="shared" si="843"/>
        <v/>
      </c>
      <c r="FA68" s="40" t="str">
        <f t="shared" si="844"/>
        <v/>
      </c>
      <c r="FB68" s="40" t="str">
        <f t="shared" si="845"/>
        <v/>
      </c>
      <c r="FC68" s="40" t="str">
        <f t="shared" si="846"/>
        <v/>
      </c>
      <c r="FD68" s="40" t="str">
        <f t="shared" si="847"/>
        <v/>
      </c>
      <c r="FE68" s="40" t="str">
        <f t="shared" si="848"/>
        <v/>
      </c>
      <c r="FF68" s="40" t="str">
        <f t="shared" si="849"/>
        <v/>
      </c>
      <c r="FG68" s="40" t="str">
        <f t="shared" si="850"/>
        <v/>
      </c>
      <c r="FH68" s="40" t="str">
        <f t="shared" si="851"/>
        <v/>
      </c>
      <c r="FI68" s="40" t="str">
        <f t="shared" si="852"/>
        <v/>
      </c>
      <c r="FJ68" s="40" t="str">
        <f t="shared" si="853"/>
        <v/>
      </c>
      <c r="FK68" s="40" t="str">
        <f t="shared" si="854"/>
        <v/>
      </c>
      <c r="FL68" s="40" t="str">
        <f t="shared" si="855"/>
        <v/>
      </c>
      <c r="FM68" s="40" t="str">
        <f t="shared" si="856"/>
        <v/>
      </c>
      <c r="FN68" s="40" t="str">
        <f t="shared" si="857"/>
        <v/>
      </c>
      <c r="FO68" s="40" t="str">
        <f t="shared" si="858"/>
        <v/>
      </c>
      <c r="FP68" s="40" t="str">
        <f t="shared" si="859"/>
        <v/>
      </c>
      <c r="FQ68" s="40" t="str">
        <f t="shared" si="860"/>
        <v/>
      </c>
      <c r="FR68" s="40" t="str">
        <f t="shared" si="861"/>
        <v/>
      </c>
      <c r="FS68" s="40" t="str">
        <f t="shared" si="862"/>
        <v/>
      </c>
    </row>
    <row r="69" spans="1:175" s="4" customFormat="1" ht="16.5">
      <c r="A69" s="8"/>
      <c r="B69" s="41" t="s">
        <v>246</v>
      </c>
      <c r="C69" s="8" t="s">
        <v>722</v>
      </c>
      <c r="D69" s="42"/>
      <c r="E69" s="43"/>
      <c r="F69" s="44">
        <v>20000</v>
      </c>
      <c r="G69" s="45">
        <v>70</v>
      </c>
      <c r="H69" s="45"/>
      <c r="I69" s="45" t="str">
        <f t="shared" si="440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245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3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7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3"/>
        <v>InitUnitState('E217',,,550,,150000,,3000,,,)</v>
      </c>
      <c r="CO69" s="58" t="str">
        <f t="shared" si="864"/>
        <v>InitUnitNormal('E217',,,,,,,,,,)</v>
      </c>
      <c r="CP69" s="58" t="str">
        <f t="shared" si="865"/>
        <v>InitUnitMagic('E217',,,,,,,,2,,)</v>
      </c>
      <c r="CQ69" s="58" t="str">
        <f t="shared" si="866"/>
        <v>InitUnitAdd('E217',,,,,,,,,,)</v>
      </c>
      <c r="CR69" s="58" t="str">
        <f t="shared" si="652"/>
        <v>InitEquipData('E217',,"",,E218,20000,70,'','','','','','',"ReplaceableTextures\\CommandButtons\\BTNZ14.blp")</v>
      </c>
      <c r="CS69" s="58"/>
      <c r="CT69" s="58"/>
      <c r="CU69" s="61" t="str">
        <f t="shared" si="868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3"/>
        <v/>
      </c>
      <c r="DC69" s="40" t="str">
        <f t="shared" si="794"/>
        <v/>
      </c>
      <c r="DD69" s="40" t="str">
        <f t="shared" si="795"/>
        <v>|n护甲+550</v>
      </c>
      <c r="DE69" s="40" t="str">
        <f t="shared" si="796"/>
        <v/>
      </c>
      <c r="DF69" s="40" t="str">
        <f t="shared" si="797"/>
        <v>|n生命值+150000</v>
      </c>
      <c r="DG69" s="40" t="str">
        <f t="shared" si="798"/>
        <v/>
      </c>
      <c r="DH69" s="40" t="str">
        <f t="shared" si="799"/>
        <v>|n生命回复+3000</v>
      </c>
      <c r="DI69" s="40" t="str">
        <f t="shared" si="800"/>
        <v/>
      </c>
      <c r="DJ69" s="40" t="str">
        <f t="shared" si="801"/>
        <v/>
      </c>
      <c r="DK69" s="40" t="str">
        <f t="shared" si="802"/>
        <v/>
      </c>
      <c r="DL69" s="40" t="str">
        <f t="shared" si="803"/>
        <v/>
      </c>
      <c r="DM69" s="40" t="str">
        <f t="shared" si="804"/>
        <v/>
      </c>
      <c r="DN69" s="40" t="str">
        <f t="shared" si="805"/>
        <v/>
      </c>
      <c r="DO69" s="40" t="str">
        <f t="shared" si="806"/>
        <v/>
      </c>
      <c r="DP69" s="40" t="str">
        <f t="shared" si="807"/>
        <v/>
      </c>
      <c r="DQ69" s="40" t="str">
        <f t="shared" si="808"/>
        <v/>
      </c>
      <c r="DR69" s="40" t="str">
        <f t="shared" si="809"/>
        <v/>
      </c>
      <c r="DS69" s="40" t="str">
        <f t="shared" si="810"/>
        <v/>
      </c>
      <c r="DT69" s="40" t="str">
        <f t="shared" si="811"/>
        <v/>
      </c>
      <c r="DU69" s="40" t="str">
        <f t="shared" si="812"/>
        <v/>
      </c>
      <c r="DV69" s="40" t="str">
        <f t="shared" si="813"/>
        <v/>
      </c>
      <c r="DW69" s="40" t="str">
        <f t="shared" si="814"/>
        <v/>
      </c>
      <c r="DX69" s="40" t="str">
        <f t="shared" si="815"/>
        <v/>
      </c>
      <c r="DY69" s="40" t="str">
        <f t="shared" si="816"/>
        <v/>
      </c>
      <c r="DZ69" s="40" t="str">
        <f t="shared" si="817"/>
        <v/>
      </c>
      <c r="EA69" s="40" t="str">
        <f t="shared" si="818"/>
        <v/>
      </c>
      <c r="EB69" s="40" t="str">
        <f t="shared" si="819"/>
        <v/>
      </c>
      <c r="EC69" s="40" t="str">
        <f t="shared" si="820"/>
        <v>|n生命恢复%+2</v>
      </c>
      <c r="ED69" s="40" t="str">
        <f t="shared" si="821"/>
        <v/>
      </c>
      <c r="EE69" s="40" t="str">
        <f t="shared" si="822"/>
        <v/>
      </c>
      <c r="EF69" s="40" t="str">
        <f t="shared" si="823"/>
        <v/>
      </c>
      <c r="EG69" s="40" t="str">
        <f t="shared" si="824"/>
        <v/>
      </c>
      <c r="EH69" s="40" t="str">
        <f t="shared" si="825"/>
        <v/>
      </c>
      <c r="EI69" s="40" t="str">
        <f t="shared" si="826"/>
        <v/>
      </c>
      <c r="EJ69" s="40" t="str">
        <f t="shared" si="827"/>
        <v/>
      </c>
      <c r="EK69" s="40" t="str">
        <f t="shared" si="828"/>
        <v/>
      </c>
      <c r="EL69" s="40" t="str">
        <f t="shared" si="829"/>
        <v/>
      </c>
      <c r="EM69" s="40" t="str">
        <f t="shared" si="830"/>
        <v/>
      </c>
      <c r="EN69" s="40" t="str">
        <f t="shared" si="831"/>
        <v/>
      </c>
      <c r="EO69" s="40" t="str">
        <f t="shared" si="832"/>
        <v/>
      </c>
      <c r="EP69" s="40" t="str">
        <f t="shared" si="833"/>
        <v/>
      </c>
      <c r="EQ69" s="40" t="str">
        <f t="shared" si="834"/>
        <v/>
      </c>
      <c r="ER69" s="40" t="str">
        <f t="shared" si="835"/>
        <v/>
      </c>
      <c r="ES69" s="40" t="str">
        <f t="shared" si="836"/>
        <v/>
      </c>
      <c r="ET69" s="40" t="str">
        <f t="shared" si="837"/>
        <v/>
      </c>
      <c r="EU69" s="40" t="str">
        <f t="shared" si="838"/>
        <v/>
      </c>
      <c r="EV69" s="40" t="str">
        <f t="shared" si="839"/>
        <v/>
      </c>
      <c r="EW69" s="40" t="str">
        <f t="shared" si="840"/>
        <v/>
      </c>
      <c r="EX69" s="40" t="str">
        <f t="shared" si="841"/>
        <v/>
      </c>
      <c r="EY69" s="40" t="str">
        <f t="shared" si="842"/>
        <v/>
      </c>
      <c r="EZ69" s="40" t="str">
        <f t="shared" si="843"/>
        <v/>
      </c>
      <c r="FA69" s="40" t="str">
        <f t="shared" si="844"/>
        <v/>
      </c>
      <c r="FB69" s="40" t="str">
        <f t="shared" si="845"/>
        <v/>
      </c>
      <c r="FC69" s="40" t="str">
        <f t="shared" si="846"/>
        <v/>
      </c>
      <c r="FD69" s="40" t="str">
        <f t="shared" si="847"/>
        <v/>
      </c>
      <c r="FE69" s="40" t="str">
        <f t="shared" si="848"/>
        <v/>
      </c>
      <c r="FF69" s="40" t="str">
        <f t="shared" si="849"/>
        <v/>
      </c>
      <c r="FG69" s="40" t="str">
        <f t="shared" si="850"/>
        <v/>
      </c>
      <c r="FH69" s="40" t="str">
        <f t="shared" si="851"/>
        <v/>
      </c>
      <c r="FI69" s="40" t="str">
        <f t="shared" si="852"/>
        <v/>
      </c>
      <c r="FJ69" s="40" t="str">
        <f t="shared" si="853"/>
        <v/>
      </c>
      <c r="FK69" s="40" t="str">
        <f t="shared" si="854"/>
        <v/>
      </c>
      <c r="FL69" s="40" t="str">
        <f t="shared" si="855"/>
        <v/>
      </c>
      <c r="FM69" s="40" t="str">
        <f t="shared" si="856"/>
        <v/>
      </c>
      <c r="FN69" s="40" t="str">
        <f t="shared" si="857"/>
        <v/>
      </c>
      <c r="FO69" s="40" t="str">
        <f t="shared" si="858"/>
        <v/>
      </c>
      <c r="FP69" s="40" t="str">
        <f t="shared" si="859"/>
        <v/>
      </c>
      <c r="FQ69" s="40" t="str">
        <f t="shared" si="860"/>
        <v/>
      </c>
      <c r="FR69" s="40" t="str">
        <f t="shared" si="861"/>
        <v/>
      </c>
      <c r="FS69" s="40" t="str">
        <f t="shared" si="862"/>
        <v/>
      </c>
    </row>
    <row r="70" spans="1:175" s="4" customFormat="1" ht="16.5">
      <c r="A70" s="8"/>
      <c r="B70" s="41" t="s">
        <v>247</v>
      </c>
      <c r="C70" s="8" t="s">
        <v>723</v>
      </c>
      <c r="D70" s="42"/>
      <c r="E70" s="43"/>
      <c r="F70" s="44">
        <v>20000</v>
      </c>
      <c r="G70" s="45">
        <v>70</v>
      </c>
      <c r="H70" s="45"/>
      <c r="I70" s="45" t="str">
        <f t="shared" si="440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245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3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7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3"/>
        <v>InitUnitState('E218',,,600,,200000,,4000,,,)</v>
      </c>
      <c r="CO70" s="58" t="str">
        <f t="shared" si="864"/>
        <v>InitUnitNormal('E218',,,,,,,,,,)</v>
      </c>
      <c r="CP70" s="58" t="str">
        <f t="shared" si="865"/>
        <v>InitUnitMagic('E218',,,,,,,,2,,)</v>
      </c>
      <c r="CQ70" s="58" t="str">
        <f t="shared" si="866"/>
        <v>InitUnitAdd('E218',,,,,,,,,,)</v>
      </c>
      <c r="CR70" s="58" t="str">
        <f t="shared" si="652"/>
        <v>InitEquipData('E218',,"",,E219,20000,70,'','','','','','',"ReplaceableTextures\\CommandButtons\\BTNZ14.blp")</v>
      </c>
      <c r="CS70" s="58"/>
      <c r="CT70" s="58"/>
      <c r="CU70" s="61" t="str">
        <f t="shared" si="868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9">IF(V70="","","|n"&amp;DB$2&amp;"+"&amp;V70&amp;DB$1)</f>
        <v/>
      </c>
      <c r="DC70" s="40" t="str">
        <f t="shared" ref="DC70:DC77" si="870">IF(W70="","","|n"&amp;DC$2&amp;"+"&amp;W70&amp;DC$1)</f>
        <v/>
      </c>
      <c r="DD70" s="40" t="str">
        <f t="shared" ref="DD70:DD77" si="871">IF(X70="","","|n"&amp;DD$2&amp;"+"&amp;X70&amp;DD$1)</f>
        <v>|n护甲+600</v>
      </c>
      <c r="DE70" s="40" t="str">
        <f t="shared" ref="DE70:DE77" si="872">IF(Y70="","","|n"&amp;DE$2&amp;"+"&amp;Y70&amp;DE$1)</f>
        <v/>
      </c>
      <c r="DF70" s="40" t="str">
        <f t="shared" ref="DF70:DF77" si="873">IF(Z70="","","|n"&amp;DF$2&amp;"+"&amp;Z70&amp;DF$1)</f>
        <v>|n生命值+200000</v>
      </c>
      <c r="DG70" s="40" t="str">
        <f t="shared" ref="DG70:DG77" si="874">IF(AA70="","","|n"&amp;DG$2&amp;"+"&amp;AA70&amp;DG$1)</f>
        <v/>
      </c>
      <c r="DH70" s="40" t="str">
        <f t="shared" ref="DH70:DH77" si="875">IF(AB70="","","|n"&amp;DH$2&amp;"+"&amp;AB70&amp;DH$1)</f>
        <v>|n生命回复+4000</v>
      </c>
      <c r="DI70" s="40" t="str">
        <f t="shared" ref="DI70:DI77" si="876">IF(AC70="","","|n"&amp;DI$2&amp;"+"&amp;AC70&amp;DI$1)</f>
        <v/>
      </c>
      <c r="DJ70" s="40" t="str">
        <f t="shared" ref="DJ70:DJ77" si="877">IF(AD70="","","|n"&amp;DJ$2&amp;"+"&amp;AD70&amp;DJ$1)</f>
        <v/>
      </c>
      <c r="DK70" s="40" t="str">
        <f t="shared" ref="DK70:DK77" si="878">IF(AE70="","","|n"&amp;DK$2&amp;"+"&amp;AE70&amp;DK$1)</f>
        <v/>
      </c>
      <c r="DL70" s="40" t="str">
        <f t="shared" ref="DL70:DL77" si="879">IF(AF70="","","|n"&amp;DL$2&amp;"+"&amp;AF70&amp;DL$1)</f>
        <v/>
      </c>
      <c r="DM70" s="40" t="str">
        <f t="shared" ref="DM70:DM77" si="880">IF(AG70="","","|n"&amp;DM$2&amp;"+"&amp;AG70&amp;DM$1)</f>
        <v/>
      </c>
      <c r="DN70" s="40" t="str">
        <f t="shared" ref="DN70:DN77" si="881">IF(AH70="","","|n"&amp;DN$2&amp;"+"&amp;AH70&amp;DN$1)</f>
        <v/>
      </c>
      <c r="DO70" s="40" t="str">
        <f t="shared" ref="DO70:DO77" si="882">IF(AI70="","","|n"&amp;DO$2&amp;"+"&amp;AI70&amp;DO$1)</f>
        <v/>
      </c>
      <c r="DP70" s="40" t="str">
        <f t="shared" ref="DP70:DP77" si="883">IF(AJ70="","","|n"&amp;DP$2&amp;"+"&amp;AJ70&amp;DP$1)</f>
        <v/>
      </c>
      <c r="DQ70" s="40" t="str">
        <f t="shared" ref="DQ70:DQ77" si="884">IF(AK70="","","|n"&amp;DQ$2&amp;"+"&amp;AK70&amp;DQ$1)</f>
        <v/>
      </c>
      <c r="DR70" s="40" t="str">
        <f t="shared" ref="DR70:DR77" si="885">IF(AL70="","","|n"&amp;DR$2&amp;"+"&amp;AL70&amp;DR$1)</f>
        <v/>
      </c>
      <c r="DS70" s="40" t="str">
        <f t="shared" ref="DS70:DS77" si="886">IF(AM70="","","|n"&amp;DS$2&amp;"+"&amp;AM70&amp;DS$1)</f>
        <v/>
      </c>
      <c r="DT70" s="40" t="str">
        <f t="shared" ref="DT70:DT77" si="887">IF(AN70="","","|n"&amp;DT$2&amp;"+"&amp;AN70&amp;DT$1)</f>
        <v/>
      </c>
      <c r="DU70" s="40" t="str">
        <f t="shared" ref="DU70:DU77" si="888">IF(AO70="","","|n"&amp;DU$2&amp;"+"&amp;AO70&amp;DU$1)</f>
        <v/>
      </c>
      <c r="DV70" s="40" t="str">
        <f t="shared" ref="DV70:DV77" si="889">IF(AP70="","","|n"&amp;DV$2&amp;"+"&amp;AP70&amp;DV$1)</f>
        <v/>
      </c>
      <c r="DW70" s="40" t="str">
        <f t="shared" ref="DW70:DW77" si="890">IF(AQ70="","","|n"&amp;DW$2&amp;"+"&amp;AQ70&amp;DW$1)</f>
        <v/>
      </c>
      <c r="DX70" s="40" t="str">
        <f t="shared" ref="DX70:DX77" si="891">IF(AR70="","","|n"&amp;DX$2&amp;"+"&amp;AR70&amp;DX$1)</f>
        <v/>
      </c>
      <c r="DY70" s="40" t="str">
        <f t="shared" ref="DY70:DY77" si="892">IF(AS70="","","|n"&amp;DY$2&amp;"+"&amp;AS70&amp;DY$1)</f>
        <v/>
      </c>
      <c r="DZ70" s="40" t="str">
        <f t="shared" ref="DZ70:DZ77" si="893">IF(AT70="","","|n"&amp;DZ$2&amp;"+"&amp;AT70&amp;DZ$1)</f>
        <v/>
      </c>
      <c r="EA70" s="40" t="str">
        <f t="shared" ref="EA70:EA77" si="894">IF(AU70="","","|n"&amp;EA$2&amp;"+"&amp;AU70&amp;EA$1)</f>
        <v/>
      </c>
      <c r="EB70" s="40" t="str">
        <f t="shared" ref="EB70:EB77" si="895">IF(AV70="","","|n"&amp;EB$2&amp;"+"&amp;AV70&amp;EB$1)</f>
        <v/>
      </c>
      <c r="EC70" s="40" t="str">
        <f t="shared" ref="EC70:EC77" si="896">IF(AW70="","","|n"&amp;EC$2&amp;"+"&amp;AW70&amp;EC$1)</f>
        <v>|n生命恢复%+2</v>
      </c>
      <c r="ED70" s="40" t="str">
        <f t="shared" ref="ED70:ED77" si="897">IF(AX70="","","|n"&amp;ED$2&amp;"+"&amp;AX70&amp;ED$1)</f>
        <v/>
      </c>
      <c r="EE70" s="40" t="str">
        <f t="shared" ref="EE70:EE77" si="898">IF(AY70="","","|n"&amp;EE$2&amp;"+"&amp;AY70&amp;EE$1)</f>
        <v/>
      </c>
      <c r="EF70" s="40" t="str">
        <f t="shared" ref="EF70:EF77" si="899">IF(AZ70="","","|n"&amp;EF$2&amp;"+"&amp;AZ70&amp;EF$1)</f>
        <v/>
      </c>
      <c r="EG70" s="40" t="str">
        <f t="shared" ref="EG70:EG77" si="900">IF(BA70="","","|n"&amp;EG$2&amp;"+"&amp;BA70&amp;EG$1)</f>
        <v/>
      </c>
      <c r="EH70" s="40" t="str">
        <f t="shared" ref="EH70:EH77" si="901">IF(BB70="","","|n"&amp;EH$2&amp;"+"&amp;BB70&amp;EH$1)</f>
        <v/>
      </c>
      <c r="EI70" s="40" t="str">
        <f t="shared" ref="EI70:EI77" si="902">IF(BC70="","","|n"&amp;EI$2&amp;"+"&amp;BC70&amp;EI$1)</f>
        <v/>
      </c>
      <c r="EJ70" s="40" t="str">
        <f t="shared" ref="EJ70:EJ77" si="903">IF(BD70="","","|n"&amp;EJ$2&amp;"+"&amp;BD70&amp;EJ$1)</f>
        <v/>
      </c>
      <c r="EK70" s="40" t="str">
        <f t="shared" ref="EK70:EK77" si="904">IF(BE70="","","|n"&amp;EK$2&amp;"+"&amp;BE70&amp;EK$1)</f>
        <v/>
      </c>
      <c r="EL70" s="40" t="str">
        <f t="shared" ref="EL70:EL77" si="905">IF(BF70="","","|n"&amp;EL$2&amp;"+"&amp;BF70&amp;EL$1)</f>
        <v/>
      </c>
      <c r="EM70" s="40" t="str">
        <f t="shared" ref="EM70:EM77" si="906">IF(BG70="","","|n"&amp;EM$2&amp;"+"&amp;BG70&amp;EM$1)</f>
        <v/>
      </c>
      <c r="EN70" s="40" t="str">
        <f t="shared" ref="EN70:EN77" si="907">IF(BH70="","","|n"&amp;EN$2&amp;"+"&amp;BH70&amp;EN$1)</f>
        <v/>
      </c>
      <c r="EO70" s="40" t="str">
        <f t="shared" ref="EO70:EO77" si="908">IF(BI70="","","|n"&amp;EO$2&amp;"+"&amp;BI70&amp;EO$1)</f>
        <v/>
      </c>
      <c r="EP70" s="40" t="str">
        <f t="shared" ref="EP70:EP77" si="909">IF(BJ70="","","|n"&amp;EP$2&amp;"+"&amp;BJ70&amp;EP$1)</f>
        <v/>
      </c>
      <c r="EQ70" s="40" t="str">
        <f t="shared" ref="EQ70:EQ77" si="910">IF(BK70="","","|n"&amp;EQ$2&amp;"+"&amp;BK70&amp;EQ$1)</f>
        <v/>
      </c>
      <c r="ER70" s="40" t="str">
        <f t="shared" ref="ER70:ER77" si="911">IF(BL70="","","|n"&amp;ER$2&amp;"+"&amp;BL70&amp;ER$1)</f>
        <v/>
      </c>
      <c r="ES70" s="40" t="str">
        <f t="shared" ref="ES70:ES77" si="912">IF(BM70="","","|n"&amp;ES$2&amp;"+"&amp;BM70&amp;ES$1)</f>
        <v/>
      </c>
      <c r="ET70" s="40" t="str">
        <f t="shared" ref="ET70:ET77" si="913">IF(BN70="","","|n"&amp;ET$2&amp;"+"&amp;BN70&amp;ET$1)</f>
        <v/>
      </c>
      <c r="EU70" s="40" t="str">
        <f t="shared" ref="EU70:EU77" si="914">IF(BO70="","","|n"&amp;EU$2&amp;"+"&amp;BO70&amp;EU$1)</f>
        <v/>
      </c>
      <c r="EV70" s="40" t="str">
        <f t="shared" ref="EV70:EV77" si="915">IF(BP70="","","|n"&amp;EV$2&amp;"+"&amp;BP70&amp;EV$1)</f>
        <v/>
      </c>
      <c r="EW70" s="40" t="str">
        <f t="shared" ref="EW70:EW77" si="916">IF(BQ70="","","|n"&amp;EW$2&amp;"+"&amp;BQ70&amp;EW$1)</f>
        <v/>
      </c>
      <c r="EX70" s="40" t="str">
        <f t="shared" ref="EX70:EX77" si="917">IF(BR70="","","|n"&amp;EX$2&amp;"+"&amp;BR70&amp;EX$1)</f>
        <v/>
      </c>
      <c r="EY70" s="40" t="str">
        <f t="shared" ref="EY70:EY77" si="918">IF(BS70="","","|n"&amp;EY$2&amp;"+"&amp;BS70&amp;EY$1)</f>
        <v/>
      </c>
      <c r="EZ70" s="40" t="str">
        <f t="shared" ref="EZ70:EZ77" si="919">IF(BT70="","","|n"&amp;EZ$2&amp;"+"&amp;BT70&amp;EZ$1)</f>
        <v/>
      </c>
      <c r="FA70" s="40" t="str">
        <f t="shared" ref="FA70:FA77" si="920">IF(BU70="","","|n"&amp;FA$2&amp;"+"&amp;BU70&amp;FA$1)</f>
        <v/>
      </c>
      <c r="FB70" s="40" t="str">
        <f t="shared" ref="FB70:FB77" si="921">IF(BV70="","","|n"&amp;FB$2&amp;"+"&amp;BV70&amp;FB$1)</f>
        <v/>
      </c>
      <c r="FC70" s="40" t="str">
        <f t="shared" ref="FC70:FC77" si="922">IF(BW70="","","|n"&amp;FC$2&amp;"+"&amp;BW70&amp;FC$1)</f>
        <v/>
      </c>
      <c r="FD70" s="40" t="str">
        <f t="shared" ref="FD70:FD77" si="923">IF(BX70="","","|n"&amp;FD$2&amp;"+"&amp;BX70&amp;FD$1)</f>
        <v/>
      </c>
      <c r="FE70" s="40" t="str">
        <f t="shared" ref="FE70:FE77" si="924">IF(BY70="","","|n"&amp;FE$2&amp;"+"&amp;BY70&amp;FE$1)</f>
        <v/>
      </c>
      <c r="FF70" s="40" t="str">
        <f t="shared" ref="FF70:FF77" si="925">IF(BZ70="","","|n"&amp;FF$2&amp;"+"&amp;BZ70&amp;FF$1)</f>
        <v/>
      </c>
      <c r="FG70" s="40" t="str">
        <f t="shared" ref="FG70:FG77" si="926">IF(CA70="","","|n"&amp;FG$2&amp;"+"&amp;CA70&amp;FG$1)</f>
        <v/>
      </c>
      <c r="FH70" s="40" t="str">
        <f t="shared" ref="FH70:FH77" si="927">IF(CB70="","","|n"&amp;FH$2&amp;"+"&amp;CB70&amp;FH$1)</f>
        <v/>
      </c>
      <c r="FI70" s="40" t="str">
        <f t="shared" ref="FI70:FI77" si="928">IF(CC70="","","|n"&amp;FI$2&amp;"+"&amp;CC70&amp;FI$1)</f>
        <v/>
      </c>
      <c r="FJ70" s="40" t="str">
        <f t="shared" ref="FJ70:FJ77" si="929">IF(CD70="","","|n"&amp;FJ$2&amp;"+"&amp;CD70&amp;FJ$1)</f>
        <v/>
      </c>
      <c r="FK70" s="40" t="str">
        <f t="shared" ref="FK70:FK77" si="930">IF(CE70="","","|n"&amp;FK$2&amp;"+"&amp;CE70&amp;FK$1)</f>
        <v/>
      </c>
      <c r="FL70" s="40" t="str">
        <f t="shared" ref="FL70:FL77" si="931">IF(CF70="","","|n"&amp;FL$2&amp;"+"&amp;CF70&amp;FL$1)</f>
        <v/>
      </c>
      <c r="FM70" s="40" t="str">
        <f t="shared" ref="FM70:FM77" si="932">IF(CG70="","","|n"&amp;FM$2&amp;"+"&amp;CG70&amp;FM$1)</f>
        <v/>
      </c>
      <c r="FN70" s="40" t="str">
        <f t="shared" ref="FN70:FN77" si="933">IF(CH70="","","|n"&amp;FN$2&amp;"+"&amp;CH70&amp;FN$1)</f>
        <v/>
      </c>
      <c r="FO70" s="40" t="str">
        <f t="shared" ref="FO70:FO77" si="934">IF(CI70="","","|n"&amp;FO$2&amp;"+"&amp;CI70&amp;FO$1)</f>
        <v/>
      </c>
      <c r="FP70" s="40" t="str">
        <f t="shared" ref="FP70:FP77" si="935">IF(CJ70="","","|n"&amp;FP$2&amp;"+"&amp;CJ70&amp;FP$1)</f>
        <v/>
      </c>
      <c r="FQ70" s="40" t="str">
        <f t="shared" ref="FQ70:FQ77" si="936">IF(CK70="","","|n"&amp;FQ$2&amp;"+"&amp;CK70&amp;FQ$1)</f>
        <v/>
      </c>
      <c r="FR70" s="40" t="str">
        <f t="shared" ref="FR70:FR77" si="937">IF(CL70="","","|n"&amp;FR$2&amp;"+"&amp;CL70&amp;FR$1)</f>
        <v/>
      </c>
      <c r="FS70" s="40" t="str">
        <f t="shared" ref="FS70:FS77" si="938">IF(CM70="","","|n"&amp;FS$2&amp;"+"&amp;CM70&amp;FS$1)</f>
        <v/>
      </c>
    </row>
    <row r="71" spans="1:175" s="4" customFormat="1" ht="16.5">
      <c r="A71" s="8"/>
      <c r="B71" s="41" t="s">
        <v>248</v>
      </c>
      <c r="C71" s="8" t="s">
        <v>724</v>
      </c>
      <c r="D71" s="42"/>
      <c r="E71" s="43"/>
      <c r="F71" s="44">
        <v>20000</v>
      </c>
      <c r="G71" s="45">
        <v>70</v>
      </c>
      <c r="H71" s="45"/>
      <c r="I71" s="45" t="str">
        <f t="shared" si="440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245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3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7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3"/>
        <v>InitUnitState('E219',,,650,,250000,,5000,,,)</v>
      </c>
      <c r="CO71" s="58" t="str">
        <f t="shared" si="864"/>
        <v>InitUnitNormal('E219',,,,,,,,,,)</v>
      </c>
      <c r="CP71" s="58" t="str">
        <f t="shared" si="865"/>
        <v>InitUnitMagic('E219',,,,,,,,2,,)</v>
      </c>
      <c r="CQ71" s="58" t="str">
        <f t="shared" si="866"/>
        <v>InitUnitAdd('E219',,,,,,,,,,)</v>
      </c>
      <c r="CR71" s="58" t="str">
        <f t="shared" si="652"/>
        <v>InitEquipData('E219',,"",,E220,20000,70,'','','','','','',"ReplaceableTextures\\CommandButtons\\BTNZ14.blp")</v>
      </c>
      <c r="CS71" s="58"/>
      <c r="CT71" s="58"/>
      <c r="CU71" s="61" t="str">
        <f t="shared" si="868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9"/>
        <v/>
      </c>
      <c r="DC71" s="40" t="str">
        <f t="shared" si="870"/>
        <v/>
      </c>
      <c r="DD71" s="40" t="str">
        <f t="shared" si="871"/>
        <v>|n护甲+650</v>
      </c>
      <c r="DE71" s="40" t="str">
        <f t="shared" si="872"/>
        <v/>
      </c>
      <c r="DF71" s="40" t="str">
        <f t="shared" si="873"/>
        <v>|n生命值+250000</v>
      </c>
      <c r="DG71" s="40" t="str">
        <f t="shared" si="874"/>
        <v/>
      </c>
      <c r="DH71" s="40" t="str">
        <f t="shared" si="875"/>
        <v>|n生命回复+5000</v>
      </c>
      <c r="DI71" s="40" t="str">
        <f t="shared" si="876"/>
        <v/>
      </c>
      <c r="DJ71" s="40" t="str">
        <f t="shared" si="877"/>
        <v/>
      </c>
      <c r="DK71" s="40" t="str">
        <f t="shared" si="878"/>
        <v/>
      </c>
      <c r="DL71" s="40" t="str">
        <f t="shared" si="879"/>
        <v/>
      </c>
      <c r="DM71" s="40" t="str">
        <f t="shared" si="880"/>
        <v/>
      </c>
      <c r="DN71" s="40" t="str">
        <f t="shared" si="881"/>
        <v/>
      </c>
      <c r="DO71" s="40" t="str">
        <f t="shared" si="882"/>
        <v/>
      </c>
      <c r="DP71" s="40" t="str">
        <f t="shared" si="883"/>
        <v/>
      </c>
      <c r="DQ71" s="40" t="str">
        <f t="shared" si="884"/>
        <v/>
      </c>
      <c r="DR71" s="40" t="str">
        <f t="shared" si="885"/>
        <v/>
      </c>
      <c r="DS71" s="40" t="str">
        <f t="shared" si="886"/>
        <v/>
      </c>
      <c r="DT71" s="40" t="str">
        <f t="shared" si="887"/>
        <v/>
      </c>
      <c r="DU71" s="40" t="str">
        <f t="shared" si="888"/>
        <v/>
      </c>
      <c r="DV71" s="40" t="str">
        <f t="shared" si="889"/>
        <v/>
      </c>
      <c r="DW71" s="40" t="str">
        <f t="shared" si="890"/>
        <v/>
      </c>
      <c r="DX71" s="40" t="str">
        <f t="shared" si="891"/>
        <v/>
      </c>
      <c r="DY71" s="40" t="str">
        <f t="shared" si="892"/>
        <v/>
      </c>
      <c r="DZ71" s="40" t="str">
        <f t="shared" si="893"/>
        <v/>
      </c>
      <c r="EA71" s="40" t="str">
        <f t="shared" si="894"/>
        <v/>
      </c>
      <c r="EB71" s="40" t="str">
        <f t="shared" si="895"/>
        <v/>
      </c>
      <c r="EC71" s="40" t="str">
        <f t="shared" si="896"/>
        <v>|n生命恢复%+2</v>
      </c>
      <c r="ED71" s="40" t="str">
        <f t="shared" si="897"/>
        <v/>
      </c>
      <c r="EE71" s="40" t="str">
        <f t="shared" si="898"/>
        <v/>
      </c>
      <c r="EF71" s="40" t="str">
        <f t="shared" si="899"/>
        <v/>
      </c>
      <c r="EG71" s="40" t="str">
        <f t="shared" si="900"/>
        <v/>
      </c>
      <c r="EH71" s="40" t="str">
        <f t="shared" si="901"/>
        <v/>
      </c>
      <c r="EI71" s="40" t="str">
        <f t="shared" si="902"/>
        <v/>
      </c>
      <c r="EJ71" s="40" t="str">
        <f t="shared" si="903"/>
        <v/>
      </c>
      <c r="EK71" s="40" t="str">
        <f t="shared" si="904"/>
        <v/>
      </c>
      <c r="EL71" s="40" t="str">
        <f t="shared" si="905"/>
        <v/>
      </c>
      <c r="EM71" s="40" t="str">
        <f t="shared" si="906"/>
        <v/>
      </c>
      <c r="EN71" s="40" t="str">
        <f t="shared" si="907"/>
        <v/>
      </c>
      <c r="EO71" s="40" t="str">
        <f t="shared" si="908"/>
        <v/>
      </c>
      <c r="EP71" s="40" t="str">
        <f t="shared" si="909"/>
        <v/>
      </c>
      <c r="EQ71" s="40" t="str">
        <f t="shared" si="910"/>
        <v/>
      </c>
      <c r="ER71" s="40" t="str">
        <f t="shared" si="911"/>
        <v/>
      </c>
      <c r="ES71" s="40" t="str">
        <f t="shared" si="912"/>
        <v/>
      </c>
      <c r="ET71" s="40" t="str">
        <f t="shared" si="913"/>
        <v/>
      </c>
      <c r="EU71" s="40" t="str">
        <f t="shared" si="914"/>
        <v/>
      </c>
      <c r="EV71" s="40" t="str">
        <f t="shared" si="915"/>
        <v/>
      </c>
      <c r="EW71" s="40" t="str">
        <f t="shared" si="916"/>
        <v/>
      </c>
      <c r="EX71" s="40" t="str">
        <f t="shared" si="917"/>
        <v/>
      </c>
      <c r="EY71" s="40" t="str">
        <f t="shared" si="918"/>
        <v/>
      </c>
      <c r="EZ71" s="40" t="str">
        <f t="shared" si="919"/>
        <v/>
      </c>
      <c r="FA71" s="40" t="str">
        <f t="shared" si="920"/>
        <v/>
      </c>
      <c r="FB71" s="40" t="str">
        <f t="shared" si="921"/>
        <v/>
      </c>
      <c r="FC71" s="40" t="str">
        <f t="shared" si="922"/>
        <v/>
      </c>
      <c r="FD71" s="40" t="str">
        <f t="shared" si="923"/>
        <v/>
      </c>
      <c r="FE71" s="40" t="str">
        <f t="shared" si="924"/>
        <v/>
      </c>
      <c r="FF71" s="40" t="str">
        <f t="shared" si="925"/>
        <v/>
      </c>
      <c r="FG71" s="40" t="str">
        <f t="shared" si="926"/>
        <v/>
      </c>
      <c r="FH71" s="40" t="str">
        <f t="shared" si="927"/>
        <v/>
      </c>
      <c r="FI71" s="40" t="str">
        <f t="shared" si="928"/>
        <v/>
      </c>
      <c r="FJ71" s="40" t="str">
        <f t="shared" si="929"/>
        <v/>
      </c>
      <c r="FK71" s="40" t="str">
        <f t="shared" si="930"/>
        <v/>
      </c>
      <c r="FL71" s="40" t="str">
        <f t="shared" si="931"/>
        <v/>
      </c>
      <c r="FM71" s="40" t="str">
        <f t="shared" si="932"/>
        <v/>
      </c>
      <c r="FN71" s="40" t="str">
        <f t="shared" si="933"/>
        <v/>
      </c>
      <c r="FO71" s="40" t="str">
        <f t="shared" si="934"/>
        <v/>
      </c>
      <c r="FP71" s="40" t="str">
        <f t="shared" si="935"/>
        <v/>
      </c>
      <c r="FQ71" s="40" t="str">
        <f t="shared" si="936"/>
        <v/>
      </c>
      <c r="FR71" s="40" t="str">
        <f t="shared" si="937"/>
        <v/>
      </c>
      <c r="FS71" s="40" t="str">
        <f t="shared" si="938"/>
        <v/>
      </c>
    </row>
    <row r="72" spans="1:175" s="4" customFormat="1" ht="16.5">
      <c r="A72" s="8"/>
      <c r="B72" s="41" t="s">
        <v>249</v>
      </c>
      <c r="C72" s="8" t="s">
        <v>725</v>
      </c>
      <c r="D72" s="42"/>
      <c r="E72" s="43"/>
      <c r="F72" s="44">
        <v>50000</v>
      </c>
      <c r="G72" s="45">
        <v>100</v>
      </c>
      <c r="H72" s="46" t="s">
        <v>250</v>
      </c>
      <c r="I72" s="45" t="str">
        <f t="shared" si="440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245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3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7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3"/>
        <v>InitUnitState('E220',,,700,,300000,,6000,,,)</v>
      </c>
      <c r="CO72" s="58" t="str">
        <f t="shared" si="864"/>
        <v>InitUnitNormal('E220',,,,,,,,,,)</v>
      </c>
      <c r="CP72" s="58" t="str">
        <f t="shared" si="865"/>
        <v>InitUnitMagic('E220',,,,,,,,2,,)</v>
      </c>
      <c r="CQ72" s="58" t="str">
        <f t="shared" si="866"/>
        <v>InitUnitAdd('E220',,,,,,,,,,)</v>
      </c>
      <c r="CR72" s="58" t="str">
        <f t="shared" si="652"/>
        <v>InitEquipData('E220',,"",,E221,50000,100,'','','','','','',"ReplaceableTextures\\CommandButtons\\BTNZ15.blp")</v>
      </c>
      <c r="CS72" s="58"/>
      <c r="CT72" s="58"/>
      <c r="CU72" s="61" t="str">
        <f t="shared" si="868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9"/>
        <v/>
      </c>
      <c r="DC72" s="40" t="str">
        <f t="shared" si="870"/>
        <v/>
      </c>
      <c r="DD72" s="40" t="str">
        <f t="shared" si="871"/>
        <v>|n护甲+700</v>
      </c>
      <c r="DE72" s="40" t="str">
        <f t="shared" si="872"/>
        <v/>
      </c>
      <c r="DF72" s="40" t="str">
        <f t="shared" si="873"/>
        <v>|n生命值+300000</v>
      </c>
      <c r="DG72" s="40" t="str">
        <f t="shared" si="874"/>
        <v/>
      </c>
      <c r="DH72" s="40" t="str">
        <f t="shared" si="875"/>
        <v>|n生命回复+6000</v>
      </c>
      <c r="DI72" s="40" t="str">
        <f t="shared" si="876"/>
        <v/>
      </c>
      <c r="DJ72" s="40" t="str">
        <f t="shared" si="877"/>
        <v/>
      </c>
      <c r="DK72" s="40" t="str">
        <f t="shared" si="878"/>
        <v/>
      </c>
      <c r="DL72" s="40" t="str">
        <f t="shared" si="879"/>
        <v/>
      </c>
      <c r="DM72" s="40" t="str">
        <f t="shared" si="880"/>
        <v/>
      </c>
      <c r="DN72" s="40" t="str">
        <f t="shared" si="881"/>
        <v/>
      </c>
      <c r="DO72" s="40" t="str">
        <f t="shared" si="882"/>
        <v/>
      </c>
      <c r="DP72" s="40" t="str">
        <f t="shared" si="883"/>
        <v/>
      </c>
      <c r="DQ72" s="40" t="str">
        <f t="shared" si="884"/>
        <v/>
      </c>
      <c r="DR72" s="40" t="str">
        <f t="shared" si="885"/>
        <v/>
      </c>
      <c r="DS72" s="40" t="str">
        <f t="shared" si="886"/>
        <v/>
      </c>
      <c r="DT72" s="40" t="str">
        <f t="shared" si="887"/>
        <v/>
      </c>
      <c r="DU72" s="40" t="str">
        <f t="shared" si="888"/>
        <v/>
      </c>
      <c r="DV72" s="40" t="str">
        <f t="shared" si="889"/>
        <v/>
      </c>
      <c r="DW72" s="40" t="str">
        <f t="shared" si="890"/>
        <v/>
      </c>
      <c r="DX72" s="40" t="str">
        <f t="shared" si="891"/>
        <v/>
      </c>
      <c r="DY72" s="40" t="str">
        <f t="shared" si="892"/>
        <v/>
      </c>
      <c r="DZ72" s="40" t="str">
        <f t="shared" si="893"/>
        <v/>
      </c>
      <c r="EA72" s="40" t="str">
        <f t="shared" si="894"/>
        <v/>
      </c>
      <c r="EB72" s="40" t="str">
        <f t="shared" si="895"/>
        <v/>
      </c>
      <c r="EC72" s="40" t="str">
        <f t="shared" si="896"/>
        <v>|n生命恢复%+2</v>
      </c>
      <c r="ED72" s="40" t="str">
        <f t="shared" si="897"/>
        <v/>
      </c>
      <c r="EE72" s="40" t="str">
        <f t="shared" si="898"/>
        <v/>
      </c>
      <c r="EF72" s="40" t="str">
        <f t="shared" si="899"/>
        <v/>
      </c>
      <c r="EG72" s="40" t="str">
        <f t="shared" si="900"/>
        <v/>
      </c>
      <c r="EH72" s="40" t="str">
        <f t="shared" si="901"/>
        <v/>
      </c>
      <c r="EI72" s="40" t="str">
        <f t="shared" si="902"/>
        <v/>
      </c>
      <c r="EJ72" s="40" t="str">
        <f t="shared" si="903"/>
        <v/>
      </c>
      <c r="EK72" s="40" t="str">
        <f t="shared" si="904"/>
        <v/>
      </c>
      <c r="EL72" s="40" t="str">
        <f t="shared" si="905"/>
        <v/>
      </c>
      <c r="EM72" s="40" t="str">
        <f t="shared" si="906"/>
        <v/>
      </c>
      <c r="EN72" s="40" t="str">
        <f t="shared" si="907"/>
        <v/>
      </c>
      <c r="EO72" s="40" t="str">
        <f t="shared" si="908"/>
        <v/>
      </c>
      <c r="EP72" s="40" t="str">
        <f t="shared" si="909"/>
        <v/>
      </c>
      <c r="EQ72" s="40" t="str">
        <f t="shared" si="910"/>
        <v/>
      </c>
      <c r="ER72" s="40" t="str">
        <f t="shared" si="911"/>
        <v/>
      </c>
      <c r="ES72" s="40" t="str">
        <f t="shared" si="912"/>
        <v/>
      </c>
      <c r="ET72" s="40" t="str">
        <f t="shared" si="913"/>
        <v/>
      </c>
      <c r="EU72" s="40" t="str">
        <f t="shared" si="914"/>
        <v/>
      </c>
      <c r="EV72" s="40" t="str">
        <f t="shared" si="915"/>
        <v/>
      </c>
      <c r="EW72" s="40" t="str">
        <f t="shared" si="916"/>
        <v/>
      </c>
      <c r="EX72" s="40" t="str">
        <f t="shared" si="917"/>
        <v/>
      </c>
      <c r="EY72" s="40" t="str">
        <f t="shared" si="918"/>
        <v/>
      </c>
      <c r="EZ72" s="40" t="str">
        <f t="shared" si="919"/>
        <v/>
      </c>
      <c r="FA72" s="40" t="str">
        <f t="shared" si="920"/>
        <v/>
      </c>
      <c r="FB72" s="40" t="str">
        <f t="shared" si="921"/>
        <v/>
      </c>
      <c r="FC72" s="40" t="str">
        <f t="shared" si="922"/>
        <v/>
      </c>
      <c r="FD72" s="40" t="str">
        <f t="shared" si="923"/>
        <v/>
      </c>
      <c r="FE72" s="40" t="str">
        <f t="shared" si="924"/>
        <v/>
      </c>
      <c r="FF72" s="40" t="str">
        <f t="shared" si="925"/>
        <v/>
      </c>
      <c r="FG72" s="40" t="str">
        <f t="shared" si="926"/>
        <v/>
      </c>
      <c r="FH72" s="40" t="str">
        <f t="shared" si="927"/>
        <v/>
      </c>
      <c r="FI72" s="40" t="str">
        <f t="shared" si="928"/>
        <v/>
      </c>
      <c r="FJ72" s="40" t="str">
        <f t="shared" si="929"/>
        <v/>
      </c>
      <c r="FK72" s="40" t="str">
        <f t="shared" si="930"/>
        <v/>
      </c>
      <c r="FL72" s="40" t="str">
        <f t="shared" si="931"/>
        <v/>
      </c>
      <c r="FM72" s="40" t="str">
        <f t="shared" si="932"/>
        <v/>
      </c>
      <c r="FN72" s="40" t="str">
        <f t="shared" si="933"/>
        <v/>
      </c>
      <c r="FO72" s="40" t="str">
        <f t="shared" si="934"/>
        <v/>
      </c>
      <c r="FP72" s="40" t="str">
        <f t="shared" si="935"/>
        <v/>
      </c>
      <c r="FQ72" s="40" t="str">
        <f t="shared" si="936"/>
        <v/>
      </c>
      <c r="FR72" s="40" t="str">
        <f t="shared" si="937"/>
        <v/>
      </c>
      <c r="FS72" s="40" t="str">
        <f t="shared" si="938"/>
        <v/>
      </c>
    </row>
    <row r="73" spans="1:175" s="4" customFormat="1" ht="16.5">
      <c r="A73" s="8"/>
      <c r="B73" s="41" t="s">
        <v>251</v>
      </c>
      <c r="C73" s="8" t="s">
        <v>726</v>
      </c>
      <c r="D73" s="42"/>
      <c r="E73" s="43"/>
      <c r="F73" s="44">
        <v>50000</v>
      </c>
      <c r="G73" s="45">
        <v>50</v>
      </c>
      <c r="H73" s="45"/>
      <c r="I73" s="45" t="str">
        <f t="shared" si="440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252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3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7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3"/>
        <v>InitUnitState('E221',,,1000,,500000,,10000,,,)</v>
      </c>
      <c r="CO73" s="58" t="str">
        <f t="shared" si="864"/>
        <v>InitUnitNormal('E221',,,,,,,,,,)</v>
      </c>
      <c r="CP73" s="58" t="str">
        <f t="shared" si="865"/>
        <v>InitUnitMagic('E221',,,,,,,,3,,)</v>
      </c>
      <c r="CQ73" s="58" t="str">
        <f t="shared" si="866"/>
        <v>InitUnitAdd('E221',,,,,,,,,,)</v>
      </c>
      <c r="CR73" s="58" t="str">
        <f t="shared" si="652"/>
        <v>InitEquipData('E221',,"",,E222,50000,50,'','','','','','',"ReplaceableTextures\\CommandButtons\\BTNZ15.blp")</v>
      </c>
      <c r="CS73" s="58"/>
      <c r="CT73" s="58"/>
      <c r="CU73" s="61" t="str">
        <f t="shared" si="868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9"/>
        <v/>
      </c>
      <c r="DC73" s="40" t="str">
        <f t="shared" si="870"/>
        <v/>
      </c>
      <c r="DD73" s="40" t="str">
        <f t="shared" si="871"/>
        <v>|n护甲+1000</v>
      </c>
      <c r="DE73" s="40" t="str">
        <f t="shared" si="872"/>
        <v/>
      </c>
      <c r="DF73" s="40" t="str">
        <f t="shared" si="873"/>
        <v>|n生命值+500000</v>
      </c>
      <c r="DG73" s="40" t="str">
        <f t="shared" si="874"/>
        <v/>
      </c>
      <c r="DH73" s="40" t="str">
        <f t="shared" si="875"/>
        <v>|n生命回复+10000</v>
      </c>
      <c r="DI73" s="40" t="str">
        <f t="shared" si="876"/>
        <v/>
      </c>
      <c r="DJ73" s="40" t="str">
        <f t="shared" si="877"/>
        <v/>
      </c>
      <c r="DK73" s="40" t="str">
        <f t="shared" si="878"/>
        <v/>
      </c>
      <c r="DL73" s="40" t="str">
        <f t="shared" si="879"/>
        <v/>
      </c>
      <c r="DM73" s="40" t="str">
        <f t="shared" si="880"/>
        <v/>
      </c>
      <c r="DN73" s="40" t="str">
        <f t="shared" si="881"/>
        <v/>
      </c>
      <c r="DO73" s="40" t="str">
        <f t="shared" si="882"/>
        <v/>
      </c>
      <c r="DP73" s="40" t="str">
        <f t="shared" si="883"/>
        <v/>
      </c>
      <c r="DQ73" s="40" t="str">
        <f t="shared" si="884"/>
        <v/>
      </c>
      <c r="DR73" s="40" t="str">
        <f t="shared" si="885"/>
        <v/>
      </c>
      <c r="DS73" s="40" t="str">
        <f t="shared" si="886"/>
        <v/>
      </c>
      <c r="DT73" s="40" t="str">
        <f t="shared" si="887"/>
        <v/>
      </c>
      <c r="DU73" s="40" t="str">
        <f t="shared" si="888"/>
        <v/>
      </c>
      <c r="DV73" s="40" t="str">
        <f t="shared" si="889"/>
        <v/>
      </c>
      <c r="DW73" s="40" t="str">
        <f t="shared" si="890"/>
        <v/>
      </c>
      <c r="DX73" s="40" t="str">
        <f t="shared" si="891"/>
        <v/>
      </c>
      <c r="DY73" s="40" t="str">
        <f t="shared" si="892"/>
        <v/>
      </c>
      <c r="DZ73" s="40" t="str">
        <f t="shared" si="893"/>
        <v/>
      </c>
      <c r="EA73" s="40" t="str">
        <f t="shared" si="894"/>
        <v/>
      </c>
      <c r="EB73" s="40" t="str">
        <f t="shared" si="895"/>
        <v/>
      </c>
      <c r="EC73" s="40" t="str">
        <f t="shared" si="896"/>
        <v>|n生命恢复%+3</v>
      </c>
      <c r="ED73" s="40" t="str">
        <f t="shared" si="897"/>
        <v/>
      </c>
      <c r="EE73" s="40" t="str">
        <f t="shared" si="898"/>
        <v/>
      </c>
      <c r="EF73" s="40" t="str">
        <f t="shared" si="899"/>
        <v/>
      </c>
      <c r="EG73" s="40" t="str">
        <f t="shared" si="900"/>
        <v/>
      </c>
      <c r="EH73" s="40" t="str">
        <f t="shared" si="901"/>
        <v/>
      </c>
      <c r="EI73" s="40" t="str">
        <f t="shared" si="902"/>
        <v/>
      </c>
      <c r="EJ73" s="40" t="str">
        <f t="shared" si="903"/>
        <v/>
      </c>
      <c r="EK73" s="40" t="str">
        <f t="shared" si="904"/>
        <v/>
      </c>
      <c r="EL73" s="40" t="str">
        <f t="shared" si="905"/>
        <v/>
      </c>
      <c r="EM73" s="40" t="str">
        <f t="shared" si="906"/>
        <v/>
      </c>
      <c r="EN73" s="40" t="str">
        <f t="shared" si="907"/>
        <v/>
      </c>
      <c r="EO73" s="40" t="str">
        <f t="shared" si="908"/>
        <v/>
      </c>
      <c r="EP73" s="40" t="str">
        <f t="shared" si="909"/>
        <v/>
      </c>
      <c r="EQ73" s="40" t="str">
        <f t="shared" si="910"/>
        <v/>
      </c>
      <c r="ER73" s="40" t="str">
        <f t="shared" si="911"/>
        <v/>
      </c>
      <c r="ES73" s="40" t="str">
        <f t="shared" si="912"/>
        <v/>
      </c>
      <c r="ET73" s="40" t="str">
        <f t="shared" si="913"/>
        <v/>
      </c>
      <c r="EU73" s="40" t="str">
        <f t="shared" si="914"/>
        <v/>
      </c>
      <c r="EV73" s="40" t="str">
        <f t="shared" si="915"/>
        <v/>
      </c>
      <c r="EW73" s="40" t="str">
        <f t="shared" si="916"/>
        <v/>
      </c>
      <c r="EX73" s="40" t="str">
        <f t="shared" si="917"/>
        <v/>
      </c>
      <c r="EY73" s="40" t="str">
        <f t="shared" si="918"/>
        <v/>
      </c>
      <c r="EZ73" s="40" t="str">
        <f t="shared" si="919"/>
        <v/>
      </c>
      <c r="FA73" s="40" t="str">
        <f t="shared" si="920"/>
        <v/>
      </c>
      <c r="FB73" s="40" t="str">
        <f t="shared" si="921"/>
        <v/>
      </c>
      <c r="FC73" s="40" t="str">
        <f t="shared" si="922"/>
        <v/>
      </c>
      <c r="FD73" s="40" t="str">
        <f t="shared" si="923"/>
        <v/>
      </c>
      <c r="FE73" s="40" t="str">
        <f t="shared" si="924"/>
        <v/>
      </c>
      <c r="FF73" s="40" t="str">
        <f t="shared" si="925"/>
        <v/>
      </c>
      <c r="FG73" s="40" t="str">
        <f t="shared" si="926"/>
        <v/>
      </c>
      <c r="FH73" s="40" t="str">
        <f t="shared" si="927"/>
        <v/>
      </c>
      <c r="FI73" s="40" t="str">
        <f t="shared" si="928"/>
        <v/>
      </c>
      <c r="FJ73" s="40" t="str">
        <f t="shared" si="929"/>
        <v/>
      </c>
      <c r="FK73" s="40" t="str">
        <f t="shared" si="930"/>
        <v/>
      </c>
      <c r="FL73" s="40" t="str">
        <f t="shared" si="931"/>
        <v/>
      </c>
      <c r="FM73" s="40" t="str">
        <f t="shared" si="932"/>
        <v/>
      </c>
      <c r="FN73" s="40" t="str">
        <f t="shared" si="933"/>
        <v/>
      </c>
      <c r="FO73" s="40" t="str">
        <f t="shared" si="934"/>
        <v/>
      </c>
      <c r="FP73" s="40" t="str">
        <f t="shared" si="935"/>
        <v/>
      </c>
      <c r="FQ73" s="40" t="str">
        <f t="shared" si="936"/>
        <v/>
      </c>
      <c r="FR73" s="40" t="str">
        <f t="shared" si="937"/>
        <v/>
      </c>
      <c r="FS73" s="40" t="str">
        <f t="shared" si="938"/>
        <v/>
      </c>
    </row>
    <row r="74" spans="1:175" s="4" customFormat="1" ht="16.5">
      <c r="A74" s="8"/>
      <c r="B74" s="41" t="s">
        <v>253</v>
      </c>
      <c r="C74" s="8" t="s">
        <v>727</v>
      </c>
      <c r="D74" s="42"/>
      <c r="E74" s="43"/>
      <c r="F74" s="44">
        <v>50000</v>
      </c>
      <c r="G74" s="45">
        <v>50</v>
      </c>
      <c r="H74" s="45"/>
      <c r="I74" s="45" t="str">
        <f t="shared" si="440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252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3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7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3"/>
        <v>InitUnitState('E222',,,1100,,800000,,16000,,,)</v>
      </c>
      <c r="CO74" s="58" t="str">
        <f t="shared" si="864"/>
        <v>InitUnitNormal('E222',,,,,,,,,,)</v>
      </c>
      <c r="CP74" s="58" t="str">
        <f t="shared" si="865"/>
        <v>InitUnitMagic('E222',,,,,,,,3,,)</v>
      </c>
      <c r="CQ74" s="58" t="str">
        <f t="shared" si="866"/>
        <v>InitUnitAdd('E222',,,,,,,,,,)</v>
      </c>
      <c r="CR74" s="58" t="str">
        <f t="shared" si="652"/>
        <v>InitEquipData('E222',,"",,E223,50000,50,'','','','','','',"ReplaceableTextures\\CommandButtons\\BTNZ15.blp")</v>
      </c>
      <c r="CS74" s="58"/>
      <c r="CT74" s="58"/>
      <c r="CU74" s="61" t="str">
        <f t="shared" si="868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9"/>
        <v/>
      </c>
      <c r="DC74" s="40" t="str">
        <f t="shared" si="870"/>
        <v/>
      </c>
      <c r="DD74" s="40" t="str">
        <f t="shared" si="871"/>
        <v>|n护甲+1100</v>
      </c>
      <c r="DE74" s="40" t="str">
        <f t="shared" si="872"/>
        <v/>
      </c>
      <c r="DF74" s="40" t="str">
        <f t="shared" si="873"/>
        <v>|n生命值+800000</v>
      </c>
      <c r="DG74" s="40" t="str">
        <f t="shared" si="874"/>
        <v/>
      </c>
      <c r="DH74" s="40" t="str">
        <f t="shared" si="875"/>
        <v>|n生命回复+16000</v>
      </c>
      <c r="DI74" s="40" t="str">
        <f t="shared" si="876"/>
        <v/>
      </c>
      <c r="DJ74" s="40" t="str">
        <f t="shared" si="877"/>
        <v/>
      </c>
      <c r="DK74" s="40" t="str">
        <f t="shared" si="878"/>
        <v/>
      </c>
      <c r="DL74" s="40" t="str">
        <f t="shared" si="879"/>
        <v/>
      </c>
      <c r="DM74" s="40" t="str">
        <f t="shared" si="880"/>
        <v/>
      </c>
      <c r="DN74" s="40" t="str">
        <f t="shared" si="881"/>
        <v/>
      </c>
      <c r="DO74" s="40" t="str">
        <f t="shared" si="882"/>
        <v/>
      </c>
      <c r="DP74" s="40" t="str">
        <f t="shared" si="883"/>
        <v/>
      </c>
      <c r="DQ74" s="40" t="str">
        <f t="shared" si="884"/>
        <v/>
      </c>
      <c r="DR74" s="40" t="str">
        <f t="shared" si="885"/>
        <v/>
      </c>
      <c r="DS74" s="40" t="str">
        <f t="shared" si="886"/>
        <v/>
      </c>
      <c r="DT74" s="40" t="str">
        <f t="shared" si="887"/>
        <v/>
      </c>
      <c r="DU74" s="40" t="str">
        <f t="shared" si="888"/>
        <v/>
      </c>
      <c r="DV74" s="40" t="str">
        <f t="shared" si="889"/>
        <v/>
      </c>
      <c r="DW74" s="40" t="str">
        <f t="shared" si="890"/>
        <v/>
      </c>
      <c r="DX74" s="40" t="str">
        <f t="shared" si="891"/>
        <v/>
      </c>
      <c r="DY74" s="40" t="str">
        <f t="shared" si="892"/>
        <v/>
      </c>
      <c r="DZ74" s="40" t="str">
        <f t="shared" si="893"/>
        <v/>
      </c>
      <c r="EA74" s="40" t="str">
        <f t="shared" si="894"/>
        <v/>
      </c>
      <c r="EB74" s="40" t="str">
        <f t="shared" si="895"/>
        <v/>
      </c>
      <c r="EC74" s="40" t="str">
        <f t="shared" si="896"/>
        <v>|n生命恢复%+3</v>
      </c>
      <c r="ED74" s="40" t="str">
        <f t="shared" si="897"/>
        <v/>
      </c>
      <c r="EE74" s="40" t="str">
        <f t="shared" si="898"/>
        <v/>
      </c>
      <c r="EF74" s="40" t="str">
        <f t="shared" si="899"/>
        <v/>
      </c>
      <c r="EG74" s="40" t="str">
        <f t="shared" si="900"/>
        <v/>
      </c>
      <c r="EH74" s="40" t="str">
        <f t="shared" si="901"/>
        <v/>
      </c>
      <c r="EI74" s="40" t="str">
        <f t="shared" si="902"/>
        <v/>
      </c>
      <c r="EJ74" s="40" t="str">
        <f t="shared" si="903"/>
        <v/>
      </c>
      <c r="EK74" s="40" t="str">
        <f t="shared" si="904"/>
        <v/>
      </c>
      <c r="EL74" s="40" t="str">
        <f t="shared" si="905"/>
        <v/>
      </c>
      <c r="EM74" s="40" t="str">
        <f t="shared" si="906"/>
        <v/>
      </c>
      <c r="EN74" s="40" t="str">
        <f t="shared" si="907"/>
        <v/>
      </c>
      <c r="EO74" s="40" t="str">
        <f t="shared" si="908"/>
        <v/>
      </c>
      <c r="EP74" s="40" t="str">
        <f t="shared" si="909"/>
        <v/>
      </c>
      <c r="EQ74" s="40" t="str">
        <f t="shared" si="910"/>
        <v/>
      </c>
      <c r="ER74" s="40" t="str">
        <f t="shared" si="911"/>
        <v/>
      </c>
      <c r="ES74" s="40" t="str">
        <f t="shared" si="912"/>
        <v/>
      </c>
      <c r="ET74" s="40" t="str">
        <f t="shared" si="913"/>
        <v/>
      </c>
      <c r="EU74" s="40" t="str">
        <f t="shared" si="914"/>
        <v/>
      </c>
      <c r="EV74" s="40" t="str">
        <f t="shared" si="915"/>
        <v/>
      </c>
      <c r="EW74" s="40" t="str">
        <f t="shared" si="916"/>
        <v/>
      </c>
      <c r="EX74" s="40" t="str">
        <f t="shared" si="917"/>
        <v/>
      </c>
      <c r="EY74" s="40" t="str">
        <f t="shared" si="918"/>
        <v/>
      </c>
      <c r="EZ74" s="40" t="str">
        <f t="shared" si="919"/>
        <v/>
      </c>
      <c r="FA74" s="40" t="str">
        <f t="shared" si="920"/>
        <v/>
      </c>
      <c r="FB74" s="40" t="str">
        <f t="shared" si="921"/>
        <v/>
      </c>
      <c r="FC74" s="40" t="str">
        <f t="shared" si="922"/>
        <v/>
      </c>
      <c r="FD74" s="40" t="str">
        <f t="shared" si="923"/>
        <v/>
      </c>
      <c r="FE74" s="40" t="str">
        <f t="shared" si="924"/>
        <v/>
      </c>
      <c r="FF74" s="40" t="str">
        <f t="shared" si="925"/>
        <v/>
      </c>
      <c r="FG74" s="40" t="str">
        <f t="shared" si="926"/>
        <v/>
      </c>
      <c r="FH74" s="40" t="str">
        <f t="shared" si="927"/>
        <v/>
      </c>
      <c r="FI74" s="40" t="str">
        <f t="shared" si="928"/>
        <v/>
      </c>
      <c r="FJ74" s="40" t="str">
        <f t="shared" si="929"/>
        <v/>
      </c>
      <c r="FK74" s="40" t="str">
        <f t="shared" si="930"/>
        <v/>
      </c>
      <c r="FL74" s="40" t="str">
        <f t="shared" si="931"/>
        <v/>
      </c>
      <c r="FM74" s="40" t="str">
        <f t="shared" si="932"/>
        <v/>
      </c>
      <c r="FN74" s="40" t="str">
        <f t="shared" si="933"/>
        <v/>
      </c>
      <c r="FO74" s="40" t="str">
        <f t="shared" si="934"/>
        <v/>
      </c>
      <c r="FP74" s="40" t="str">
        <f t="shared" si="935"/>
        <v/>
      </c>
      <c r="FQ74" s="40" t="str">
        <f t="shared" si="936"/>
        <v/>
      </c>
      <c r="FR74" s="40" t="str">
        <f t="shared" si="937"/>
        <v/>
      </c>
      <c r="FS74" s="40" t="str">
        <f t="shared" si="938"/>
        <v/>
      </c>
    </row>
    <row r="75" spans="1:175" s="4" customFormat="1" ht="16.5">
      <c r="A75" s="8"/>
      <c r="B75" s="41" t="s">
        <v>254</v>
      </c>
      <c r="C75" s="8" t="s">
        <v>728</v>
      </c>
      <c r="D75" s="42"/>
      <c r="E75" s="43"/>
      <c r="F75" s="44">
        <v>50000</v>
      </c>
      <c r="G75" s="45">
        <v>50</v>
      </c>
      <c r="H75" s="45"/>
      <c r="I75" s="45" t="str">
        <f t="shared" si="440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252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3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7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3"/>
        <v>InitUnitState('E223',,,1200,,1100000,,22000,,,)</v>
      </c>
      <c r="CO75" s="58" t="str">
        <f t="shared" si="864"/>
        <v>InitUnitNormal('E223',,,,,,,,,,)</v>
      </c>
      <c r="CP75" s="58" t="str">
        <f t="shared" si="865"/>
        <v>InitUnitMagic('E223',,,,,,,,3,,)</v>
      </c>
      <c r="CQ75" s="58" t="str">
        <f t="shared" si="866"/>
        <v>InitUnitAdd('E223',,,,,,,,,,)</v>
      </c>
      <c r="CR75" s="58" t="str">
        <f t="shared" si="652"/>
        <v>InitEquipData('E223',,"",,E224,50000,50,'','','','','','',"ReplaceableTextures\\CommandButtons\\BTNZ15.blp")</v>
      </c>
      <c r="CS75" s="58"/>
      <c r="CT75" s="58"/>
      <c r="CU75" s="61" t="str">
        <f t="shared" si="868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9"/>
        <v/>
      </c>
      <c r="DC75" s="40" t="str">
        <f t="shared" si="870"/>
        <v/>
      </c>
      <c r="DD75" s="40" t="str">
        <f t="shared" si="871"/>
        <v>|n护甲+1200</v>
      </c>
      <c r="DE75" s="40" t="str">
        <f t="shared" si="872"/>
        <v/>
      </c>
      <c r="DF75" s="40" t="str">
        <f t="shared" si="873"/>
        <v>|n生命值+1100000</v>
      </c>
      <c r="DG75" s="40" t="str">
        <f t="shared" si="874"/>
        <v/>
      </c>
      <c r="DH75" s="40" t="str">
        <f t="shared" si="875"/>
        <v>|n生命回复+22000</v>
      </c>
      <c r="DI75" s="40" t="str">
        <f t="shared" si="876"/>
        <v/>
      </c>
      <c r="DJ75" s="40" t="str">
        <f t="shared" si="877"/>
        <v/>
      </c>
      <c r="DK75" s="40" t="str">
        <f t="shared" si="878"/>
        <v/>
      </c>
      <c r="DL75" s="40" t="str">
        <f t="shared" si="879"/>
        <v/>
      </c>
      <c r="DM75" s="40" t="str">
        <f t="shared" si="880"/>
        <v/>
      </c>
      <c r="DN75" s="40" t="str">
        <f t="shared" si="881"/>
        <v/>
      </c>
      <c r="DO75" s="40" t="str">
        <f t="shared" si="882"/>
        <v/>
      </c>
      <c r="DP75" s="40" t="str">
        <f t="shared" si="883"/>
        <v/>
      </c>
      <c r="DQ75" s="40" t="str">
        <f t="shared" si="884"/>
        <v/>
      </c>
      <c r="DR75" s="40" t="str">
        <f t="shared" si="885"/>
        <v/>
      </c>
      <c r="DS75" s="40" t="str">
        <f t="shared" si="886"/>
        <v/>
      </c>
      <c r="DT75" s="40" t="str">
        <f t="shared" si="887"/>
        <v/>
      </c>
      <c r="DU75" s="40" t="str">
        <f t="shared" si="888"/>
        <v/>
      </c>
      <c r="DV75" s="40" t="str">
        <f t="shared" si="889"/>
        <v/>
      </c>
      <c r="DW75" s="40" t="str">
        <f t="shared" si="890"/>
        <v/>
      </c>
      <c r="DX75" s="40" t="str">
        <f t="shared" si="891"/>
        <v/>
      </c>
      <c r="DY75" s="40" t="str">
        <f t="shared" si="892"/>
        <v/>
      </c>
      <c r="DZ75" s="40" t="str">
        <f t="shared" si="893"/>
        <v/>
      </c>
      <c r="EA75" s="40" t="str">
        <f t="shared" si="894"/>
        <v/>
      </c>
      <c r="EB75" s="40" t="str">
        <f t="shared" si="895"/>
        <v/>
      </c>
      <c r="EC75" s="40" t="str">
        <f t="shared" si="896"/>
        <v>|n生命恢复%+3</v>
      </c>
      <c r="ED75" s="40" t="str">
        <f t="shared" si="897"/>
        <v/>
      </c>
      <c r="EE75" s="40" t="str">
        <f t="shared" si="898"/>
        <v/>
      </c>
      <c r="EF75" s="40" t="str">
        <f t="shared" si="899"/>
        <v/>
      </c>
      <c r="EG75" s="40" t="str">
        <f t="shared" si="900"/>
        <v/>
      </c>
      <c r="EH75" s="40" t="str">
        <f t="shared" si="901"/>
        <v/>
      </c>
      <c r="EI75" s="40" t="str">
        <f t="shared" si="902"/>
        <v/>
      </c>
      <c r="EJ75" s="40" t="str">
        <f t="shared" si="903"/>
        <v/>
      </c>
      <c r="EK75" s="40" t="str">
        <f t="shared" si="904"/>
        <v/>
      </c>
      <c r="EL75" s="40" t="str">
        <f t="shared" si="905"/>
        <v/>
      </c>
      <c r="EM75" s="40" t="str">
        <f t="shared" si="906"/>
        <v/>
      </c>
      <c r="EN75" s="40" t="str">
        <f t="shared" si="907"/>
        <v/>
      </c>
      <c r="EO75" s="40" t="str">
        <f t="shared" si="908"/>
        <v/>
      </c>
      <c r="EP75" s="40" t="str">
        <f t="shared" si="909"/>
        <v/>
      </c>
      <c r="EQ75" s="40" t="str">
        <f t="shared" si="910"/>
        <v/>
      </c>
      <c r="ER75" s="40" t="str">
        <f t="shared" si="911"/>
        <v/>
      </c>
      <c r="ES75" s="40" t="str">
        <f t="shared" si="912"/>
        <v/>
      </c>
      <c r="ET75" s="40" t="str">
        <f t="shared" si="913"/>
        <v/>
      </c>
      <c r="EU75" s="40" t="str">
        <f t="shared" si="914"/>
        <v/>
      </c>
      <c r="EV75" s="40" t="str">
        <f t="shared" si="915"/>
        <v/>
      </c>
      <c r="EW75" s="40" t="str">
        <f t="shared" si="916"/>
        <v/>
      </c>
      <c r="EX75" s="40" t="str">
        <f t="shared" si="917"/>
        <v/>
      </c>
      <c r="EY75" s="40" t="str">
        <f t="shared" si="918"/>
        <v/>
      </c>
      <c r="EZ75" s="40" t="str">
        <f t="shared" si="919"/>
        <v/>
      </c>
      <c r="FA75" s="40" t="str">
        <f t="shared" si="920"/>
        <v/>
      </c>
      <c r="FB75" s="40" t="str">
        <f t="shared" si="921"/>
        <v/>
      </c>
      <c r="FC75" s="40" t="str">
        <f t="shared" si="922"/>
        <v/>
      </c>
      <c r="FD75" s="40" t="str">
        <f t="shared" si="923"/>
        <v/>
      </c>
      <c r="FE75" s="40" t="str">
        <f t="shared" si="924"/>
        <v/>
      </c>
      <c r="FF75" s="40" t="str">
        <f t="shared" si="925"/>
        <v/>
      </c>
      <c r="FG75" s="40" t="str">
        <f t="shared" si="926"/>
        <v/>
      </c>
      <c r="FH75" s="40" t="str">
        <f t="shared" si="927"/>
        <v/>
      </c>
      <c r="FI75" s="40" t="str">
        <f t="shared" si="928"/>
        <v/>
      </c>
      <c r="FJ75" s="40" t="str">
        <f t="shared" si="929"/>
        <v/>
      </c>
      <c r="FK75" s="40" t="str">
        <f t="shared" si="930"/>
        <v/>
      </c>
      <c r="FL75" s="40" t="str">
        <f t="shared" si="931"/>
        <v/>
      </c>
      <c r="FM75" s="40" t="str">
        <f t="shared" si="932"/>
        <v/>
      </c>
      <c r="FN75" s="40" t="str">
        <f t="shared" si="933"/>
        <v/>
      </c>
      <c r="FO75" s="40" t="str">
        <f t="shared" si="934"/>
        <v/>
      </c>
      <c r="FP75" s="40" t="str">
        <f t="shared" si="935"/>
        <v/>
      </c>
      <c r="FQ75" s="40" t="str">
        <f t="shared" si="936"/>
        <v/>
      </c>
      <c r="FR75" s="40" t="str">
        <f t="shared" si="937"/>
        <v/>
      </c>
      <c r="FS75" s="40" t="str">
        <f t="shared" si="938"/>
        <v/>
      </c>
    </row>
    <row r="76" spans="1:175" s="4" customFormat="1" ht="16.5">
      <c r="A76" s="8"/>
      <c r="B76" s="41" t="s">
        <v>255</v>
      </c>
      <c r="C76" s="8" t="s">
        <v>729</v>
      </c>
      <c r="D76" s="42"/>
      <c r="E76" s="43"/>
      <c r="F76" s="44">
        <v>50000</v>
      </c>
      <c r="G76" s="45">
        <v>50</v>
      </c>
      <c r="H76" s="45"/>
      <c r="I76" s="45" t="str">
        <f t="shared" si="440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252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3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7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3"/>
        <v>InitUnitState('E224',,,1300,,1400000,,28000,,,)</v>
      </c>
      <c r="CO76" s="58" t="str">
        <f t="shared" si="864"/>
        <v>InitUnitNormal('E224',,,,,,,,,,)</v>
      </c>
      <c r="CP76" s="58" t="str">
        <f t="shared" si="865"/>
        <v>InitUnitMagic('E224',,,,,,,,3,,)</v>
      </c>
      <c r="CQ76" s="58" t="str">
        <f t="shared" si="866"/>
        <v>InitUnitAdd('E224',,,,,,,,,,)</v>
      </c>
      <c r="CR76" s="58" t="str">
        <f t="shared" si="652"/>
        <v>InitEquipData('E224',,"",,E225,50000,50,'','','','','','',"ReplaceableTextures\\CommandButtons\\BTNZ15.blp")</v>
      </c>
      <c r="CS76" s="58"/>
      <c r="CT76" s="58"/>
      <c r="CU76" s="61" t="str">
        <f t="shared" si="868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9"/>
        <v/>
      </c>
      <c r="DC76" s="40" t="str">
        <f t="shared" si="870"/>
        <v/>
      </c>
      <c r="DD76" s="40" t="str">
        <f t="shared" si="871"/>
        <v>|n护甲+1300</v>
      </c>
      <c r="DE76" s="40" t="str">
        <f t="shared" si="872"/>
        <v/>
      </c>
      <c r="DF76" s="40" t="str">
        <f t="shared" si="873"/>
        <v>|n生命值+1400000</v>
      </c>
      <c r="DG76" s="40" t="str">
        <f t="shared" si="874"/>
        <v/>
      </c>
      <c r="DH76" s="40" t="str">
        <f t="shared" si="875"/>
        <v>|n生命回复+28000</v>
      </c>
      <c r="DI76" s="40" t="str">
        <f t="shared" si="876"/>
        <v/>
      </c>
      <c r="DJ76" s="40" t="str">
        <f t="shared" si="877"/>
        <v/>
      </c>
      <c r="DK76" s="40" t="str">
        <f t="shared" si="878"/>
        <v/>
      </c>
      <c r="DL76" s="40" t="str">
        <f t="shared" si="879"/>
        <v/>
      </c>
      <c r="DM76" s="40" t="str">
        <f t="shared" si="880"/>
        <v/>
      </c>
      <c r="DN76" s="40" t="str">
        <f t="shared" si="881"/>
        <v/>
      </c>
      <c r="DO76" s="40" t="str">
        <f t="shared" si="882"/>
        <v/>
      </c>
      <c r="DP76" s="40" t="str">
        <f t="shared" si="883"/>
        <v/>
      </c>
      <c r="DQ76" s="40" t="str">
        <f t="shared" si="884"/>
        <v/>
      </c>
      <c r="DR76" s="40" t="str">
        <f t="shared" si="885"/>
        <v/>
      </c>
      <c r="DS76" s="40" t="str">
        <f t="shared" si="886"/>
        <v/>
      </c>
      <c r="DT76" s="40" t="str">
        <f t="shared" si="887"/>
        <v/>
      </c>
      <c r="DU76" s="40" t="str">
        <f t="shared" si="888"/>
        <v/>
      </c>
      <c r="DV76" s="40" t="str">
        <f t="shared" si="889"/>
        <v/>
      </c>
      <c r="DW76" s="40" t="str">
        <f t="shared" si="890"/>
        <v/>
      </c>
      <c r="DX76" s="40" t="str">
        <f t="shared" si="891"/>
        <v/>
      </c>
      <c r="DY76" s="40" t="str">
        <f t="shared" si="892"/>
        <v/>
      </c>
      <c r="DZ76" s="40" t="str">
        <f t="shared" si="893"/>
        <v/>
      </c>
      <c r="EA76" s="40" t="str">
        <f t="shared" si="894"/>
        <v/>
      </c>
      <c r="EB76" s="40" t="str">
        <f t="shared" si="895"/>
        <v/>
      </c>
      <c r="EC76" s="40" t="str">
        <f t="shared" si="896"/>
        <v>|n生命恢复%+3</v>
      </c>
      <c r="ED76" s="40" t="str">
        <f t="shared" si="897"/>
        <v/>
      </c>
      <c r="EE76" s="40" t="str">
        <f t="shared" si="898"/>
        <v/>
      </c>
      <c r="EF76" s="40" t="str">
        <f t="shared" si="899"/>
        <v/>
      </c>
      <c r="EG76" s="40" t="str">
        <f t="shared" si="900"/>
        <v/>
      </c>
      <c r="EH76" s="40" t="str">
        <f t="shared" si="901"/>
        <v/>
      </c>
      <c r="EI76" s="40" t="str">
        <f t="shared" si="902"/>
        <v/>
      </c>
      <c r="EJ76" s="40" t="str">
        <f t="shared" si="903"/>
        <v/>
      </c>
      <c r="EK76" s="40" t="str">
        <f t="shared" si="904"/>
        <v/>
      </c>
      <c r="EL76" s="40" t="str">
        <f t="shared" si="905"/>
        <v/>
      </c>
      <c r="EM76" s="40" t="str">
        <f t="shared" si="906"/>
        <v/>
      </c>
      <c r="EN76" s="40" t="str">
        <f t="shared" si="907"/>
        <v/>
      </c>
      <c r="EO76" s="40" t="str">
        <f t="shared" si="908"/>
        <v/>
      </c>
      <c r="EP76" s="40" t="str">
        <f t="shared" si="909"/>
        <v/>
      </c>
      <c r="EQ76" s="40" t="str">
        <f t="shared" si="910"/>
        <v/>
      </c>
      <c r="ER76" s="40" t="str">
        <f t="shared" si="911"/>
        <v/>
      </c>
      <c r="ES76" s="40" t="str">
        <f t="shared" si="912"/>
        <v/>
      </c>
      <c r="ET76" s="40" t="str">
        <f t="shared" si="913"/>
        <v/>
      </c>
      <c r="EU76" s="40" t="str">
        <f t="shared" si="914"/>
        <v/>
      </c>
      <c r="EV76" s="40" t="str">
        <f t="shared" si="915"/>
        <v/>
      </c>
      <c r="EW76" s="40" t="str">
        <f t="shared" si="916"/>
        <v/>
      </c>
      <c r="EX76" s="40" t="str">
        <f t="shared" si="917"/>
        <v/>
      </c>
      <c r="EY76" s="40" t="str">
        <f t="shared" si="918"/>
        <v/>
      </c>
      <c r="EZ76" s="40" t="str">
        <f t="shared" si="919"/>
        <v/>
      </c>
      <c r="FA76" s="40" t="str">
        <f t="shared" si="920"/>
        <v/>
      </c>
      <c r="FB76" s="40" t="str">
        <f t="shared" si="921"/>
        <v/>
      </c>
      <c r="FC76" s="40" t="str">
        <f t="shared" si="922"/>
        <v/>
      </c>
      <c r="FD76" s="40" t="str">
        <f t="shared" si="923"/>
        <v/>
      </c>
      <c r="FE76" s="40" t="str">
        <f t="shared" si="924"/>
        <v/>
      </c>
      <c r="FF76" s="40" t="str">
        <f t="shared" si="925"/>
        <v/>
      </c>
      <c r="FG76" s="40" t="str">
        <f t="shared" si="926"/>
        <v/>
      </c>
      <c r="FH76" s="40" t="str">
        <f t="shared" si="927"/>
        <v/>
      </c>
      <c r="FI76" s="40" t="str">
        <f t="shared" si="928"/>
        <v/>
      </c>
      <c r="FJ76" s="40" t="str">
        <f t="shared" si="929"/>
        <v/>
      </c>
      <c r="FK76" s="40" t="str">
        <f t="shared" si="930"/>
        <v/>
      </c>
      <c r="FL76" s="40" t="str">
        <f t="shared" si="931"/>
        <v/>
      </c>
      <c r="FM76" s="40" t="str">
        <f t="shared" si="932"/>
        <v/>
      </c>
      <c r="FN76" s="40" t="str">
        <f t="shared" si="933"/>
        <v/>
      </c>
      <c r="FO76" s="40" t="str">
        <f t="shared" si="934"/>
        <v/>
      </c>
      <c r="FP76" s="40" t="str">
        <f t="shared" si="935"/>
        <v/>
      </c>
      <c r="FQ76" s="40" t="str">
        <f t="shared" si="936"/>
        <v/>
      </c>
      <c r="FR76" s="40" t="str">
        <f t="shared" si="937"/>
        <v/>
      </c>
      <c r="FS76" s="40" t="str">
        <f t="shared" si="938"/>
        <v/>
      </c>
    </row>
    <row r="77" spans="1:175" s="4" customFormat="1" ht="16.5">
      <c r="A77" s="8"/>
      <c r="B77" s="41" t="s">
        <v>256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187</v>
      </c>
      <c r="U77" s="51" t="s">
        <v>252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3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3"/>
        <v>InitUnitState('E225',,,1400,,2000000,,40000,,,)</v>
      </c>
      <c r="CO77" s="58" t="str">
        <f t="shared" si="864"/>
        <v>InitUnitNormal('E225',,,,,,,,,,)</v>
      </c>
      <c r="CP77" s="58" t="str">
        <f t="shared" si="865"/>
        <v>InitUnitMagic('E225',,,,,,,,5,,)</v>
      </c>
      <c r="CQ77" s="58" t="str">
        <f t="shared" si="866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8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9"/>
        <v/>
      </c>
      <c r="DC77" s="40" t="str">
        <f t="shared" si="870"/>
        <v/>
      </c>
      <c r="DD77" s="40" t="str">
        <f t="shared" si="871"/>
        <v>|n护甲+1400</v>
      </c>
      <c r="DE77" s="40" t="str">
        <f t="shared" si="872"/>
        <v/>
      </c>
      <c r="DF77" s="40" t="str">
        <f t="shared" si="873"/>
        <v>|n生命值+2000000</v>
      </c>
      <c r="DG77" s="40" t="str">
        <f t="shared" si="874"/>
        <v/>
      </c>
      <c r="DH77" s="40" t="str">
        <f t="shared" si="875"/>
        <v>|n生命回复+40000</v>
      </c>
      <c r="DI77" s="40" t="str">
        <f t="shared" si="876"/>
        <v/>
      </c>
      <c r="DJ77" s="40" t="str">
        <f t="shared" si="877"/>
        <v/>
      </c>
      <c r="DK77" s="40" t="str">
        <f t="shared" si="878"/>
        <v/>
      </c>
      <c r="DL77" s="40" t="str">
        <f t="shared" si="879"/>
        <v/>
      </c>
      <c r="DM77" s="40" t="str">
        <f t="shared" si="880"/>
        <v/>
      </c>
      <c r="DN77" s="40" t="str">
        <f t="shared" si="881"/>
        <v/>
      </c>
      <c r="DO77" s="40" t="str">
        <f t="shared" si="882"/>
        <v/>
      </c>
      <c r="DP77" s="40" t="str">
        <f t="shared" si="883"/>
        <v/>
      </c>
      <c r="DQ77" s="40" t="str">
        <f t="shared" si="884"/>
        <v/>
      </c>
      <c r="DR77" s="40" t="str">
        <f t="shared" si="885"/>
        <v/>
      </c>
      <c r="DS77" s="40" t="str">
        <f t="shared" si="886"/>
        <v/>
      </c>
      <c r="DT77" s="40" t="str">
        <f t="shared" si="887"/>
        <v/>
      </c>
      <c r="DU77" s="40" t="str">
        <f t="shared" si="888"/>
        <v/>
      </c>
      <c r="DV77" s="40" t="str">
        <f t="shared" si="889"/>
        <v/>
      </c>
      <c r="DW77" s="40" t="str">
        <f t="shared" si="890"/>
        <v/>
      </c>
      <c r="DX77" s="40" t="str">
        <f t="shared" si="891"/>
        <v/>
      </c>
      <c r="DY77" s="40" t="str">
        <f t="shared" si="892"/>
        <v/>
      </c>
      <c r="DZ77" s="40" t="str">
        <f t="shared" si="893"/>
        <v/>
      </c>
      <c r="EA77" s="40" t="str">
        <f t="shared" si="894"/>
        <v/>
      </c>
      <c r="EB77" s="40" t="str">
        <f t="shared" si="895"/>
        <v/>
      </c>
      <c r="EC77" s="40" t="str">
        <f t="shared" si="896"/>
        <v>|n生命恢复%+5</v>
      </c>
      <c r="ED77" s="40" t="str">
        <f t="shared" si="897"/>
        <v/>
      </c>
      <c r="EE77" s="40" t="str">
        <f t="shared" si="898"/>
        <v/>
      </c>
      <c r="EF77" s="40" t="str">
        <f t="shared" si="899"/>
        <v/>
      </c>
      <c r="EG77" s="40" t="str">
        <f t="shared" si="900"/>
        <v/>
      </c>
      <c r="EH77" s="40" t="str">
        <f t="shared" si="901"/>
        <v/>
      </c>
      <c r="EI77" s="40" t="str">
        <f t="shared" si="902"/>
        <v/>
      </c>
      <c r="EJ77" s="40" t="str">
        <f t="shared" si="903"/>
        <v/>
      </c>
      <c r="EK77" s="40" t="str">
        <f t="shared" si="904"/>
        <v/>
      </c>
      <c r="EL77" s="40" t="str">
        <f t="shared" si="905"/>
        <v/>
      </c>
      <c r="EM77" s="40" t="str">
        <f t="shared" si="906"/>
        <v/>
      </c>
      <c r="EN77" s="40" t="str">
        <f t="shared" si="907"/>
        <v/>
      </c>
      <c r="EO77" s="40" t="str">
        <f t="shared" si="908"/>
        <v/>
      </c>
      <c r="EP77" s="40" t="str">
        <f t="shared" si="909"/>
        <v/>
      </c>
      <c r="EQ77" s="40" t="str">
        <f t="shared" si="910"/>
        <v/>
      </c>
      <c r="ER77" s="40" t="str">
        <f t="shared" si="911"/>
        <v/>
      </c>
      <c r="ES77" s="40" t="str">
        <f t="shared" si="912"/>
        <v/>
      </c>
      <c r="ET77" s="40" t="str">
        <f t="shared" si="913"/>
        <v/>
      </c>
      <c r="EU77" s="40" t="str">
        <f t="shared" si="914"/>
        <v/>
      </c>
      <c r="EV77" s="40" t="str">
        <f t="shared" si="915"/>
        <v/>
      </c>
      <c r="EW77" s="40" t="str">
        <f t="shared" si="916"/>
        <v/>
      </c>
      <c r="EX77" s="40" t="str">
        <f t="shared" si="917"/>
        <v/>
      </c>
      <c r="EY77" s="40" t="str">
        <f t="shared" si="918"/>
        <v/>
      </c>
      <c r="EZ77" s="40" t="str">
        <f t="shared" si="919"/>
        <v/>
      </c>
      <c r="FA77" s="40" t="str">
        <f t="shared" si="920"/>
        <v/>
      </c>
      <c r="FB77" s="40" t="str">
        <f t="shared" si="921"/>
        <v/>
      </c>
      <c r="FC77" s="40" t="str">
        <f t="shared" si="922"/>
        <v/>
      </c>
      <c r="FD77" s="40" t="str">
        <f t="shared" si="923"/>
        <v/>
      </c>
      <c r="FE77" s="40" t="str">
        <f t="shared" si="924"/>
        <v/>
      </c>
      <c r="FF77" s="40" t="str">
        <f t="shared" si="925"/>
        <v/>
      </c>
      <c r="FG77" s="40" t="str">
        <f t="shared" si="926"/>
        <v/>
      </c>
      <c r="FH77" s="40" t="str">
        <f t="shared" si="927"/>
        <v/>
      </c>
      <c r="FI77" s="40" t="str">
        <f t="shared" si="928"/>
        <v/>
      </c>
      <c r="FJ77" s="40" t="str">
        <f t="shared" si="929"/>
        <v/>
      </c>
      <c r="FK77" s="40" t="str">
        <f t="shared" si="930"/>
        <v/>
      </c>
      <c r="FL77" s="40" t="str">
        <f t="shared" si="931"/>
        <v/>
      </c>
      <c r="FM77" s="40" t="str">
        <f t="shared" si="932"/>
        <v/>
      </c>
      <c r="FN77" s="40" t="str">
        <f t="shared" si="933"/>
        <v/>
      </c>
      <c r="FO77" s="40" t="str">
        <f t="shared" si="934"/>
        <v/>
      </c>
      <c r="FP77" s="40" t="str">
        <f t="shared" si="935"/>
        <v/>
      </c>
      <c r="FQ77" s="40" t="str">
        <f t="shared" si="936"/>
        <v/>
      </c>
      <c r="FR77" s="40" t="str">
        <f t="shared" si="937"/>
        <v/>
      </c>
      <c r="FS77" s="40" t="str">
        <f t="shared" si="938"/>
        <v/>
      </c>
    </row>
    <row r="78" spans="1:175" ht="16.5">
      <c r="A78" s="63"/>
      <c r="B78" s="41" t="s">
        <v>257</v>
      </c>
      <c r="C78" s="63" t="s">
        <v>258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259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5"/>
        <v>InitUnitMagic('IJ01',,,,,,,,,,)</v>
      </c>
      <c r="CQ78" s="10" t="str">
        <f t="shared" si="866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8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3"/>
        <v>|n攻击+5000</v>
      </c>
      <c r="DC78" s="40" t="str">
        <f t="shared" si="654"/>
        <v/>
      </c>
      <c r="DD78" s="40" t="str">
        <f t="shared" si="655"/>
        <v/>
      </c>
      <c r="DE78" s="40" t="str">
        <f t="shared" si="656"/>
        <v/>
      </c>
      <c r="DF78" s="40" t="str">
        <f t="shared" si="657"/>
        <v>|n生命值+25000</v>
      </c>
      <c r="DG78" s="40" t="str">
        <f t="shared" si="658"/>
        <v/>
      </c>
      <c r="DH78" s="40" t="str">
        <f t="shared" si="659"/>
        <v/>
      </c>
      <c r="DI78" s="40" t="str">
        <f t="shared" si="660"/>
        <v/>
      </c>
      <c r="DJ78" s="40" t="str">
        <f t="shared" si="661"/>
        <v/>
      </c>
      <c r="DK78" s="40" t="str">
        <f t="shared" si="662"/>
        <v/>
      </c>
      <c r="DL78" s="40" t="str">
        <f t="shared" si="663"/>
        <v/>
      </c>
      <c r="DM78" s="40" t="str">
        <f t="shared" si="664"/>
        <v/>
      </c>
      <c r="DN78" s="40" t="str">
        <f t="shared" si="665"/>
        <v/>
      </c>
      <c r="DO78" s="40" t="str">
        <f t="shared" si="666"/>
        <v/>
      </c>
      <c r="DP78" s="40" t="str">
        <f t="shared" si="667"/>
        <v>|n物理伤害+5%</v>
      </c>
      <c r="DQ78" s="40" t="str">
        <f t="shared" si="668"/>
        <v>|n法术伤害+5%</v>
      </c>
      <c r="DR78" s="40" t="str">
        <f t="shared" si="669"/>
        <v/>
      </c>
      <c r="DS78" s="40" t="str">
        <f t="shared" si="670"/>
        <v/>
      </c>
      <c r="DT78" s="40" t="str">
        <f t="shared" si="671"/>
        <v/>
      </c>
      <c r="DU78" s="40" t="str">
        <f t="shared" si="672"/>
        <v/>
      </c>
      <c r="DV78" s="40" t="str">
        <f t="shared" si="673"/>
        <v/>
      </c>
      <c r="DW78" s="40" t="str">
        <f t="shared" si="674"/>
        <v/>
      </c>
      <c r="DX78" s="40" t="str">
        <f t="shared" si="675"/>
        <v/>
      </c>
      <c r="DY78" s="40" t="str">
        <f t="shared" si="676"/>
        <v/>
      </c>
      <c r="DZ78" s="40" t="str">
        <f t="shared" si="677"/>
        <v/>
      </c>
      <c r="EA78" s="40" t="str">
        <f t="shared" si="678"/>
        <v/>
      </c>
      <c r="EB78" s="40" t="str">
        <f t="shared" si="679"/>
        <v/>
      </c>
      <c r="EC78" s="40" t="str">
        <f t="shared" si="680"/>
        <v/>
      </c>
      <c r="ED78" s="40" t="str">
        <f t="shared" si="681"/>
        <v/>
      </c>
      <c r="EE78" s="40" t="str">
        <f t="shared" si="682"/>
        <v/>
      </c>
      <c r="EF78" s="40" t="str">
        <f t="shared" si="683"/>
        <v/>
      </c>
      <c r="EG78" s="40" t="str">
        <f t="shared" si="684"/>
        <v/>
      </c>
      <c r="EH78" s="40" t="str">
        <f t="shared" si="685"/>
        <v/>
      </c>
      <c r="EI78" s="40" t="str">
        <f t="shared" si="686"/>
        <v/>
      </c>
      <c r="EJ78" s="40" t="str">
        <f t="shared" si="687"/>
        <v/>
      </c>
      <c r="EK78" s="40" t="str">
        <f t="shared" si="688"/>
        <v/>
      </c>
      <c r="EL78" s="40" t="str">
        <f t="shared" si="689"/>
        <v/>
      </c>
      <c r="EM78" s="40" t="str">
        <f t="shared" si="690"/>
        <v/>
      </c>
      <c r="EN78" s="40" t="str">
        <f t="shared" si="691"/>
        <v/>
      </c>
      <c r="EO78" s="40" t="str">
        <f t="shared" si="692"/>
        <v/>
      </c>
      <c r="EP78" s="40" t="str">
        <f t="shared" si="693"/>
        <v/>
      </c>
      <c r="EQ78" s="40" t="str">
        <f t="shared" si="694"/>
        <v/>
      </c>
      <c r="ER78" s="40" t="str">
        <f t="shared" si="695"/>
        <v>|n杀敌攻击+5</v>
      </c>
      <c r="ES78" s="40" t="str">
        <f t="shared" si="696"/>
        <v>|n杀敌业力+1</v>
      </c>
      <c r="ET78" s="40" t="str">
        <f t="shared" si="697"/>
        <v>|n杀敌生命+5</v>
      </c>
      <c r="EU78" s="40" t="str">
        <f t="shared" si="698"/>
        <v/>
      </c>
      <c r="EV78" s="40" t="str">
        <f t="shared" si="699"/>
        <v/>
      </c>
      <c r="EW78" s="40" t="str">
        <f t="shared" si="700"/>
        <v/>
      </c>
      <c r="EX78" s="40" t="str">
        <f t="shared" si="701"/>
        <v/>
      </c>
      <c r="EY78" s="40" t="str">
        <f t="shared" si="702"/>
        <v/>
      </c>
      <c r="EZ78" s="40" t="str">
        <f t="shared" si="703"/>
        <v/>
      </c>
      <c r="FA78" s="40" t="str">
        <f t="shared" si="704"/>
        <v/>
      </c>
      <c r="FB78" s="40" t="str">
        <f t="shared" si="705"/>
        <v/>
      </c>
      <c r="FC78" s="40" t="str">
        <f t="shared" si="706"/>
        <v/>
      </c>
      <c r="FD78" s="40" t="str">
        <f t="shared" si="707"/>
        <v/>
      </c>
      <c r="FE78" s="40" t="str">
        <f t="shared" si="708"/>
        <v/>
      </c>
      <c r="FF78" s="40" t="str">
        <f t="shared" si="709"/>
        <v/>
      </c>
      <c r="FG78" s="40" t="str">
        <f t="shared" si="710"/>
        <v/>
      </c>
      <c r="FH78" s="40" t="str">
        <f t="shared" si="711"/>
        <v/>
      </c>
      <c r="FI78" s="40" t="str">
        <f t="shared" si="712"/>
        <v/>
      </c>
      <c r="FJ78" s="40" t="str">
        <f t="shared" si="713"/>
        <v/>
      </c>
      <c r="FK78" s="40" t="str">
        <f t="shared" si="714"/>
        <v/>
      </c>
      <c r="FL78" s="40" t="str">
        <f t="shared" si="715"/>
        <v/>
      </c>
      <c r="FM78" s="40" t="str">
        <f t="shared" si="716"/>
        <v/>
      </c>
      <c r="FN78" s="40" t="str">
        <f t="shared" si="717"/>
        <v/>
      </c>
      <c r="FO78" s="40" t="str">
        <f t="shared" si="718"/>
        <v/>
      </c>
      <c r="FP78" s="40" t="str">
        <f t="shared" si="719"/>
        <v/>
      </c>
      <c r="FQ78" s="40" t="str">
        <f t="shared" si="720"/>
        <v/>
      </c>
      <c r="FR78" s="40" t="str">
        <f t="shared" si="721"/>
        <v/>
      </c>
      <c r="FS78" s="40" t="str">
        <f t="shared" si="722"/>
        <v/>
      </c>
    </row>
    <row r="79" spans="1:175" ht="16.5">
      <c r="A79" s="63"/>
      <c r="B79" s="41" t="s">
        <v>260</v>
      </c>
      <c r="C79" s="63" t="s">
        <v>261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262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8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3"/>
        <v>|n攻击+12000</v>
      </c>
      <c r="DC79" s="40" t="str">
        <f t="shared" si="654"/>
        <v/>
      </c>
      <c r="DD79" s="40" t="str">
        <f t="shared" si="655"/>
        <v/>
      </c>
      <c r="DE79" s="40" t="str">
        <f t="shared" si="656"/>
        <v/>
      </c>
      <c r="DF79" s="40" t="str">
        <f t="shared" si="657"/>
        <v>|n生命值+60000</v>
      </c>
      <c r="DG79" s="40" t="str">
        <f t="shared" si="658"/>
        <v/>
      </c>
      <c r="DH79" s="40" t="str">
        <f t="shared" si="659"/>
        <v/>
      </c>
      <c r="DI79" s="40" t="str">
        <f t="shared" si="660"/>
        <v/>
      </c>
      <c r="DJ79" s="40" t="str">
        <f t="shared" si="661"/>
        <v/>
      </c>
      <c r="DK79" s="40" t="str">
        <f t="shared" si="662"/>
        <v/>
      </c>
      <c r="DL79" s="40" t="str">
        <f t="shared" si="663"/>
        <v/>
      </c>
      <c r="DM79" s="40" t="str">
        <f t="shared" si="664"/>
        <v/>
      </c>
      <c r="DN79" s="40" t="str">
        <f t="shared" si="665"/>
        <v/>
      </c>
      <c r="DO79" s="40" t="str">
        <f t="shared" si="666"/>
        <v/>
      </c>
      <c r="DP79" s="40" t="str">
        <f t="shared" si="667"/>
        <v>|n物理伤害+5%</v>
      </c>
      <c r="DQ79" s="40" t="str">
        <f t="shared" si="668"/>
        <v>|n法术伤害+5%</v>
      </c>
      <c r="DR79" s="40" t="str">
        <f t="shared" si="669"/>
        <v/>
      </c>
      <c r="DS79" s="40" t="str">
        <f t="shared" si="670"/>
        <v/>
      </c>
      <c r="DT79" s="40" t="str">
        <f t="shared" si="671"/>
        <v/>
      </c>
      <c r="DU79" s="40" t="str">
        <f t="shared" si="672"/>
        <v/>
      </c>
      <c r="DV79" s="40" t="str">
        <f t="shared" si="673"/>
        <v/>
      </c>
      <c r="DW79" s="40" t="str">
        <f t="shared" si="674"/>
        <v/>
      </c>
      <c r="DX79" s="40" t="str">
        <f t="shared" si="675"/>
        <v/>
      </c>
      <c r="DY79" s="40" t="str">
        <f t="shared" si="676"/>
        <v/>
      </c>
      <c r="DZ79" s="40" t="str">
        <f t="shared" si="677"/>
        <v/>
      </c>
      <c r="EA79" s="40" t="str">
        <f t="shared" si="678"/>
        <v/>
      </c>
      <c r="EB79" s="40" t="str">
        <f t="shared" si="679"/>
        <v/>
      </c>
      <c r="EC79" s="40" t="str">
        <f t="shared" si="680"/>
        <v/>
      </c>
      <c r="ED79" s="40" t="str">
        <f t="shared" si="681"/>
        <v/>
      </c>
      <c r="EE79" s="40" t="str">
        <f t="shared" si="682"/>
        <v/>
      </c>
      <c r="EF79" s="40" t="str">
        <f t="shared" si="683"/>
        <v/>
      </c>
      <c r="EG79" s="40" t="str">
        <f t="shared" si="684"/>
        <v/>
      </c>
      <c r="EH79" s="40" t="str">
        <f t="shared" si="685"/>
        <v/>
      </c>
      <c r="EI79" s="40" t="str">
        <f t="shared" si="686"/>
        <v/>
      </c>
      <c r="EJ79" s="40" t="str">
        <f t="shared" si="687"/>
        <v/>
      </c>
      <c r="EK79" s="40" t="str">
        <f t="shared" si="688"/>
        <v/>
      </c>
      <c r="EL79" s="40" t="str">
        <f t="shared" si="689"/>
        <v/>
      </c>
      <c r="EM79" s="40" t="str">
        <f t="shared" si="690"/>
        <v/>
      </c>
      <c r="EN79" s="40" t="str">
        <f t="shared" si="691"/>
        <v/>
      </c>
      <c r="EO79" s="40" t="str">
        <f t="shared" si="692"/>
        <v/>
      </c>
      <c r="EP79" s="40" t="str">
        <f t="shared" si="693"/>
        <v/>
      </c>
      <c r="EQ79" s="40" t="str">
        <f t="shared" si="694"/>
        <v/>
      </c>
      <c r="ER79" s="40" t="str">
        <f t="shared" si="695"/>
        <v>|n杀敌攻击+5</v>
      </c>
      <c r="ES79" s="40" t="str">
        <f t="shared" si="696"/>
        <v>|n杀敌业力+1</v>
      </c>
      <c r="ET79" s="40" t="str">
        <f t="shared" si="697"/>
        <v>|n杀敌生命+5</v>
      </c>
      <c r="EU79" s="40" t="str">
        <f t="shared" si="698"/>
        <v/>
      </c>
      <c r="EV79" s="40" t="str">
        <f t="shared" si="699"/>
        <v/>
      </c>
      <c r="EW79" s="40" t="str">
        <f t="shared" si="700"/>
        <v/>
      </c>
      <c r="EX79" s="40" t="str">
        <f t="shared" si="701"/>
        <v/>
      </c>
      <c r="EY79" s="40" t="str">
        <f t="shared" si="702"/>
        <v/>
      </c>
      <c r="EZ79" s="40" t="str">
        <f t="shared" si="703"/>
        <v/>
      </c>
      <c r="FA79" s="40" t="str">
        <f t="shared" si="704"/>
        <v/>
      </c>
      <c r="FB79" s="40" t="str">
        <f t="shared" si="705"/>
        <v/>
      </c>
      <c r="FC79" s="40" t="str">
        <f t="shared" si="706"/>
        <v/>
      </c>
      <c r="FD79" s="40" t="str">
        <f t="shared" si="707"/>
        <v/>
      </c>
      <c r="FE79" s="40" t="str">
        <f t="shared" si="708"/>
        <v/>
      </c>
      <c r="FF79" s="40" t="str">
        <f t="shared" si="709"/>
        <v/>
      </c>
      <c r="FG79" s="40" t="str">
        <f t="shared" si="710"/>
        <v/>
      </c>
      <c r="FH79" s="40" t="str">
        <f t="shared" si="711"/>
        <v/>
      </c>
      <c r="FI79" s="40" t="str">
        <f t="shared" si="712"/>
        <v/>
      </c>
      <c r="FJ79" s="40" t="str">
        <f t="shared" si="713"/>
        <v/>
      </c>
      <c r="FK79" s="40" t="str">
        <f t="shared" si="714"/>
        <v/>
      </c>
      <c r="FL79" s="40" t="str">
        <f t="shared" si="715"/>
        <v/>
      </c>
      <c r="FM79" s="40" t="str">
        <f t="shared" si="716"/>
        <v/>
      </c>
      <c r="FN79" s="40" t="str">
        <f t="shared" si="717"/>
        <v/>
      </c>
      <c r="FO79" s="40" t="str">
        <f t="shared" si="718"/>
        <v/>
      </c>
      <c r="FP79" s="40" t="str">
        <f t="shared" si="719"/>
        <v/>
      </c>
      <c r="FQ79" s="40" t="str">
        <f t="shared" si="720"/>
        <v/>
      </c>
      <c r="FR79" s="40" t="str">
        <f t="shared" si="721"/>
        <v/>
      </c>
      <c r="FS79" s="40" t="str">
        <f t="shared" si="722"/>
        <v/>
      </c>
    </row>
    <row r="80" spans="1:175" ht="16.5">
      <c r="A80" s="7"/>
      <c r="B80" s="41" t="s">
        <v>263</v>
      </c>
      <c r="C80" s="7" t="s">
        <v>264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265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8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3"/>
        <v>|n攻击+25000</v>
      </c>
      <c r="DC80" s="40" t="str">
        <f t="shared" si="654"/>
        <v/>
      </c>
      <c r="DD80" s="40" t="str">
        <f t="shared" si="655"/>
        <v/>
      </c>
      <c r="DE80" s="40" t="str">
        <f t="shared" si="656"/>
        <v/>
      </c>
      <c r="DF80" s="40" t="str">
        <f t="shared" si="657"/>
        <v>|n生命值+125000</v>
      </c>
      <c r="DG80" s="40" t="str">
        <f t="shared" si="658"/>
        <v/>
      </c>
      <c r="DH80" s="40" t="str">
        <f t="shared" si="659"/>
        <v/>
      </c>
      <c r="DI80" s="40" t="str">
        <f t="shared" si="660"/>
        <v/>
      </c>
      <c r="DJ80" s="40" t="str">
        <f t="shared" si="661"/>
        <v/>
      </c>
      <c r="DK80" s="40" t="str">
        <f t="shared" si="662"/>
        <v/>
      </c>
      <c r="DL80" s="40" t="str">
        <f t="shared" si="663"/>
        <v/>
      </c>
      <c r="DM80" s="40" t="str">
        <f t="shared" si="664"/>
        <v/>
      </c>
      <c r="DN80" s="40" t="str">
        <f t="shared" si="665"/>
        <v/>
      </c>
      <c r="DO80" s="40" t="str">
        <f t="shared" si="666"/>
        <v/>
      </c>
      <c r="DP80" s="40" t="str">
        <f t="shared" si="667"/>
        <v>|n物理伤害+5%</v>
      </c>
      <c r="DQ80" s="40" t="str">
        <f t="shared" si="668"/>
        <v>|n法术伤害+5%</v>
      </c>
      <c r="DR80" s="40" t="str">
        <f t="shared" si="669"/>
        <v/>
      </c>
      <c r="DS80" s="40" t="str">
        <f t="shared" si="670"/>
        <v/>
      </c>
      <c r="DT80" s="40" t="str">
        <f t="shared" si="671"/>
        <v/>
      </c>
      <c r="DU80" s="40" t="str">
        <f t="shared" si="672"/>
        <v/>
      </c>
      <c r="DV80" s="40" t="str">
        <f t="shared" si="673"/>
        <v/>
      </c>
      <c r="DW80" s="40" t="str">
        <f t="shared" si="674"/>
        <v/>
      </c>
      <c r="DX80" s="40" t="str">
        <f t="shared" si="675"/>
        <v/>
      </c>
      <c r="DY80" s="40" t="str">
        <f t="shared" si="676"/>
        <v/>
      </c>
      <c r="DZ80" s="40" t="str">
        <f t="shared" si="677"/>
        <v/>
      </c>
      <c r="EA80" s="40" t="str">
        <f t="shared" si="678"/>
        <v/>
      </c>
      <c r="EB80" s="40" t="str">
        <f t="shared" si="679"/>
        <v/>
      </c>
      <c r="EC80" s="40" t="str">
        <f t="shared" si="680"/>
        <v/>
      </c>
      <c r="ED80" s="40" t="str">
        <f t="shared" si="681"/>
        <v/>
      </c>
      <c r="EE80" s="40" t="str">
        <f t="shared" si="682"/>
        <v/>
      </c>
      <c r="EF80" s="40" t="str">
        <f t="shared" si="683"/>
        <v/>
      </c>
      <c r="EG80" s="40" t="str">
        <f t="shared" si="684"/>
        <v/>
      </c>
      <c r="EH80" s="40" t="str">
        <f t="shared" si="685"/>
        <v/>
      </c>
      <c r="EI80" s="40" t="str">
        <f t="shared" si="686"/>
        <v/>
      </c>
      <c r="EJ80" s="40" t="str">
        <f t="shared" si="687"/>
        <v/>
      </c>
      <c r="EK80" s="40" t="str">
        <f t="shared" si="688"/>
        <v/>
      </c>
      <c r="EL80" s="40" t="str">
        <f t="shared" si="689"/>
        <v/>
      </c>
      <c r="EM80" s="40" t="str">
        <f t="shared" si="690"/>
        <v/>
      </c>
      <c r="EN80" s="40" t="str">
        <f t="shared" si="691"/>
        <v/>
      </c>
      <c r="EO80" s="40" t="str">
        <f t="shared" si="692"/>
        <v/>
      </c>
      <c r="EP80" s="40" t="str">
        <f t="shared" si="693"/>
        <v/>
      </c>
      <c r="EQ80" s="40" t="str">
        <f t="shared" si="694"/>
        <v/>
      </c>
      <c r="ER80" s="40" t="str">
        <f t="shared" si="695"/>
        <v>|n杀敌攻击+5</v>
      </c>
      <c r="ES80" s="40" t="str">
        <f t="shared" si="696"/>
        <v>|n杀敌业力+1</v>
      </c>
      <c r="ET80" s="40" t="str">
        <f t="shared" si="697"/>
        <v>|n杀敌生命+5</v>
      </c>
      <c r="EU80" s="40" t="str">
        <f t="shared" si="698"/>
        <v/>
      </c>
      <c r="EV80" s="40" t="str">
        <f t="shared" si="699"/>
        <v/>
      </c>
      <c r="EW80" s="40" t="str">
        <f t="shared" si="700"/>
        <v/>
      </c>
      <c r="EX80" s="40" t="str">
        <f t="shared" si="701"/>
        <v/>
      </c>
      <c r="EY80" s="40" t="str">
        <f t="shared" si="702"/>
        <v/>
      </c>
      <c r="EZ80" s="40" t="str">
        <f t="shared" si="703"/>
        <v/>
      </c>
      <c r="FA80" s="40" t="str">
        <f t="shared" si="704"/>
        <v/>
      </c>
      <c r="FB80" s="40" t="str">
        <f t="shared" si="705"/>
        <v/>
      </c>
      <c r="FC80" s="40" t="str">
        <f t="shared" si="706"/>
        <v/>
      </c>
      <c r="FD80" s="40" t="str">
        <f t="shared" si="707"/>
        <v/>
      </c>
      <c r="FE80" s="40" t="str">
        <f t="shared" si="708"/>
        <v/>
      </c>
      <c r="FF80" s="40" t="str">
        <f t="shared" si="709"/>
        <v/>
      </c>
      <c r="FG80" s="40" t="str">
        <f t="shared" si="710"/>
        <v/>
      </c>
      <c r="FH80" s="40" t="str">
        <f t="shared" si="711"/>
        <v/>
      </c>
      <c r="FI80" s="40" t="str">
        <f t="shared" si="712"/>
        <v/>
      </c>
      <c r="FJ80" s="40" t="str">
        <f t="shared" si="713"/>
        <v/>
      </c>
      <c r="FK80" s="40" t="str">
        <f t="shared" si="714"/>
        <v/>
      </c>
      <c r="FL80" s="40" t="str">
        <f t="shared" si="715"/>
        <v/>
      </c>
      <c r="FM80" s="40" t="str">
        <f t="shared" si="716"/>
        <v/>
      </c>
      <c r="FN80" s="40" t="str">
        <f t="shared" si="717"/>
        <v/>
      </c>
      <c r="FO80" s="40" t="str">
        <f t="shared" si="718"/>
        <v/>
      </c>
      <c r="FP80" s="40" t="str">
        <f t="shared" si="719"/>
        <v/>
      </c>
      <c r="FQ80" s="40" t="str">
        <f t="shared" si="720"/>
        <v/>
      </c>
      <c r="FR80" s="40" t="str">
        <f t="shared" si="721"/>
        <v/>
      </c>
      <c r="FS80" s="40" t="str">
        <f t="shared" si="722"/>
        <v/>
      </c>
    </row>
    <row r="81" spans="1:175" ht="16.5">
      <c r="A81" s="7"/>
      <c r="B81" s="41" t="s">
        <v>266</v>
      </c>
      <c r="C81" s="7" t="s">
        <v>267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268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8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3"/>
        <v>|n攻击+40000</v>
      </c>
      <c r="DC81" s="40" t="str">
        <f t="shared" si="654"/>
        <v/>
      </c>
      <c r="DD81" s="40" t="str">
        <f t="shared" si="655"/>
        <v/>
      </c>
      <c r="DE81" s="40" t="str">
        <f t="shared" si="656"/>
        <v/>
      </c>
      <c r="DF81" s="40" t="str">
        <f t="shared" si="657"/>
        <v>|n生命值+200000</v>
      </c>
      <c r="DG81" s="40" t="str">
        <f t="shared" si="658"/>
        <v/>
      </c>
      <c r="DH81" s="40" t="str">
        <f t="shared" si="659"/>
        <v/>
      </c>
      <c r="DI81" s="40" t="str">
        <f t="shared" si="660"/>
        <v/>
      </c>
      <c r="DJ81" s="40" t="str">
        <f t="shared" si="661"/>
        <v/>
      </c>
      <c r="DK81" s="40" t="str">
        <f t="shared" si="662"/>
        <v/>
      </c>
      <c r="DL81" s="40" t="str">
        <f t="shared" si="663"/>
        <v/>
      </c>
      <c r="DM81" s="40" t="str">
        <f t="shared" si="664"/>
        <v/>
      </c>
      <c r="DN81" s="40" t="str">
        <f t="shared" si="665"/>
        <v/>
      </c>
      <c r="DO81" s="40" t="str">
        <f t="shared" si="666"/>
        <v/>
      </c>
      <c r="DP81" s="40" t="str">
        <f t="shared" si="667"/>
        <v>|n物理伤害+5%</v>
      </c>
      <c r="DQ81" s="40" t="str">
        <f t="shared" si="668"/>
        <v>|n法术伤害+5%</v>
      </c>
      <c r="DR81" s="40" t="str">
        <f t="shared" si="669"/>
        <v/>
      </c>
      <c r="DS81" s="40" t="str">
        <f t="shared" si="670"/>
        <v/>
      </c>
      <c r="DT81" s="40" t="str">
        <f t="shared" si="671"/>
        <v/>
      </c>
      <c r="DU81" s="40" t="str">
        <f t="shared" si="672"/>
        <v/>
      </c>
      <c r="DV81" s="40" t="str">
        <f t="shared" si="673"/>
        <v/>
      </c>
      <c r="DW81" s="40" t="str">
        <f t="shared" si="674"/>
        <v/>
      </c>
      <c r="DX81" s="40" t="str">
        <f t="shared" si="675"/>
        <v/>
      </c>
      <c r="DY81" s="40" t="str">
        <f t="shared" si="676"/>
        <v/>
      </c>
      <c r="DZ81" s="40" t="str">
        <f t="shared" si="677"/>
        <v/>
      </c>
      <c r="EA81" s="40" t="str">
        <f t="shared" si="678"/>
        <v/>
      </c>
      <c r="EB81" s="40" t="str">
        <f t="shared" si="679"/>
        <v/>
      </c>
      <c r="EC81" s="40" t="str">
        <f t="shared" si="680"/>
        <v/>
      </c>
      <c r="ED81" s="40" t="str">
        <f t="shared" si="681"/>
        <v/>
      </c>
      <c r="EE81" s="40" t="str">
        <f t="shared" si="682"/>
        <v/>
      </c>
      <c r="EF81" s="40" t="str">
        <f t="shared" si="683"/>
        <v/>
      </c>
      <c r="EG81" s="40" t="str">
        <f t="shared" si="684"/>
        <v/>
      </c>
      <c r="EH81" s="40" t="str">
        <f t="shared" si="685"/>
        <v/>
      </c>
      <c r="EI81" s="40" t="str">
        <f t="shared" si="686"/>
        <v/>
      </c>
      <c r="EJ81" s="40" t="str">
        <f t="shared" si="687"/>
        <v/>
      </c>
      <c r="EK81" s="40" t="str">
        <f t="shared" si="688"/>
        <v/>
      </c>
      <c r="EL81" s="40" t="str">
        <f t="shared" si="689"/>
        <v/>
      </c>
      <c r="EM81" s="40" t="str">
        <f t="shared" si="690"/>
        <v/>
      </c>
      <c r="EN81" s="40" t="str">
        <f t="shared" si="691"/>
        <v/>
      </c>
      <c r="EO81" s="40" t="str">
        <f t="shared" si="692"/>
        <v/>
      </c>
      <c r="EP81" s="40" t="str">
        <f t="shared" si="693"/>
        <v/>
      </c>
      <c r="EQ81" s="40" t="str">
        <f t="shared" si="694"/>
        <v/>
      </c>
      <c r="ER81" s="40" t="str">
        <f t="shared" si="695"/>
        <v>|n杀敌攻击+5</v>
      </c>
      <c r="ES81" s="40" t="str">
        <f t="shared" si="696"/>
        <v>|n杀敌业力+1</v>
      </c>
      <c r="ET81" s="40" t="str">
        <f t="shared" si="697"/>
        <v>|n杀敌生命+5</v>
      </c>
      <c r="EU81" s="40" t="str">
        <f t="shared" si="698"/>
        <v/>
      </c>
      <c r="EV81" s="40" t="str">
        <f t="shared" si="699"/>
        <v/>
      </c>
      <c r="EW81" s="40" t="str">
        <f t="shared" si="700"/>
        <v/>
      </c>
      <c r="EX81" s="40" t="str">
        <f t="shared" si="701"/>
        <v/>
      </c>
      <c r="EY81" s="40" t="str">
        <f t="shared" si="702"/>
        <v/>
      </c>
      <c r="EZ81" s="40" t="str">
        <f t="shared" si="703"/>
        <v/>
      </c>
      <c r="FA81" s="40" t="str">
        <f t="shared" si="704"/>
        <v/>
      </c>
      <c r="FB81" s="40" t="str">
        <f t="shared" si="705"/>
        <v/>
      </c>
      <c r="FC81" s="40" t="str">
        <f t="shared" si="706"/>
        <v/>
      </c>
      <c r="FD81" s="40" t="str">
        <f t="shared" si="707"/>
        <v/>
      </c>
      <c r="FE81" s="40" t="str">
        <f t="shared" si="708"/>
        <v/>
      </c>
      <c r="FF81" s="40" t="str">
        <f t="shared" si="709"/>
        <v/>
      </c>
      <c r="FG81" s="40" t="str">
        <f t="shared" si="710"/>
        <v/>
      </c>
      <c r="FH81" s="40" t="str">
        <f t="shared" si="711"/>
        <v/>
      </c>
      <c r="FI81" s="40" t="str">
        <f t="shared" si="712"/>
        <v/>
      </c>
      <c r="FJ81" s="40" t="str">
        <f t="shared" si="713"/>
        <v/>
      </c>
      <c r="FK81" s="40" t="str">
        <f t="shared" si="714"/>
        <v/>
      </c>
      <c r="FL81" s="40" t="str">
        <f t="shared" si="715"/>
        <v/>
      </c>
      <c r="FM81" s="40" t="str">
        <f t="shared" si="716"/>
        <v/>
      </c>
      <c r="FN81" s="40" t="str">
        <f t="shared" si="717"/>
        <v/>
      </c>
      <c r="FO81" s="40" t="str">
        <f t="shared" si="718"/>
        <v/>
      </c>
      <c r="FP81" s="40" t="str">
        <f t="shared" si="719"/>
        <v/>
      </c>
      <c r="FQ81" s="40" t="str">
        <f t="shared" si="720"/>
        <v/>
      </c>
      <c r="FR81" s="40" t="str">
        <f t="shared" si="721"/>
        <v/>
      </c>
      <c r="FS81" s="40" t="str">
        <f t="shared" si="722"/>
        <v/>
      </c>
    </row>
    <row r="82" spans="1:175" ht="16.5">
      <c r="A82" s="7"/>
      <c r="B82" s="41" t="s">
        <v>269</v>
      </c>
      <c r="C82" s="7" t="s">
        <v>270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271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8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3"/>
        <v>|n攻击+55000</v>
      </c>
      <c r="DC82" s="40" t="str">
        <f t="shared" si="654"/>
        <v/>
      </c>
      <c r="DD82" s="40" t="str">
        <f t="shared" si="655"/>
        <v/>
      </c>
      <c r="DE82" s="40" t="str">
        <f t="shared" si="656"/>
        <v/>
      </c>
      <c r="DF82" s="40" t="str">
        <f t="shared" si="657"/>
        <v>|n生命值+275000</v>
      </c>
      <c r="DG82" s="40" t="str">
        <f t="shared" si="658"/>
        <v/>
      </c>
      <c r="DH82" s="40" t="str">
        <f t="shared" si="659"/>
        <v/>
      </c>
      <c r="DI82" s="40" t="str">
        <f t="shared" si="660"/>
        <v/>
      </c>
      <c r="DJ82" s="40" t="str">
        <f t="shared" si="661"/>
        <v/>
      </c>
      <c r="DK82" s="40" t="str">
        <f t="shared" si="662"/>
        <v/>
      </c>
      <c r="DL82" s="40" t="str">
        <f t="shared" si="663"/>
        <v/>
      </c>
      <c r="DM82" s="40" t="str">
        <f t="shared" si="664"/>
        <v/>
      </c>
      <c r="DN82" s="40" t="str">
        <f t="shared" si="665"/>
        <v/>
      </c>
      <c r="DO82" s="40" t="str">
        <f t="shared" si="666"/>
        <v/>
      </c>
      <c r="DP82" s="40" t="str">
        <f t="shared" si="667"/>
        <v>|n物理伤害+5%</v>
      </c>
      <c r="DQ82" s="40" t="str">
        <f t="shared" si="668"/>
        <v>|n法术伤害+5%</v>
      </c>
      <c r="DR82" s="40" t="str">
        <f t="shared" si="669"/>
        <v/>
      </c>
      <c r="DS82" s="40" t="str">
        <f t="shared" si="670"/>
        <v/>
      </c>
      <c r="DT82" s="40" t="str">
        <f t="shared" si="671"/>
        <v/>
      </c>
      <c r="DU82" s="40" t="str">
        <f t="shared" si="672"/>
        <v/>
      </c>
      <c r="DV82" s="40" t="str">
        <f t="shared" si="673"/>
        <v/>
      </c>
      <c r="DW82" s="40" t="str">
        <f t="shared" si="674"/>
        <v/>
      </c>
      <c r="DX82" s="40" t="str">
        <f t="shared" si="675"/>
        <v/>
      </c>
      <c r="DY82" s="40" t="str">
        <f t="shared" si="676"/>
        <v/>
      </c>
      <c r="DZ82" s="40" t="str">
        <f t="shared" si="677"/>
        <v/>
      </c>
      <c r="EA82" s="40" t="str">
        <f t="shared" si="678"/>
        <v/>
      </c>
      <c r="EB82" s="40" t="str">
        <f t="shared" si="679"/>
        <v/>
      </c>
      <c r="EC82" s="40" t="str">
        <f t="shared" si="680"/>
        <v/>
      </c>
      <c r="ED82" s="40" t="str">
        <f t="shared" si="681"/>
        <v/>
      </c>
      <c r="EE82" s="40" t="str">
        <f t="shared" si="682"/>
        <v/>
      </c>
      <c r="EF82" s="40" t="str">
        <f t="shared" si="683"/>
        <v/>
      </c>
      <c r="EG82" s="40" t="str">
        <f t="shared" si="684"/>
        <v/>
      </c>
      <c r="EH82" s="40" t="str">
        <f t="shared" si="685"/>
        <v/>
      </c>
      <c r="EI82" s="40" t="str">
        <f t="shared" si="686"/>
        <v/>
      </c>
      <c r="EJ82" s="40" t="str">
        <f t="shared" si="687"/>
        <v/>
      </c>
      <c r="EK82" s="40" t="str">
        <f t="shared" si="688"/>
        <v/>
      </c>
      <c r="EL82" s="40" t="str">
        <f t="shared" si="689"/>
        <v/>
      </c>
      <c r="EM82" s="40" t="str">
        <f t="shared" si="690"/>
        <v/>
      </c>
      <c r="EN82" s="40" t="str">
        <f t="shared" si="691"/>
        <v/>
      </c>
      <c r="EO82" s="40" t="str">
        <f t="shared" si="692"/>
        <v/>
      </c>
      <c r="EP82" s="40" t="str">
        <f t="shared" si="693"/>
        <v/>
      </c>
      <c r="EQ82" s="40" t="str">
        <f t="shared" si="694"/>
        <v/>
      </c>
      <c r="ER82" s="40" t="str">
        <f t="shared" si="695"/>
        <v>|n杀敌攻击+5</v>
      </c>
      <c r="ES82" s="40" t="str">
        <f t="shared" si="696"/>
        <v>|n杀敌业力+1</v>
      </c>
      <c r="ET82" s="40" t="str">
        <f t="shared" si="697"/>
        <v>|n杀敌生命+5</v>
      </c>
      <c r="EU82" s="40" t="str">
        <f t="shared" si="698"/>
        <v/>
      </c>
      <c r="EV82" s="40" t="str">
        <f t="shared" si="699"/>
        <v/>
      </c>
      <c r="EW82" s="40" t="str">
        <f t="shared" si="700"/>
        <v/>
      </c>
      <c r="EX82" s="40" t="str">
        <f t="shared" si="701"/>
        <v/>
      </c>
      <c r="EY82" s="40" t="str">
        <f t="shared" si="702"/>
        <v/>
      </c>
      <c r="EZ82" s="40" t="str">
        <f t="shared" si="703"/>
        <v/>
      </c>
      <c r="FA82" s="40" t="str">
        <f t="shared" si="704"/>
        <v/>
      </c>
      <c r="FB82" s="40" t="str">
        <f t="shared" si="705"/>
        <v/>
      </c>
      <c r="FC82" s="40" t="str">
        <f t="shared" si="706"/>
        <v/>
      </c>
      <c r="FD82" s="40" t="str">
        <f t="shared" si="707"/>
        <v/>
      </c>
      <c r="FE82" s="40" t="str">
        <f t="shared" si="708"/>
        <v/>
      </c>
      <c r="FF82" s="40" t="str">
        <f t="shared" si="709"/>
        <v/>
      </c>
      <c r="FG82" s="40" t="str">
        <f t="shared" si="710"/>
        <v/>
      </c>
      <c r="FH82" s="40" t="str">
        <f t="shared" si="711"/>
        <v/>
      </c>
      <c r="FI82" s="40" t="str">
        <f t="shared" si="712"/>
        <v/>
      </c>
      <c r="FJ82" s="40" t="str">
        <f t="shared" si="713"/>
        <v/>
      </c>
      <c r="FK82" s="40" t="str">
        <f t="shared" si="714"/>
        <v/>
      </c>
      <c r="FL82" s="40" t="str">
        <f t="shared" si="715"/>
        <v/>
      </c>
      <c r="FM82" s="40" t="str">
        <f t="shared" si="716"/>
        <v/>
      </c>
      <c r="FN82" s="40" t="str">
        <f t="shared" si="717"/>
        <v/>
      </c>
      <c r="FO82" s="40" t="str">
        <f t="shared" si="718"/>
        <v/>
      </c>
      <c r="FP82" s="40" t="str">
        <f t="shared" si="719"/>
        <v/>
      </c>
      <c r="FQ82" s="40" t="str">
        <f t="shared" si="720"/>
        <v/>
      </c>
      <c r="FR82" s="40" t="str">
        <f t="shared" si="721"/>
        <v/>
      </c>
      <c r="FS82" s="40" t="str">
        <f t="shared" si="722"/>
        <v/>
      </c>
    </row>
    <row r="83" spans="1:175" ht="16.5">
      <c r="A83" s="8"/>
      <c r="B83" s="41" t="s">
        <v>272</v>
      </c>
      <c r="C83" s="8" t="s">
        <v>273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274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8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3"/>
        <v>|n攻击+80000</v>
      </c>
      <c r="DC83" s="40" t="str">
        <f t="shared" si="654"/>
        <v/>
      </c>
      <c r="DD83" s="40" t="str">
        <f t="shared" si="655"/>
        <v/>
      </c>
      <c r="DE83" s="40" t="str">
        <f t="shared" si="656"/>
        <v/>
      </c>
      <c r="DF83" s="40" t="str">
        <f t="shared" si="657"/>
        <v>|n生命值+400000</v>
      </c>
      <c r="DG83" s="40" t="str">
        <f t="shared" si="658"/>
        <v/>
      </c>
      <c r="DH83" s="40" t="str">
        <f t="shared" si="659"/>
        <v/>
      </c>
      <c r="DI83" s="40" t="str">
        <f t="shared" si="660"/>
        <v/>
      </c>
      <c r="DJ83" s="40" t="str">
        <f t="shared" si="661"/>
        <v/>
      </c>
      <c r="DK83" s="40" t="str">
        <f t="shared" si="662"/>
        <v/>
      </c>
      <c r="DL83" s="40" t="str">
        <f t="shared" si="663"/>
        <v/>
      </c>
      <c r="DM83" s="40" t="str">
        <f t="shared" si="664"/>
        <v/>
      </c>
      <c r="DN83" s="40" t="str">
        <f t="shared" si="665"/>
        <v/>
      </c>
      <c r="DO83" s="40" t="str">
        <f t="shared" si="666"/>
        <v/>
      </c>
      <c r="DP83" s="40" t="str">
        <f t="shared" si="667"/>
        <v>|n物理伤害+5%</v>
      </c>
      <c r="DQ83" s="40" t="str">
        <f t="shared" si="668"/>
        <v>|n法术伤害+5%</v>
      </c>
      <c r="DR83" s="40" t="str">
        <f t="shared" si="669"/>
        <v/>
      </c>
      <c r="DS83" s="40" t="str">
        <f t="shared" si="670"/>
        <v/>
      </c>
      <c r="DT83" s="40" t="str">
        <f t="shared" si="671"/>
        <v/>
      </c>
      <c r="DU83" s="40" t="str">
        <f t="shared" si="672"/>
        <v/>
      </c>
      <c r="DV83" s="40" t="str">
        <f t="shared" si="673"/>
        <v/>
      </c>
      <c r="DW83" s="40" t="str">
        <f t="shared" si="674"/>
        <v/>
      </c>
      <c r="DX83" s="40" t="str">
        <f t="shared" si="675"/>
        <v/>
      </c>
      <c r="DY83" s="40" t="str">
        <f t="shared" si="676"/>
        <v/>
      </c>
      <c r="DZ83" s="40" t="str">
        <f t="shared" si="677"/>
        <v/>
      </c>
      <c r="EA83" s="40" t="str">
        <f t="shared" si="678"/>
        <v/>
      </c>
      <c r="EB83" s="40" t="str">
        <f t="shared" si="679"/>
        <v/>
      </c>
      <c r="EC83" s="40" t="str">
        <f t="shared" si="680"/>
        <v/>
      </c>
      <c r="ED83" s="40" t="str">
        <f t="shared" si="681"/>
        <v/>
      </c>
      <c r="EE83" s="40" t="str">
        <f t="shared" si="682"/>
        <v/>
      </c>
      <c r="EF83" s="40" t="str">
        <f t="shared" si="683"/>
        <v/>
      </c>
      <c r="EG83" s="40" t="str">
        <f t="shared" si="684"/>
        <v/>
      </c>
      <c r="EH83" s="40" t="str">
        <f t="shared" si="685"/>
        <v/>
      </c>
      <c r="EI83" s="40" t="str">
        <f t="shared" si="686"/>
        <v/>
      </c>
      <c r="EJ83" s="40" t="str">
        <f t="shared" si="687"/>
        <v/>
      </c>
      <c r="EK83" s="40" t="str">
        <f t="shared" si="688"/>
        <v/>
      </c>
      <c r="EL83" s="40" t="str">
        <f t="shared" si="689"/>
        <v/>
      </c>
      <c r="EM83" s="40" t="str">
        <f t="shared" si="690"/>
        <v/>
      </c>
      <c r="EN83" s="40" t="str">
        <f t="shared" si="691"/>
        <v/>
      </c>
      <c r="EO83" s="40" t="str">
        <f t="shared" si="692"/>
        <v/>
      </c>
      <c r="EP83" s="40" t="str">
        <f t="shared" si="693"/>
        <v/>
      </c>
      <c r="EQ83" s="40" t="str">
        <f t="shared" si="694"/>
        <v/>
      </c>
      <c r="ER83" s="40" t="str">
        <f t="shared" si="695"/>
        <v>|n杀敌攻击+5</v>
      </c>
      <c r="ES83" s="40" t="str">
        <f t="shared" si="696"/>
        <v>|n杀敌业力+1</v>
      </c>
      <c r="ET83" s="40" t="str">
        <f t="shared" si="697"/>
        <v>|n杀敌生命+5</v>
      </c>
      <c r="EU83" s="40" t="str">
        <f t="shared" si="698"/>
        <v/>
      </c>
      <c r="EV83" s="40" t="str">
        <f t="shared" si="699"/>
        <v/>
      </c>
      <c r="EW83" s="40" t="str">
        <f t="shared" si="700"/>
        <v/>
      </c>
      <c r="EX83" s="40" t="str">
        <f t="shared" si="701"/>
        <v/>
      </c>
      <c r="EY83" s="40" t="str">
        <f t="shared" si="702"/>
        <v/>
      </c>
      <c r="EZ83" s="40" t="str">
        <f t="shared" si="703"/>
        <v/>
      </c>
      <c r="FA83" s="40" t="str">
        <f t="shared" si="704"/>
        <v/>
      </c>
      <c r="FB83" s="40" t="str">
        <f t="shared" si="705"/>
        <v/>
      </c>
      <c r="FC83" s="40" t="str">
        <f t="shared" si="706"/>
        <v/>
      </c>
      <c r="FD83" s="40" t="str">
        <f t="shared" si="707"/>
        <v/>
      </c>
      <c r="FE83" s="40" t="str">
        <f t="shared" si="708"/>
        <v/>
      </c>
      <c r="FF83" s="40" t="str">
        <f t="shared" si="709"/>
        <v/>
      </c>
      <c r="FG83" s="40" t="str">
        <f t="shared" si="710"/>
        <v/>
      </c>
      <c r="FH83" s="40" t="str">
        <f t="shared" si="711"/>
        <v/>
      </c>
      <c r="FI83" s="40" t="str">
        <f t="shared" si="712"/>
        <v/>
      </c>
      <c r="FJ83" s="40" t="str">
        <f t="shared" si="713"/>
        <v/>
      </c>
      <c r="FK83" s="40" t="str">
        <f t="shared" si="714"/>
        <v/>
      </c>
      <c r="FL83" s="40" t="str">
        <f t="shared" si="715"/>
        <v/>
      </c>
      <c r="FM83" s="40" t="str">
        <f t="shared" si="716"/>
        <v/>
      </c>
      <c r="FN83" s="40" t="str">
        <f t="shared" si="717"/>
        <v/>
      </c>
      <c r="FO83" s="40" t="str">
        <f t="shared" si="718"/>
        <v/>
      </c>
      <c r="FP83" s="40" t="str">
        <f t="shared" si="719"/>
        <v/>
      </c>
      <c r="FQ83" s="40" t="str">
        <f t="shared" si="720"/>
        <v/>
      </c>
      <c r="FR83" s="40" t="str">
        <f t="shared" si="721"/>
        <v/>
      </c>
      <c r="FS83" s="40" t="str">
        <f t="shared" si="722"/>
        <v/>
      </c>
    </row>
    <row r="84" spans="1:175" ht="16.5">
      <c r="A84" s="8"/>
      <c r="B84" s="41" t="s">
        <v>275</v>
      </c>
      <c r="C84" s="8" t="s">
        <v>276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277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8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3"/>
        <v>|n攻击+120000</v>
      </c>
      <c r="DC84" s="40" t="str">
        <f t="shared" si="654"/>
        <v/>
      </c>
      <c r="DD84" s="40" t="str">
        <f t="shared" si="655"/>
        <v/>
      </c>
      <c r="DE84" s="40" t="str">
        <f t="shared" si="656"/>
        <v/>
      </c>
      <c r="DF84" s="40" t="str">
        <f t="shared" si="657"/>
        <v>|n生命值+600000</v>
      </c>
      <c r="DG84" s="40" t="str">
        <f t="shared" si="658"/>
        <v/>
      </c>
      <c r="DH84" s="40" t="str">
        <f t="shared" si="659"/>
        <v/>
      </c>
      <c r="DI84" s="40" t="str">
        <f t="shared" si="660"/>
        <v/>
      </c>
      <c r="DJ84" s="40" t="str">
        <f t="shared" si="661"/>
        <v/>
      </c>
      <c r="DK84" s="40" t="str">
        <f t="shared" si="662"/>
        <v/>
      </c>
      <c r="DL84" s="40" t="str">
        <f t="shared" si="663"/>
        <v/>
      </c>
      <c r="DM84" s="40" t="str">
        <f t="shared" si="664"/>
        <v/>
      </c>
      <c r="DN84" s="40" t="str">
        <f t="shared" si="665"/>
        <v/>
      </c>
      <c r="DO84" s="40" t="str">
        <f t="shared" si="666"/>
        <v/>
      </c>
      <c r="DP84" s="40" t="str">
        <f t="shared" si="667"/>
        <v>|n物理伤害+5%</v>
      </c>
      <c r="DQ84" s="40" t="str">
        <f t="shared" si="668"/>
        <v>|n法术伤害+5%</v>
      </c>
      <c r="DR84" s="40" t="str">
        <f t="shared" si="669"/>
        <v/>
      </c>
      <c r="DS84" s="40" t="str">
        <f t="shared" si="670"/>
        <v/>
      </c>
      <c r="DT84" s="40" t="str">
        <f t="shared" si="671"/>
        <v/>
      </c>
      <c r="DU84" s="40" t="str">
        <f t="shared" si="672"/>
        <v/>
      </c>
      <c r="DV84" s="40" t="str">
        <f t="shared" si="673"/>
        <v/>
      </c>
      <c r="DW84" s="40" t="str">
        <f t="shared" si="674"/>
        <v/>
      </c>
      <c r="DX84" s="40" t="str">
        <f t="shared" si="675"/>
        <v/>
      </c>
      <c r="DY84" s="40" t="str">
        <f t="shared" si="676"/>
        <v/>
      </c>
      <c r="DZ84" s="40" t="str">
        <f t="shared" si="677"/>
        <v/>
      </c>
      <c r="EA84" s="40" t="str">
        <f t="shared" si="678"/>
        <v/>
      </c>
      <c r="EB84" s="40" t="str">
        <f t="shared" si="679"/>
        <v/>
      </c>
      <c r="EC84" s="40" t="str">
        <f t="shared" si="680"/>
        <v/>
      </c>
      <c r="ED84" s="40" t="str">
        <f t="shared" si="681"/>
        <v/>
      </c>
      <c r="EE84" s="40" t="str">
        <f t="shared" si="682"/>
        <v/>
      </c>
      <c r="EF84" s="40" t="str">
        <f t="shared" si="683"/>
        <v/>
      </c>
      <c r="EG84" s="40" t="str">
        <f t="shared" si="684"/>
        <v/>
      </c>
      <c r="EH84" s="40" t="str">
        <f t="shared" si="685"/>
        <v/>
      </c>
      <c r="EI84" s="40" t="str">
        <f t="shared" si="686"/>
        <v/>
      </c>
      <c r="EJ84" s="40" t="str">
        <f t="shared" si="687"/>
        <v/>
      </c>
      <c r="EK84" s="40" t="str">
        <f t="shared" si="688"/>
        <v/>
      </c>
      <c r="EL84" s="40" t="str">
        <f t="shared" si="689"/>
        <v/>
      </c>
      <c r="EM84" s="40" t="str">
        <f t="shared" si="690"/>
        <v/>
      </c>
      <c r="EN84" s="40" t="str">
        <f t="shared" si="691"/>
        <v/>
      </c>
      <c r="EO84" s="40" t="str">
        <f t="shared" si="692"/>
        <v/>
      </c>
      <c r="EP84" s="40" t="str">
        <f t="shared" si="693"/>
        <v/>
      </c>
      <c r="EQ84" s="40" t="str">
        <f t="shared" si="694"/>
        <v/>
      </c>
      <c r="ER84" s="40" t="str">
        <f t="shared" si="695"/>
        <v>|n杀敌攻击+5</v>
      </c>
      <c r="ES84" s="40" t="str">
        <f t="shared" si="696"/>
        <v>|n杀敌业力+1</v>
      </c>
      <c r="ET84" s="40" t="str">
        <f t="shared" si="697"/>
        <v>|n杀敌生命+5</v>
      </c>
      <c r="EU84" s="40" t="str">
        <f t="shared" si="698"/>
        <v/>
      </c>
      <c r="EV84" s="40" t="str">
        <f t="shared" si="699"/>
        <v/>
      </c>
      <c r="EW84" s="40" t="str">
        <f t="shared" si="700"/>
        <v/>
      </c>
      <c r="EX84" s="40" t="str">
        <f t="shared" si="701"/>
        <v/>
      </c>
      <c r="EY84" s="40" t="str">
        <f t="shared" si="702"/>
        <v/>
      </c>
      <c r="EZ84" s="40" t="str">
        <f t="shared" si="703"/>
        <v/>
      </c>
      <c r="FA84" s="40" t="str">
        <f t="shared" si="704"/>
        <v/>
      </c>
      <c r="FB84" s="40" t="str">
        <f t="shared" si="705"/>
        <v/>
      </c>
      <c r="FC84" s="40" t="str">
        <f t="shared" si="706"/>
        <v/>
      </c>
      <c r="FD84" s="40" t="str">
        <f t="shared" si="707"/>
        <v/>
      </c>
      <c r="FE84" s="40" t="str">
        <f t="shared" si="708"/>
        <v/>
      </c>
      <c r="FF84" s="40" t="str">
        <f t="shared" si="709"/>
        <v/>
      </c>
      <c r="FG84" s="40" t="str">
        <f t="shared" si="710"/>
        <v/>
      </c>
      <c r="FH84" s="40" t="str">
        <f t="shared" si="711"/>
        <v/>
      </c>
      <c r="FI84" s="40" t="str">
        <f t="shared" si="712"/>
        <v/>
      </c>
      <c r="FJ84" s="40" t="str">
        <f t="shared" si="713"/>
        <v/>
      </c>
      <c r="FK84" s="40" t="str">
        <f t="shared" si="714"/>
        <v/>
      </c>
      <c r="FL84" s="40" t="str">
        <f t="shared" si="715"/>
        <v/>
      </c>
      <c r="FM84" s="40" t="str">
        <f t="shared" si="716"/>
        <v/>
      </c>
      <c r="FN84" s="40" t="str">
        <f t="shared" si="717"/>
        <v/>
      </c>
      <c r="FO84" s="40" t="str">
        <f t="shared" si="718"/>
        <v/>
      </c>
      <c r="FP84" s="40" t="str">
        <f t="shared" si="719"/>
        <v/>
      </c>
      <c r="FQ84" s="40" t="str">
        <f t="shared" si="720"/>
        <v/>
      </c>
      <c r="FR84" s="40" t="str">
        <f t="shared" si="721"/>
        <v/>
      </c>
      <c r="FS84" s="40" t="str">
        <f t="shared" si="722"/>
        <v/>
      </c>
    </row>
    <row r="85" spans="1:175" ht="16.5">
      <c r="A85" s="8"/>
      <c r="B85" s="41" t="s">
        <v>278</v>
      </c>
      <c r="C85" s="8" t="s">
        <v>279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280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8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3"/>
        <v>|n攻击+200000</v>
      </c>
      <c r="DC85" s="40" t="str">
        <f t="shared" si="654"/>
        <v/>
      </c>
      <c r="DD85" s="40" t="str">
        <f t="shared" si="655"/>
        <v/>
      </c>
      <c r="DE85" s="40" t="str">
        <f t="shared" si="656"/>
        <v/>
      </c>
      <c r="DF85" s="40" t="str">
        <f t="shared" si="657"/>
        <v>|n生命值+1000000</v>
      </c>
      <c r="DG85" s="40" t="str">
        <f t="shared" si="658"/>
        <v/>
      </c>
      <c r="DH85" s="40" t="str">
        <f t="shared" si="659"/>
        <v/>
      </c>
      <c r="DI85" s="40" t="str">
        <f t="shared" si="660"/>
        <v/>
      </c>
      <c r="DJ85" s="40" t="str">
        <f t="shared" si="661"/>
        <v/>
      </c>
      <c r="DK85" s="40" t="str">
        <f t="shared" si="662"/>
        <v/>
      </c>
      <c r="DL85" s="40" t="str">
        <f t="shared" si="663"/>
        <v/>
      </c>
      <c r="DM85" s="40" t="str">
        <f t="shared" si="664"/>
        <v/>
      </c>
      <c r="DN85" s="40" t="str">
        <f t="shared" si="665"/>
        <v/>
      </c>
      <c r="DO85" s="40" t="str">
        <f t="shared" si="666"/>
        <v/>
      </c>
      <c r="DP85" s="40" t="str">
        <f t="shared" si="667"/>
        <v>|n物理伤害+5%</v>
      </c>
      <c r="DQ85" s="40" t="str">
        <f t="shared" si="668"/>
        <v>|n法术伤害+5%</v>
      </c>
      <c r="DR85" s="40" t="str">
        <f t="shared" si="669"/>
        <v/>
      </c>
      <c r="DS85" s="40" t="str">
        <f t="shared" si="670"/>
        <v/>
      </c>
      <c r="DT85" s="40" t="str">
        <f t="shared" si="671"/>
        <v/>
      </c>
      <c r="DU85" s="40" t="str">
        <f t="shared" si="672"/>
        <v/>
      </c>
      <c r="DV85" s="40" t="str">
        <f t="shared" si="673"/>
        <v/>
      </c>
      <c r="DW85" s="40" t="str">
        <f t="shared" si="674"/>
        <v/>
      </c>
      <c r="DX85" s="40" t="str">
        <f t="shared" si="675"/>
        <v/>
      </c>
      <c r="DY85" s="40" t="str">
        <f t="shared" si="676"/>
        <v/>
      </c>
      <c r="DZ85" s="40" t="str">
        <f t="shared" si="677"/>
        <v/>
      </c>
      <c r="EA85" s="40" t="str">
        <f t="shared" si="678"/>
        <v/>
      </c>
      <c r="EB85" s="40" t="str">
        <f t="shared" si="679"/>
        <v/>
      </c>
      <c r="EC85" s="40" t="str">
        <f t="shared" si="680"/>
        <v/>
      </c>
      <c r="ED85" s="40" t="str">
        <f t="shared" si="681"/>
        <v/>
      </c>
      <c r="EE85" s="40" t="str">
        <f t="shared" si="682"/>
        <v/>
      </c>
      <c r="EF85" s="40" t="str">
        <f t="shared" si="683"/>
        <v/>
      </c>
      <c r="EG85" s="40" t="str">
        <f t="shared" si="684"/>
        <v/>
      </c>
      <c r="EH85" s="40" t="str">
        <f t="shared" si="685"/>
        <v/>
      </c>
      <c r="EI85" s="40" t="str">
        <f t="shared" si="686"/>
        <v/>
      </c>
      <c r="EJ85" s="40" t="str">
        <f t="shared" si="687"/>
        <v/>
      </c>
      <c r="EK85" s="40" t="str">
        <f t="shared" si="688"/>
        <v/>
      </c>
      <c r="EL85" s="40" t="str">
        <f t="shared" si="689"/>
        <v/>
      </c>
      <c r="EM85" s="40" t="str">
        <f t="shared" si="690"/>
        <v/>
      </c>
      <c r="EN85" s="40" t="str">
        <f t="shared" si="691"/>
        <v/>
      </c>
      <c r="EO85" s="40" t="str">
        <f t="shared" si="692"/>
        <v/>
      </c>
      <c r="EP85" s="40" t="str">
        <f t="shared" si="693"/>
        <v/>
      </c>
      <c r="EQ85" s="40" t="str">
        <f t="shared" si="694"/>
        <v/>
      </c>
      <c r="ER85" s="40" t="str">
        <f t="shared" si="695"/>
        <v>|n杀敌攻击+5</v>
      </c>
      <c r="ES85" s="40" t="str">
        <f t="shared" si="696"/>
        <v>|n杀敌业力+1</v>
      </c>
      <c r="ET85" s="40" t="str">
        <f t="shared" si="697"/>
        <v>|n杀敌生命+5</v>
      </c>
      <c r="EU85" s="40" t="str">
        <f t="shared" si="698"/>
        <v/>
      </c>
      <c r="EV85" s="40" t="str">
        <f t="shared" si="699"/>
        <v/>
      </c>
      <c r="EW85" s="40" t="str">
        <f t="shared" si="700"/>
        <v/>
      </c>
      <c r="EX85" s="40" t="str">
        <f t="shared" si="701"/>
        <v/>
      </c>
      <c r="EY85" s="40" t="str">
        <f t="shared" si="702"/>
        <v/>
      </c>
      <c r="EZ85" s="40" t="str">
        <f t="shared" si="703"/>
        <v/>
      </c>
      <c r="FA85" s="40" t="str">
        <f t="shared" si="704"/>
        <v/>
      </c>
      <c r="FB85" s="40" t="str">
        <f t="shared" si="705"/>
        <v/>
      </c>
      <c r="FC85" s="40" t="str">
        <f t="shared" si="706"/>
        <v/>
      </c>
      <c r="FD85" s="40" t="str">
        <f t="shared" si="707"/>
        <v/>
      </c>
      <c r="FE85" s="40" t="str">
        <f t="shared" si="708"/>
        <v/>
      </c>
      <c r="FF85" s="40" t="str">
        <f t="shared" si="709"/>
        <v/>
      </c>
      <c r="FG85" s="40" t="str">
        <f t="shared" si="710"/>
        <v/>
      </c>
      <c r="FH85" s="40" t="str">
        <f t="shared" si="711"/>
        <v/>
      </c>
      <c r="FI85" s="40" t="str">
        <f t="shared" si="712"/>
        <v/>
      </c>
      <c r="FJ85" s="40" t="str">
        <f t="shared" si="713"/>
        <v/>
      </c>
      <c r="FK85" s="40" t="str">
        <f t="shared" si="714"/>
        <v/>
      </c>
      <c r="FL85" s="40" t="str">
        <f t="shared" si="715"/>
        <v/>
      </c>
      <c r="FM85" s="40" t="str">
        <f t="shared" si="716"/>
        <v/>
      </c>
      <c r="FN85" s="40" t="str">
        <f t="shared" si="717"/>
        <v/>
      </c>
      <c r="FO85" s="40" t="str">
        <f t="shared" si="718"/>
        <v/>
      </c>
      <c r="FP85" s="40" t="str">
        <f t="shared" si="719"/>
        <v/>
      </c>
      <c r="FQ85" s="40" t="str">
        <f t="shared" si="720"/>
        <v/>
      </c>
      <c r="FR85" s="40" t="str">
        <f t="shared" si="721"/>
        <v/>
      </c>
      <c r="FS85" s="40" t="str">
        <f t="shared" si="722"/>
        <v/>
      </c>
    </row>
    <row r="86" spans="1:175" ht="16.5">
      <c r="A86" s="8"/>
      <c r="B86" s="41" t="s">
        <v>281</v>
      </c>
      <c r="C86" s="8" t="s">
        <v>282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283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8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3"/>
        <v>|n攻击+300000</v>
      </c>
      <c r="DC86" s="40" t="str">
        <f t="shared" si="654"/>
        <v/>
      </c>
      <c r="DD86" s="40" t="str">
        <f t="shared" si="655"/>
        <v/>
      </c>
      <c r="DE86" s="40" t="str">
        <f t="shared" si="656"/>
        <v/>
      </c>
      <c r="DF86" s="40" t="str">
        <f t="shared" si="657"/>
        <v>|n生命值+1500000</v>
      </c>
      <c r="DG86" s="40" t="str">
        <f t="shared" si="658"/>
        <v/>
      </c>
      <c r="DH86" s="40" t="str">
        <f t="shared" si="659"/>
        <v/>
      </c>
      <c r="DI86" s="40" t="str">
        <f t="shared" si="660"/>
        <v/>
      </c>
      <c r="DJ86" s="40" t="str">
        <f t="shared" si="661"/>
        <v/>
      </c>
      <c r="DK86" s="40" t="str">
        <f t="shared" si="662"/>
        <v/>
      </c>
      <c r="DL86" s="40" t="str">
        <f t="shared" si="663"/>
        <v/>
      </c>
      <c r="DM86" s="40" t="str">
        <f t="shared" si="664"/>
        <v/>
      </c>
      <c r="DN86" s="40" t="str">
        <f t="shared" si="665"/>
        <v/>
      </c>
      <c r="DO86" s="40" t="str">
        <f t="shared" si="666"/>
        <v/>
      </c>
      <c r="DP86" s="40" t="str">
        <f t="shared" si="667"/>
        <v>|n物理伤害+5%</v>
      </c>
      <c r="DQ86" s="40" t="str">
        <f t="shared" si="668"/>
        <v>|n法术伤害+5%</v>
      </c>
      <c r="DR86" s="40" t="str">
        <f t="shared" si="669"/>
        <v/>
      </c>
      <c r="DS86" s="40" t="str">
        <f t="shared" si="670"/>
        <v/>
      </c>
      <c r="DT86" s="40" t="str">
        <f t="shared" si="671"/>
        <v/>
      </c>
      <c r="DU86" s="40" t="str">
        <f t="shared" si="672"/>
        <v/>
      </c>
      <c r="DV86" s="40" t="str">
        <f t="shared" si="673"/>
        <v/>
      </c>
      <c r="DW86" s="40" t="str">
        <f t="shared" si="674"/>
        <v/>
      </c>
      <c r="DX86" s="40" t="str">
        <f t="shared" si="675"/>
        <v/>
      </c>
      <c r="DY86" s="40" t="str">
        <f t="shared" si="676"/>
        <v/>
      </c>
      <c r="DZ86" s="40" t="str">
        <f t="shared" si="677"/>
        <v/>
      </c>
      <c r="EA86" s="40" t="str">
        <f t="shared" si="678"/>
        <v/>
      </c>
      <c r="EB86" s="40" t="str">
        <f t="shared" si="679"/>
        <v/>
      </c>
      <c r="EC86" s="40" t="str">
        <f t="shared" si="680"/>
        <v/>
      </c>
      <c r="ED86" s="40" t="str">
        <f t="shared" si="681"/>
        <v/>
      </c>
      <c r="EE86" s="40" t="str">
        <f t="shared" si="682"/>
        <v/>
      </c>
      <c r="EF86" s="40" t="str">
        <f t="shared" si="683"/>
        <v/>
      </c>
      <c r="EG86" s="40" t="str">
        <f t="shared" si="684"/>
        <v/>
      </c>
      <c r="EH86" s="40" t="str">
        <f t="shared" si="685"/>
        <v/>
      </c>
      <c r="EI86" s="40" t="str">
        <f t="shared" si="686"/>
        <v/>
      </c>
      <c r="EJ86" s="40" t="str">
        <f t="shared" si="687"/>
        <v/>
      </c>
      <c r="EK86" s="40" t="str">
        <f t="shared" si="688"/>
        <v/>
      </c>
      <c r="EL86" s="40" t="str">
        <f t="shared" si="689"/>
        <v/>
      </c>
      <c r="EM86" s="40" t="str">
        <f t="shared" si="690"/>
        <v/>
      </c>
      <c r="EN86" s="40" t="str">
        <f t="shared" si="691"/>
        <v/>
      </c>
      <c r="EO86" s="40" t="str">
        <f t="shared" si="692"/>
        <v/>
      </c>
      <c r="EP86" s="40" t="str">
        <f t="shared" si="693"/>
        <v/>
      </c>
      <c r="EQ86" s="40" t="str">
        <f t="shared" si="694"/>
        <v/>
      </c>
      <c r="ER86" s="40" t="str">
        <f t="shared" si="695"/>
        <v>|n杀敌攻击+5</v>
      </c>
      <c r="ES86" s="40" t="str">
        <f t="shared" si="696"/>
        <v>|n杀敌业力+1</v>
      </c>
      <c r="ET86" s="40" t="str">
        <f t="shared" si="697"/>
        <v>|n杀敌生命+5</v>
      </c>
      <c r="EU86" s="40" t="str">
        <f t="shared" si="698"/>
        <v/>
      </c>
      <c r="EV86" s="40" t="str">
        <f t="shared" si="699"/>
        <v/>
      </c>
      <c r="EW86" s="40" t="str">
        <f t="shared" si="700"/>
        <v/>
      </c>
      <c r="EX86" s="40" t="str">
        <f t="shared" si="701"/>
        <v/>
      </c>
      <c r="EY86" s="40" t="str">
        <f t="shared" si="702"/>
        <v/>
      </c>
      <c r="EZ86" s="40" t="str">
        <f t="shared" si="703"/>
        <v/>
      </c>
      <c r="FA86" s="40" t="str">
        <f t="shared" si="704"/>
        <v/>
      </c>
      <c r="FB86" s="40" t="str">
        <f t="shared" si="705"/>
        <v/>
      </c>
      <c r="FC86" s="40" t="str">
        <f t="shared" si="706"/>
        <v/>
      </c>
      <c r="FD86" s="40" t="str">
        <f t="shared" si="707"/>
        <v/>
      </c>
      <c r="FE86" s="40" t="str">
        <f t="shared" si="708"/>
        <v/>
      </c>
      <c r="FF86" s="40" t="str">
        <f t="shared" si="709"/>
        <v/>
      </c>
      <c r="FG86" s="40" t="str">
        <f t="shared" si="710"/>
        <v/>
      </c>
      <c r="FH86" s="40" t="str">
        <f t="shared" si="711"/>
        <v/>
      </c>
      <c r="FI86" s="40" t="str">
        <f t="shared" si="712"/>
        <v/>
      </c>
      <c r="FJ86" s="40" t="str">
        <f t="shared" si="713"/>
        <v/>
      </c>
      <c r="FK86" s="40" t="str">
        <f t="shared" si="714"/>
        <v/>
      </c>
      <c r="FL86" s="40" t="str">
        <f t="shared" si="715"/>
        <v/>
      </c>
      <c r="FM86" s="40" t="str">
        <f t="shared" si="716"/>
        <v/>
      </c>
      <c r="FN86" s="40" t="str">
        <f t="shared" si="717"/>
        <v/>
      </c>
      <c r="FO86" s="40" t="str">
        <f t="shared" si="718"/>
        <v/>
      </c>
      <c r="FP86" s="40" t="str">
        <f t="shared" si="719"/>
        <v/>
      </c>
      <c r="FQ86" s="40" t="str">
        <f t="shared" si="720"/>
        <v/>
      </c>
      <c r="FR86" s="40" t="str">
        <f t="shared" si="721"/>
        <v/>
      </c>
      <c r="FS86" s="40" t="str">
        <f t="shared" si="722"/>
        <v/>
      </c>
    </row>
    <row r="87" spans="1:175" ht="16.5">
      <c r="A87" s="8"/>
      <c r="B87" s="41" t="s">
        <v>284</v>
      </c>
      <c r="C87" s="8" t="s">
        <v>285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286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8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3"/>
        <v>|n攻击+500000</v>
      </c>
      <c r="DC87" s="40" t="str">
        <f t="shared" si="654"/>
        <v/>
      </c>
      <c r="DD87" s="40" t="str">
        <f t="shared" si="655"/>
        <v/>
      </c>
      <c r="DE87" s="40" t="str">
        <f t="shared" si="656"/>
        <v/>
      </c>
      <c r="DF87" s="40" t="str">
        <f t="shared" si="657"/>
        <v>|n生命值+2500000</v>
      </c>
      <c r="DG87" s="40" t="str">
        <f t="shared" si="658"/>
        <v/>
      </c>
      <c r="DH87" s="40" t="str">
        <f t="shared" si="659"/>
        <v/>
      </c>
      <c r="DI87" s="40" t="str">
        <f t="shared" si="660"/>
        <v/>
      </c>
      <c r="DJ87" s="40" t="str">
        <f t="shared" si="661"/>
        <v/>
      </c>
      <c r="DK87" s="40" t="str">
        <f t="shared" si="662"/>
        <v/>
      </c>
      <c r="DL87" s="40" t="str">
        <f t="shared" si="663"/>
        <v/>
      </c>
      <c r="DM87" s="40" t="str">
        <f t="shared" si="664"/>
        <v/>
      </c>
      <c r="DN87" s="40" t="str">
        <f t="shared" si="665"/>
        <v/>
      </c>
      <c r="DO87" s="40" t="str">
        <f t="shared" si="666"/>
        <v/>
      </c>
      <c r="DP87" s="40" t="str">
        <f t="shared" si="667"/>
        <v>|n物理伤害+5%</v>
      </c>
      <c r="DQ87" s="40" t="str">
        <f t="shared" si="668"/>
        <v>|n法术伤害+5%</v>
      </c>
      <c r="DR87" s="40" t="str">
        <f t="shared" si="669"/>
        <v/>
      </c>
      <c r="DS87" s="40" t="str">
        <f t="shared" si="670"/>
        <v/>
      </c>
      <c r="DT87" s="40" t="str">
        <f t="shared" si="671"/>
        <v/>
      </c>
      <c r="DU87" s="40" t="str">
        <f t="shared" si="672"/>
        <v/>
      </c>
      <c r="DV87" s="40" t="str">
        <f t="shared" si="673"/>
        <v/>
      </c>
      <c r="DW87" s="40" t="str">
        <f t="shared" si="674"/>
        <v/>
      </c>
      <c r="DX87" s="40" t="str">
        <f t="shared" si="675"/>
        <v/>
      </c>
      <c r="DY87" s="40" t="str">
        <f t="shared" si="676"/>
        <v/>
      </c>
      <c r="DZ87" s="40" t="str">
        <f t="shared" si="677"/>
        <v/>
      </c>
      <c r="EA87" s="40" t="str">
        <f t="shared" si="678"/>
        <v/>
      </c>
      <c r="EB87" s="40" t="str">
        <f t="shared" si="679"/>
        <v/>
      </c>
      <c r="EC87" s="40" t="str">
        <f t="shared" si="680"/>
        <v/>
      </c>
      <c r="ED87" s="40" t="str">
        <f t="shared" si="681"/>
        <v/>
      </c>
      <c r="EE87" s="40" t="str">
        <f t="shared" si="682"/>
        <v/>
      </c>
      <c r="EF87" s="40" t="str">
        <f t="shared" si="683"/>
        <v/>
      </c>
      <c r="EG87" s="40" t="str">
        <f t="shared" si="684"/>
        <v/>
      </c>
      <c r="EH87" s="40" t="str">
        <f t="shared" si="685"/>
        <v/>
      </c>
      <c r="EI87" s="40" t="str">
        <f t="shared" si="686"/>
        <v/>
      </c>
      <c r="EJ87" s="40" t="str">
        <f t="shared" si="687"/>
        <v/>
      </c>
      <c r="EK87" s="40" t="str">
        <f t="shared" si="688"/>
        <v/>
      </c>
      <c r="EL87" s="40" t="str">
        <f t="shared" si="689"/>
        <v/>
      </c>
      <c r="EM87" s="40" t="str">
        <f t="shared" si="690"/>
        <v/>
      </c>
      <c r="EN87" s="40" t="str">
        <f t="shared" si="691"/>
        <v/>
      </c>
      <c r="EO87" s="40" t="str">
        <f t="shared" si="692"/>
        <v/>
      </c>
      <c r="EP87" s="40" t="str">
        <f t="shared" si="693"/>
        <v/>
      </c>
      <c r="EQ87" s="40" t="str">
        <f t="shared" si="694"/>
        <v/>
      </c>
      <c r="ER87" s="40" t="str">
        <f t="shared" si="695"/>
        <v>|n杀敌攻击+5</v>
      </c>
      <c r="ES87" s="40" t="str">
        <f t="shared" si="696"/>
        <v>|n杀敌业力+1</v>
      </c>
      <c r="ET87" s="40" t="str">
        <f t="shared" si="697"/>
        <v>|n杀敌生命+5</v>
      </c>
      <c r="EU87" s="40" t="str">
        <f t="shared" si="698"/>
        <v/>
      </c>
      <c r="EV87" s="40" t="str">
        <f t="shared" si="699"/>
        <v/>
      </c>
      <c r="EW87" s="40" t="str">
        <f t="shared" si="700"/>
        <v/>
      </c>
      <c r="EX87" s="40" t="str">
        <f t="shared" si="701"/>
        <v/>
      </c>
      <c r="EY87" s="40" t="str">
        <f t="shared" si="702"/>
        <v/>
      </c>
      <c r="EZ87" s="40" t="str">
        <f t="shared" si="703"/>
        <v/>
      </c>
      <c r="FA87" s="40" t="str">
        <f t="shared" si="704"/>
        <v/>
      </c>
      <c r="FB87" s="40" t="str">
        <f t="shared" si="705"/>
        <v/>
      </c>
      <c r="FC87" s="40" t="str">
        <f t="shared" si="706"/>
        <v/>
      </c>
      <c r="FD87" s="40" t="str">
        <f t="shared" si="707"/>
        <v/>
      </c>
      <c r="FE87" s="40" t="str">
        <f t="shared" si="708"/>
        <v/>
      </c>
      <c r="FF87" s="40" t="str">
        <f t="shared" si="709"/>
        <v/>
      </c>
      <c r="FG87" s="40" t="str">
        <f t="shared" si="710"/>
        <v/>
      </c>
      <c r="FH87" s="40" t="str">
        <f t="shared" si="711"/>
        <v/>
      </c>
      <c r="FI87" s="40" t="str">
        <f t="shared" si="712"/>
        <v/>
      </c>
      <c r="FJ87" s="40" t="str">
        <f t="shared" si="713"/>
        <v/>
      </c>
      <c r="FK87" s="40" t="str">
        <f t="shared" si="714"/>
        <v/>
      </c>
      <c r="FL87" s="40" t="str">
        <f t="shared" si="715"/>
        <v/>
      </c>
      <c r="FM87" s="40" t="str">
        <f t="shared" si="716"/>
        <v/>
      </c>
      <c r="FN87" s="40" t="str">
        <f t="shared" si="717"/>
        <v/>
      </c>
      <c r="FO87" s="40" t="str">
        <f t="shared" si="718"/>
        <v/>
      </c>
      <c r="FP87" s="40" t="str">
        <f t="shared" si="719"/>
        <v/>
      </c>
      <c r="FQ87" s="40" t="str">
        <f t="shared" si="720"/>
        <v/>
      </c>
      <c r="FR87" s="40" t="str">
        <f t="shared" si="721"/>
        <v/>
      </c>
      <c r="FS87" s="40" t="str">
        <f t="shared" si="722"/>
        <v/>
      </c>
    </row>
    <row r="88" spans="1:175" ht="16.5">
      <c r="A88" s="2"/>
      <c r="B88" s="2" t="s">
        <v>287</v>
      </c>
      <c r="C88" s="2" t="s">
        <v>639</v>
      </c>
      <c r="T88" s="2" t="s">
        <v>636</v>
      </c>
      <c r="U88" s="51" t="str">
        <f t="shared" ref="U88:U167" si="939">"ReplaceableTextures\\CommandButtons\\BTN"&amp;B88&amp;".blp"</f>
        <v>ReplaceableTextures\\CommandButtons\\BTNCS01.blp</v>
      </c>
      <c r="CN88" s="10" t="str">
        <f t="shared" ref="CN88:CN120" si="940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1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2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3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5">T88</f>
        <v>Q技能进阶</v>
      </c>
      <c r="CW88" s="4"/>
      <c r="CX88" s="4"/>
      <c r="CY88" s="4"/>
      <c r="CZ88" s="4"/>
      <c r="DA88" s="4"/>
      <c r="DB88" s="40" t="str">
        <f t="shared" si="653"/>
        <v/>
      </c>
      <c r="DC88" s="40" t="str">
        <f t="shared" si="654"/>
        <v/>
      </c>
      <c r="DD88" s="40" t="str">
        <f t="shared" si="655"/>
        <v/>
      </c>
      <c r="DE88" s="40" t="str">
        <f t="shared" si="656"/>
        <v/>
      </c>
      <c r="DF88" s="40" t="str">
        <f t="shared" si="657"/>
        <v/>
      </c>
      <c r="DG88" s="40" t="str">
        <f t="shared" si="658"/>
        <v/>
      </c>
      <c r="DH88" s="40" t="str">
        <f t="shared" si="659"/>
        <v/>
      </c>
      <c r="DI88" s="40" t="str">
        <f t="shared" si="660"/>
        <v/>
      </c>
      <c r="DJ88" s="40" t="str">
        <f t="shared" si="661"/>
        <v/>
      </c>
      <c r="DK88" s="40" t="str">
        <f t="shared" si="662"/>
        <v/>
      </c>
      <c r="DL88" s="40" t="str">
        <f t="shared" si="663"/>
        <v/>
      </c>
      <c r="DM88" s="40" t="str">
        <f t="shared" si="664"/>
        <v/>
      </c>
      <c r="DN88" s="40" t="str">
        <f t="shared" si="665"/>
        <v/>
      </c>
      <c r="DO88" s="40" t="str">
        <f t="shared" si="666"/>
        <v/>
      </c>
      <c r="DP88" s="40" t="str">
        <f t="shared" si="667"/>
        <v/>
      </c>
      <c r="DQ88" s="40" t="str">
        <f t="shared" si="668"/>
        <v/>
      </c>
      <c r="DR88" s="40" t="str">
        <f t="shared" si="669"/>
        <v/>
      </c>
      <c r="DS88" s="40" t="str">
        <f t="shared" si="670"/>
        <v/>
      </c>
      <c r="DT88" s="40" t="str">
        <f t="shared" si="671"/>
        <v/>
      </c>
      <c r="DU88" s="40" t="str">
        <f t="shared" si="672"/>
        <v/>
      </c>
      <c r="DV88" s="40" t="str">
        <f t="shared" si="673"/>
        <v/>
      </c>
      <c r="DW88" s="40" t="str">
        <f t="shared" si="674"/>
        <v/>
      </c>
      <c r="DX88" s="40" t="str">
        <f t="shared" si="675"/>
        <v/>
      </c>
      <c r="DY88" s="40" t="str">
        <f t="shared" si="676"/>
        <v/>
      </c>
      <c r="DZ88" s="40" t="str">
        <f t="shared" si="677"/>
        <v/>
      </c>
      <c r="EA88" s="40" t="str">
        <f t="shared" si="678"/>
        <v/>
      </c>
      <c r="EB88" s="40" t="str">
        <f t="shared" si="679"/>
        <v/>
      </c>
      <c r="EC88" s="40" t="str">
        <f t="shared" si="680"/>
        <v/>
      </c>
      <c r="ED88" s="40" t="str">
        <f t="shared" si="681"/>
        <v/>
      </c>
      <c r="EE88" s="40" t="str">
        <f t="shared" si="682"/>
        <v/>
      </c>
      <c r="EF88" s="40" t="str">
        <f t="shared" si="683"/>
        <v/>
      </c>
      <c r="EG88" s="40" t="str">
        <f t="shared" si="684"/>
        <v/>
      </c>
      <c r="EH88" s="40" t="str">
        <f t="shared" si="685"/>
        <v/>
      </c>
      <c r="EI88" s="40" t="str">
        <f t="shared" si="686"/>
        <v/>
      </c>
      <c r="EJ88" s="40" t="str">
        <f t="shared" si="687"/>
        <v/>
      </c>
      <c r="EK88" s="40" t="str">
        <f t="shared" si="688"/>
        <v/>
      </c>
      <c r="EL88" s="40" t="str">
        <f t="shared" si="689"/>
        <v/>
      </c>
      <c r="EM88" s="40" t="str">
        <f t="shared" si="690"/>
        <v/>
      </c>
      <c r="EN88" s="40" t="str">
        <f t="shared" si="691"/>
        <v/>
      </c>
      <c r="EO88" s="40" t="str">
        <f t="shared" si="692"/>
        <v/>
      </c>
      <c r="EP88" s="40" t="str">
        <f t="shared" si="693"/>
        <v/>
      </c>
      <c r="EQ88" s="40" t="str">
        <f t="shared" si="694"/>
        <v/>
      </c>
      <c r="ER88" s="40" t="str">
        <f t="shared" si="695"/>
        <v/>
      </c>
      <c r="ES88" s="40" t="str">
        <f t="shared" si="696"/>
        <v/>
      </c>
      <c r="ET88" s="40" t="str">
        <f t="shared" si="697"/>
        <v/>
      </c>
      <c r="EU88" s="40" t="str">
        <f t="shared" si="698"/>
        <v/>
      </c>
      <c r="EV88" s="40" t="str">
        <f t="shared" si="699"/>
        <v/>
      </c>
      <c r="EW88" s="40" t="str">
        <f t="shared" si="700"/>
        <v/>
      </c>
      <c r="EX88" s="40" t="str">
        <f t="shared" si="701"/>
        <v/>
      </c>
      <c r="EY88" s="40" t="str">
        <f t="shared" si="702"/>
        <v/>
      </c>
      <c r="EZ88" s="40" t="str">
        <f t="shared" si="703"/>
        <v/>
      </c>
      <c r="FA88" s="40" t="str">
        <f t="shared" si="704"/>
        <v/>
      </c>
      <c r="FB88" s="40" t="str">
        <f t="shared" si="705"/>
        <v/>
      </c>
      <c r="FC88" s="40" t="str">
        <f t="shared" si="706"/>
        <v/>
      </c>
      <c r="FD88" s="40" t="str">
        <f t="shared" si="707"/>
        <v/>
      </c>
      <c r="FE88" s="40" t="str">
        <f t="shared" si="708"/>
        <v/>
      </c>
      <c r="FF88" s="40" t="str">
        <f t="shared" si="709"/>
        <v/>
      </c>
      <c r="FG88" s="40" t="str">
        <f t="shared" si="710"/>
        <v/>
      </c>
      <c r="FH88" s="40" t="str">
        <f t="shared" si="711"/>
        <v/>
      </c>
      <c r="FI88" s="40" t="str">
        <f t="shared" si="712"/>
        <v/>
      </c>
      <c r="FJ88" s="40" t="str">
        <f t="shared" si="713"/>
        <v/>
      </c>
      <c r="FK88" s="40" t="str">
        <f t="shared" si="714"/>
        <v/>
      </c>
      <c r="FL88" s="40" t="str">
        <f t="shared" si="715"/>
        <v/>
      </c>
      <c r="FM88" s="40" t="str">
        <f t="shared" si="716"/>
        <v/>
      </c>
      <c r="FN88" s="40" t="str">
        <f t="shared" si="717"/>
        <v/>
      </c>
      <c r="FO88" s="40" t="str">
        <f t="shared" si="718"/>
        <v/>
      </c>
      <c r="FP88" s="40" t="str">
        <f t="shared" si="719"/>
        <v/>
      </c>
      <c r="FQ88" s="40" t="str">
        <f t="shared" si="720"/>
        <v/>
      </c>
      <c r="FR88" s="40" t="str">
        <f t="shared" si="721"/>
        <v/>
      </c>
      <c r="FS88" s="40" t="str">
        <f t="shared" si="722"/>
        <v/>
      </c>
    </row>
    <row r="89" spans="1:175" ht="16.5">
      <c r="A89" s="2"/>
      <c r="B89" s="2" t="s">
        <v>288</v>
      </c>
      <c r="C89" s="2" t="s">
        <v>640</v>
      </c>
      <c r="T89" s="2" t="s">
        <v>637</v>
      </c>
      <c r="U89" s="51" t="str">
        <f t="shared" si="939"/>
        <v>ReplaceableTextures\\CommandButtons\\BTNCS02.blp</v>
      </c>
      <c r="CN89" s="10" t="str">
        <f t="shared" si="940"/>
        <v>InitUnitState('CS02',,,,,,,,,,)</v>
      </c>
      <c r="CO89" s="10" t="str">
        <f t="shared" si="941"/>
        <v>InitUnitNormal('CS02',,,,,,,,,,)</v>
      </c>
      <c r="CP89" s="10" t="str">
        <f t="shared" si="942"/>
        <v>InitUnitMagic('CS02',,,,,,,,,,)</v>
      </c>
      <c r="CQ89" s="10" t="str">
        <f t="shared" si="943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7">T89</f>
        <v>W技能进阶</v>
      </c>
      <c r="CW89" s="4"/>
      <c r="CX89" s="4"/>
      <c r="CY89" s="4"/>
      <c r="CZ89" s="4"/>
      <c r="DA89" s="4"/>
      <c r="DB89" s="40" t="str">
        <f t="shared" ref="DB89" si="948">IF(V89="","","|n"&amp;DB$2&amp;"+"&amp;V89&amp;DB$1)</f>
        <v/>
      </c>
      <c r="DC89" s="40" t="str">
        <f t="shared" ref="DC89" si="949">IF(W89="","","|n"&amp;DC$2&amp;"+"&amp;W89&amp;DC$1)</f>
        <v/>
      </c>
      <c r="DD89" s="40" t="str">
        <f t="shared" ref="DD89" si="950">IF(X89="","","|n"&amp;DD$2&amp;"+"&amp;X89&amp;DD$1)</f>
        <v/>
      </c>
      <c r="DE89" s="40" t="str">
        <f t="shared" ref="DE89" si="951">IF(Y89="","","|n"&amp;DE$2&amp;"+"&amp;Y89&amp;DE$1)</f>
        <v/>
      </c>
      <c r="DF89" s="40" t="str">
        <f t="shared" ref="DF89" si="952">IF(Z89="","","|n"&amp;DF$2&amp;"+"&amp;Z89&amp;DF$1)</f>
        <v/>
      </c>
      <c r="DG89" s="40" t="str">
        <f t="shared" ref="DG89" si="953">IF(AA89="","","|n"&amp;DG$2&amp;"+"&amp;AA89&amp;DG$1)</f>
        <v/>
      </c>
      <c r="DH89" s="40" t="str">
        <f t="shared" ref="DH89" si="954">IF(AB89="","","|n"&amp;DH$2&amp;"+"&amp;AB89&amp;DH$1)</f>
        <v/>
      </c>
      <c r="DI89" s="40" t="str">
        <f t="shared" ref="DI89" si="955">IF(AC89="","","|n"&amp;DI$2&amp;"+"&amp;AC89&amp;DI$1)</f>
        <v/>
      </c>
      <c r="DJ89" s="40" t="str">
        <f t="shared" ref="DJ89" si="956">IF(AD89="","","|n"&amp;DJ$2&amp;"+"&amp;AD89&amp;DJ$1)</f>
        <v/>
      </c>
      <c r="DK89" s="40" t="str">
        <f t="shared" ref="DK89" si="957">IF(AE89="","","|n"&amp;DK$2&amp;"+"&amp;AE89&amp;DK$1)</f>
        <v/>
      </c>
      <c r="DL89" s="40" t="str">
        <f t="shared" ref="DL89" si="958">IF(AF89="","","|n"&amp;DL$2&amp;"+"&amp;AF89&amp;DL$1)</f>
        <v/>
      </c>
      <c r="DM89" s="40" t="str">
        <f t="shared" ref="DM89" si="959">IF(AG89="","","|n"&amp;DM$2&amp;"+"&amp;AG89&amp;DM$1)</f>
        <v/>
      </c>
      <c r="DN89" s="40" t="str">
        <f t="shared" ref="DN89" si="960">IF(AH89="","","|n"&amp;DN$2&amp;"+"&amp;AH89&amp;DN$1)</f>
        <v/>
      </c>
      <c r="DO89" s="40" t="str">
        <f t="shared" ref="DO89" si="961">IF(AI89="","","|n"&amp;DO$2&amp;"+"&amp;AI89&amp;DO$1)</f>
        <v/>
      </c>
      <c r="DP89" s="40" t="str">
        <f t="shared" ref="DP89" si="962">IF(AJ89="","","|n"&amp;DP$2&amp;"+"&amp;AJ89&amp;DP$1)</f>
        <v/>
      </c>
      <c r="DQ89" s="40" t="str">
        <f t="shared" ref="DQ89" si="963">IF(AK89="","","|n"&amp;DQ$2&amp;"+"&amp;AK89&amp;DQ$1)</f>
        <v/>
      </c>
      <c r="DR89" s="40" t="str">
        <f t="shared" ref="DR89" si="964">IF(AL89="","","|n"&amp;DR$2&amp;"+"&amp;AL89&amp;DR$1)</f>
        <v/>
      </c>
      <c r="DS89" s="40" t="str">
        <f t="shared" ref="DS89" si="965">IF(AM89="","","|n"&amp;DS$2&amp;"+"&amp;AM89&amp;DS$1)</f>
        <v/>
      </c>
      <c r="DT89" s="40" t="str">
        <f t="shared" ref="DT89" si="966">IF(AN89="","","|n"&amp;DT$2&amp;"+"&amp;AN89&amp;DT$1)</f>
        <v/>
      </c>
      <c r="DU89" s="40" t="str">
        <f t="shared" ref="DU89" si="967">IF(AO89="","","|n"&amp;DU$2&amp;"+"&amp;AO89&amp;DU$1)</f>
        <v/>
      </c>
      <c r="DV89" s="40" t="str">
        <f t="shared" ref="DV89" si="968">IF(AP89="","","|n"&amp;DV$2&amp;"+"&amp;AP89&amp;DV$1)</f>
        <v/>
      </c>
      <c r="DW89" s="40" t="str">
        <f t="shared" ref="DW89" si="969">IF(AQ89="","","|n"&amp;DW$2&amp;"+"&amp;AQ89&amp;DW$1)</f>
        <v/>
      </c>
      <c r="DX89" s="40" t="str">
        <f t="shared" ref="DX89" si="970">IF(AR89="","","|n"&amp;DX$2&amp;"+"&amp;AR89&amp;DX$1)</f>
        <v/>
      </c>
      <c r="DY89" s="40" t="str">
        <f t="shared" ref="DY89" si="971">IF(AS89="","","|n"&amp;DY$2&amp;"+"&amp;AS89&amp;DY$1)</f>
        <v/>
      </c>
      <c r="DZ89" s="40" t="str">
        <f t="shared" ref="DZ89" si="972">IF(AT89="","","|n"&amp;DZ$2&amp;"+"&amp;AT89&amp;DZ$1)</f>
        <v/>
      </c>
      <c r="EA89" s="40" t="str">
        <f t="shared" ref="EA89" si="973">IF(AU89="","","|n"&amp;EA$2&amp;"+"&amp;AU89&amp;EA$1)</f>
        <v/>
      </c>
      <c r="EB89" s="40" t="str">
        <f t="shared" ref="EB89" si="974">IF(AV89="","","|n"&amp;EB$2&amp;"+"&amp;AV89&amp;EB$1)</f>
        <v/>
      </c>
      <c r="EC89" s="40" t="str">
        <f t="shared" ref="EC89" si="975">IF(AW89="","","|n"&amp;EC$2&amp;"+"&amp;AW89&amp;EC$1)</f>
        <v/>
      </c>
      <c r="ED89" s="40" t="str">
        <f t="shared" ref="ED89" si="976">IF(AX89="","","|n"&amp;ED$2&amp;"+"&amp;AX89&amp;ED$1)</f>
        <v/>
      </c>
      <c r="EE89" s="40" t="str">
        <f t="shared" ref="EE89" si="977">IF(AY89="","","|n"&amp;EE$2&amp;"+"&amp;AY89&amp;EE$1)</f>
        <v/>
      </c>
      <c r="EF89" s="40" t="str">
        <f t="shared" ref="EF89" si="978">IF(AZ89="","","|n"&amp;EF$2&amp;"+"&amp;AZ89&amp;EF$1)</f>
        <v/>
      </c>
      <c r="EG89" s="40" t="str">
        <f t="shared" ref="EG89" si="979">IF(BA89="","","|n"&amp;EG$2&amp;"+"&amp;BA89&amp;EG$1)</f>
        <v/>
      </c>
      <c r="EH89" s="40" t="str">
        <f t="shared" ref="EH89" si="980">IF(BB89="","","|n"&amp;EH$2&amp;"+"&amp;BB89&amp;EH$1)</f>
        <v/>
      </c>
      <c r="EI89" s="40" t="str">
        <f t="shared" ref="EI89" si="981">IF(BC89="","","|n"&amp;EI$2&amp;"+"&amp;BC89&amp;EI$1)</f>
        <v/>
      </c>
      <c r="EJ89" s="40" t="str">
        <f t="shared" ref="EJ89" si="982">IF(BD89="","","|n"&amp;EJ$2&amp;"+"&amp;BD89&amp;EJ$1)</f>
        <v/>
      </c>
      <c r="EK89" s="40" t="str">
        <f t="shared" ref="EK89" si="983">IF(BE89="","","|n"&amp;EK$2&amp;"+"&amp;BE89&amp;EK$1)</f>
        <v/>
      </c>
      <c r="EL89" s="40" t="str">
        <f t="shared" ref="EL89" si="984">IF(BF89="","","|n"&amp;EL$2&amp;"+"&amp;BF89&amp;EL$1)</f>
        <v/>
      </c>
      <c r="EM89" s="40" t="str">
        <f t="shared" ref="EM89" si="985">IF(BG89="","","|n"&amp;EM$2&amp;"+"&amp;BG89&amp;EM$1)</f>
        <v/>
      </c>
      <c r="EN89" s="40" t="str">
        <f t="shared" ref="EN89" si="986">IF(BH89="","","|n"&amp;EN$2&amp;"+"&amp;BH89&amp;EN$1)</f>
        <v/>
      </c>
      <c r="EO89" s="40" t="str">
        <f t="shared" ref="EO89" si="987">IF(BI89="","","|n"&amp;EO$2&amp;"+"&amp;BI89&amp;EO$1)</f>
        <v/>
      </c>
      <c r="EP89" s="40" t="str">
        <f t="shared" ref="EP89" si="988">IF(BJ89="","","|n"&amp;EP$2&amp;"+"&amp;BJ89&amp;EP$1)</f>
        <v/>
      </c>
      <c r="EQ89" s="40" t="str">
        <f t="shared" ref="EQ89" si="989">IF(BK89="","","|n"&amp;EQ$2&amp;"+"&amp;BK89&amp;EQ$1)</f>
        <v/>
      </c>
      <c r="ER89" s="40" t="str">
        <f t="shared" ref="ER89" si="990">IF(BL89="","","|n"&amp;ER$2&amp;"+"&amp;BL89&amp;ER$1)</f>
        <v/>
      </c>
      <c r="ES89" s="40" t="str">
        <f t="shared" ref="ES89" si="991">IF(BM89="","","|n"&amp;ES$2&amp;"+"&amp;BM89&amp;ES$1)</f>
        <v/>
      </c>
      <c r="ET89" s="40" t="str">
        <f t="shared" ref="ET89" si="992">IF(BN89="","","|n"&amp;ET$2&amp;"+"&amp;BN89&amp;ET$1)</f>
        <v/>
      </c>
      <c r="EU89" s="40" t="str">
        <f t="shared" ref="EU89" si="993">IF(BO89="","","|n"&amp;EU$2&amp;"+"&amp;BO89&amp;EU$1)</f>
        <v/>
      </c>
      <c r="EV89" s="40" t="str">
        <f t="shared" ref="EV89" si="994">IF(BP89="","","|n"&amp;EV$2&amp;"+"&amp;BP89&amp;EV$1)</f>
        <v/>
      </c>
      <c r="EW89" s="40" t="str">
        <f t="shared" ref="EW89" si="995">IF(BQ89="","","|n"&amp;EW$2&amp;"+"&amp;BQ89&amp;EW$1)</f>
        <v/>
      </c>
      <c r="EX89" s="40" t="str">
        <f t="shared" ref="EX89" si="996">IF(BR89="","","|n"&amp;EX$2&amp;"+"&amp;BR89&amp;EX$1)</f>
        <v/>
      </c>
      <c r="EY89" s="40" t="str">
        <f t="shared" ref="EY89" si="997">IF(BS89="","","|n"&amp;EY$2&amp;"+"&amp;BS89&amp;EY$1)</f>
        <v/>
      </c>
      <c r="EZ89" s="40" t="str">
        <f t="shared" ref="EZ89" si="998">IF(BT89="","","|n"&amp;EZ$2&amp;"+"&amp;BT89&amp;EZ$1)</f>
        <v/>
      </c>
      <c r="FA89" s="40" t="str">
        <f t="shared" ref="FA89" si="999">IF(BU89="","","|n"&amp;FA$2&amp;"+"&amp;BU89&amp;FA$1)</f>
        <v/>
      </c>
      <c r="FB89" s="40" t="str">
        <f t="shared" ref="FB89" si="1000">IF(BV89="","","|n"&amp;FB$2&amp;"+"&amp;BV89&amp;FB$1)</f>
        <v/>
      </c>
      <c r="FC89" s="40" t="str">
        <f t="shared" ref="FC89" si="1001">IF(BW89="","","|n"&amp;FC$2&amp;"+"&amp;BW89&amp;FC$1)</f>
        <v/>
      </c>
      <c r="FD89" s="40" t="str">
        <f t="shared" ref="FD89" si="1002">IF(BX89="","","|n"&amp;FD$2&amp;"+"&amp;BX89&amp;FD$1)</f>
        <v/>
      </c>
      <c r="FE89" s="40" t="str">
        <f t="shared" ref="FE89" si="1003">IF(BY89="","","|n"&amp;FE$2&amp;"+"&amp;BY89&amp;FE$1)</f>
        <v/>
      </c>
      <c r="FF89" s="40" t="str">
        <f t="shared" ref="FF89" si="1004">IF(BZ89="","","|n"&amp;FF$2&amp;"+"&amp;BZ89&amp;FF$1)</f>
        <v/>
      </c>
      <c r="FG89" s="40" t="str">
        <f t="shared" ref="FG89" si="1005">IF(CA89="","","|n"&amp;FG$2&amp;"+"&amp;CA89&amp;FG$1)</f>
        <v/>
      </c>
      <c r="FH89" s="40" t="str">
        <f t="shared" ref="FH89" si="1006">IF(CB89="","","|n"&amp;FH$2&amp;"+"&amp;CB89&amp;FH$1)</f>
        <v/>
      </c>
      <c r="FI89" s="40" t="str">
        <f t="shared" ref="FI89" si="1007">IF(CC89="","","|n"&amp;FI$2&amp;"+"&amp;CC89&amp;FI$1)</f>
        <v/>
      </c>
      <c r="FJ89" s="40" t="str">
        <f t="shared" ref="FJ89" si="1008">IF(CD89="","","|n"&amp;FJ$2&amp;"+"&amp;CD89&amp;FJ$1)</f>
        <v/>
      </c>
      <c r="FK89" s="40" t="str">
        <f t="shared" ref="FK89" si="1009">IF(CE89="","","|n"&amp;FK$2&amp;"+"&amp;CE89&amp;FK$1)</f>
        <v/>
      </c>
      <c r="FL89" s="40" t="str">
        <f t="shared" ref="FL89" si="1010">IF(CF89="","","|n"&amp;FL$2&amp;"+"&amp;CF89&amp;FL$1)</f>
        <v/>
      </c>
      <c r="FM89" s="40" t="str">
        <f t="shared" ref="FM89" si="1011">IF(CG89="","","|n"&amp;FM$2&amp;"+"&amp;CG89&amp;FM$1)</f>
        <v/>
      </c>
      <c r="FN89" s="40" t="str">
        <f t="shared" ref="FN89" si="1012">IF(CH89="","","|n"&amp;FN$2&amp;"+"&amp;CH89&amp;FN$1)</f>
        <v/>
      </c>
      <c r="FO89" s="40" t="str">
        <f t="shared" ref="FO89" si="1013">IF(CI89="","","|n"&amp;FO$2&amp;"+"&amp;CI89&amp;FO$1)</f>
        <v/>
      </c>
      <c r="FP89" s="40" t="str">
        <f t="shared" ref="FP89" si="1014">IF(CJ89="","","|n"&amp;FP$2&amp;"+"&amp;CJ89&amp;FP$1)</f>
        <v/>
      </c>
      <c r="FQ89" s="40" t="str">
        <f t="shared" ref="FQ89" si="1015">IF(CK89="","","|n"&amp;FQ$2&amp;"+"&amp;CK89&amp;FQ$1)</f>
        <v/>
      </c>
      <c r="FR89" s="40" t="str">
        <f t="shared" ref="FR89" si="1016">IF(CL89="","","|n"&amp;FR$2&amp;"+"&amp;CL89&amp;FR$1)</f>
        <v/>
      </c>
      <c r="FS89" s="40" t="str">
        <f t="shared" ref="FS89" si="1017">IF(CM89="","","|n"&amp;FS$2&amp;"+"&amp;CM89&amp;FS$1)</f>
        <v/>
      </c>
    </row>
    <row r="90" spans="1:175" ht="16.5">
      <c r="A90" s="2"/>
      <c r="B90" s="2" t="s">
        <v>289</v>
      </c>
      <c r="C90" s="2" t="s">
        <v>641</v>
      </c>
      <c r="T90" s="2" t="s">
        <v>638</v>
      </c>
      <c r="U90" s="51" t="str">
        <f t="shared" si="939"/>
        <v>ReplaceableTextures\\CommandButtons\\BTNCS03.blp</v>
      </c>
      <c r="CN90" s="10" t="str">
        <f t="shared" si="940"/>
        <v>InitUnitState('CS03',,,,,,,,,,)</v>
      </c>
      <c r="CO90" s="10" t="str">
        <f t="shared" si="941"/>
        <v>InitUnitNormal('CS03',,,,,,,,,,)</v>
      </c>
      <c r="CP90" s="10" t="str">
        <f t="shared" si="942"/>
        <v>InitUnitMagic('CS03',,,,,,,,,,)</v>
      </c>
      <c r="CQ90" s="10" t="str">
        <f t="shared" si="943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9">T90</f>
        <v>E技能进阶</v>
      </c>
      <c r="CW90" s="4"/>
      <c r="CX90" s="4"/>
      <c r="CY90" s="4"/>
      <c r="CZ90" s="4"/>
      <c r="DA90" s="4"/>
      <c r="DB90" s="40" t="str">
        <f t="shared" ref="DB90:DB92" si="1020">IF(V90="","","|n"&amp;DB$2&amp;"+"&amp;V90&amp;DB$1)</f>
        <v/>
      </c>
      <c r="DC90" s="40" t="str">
        <f t="shared" ref="DC90:DC92" si="1021">IF(W90="","","|n"&amp;DC$2&amp;"+"&amp;W90&amp;DC$1)</f>
        <v/>
      </c>
      <c r="DD90" s="40" t="str">
        <f t="shared" ref="DD90:DD92" si="1022">IF(X90="","","|n"&amp;DD$2&amp;"+"&amp;X90&amp;DD$1)</f>
        <v/>
      </c>
      <c r="DE90" s="40" t="str">
        <f t="shared" ref="DE90:DE92" si="1023">IF(Y90="","","|n"&amp;DE$2&amp;"+"&amp;Y90&amp;DE$1)</f>
        <v/>
      </c>
      <c r="DF90" s="40" t="str">
        <f t="shared" ref="DF90:DF92" si="1024">IF(Z90="","","|n"&amp;DF$2&amp;"+"&amp;Z90&amp;DF$1)</f>
        <v/>
      </c>
      <c r="DG90" s="40" t="str">
        <f t="shared" ref="DG90:DG92" si="1025">IF(AA90="","","|n"&amp;DG$2&amp;"+"&amp;AA90&amp;DG$1)</f>
        <v/>
      </c>
      <c r="DH90" s="40" t="str">
        <f t="shared" ref="DH90:DH92" si="1026">IF(AB90="","","|n"&amp;DH$2&amp;"+"&amp;AB90&amp;DH$1)</f>
        <v/>
      </c>
      <c r="DI90" s="40" t="str">
        <f t="shared" ref="DI90:DI92" si="1027">IF(AC90="","","|n"&amp;DI$2&amp;"+"&amp;AC90&amp;DI$1)</f>
        <v/>
      </c>
      <c r="DJ90" s="40" t="str">
        <f t="shared" ref="DJ90:DJ92" si="1028">IF(AD90="","","|n"&amp;DJ$2&amp;"+"&amp;AD90&amp;DJ$1)</f>
        <v/>
      </c>
      <c r="DK90" s="40" t="str">
        <f t="shared" ref="DK90:DK92" si="1029">IF(AE90="","","|n"&amp;DK$2&amp;"+"&amp;AE90&amp;DK$1)</f>
        <v/>
      </c>
      <c r="DL90" s="40" t="str">
        <f t="shared" ref="DL90:DL92" si="1030">IF(AF90="","","|n"&amp;DL$2&amp;"+"&amp;AF90&amp;DL$1)</f>
        <v/>
      </c>
      <c r="DM90" s="40" t="str">
        <f t="shared" ref="DM90:DM92" si="1031">IF(AG90="","","|n"&amp;DM$2&amp;"+"&amp;AG90&amp;DM$1)</f>
        <v/>
      </c>
      <c r="DN90" s="40" t="str">
        <f t="shared" ref="DN90:DN92" si="1032">IF(AH90="","","|n"&amp;DN$2&amp;"+"&amp;AH90&amp;DN$1)</f>
        <v/>
      </c>
      <c r="DO90" s="40" t="str">
        <f t="shared" ref="DO90:DO92" si="1033">IF(AI90="","","|n"&amp;DO$2&amp;"+"&amp;AI90&amp;DO$1)</f>
        <v/>
      </c>
      <c r="DP90" s="40" t="str">
        <f t="shared" ref="DP90:DP92" si="1034">IF(AJ90="","","|n"&amp;DP$2&amp;"+"&amp;AJ90&amp;DP$1)</f>
        <v/>
      </c>
      <c r="DQ90" s="40" t="str">
        <f t="shared" ref="DQ90:DQ92" si="1035">IF(AK90="","","|n"&amp;DQ$2&amp;"+"&amp;AK90&amp;DQ$1)</f>
        <v/>
      </c>
      <c r="DR90" s="40" t="str">
        <f t="shared" ref="DR90:DR92" si="1036">IF(AL90="","","|n"&amp;DR$2&amp;"+"&amp;AL90&amp;DR$1)</f>
        <v/>
      </c>
      <c r="DS90" s="40" t="str">
        <f t="shared" ref="DS90:DS92" si="1037">IF(AM90="","","|n"&amp;DS$2&amp;"+"&amp;AM90&amp;DS$1)</f>
        <v/>
      </c>
      <c r="DT90" s="40" t="str">
        <f t="shared" ref="DT90:DT92" si="1038">IF(AN90="","","|n"&amp;DT$2&amp;"+"&amp;AN90&amp;DT$1)</f>
        <v/>
      </c>
      <c r="DU90" s="40" t="str">
        <f t="shared" ref="DU90:DU92" si="1039">IF(AO90="","","|n"&amp;DU$2&amp;"+"&amp;AO90&amp;DU$1)</f>
        <v/>
      </c>
      <c r="DV90" s="40" t="str">
        <f t="shared" ref="DV90:DV92" si="1040">IF(AP90="","","|n"&amp;DV$2&amp;"+"&amp;AP90&amp;DV$1)</f>
        <v/>
      </c>
      <c r="DW90" s="40" t="str">
        <f t="shared" ref="DW90:DW92" si="1041">IF(AQ90="","","|n"&amp;DW$2&amp;"+"&amp;AQ90&amp;DW$1)</f>
        <v/>
      </c>
      <c r="DX90" s="40" t="str">
        <f t="shared" ref="DX90:DX92" si="1042">IF(AR90="","","|n"&amp;DX$2&amp;"+"&amp;AR90&amp;DX$1)</f>
        <v/>
      </c>
      <c r="DY90" s="40" t="str">
        <f t="shared" ref="DY90:DY92" si="1043">IF(AS90="","","|n"&amp;DY$2&amp;"+"&amp;AS90&amp;DY$1)</f>
        <v/>
      </c>
      <c r="DZ90" s="40" t="str">
        <f t="shared" ref="DZ90:DZ92" si="1044">IF(AT90="","","|n"&amp;DZ$2&amp;"+"&amp;AT90&amp;DZ$1)</f>
        <v/>
      </c>
      <c r="EA90" s="40" t="str">
        <f t="shared" ref="EA90:EA92" si="1045">IF(AU90="","","|n"&amp;EA$2&amp;"+"&amp;AU90&amp;EA$1)</f>
        <v/>
      </c>
      <c r="EB90" s="40" t="str">
        <f t="shared" ref="EB90:EB92" si="1046">IF(AV90="","","|n"&amp;EB$2&amp;"+"&amp;AV90&amp;EB$1)</f>
        <v/>
      </c>
      <c r="EC90" s="40" t="str">
        <f t="shared" ref="EC90:EC92" si="1047">IF(AW90="","","|n"&amp;EC$2&amp;"+"&amp;AW90&amp;EC$1)</f>
        <v/>
      </c>
      <c r="ED90" s="40" t="str">
        <f t="shared" ref="ED90:ED92" si="1048">IF(AX90="","","|n"&amp;ED$2&amp;"+"&amp;AX90&amp;ED$1)</f>
        <v/>
      </c>
      <c r="EE90" s="40" t="str">
        <f t="shared" ref="EE90:EE92" si="1049">IF(AY90="","","|n"&amp;EE$2&amp;"+"&amp;AY90&amp;EE$1)</f>
        <v/>
      </c>
      <c r="EF90" s="40" t="str">
        <f t="shared" ref="EF90:EF92" si="1050">IF(AZ90="","","|n"&amp;EF$2&amp;"+"&amp;AZ90&amp;EF$1)</f>
        <v/>
      </c>
      <c r="EG90" s="40" t="str">
        <f t="shared" ref="EG90:EG92" si="1051">IF(BA90="","","|n"&amp;EG$2&amp;"+"&amp;BA90&amp;EG$1)</f>
        <v/>
      </c>
      <c r="EH90" s="40" t="str">
        <f t="shared" ref="EH90:EH92" si="1052">IF(BB90="","","|n"&amp;EH$2&amp;"+"&amp;BB90&amp;EH$1)</f>
        <v/>
      </c>
      <c r="EI90" s="40" t="str">
        <f t="shared" ref="EI90:EI92" si="1053">IF(BC90="","","|n"&amp;EI$2&amp;"+"&amp;BC90&amp;EI$1)</f>
        <v/>
      </c>
      <c r="EJ90" s="40" t="str">
        <f t="shared" ref="EJ90:EJ92" si="1054">IF(BD90="","","|n"&amp;EJ$2&amp;"+"&amp;BD90&amp;EJ$1)</f>
        <v/>
      </c>
      <c r="EK90" s="40" t="str">
        <f t="shared" ref="EK90:EK92" si="1055">IF(BE90="","","|n"&amp;EK$2&amp;"+"&amp;BE90&amp;EK$1)</f>
        <v/>
      </c>
      <c r="EL90" s="40" t="str">
        <f t="shared" ref="EL90:EL92" si="1056">IF(BF90="","","|n"&amp;EL$2&amp;"+"&amp;BF90&amp;EL$1)</f>
        <v/>
      </c>
      <c r="EM90" s="40" t="str">
        <f t="shared" ref="EM90:EM92" si="1057">IF(BG90="","","|n"&amp;EM$2&amp;"+"&amp;BG90&amp;EM$1)</f>
        <v/>
      </c>
      <c r="EN90" s="40" t="str">
        <f t="shared" ref="EN90:EN92" si="1058">IF(BH90="","","|n"&amp;EN$2&amp;"+"&amp;BH90&amp;EN$1)</f>
        <v/>
      </c>
      <c r="EO90" s="40" t="str">
        <f t="shared" ref="EO90:EO92" si="1059">IF(BI90="","","|n"&amp;EO$2&amp;"+"&amp;BI90&amp;EO$1)</f>
        <v/>
      </c>
      <c r="EP90" s="40" t="str">
        <f t="shared" ref="EP90:EP92" si="1060">IF(BJ90="","","|n"&amp;EP$2&amp;"+"&amp;BJ90&amp;EP$1)</f>
        <v/>
      </c>
      <c r="EQ90" s="40" t="str">
        <f t="shared" ref="EQ90:EQ92" si="1061">IF(BK90="","","|n"&amp;EQ$2&amp;"+"&amp;BK90&amp;EQ$1)</f>
        <v/>
      </c>
      <c r="ER90" s="40" t="str">
        <f t="shared" ref="ER90:ER92" si="1062">IF(BL90="","","|n"&amp;ER$2&amp;"+"&amp;BL90&amp;ER$1)</f>
        <v/>
      </c>
      <c r="ES90" s="40" t="str">
        <f t="shared" ref="ES90:ES92" si="1063">IF(BM90="","","|n"&amp;ES$2&amp;"+"&amp;BM90&amp;ES$1)</f>
        <v/>
      </c>
      <c r="ET90" s="40" t="str">
        <f t="shared" ref="ET90:ET92" si="1064">IF(BN90="","","|n"&amp;ET$2&amp;"+"&amp;BN90&amp;ET$1)</f>
        <v/>
      </c>
      <c r="EU90" s="40" t="str">
        <f t="shared" ref="EU90:EU92" si="1065">IF(BO90="","","|n"&amp;EU$2&amp;"+"&amp;BO90&amp;EU$1)</f>
        <v/>
      </c>
      <c r="EV90" s="40" t="str">
        <f t="shared" ref="EV90:EV92" si="1066">IF(BP90="","","|n"&amp;EV$2&amp;"+"&amp;BP90&amp;EV$1)</f>
        <v/>
      </c>
      <c r="EW90" s="40" t="str">
        <f t="shared" ref="EW90:EW92" si="1067">IF(BQ90="","","|n"&amp;EW$2&amp;"+"&amp;BQ90&amp;EW$1)</f>
        <v/>
      </c>
      <c r="EX90" s="40" t="str">
        <f t="shared" ref="EX90:EX92" si="1068">IF(BR90="","","|n"&amp;EX$2&amp;"+"&amp;BR90&amp;EX$1)</f>
        <v/>
      </c>
      <c r="EY90" s="40" t="str">
        <f t="shared" ref="EY90:EY92" si="1069">IF(BS90="","","|n"&amp;EY$2&amp;"+"&amp;BS90&amp;EY$1)</f>
        <v/>
      </c>
      <c r="EZ90" s="40" t="str">
        <f t="shared" ref="EZ90:EZ92" si="1070">IF(BT90="","","|n"&amp;EZ$2&amp;"+"&amp;BT90&amp;EZ$1)</f>
        <v/>
      </c>
      <c r="FA90" s="40" t="str">
        <f t="shared" ref="FA90:FA92" si="1071">IF(BU90="","","|n"&amp;FA$2&amp;"+"&amp;BU90&amp;FA$1)</f>
        <v/>
      </c>
      <c r="FB90" s="40" t="str">
        <f t="shared" ref="FB90:FB92" si="1072">IF(BV90="","","|n"&amp;FB$2&amp;"+"&amp;BV90&amp;FB$1)</f>
        <v/>
      </c>
      <c r="FC90" s="40" t="str">
        <f t="shared" ref="FC90:FC92" si="1073">IF(BW90="","","|n"&amp;FC$2&amp;"+"&amp;BW90&amp;FC$1)</f>
        <v/>
      </c>
      <c r="FD90" s="40" t="str">
        <f t="shared" ref="FD90:FD92" si="1074">IF(BX90="","","|n"&amp;FD$2&amp;"+"&amp;BX90&amp;FD$1)</f>
        <v/>
      </c>
      <c r="FE90" s="40" t="str">
        <f t="shared" ref="FE90:FE92" si="1075">IF(BY90="","","|n"&amp;FE$2&amp;"+"&amp;BY90&amp;FE$1)</f>
        <v/>
      </c>
      <c r="FF90" s="40" t="str">
        <f t="shared" ref="FF90:FF92" si="1076">IF(BZ90="","","|n"&amp;FF$2&amp;"+"&amp;BZ90&amp;FF$1)</f>
        <v/>
      </c>
      <c r="FG90" s="40" t="str">
        <f t="shared" ref="FG90:FG92" si="1077">IF(CA90="","","|n"&amp;FG$2&amp;"+"&amp;CA90&amp;FG$1)</f>
        <v/>
      </c>
      <c r="FH90" s="40" t="str">
        <f t="shared" ref="FH90:FH92" si="1078">IF(CB90="","","|n"&amp;FH$2&amp;"+"&amp;CB90&amp;FH$1)</f>
        <v/>
      </c>
      <c r="FI90" s="40" t="str">
        <f t="shared" ref="FI90:FI92" si="1079">IF(CC90="","","|n"&amp;FI$2&amp;"+"&amp;CC90&amp;FI$1)</f>
        <v/>
      </c>
      <c r="FJ90" s="40" t="str">
        <f t="shared" ref="FJ90:FJ92" si="1080">IF(CD90="","","|n"&amp;FJ$2&amp;"+"&amp;CD90&amp;FJ$1)</f>
        <v/>
      </c>
      <c r="FK90" s="40" t="str">
        <f t="shared" ref="FK90:FK92" si="1081">IF(CE90="","","|n"&amp;FK$2&amp;"+"&amp;CE90&amp;FK$1)</f>
        <v/>
      </c>
      <c r="FL90" s="40" t="str">
        <f t="shared" ref="FL90:FL92" si="1082">IF(CF90="","","|n"&amp;FL$2&amp;"+"&amp;CF90&amp;FL$1)</f>
        <v/>
      </c>
      <c r="FM90" s="40" t="str">
        <f t="shared" ref="FM90:FM92" si="1083">IF(CG90="","","|n"&amp;FM$2&amp;"+"&amp;CG90&amp;FM$1)</f>
        <v/>
      </c>
      <c r="FN90" s="40" t="str">
        <f t="shared" ref="FN90:FN92" si="1084">IF(CH90="","","|n"&amp;FN$2&amp;"+"&amp;CH90&amp;FN$1)</f>
        <v/>
      </c>
      <c r="FO90" s="40" t="str">
        <f t="shared" ref="FO90:FO92" si="1085">IF(CI90="","","|n"&amp;FO$2&amp;"+"&amp;CI90&amp;FO$1)</f>
        <v/>
      </c>
      <c r="FP90" s="40" t="str">
        <f t="shared" ref="FP90:FP92" si="1086">IF(CJ90="","","|n"&amp;FP$2&amp;"+"&amp;CJ90&amp;FP$1)</f>
        <v/>
      </c>
      <c r="FQ90" s="40" t="str">
        <f t="shared" ref="FQ90:FQ92" si="1087">IF(CK90="","","|n"&amp;FQ$2&amp;"+"&amp;CK90&amp;FQ$1)</f>
        <v/>
      </c>
      <c r="FR90" s="40" t="str">
        <f t="shared" ref="FR90:FR92" si="1088">IF(CL90="","","|n"&amp;FR$2&amp;"+"&amp;CL90&amp;FR$1)</f>
        <v/>
      </c>
      <c r="FS90" s="40" t="str">
        <f t="shared" ref="FS90:FS92" si="1089">IF(CM90="","","|n"&amp;FS$2&amp;"+"&amp;CM90&amp;FS$1)</f>
        <v/>
      </c>
    </row>
    <row r="91" spans="1:175" ht="16.5">
      <c r="A91" s="2"/>
      <c r="B91" s="2" t="s">
        <v>642</v>
      </c>
      <c r="C91" s="2" t="s">
        <v>645</v>
      </c>
      <c r="T91" s="2" t="s">
        <v>648</v>
      </c>
      <c r="U91" s="51" t="str">
        <f t="shared" ref="U91:U93" si="1090">"ReplaceableTextures\\CommandButtons\\BTN"&amp;B91&amp;".blp"</f>
        <v>ReplaceableTextures\\CommandButtons\\BTNCS11.blp</v>
      </c>
      <c r="CN91" s="10" t="str">
        <f t="shared" ref="CN91:CN93" si="1091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2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3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4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8"/>
        <v>|n</v>
      </c>
      <c r="CV91" s="3" t="str">
        <f t="shared" si="1019"/>
        <v>A级技能突破为S</v>
      </c>
      <c r="CW91" s="4"/>
      <c r="CX91" s="4"/>
      <c r="CY91" s="4"/>
      <c r="CZ91" s="4"/>
      <c r="DA91" s="4"/>
      <c r="DB91" s="40" t="str">
        <f t="shared" si="1020"/>
        <v/>
      </c>
      <c r="DC91" s="40" t="str">
        <f t="shared" si="1021"/>
        <v/>
      </c>
      <c r="DD91" s="40" t="str">
        <f t="shared" si="1022"/>
        <v/>
      </c>
      <c r="DE91" s="40" t="str">
        <f t="shared" si="1023"/>
        <v/>
      </c>
      <c r="DF91" s="40" t="str">
        <f t="shared" si="1024"/>
        <v/>
      </c>
      <c r="DG91" s="40" t="str">
        <f t="shared" si="1025"/>
        <v/>
      </c>
      <c r="DH91" s="40" t="str">
        <f t="shared" si="1026"/>
        <v/>
      </c>
      <c r="DI91" s="40" t="str">
        <f t="shared" si="1027"/>
        <v/>
      </c>
      <c r="DJ91" s="40" t="str">
        <f t="shared" si="1028"/>
        <v/>
      </c>
      <c r="DK91" s="40" t="str">
        <f t="shared" si="1029"/>
        <v/>
      </c>
      <c r="DL91" s="40" t="str">
        <f t="shared" si="1030"/>
        <v/>
      </c>
      <c r="DM91" s="40" t="str">
        <f t="shared" si="1031"/>
        <v/>
      </c>
      <c r="DN91" s="40" t="str">
        <f t="shared" si="1032"/>
        <v/>
      </c>
      <c r="DO91" s="40" t="str">
        <f t="shared" si="1033"/>
        <v/>
      </c>
      <c r="DP91" s="40" t="str">
        <f t="shared" si="1034"/>
        <v/>
      </c>
      <c r="DQ91" s="40" t="str">
        <f t="shared" si="1035"/>
        <v/>
      </c>
      <c r="DR91" s="40" t="str">
        <f t="shared" si="1036"/>
        <v/>
      </c>
      <c r="DS91" s="40" t="str">
        <f t="shared" si="1037"/>
        <v/>
      </c>
      <c r="DT91" s="40" t="str">
        <f t="shared" si="1038"/>
        <v/>
      </c>
      <c r="DU91" s="40" t="str">
        <f t="shared" si="1039"/>
        <v/>
      </c>
      <c r="DV91" s="40" t="str">
        <f t="shared" si="1040"/>
        <v/>
      </c>
      <c r="DW91" s="40" t="str">
        <f t="shared" si="1041"/>
        <v/>
      </c>
      <c r="DX91" s="40" t="str">
        <f t="shared" si="1042"/>
        <v/>
      </c>
      <c r="DY91" s="40" t="str">
        <f t="shared" si="1043"/>
        <v/>
      </c>
      <c r="DZ91" s="40" t="str">
        <f t="shared" si="1044"/>
        <v/>
      </c>
      <c r="EA91" s="40" t="str">
        <f t="shared" si="1045"/>
        <v/>
      </c>
      <c r="EB91" s="40" t="str">
        <f t="shared" si="1046"/>
        <v/>
      </c>
      <c r="EC91" s="40" t="str">
        <f t="shared" si="1047"/>
        <v/>
      </c>
      <c r="ED91" s="40" t="str">
        <f t="shared" si="1048"/>
        <v/>
      </c>
      <c r="EE91" s="40" t="str">
        <f t="shared" si="1049"/>
        <v/>
      </c>
      <c r="EF91" s="40" t="str">
        <f t="shared" si="1050"/>
        <v/>
      </c>
      <c r="EG91" s="40" t="str">
        <f t="shared" si="1051"/>
        <v/>
      </c>
      <c r="EH91" s="40" t="str">
        <f t="shared" si="1052"/>
        <v/>
      </c>
      <c r="EI91" s="40" t="str">
        <f t="shared" si="1053"/>
        <v/>
      </c>
      <c r="EJ91" s="40" t="str">
        <f t="shared" si="1054"/>
        <v/>
      </c>
      <c r="EK91" s="40" t="str">
        <f t="shared" si="1055"/>
        <v/>
      </c>
      <c r="EL91" s="40" t="str">
        <f t="shared" si="1056"/>
        <v/>
      </c>
      <c r="EM91" s="40" t="str">
        <f t="shared" si="1057"/>
        <v/>
      </c>
      <c r="EN91" s="40" t="str">
        <f t="shared" si="1058"/>
        <v/>
      </c>
      <c r="EO91" s="40" t="str">
        <f t="shared" si="1059"/>
        <v/>
      </c>
      <c r="EP91" s="40" t="str">
        <f t="shared" si="1060"/>
        <v/>
      </c>
      <c r="EQ91" s="40" t="str">
        <f t="shared" si="1061"/>
        <v/>
      </c>
      <c r="ER91" s="40" t="str">
        <f t="shared" si="1062"/>
        <v/>
      </c>
      <c r="ES91" s="40" t="str">
        <f t="shared" si="1063"/>
        <v/>
      </c>
      <c r="ET91" s="40" t="str">
        <f t="shared" si="1064"/>
        <v/>
      </c>
      <c r="EU91" s="40" t="str">
        <f t="shared" si="1065"/>
        <v/>
      </c>
      <c r="EV91" s="40" t="str">
        <f t="shared" si="1066"/>
        <v/>
      </c>
      <c r="EW91" s="40" t="str">
        <f t="shared" si="1067"/>
        <v/>
      </c>
      <c r="EX91" s="40" t="str">
        <f t="shared" si="1068"/>
        <v/>
      </c>
      <c r="EY91" s="40" t="str">
        <f t="shared" si="1069"/>
        <v/>
      </c>
      <c r="EZ91" s="40" t="str">
        <f t="shared" si="1070"/>
        <v/>
      </c>
      <c r="FA91" s="40" t="str">
        <f t="shared" si="1071"/>
        <v/>
      </c>
      <c r="FB91" s="40" t="str">
        <f t="shared" si="1072"/>
        <v/>
      </c>
      <c r="FC91" s="40" t="str">
        <f t="shared" si="1073"/>
        <v/>
      </c>
      <c r="FD91" s="40" t="str">
        <f t="shared" si="1074"/>
        <v/>
      </c>
      <c r="FE91" s="40" t="str">
        <f t="shared" si="1075"/>
        <v/>
      </c>
      <c r="FF91" s="40" t="str">
        <f t="shared" si="1076"/>
        <v/>
      </c>
      <c r="FG91" s="40" t="str">
        <f t="shared" si="1077"/>
        <v/>
      </c>
      <c r="FH91" s="40" t="str">
        <f t="shared" si="1078"/>
        <v/>
      </c>
      <c r="FI91" s="40" t="str">
        <f t="shared" si="1079"/>
        <v/>
      </c>
      <c r="FJ91" s="40" t="str">
        <f t="shared" si="1080"/>
        <v/>
      </c>
      <c r="FK91" s="40" t="str">
        <f t="shared" si="1081"/>
        <v/>
      </c>
      <c r="FL91" s="40" t="str">
        <f t="shared" si="1082"/>
        <v/>
      </c>
      <c r="FM91" s="40" t="str">
        <f t="shared" si="1083"/>
        <v/>
      </c>
      <c r="FN91" s="40" t="str">
        <f t="shared" si="1084"/>
        <v/>
      </c>
      <c r="FO91" s="40" t="str">
        <f t="shared" si="1085"/>
        <v/>
      </c>
      <c r="FP91" s="40" t="str">
        <f t="shared" si="1086"/>
        <v/>
      </c>
      <c r="FQ91" s="40" t="str">
        <f t="shared" si="1087"/>
        <v/>
      </c>
      <c r="FR91" s="40" t="str">
        <f t="shared" si="1088"/>
        <v/>
      </c>
      <c r="FS91" s="40" t="str">
        <f t="shared" si="1089"/>
        <v/>
      </c>
    </row>
    <row r="92" spans="1:175" ht="16.5">
      <c r="A92" s="2"/>
      <c r="B92" s="2" t="s">
        <v>643</v>
      </c>
      <c r="C92" s="2" t="s">
        <v>646</v>
      </c>
      <c r="T92" s="2" t="s">
        <v>648</v>
      </c>
      <c r="U92" s="51" t="str">
        <f t="shared" si="1090"/>
        <v>ReplaceableTextures\\CommandButtons\\BTNCS12.blp</v>
      </c>
      <c r="CN92" s="10" t="str">
        <f t="shared" si="1091"/>
        <v>InitUnitState('CS12',,,,,,,,,,)</v>
      </c>
      <c r="CO92" s="10" t="str">
        <f t="shared" si="1092"/>
        <v>InitUnitNormal('CS12',,,,,,,,,,)</v>
      </c>
      <c r="CP92" s="10" t="str">
        <f t="shared" si="1093"/>
        <v>InitUnitMagic('CS12',,,,,,,,,,)</v>
      </c>
      <c r="CQ92" s="10" t="str">
        <f t="shared" si="1094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8"/>
        <v>|n</v>
      </c>
      <c r="CV92" s="3" t="str">
        <f t="shared" si="1019"/>
        <v>A级技能突破为S</v>
      </c>
      <c r="CW92" s="4"/>
      <c r="CX92" s="4"/>
      <c r="CY92" s="4"/>
      <c r="CZ92" s="4"/>
      <c r="DA92" s="4"/>
      <c r="DB92" s="40" t="str">
        <f t="shared" si="1020"/>
        <v/>
      </c>
      <c r="DC92" s="40" t="str">
        <f t="shared" si="1021"/>
        <v/>
      </c>
      <c r="DD92" s="40" t="str">
        <f t="shared" si="1022"/>
        <v/>
      </c>
      <c r="DE92" s="40" t="str">
        <f t="shared" si="1023"/>
        <v/>
      </c>
      <c r="DF92" s="40" t="str">
        <f t="shared" si="1024"/>
        <v/>
      </c>
      <c r="DG92" s="40" t="str">
        <f t="shared" si="1025"/>
        <v/>
      </c>
      <c r="DH92" s="40" t="str">
        <f t="shared" si="1026"/>
        <v/>
      </c>
      <c r="DI92" s="40" t="str">
        <f t="shared" si="1027"/>
        <v/>
      </c>
      <c r="DJ92" s="40" t="str">
        <f t="shared" si="1028"/>
        <v/>
      </c>
      <c r="DK92" s="40" t="str">
        <f t="shared" si="1029"/>
        <v/>
      </c>
      <c r="DL92" s="40" t="str">
        <f t="shared" si="1030"/>
        <v/>
      </c>
      <c r="DM92" s="40" t="str">
        <f t="shared" si="1031"/>
        <v/>
      </c>
      <c r="DN92" s="40" t="str">
        <f t="shared" si="1032"/>
        <v/>
      </c>
      <c r="DO92" s="40" t="str">
        <f t="shared" si="1033"/>
        <v/>
      </c>
      <c r="DP92" s="40" t="str">
        <f t="shared" si="1034"/>
        <v/>
      </c>
      <c r="DQ92" s="40" t="str">
        <f t="shared" si="1035"/>
        <v/>
      </c>
      <c r="DR92" s="40" t="str">
        <f t="shared" si="1036"/>
        <v/>
      </c>
      <c r="DS92" s="40" t="str">
        <f t="shared" si="1037"/>
        <v/>
      </c>
      <c r="DT92" s="40" t="str">
        <f t="shared" si="1038"/>
        <v/>
      </c>
      <c r="DU92" s="40" t="str">
        <f t="shared" si="1039"/>
        <v/>
      </c>
      <c r="DV92" s="40" t="str">
        <f t="shared" si="1040"/>
        <v/>
      </c>
      <c r="DW92" s="40" t="str">
        <f t="shared" si="1041"/>
        <v/>
      </c>
      <c r="DX92" s="40" t="str">
        <f t="shared" si="1042"/>
        <v/>
      </c>
      <c r="DY92" s="40" t="str">
        <f t="shared" si="1043"/>
        <v/>
      </c>
      <c r="DZ92" s="40" t="str">
        <f t="shared" si="1044"/>
        <v/>
      </c>
      <c r="EA92" s="40" t="str">
        <f t="shared" si="1045"/>
        <v/>
      </c>
      <c r="EB92" s="40" t="str">
        <f t="shared" si="1046"/>
        <v/>
      </c>
      <c r="EC92" s="40" t="str">
        <f t="shared" si="1047"/>
        <v/>
      </c>
      <c r="ED92" s="40" t="str">
        <f t="shared" si="1048"/>
        <v/>
      </c>
      <c r="EE92" s="40" t="str">
        <f t="shared" si="1049"/>
        <v/>
      </c>
      <c r="EF92" s="40" t="str">
        <f t="shared" si="1050"/>
        <v/>
      </c>
      <c r="EG92" s="40" t="str">
        <f t="shared" si="1051"/>
        <v/>
      </c>
      <c r="EH92" s="40" t="str">
        <f t="shared" si="1052"/>
        <v/>
      </c>
      <c r="EI92" s="40" t="str">
        <f t="shared" si="1053"/>
        <v/>
      </c>
      <c r="EJ92" s="40" t="str">
        <f t="shared" si="1054"/>
        <v/>
      </c>
      <c r="EK92" s="40" t="str">
        <f t="shared" si="1055"/>
        <v/>
      </c>
      <c r="EL92" s="40" t="str">
        <f t="shared" si="1056"/>
        <v/>
      </c>
      <c r="EM92" s="40" t="str">
        <f t="shared" si="1057"/>
        <v/>
      </c>
      <c r="EN92" s="40" t="str">
        <f t="shared" si="1058"/>
        <v/>
      </c>
      <c r="EO92" s="40" t="str">
        <f t="shared" si="1059"/>
        <v/>
      </c>
      <c r="EP92" s="40" t="str">
        <f t="shared" si="1060"/>
        <v/>
      </c>
      <c r="EQ92" s="40" t="str">
        <f t="shared" si="1061"/>
        <v/>
      </c>
      <c r="ER92" s="40" t="str">
        <f t="shared" si="1062"/>
        <v/>
      </c>
      <c r="ES92" s="40" t="str">
        <f t="shared" si="1063"/>
        <v/>
      </c>
      <c r="ET92" s="40" t="str">
        <f t="shared" si="1064"/>
        <v/>
      </c>
      <c r="EU92" s="40" t="str">
        <f t="shared" si="1065"/>
        <v/>
      </c>
      <c r="EV92" s="40" t="str">
        <f t="shared" si="1066"/>
        <v/>
      </c>
      <c r="EW92" s="40" t="str">
        <f t="shared" si="1067"/>
        <v/>
      </c>
      <c r="EX92" s="40" t="str">
        <f t="shared" si="1068"/>
        <v/>
      </c>
      <c r="EY92" s="40" t="str">
        <f t="shared" si="1069"/>
        <v/>
      </c>
      <c r="EZ92" s="40" t="str">
        <f t="shared" si="1070"/>
        <v/>
      </c>
      <c r="FA92" s="40" t="str">
        <f t="shared" si="1071"/>
        <v/>
      </c>
      <c r="FB92" s="40" t="str">
        <f t="shared" si="1072"/>
        <v/>
      </c>
      <c r="FC92" s="40" t="str">
        <f t="shared" si="1073"/>
        <v/>
      </c>
      <c r="FD92" s="40" t="str">
        <f t="shared" si="1074"/>
        <v/>
      </c>
      <c r="FE92" s="40" t="str">
        <f t="shared" si="1075"/>
        <v/>
      </c>
      <c r="FF92" s="40" t="str">
        <f t="shared" si="1076"/>
        <v/>
      </c>
      <c r="FG92" s="40" t="str">
        <f t="shared" si="1077"/>
        <v/>
      </c>
      <c r="FH92" s="40" t="str">
        <f t="shared" si="1078"/>
        <v/>
      </c>
      <c r="FI92" s="40" t="str">
        <f t="shared" si="1079"/>
        <v/>
      </c>
      <c r="FJ92" s="40" t="str">
        <f t="shared" si="1080"/>
        <v/>
      </c>
      <c r="FK92" s="40" t="str">
        <f t="shared" si="1081"/>
        <v/>
      </c>
      <c r="FL92" s="40" t="str">
        <f t="shared" si="1082"/>
        <v/>
      </c>
      <c r="FM92" s="40" t="str">
        <f t="shared" si="1083"/>
        <v/>
      </c>
      <c r="FN92" s="40" t="str">
        <f t="shared" si="1084"/>
        <v/>
      </c>
      <c r="FO92" s="40" t="str">
        <f t="shared" si="1085"/>
        <v/>
      </c>
      <c r="FP92" s="40" t="str">
        <f t="shared" si="1086"/>
        <v/>
      </c>
      <c r="FQ92" s="40" t="str">
        <f t="shared" si="1087"/>
        <v/>
      </c>
      <c r="FR92" s="40" t="str">
        <f t="shared" si="1088"/>
        <v/>
      </c>
      <c r="FS92" s="40" t="str">
        <f t="shared" si="1089"/>
        <v/>
      </c>
    </row>
    <row r="93" spans="1:175" ht="16.5">
      <c r="A93" s="2"/>
      <c r="B93" s="2" t="s">
        <v>644</v>
      </c>
      <c r="C93" s="2" t="s">
        <v>647</v>
      </c>
      <c r="T93" s="2" t="s">
        <v>648</v>
      </c>
      <c r="U93" s="51" t="str">
        <f t="shared" si="1090"/>
        <v>ReplaceableTextures\\CommandButtons\\BTNCS13.blp</v>
      </c>
      <c r="CN93" s="10" t="str">
        <f t="shared" si="1091"/>
        <v>InitUnitState('CS13',,,,,,,,,,)</v>
      </c>
      <c r="CO93" s="10" t="str">
        <f t="shared" si="1092"/>
        <v>InitUnitNormal('CS13',,,,,,,,,,)</v>
      </c>
      <c r="CP93" s="10" t="str">
        <f t="shared" si="1093"/>
        <v>InitUnitMagic('CS13',,,,,,,,,,)</v>
      </c>
      <c r="CQ93" s="10" t="str">
        <f t="shared" si="1094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5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6">T93</f>
        <v>A级技能突破为S</v>
      </c>
      <c r="CW93" s="4"/>
      <c r="CX93" s="4"/>
      <c r="CY93" s="4"/>
      <c r="CZ93" s="4"/>
      <c r="DA93" s="4"/>
      <c r="DB93" s="40" t="str">
        <f t="shared" ref="DB93" si="1097">IF(V93="","","|n"&amp;DB$2&amp;"+"&amp;V93&amp;DB$1)</f>
        <v/>
      </c>
      <c r="DC93" s="40" t="str">
        <f t="shared" ref="DC93" si="1098">IF(W93="","","|n"&amp;DC$2&amp;"+"&amp;W93&amp;DC$1)</f>
        <v/>
      </c>
      <c r="DD93" s="40" t="str">
        <f t="shared" ref="DD93" si="1099">IF(X93="","","|n"&amp;DD$2&amp;"+"&amp;X93&amp;DD$1)</f>
        <v/>
      </c>
      <c r="DE93" s="40" t="str">
        <f t="shared" ref="DE93" si="1100">IF(Y93="","","|n"&amp;DE$2&amp;"+"&amp;Y93&amp;DE$1)</f>
        <v/>
      </c>
      <c r="DF93" s="40" t="str">
        <f t="shared" ref="DF93" si="1101">IF(Z93="","","|n"&amp;DF$2&amp;"+"&amp;Z93&amp;DF$1)</f>
        <v/>
      </c>
      <c r="DG93" s="40" t="str">
        <f t="shared" ref="DG93" si="1102">IF(AA93="","","|n"&amp;DG$2&amp;"+"&amp;AA93&amp;DG$1)</f>
        <v/>
      </c>
      <c r="DH93" s="40" t="str">
        <f t="shared" ref="DH93" si="1103">IF(AB93="","","|n"&amp;DH$2&amp;"+"&amp;AB93&amp;DH$1)</f>
        <v/>
      </c>
      <c r="DI93" s="40" t="str">
        <f t="shared" ref="DI93" si="1104">IF(AC93="","","|n"&amp;DI$2&amp;"+"&amp;AC93&amp;DI$1)</f>
        <v/>
      </c>
      <c r="DJ93" s="40" t="str">
        <f t="shared" ref="DJ93" si="1105">IF(AD93="","","|n"&amp;DJ$2&amp;"+"&amp;AD93&amp;DJ$1)</f>
        <v/>
      </c>
      <c r="DK93" s="40" t="str">
        <f t="shared" ref="DK93" si="1106">IF(AE93="","","|n"&amp;DK$2&amp;"+"&amp;AE93&amp;DK$1)</f>
        <v/>
      </c>
      <c r="DL93" s="40" t="str">
        <f t="shared" ref="DL93" si="1107">IF(AF93="","","|n"&amp;DL$2&amp;"+"&amp;AF93&amp;DL$1)</f>
        <v/>
      </c>
      <c r="DM93" s="40" t="str">
        <f t="shared" ref="DM93" si="1108">IF(AG93="","","|n"&amp;DM$2&amp;"+"&amp;AG93&amp;DM$1)</f>
        <v/>
      </c>
      <c r="DN93" s="40" t="str">
        <f t="shared" ref="DN93" si="1109">IF(AH93="","","|n"&amp;DN$2&amp;"+"&amp;AH93&amp;DN$1)</f>
        <v/>
      </c>
      <c r="DO93" s="40" t="str">
        <f t="shared" ref="DO93" si="1110">IF(AI93="","","|n"&amp;DO$2&amp;"+"&amp;AI93&amp;DO$1)</f>
        <v/>
      </c>
      <c r="DP93" s="40" t="str">
        <f t="shared" ref="DP93" si="1111">IF(AJ93="","","|n"&amp;DP$2&amp;"+"&amp;AJ93&amp;DP$1)</f>
        <v/>
      </c>
      <c r="DQ93" s="40" t="str">
        <f t="shared" ref="DQ93" si="1112">IF(AK93="","","|n"&amp;DQ$2&amp;"+"&amp;AK93&amp;DQ$1)</f>
        <v/>
      </c>
      <c r="DR93" s="40" t="str">
        <f t="shared" ref="DR93" si="1113">IF(AL93="","","|n"&amp;DR$2&amp;"+"&amp;AL93&amp;DR$1)</f>
        <v/>
      </c>
      <c r="DS93" s="40" t="str">
        <f t="shared" ref="DS93" si="1114">IF(AM93="","","|n"&amp;DS$2&amp;"+"&amp;AM93&amp;DS$1)</f>
        <v/>
      </c>
      <c r="DT93" s="40" t="str">
        <f t="shared" ref="DT93" si="1115">IF(AN93="","","|n"&amp;DT$2&amp;"+"&amp;AN93&amp;DT$1)</f>
        <v/>
      </c>
      <c r="DU93" s="40" t="str">
        <f t="shared" ref="DU93" si="1116">IF(AO93="","","|n"&amp;DU$2&amp;"+"&amp;AO93&amp;DU$1)</f>
        <v/>
      </c>
      <c r="DV93" s="40" t="str">
        <f t="shared" ref="DV93" si="1117">IF(AP93="","","|n"&amp;DV$2&amp;"+"&amp;AP93&amp;DV$1)</f>
        <v/>
      </c>
      <c r="DW93" s="40" t="str">
        <f t="shared" ref="DW93" si="1118">IF(AQ93="","","|n"&amp;DW$2&amp;"+"&amp;AQ93&amp;DW$1)</f>
        <v/>
      </c>
      <c r="DX93" s="40" t="str">
        <f t="shared" ref="DX93" si="1119">IF(AR93="","","|n"&amp;DX$2&amp;"+"&amp;AR93&amp;DX$1)</f>
        <v/>
      </c>
      <c r="DY93" s="40" t="str">
        <f t="shared" ref="DY93" si="1120">IF(AS93="","","|n"&amp;DY$2&amp;"+"&amp;AS93&amp;DY$1)</f>
        <v/>
      </c>
      <c r="DZ93" s="40" t="str">
        <f t="shared" ref="DZ93" si="1121">IF(AT93="","","|n"&amp;DZ$2&amp;"+"&amp;AT93&amp;DZ$1)</f>
        <v/>
      </c>
      <c r="EA93" s="40" t="str">
        <f t="shared" ref="EA93" si="1122">IF(AU93="","","|n"&amp;EA$2&amp;"+"&amp;AU93&amp;EA$1)</f>
        <v/>
      </c>
      <c r="EB93" s="40" t="str">
        <f t="shared" ref="EB93" si="1123">IF(AV93="","","|n"&amp;EB$2&amp;"+"&amp;AV93&amp;EB$1)</f>
        <v/>
      </c>
      <c r="EC93" s="40" t="str">
        <f t="shared" ref="EC93" si="1124">IF(AW93="","","|n"&amp;EC$2&amp;"+"&amp;AW93&amp;EC$1)</f>
        <v/>
      </c>
      <c r="ED93" s="40" t="str">
        <f t="shared" ref="ED93" si="1125">IF(AX93="","","|n"&amp;ED$2&amp;"+"&amp;AX93&amp;ED$1)</f>
        <v/>
      </c>
      <c r="EE93" s="40" t="str">
        <f t="shared" ref="EE93" si="1126">IF(AY93="","","|n"&amp;EE$2&amp;"+"&amp;AY93&amp;EE$1)</f>
        <v/>
      </c>
      <c r="EF93" s="40" t="str">
        <f t="shared" ref="EF93" si="1127">IF(AZ93="","","|n"&amp;EF$2&amp;"+"&amp;AZ93&amp;EF$1)</f>
        <v/>
      </c>
      <c r="EG93" s="40" t="str">
        <f t="shared" ref="EG93" si="1128">IF(BA93="","","|n"&amp;EG$2&amp;"+"&amp;BA93&amp;EG$1)</f>
        <v/>
      </c>
      <c r="EH93" s="40" t="str">
        <f t="shared" ref="EH93" si="1129">IF(BB93="","","|n"&amp;EH$2&amp;"+"&amp;BB93&amp;EH$1)</f>
        <v/>
      </c>
      <c r="EI93" s="40" t="str">
        <f t="shared" ref="EI93" si="1130">IF(BC93="","","|n"&amp;EI$2&amp;"+"&amp;BC93&amp;EI$1)</f>
        <v/>
      </c>
      <c r="EJ93" s="40" t="str">
        <f t="shared" ref="EJ93" si="1131">IF(BD93="","","|n"&amp;EJ$2&amp;"+"&amp;BD93&amp;EJ$1)</f>
        <v/>
      </c>
      <c r="EK93" s="40" t="str">
        <f t="shared" ref="EK93" si="1132">IF(BE93="","","|n"&amp;EK$2&amp;"+"&amp;BE93&amp;EK$1)</f>
        <v/>
      </c>
      <c r="EL93" s="40" t="str">
        <f t="shared" ref="EL93" si="1133">IF(BF93="","","|n"&amp;EL$2&amp;"+"&amp;BF93&amp;EL$1)</f>
        <v/>
      </c>
      <c r="EM93" s="40" t="str">
        <f t="shared" ref="EM93" si="1134">IF(BG93="","","|n"&amp;EM$2&amp;"+"&amp;BG93&amp;EM$1)</f>
        <v/>
      </c>
      <c r="EN93" s="40" t="str">
        <f t="shared" ref="EN93" si="1135">IF(BH93="","","|n"&amp;EN$2&amp;"+"&amp;BH93&amp;EN$1)</f>
        <v/>
      </c>
      <c r="EO93" s="40" t="str">
        <f t="shared" ref="EO93" si="1136">IF(BI93="","","|n"&amp;EO$2&amp;"+"&amp;BI93&amp;EO$1)</f>
        <v/>
      </c>
      <c r="EP93" s="40" t="str">
        <f t="shared" ref="EP93" si="1137">IF(BJ93="","","|n"&amp;EP$2&amp;"+"&amp;BJ93&amp;EP$1)</f>
        <v/>
      </c>
      <c r="EQ93" s="40" t="str">
        <f t="shared" ref="EQ93" si="1138">IF(BK93="","","|n"&amp;EQ$2&amp;"+"&amp;BK93&amp;EQ$1)</f>
        <v/>
      </c>
      <c r="ER93" s="40" t="str">
        <f t="shared" ref="ER93" si="1139">IF(BL93="","","|n"&amp;ER$2&amp;"+"&amp;BL93&amp;ER$1)</f>
        <v/>
      </c>
      <c r="ES93" s="40" t="str">
        <f t="shared" ref="ES93" si="1140">IF(BM93="","","|n"&amp;ES$2&amp;"+"&amp;BM93&amp;ES$1)</f>
        <v/>
      </c>
      <c r="ET93" s="40" t="str">
        <f t="shared" ref="ET93" si="1141">IF(BN93="","","|n"&amp;ET$2&amp;"+"&amp;BN93&amp;ET$1)</f>
        <v/>
      </c>
      <c r="EU93" s="40" t="str">
        <f t="shared" ref="EU93" si="1142">IF(BO93="","","|n"&amp;EU$2&amp;"+"&amp;BO93&amp;EU$1)</f>
        <v/>
      </c>
      <c r="EV93" s="40" t="str">
        <f t="shared" ref="EV93" si="1143">IF(BP93="","","|n"&amp;EV$2&amp;"+"&amp;BP93&amp;EV$1)</f>
        <v/>
      </c>
      <c r="EW93" s="40" t="str">
        <f t="shared" ref="EW93" si="1144">IF(BQ93="","","|n"&amp;EW$2&amp;"+"&amp;BQ93&amp;EW$1)</f>
        <v/>
      </c>
      <c r="EX93" s="40" t="str">
        <f t="shared" ref="EX93" si="1145">IF(BR93="","","|n"&amp;EX$2&amp;"+"&amp;BR93&amp;EX$1)</f>
        <v/>
      </c>
      <c r="EY93" s="40" t="str">
        <f t="shared" ref="EY93" si="1146">IF(BS93="","","|n"&amp;EY$2&amp;"+"&amp;BS93&amp;EY$1)</f>
        <v/>
      </c>
      <c r="EZ93" s="40" t="str">
        <f t="shared" ref="EZ93" si="1147">IF(BT93="","","|n"&amp;EZ$2&amp;"+"&amp;BT93&amp;EZ$1)</f>
        <v/>
      </c>
      <c r="FA93" s="40" t="str">
        <f t="shared" ref="FA93" si="1148">IF(BU93="","","|n"&amp;FA$2&amp;"+"&amp;BU93&amp;FA$1)</f>
        <v/>
      </c>
      <c r="FB93" s="40" t="str">
        <f t="shared" ref="FB93" si="1149">IF(BV93="","","|n"&amp;FB$2&amp;"+"&amp;BV93&amp;FB$1)</f>
        <v/>
      </c>
      <c r="FC93" s="40" t="str">
        <f t="shared" ref="FC93" si="1150">IF(BW93="","","|n"&amp;FC$2&amp;"+"&amp;BW93&amp;FC$1)</f>
        <v/>
      </c>
      <c r="FD93" s="40" t="str">
        <f t="shared" ref="FD93" si="1151">IF(BX93="","","|n"&amp;FD$2&amp;"+"&amp;BX93&amp;FD$1)</f>
        <v/>
      </c>
      <c r="FE93" s="40" t="str">
        <f t="shared" ref="FE93" si="1152">IF(BY93="","","|n"&amp;FE$2&amp;"+"&amp;BY93&amp;FE$1)</f>
        <v/>
      </c>
      <c r="FF93" s="40" t="str">
        <f t="shared" ref="FF93" si="1153">IF(BZ93="","","|n"&amp;FF$2&amp;"+"&amp;BZ93&amp;FF$1)</f>
        <v/>
      </c>
      <c r="FG93" s="40" t="str">
        <f t="shared" ref="FG93" si="1154">IF(CA93="","","|n"&amp;FG$2&amp;"+"&amp;CA93&amp;FG$1)</f>
        <v/>
      </c>
      <c r="FH93" s="40" t="str">
        <f t="shared" ref="FH93" si="1155">IF(CB93="","","|n"&amp;FH$2&amp;"+"&amp;CB93&amp;FH$1)</f>
        <v/>
      </c>
      <c r="FI93" s="40" t="str">
        <f t="shared" ref="FI93" si="1156">IF(CC93="","","|n"&amp;FI$2&amp;"+"&amp;CC93&amp;FI$1)</f>
        <v/>
      </c>
      <c r="FJ93" s="40" t="str">
        <f t="shared" ref="FJ93" si="1157">IF(CD93="","","|n"&amp;FJ$2&amp;"+"&amp;CD93&amp;FJ$1)</f>
        <v/>
      </c>
      <c r="FK93" s="40" t="str">
        <f t="shared" ref="FK93" si="1158">IF(CE93="","","|n"&amp;FK$2&amp;"+"&amp;CE93&amp;FK$1)</f>
        <v/>
      </c>
      <c r="FL93" s="40" t="str">
        <f t="shared" ref="FL93" si="1159">IF(CF93="","","|n"&amp;FL$2&amp;"+"&amp;CF93&amp;FL$1)</f>
        <v/>
      </c>
      <c r="FM93" s="40" t="str">
        <f t="shared" ref="FM93" si="1160">IF(CG93="","","|n"&amp;FM$2&amp;"+"&amp;CG93&amp;FM$1)</f>
        <v/>
      </c>
      <c r="FN93" s="40" t="str">
        <f t="shared" ref="FN93" si="1161">IF(CH93="","","|n"&amp;FN$2&amp;"+"&amp;CH93&amp;FN$1)</f>
        <v/>
      </c>
      <c r="FO93" s="40" t="str">
        <f t="shared" ref="FO93" si="1162">IF(CI93="","","|n"&amp;FO$2&amp;"+"&amp;CI93&amp;FO$1)</f>
        <v/>
      </c>
      <c r="FP93" s="40" t="str">
        <f t="shared" ref="FP93" si="1163">IF(CJ93="","","|n"&amp;FP$2&amp;"+"&amp;CJ93&amp;FP$1)</f>
        <v/>
      </c>
      <c r="FQ93" s="40" t="str">
        <f t="shared" ref="FQ93" si="1164">IF(CK93="","","|n"&amp;FQ$2&amp;"+"&amp;CK93&amp;FQ$1)</f>
        <v/>
      </c>
      <c r="FR93" s="40" t="str">
        <f t="shared" ref="FR93" si="1165">IF(CL93="","","|n"&amp;FR$2&amp;"+"&amp;CL93&amp;FR$1)</f>
        <v/>
      </c>
      <c r="FS93" s="40" t="str">
        <f t="shared" ref="FS93" si="1166">IF(CM93="","","|n"&amp;FS$2&amp;"+"&amp;CM93&amp;FS$1)</f>
        <v/>
      </c>
    </row>
    <row r="94" spans="1:175" ht="27">
      <c r="A94" s="66"/>
      <c r="B94" s="2" t="s">
        <v>290</v>
      </c>
      <c r="C94" s="66" t="s">
        <v>291</v>
      </c>
      <c r="T94" s="72" t="s">
        <v>292</v>
      </c>
      <c r="U94" s="51" t="str">
        <f t="shared" si="939"/>
        <v>ReplaceableTextures\\CommandButtons\\BTNCF01.blp</v>
      </c>
      <c r="CN94" s="10" t="str">
        <f t="shared" si="940"/>
        <v>InitUnitState('CF01',,,,,,,,,,)</v>
      </c>
      <c r="CO94" s="10" t="str">
        <f t="shared" si="941"/>
        <v>InitUnitNormal('CF01',,,,,,,,,,)</v>
      </c>
      <c r="CP94" s="10" t="str">
        <f t="shared" si="942"/>
        <v>InitUnitMagic('CF01',,,,,,,,,,)</v>
      </c>
      <c r="CQ94" s="10" t="str">
        <f t="shared" si="943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7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8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9">IF(V94="","","|n"&amp;DB$2&amp;"+"&amp;V94&amp;DB$1)</f>
        <v/>
      </c>
      <c r="DC94" s="40" t="str">
        <f t="shared" ref="DC94:DC95" si="1170">IF(W94="","","|n"&amp;DC$2&amp;"+"&amp;W94&amp;DC$1)</f>
        <v/>
      </c>
      <c r="DD94" s="40" t="str">
        <f t="shared" ref="DD94:DD95" si="1171">IF(X94="","","|n"&amp;DD$2&amp;"+"&amp;X94&amp;DD$1)</f>
        <v/>
      </c>
      <c r="DE94" s="40" t="str">
        <f t="shared" ref="DE94:DE95" si="1172">IF(Y94="","","|n"&amp;DE$2&amp;"+"&amp;Y94&amp;DE$1)</f>
        <v/>
      </c>
      <c r="DF94" s="40" t="str">
        <f t="shared" ref="DF94:DF95" si="1173">IF(Z94="","","|n"&amp;DF$2&amp;"+"&amp;Z94&amp;DF$1)</f>
        <v/>
      </c>
      <c r="DG94" s="40" t="str">
        <f t="shared" ref="DG94:DG95" si="1174">IF(AA94="","","|n"&amp;DG$2&amp;"+"&amp;AA94&amp;DG$1)</f>
        <v/>
      </c>
      <c r="DH94" s="40" t="str">
        <f t="shared" ref="DH94:DH95" si="1175">IF(AB94="","","|n"&amp;DH$2&amp;"+"&amp;AB94&amp;DH$1)</f>
        <v/>
      </c>
      <c r="DI94" s="40" t="str">
        <f t="shared" ref="DI94:DI95" si="1176">IF(AC94="","","|n"&amp;DI$2&amp;"+"&amp;AC94&amp;DI$1)</f>
        <v/>
      </c>
      <c r="DJ94" s="40" t="str">
        <f t="shared" ref="DJ94:DJ95" si="1177">IF(AD94="","","|n"&amp;DJ$2&amp;"+"&amp;AD94&amp;DJ$1)</f>
        <v/>
      </c>
      <c r="DK94" s="40" t="str">
        <f t="shared" ref="DK94:DK95" si="1178">IF(AE94="","","|n"&amp;DK$2&amp;"+"&amp;AE94&amp;DK$1)</f>
        <v/>
      </c>
      <c r="DL94" s="40" t="str">
        <f t="shared" ref="DL94:DL95" si="1179">IF(AF94="","","|n"&amp;DL$2&amp;"+"&amp;AF94&amp;DL$1)</f>
        <v/>
      </c>
      <c r="DM94" s="40" t="str">
        <f t="shared" ref="DM94:DM95" si="1180">IF(AG94="","","|n"&amp;DM$2&amp;"+"&amp;AG94&amp;DM$1)</f>
        <v/>
      </c>
      <c r="DN94" s="40" t="str">
        <f t="shared" ref="DN94:DN95" si="1181">IF(AH94="","","|n"&amp;DN$2&amp;"+"&amp;AH94&amp;DN$1)</f>
        <v/>
      </c>
      <c r="DO94" s="40" t="str">
        <f t="shared" ref="DO94:DO95" si="1182">IF(AI94="","","|n"&amp;DO$2&amp;"+"&amp;AI94&amp;DO$1)</f>
        <v/>
      </c>
      <c r="DP94" s="40" t="str">
        <f t="shared" ref="DP94:DP95" si="1183">IF(AJ94="","","|n"&amp;DP$2&amp;"+"&amp;AJ94&amp;DP$1)</f>
        <v/>
      </c>
      <c r="DQ94" s="40" t="str">
        <f t="shared" ref="DQ94:DQ95" si="1184">IF(AK94="","","|n"&amp;DQ$2&amp;"+"&amp;AK94&amp;DQ$1)</f>
        <v/>
      </c>
      <c r="DR94" s="40" t="str">
        <f t="shared" ref="DR94:DR95" si="1185">IF(AL94="","","|n"&amp;DR$2&amp;"+"&amp;AL94&amp;DR$1)</f>
        <v/>
      </c>
      <c r="DS94" s="40" t="str">
        <f t="shared" ref="DS94:DS95" si="1186">IF(AM94="","","|n"&amp;DS$2&amp;"+"&amp;AM94&amp;DS$1)</f>
        <v/>
      </c>
      <c r="DT94" s="40" t="str">
        <f t="shared" ref="DT94:DT95" si="1187">IF(AN94="","","|n"&amp;DT$2&amp;"+"&amp;AN94&amp;DT$1)</f>
        <v/>
      </c>
      <c r="DU94" s="40" t="str">
        <f t="shared" ref="DU94:DU95" si="1188">IF(AO94="","","|n"&amp;DU$2&amp;"+"&amp;AO94&amp;DU$1)</f>
        <v/>
      </c>
      <c r="DV94" s="40" t="str">
        <f t="shared" ref="DV94:DV95" si="1189">IF(AP94="","","|n"&amp;DV$2&amp;"+"&amp;AP94&amp;DV$1)</f>
        <v/>
      </c>
      <c r="DW94" s="40" t="str">
        <f t="shared" ref="DW94:DW95" si="1190">IF(AQ94="","","|n"&amp;DW$2&amp;"+"&amp;AQ94&amp;DW$1)</f>
        <v/>
      </c>
      <c r="DX94" s="40" t="str">
        <f t="shared" ref="DX94:DX95" si="1191">IF(AR94="","","|n"&amp;DX$2&amp;"+"&amp;AR94&amp;DX$1)</f>
        <v/>
      </c>
      <c r="DY94" s="40" t="str">
        <f t="shared" ref="DY94:DY95" si="1192">IF(AS94="","","|n"&amp;DY$2&amp;"+"&amp;AS94&amp;DY$1)</f>
        <v/>
      </c>
      <c r="DZ94" s="40" t="str">
        <f t="shared" ref="DZ94:DZ95" si="1193">IF(AT94="","","|n"&amp;DZ$2&amp;"+"&amp;AT94&amp;DZ$1)</f>
        <v/>
      </c>
      <c r="EA94" s="40" t="str">
        <f t="shared" ref="EA94:EA95" si="1194">IF(AU94="","","|n"&amp;EA$2&amp;"+"&amp;AU94&amp;EA$1)</f>
        <v/>
      </c>
      <c r="EB94" s="40" t="str">
        <f t="shared" ref="EB94:EB95" si="1195">IF(AV94="","","|n"&amp;EB$2&amp;"+"&amp;AV94&amp;EB$1)</f>
        <v/>
      </c>
      <c r="EC94" s="40" t="str">
        <f t="shared" ref="EC94:EC95" si="1196">IF(AW94="","","|n"&amp;EC$2&amp;"+"&amp;AW94&amp;EC$1)</f>
        <v/>
      </c>
      <c r="ED94" s="40" t="str">
        <f t="shared" ref="ED94:ED95" si="1197">IF(AX94="","","|n"&amp;ED$2&amp;"+"&amp;AX94&amp;ED$1)</f>
        <v/>
      </c>
      <c r="EE94" s="40" t="str">
        <f t="shared" ref="EE94:EE95" si="1198">IF(AY94="","","|n"&amp;EE$2&amp;"+"&amp;AY94&amp;EE$1)</f>
        <v/>
      </c>
      <c r="EF94" s="40" t="str">
        <f t="shared" ref="EF94:EF95" si="1199">IF(AZ94="","","|n"&amp;EF$2&amp;"+"&amp;AZ94&amp;EF$1)</f>
        <v/>
      </c>
      <c r="EG94" s="40" t="str">
        <f t="shared" ref="EG94:EG95" si="1200">IF(BA94="","","|n"&amp;EG$2&amp;"+"&amp;BA94&amp;EG$1)</f>
        <v/>
      </c>
      <c r="EH94" s="40" t="str">
        <f t="shared" ref="EH94:EH95" si="1201">IF(BB94="","","|n"&amp;EH$2&amp;"+"&amp;BB94&amp;EH$1)</f>
        <v/>
      </c>
      <c r="EI94" s="40" t="str">
        <f t="shared" ref="EI94:EI95" si="1202">IF(BC94="","","|n"&amp;EI$2&amp;"+"&amp;BC94&amp;EI$1)</f>
        <v/>
      </c>
      <c r="EJ94" s="40" t="str">
        <f t="shared" ref="EJ94:EJ95" si="1203">IF(BD94="","","|n"&amp;EJ$2&amp;"+"&amp;BD94&amp;EJ$1)</f>
        <v/>
      </c>
      <c r="EK94" s="40" t="str">
        <f t="shared" ref="EK94:EK95" si="1204">IF(BE94="","","|n"&amp;EK$2&amp;"+"&amp;BE94&amp;EK$1)</f>
        <v/>
      </c>
      <c r="EL94" s="40" t="str">
        <f t="shared" ref="EL94:EL95" si="1205">IF(BF94="","","|n"&amp;EL$2&amp;"+"&amp;BF94&amp;EL$1)</f>
        <v/>
      </c>
      <c r="EM94" s="40" t="str">
        <f t="shared" ref="EM94:EM95" si="1206">IF(BG94="","","|n"&amp;EM$2&amp;"+"&amp;BG94&amp;EM$1)</f>
        <v/>
      </c>
      <c r="EN94" s="40" t="str">
        <f t="shared" ref="EN94:EN95" si="1207">IF(BH94="","","|n"&amp;EN$2&amp;"+"&amp;BH94&amp;EN$1)</f>
        <v/>
      </c>
      <c r="EO94" s="40" t="str">
        <f t="shared" ref="EO94:EO95" si="1208">IF(BI94="","","|n"&amp;EO$2&amp;"+"&amp;BI94&amp;EO$1)</f>
        <v/>
      </c>
      <c r="EP94" s="40" t="str">
        <f t="shared" ref="EP94:EP95" si="1209">IF(BJ94="","","|n"&amp;EP$2&amp;"+"&amp;BJ94&amp;EP$1)</f>
        <v/>
      </c>
      <c r="EQ94" s="40" t="str">
        <f t="shared" ref="EQ94:EQ95" si="1210">IF(BK94="","","|n"&amp;EQ$2&amp;"+"&amp;BK94&amp;EQ$1)</f>
        <v/>
      </c>
      <c r="ER94" s="40" t="str">
        <f t="shared" ref="ER94:ER95" si="1211">IF(BL94="","","|n"&amp;ER$2&amp;"+"&amp;BL94&amp;ER$1)</f>
        <v/>
      </c>
      <c r="ES94" s="40" t="str">
        <f t="shared" ref="ES94:ES95" si="1212">IF(BM94="","","|n"&amp;ES$2&amp;"+"&amp;BM94&amp;ES$1)</f>
        <v/>
      </c>
      <c r="ET94" s="40" t="str">
        <f t="shared" ref="ET94:ET95" si="1213">IF(BN94="","","|n"&amp;ET$2&amp;"+"&amp;BN94&amp;ET$1)</f>
        <v/>
      </c>
      <c r="EU94" s="40" t="str">
        <f t="shared" ref="EU94:EU95" si="1214">IF(BO94="","","|n"&amp;EU$2&amp;"+"&amp;BO94&amp;EU$1)</f>
        <v/>
      </c>
      <c r="EV94" s="40" t="str">
        <f t="shared" ref="EV94:EV95" si="1215">IF(BP94="","","|n"&amp;EV$2&amp;"+"&amp;BP94&amp;EV$1)</f>
        <v/>
      </c>
      <c r="EW94" s="40" t="str">
        <f t="shared" ref="EW94:EW95" si="1216">IF(BQ94="","","|n"&amp;EW$2&amp;"+"&amp;BQ94&amp;EW$1)</f>
        <v/>
      </c>
      <c r="EX94" s="40" t="str">
        <f t="shared" ref="EX94:EX95" si="1217">IF(BR94="","","|n"&amp;EX$2&amp;"+"&amp;BR94&amp;EX$1)</f>
        <v/>
      </c>
      <c r="EY94" s="40" t="str">
        <f t="shared" ref="EY94:EY95" si="1218">IF(BS94="","","|n"&amp;EY$2&amp;"+"&amp;BS94&amp;EY$1)</f>
        <v/>
      </c>
      <c r="EZ94" s="40" t="str">
        <f t="shared" ref="EZ94:EZ95" si="1219">IF(BT94="","","|n"&amp;EZ$2&amp;"+"&amp;BT94&amp;EZ$1)</f>
        <v/>
      </c>
      <c r="FA94" s="40" t="str">
        <f t="shared" ref="FA94:FA95" si="1220">IF(BU94="","","|n"&amp;FA$2&amp;"+"&amp;BU94&amp;FA$1)</f>
        <v/>
      </c>
      <c r="FB94" s="40" t="str">
        <f t="shared" ref="FB94:FB95" si="1221">IF(BV94="","","|n"&amp;FB$2&amp;"+"&amp;BV94&amp;FB$1)</f>
        <v/>
      </c>
      <c r="FC94" s="40" t="str">
        <f t="shared" ref="FC94:FC95" si="1222">IF(BW94="","","|n"&amp;FC$2&amp;"+"&amp;BW94&amp;FC$1)</f>
        <v/>
      </c>
      <c r="FD94" s="40" t="str">
        <f t="shared" ref="FD94:FD95" si="1223">IF(BX94="","","|n"&amp;FD$2&amp;"+"&amp;BX94&amp;FD$1)</f>
        <v/>
      </c>
      <c r="FE94" s="40" t="str">
        <f t="shared" ref="FE94:FE95" si="1224">IF(BY94="","","|n"&amp;FE$2&amp;"+"&amp;BY94&amp;FE$1)</f>
        <v/>
      </c>
      <c r="FF94" s="40" t="str">
        <f t="shared" ref="FF94:FF95" si="1225">IF(BZ94="","","|n"&amp;FF$2&amp;"+"&amp;BZ94&amp;FF$1)</f>
        <v/>
      </c>
      <c r="FG94" s="40" t="str">
        <f t="shared" ref="FG94:FG95" si="1226">IF(CA94="","","|n"&amp;FG$2&amp;"+"&amp;CA94&amp;FG$1)</f>
        <v/>
      </c>
      <c r="FH94" s="40" t="str">
        <f t="shared" ref="FH94:FH95" si="1227">IF(CB94="","","|n"&amp;FH$2&amp;"+"&amp;CB94&amp;FH$1)</f>
        <v/>
      </c>
      <c r="FI94" s="40" t="str">
        <f t="shared" ref="FI94:FI95" si="1228">IF(CC94="","","|n"&amp;FI$2&amp;"+"&amp;CC94&amp;FI$1)</f>
        <v/>
      </c>
      <c r="FJ94" s="40" t="str">
        <f t="shared" ref="FJ94:FJ95" si="1229">IF(CD94="","","|n"&amp;FJ$2&amp;"+"&amp;CD94&amp;FJ$1)</f>
        <v/>
      </c>
      <c r="FK94" s="40" t="str">
        <f t="shared" ref="FK94:FK95" si="1230">IF(CE94="","","|n"&amp;FK$2&amp;"+"&amp;CE94&amp;FK$1)</f>
        <v/>
      </c>
      <c r="FL94" s="40" t="str">
        <f t="shared" ref="FL94:FL95" si="1231">IF(CF94="","","|n"&amp;FL$2&amp;"+"&amp;CF94&amp;FL$1)</f>
        <v/>
      </c>
      <c r="FM94" s="40" t="str">
        <f t="shared" ref="FM94:FM95" si="1232">IF(CG94="","","|n"&amp;FM$2&amp;"+"&amp;CG94&amp;FM$1)</f>
        <v/>
      </c>
      <c r="FN94" s="40" t="str">
        <f t="shared" ref="FN94:FN95" si="1233">IF(CH94="","","|n"&amp;FN$2&amp;"+"&amp;CH94&amp;FN$1)</f>
        <v/>
      </c>
      <c r="FO94" s="40" t="str">
        <f t="shared" ref="FO94:FO95" si="1234">IF(CI94="","","|n"&amp;FO$2&amp;"+"&amp;CI94&amp;FO$1)</f>
        <v/>
      </c>
      <c r="FP94" s="40" t="str">
        <f t="shared" ref="FP94:FP95" si="1235">IF(CJ94="","","|n"&amp;FP$2&amp;"+"&amp;CJ94&amp;FP$1)</f>
        <v/>
      </c>
      <c r="FQ94" s="40" t="str">
        <f t="shared" ref="FQ94:FQ95" si="1236">IF(CK94="","","|n"&amp;FQ$2&amp;"+"&amp;CK94&amp;FQ$1)</f>
        <v/>
      </c>
      <c r="FR94" s="40" t="str">
        <f t="shared" ref="FR94:FR95" si="1237">IF(CL94="","","|n"&amp;FR$2&amp;"+"&amp;CL94&amp;FR$1)</f>
        <v/>
      </c>
      <c r="FS94" s="40" t="str">
        <f t="shared" ref="FS94:FS95" si="1238">IF(CM94="","","|n"&amp;FS$2&amp;"+"&amp;CM94&amp;FS$1)</f>
        <v/>
      </c>
    </row>
    <row r="95" spans="1:175" ht="16.5">
      <c r="A95" s="2"/>
      <c r="B95" s="2" t="s">
        <v>293</v>
      </c>
      <c r="C95" s="2" t="s">
        <v>294</v>
      </c>
      <c r="T95" s="73" t="s">
        <v>295</v>
      </c>
      <c r="U95" s="51" t="str">
        <f t="shared" si="939"/>
        <v>ReplaceableTextures\\CommandButtons\\BTNI001.blp</v>
      </c>
      <c r="CN95" s="10" t="str">
        <f t="shared" si="940"/>
        <v>InitUnitState('I001',,,,,,,,,,)</v>
      </c>
      <c r="CO95" s="10" t="str">
        <f t="shared" si="941"/>
        <v>InitUnitNormal('I001',,,,,,,,,,)</v>
      </c>
      <c r="CP95" s="10" t="str">
        <f t="shared" si="942"/>
        <v>InitUnitMagic('I001',,,,,,,,,,)</v>
      </c>
      <c r="CQ95" s="10" t="str">
        <f t="shared" si="943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7"/>
        <v>|n</v>
      </c>
      <c r="CV95" s="3" t="str">
        <f t="shared" si="1168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9"/>
        <v/>
      </c>
      <c r="DC95" s="40" t="str">
        <f t="shared" si="1170"/>
        <v/>
      </c>
      <c r="DD95" s="40" t="str">
        <f t="shared" si="1171"/>
        <v/>
      </c>
      <c r="DE95" s="40" t="str">
        <f t="shared" si="1172"/>
        <v/>
      </c>
      <c r="DF95" s="40" t="str">
        <f t="shared" si="1173"/>
        <v/>
      </c>
      <c r="DG95" s="40" t="str">
        <f t="shared" si="1174"/>
        <v/>
      </c>
      <c r="DH95" s="40" t="str">
        <f t="shared" si="1175"/>
        <v/>
      </c>
      <c r="DI95" s="40" t="str">
        <f t="shared" si="1176"/>
        <v/>
      </c>
      <c r="DJ95" s="40" t="str">
        <f t="shared" si="1177"/>
        <v/>
      </c>
      <c r="DK95" s="40" t="str">
        <f t="shared" si="1178"/>
        <v/>
      </c>
      <c r="DL95" s="40" t="str">
        <f t="shared" si="1179"/>
        <v/>
      </c>
      <c r="DM95" s="40" t="str">
        <f t="shared" si="1180"/>
        <v/>
      </c>
      <c r="DN95" s="40" t="str">
        <f t="shared" si="1181"/>
        <v/>
      </c>
      <c r="DO95" s="40" t="str">
        <f t="shared" si="1182"/>
        <v/>
      </c>
      <c r="DP95" s="40" t="str">
        <f t="shared" si="1183"/>
        <v/>
      </c>
      <c r="DQ95" s="40" t="str">
        <f t="shared" si="1184"/>
        <v/>
      </c>
      <c r="DR95" s="40" t="str">
        <f t="shared" si="1185"/>
        <v/>
      </c>
      <c r="DS95" s="40" t="str">
        <f t="shared" si="1186"/>
        <v/>
      </c>
      <c r="DT95" s="40" t="str">
        <f t="shared" si="1187"/>
        <v/>
      </c>
      <c r="DU95" s="40" t="str">
        <f t="shared" si="1188"/>
        <v/>
      </c>
      <c r="DV95" s="40" t="str">
        <f t="shared" si="1189"/>
        <v/>
      </c>
      <c r="DW95" s="40" t="str">
        <f t="shared" si="1190"/>
        <v/>
      </c>
      <c r="DX95" s="40" t="str">
        <f t="shared" si="1191"/>
        <v/>
      </c>
      <c r="DY95" s="40" t="str">
        <f t="shared" si="1192"/>
        <v/>
      </c>
      <c r="DZ95" s="40" t="str">
        <f t="shared" si="1193"/>
        <v/>
      </c>
      <c r="EA95" s="40" t="str">
        <f t="shared" si="1194"/>
        <v/>
      </c>
      <c r="EB95" s="40" t="str">
        <f t="shared" si="1195"/>
        <v/>
      </c>
      <c r="EC95" s="40" t="str">
        <f t="shared" si="1196"/>
        <v/>
      </c>
      <c r="ED95" s="40" t="str">
        <f t="shared" si="1197"/>
        <v/>
      </c>
      <c r="EE95" s="40" t="str">
        <f t="shared" si="1198"/>
        <v/>
      </c>
      <c r="EF95" s="40" t="str">
        <f t="shared" si="1199"/>
        <v/>
      </c>
      <c r="EG95" s="40" t="str">
        <f t="shared" si="1200"/>
        <v/>
      </c>
      <c r="EH95" s="40" t="str">
        <f t="shared" si="1201"/>
        <v/>
      </c>
      <c r="EI95" s="40" t="str">
        <f t="shared" si="1202"/>
        <v/>
      </c>
      <c r="EJ95" s="40" t="str">
        <f t="shared" si="1203"/>
        <v/>
      </c>
      <c r="EK95" s="40" t="str">
        <f t="shared" si="1204"/>
        <v/>
      </c>
      <c r="EL95" s="40" t="str">
        <f t="shared" si="1205"/>
        <v/>
      </c>
      <c r="EM95" s="40" t="str">
        <f t="shared" si="1206"/>
        <v/>
      </c>
      <c r="EN95" s="40" t="str">
        <f t="shared" si="1207"/>
        <v/>
      </c>
      <c r="EO95" s="40" t="str">
        <f t="shared" si="1208"/>
        <v/>
      </c>
      <c r="EP95" s="40" t="str">
        <f t="shared" si="1209"/>
        <v/>
      </c>
      <c r="EQ95" s="40" t="str">
        <f t="shared" si="1210"/>
        <v/>
      </c>
      <c r="ER95" s="40" t="str">
        <f t="shared" si="1211"/>
        <v/>
      </c>
      <c r="ES95" s="40" t="str">
        <f t="shared" si="1212"/>
        <v/>
      </c>
      <c r="ET95" s="40" t="str">
        <f t="shared" si="1213"/>
        <v/>
      </c>
      <c r="EU95" s="40" t="str">
        <f t="shared" si="1214"/>
        <v/>
      </c>
      <c r="EV95" s="40" t="str">
        <f t="shared" si="1215"/>
        <v/>
      </c>
      <c r="EW95" s="40" t="str">
        <f t="shared" si="1216"/>
        <v/>
      </c>
      <c r="EX95" s="40" t="str">
        <f t="shared" si="1217"/>
        <v/>
      </c>
      <c r="EY95" s="40" t="str">
        <f t="shared" si="1218"/>
        <v/>
      </c>
      <c r="EZ95" s="40" t="str">
        <f t="shared" si="1219"/>
        <v/>
      </c>
      <c r="FA95" s="40" t="str">
        <f t="shared" si="1220"/>
        <v/>
      </c>
      <c r="FB95" s="40" t="str">
        <f t="shared" si="1221"/>
        <v/>
      </c>
      <c r="FC95" s="40" t="str">
        <f t="shared" si="1222"/>
        <v/>
      </c>
      <c r="FD95" s="40" t="str">
        <f t="shared" si="1223"/>
        <v/>
      </c>
      <c r="FE95" s="40" t="str">
        <f t="shared" si="1224"/>
        <v/>
      </c>
      <c r="FF95" s="40" t="str">
        <f t="shared" si="1225"/>
        <v/>
      </c>
      <c r="FG95" s="40" t="str">
        <f t="shared" si="1226"/>
        <v/>
      </c>
      <c r="FH95" s="40" t="str">
        <f t="shared" si="1227"/>
        <v/>
      </c>
      <c r="FI95" s="40" t="str">
        <f t="shared" si="1228"/>
        <v/>
      </c>
      <c r="FJ95" s="40" t="str">
        <f t="shared" si="1229"/>
        <v/>
      </c>
      <c r="FK95" s="40" t="str">
        <f t="shared" si="1230"/>
        <v/>
      </c>
      <c r="FL95" s="40" t="str">
        <f t="shared" si="1231"/>
        <v/>
      </c>
      <c r="FM95" s="40" t="str">
        <f t="shared" si="1232"/>
        <v/>
      </c>
      <c r="FN95" s="40" t="str">
        <f t="shared" si="1233"/>
        <v/>
      </c>
      <c r="FO95" s="40" t="str">
        <f t="shared" si="1234"/>
        <v/>
      </c>
      <c r="FP95" s="40" t="str">
        <f t="shared" si="1235"/>
        <v/>
      </c>
      <c r="FQ95" s="40" t="str">
        <f t="shared" si="1236"/>
        <v/>
      </c>
      <c r="FR95" s="40" t="str">
        <f t="shared" si="1237"/>
        <v/>
      </c>
      <c r="FS95" s="40" t="str">
        <f t="shared" si="1238"/>
        <v/>
      </c>
    </row>
    <row r="96" spans="1:175" ht="16.5">
      <c r="A96" s="2"/>
      <c r="B96" s="2" t="s">
        <v>296</v>
      </c>
      <c r="C96" s="2" t="s">
        <v>297</v>
      </c>
      <c r="T96" s="73" t="s">
        <v>298</v>
      </c>
      <c r="U96" s="51" t="str">
        <f t="shared" si="939"/>
        <v>ReplaceableTextures\\CommandButtons\\BTNI002.blp</v>
      </c>
      <c r="CN96" s="10" t="str">
        <f t="shared" si="940"/>
        <v>InitUnitState('I002',,,,,,,,,,)</v>
      </c>
      <c r="CO96" s="10" t="str">
        <f t="shared" si="941"/>
        <v>InitUnitNormal('I002',,,,,,,,,,)</v>
      </c>
      <c r="CP96" s="10" t="str">
        <f t="shared" si="942"/>
        <v>InitUnitMagic('I002',,,,,,,,,,)</v>
      </c>
      <c r="CQ96" s="10" t="str">
        <f t="shared" si="943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9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40">T96</f>
        <v>回复|Cff00bfff70%|r蓝量</v>
      </c>
      <c r="CW96" s="4"/>
      <c r="CX96" s="4"/>
      <c r="CY96" s="4"/>
      <c r="CZ96" s="4"/>
      <c r="DA96" s="4"/>
      <c r="DB96" s="40" t="str">
        <f t="shared" ref="DB96:DB97" si="1241">IF(V96="","","|n"&amp;DB$2&amp;"+"&amp;V96&amp;DB$1)</f>
        <v/>
      </c>
      <c r="DC96" s="40" t="str">
        <f t="shared" ref="DC96:DC97" si="1242">IF(W96="","","|n"&amp;DC$2&amp;"+"&amp;W96&amp;DC$1)</f>
        <v/>
      </c>
      <c r="DD96" s="40" t="str">
        <f t="shared" ref="DD96:DD97" si="1243">IF(X96="","","|n"&amp;DD$2&amp;"+"&amp;X96&amp;DD$1)</f>
        <v/>
      </c>
      <c r="DE96" s="40" t="str">
        <f t="shared" ref="DE96:DE97" si="1244">IF(Y96="","","|n"&amp;DE$2&amp;"+"&amp;Y96&amp;DE$1)</f>
        <v/>
      </c>
      <c r="DF96" s="40" t="str">
        <f t="shared" ref="DF96:DF97" si="1245">IF(Z96="","","|n"&amp;DF$2&amp;"+"&amp;Z96&amp;DF$1)</f>
        <v/>
      </c>
      <c r="DG96" s="40" t="str">
        <f t="shared" ref="DG96:DG97" si="1246">IF(AA96="","","|n"&amp;DG$2&amp;"+"&amp;AA96&amp;DG$1)</f>
        <v/>
      </c>
      <c r="DH96" s="40" t="str">
        <f t="shared" ref="DH96:DH97" si="1247">IF(AB96="","","|n"&amp;DH$2&amp;"+"&amp;AB96&amp;DH$1)</f>
        <v/>
      </c>
      <c r="DI96" s="40" t="str">
        <f t="shared" ref="DI96:DI97" si="1248">IF(AC96="","","|n"&amp;DI$2&amp;"+"&amp;AC96&amp;DI$1)</f>
        <v/>
      </c>
      <c r="DJ96" s="40" t="str">
        <f t="shared" ref="DJ96:DJ97" si="1249">IF(AD96="","","|n"&amp;DJ$2&amp;"+"&amp;AD96&amp;DJ$1)</f>
        <v/>
      </c>
      <c r="DK96" s="40" t="str">
        <f t="shared" ref="DK96:DK97" si="1250">IF(AE96="","","|n"&amp;DK$2&amp;"+"&amp;AE96&amp;DK$1)</f>
        <v/>
      </c>
      <c r="DL96" s="40" t="str">
        <f t="shared" ref="DL96:DL97" si="1251">IF(AF96="","","|n"&amp;DL$2&amp;"+"&amp;AF96&amp;DL$1)</f>
        <v/>
      </c>
      <c r="DM96" s="40" t="str">
        <f t="shared" ref="DM96:DM97" si="1252">IF(AG96="","","|n"&amp;DM$2&amp;"+"&amp;AG96&amp;DM$1)</f>
        <v/>
      </c>
      <c r="DN96" s="40" t="str">
        <f t="shared" ref="DN96:DN97" si="1253">IF(AH96="","","|n"&amp;DN$2&amp;"+"&amp;AH96&amp;DN$1)</f>
        <v/>
      </c>
      <c r="DO96" s="40" t="str">
        <f t="shared" ref="DO96:DO97" si="1254">IF(AI96="","","|n"&amp;DO$2&amp;"+"&amp;AI96&amp;DO$1)</f>
        <v/>
      </c>
      <c r="DP96" s="40" t="str">
        <f t="shared" ref="DP96:DP97" si="1255">IF(AJ96="","","|n"&amp;DP$2&amp;"+"&amp;AJ96&amp;DP$1)</f>
        <v/>
      </c>
      <c r="DQ96" s="40" t="str">
        <f t="shared" ref="DQ96:DQ97" si="1256">IF(AK96="","","|n"&amp;DQ$2&amp;"+"&amp;AK96&amp;DQ$1)</f>
        <v/>
      </c>
      <c r="DR96" s="40" t="str">
        <f t="shared" ref="DR96:DR97" si="1257">IF(AL96="","","|n"&amp;DR$2&amp;"+"&amp;AL96&amp;DR$1)</f>
        <v/>
      </c>
      <c r="DS96" s="40" t="str">
        <f t="shared" ref="DS96:DS97" si="1258">IF(AM96="","","|n"&amp;DS$2&amp;"+"&amp;AM96&amp;DS$1)</f>
        <v/>
      </c>
      <c r="DT96" s="40" t="str">
        <f t="shared" ref="DT96:DT97" si="1259">IF(AN96="","","|n"&amp;DT$2&amp;"+"&amp;AN96&amp;DT$1)</f>
        <v/>
      </c>
      <c r="DU96" s="40" t="str">
        <f t="shared" ref="DU96:DU97" si="1260">IF(AO96="","","|n"&amp;DU$2&amp;"+"&amp;AO96&amp;DU$1)</f>
        <v/>
      </c>
      <c r="DV96" s="40" t="str">
        <f t="shared" ref="DV96:DV97" si="1261">IF(AP96="","","|n"&amp;DV$2&amp;"+"&amp;AP96&amp;DV$1)</f>
        <v/>
      </c>
      <c r="DW96" s="40" t="str">
        <f t="shared" ref="DW96:DW97" si="1262">IF(AQ96="","","|n"&amp;DW$2&amp;"+"&amp;AQ96&amp;DW$1)</f>
        <v/>
      </c>
      <c r="DX96" s="40" t="str">
        <f t="shared" ref="DX96:DX97" si="1263">IF(AR96="","","|n"&amp;DX$2&amp;"+"&amp;AR96&amp;DX$1)</f>
        <v/>
      </c>
      <c r="DY96" s="40" t="str">
        <f t="shared" ref="DY96:DY97" si="1264">IF(AS96="","","|n"&amp;DY$2&amp;"+"&amp;AS96&amp;DY$1)</f>
        <v/>
      </c>
      <c r="DZ96" s="40" t="str">
        <f t="shared" ref="DZ96:DZ97" si="1265">IF(AT96="","","|n"&amp;DZ$2&amp;"+"&amp;AT96&amp;DZ$1)</f>
        <v/>
      </c>
      <c r="EA96" s="40" t="str">
        <f t="shared" ref="EA96:EA97" si="1266">IF(AU96="","","|n"&amp;EA$2&amp;"+"&amp;AU96&amp;EA$1)</f>
        <v/>
      </c>
      <c r="EB96" s="40" t="str">
        <f t="shared" ref="EB96:EB97" si="1267">IF(AV96="","","|n"&amp;EB$2&amp;"+"&amp;AV96&amp;EB$1)</f>
        <v/>
      </c>
      <c r="EC96" s="40" t="str">
        <f t="shared" ref="EC96:EC97" si="1268">IF(AW96="","","|n"&amp;EC$2&amp;"+"&amp;AW96&amp;EC$1)</f>
        <v/>
      </c>
      <c r="ED96" s="40" t="str">
        <f t="shared" ref="ED96:ED97" si="1269">IF(AX96="","","|n"&amp;ED$2&amp;"+"&amp;AX96&amp;ED$1)</f>
        <v/>
      </c>
      <c r="EE96" s="40" t="str">
        <f t="shared" ref="EE96:EE97" si="1270">IF(AY96="","","|n"&amp;EE$2&amp;"+"&amp;AY96&amp;EE$1)</f>
        <v/>
      </c>
      <c r="EF96" s="40" t="str">
        <f t="shared" ref="EF96:EF97" si="1271">IF(AZ96="","","|n"&amp;EF$2&amp;"+"&amp;AZ96&amp;EF$1)</f>
        <v/>
      </c>
      <c r="EG96" s="40" t="str">
        <f t="shared" ref="EG96:EG97" si="1272">IF(BA96="","","|n"&amp;EG$2&amp;"+"&amp;BA96&amp;EG$1)</f>
        <v/>
      </c>
      <c r="EH96" s="40" t="str">
        <f t="shared" ref="EH96:EH97" si="1273">IF(BB96="","","|n"&amp;EH$2&amp;"+"&amp;BB96&amp;EH$1)</f>
        <v/>
      </c>
      <c r="EI96" s="40" t="str">
        <f t="shared" ref="EI96:EI97" si="1274">IF(BC96="","","|n"&amp;EI$2&amp;"+"&amp;BC96&amp;EI$1)</f>
        <v/>
      </c>
      <c r="EJ96" s="40" t="str">
        <f t="shared" ref="EJ96:EJ97" si="1275">IF(BD96="","","|n"&amp;EJ$2&amp;"+"&amp;BD96&amp;EJ$1)</f>
        <v/>
      </c>
      <c r="EK96" s="40" t="str">
        <f t="shared" ref="EK96:EK97" si="1276">IF(BE96="","","|n"&amp;EK$2&amp;"+"&amp;BE96&amp;EK$1)</f>
        <v/>
      </c>
      <c r="EL96" s="40" t="str">
        <f t="shared" ref="EL96:EL97" si="1277">IF(BF96="","","|n"&amp;EL$2&amp;"+"&amp;BF96&amp;EL$1)</f>
        <v/>
      </c>
      <c r="EM96" s="40" t="str">
        <f t="shared" ref="EM96:EM97" si="1278">IF(BG96="","","|n"&amp;EM$2&amp;"+"&amp;BG96&amp;EM$1)</f>
        <v/>
      </c>
      <c r="EN96" s="40" t="str">
        <f t="shared" ref="EN96:EN97" si="1279">IF(BH96="","","|n"&amp;EN$2&amp;"+"&amp;BH96&amp;EN$1)</f>
        <v/>
      </c>
      <c r="EO96" s="40" t="str">
        <f t="shared" ref="EO96:EO97" si="1280">IF(BI96="","","|n"&amp;EO$2&amp;"+"&amp;BI96&amp;EO$1)</f>
        <v/>
      </c>
      <c r="EP96" s="40" t="str">
        <f t="shared" ref="EP96:EP97" si="1281">IF(BJ96="","","|n"&amp;EP$2&amp;"+"&amp;BJ96&amp;EP$1)</f>
        <v/>
      </c>
      <c r="EQ96" s="40" t="str">
        <f t="shared" ref="EQ96:EQ97" si="1282">IF(BK96="","","|n"&amp;EQ$2&amp;"+"&amp;BK96&amp;EQ$1)</f>
        <v/>
      </c>
      <c r="ER96" s="40" t="str">
        <f t="shared" ref="ER96:ER97" si="1283">IF(BL96="","","|n"&amp;ER$2&amp;"+"&amp;BL96&amp;ER$1)</f>
        <v/>
      </c>
      <c r="ES96" s="40" t="str">
        <f t="shared" ref="ES96:ES97" si="1284">IF(BM96="","","|n"&amp;ES$2&amp;"+"&amp;BM96&amp;ES$1)</f>
        <v/>
      </c>
      <c r="ET96" s="40" t="str">
        <f t="shared" ref="ET96:ET97" si="1285">IF(BN96="","","|n"&amp;ET$2&amp;"+"&amp;BN96&amp;ET$1)</f>
        <v/>
      </c>
      <c r="EU96" s="40" t="str">
        <f t="shared" ref="EU96:EU97" si="1286">IF(BO96="","","|n"&amp;EU$2&amp;"+"&amp;BO96&amp;EU$1)</f>
        <v/>
      </c>
      <c r="EV96" s="40" t="str">
        <f t="shared" ref="EV96:EV97" si="1287">IF(BP96="","","|n"&amp;EV$2&amp;"+"&amp;BP96&amp;EV$1)</f>
        <v/>
      </c>
      <c r="EW96" s="40" t="str">
        <f t="shared" ref="EW96:EW97" si="1288">IF(BQ96="","","|n"&amp;EW$2&amp;"+"&amp;BQ96&amp;EW$1)</f>
        <v/>
      </c>
      <c r="EX96" s="40" t="str">
        <f t="shared" ref="EX96:EX97" si="1289">IF(BR96="","","|n"&amp;EX$2&amp;"+"&amp;BR96&amp;EX$1)</f>
        <v/>
      </c>
      <c r="EY96" s="40" t="str">
        <f t="shared" ref="EY96:EY97" si="1290">IF(BS96="","","|n"&amp;EY$2&amp;"+"&amp;BS96&amp;EY$1)</f>
        <v/>
      </c>
      <c r="EZ96" s="40" t="str">
        <f t="shared" ref="EZ96:EZ97" si="1291">IF(BT96="","","|n"&amp;EZ$2&amp;"+"&amp;BT96&amp;EZ$1)</f>
        <v/>
      </c>
      <c r="FA96" s="40" t="str">
        <f t="shared" ref="FA96:FA97" si="1292">IF(BU96="","","|n"&amp;FA$2&amp;"+"&amp;BU96&amp;FA$1)</f>
        <v/>
      </c>
      <c r="FB96" s="40" t="str">
        <f t="shared" ref="FB96:FB97" si="1293">IF(BV96="","","|n"&amp;FB$2&amp;"+"&amp;BV96&amp;FB$1)</f>
        <v/>
      </c>
      <c r="FC96" s="40" t="str">
        <f t="shared" ref="FC96:FC97" si="1294">IF(BW96="","","|n"&amp;FC$2&amp;"+"&amp;BW96&amp;FC$1)</f>
        <v/>
      </c>
      <c r="FD96" s="40" t="str">
        <f t="shared" ref="FD96:FD97" si="1295">IF(BX96="","","|n"&amp;FD$2&amp;"+"&amp;BX96&amp;FD$1)</f>
        <v/>
      </c>
      <c r="FE96" s="40" t="str">
        <f t="shared" ref="FE96:FE97" si="1296">IF(BY96="","","|n"&amp;FE$2&amp;"+"&amp;BY96&amp;FE$1)</f>
        <v/>
      </c>
      <c r="FF96" s="40" t="str">
        <f t="shared" ref="FF96:FF97" si="1297">IF(BZ96="","","|n"&amp;FF$2&amp;"+"&amp;BZ96&amp;FF$1)</f>
        <v/>
      </c>
      <c r="FG96" s="40" t="str">
        <f t="shared" ref="FG96:FG97" si="1298">IF(CA96="","","|n"&amp;FG$2&amp;"+"&amp;CA96&amp;FG$1)</f>
        <v/>
      </c>
      <c r="FH96" s="40" t="str">
        <f t="shared" ref="FH96:FH97" si="1299">IF(CB96="","","|n"&amp;FH$2&amp;"+"&amp;CB96&amp;FH$1)</f>
        <v/>
      </c>
      <c r="FI96" s="40" t="str">
        <f t="shared" ref="FI96:FI97" si="1300">IF(CC96="","","|n"&amp;FI$2&amp;"+"&amp;CC96&amp;FI$1)</f>
        <v/>
      </c>
      <c r="FJ96" s="40" t="str">
        <f t="shared" ref="FJ96:FJ97" si="1301">IF(CD96="","","|n"&amp;FJ$2&amp;"+"&amp;CD96&amp;FJ$1)</f>
        <v/>
      </c>
      <c r="FK96" s="40" t="str">
        <f t="shared" ref="FK96:FK97" si="1302">IF(CE96="","","|n"&amp;FK$2&amp;"+"&amp;CE96&amp;FK$1)</f>
        <v/>
      </c>
      <c r="FL96" s="40" t="str">
        <f t="shared" ref="FL96:FL97" si="1303">IF(CF96="","","|n"&amp;FL$2&amp;"+"&amp;CF96&amp;FL$1)</f>
        <v/>
      </c>
      <c r="FM96" s="40" t="str">
        <f t="shared" ref="FM96:FM97" si="1304">IF(CG96="","","|n"&amp;FM$2&amp;"+"&amp;CG96&amp;FM$1)</f>
        <v/>
      </c>
      <c r="FN96" s="40" t="str">
        <f t="shared" ref="FN96:FN97" si="1305">IF(CH96="","","|n"&amp;FN$2&amp;"+"&amp;CH96&amp;FN$1)</f>
        <v/>
      </c>
      <c r="FO96" s="40" t="str">
        <f t="shared" ref="FO96:FO97" si="1306">IF(CI96="","","|n"&amp;FO$2&amp;"+"&amp;CI96&amp;FO$1)</f>
        <v/>
      </c>
      <c r="FP96" s="40" t="str">
        <f t="shared" ref="FP96:FP97" si="1307">IF(CJ96="","","|n"&amp;FP$2&amp;"+"&amp;CJ96&amp;FP$1)</f>
        <v/>
      </c>
      <c r="FQ96" s="40" t="str">
        <f t="shared" ref="FQ96:FQ97" si="1308">IF(CK96="","","|n"&amp;FQ$2&amp;"+"&amp;CK96&amp;FQ$1)</f>
        <v/>
      </c>
      <c r="FR96" s="40" t="str">
        <f t="shared" ref="FR96:FR97" si="1309">IF(CL96="","","|n"&amp;FR$2&amp;"+"&amp;CL96&amp;FR$1)</f>
        <v/>
      </c>
      <c r="FS96" s="40" t="str">
        <f t="shared" ref="FS96:FS97" si="1310">IF(CM96="","","|n"&amp;FS$2&amp;"+"&amp;CM96&amp;FS$1)</f>
        <v/>
      </c>
    </row>
    <row r="97" spans="1:175" ht="16.5">
      <c r="A97" s="2"/>
      <c r="B97" s="2" t="s">
        <v>299</v>
      </c>
      <c r="C97" s="2" t="s">
        <v>300</v>
      </c>
      <c r="T97" s="73" t="s">
        <v>301</v>
      </c>
      <c r="U97" s="51" t="str">
        <f t="shared" si="939"/>
        <v>ReplaceableTextures\\CommandButtons\\BTNI003.blp</v>
      </c>
      <c r="CN97" s="10" t="str">
        <f t="shared" si="940"/>
        <v>InitUnitState('I003',,,,,,,,,,)</v>
      </c>
      <c r="CO97" s="10" t="str">
        <f t="shared" si="941"/>
        <v>InitUnitNormal('I003',,,,,,,,,,)</v>
      </c>
      <c r="CP97" s="10" t="str">
        <f t="shared" si="942"/>
        <v>InitUnitMagic('I003',,,,,,,,,,)</v>
      </c>
      <c r="CQ97" s="10" t="str">
        <f t="shared" si="943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9"/>
        <v>|n</v>
      </c>
      <c r="CV97" s="3" t="str">
        <f t="shared" si="1240"/>
        <v>攻击速度|Cffff8000+60%|r，持续15秒。</v>
      </c>
      <c r="CW97" s="4"/>
      <c r="CX97" s="4"/>
      <c r="CY97" s="4"/>
      <c r="CZ97" s="4"/>
      <c r="DA97" s="4"/>
      <c r="DB97" s="40" t="str">
        <f t="shared" si="1241"/>
        <v/>
      </c>
      <c r="DC97" s="40" t="str">
        <f t="shared" si="1242"/>
        <v/>
      </c>
      <c r="DD97" s="40" t="str">
        <f t="shared" si="1243"/>
        <v/>
      </c>
      <c r="DE97" s="40" t="str">
        <f t="shared" si="1244"/>
        <v/>
      </c>
      <c r="DF97" s="40" t="str">
        <f t="shared" si="1245"/>
        <v/>
      </c>
      <c r="DG97" s="40" t="str">
        <f t="shared" si="1246"/>
        <v/>
      </c>
      <c r="DH97" s="40" t="str">
        <f t="shared" si="1247"/>
        <v/>
      </c>
      <c r="DI97" s="40" t="str">
        <f t="shared" si="1248"/>
        <v/>
      </c>
      <c r="DJ97" s="40" t="str">
        <f t="shared" si="1249"/>
        <v/>
      </c>
      <c r="DK97" s="40" t="str">
        <f t="shared" si="1250"/>
        <v/>
      </c>
      <c r="DL97" s="40" t="str">
        <f t="shared" si="1251"/>
        <v/>
      </c>
      <c r="DM97" s="40" t="str">
        <f t="shared" si="1252"/>
        <v/>
      </c>
      <c r="DN97" s="40" t="str">
        <f t="shared" si="1253"/>
        <v/>
      </c>
      <c r="DO97" s="40" t="str">
        <f t="shared" si="1254"/>
        <v/>
      </c>
      <c r="DP97" s="40" t="str">
        <f t="shared" si="1255"/>
        <v/>
      </c>
      <c r="DQ97" s="40" t="str">
        <f t="shared" si="1256"/>
        <v/>
      </c>
      <c r="DR97" s="40" t="str">
        <f t="shared" si="1257"/>
        <v/>
      </c>
      <c r="DS97" s="40" t="str">
        <f t="shared" si="1258"/>
        <v/>
      </c>
      <c r="DT97" s="40" t="str">
        <f t="shared" si="1259"/>
        <v/>
      </c>
      <c r="DU97" s="40" t="str">
        <f t="shared" si="1260"/>
        <v/>
      </c>
      <c r="DV97" s="40" t="str">
        <f t="shared" si="1261"/>
        <v/>
      </c>
      <c r="DW97" s="40" t="str">
        <f t="shared" si="1262"/>
        <v/>
      </c>
      <c r="DX97" s="40" t="str">
        <f t="shared" si="1263"/>
        <v/>
      </c>
      <c r="DY97" s="40" t="str">
        <f t="shared" si="1264"/>
        <v/>
      </c>
      <c r="DZ97" s="40" t="str">
        <f t="shared" si="1265"/>
        <v/>
      </c>
      <c r="EA97" s="40" t="str">
        <f t="shared" si="1266"/>
        <v/>
      </c>
      <c r="EB97" s="40" t="str">
        <f t="shared" si="1267"/>
        <v/>
      </c>
      <c r="EC97" s="40" t="str">
        <f t="shared" si="1268"/>
        <v/>
      </c>
      <c r="ED97" s="40" t="str">
        <f t="shared" si="1269"/>
        <v/>
      </c>
      <c r="EE97" s="40" t="str">
        <f t="shared" si="1270"/>
        <v/>
      </c>
      <c r="EF97" s="40" t="str">
        <f t="shared" si="1271"/>
        <v/>
      </c>
      <c r="EG97" s="40" t="str">
        <f t="shared" si="1272"/>
        <v/>
      </c>
      <c r="EH97" s="40" t="str">
        <f t="shared" si="1273"/>
        <v/>
      </c>
      <c r="EI97" s="40" t="str">
        <f t="shared" si="1274"/>
        <v/>
      </c>
      <c r="EJ97" s="40" t="str">
        <f t="shared" si="1275"/>
        <v/>
      </c>
      <c r="EK97" s="40" t="str">
        <f t="shared" si="1276"/>
        <v/>
      </c>
      <c r="EL97" s="40" t="str">
        <f t="shared" si="1277"/>
        <v/>
      </c>
      <c r="EM97" s="40" t="str">
        <f t="shared" si="1278"/>
        <v/>
      </c>
      <c r="EN97" s="40" t="str">
        <f t="shared" si="1279"/>
        <v/>
      </c>
      <c r="EO97" s="40" t="str">
        <f t="shared" si="1280"/>
        <v/>
      </c>
      <c r="EP97" s="40" t="str">
        <f t="shared" si="1281"/>
        <v/>
      </c>
      <c r="EQ97" s="40" t="str">
        <f t="shared" si="1282"/>
        <v/>
      </c>
      <c r="ER97" s="40" t="str">
        <f t="shared" si="1283"/>
        <v/>
      </c>
      <c r="ES97" s="40" t="str">
        <f t="shared" si="1284"/>
        <v/>
      </c>
      <c r="ET97" s="40" t="str">
        <f t="shared" si="1285"/>
        <v/>
      </c>
      <c r="EU97" s="40" t="str">
        <f t="shared" si="1286"/>
        <v/>
      </c>
      <c r="EV97" s="40" t="str">
        <f t="shared" si="1287"/>
        <v/>
      </c>
      <c r="EW97" s="40" t="str">
        <f t="shared" si="1288"/>
        <v/>
      </c>
      <c r="EX97" s="40" t="str">
        <f t="shared" si="1289"/>
        <v/>
      </c>
      <c r="EY97" s="40" t="str">
        <f t="shared" si="1290"/>
        <v/>
      </c>
      <c r="EZ97" s="40" t="str">
        <f t="shared" si="1291"/>
        <v/>
      </c>
      <c r="FA97" s="40" t="str">
        <f t="shared" si="1292"/>
        <v/>
      </c>
      <c r="FB97" s="40" t="str">
        <f t="shared" si="1293"/>
        <v/>
      </c>
      <c r="FC97" s="40" t="str">
        <f t="shared" si="1294"/>
        <v/>
      </c>
      <c r="FD97" s="40" t="str">
        <f t="shared" si="1295"/>
        <v/>
      </c>
      <c r="FE97" s="40" t="str">
        <f t="shared" si="1296"/>
        <v/>
      </c>
      <c r="FF97" s="40" t="str">
        <f t="shared" si="1297"/>
        <v/>
      </c>
      <c r="FG97" s="40" t="str">
        <f t="shared" si="1298"/>
        <v/>
      </c>
      <c r="FH97" s="40" t="str">
        <f t="shared" si="1299"/>
        <v/>
      </c>
      <c r="FI97" s="40" t="str">
        <f t="shared" si="1300"/>
        <v/>
      </c>
      <c r="FJ97" s="40" t="str">
        <f t="shared" si="1301"/>
        <v/>
      </c>
      <c r="FK97" s="40" t="str">
        <f t="shared" si="1302"/>
        <v/>
      </c>
      <c r="FL97" s="40" t="str">
        <f t="shared" si="1303"/>
        <v/>
      </c>
      <c r="FM97" s="40" t="str">
        <f t="shared" si="1304"/>
        <v/>
      </c>
      <c r="FN97" s="40" t="str">
        <f t="shared" si="1305"/>
        <v/>
      </c>
      <c r="FO97" s="40" t="str">
        <f t="shared" si="1306"/>
        <v/>
      </c>
      <c r="FP97" s="40" t="str">
        <f t="shared" si="1307"/>
        <v/>
      </c>
      <c r="FQ97" s="40" t="str">
        <f t="shared" si="1308"/>
        <v/>
      </c>
      <c r="FR97" s="40" t="str">
        <f t="shared" si="1309"/>
        <v/>
      </c>
      <c r="FS97" s="40" t="str">
        <f t="shared" si="1310"/>
        <v/>
      </c>
    </row>
    <row r="98" spans="1:175" ht="16.5">
      <c r="A98" s="2"/>
      <c r="B98" s="2" t="s">
        <v>302</v>
      </c>
      <c r="C98" s="2" t="s">
        <v>303</v>
      </c>
      <c r="T98" s="73" t="s">
        <v>304</v>
      </c>
      <c r="U98" s="51" t="str">
        <f t="shared" si="939"/>
        <v>ReplaceableTextures\\CommandButtons\\BTNI004.blp</v>
      </c>
      <c r="CN98" s="10" t="str">
        <f t="shared" si="940"/>
        <v>InitUnitState('I004',,,,,,,,,,)</v>
      </c>
      <c r="CO98" s="10" t="str">
        <f t="shared" si="941"/>
        <v>InitUnitNormal('I004',,,,,,,,,,)</v>
      </c>
      <c r="CP98" s="10" t="str">
        <f t="shared" si="942"/>
        <v>InitUnitMagic('I004',,,,,,,,,,)</v>
      </c>
      <c r="CQ98" s="10" t="str">
        <f t="shared" si="943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2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3">IF(V98="","","|n"&amp;DB$2&amp;"+"&amp;V98&amp;DB$1)</f>
        <v/>
      </c>
      <c r="DC98" s="40" t="str">
        <f t="shared" ref="DC98:DC100" si="1314">IF(W98="","","|n"&amp;DC$2&amp;"+"&amp;W98&amp;DC$1)</f>
        <v/>
      </c>
      <c r="DD98" s="40" t="str">
        <f t="shared" ref="DD98:DD100" si="1315">IF(X98="","","|n"&amp;DD$2&amp;"+"&amp;X98&amp;DD$1)</f>
        <v/>
      </c>
      <c r="DE98" s="40" t="str">
        <f t="shared" ref="DE98:DE100" si="1316">IF(Y98="","","|n"&amp;DE$2&amp;"+"&amp;Y98&amp;DE$1)</f>
        <v/>
      </c>
      <c r="DF98" s="40" t="str">
        <f t="shared" ref="DF98:DF100" si="1317">IF(Z98="","","|n"&amp;DF$2&amp;"+"&amp;Z98&amp;DF$1)</f>
        <v/>
      </c>
      <c r="DG98" s="40" t="str">
        <f t="shared" ref="DG98:DG100" si="1318">IF(AA98="","","|n"&amp;DG$2&amp;"+"&amp;AA98&amp;DG$1)</f>
        <v/>
      </c>
      <c r="DH98" s="40" t="str">
        <f t="shared" ref="DH98:DH100" si="1319">IF(AB98="","","|n"&amp;DH$2&amp;"+"&amp;AB98&amp;DH$1)</f>
        <v/>
      </c>
      <c r="DI98" s="40" t="str">
        <f t="shared" ref="DI98:DI100" si="1320">IF(AC98="","","|n"&amp;DI$2&amp;"+"&amp;AC98&amp;DI$1)</f>
        <v/>
      </c>
      <c r="DJ98" s="40" t="str">
        <f t="shared" ref="DJ98:DJ100" si="1321">IF(AD98="","","|n"&amp;DJ$2&amp;"+"&amp;AD98&amp;DJ$1)</f>
        <v/>
      </c>
      <c r="DK98" s="40" t="str">
        <f t="shared" ref="DK98:DK100" si="1322">IF(AE98="","","|n"&amp;DK$2&amp;"+"&amp;AE98&amp;DK$1)</f>
        <v/>
      </c>
      <c r="DL98" s="40" t="str">
        <f t="shared" ref="DL98:DL100" si="1323">IF(AF98="","","|n"&amp;DL$2&amp;"+"&amp;AF98&amp;DL$1)</f>
        <v/>
      </c>
      <c r="DM98" s="40" t="str">
        <f t="shared" ref="DM98:DM100" si="1324">IF(AG98="","","|n"&amp;DM$2&amp;"+"&amp;AG98&amp;DM$1)</f>
        <v/>
      </c>
      <c r="DN98" s="40" t="str">
        <f t="shared" ref="DN98:DN100" si="1325">IF(AH98="","","|n"&amp;DN$2&amp;"+"&amp;AH98&amp;DN$1)</f>
        <v/>
      </c>
      <c r="DO98" s="40" t="str">
        <f t="shared" ref="DO98:DO100" si="1326">IF(AI98="","","|n"&amp;DO$2&amp;"+"&amp;AI98&amp;DO$1)</f>
        <v/>
      </c>
      <c r="DP98" s="40" t="str">
        <f t="shared" ref="DP98:DP100" si="1327">IF(AJ98="","","|n"&amp;DP$2&amp;"+"&amp;AJ98&amp;DP$1)</f>
        <v/>
      </c>
      <c r="DQ98" s="40" t="str">
        <f t="shared" ref="DQ98:DQ100" si="1328">IF(AK98="","","|n"&amp;DQ$2&amp;"+"&amp;AK98&amp;DQ$1)</f>
        <v/>
      </c>
      <c r="DR98" s="40" t="str">
        <f t="shared" ref="DR98:DR100" si="1329">IF(AL98="","","|n"&amp;DR$2&amp;"+"&amp;AL98&amp;DR$1)</f>
        <v/>
      </c>
      <c r="DS98" s="40" t="str">
        <f t="shared" ref="DS98:DS100" si="1330">IF(AM98="","","|n"&amp;DS$2&amp;"+"&amp;AM98&amp;DS$1)</f>
        <v/>
      </c>
      <c r="DT98" s="40" t="str">
        <f t="shared" ref="DT98:DT100" si="1331">IF(AN98="","","|n"&amp;DT$2&amp;"+"&amp;AN98&amp;DT$1)</f>
        <v/>
      </c>
      <c r="DU98" s="40" t="str">
        <f t="shared" ref="DU98:DU100" si="1332">IF(AO98="","","|n"&amp;DU$2&amp;"+"&amp;AO98&amp;DU$1)</f>
        <v/>
      </c>
      <c r="DV98" s="40" t="str">
        <f t="shared" ref="DV98:DV100" si="1333">IF(AP98="","","|n"&amp;DV$2&amp;"+"&amp;AP98&amp;DV$1)</f>
        <v/>
      </c>
      <c r="DW98" s="40" t="str">
        <f t="shared" ref="DW98:DW100" si="1334">IF(AQ98="","","|n"&amp;DW$2&amp;"+"&amp;AQ98&amp;DW$1)</f>
        <v/>
      </c>
      <c r="DX98" s="40" t="str">
        <f t="shared" ref="DX98:DX100" si="1335">IF(AR98="","","|n"&amp;DX$2&amp;"+"&amp;AR98&amp;DX$1)</f>
        <v/>
      </c>
      <c r="DY98" s="40" t="str">
        <f t="shared" ref="DY98:DY100" si="1336">IF(AS98="","","|n"&amp;DY$2&amp;"+"&amp;AS98&amp;DY$1)</f>
        <v/>
      </c>
      <c r="DZ98" s="40" t="str">
        <f t="shared" ref="DZ98:DZ100" si="1337">IF(AT98="","","|n"&amp;DZ$2&amp;"+"&amp;AT98&amp;DZ$1)</f>
        <v/>
      </c>
      <c r="EA98" s="40" t="str">
        <f t="shared" ref="EA98:EA100" si="1338">IF(AU98="","","|n"&amp;EA$2&amp;"+"&amp;AU98&amp;EA$1)</f>
        <v/>
      </c>
      <c r="EB98" s="40" t="str">
        <f t="shared" ref="EB98:EB100" si="1339">IF(AV98="","","|n"&amp;EB$2&amp;"+"&amp;AV98&amp;EB$1)</f>
        <v/>
      </c>
      <c r="EC98" s="40" t="str">
        <f t="shared" ref="EC98:EC100" si="1340">IF(AW98="","","|n"&amp;EC$2&amp;"+"&amp;AW98&amp;EC$1)</f>
        <v/>
      </c>
      <c r="ED98" s="40" t="str">
        <f t="shared" ref="ED98:ED100" si="1341">IF(AX98="","","|n"&amp;ED$2&amp;"+"&amp;AX98&amp;ED$1)</f>
        <v/>
      </c>
      <c r="EE98" s="40" t="str">
        <f t="shared" ref="EE98:EE100" si="1342">IF(AY98="","","|n"&amp;EE$2&amp;"+"&amp;AY98&amp;EE$1)</f>
        <v/>
      </c>
      <c r="EF98" s="40" t="str">
        <f t="shared" ref="EF98:EF100" si="1343">IF(AZ98="","","|n"&amp;EF$2&amp;"+"&amp;AZ98&amp;EF$1)</f>
        <v/>
      </c>
      <c r="EG98" s="40" t="str">
        <f t="shared" ref="EG98:EG100" si="1344">IF(BA98="","","|n"&amp;EG$2&amp;"+"&amp;BA98&amp;EG$1)</f>
        <v/>
      </c>
      <c r="EH98" s="40" t="str">
        <f t="shared" ref="EH98:EH100" si="1345">IF(BB98="","","|n"&amp;EH$2&amp;"+"&amp;BB98&amp;EH$1)</f>
        <v/>
      </c>
      <c r="EI98" s="40" t="str">
        <f t="shared" ref="EI98:EI100" si="1346">IF(BC98="","","|n"&amp;EI$2&amp;"+"&amp;BC98&amp;EI$1)</f>
        <v/>
      </c>
      <c r="EJ98" s="40" t="str">
        <f t="shared" ref="EJ98:EJ100" si="1347">IF(BD98="","","|n"&amp;EJ$2&amp;"+"&amp;BD98&amp;EJ$1)</f>
        <v/>
      </c>
      <c r="EK98" s="40" t="str">
        <f t="shared" ref="EK98:EK100" si="1348">IF(BE98="","","|n"&amp;EK$2&amp;"+"&amp;BE98&amp;EK$1)</f>
        <v/>
      </c>
      <c r="EL98" s="40" t="str">
        <f t="shared" ref="EL98:EL100" si="1349">IF(BF98="","","|n"&amp;EL$2&amp;"+"&amp;BF98&amp;EL$1)</f>
        <v/>
      </c>
      <c r="EM98" s="40" t="str">
        <f t="shared" ref="EM98:EM100" si="1350">IF(BG98="","","|n"&amp;EM$2&amp;"+"&amp;BG98&amp;EM$1)</f>
        <v/>
      </c>
      <c r="EN98" s="40" t="str">
        <f t="shared" ref="EN98:EN100" si="1351">IF(BH98="","","|n"&amp;EN$2&amp;"+"&amp;BH98&amp;EN$1)</f>
        <v/>
      </c>
      <c r="EO98" s="40" t="str">
        <f t="shared" ref="EO98:EO100" si="1352">IF(BI98="","","|n"&amp;EO$2&amp;"+"&amp;BI98&amp;EO$1)</f>
        <v/>
      </c>
      <c r="EP98" s="40" t="str">
        <f t="shared" ref="EP98:EP100" si="1353">IF(BJ98="","","|n"&amp;EP$2&amp;"+"&amp;BJ98&amp;EP$1)</f>
        <v/>
      </c>
      <c r="EQ98" s="40" t="str">
        <f t="shared" ref="EQ98:EQ100" si="1354">IF(BK98="","","|n"&amp;EQ$2&amp;"+"&amp;BK98&amp;EQ$1)</f>
        <v/>
      </c>
      <c r="ER98" s="40" t="str">
        <f t="shared" ref="ER98:ER100" si="1355">IF(BL98="","","|n"&amp;ER$2&amp;"+"&amp;BL98&amp;ER$1)</f>
        <v/>
      </c>
      <c r="ES98" s="40" t="str">
        <f t="shared" ref="ES98:ES100" si="1356">IF(BM98="","","|n"&amp;ES$2&amp;"+"&amp;BM98&amp;ES$1)</f>
        <v/>
      </c>
      <c r="ET98" s="40" t="str">
        <f t="shared" ref="ET98:ET100" si="1357">IF(BN98="","","|n"&amp;ET$2&amp;"+"&amp;BN98&amp;ET$1)</f>
        <v/>
      </c>
      <c r="EU98" s="40" t="str">
        <f t="shared" ref="EU98:EU100" si="1358">IF(BO98="","","|n"&amp;EU$2&amp;"+"&amp;BO98&amp;EU$1)</f>
        <v/>
      </c>
      <c r="EV98" s="40" t="str">
        <f t="shared" ref="EV98:EV100" si="1359">IF(BP98="","","|n"&amp;EV$2&amp;"+"&amp;BP98&amp;EV$1)</f>
        <v/>
      </c>
      <c r="EW98" s="40" t="str">
        <f t="shared" ref="EW98:EW100" si="1360">IF(BQ98="","","|n"&amp;EW$2&amp;"+"&amp;BQ98&amp;EW$1)</f>
        <v/>
      </c>
      <c r="EX98" s="40" t="str">
        <f t="shared" ref="EX98:EX100" si="1361">IF(BR98="","","|n"&amp;EX$2&amp;"+"&amp;BR98&amp;EX$1)</f>
        <v/>
      </c>
      <c r="EY98" s="40" t="str">
        <f t="shared" ref="EY98:EY100" si="1362">IF(BS98="","","|n"&amp;EY$2&amp;"+"&amp;BS98&amp;EY$1)</f>
        <v/>
      </c>
      <c r="EZ98" s="40" t="str">
        <f t="shared" ref="EZ98:EZ100" si="1363">IF(BT98="","","|n"&amp;EZ$2&amp;"+"&amp;BT98&amp;EZ$1)</f>
        <v/>
      </c>
      <c r="FA98" s="40" t="str">
        <f t="shared" ref="FA98:FA100" si="1364">IF(BU98="","","|n"&amp;FA$2&amp;"+"&amp;BU98&amp;FA$1)</f>
        <v/>
      </c>
      <c r="FB98" s="40" t="str">
        <f t="shared" ref="FB98:FB100" si="1365">IF(BV98="","","|n"&amp;FB$2&amp;"+"&amp;BV98&amp;FB$1)</f>
        <v/>
      </c>
      <c r="FC98" s="40" t="str">
        <f t="shared" ref="FC98:FC100" si="1366">IF(BW98="","","|n"&amp;FC$2&amp;"+"&amp;BW98&amp;FC$1)</f>
        <v/>
      </c>
      <c r="FD98" s="40" t="str">
        <f t="shared" ref="FD98:FD100" si="1367">IF(BX98="","","|n"&amp;FD$2&amp;"+"&amp;BX98&amp;FD$1)</f>
        <v/>
      </c>
      <c r="FE98" s="40" t="str">
        <f t="shared" ref="FE98:FE100" si="1368">IF(BY98="","","|n"&amp;FE$2&amp;"+"&amp;BY98&amp;FE$1)</f>
        <v/>
      </c>
      <c r="FF98" s="40" t="str">
        <f t="shared" ref="FF98:FF100" si="1369">IF(BZ98="","","|n"&amp;FF$2&amp;"+"&amp;BZ98&amp;FF$1)</f>
        <v/>
      </c>
      <c r="FG98" s="40" t="str">
        <f t="shared" ref="FG98:FG100" si="1370">IF(CA98="","","|n"&amp;FG$2&amp;"+"&amp;CA98&amp;FG$1)</f>
        <v/>
      </c>
      <c r="FH98" s="40" t="str">
        <f t="shared" ref="FH98:FH100" si="1371">IF(CB98="","","|n"&amp;FH$2&amp;"+"&amp;CB98&amp;FH$1)</f>
        <v/>
      </c>
      <c r="FI98" s="40" t="str">
        <f t="shared" ref="FI98:FI100" si="1372">IF(CC98="","","|n"&amp;FI$2&amp;"+"&amp;CC98&amp;FI$1)</f>
        <v/>
      </c>
      <c r="FJ98" s="40" t="str">
        <f t="shared" ref="FJ98:FJ100" si="1373">IF(CD98="","","|n"&amp;FJ$2&amp;"+"&amp;CD98&amp;FJ$1)</f>
        <v/>
      </c>
      <c r="FK98" s="40" t="str">
        <f t="shared" ref="FK98:FK100" si="1374">IF(CE98="","","|n"&amp;FK$2&amp;"+"&amp;CE98&amp;FK$1)</f>
        <v/>
      </c>
      <c r="FL98" s="40" t="str">
        <f t="shared" ref="FL98:FL100" si="1375">IF(CF98="","","|n"&amp;FL$2&amp;"+"&amp;CF98&amp;FL$1)</f>
        <v/>
      </c>
      <c r="FM98" s="40" t="str">
        <f t="shared" ref="FM98:FM100" si="1376">IF(CG98="","","|n"&amp;FM$2&amp;"+"&amp;CG98&amp;FM$1)</f>
        <v/>
      </c>
      <c r="FN98" s="40" t="str">
        <f t="shared" ref="FN98:FN100" si="1377">IF(CH98="","","|n"&amp;FN$2&amp;"+"&amp;CH98&amp;FN$1)</f>
        <v/>
      </c>
      <c r="FO98" s="40" t="str">
        <f t="shared" ref="FO98:FO100" si="1378">IF(CI98="","","|n"&amp;FO$2&amp;"+"&amp;CI98&amp;FO$1)</f>
        <v/>
      </c>
      <c r="FP98" s="40" t="str">
        <f t="shared" ref="FP98:FP100" si="1379">IF(CJ98="","","|n"&amp;FP$2&amp;"+"&amp;CJ98&amp;FP$1)</f>
        <v/>
      </c>
      <c r="FQ98" s="40" t="str">
        <f t="shared" ref="FQ98:FQ100" si="1380">IF(CK98="","","|n"&amp;FQ$2&amp;"+"&amp;CK98&amp;FQ$1)</f>
        <v/>
      </c>
      <c r="FR98" s="40" t="str">
        <f t="shared" ref="FR98:FR100" si="1381">IF(CL98="","","|n"&amp;FR$2&amp;"+"&amp;CL98&amp;FR$1)</f>
        <v/>
      </c>
      <c r="FS98" s="40" t="str">
        <f t="shared" ref="FS98:FS100" si="1382">IF(CM98="","","|n"&amp;FS$2&amp;"+"&amp;CM98&amp;FS$1)</f>
        <v/>
      </c>
    </row>
    <row r="99" spans="1:175" ht="16.5">
      <c r="A99" s="2"/>
      <c r="B99" s="2" t="s">
        <v>305</v>
      </c>
      <c r="C99" s="2" t="s">
        <v>306</v>
      </c>
      <c r="T99" s="73" t="s">
        <v>307</v>
      </c>
      <c r="U99" s="51" t="str">
        <f t="shared" si="939"/>
        <v>ReplaceableTextures\\CommandButtons\\BTNI005.blp</v>
      </c>
      <c r="CN99" s="10" t="str">
        <f t="shared" si="940"/>
        <v>InitUnitState('I005',,,,,,,,,,)</v>
      </c>
      <c r="CO99" s="10" t="str">
        <f t="shared" si="941"/>
        <v>InitUnitNormal('I005',,,,,,,,,,)</v>
      </c>
      <c r="CP99" s="10" t="str">
        <f t="shared" si="942"/>
        <v>InitUnitMagic('I005',,,,,,,,,,)</v>
      </c>
      <c r="CQ99" s="10" t="str">
        <f t="shared" si="943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3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4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5">IF(V99="","","|n"&amp;DB$2&amp;"+"&amp;V99&amp;DB$1)</f>
        <v/>
      </c>
      <c r="DC99" s="40" t="str">
        <f t="shared" ref="DC99" si="1386">IF(W99="","","|n"&amp;DC$2&amp;"+"&amp;W99&amp;DC$1)</f>
        <v/>
      </c>
      <c r="DD99" s="40" t="str">
        <f t="shared" ref="DD99" si="1387">IF(X99="","","|n"&amp;DD$2&amp;"+"&amp;X99&amp;DD$1)</f>
        <v/>
      </c>
      <c r="DE99" s="40" t="str">
        <f t="shared" ref="DE99" si="1388">IF(Y99="","","|n"&amp;DE$2&amp;"+"&amp;Y99&amp;DE$1)</f>
        <v/>
      </c>
      <c r="DF99" s="40" t="str">
        <f t="shared" ref="DF99" si="1389">IF(Z99="","","|n"&amp;DF$2&amp;"+"&amp;Z99&amp;DF$1)</f>
        <v/>
      </c>
      <c r="DG99" s="40" t="str">
        <f t="shared" ref="DG99" si="1390">IF(AA99="","","|n"&amp;DG$2&amp;"+"&amp;AA99&amp;DG$1)</f>
        <v/>
      </c>
      <c r="DH99" s="40" t="str">
        <f t="shared" ref="DH99" si="1391">IF(AB99="","","|n"&amp;DH$2&amp;"+"&amp;AB99&amp;DH$1)</f>
        <v/>
      </c>
      <c r="DI99" s="40" t="str">
        <f t="shared" ref="DI99" si="1392">IF(AC99="","","|n"&amp;DI$2&amp;"+"&amp;AC99&amp;DI$1)</f>
        <v/>
      </c>
      <c r="DJ99" s="40" t="str">
        <f t="shared" ref="DJ99" si="1393">IF(AD99="","","|n"&amp;DJ$2&amp;"+"&amp;AD99&amp;DJ$1)</f>
        <v/>
      </c>
      <c r="DK99" s="40" t="str">
        <f t="shared" ref="DK99" si="1394">IF(AE99="","","|n"&amp;DK$2&amp;"+"&amp;AE99&amp;DK$1)</f>
        <v/>
      </c>
      <c r="DL99" s="40" t="str">
        <f t="shared" ref="DL99" si="1395">IF(AF99="","","|n"&amp;DL$2&amp;"+"&amp;AF99&amp;DL$1)</f>
        <v/>
      </c>
      <c r="DM99" s="40" t="str">
        <f t="shared" ref="DM99" si="1396">IF(AG99="","","|n"&amp;DM$2&amp;"+"&amp;AG99&amp;DM$1)</f>
        <v/>
      </c>
      <c r="DN99" s="40" t="str">
        <f t="shared" ref="DN99" si="1397">IF(AH99="","","|n"&amp;DN$2&amp;"+"&amp;AH99&amp;DN$1)</f>
        <v/>
      </c>
      <c r="DO99" s="40" t="str">
        <f t="shared" ref="DO99" si="1398">IF(AI99="","","|n"&amp;DO$2&amp;"+"&amp;AI99&amp;DO$1)</f>
        <v/>
      </c>
      <c r="DP99" s="40" t="str">
        <f t="shared" ref="DP99" si="1399">IF(AJ99="","","|n"&amp;DP$2&amp;"+"&amp;AJ99&amp;DP$1)</f>
        <v/>
      </c>
      <c r="DQ99" s="40" t="str">
        <f t="shared" ref="DQ99" si="1400">IF(AK99="","","|n"&amp;DQ$2&amp;"+"&amp;AK99&amp;DQ$1)</f>
        <v/>
      </c>
      <c r="DR99" s="40" t="str">
        <f t="shared" ref="DR99" si="1401">IF(AL99="","","|n"&amp;DR$2&amp;"+"&amp;AL99&amp;DR$1)</f>
        <v/>
      </c>
      <c r="DS99" s="40" t="str">
        <f t="shared" ref="DS99" si="1402">IF(AM99="","","|n"&amp;DS$2&amp;"+"&amp;AM99&amp;DS$1)</f>
        <v/>
      </c>
      <c r="DT99" s="40" t="str">
        <f t="shared" ref="DT99" si="1403">IF(AN99="","","|n"&amp;DT$2&amp;"+"&amp;AN99&amp;DT$1)</f>
        <v/>
      </c>
      <c r="DU99" s="40" t="str">
        <f t="shared" ref="DU99" si="1404">IF(AO99="","","|n"&amp;DU$2&amp;"+"&amp;AO99&amp;DU$1)</f>
        <v/>
      </c>
      <c r="DV99" s="40" t="str">
        <f t="shared" ref="DV99" si="1405">IF(AP99="","","|n"&amp;DV$2&amp;"+"&amp;AP99&amp;DV$1)</f>
        <v/>
      </c>
      <c r="DW99" s="40" t="str">
        <f t="shared" ref="DW99" si="1406">IF(AQ99="","","|n"&amp;DW$2&amp;"+"&amp;AQ99&amp;DW$1)</f>
        <v/>
      </c>
      <c r="DX99" s="40" t="str">
        <f t="shared" ref="DX99" si="1407">IF(AR99="","","|n"&amp;DX$2&amp;"+"&amp;AR99&amp;DX$1)</f>
        <v/>
      </c>
      <c r="DY99" s="40" t="str">
        <f t="shared" ref="DY99" si="1408">IF(AS99="","","|n"&amp;DY$2&amp;"+"&amp;AS99&amp;DY$1)</f>
        <v/>
      </c>
      <c r="DZ99" s="40" t="str">
        <f t="shared" ref="DZ99" si="1409">IF(AT99="","","|n"&amp;DZ$2&amp;"+"&amp;AT99&amp;DZ$1)</f>
        <v/>
      </c>
      <c r="EA99" s="40" t="str">
        <f t="shared" ref="EA99" si="1410">IF(AU99="","","|n"&amp;EA$2&amp;"+"&amp;AU99&amp;EA$1)</f>
        <v/>
      </c>
      <c r="EB99" s="40" t="str">
        <f t="shared" ref="EB99" si="1411">IF(AV99="","","|n"&amp;EB$2&amp;"+"&amp;AV99&amp;EB$1)</f>
        <v/>
      </c>
      <c r="EC99" s="40" t="str">
        <f t="shared" ref="EC99" si="1412">IF(AW99="","","|n"&amp;EC$2&amp;"+"&amp;AW99&amp;EC$1)</f>
        <v/>
      </c>
      <c r="ED99" s="40" t="str">
        <f t="shared" ref="ED99" si="1413">IF(AX99="","","|n"&amp;ED$2&amp;"+"&amp;AX99&amp;ED$1)</f>
        <v/>
      </c>
      <c r="EE99" s="40" t="str">
        <f t="shared" ref="EE99" si="1414">IF(AY99="","","|n"&amp;EE$2&amp;"+"&amp;AY99&amp;EE$1)</f>
        <v/>
      </c>
      <c r="EF99" s="40" t="str">
        <f t="shared" ref="EF99" si="1415">IF(AZ99="","","|n"&amp;EF$2&amp;"+"&amp;AZ99&amp;EF$1)</f>
        <v/>
      </c>
      <c r="EG99" s="40" t="str">
        <f t="shared" ref="EG99" si="1416">IF(BA99="","","|n"&amp;EG$2&amp;"+"&amp;BA99&amp;EG$1)</f>
        <v/>
      </c>
      <c r="EH99" s="40" t="str">
        <f t="shared" ref="EH99" si="1417">IF(BB99="","","|n"&amp;EH$2&amp;"+"&amp;BB99&amp;EH$1)</f>
        <v/>
      </c>
      <c r="EI99" s="40" t="str">
        <f t="shared" ref="EI99" si="1418">IF(BC99="","","|n"&amp;EI$2&amp;"+"&amp;BC99&amp;EI$1)</f>
        <v/>
      </c>
      <c r="EJ99" s="40" t="str">
        <f t="shared" ref="EJ99" si="1419">IF(BD99="","","|n"&amp;EJ$2&amp;"+"&amp;BD99&amp;EJ$1)</f>
        <v/>
      </c>
      <c r="EK99" s="40" t="str">
        <f t="shared" ref="EK99" si="1420">IF(BE99="","","|n"&amp;EK$2&amp;"+"&amp;BE99&amp;EK$1)</f>
        <v/>
      </c>
      <c r="EL99" s="40" t="str">
        <f t="shared" ref="EL99" si="1421">IF(BF99="","","|n"&amp;EL$2&amp;"+"&amp;BF99&amp;EL$1)</f>
        <v/>
      </c>
      <c r="EM99" s="40" t="str">
        <f t="shared" ref="EM99" si="1422">IF(BG99="","","|n"&amp;EM$2&amp;"+"&amp;BG99&amp;EM$1)</f>
        <v/>
      </c>
      <c r="EN99" s="40" t="str">
        <f t="shared" ref="EN99" si="1423">IF(BH99="","","|n"&amp;EN$2&amp;"+"&amp;BH99&amp;EN$1)</f>
        <v/>
      </c>
      <c r="EO99" s="40" t="str">
        <f t="shared" ref="EO99" si="1424">IF(BI99="","","|n"&amp;EO$2&amp;"+"&amp;BI99&amp;EO$1)</f>
        <v/>
      </c>
      <c r="EP99" s="40" t="str">
        <f t="shared" ref="EP99" si="1425">IF(BJ99="","","|n"&amp;EP$2&amp;"+"&amp;BJ99&amp;EP$1)</f>
        <v/>
      </c>
      <c r="EQ99" s="40" t="str">
        <f t="shared" ref="EQ99" si="1426">IF(BK99="","","|n"&amp;EQ$2&amp;"+"&amp;BK99&amp;EQ$1)</f>
        <v/>
      </c>
      <c r="ER99" s="40" t="str">
        <f t="shared" ref="ER99" si="1427">IF(BL99="","","|n"&amp;ER$2&amp;"+"&amp;BL99&amp;ER$1)</f>
        <v/>
      </c>
      <c r="ES99" s="40" t="str">
        <f t="shared" ref="ES99" si="1428">IF(BM99="","","|n"&amp;ES$2&amp;"+"&amp;BM99&amp;ES$1)</f>
        <v/>
      </c>
      <c r="ET99" s="40" t="str">
        <f t="shared" ref="ET99" si="1429">IF(BN99="","","|n"&amp;ET$2&amp;"+"&amp;BN99&amp;ET$1)</f>
        <v/>
      </c>
      <c r="EU99" s="40" t="str">
        <f t="shared" ref="EU99" si="1430">IF(BO99="","","|n"&amp;EU$2&amp;"+"&amp;BO99&amp;EU$1)</f>
        <v/>
      </c>
      <c r="EV99" s="40" t="str">
        <f t="shared" ref="EV99" si="1431">IF(BP99="","","|n"&amp;EV$2&amp;"+"&amp;BP99&amp;EV$1)</f>
        <v/>
      </c>
      <c r="EW99" s="40" t="str">
        <f t="shared" ref="EW99" si="1432">IF(BQ99="","","|n"&amp;EW$2&amp;"+"&amp;BQ99&amp;EW$1)</f>
        <v/>
      </c>
      <c r="EX99" s="40" t="str">
        <f t="shared" ref="EX99" si="1433">IF(BR99="","","|n"&amp;EX$2&amp;"+"&amp;BR99&amp;EX$1)</f>
        <v/>
      </c>
      <c r="EY99" s="40" t="str">
        <f t="shared" ref="EY99" si="1434">IF(BS99="","","|n"&amp;EY$2&amp;"+"&amp;BS99&amp;EY$1)</f>
        <v/>
      </c>
      <c r="EZ99" s="40" t="str">
        <f t="shared" ref="EZ99" si="1435">IF(BT99="","","|n"&amp;EZ$2&amp;"+"&amp;BT99&amp;EZ$1)</f>
        <v/>
      </c>
      <c r="FA99" s="40" t="str">
        <f t="shared" ref="FA99" si="1436">IF(BU99="","","|n"&amp;FA$2&amp;"+"&amp;BU99&amp;FA$1)</f>
        <v/>
      </c>
      <c r="FB99" s="40" t="str">
        <f t="shared" ref="FB99" si="1437">IF(BV99="","","|n"&amp;FB$2&amp;"+"&amp;BV99&amp;FB$1)</f>
        <v/>
      </c>
      <c r="FC99" s="40" t="str">
        <f t="shared" ref="FC99" si="1438">IF(BW99="","","|n"&amp;FC$2&amp;"+"&amp;BW99&amp;FC$1)</f>
        <v/>
      </c>
      <c r="FD99" s="40" t="str">
        <f t="shared" ref="FD99" si="1439">IF(BX99="","","|n"&amp;FD$2&amp;"+"&amp;BX99&amp;FD$1)</f>
        <v/>
      </c>
      <c r="FE99" s="40" t="str">
        <f t="shared" ref="FE99" si="1440">IF(BY99="","","|n"&amp;FE$2&amp;"+"&amp;BY99&amp;FE$1)</f>
        <v/>
      </c>
      <c r="FF99" s="40" t="str">
        <f t="shared" ref="FF99" si="1441">IF(BZ99="","","|n"&amp;FF$2&amp;"+"&amp;BZ99&amp;FF$1)</f>
        <v/>
      </c>
      <c r="FG99" s="40" t="str">
        <f t="shared" ref="FG99" si="1442">IF(CA99="","","|n"&amp;FG$2&amp;"+"&amp;CA99&amp;FG$1)</f>
        <v/>
      </c>
      <c r="FH99" s="40" t="str">
        <f t="shared" ref="FH99" si="1443">IF(CB99="","","|n"&amp;FH$2&amp;"+"&amp;CB99&amp;FH$1)</f>
        <v/>
      </c>
      <c r="FI99" s="40" t="str">
        <f t="shared" ref="FI99" si="1444">IF(CC99="","","|n"&amp;FI$2&amp;"+"&amp;CC99&amp;FI$1)</f>
        <v/>
      </c>
      <c r="FJ99" s="40" t="str">
        <f t="shared" ref="FJ99" si="1445">IF(CD99="","","|n"&amp;FJ$2&amp;"+"&amp;CD99&amp;FJ$1)</f>
        <v/>
      </c>
      <c r="FK99" s="40" t="str">
        <f t="shared" ref="FK99" si="1446">IF(CE99="","","|n"&amp;FK$2&amp;"+"&amp;CE99&amp;FK$1)</f>
        <v/>
      </c>
      <c r="FL99" s="40" t="str">
        <f t="shared" ref="FL99" si="1447">IF(CF99="","","|n"&amp;FL$2&amp;"+"&amp;CF99&amp;FL$1)</f>
        <v/>
      </c>
      <c r="FM99" s="40" t="str">
        <f t="shared" ref="FM99" si="1448">IF(CG99="","","|n"&amp;FM$2&amp;"+"&amp;CG99&amp;FM$1)</f>
        <v/>
      </c>
      <c r="FN99" s="40" t="str">
        <f t="shared" ref="FN99" si="1449">IF(CH99="","","|n"&amp;FN$2&amp;"+"&amp;CH99&amp;FN$1)</f>
        <v/>
      </c>
      <c r="FO99" s="40" t="str">
        <f t="shared" ref="FO99" si="1450">IF(CI99="","","|n"&amp;FO$2&amp;"+"&amp;CI99&amp;FO$1)</f>
        <v/>
      </c>
      <c r="FP99" s="40" t="str">
        <f t="shared" ref="FP99" si="1451">IF(CJ99="","","|n"&amp;FP$2&amp;"+"&amp;CJ99&amp;FP$1)</f>
        <v/>
      </c>
      <c r="FQ99" s="40" t="str">
        <f t="shared" ref="FQ99" si="1452">IF(CK99="","","|n"&amp;FQ$2&amp;"+"&amp;CK99&amp;FQ$1)</f>
        <v/>
      </c>
      <c r="FR99" s="40" t="str">
        <f t="shared" ref="FR99" si="1453">IF(CL99="","","|n"&amp;FR$2&amp;"+"&amp;CL99&amp;FR$1)</f>
        <v/>
      </c>
      <c r="FS99" s="40" t="str">
        <f t="shared" ref="FS99" si="1454">IF(CM99="","","|n"&amp;FS$2&amp;"+"&amp;CM99&amp;FS$1)</f>
        <v/>
      </c>
    </row>
    <row r="100" spans="1:175" ht="54">
      <c r="A100" s="2"/>
      <c r="B100" s="2" t="s">
        <v>308</v>
      </c>
      <c r="C100" s="2" t="s">
        <v>309</v>
      </c>
      <c r="T100" s="72" t="s">
        <v>310</v>
      </c>
      <c r="U100" s="51" t="str">
        <f t="shared" si="939"/>
        <v>ReplaceableTextures\\CommandButtons\\BTNI011.blp</v>
      </c>
      <c r="CN100" s="10" t="str">
        <f t="shared" si="940"/>
        <v>InitUnitState('I011',,,,,,,,,,)</v>
      </c>
      <c r="CO100" s="10" t="str">
        <f t="shared" si="941"/>
        <v>InitUnitNormal('I011',,,,,,,,,,)</v>
      </c>
      <c r="CP100" s="10" t="str">
        <f t="shared" si="942"/>
        <v>InitUnitMagic('I011',,,,,,,,,,)</v>
      </c>
      <c r="CQ100" s="10" t="str">
        <f t="shared" si="943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1"/>
        <v>|n</v>
      </c>
      <c r="CV100" s="3" t="str">
        <f t="shared" si="1312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3"/>
        <v/>
      </c>
      <c r="DC100" s="40" t="str">
        <f t="shared" si="1314"/>
        <v/>
      </c>
      <c r="DD100" s="40" t="str">
        <f t="shared" si="1315"/>
        <v/>
      </c>
      <c r="DE100" s="40" t="str">
        <f t="shared" si="1316"/>
        <v/>
      </c>
      <c r="DF100" s="40" t="str">
        <f t="shared" si="1317"/>
        <v/>
      </c>
      <c r="DG100" s="40" t="str">
        <f t="shared" si="1318"/>
        <v/>
      </c>
      <c r="DH100" s="40" t="str">
        <f t="shared" si="1319"/>
        <v/>
      </c>
      <c r="DI100" s="40" t="str">
        <f t="shared" si="1320"/>
        <v/>
      </c>
      <c r="DJ100" s="40" t="str">
        <f t="shared" si="1321"/>
        <v/>
      </c>
      <c r="DK100" s="40" t="str">
        <f t="shared" si="1322"/>
        <v/>
      </c>
      <c r="DL100" s="40" t="str">
        <f t="shared" si="1323"/>
        <v/>
      </c>
      <c r="DM100" s="40" t="str">
        <f t="shared" si="1324"/>
        <v/>
      </c>
      <c r="DN100" s="40" t="str">
        <f t="shared" si="1325"/>
        <v/>
      </c>
      <c r="DO100" s="40" t="str">
        <f t="shared" si="1326"/>
        <v/>
      </c>
      <c r="DP100" s="40" t="str">
        <f t="shared" si="1327"/>
        <v/>
      </c>
      <c r="DQ100" s="40" t="str">
        <f t="shared" si="1328"/>
        <v/>
      </c>
      <c r="DR100" s="40" t="str">
        <f t="shared" si="1329"/>
        <v/>
      </c>
      <c r="DS100" s="40" t="str">
        <f t="shared" si="1330"/>
        <v/>
      </c>
      <c r="DT100" s="40" t="str">
        <f t="shared" si="1331"/>
        <v/>
      </c>
      <c r="DU100" s="40" t="str">
        <f t="shared" si="1332"/>
        <v/>
      </c>
      <c r="DV100" s="40" t="str">
        <f t="shared" si="1333"/>
        <v/>
      </c>
      <c r="DW100" s="40" t="str">
        <f t="shared" si="1334"/>
        <v/>
      </c>
      <c r="DX100" s="40" t="str">
        <f t="shared" si="1335"/>
        <v/>
      </c>
      <c r="DY100" s="40" t="str">
        <f t="shared" si="1336"/>
        <v/>
      </c>
      <c r="DZ100" s="40" t="str">
        <f t="shared" si="1337"/>
        <v/>
      </c>
      <c r="EA100" s="40" t="str">
        <f t="shared" si="1338"/>
        <v/>
      </c>
      <c r="EB100" s="40" t="str">
        <f t="shared" si="1339"/>
        <v/>
      </c>
      <c r="EC100" s="40" t="str">
        <f t="shared" si="1340"/>
        <v/>
      </c>
      <c r="ED100" s="40" t="str">
        <f t="shared" si="1341"/>
        <v/>
      </c>
      <c r="EE100" s="40" t="str">
        <f t="shared" si="1342"/>
        <v/>
      </c>
      <c r="EF100" s="40" t="str">
        <f t="shared" si="1343"/>
        <v/>
      </c>
      <c r="EG100" s="40" t="str">
        <f t="shared" si="1344"/>
        <v/>
      </c>
      <c r="EH100" s="40" t="str">
        <f t="shared" si="1345"/>
        <v/>
      </c>
      <c r="EI100" s="40" t="str">
        <f t="shared" si="1346"/>
        <v/>
      </c>
      <c r="EJ100" s="40" t="str">
        <f t="shared" si="1347"/>
        <v/>
      </c>
      <c r="EK100" s="40" t="str">
        <f t="shared" si="1348"/>
        <v/>
      </c>
      <c r="EL100" s="40" t="str">
        <f t="shared" si="1349"/>
        <v/>
      </c>
      <c r="EM100" s="40" t="str">
        <f t="shared" si="1350"/>
        <v/>
      </c>
      <c r="EN100" s="40" t="str">
        <f t="shared" si="1351"/>
        <v/>
      </c>
      <c r="EO100" s="40" t="str">
        <f t="shared" si="1352"/>
        <v/>
      </c>
      <c r="EP100" s="40" t="str">
        <f t="shared" si="1353"/>
        <v/>
      </c>
      <c r="EQ100" s="40" t="str">
        <f t="shared" si="1354"/>
        <v/>
      </c>
      <c r="ER100" s="40" t="str">
        <f t="shared" si="1355"/>
        <v/>
      </c>
      <c r="ES100" s="40" t="str">
        <f t="shared" si="1356"/>
        <v/>
      </c>
      <c r="ET100" s="40" t="str">
        <f t="shared" si="1357"/>
        <v/>
      </c>
      <c r="EU100" s="40" t="str">
        <f t="shared" si="1358"/>
        <v/>
      </c>
      <c r="EV100" s="40" t="str">
        <f t="shared" si="1359"/>
        <v/>
      </c>
      <c r="EW100" s="40" t="str">
        <f t="shared" si="1360"/>
        <v/>
      </c>
      <c r="EX100" s="40" t="str">
        <f t="shared" si="1361"/>
        <v/>
      </c>
      <c r="EY100" s="40" t="str">
        <f t="shared" si="1362"/>
        <v/>
      </c>
      <c r="EZ100" s="40" t="str">
        <f t="shared" si="1363"/>
        <v/>
      </c>
      <c r="FA100" s="40" t="str">
        <f t="shared" si="1364"/>
        <v/>
      </c>
      <c r="FB100" s="40" t="str">
        <f t="shared" si="1365"/>
        <v/>
      </c>
      <c r="FC100" s="40" t="str">
        <f t="shared" si="1366"/>
        <v/>
      </c>
      <c r="FD100" s="40" t="str">
        <f t="shared" si="1367"/>
        <v/>
      </c>
      <c r="FE100" s="40" t="str">
        <f t="shared" si="1368"/>
        <v/>
      </c>
      <c r="FF100" s="40" t="str">
        <f t="shared" si="1369"/>
        <v/>
      </c>
      <c r="FG100" s="40" t="str">
        <f t="shared" si="1370"/>
        <v/>
      </c>
      <c r="FH100" s="40" t="str">
        <f t="shared" si="1371"/>
        <v/>
      </c>
      <c r="FI100" s="40" t="str">
        <f t="shared" si="1372"/>
        <v/>
      </c>
      <c r="FJ100" s="40" t="str">
        <f t="shared" si="1373"/>
        <v/>
      </c>
      <c r="FK100" s="40" t="str">
        <f t="shared" si="1374"/>
        <v/>
      </c>
      <c r="FL100" s="40" t="str">
        <f t="shared" si="1375"/>
        <v/>
      </c>
      <c r="FM100" s="40" t="str">
        <f t="shared" si="1376"/>
        <v/>
      </c>
      <c r="FN100" s="40" t="str">
        <f t="shared" si="1377"/>
        <v/>
      </c>
      <c r="FO100" s="40" t="str">
        <f t="shared" si="1378"/>
        <v/>
      </c>
      <c r="FP100" s="40" t="str">
        <f t="shared" si="1379"/>
        <v/>
      </c>
      <c r="FQ100" s="40" t="str">
        <f t="shared" si="1380"/>
        <v/>
      </c>
      <c r="FR100" s="40" t="str">
        <f t="shared" si="1381"/>
        <v/>
      </c>
      <c r="FS100" s="40" t="str">
        <f t="shared" si="1382"/>
        <v/>
      </c>
    </row>
    <row r="101" spans="1:175" ht="54">
      <c r="A101" s="2"/>
      <c r="B101" s="2" t="s">
        <v>311</v>
      </c>
      <c r="C101" s="2" t="s">
        <v>312</v>
      </c>
      <c r="T101" s="72" t="s">
        <v>623</v>
      </c>
      <c r="U101" s="51" t="str">
        <f t="shared" si="939"/>
        <v>ReplaceableTextures\\CommandButtons\\BTNI012.blp</v>
      </c>
      <c r="CN101" s="10" t="str">
        <f t="shared" si="940"/>
        <v>InitUnitState('I012',,,,,,,,,,)</v>
      </c>
      <c r="CO101" s="10" t="str">
        <f t="shared" si="941"/>
        <v>InitUnitNormal('I012',,,,,,,,,,)</v>
      </c>
      <c r="CP101" s="10" t="str">
        <f t="shared" si="942"/>
        <v>InitUnitMagic('I012',,,,,,,,,,)</v>
      </c>
      <c r="CQ101" s="10" t="str">
        <f t="shared" si="943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5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6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7">IF(V101="","","|n"&amp;DB$2&amp;"+"&amp;V101&amp;DB$1)</f>
        <v/>
      </c>
      <c r="DC101" s="40" t="str">
        <f t="shared" ref="DC101:DC102" si="1458">IF(W101="","","|n"&amp;DC$2&amp;"+"&amp;W101&amp;DC$1)</f>
        <v/>
      </c>
      <c r="DD101" s="40" t="str">
        <f t="shared" ref="DD101:DD102" si="1459">IF(X101="","","|n"&amp;DD$2&amp;"+"&amp;X101&amp;DD$1)</f>
        <v/>
      </c>
      <c r="DE101" s="40" t="str">
        <f t="shared" ref="DE101:DE102" si="1460">IF(Y101="","","|n"&amp;DE$2&amp;"+"&amp;Y101&amp;DE$1)</f>
        <v/>
      </c>
      <c r="DF101" s="40" t="str">
        <f t="shared" ref="DF101:DF102" si="1461">IF(Z101="","","|n"&amp;DF$2&amp;"+"&amp;Z101&amp;DF$1)</f>
        <v/>
      </c>
      <c r="DG101" s="40" t="str">
        <f t="shared" ref="DG101:DG102" si="1462">IF(AA101="","","|n"&amp;DG$2&amp;"+"&amp;AA101&amp;DG$1)</f>
        <v/>
      </c>
      <c r="DH101" s="40" t="str">
        <f t="shared" ref="DH101:DH102" si="1463">IF(AB101="","","|n"&amp;DH$2&amp;"+"&amp;AB101&amp;DH$1)</f>
        <v/>
      </c>
      <c r="DI101" s="40" t="str">
        <f t="shared" ref="DI101:DI102" si="1464">IF(AC101="","","|n"&amp;DI$2&amp;"+"&amp;AC101&amp;DI$1)</f>
        <v/>
      </c>
      <c r="DJ101" s="40" t="str">
        <f t="shared" ref="DJ101:DJ102" si="1465">IF(AD101="","","|n"&amp;DJ$2&amp;"+"&amp;AD101&amp;DJ$1)</f>
        <v/>
      </c>
      <c r="DK101" s="40" t="str">
        <f t="shared" ref="DK101:DK102" si="1466">IF(AE101="","","|n"&amp;DK$2&amp;"+"&amp;AE101&amp;DK$1)</f>
        <v/>
      </c>
      <c r="DL101" s="40" t="str">
        <f t="shared" ref="DL101:DL102" si="1467">IF(AF101="","","|n"&amp;DL$2&amp;"+"&amp;AF101&amp;DL$1)</f>
        <v/>
      </c>
      <c r="DM101" s="40" t="str">
        <f t="shared" ref="DM101:DM102" si="1468">IF(AG101="","","|n"&amp;DM$2&amp;"+"&amp;AG101&amp;DM$1)</f>
        <v/>
      </c>
      <c r="DN101" s="40" t="str">
        <f t="shared" ref="DN101:DN102" si="1469">IF(AH101="","","|n"&amp;DN$2&amp;"+"&amp;AH101&amp;DN$1)</f>
        <v/>
      </c>
      <c r="DO101" s="40" t="str">
        <f t="shared" ref="DO101:DO102" si="1470">IF(AI101="","","|n"&amp;DO$2&amp;"+"&amp;AI101&amp;DO$1)</f>
        <v/>
      </c>
      <c r="DP101" s="40" t="str">
        <f t="shared" ref="DP101:DP102" si="1471">IF(AJ101="","","|n"&amp;DP$2&amp;"+"&amp;AJ101&amp;DP$1)</f>
        <v/>
      </c>
      <c r="DQ101" s="40" t="str">
        <f t="shared" ref="DQ101:DQ102" si="1472">IF(AK101="","","|n"&amp;DQ$2&amp;"+"&amp;AK101&amp;DQ$1)</f>
        <v/>
      </c>
      <c r="DR101" s="40" t="str">
        <f t="shared" ref="DR101:DR102" si="1473">IF(AL101="","","|n"&amp;DR$2&amp;"+"&amp;AL101&amp;DR$1)</f>
        <v/>
      </c>
      <c r="DS101" s="40" t="str">
        <f t="shared" ref="DS101:DS102" si="1474">IF(AM101="","","|n"&amp;DS$2&amp;"+"&amp;AM101&amp;DS$1)</f>
        <v/>
      </c>
      <c r="DT101" s="40" t="str">
        <f t="shared" ref="DT101:DT102" si="1475">IF(AN101="","","|n"&amp;DT$2&amp;"+"&amp;AN101&amp;DT$1)</f>
        <v/>
      </c>
      <c r="DU101" s="40" t="str">
        <f t="shared" ref="DU101:DU102" si="1476">IF(AO101="","","|n"&amp;DU$2&amp;"+"&amp;AO101&amp;DU$1)</f>
        <v/>
      </c>
      <c r="DV101" s="40" t="str">
        <f t="shared" ref="DV101:DV102" si="1477">IF(AP101="","","|n"&amp;DV$2&amp;"+"&amp;AP101&amp;DV$1)</f>
        <v/>
      </c>
      <c r="DW101" s="40" t="str">
        <f t="shared" ref="DW101:DW102" si="1478">IF(AQ101="","","|n"&amp;DW$2&amp;"+"&amp;AQ101&amp;DW$1)</f>
        <v/>
      </c>
      <c r="DX101" s="40" t="str">
        <f t="shared" ref="DX101:DX102" si="1479">IF(AR101="","","|n"&amp;DX$2&amp;"+"&amp;AR101&amp;DX$1)</f>
        <v/>
      </c>
      <c r="DY101" s="40" t="str">
        <f t="shared" ref="DY101:DY102" si="1480">IF(AS101="","","|n"&amp;DY$2&amp;"+"&amp;AS101&amp;DY$1)</f>
        <v/>
      </c>
      <c r="DZ101" s="40" t="str">
        <f t="shared" ref="DZ101:DZ102" si="1481">IF(AT101="","","|n"&amp;DZ$2&amp;"+"&amp;AT101&amp;DZ$1)</f>
        <v/>
      </c>
      <c r="EA101" s="40" t="str">
        <f t="shared" ref="EA101:EA102" si="1482">IF(AU101="","","|n"&amp;EA$2&amp;"+"&amp;AU101&amp;EA$1)</f>
        <v/>
      </c>
      <c r="EB101" s="40" t="str">
        <f t="shared" ref="EB101:EB102" si="1483">IF(AV101="","","|n"&amp;EB$2&amp;"+"&amp;AV101&amp;EB$1)</f>
        <v/>
      </c>
      <c r="EC101" s="40" t="str">
        <f t="shared" ref="EC101:EC102" si="1484">IF(AW101="","","|n"&amp;EC$2&amp;"+"&amp;AW101&amp;EC$1)</f>
        <v/>
      </c>
      <c r="ED101" s="40" t="str">
        <f t="shared" ref="ED101:ED102" si="1485">IF(AX101="","","|n"&amp;ED$2&amp;"+"&amp;AX101&amp;ED$1)</f>
        <v/>
      </c>
      <c r="EE101" s="40" t="str">
        <f t="shared" ref="EE101:EE102" si="1486">IF(AY101="","","|n"&amp;EE$2&amp;"+"&amp;AY101&amp;EE$1)</f>
        <v/>
      </c>
      <c r="EF101" s="40" t="str">
        <f t="shared" ref="EF101:EF102" si="1487">IF(AZ101="","","|n"&amp;EF$2&amp;"+"&amp;AZ101&amp;EF$1)</f>
        <v/>
      </c>
      <c r="EG101" s="40" t="str">
        <f t="shared" ref="EG101:EG102" si="1488">IF(BA101="","","|n"&amp;EG$2&amp;"+"&amp;BA101&amp;EG$1)</f>
        <v/>
      </c>
      <c r="EH101" s="40" t="str">
        <f t="shared" ref="EH101:EH102" si="1489">IF(BB101="","","|n"&amp;EH$2&amp;"+"&amp;BB101&amp;EH$1)</f>
        <v/>
      </c>
      <c r="EI101" s="40" t="str">
        <f t="shared" ref="EI101:EI102" si="1490">IF(BC101="","","|n"&amp;EI$2&amp;"+"&amp;BC101&amp;EI$1)</f>
        <v/>
      </c>
      <c r="EJ101" s="40" t="str">
        <f t="shared" ref="EJ101:EJ102" si="1491">IF(BD101="","","|n"&amp;EJ$2&amp;"+"&amp;BD101&amp;EJ$1)</f>
        <v/>
      </c>
      <c r="EK101" s="40" t="str">
        <f t="shared" ref="EK101:EK102" si="1492">IF(BE101="","","|n"&amp;EK$2&amp;"+"&amp;BE101&amp;EK$1)</f>
        <v/>
      </c>
      <c r="EL101" s="40" t="str">
        <f t="shared" ref="EL101:EL102" si="1493">IF(BF101="","","|n"&amp;EL$2&amp;"+"&amp;BF101&amp;EL$1)</f>
        <v/>
      </c>
      <c r="EM101" s="40" t="str">
        <f t="shared" ref="EM101:EM102" si="1494">IF(BG101="","","|n"&amp;EM$2&amp;"+"&amp;BG101&amp;EM$1)</f>
        <v/>
      </c>
      <c r="EN101" s="40" t="str">
        <f t="shared" ref="EN101:EN102" si="1495">IF(BH101="","","|n"&amp;EN$2&amp;"+"&amp;BH101&amp;EN$1)</f>
        <v/>
      </c>
      <c r="EO101" s="40" t="str">
        <f t="shared" ref="EO101:EO102" si="1496">IF(BI101="","","|n"&amp;EO$2&amp;"+"&amp;BI101&amp;EO$1)</f>
        <v/>
      </c>
      <c r="EP101" s="40" t="str">
        <f t="shared" ref="EP101:EP102" si="1497">IF(BJ101="","","|n"&amp;EP$2&amp;"+"&amp;BJ101&amp;EP$1)</f>
        <v/>
      </c>
      <c r="EQ101" s="40" t="str">
        <f t="shared" ref="EQ101:EQ102" si="1498">IF(BK101="","","|n"&amp;EQ$2&amp;"+"&amp;BK101&amp;EQ$1)</f>
        <v/>
      </c>
      <c r="ER101" s="40" t="str">
        <f t="shared" ref="ER101:ER102" si="1499">IF(BL101="","","|n"&amp;ER$2&amp;"+"&amp;BL101&amp;ER$1)</f>
        <v/>
      </c>
      <c r="ES101" s="40" t="str">
        <f t="shared" ref="ES101:ES102" si="1500">IF(BM101="","","|n"&amp;ES$2&amp;"+"&amp;BM101&amp;ES$1)</f>
        <v/>
      </c>
      <c r="ET101" s="40" t="str">
        <f t="shared" ref="ET101:ET102" si="1501">IF(BN101="","","|n"&amp;ET$2&amp;"+"&amp;BN101&amp;ET$1)</f>
        <v/>
      </c>
      <c r="EU101" s="40" t="str">
        <f t="shared" ref="EU101:EU102" si="1502">IF(BO101="","","|n"&amp;EU$2&amp;"+"&amp;BO101&amp;EU$1)</f>
        <v/>
      </c>
      <c r="EV101" s="40" t="str">
        <f t="shared" ref="EV101:EV102" si="1503">IF(BP101="","","|n"&amp;EV$2&amp;"+"&amp;BP101&amp;EV$1)</f>
        <v/>
      </c>
      <c r="EW101" s="40" t="str">
        <f t="shared" ref="EW101:EW102" si="1504">IF(BQ101="","","|n"&amp;EW$2&amp;"+"&amp;BQ101&amp;EW$1)</f>
        <v/>
      </c>
      <c r="EX101" s="40" t="str">
        <f t="shared" ref="EX101:EX102" si="1505">IF(BR101="","","|n"&amp;EX$2&amp;"+"&amp;BR101&amp;EX$1)</f>
        <v/>
      </c>
      <c r="EY101" s="40" t="str">
        <f t="shared" ref="EY101:EY102" si="1506">IF(BS101="","","|n"&amp;EY$2&amp;"+"&amp;BS101&amp;EY$1)</f>
        <v/>
      </c>
      <c r="EZ101" s="40" t="str">
        <f t="shared" ref="EZ101:EZ102" si="1507">IF(BT101="","","|n"&amp;EZ$2&amp;"+"&amp;BT101&amp;EZ$1)</f>
        <v/>
      </c>
      <c r="FA101" s="40" t="str">
        <f t="shared" ref="FA101:FA102" si="1508">IF(BU101="","","|n"&amp;FA$2&amp;"+"&amp;BU101&amp;FA$1)</f>
        <v/>
      </c>
      <c r="FB101" s="40" t="str">
        <f t="shared" ref="FB101:FB102" si="1509">IF(BV101="","","|n"&amp;FB$2&amp;"+"&amp;BV101&amp;FB$1)</f>
        <v/>
      </c>
      <c r="FC101" s="40" t="str">
        <f t="shared" ref="FC101:FC102" si="1510">IF(BW101="","","|n"&amp;FC$2&amp;"+"&amp;BW101&amp;FC$1)</f>
        <v/>
      </c>
      <c r="FD101" s="40" t="str">
        <f t="shared" ref="FD101:FD102" si="1511">IF(BX101="","","|n"&amp;FD$2&amp;"+"&amp;BX101&amp;FD$1)</f>
        <v/>
      </c>
      <c r="FE101" s="40" t="str">
        <f t="shared" ref="FE101:FE102" si="1512">IF(BY101="","","|n"&amp;FE$2&amp;"+"&amp;BY101&amp;FE$1)</f>
        <v/>
      </c>
      <c r="FF101" s="40" t="str">
        <f t="shared" ref="FF101:FF102" si="1513">IF(BZ101="","","|n"&amp;FF$2&amp;"+"&amp;BZ101&amp;FF$1)</f>
        <v/>
      </c>
      <c r="FG101" s="40" t="str">
        <f t="shared" ref="FG101:FG102" si="1514">IF(CA101="","","|n"&amp;FG$2&amp;"+"&amp;CA101&amp;FG$1)</f>
        <v/>
      </c>
      <c r="FH101" s="40" t="str">
        <f t="shared" ref="FH101:FH102" si="1515">IF(CB101="","","|n"&amp;FH$2&amp;"+"&amp;CB101&amp;FH$1)</f>
        <v/>
      </c>
      <c r="FI101" s="40" t="str">
        <f t="shared" ref="FI101:FI102" si="1516">IF(CC101="","","|n"&amp;FI$2&amp;"+"&amp;CC101&amp;FI$1)</f>
        <v/>
      </c>
      <c r="FJ101" s="40" t="str">
        <f t="shared" ref="FJ101:FJ102" si="1517">IF(CD101="","","|n"&amp;FJ$2&amp;"+"&amp;CD101&amp;FJ$1)</f>
        <v/>
      </c>
      <c r="FK101" s="40" t="str">
        <f t="shared" ref="FK101:FK102" si="1518">IF(CE101="","","|n"&amp;FK$2&amp;"+"&amp;CE101&amp;FK$1)</f>
        <v/>
      </c>
      <c r="FL101" s="40" t="str">
        <f t="shared" ref="FL101:FL102" si="1519">IF(CF101="","","|n"&amp;FL$2&amp;"+"&amp;CF101&amp;FL$1)</f>
        <v/>
      </c>
      <c r="FM101" s="40" t="str">
        <f t="shared" ref="FM101:FM102" si="1520">IF(CG101="","","|n"&amp;FM$2&amp;"+"&amp;CG101&amp;FM$1)</f>
        <v/>
      </c>
      <c r="FN101" s="40" t="str">
        <f t="shared" ref="FN101:FN102" si="1521">IF(CH101="","","|n"&amp;FN$2&amp;"+"&amp;CH101&amp;FN$1)</f>
        <v/>
      </c>
      <c r="FO101" s="40" t="str">
        <f t="shared" ref="FO101:FO102" si="1522">IF(CI101="","","|n"&amp;FO$2&amp;"+"&amp;CI101&amp;FO$1)</f>
        <v/>
      </c>
      <c r="FP101" s="40" t="str">
        <f t="shared" ref="FP101:FP102" si="1523">IF(CJ101="","","|n"&amp;FP$2&amp;"+"&amp;CJ101&amp;FP$1)</f>
        <v/>
      </c>
      <c r="FQ101" s="40" t="str">
        <f t="shared" ref="FQ101:FQ102" si="1524">IF(CK101="","","|n"&amp;FQ$2&amp;"+"&amp;CK101&amp;FQ$1)</f>
        <v/>
      </c>
      <c r="FR101" s="40" t="str">
        <f t="shared" ref="FR101:FR102" si="1525">IF(CL101="","","|n"&amp;FR$2&amp;"+"&amp;CL101&amp;FR$1)</f>
        <v/>
      </c>
      <c r="FS101" s="40" t="str">
        <f t="shared" ref="FS101:FS102" si="1526">IF(CM101="","","|n"&amp;FS$2&amp;"+"&amp;CM101&amp;FS$1)</f>
        <v/>
      </c>
    </row>
    <row r="102" spans="1:175" ht="54">
      <c r="A102" s="2"/>
      <c r="B102" s="2" t="s">
        <v>313</v>
      </c>
      <c r="C102" s="2" t="s">
        <v>314</v>
      </c>
      <c r="T102" s="72" t="s">
        <v>315</v>
      </c>
      <c r="U102" s="51" t="str">
        <f t="shared" si="939"/>
        <v>ReplaceableTextures\\CommandButtons\\BTNI013.blp</v>
      </c>
      <c r="CN102" s="10" t="str">
        <f t="shared" si="940"/>
        <v>InitUnitState('I013',,,,,,,,,,)</v>
      </c>
      <c r="CO102" s="10" t="str">
        <f t="shared" si="941"/>
        <v>InitUnitNormal('I013',,,,,,,,,,)</v>
      </c>
      <c r="CP102" s="10" t="str">
        <f t="shared" si="942"/>
        <v>InitUnitMagic('I013',,,,,,,,,,)</v>
      </c>
      <c r="CQ102" s="10" t="str">
        <f t="shared" si="943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5"/>
        <v>|n</v>
      </c>
      <c r="CV102" s="3" t="str">
        <f t="shared" si="1456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7"/>
        <v/>
      </c>
      <c r="DC102" s="40" t="str">
        <f t="shared" si="1458"/>
        <v/>
      </c>
      <c r="DD102" s="40" t="str">
        <f t="shared" si="1459"/>
        <v/>
      </c>
      <c r="DE102" s="40" t="str">
        <f t="shared" si="1460"/>
        <v/>
      </c>
      <c r="DF102" s="40" t="str">
        <f t="shared" si="1461"/>
        <v/>
      </c>
      <c r="DG102" s="40" t="str">
        <f t="shared" si="1462"/>
        <v/>
      </c>
      <c r="DH102" s="40" t="str">
        <f t="shared" si="1463"/>
        <v/>
      </c>
      <c r="DI102" s="40" t="str">
        <f t="shared" si="1464"/>
        <v/>
      </c>
      <c r="DJ102" s="40" t="str">
        <f t="shared" si="1465"/>
        <v/>
      </c>
      <c r="DK102" s="40" t="str">
        <f t="shared" si="1466"/>
        <v/>
      </c>
      <c r="DL102" s="40" t="str">
        <f t="shared" si="1467"/>
        <v/>
      </c>
      <c r="DM102" s="40" t="str">
        <f t="shared" si="1468"/>
        <v/>
      </c>
      <c r="DN102" s="40" t="str">
        <f t="shared" si="1469"/>
        <v/>
      </c>
      <c r="DO102" s="40" t="str">
        <f t="shared" si="1470"/>
        <v/>
      </c>
      <c r="DP102" s="40" t="str">
        <f t="shared" si="1471"/>
        <v/>
      </c>
      <c r="DQ102" s="40" t="str">
        <f t="shared" si="1472"/>
        <v/>
      </c>
      <c r="DR102" s="40" t="str">
        <f t="shared" si="1473"/>
        <v/>
      </c>
      <c r="DS102" s="40" t="str">
        <f t="shared" si="1474"/>
        <v/>
      </c>
      <c r="DT102" s="40" t="str">
        <f t="shared" si="1475"/>
        <v/>
      </c>
      <c r="DU102" s="40" t="str">
        <f t="shared" si="1476"/>
        <v/>
      </c>
      <c r="DV102" s="40" t="str">
        <f t="shared" si="1477"/>
        <v/>
      </c>
      <c r="DW102" s="40" t="str">
        <f t="shared" si="1478"/>
        <v/>
      </c>
      <c r="DX102" s="40" t="str">
        <f t="shared" si="1479"/>
        <v/>
      </c>
      <c r="DY102" s="40" t="str">
        <f t="shared" si="1480"/>
        <v/>
      </c>
      <c r="DZ102" s="40" t="str">
        <f t="shared" si="1481"/>
        <v/>
      </c>
      <c r="EA102" s="40" t="str">
        <f t="shared" si="1482"/>
        <v/>
      </c>
      <c r="EB102" s="40" t="str">
        <f t="shared" si="1483"/>
        <v/>
      </c>
      <c r="EC102" s="40" t="str">
        <f t="shared" si="1484"/>
        <v/>
      </c>
      <c r="ED102" s="40" t="str">
        <f t="shared" si="1485"/>
        <v/>
      </c>
      <c r="EE102" s="40" t="str">
        <f t="shared" si="1486"/>
        <v/>
      </c>
      <c r="EF102" s="40" t="str">
        <f t="shared" si="1487"/>
        <v/>
      </c>
      <c r="EG102" s="40" t="str">
        <f t="shared" si="1488"/>
        <v/>
      </c>
      <c r="EH102" s="40" t="str">
        <f t="shared" si="1489"/>
        <v/>
      </c>
      <c r="EI102" s="40" t="str">
        <f t="shared" si="1490"/>
        <v/>
      </c>
      <c r="EJ102" s="40" t="str">
        <f t="shared" si="1491"/>
        <v/>
      </c>
      <c r="EK102" s="40" t="str">
        <f t="shared" si="1492"/>
        <v/>
      </c>
      <c r="EL102" s="40" t="str">
        <f t="shared" si="1493"/>
        <v/>
      </c>
      <c r="EM102" s="40" t="str">
        <f t="shared" si="1494"/>
        <v/>
      </c>
      <c r="EN102" s="40" t="str">
        <f t="shared" si="1495"/>
        <v/>
      </c>
      <c r="EO102" s="40" t="str">
        <f t="shared" si="1496"/>
        <v/>
      </c>
      <c r="EP102" s="40" t="str">
        <f t="shared" si="1497"/>
        <v/>
      </c>
      <c r="EQ102" s="40" t="str">
        <f t="shared" si="1498"/>
        <v/>
      </c>
      <c r="ER102" s="40" t="str">
        <f t="shared" si="1499"/>
        <v/>
      </c>
      <c r="ES102" s="40" t="str">
        <f t="shared" si="1500"/>
        <v/>
      </c>
      <c r="ET102" s="40" t="str">
        <f t="shared" si="1501"/>
        <v/>
      </c>
      <c r="EU102" s="40" t="str">
        <f t="shared" si="1502"/>
        <v/>
      </c>
      <c r="EV102" s="40" t="str">
        <f t="shared" si="1503"/>
        <v/>
      </c>
      <c r="EW102" s="40" t="str">
        <f t="shared" si="1504"/>
        <v/>
      </c>
      <c r="EX102" s="40" t="str">
        <f t="shared" si="1505"/>
        <v/>
      </c>
      <c r="EY102" s="40" t="str">
        <f t="shared" si="1506"/>
        <v/>
      </c>
      <c r="EZ102" s="40" t="str">
        <f t="shared" si="1507"/>
        <v/>
      </c>
      <c r="FA102" s="40" t="str">
        <f t="shared" si="1508"/>
        <v/>
      </c>
      <c r="FB102" s="40" t="str">
        <f t="shared" si="1509"/>
        <v/>
      </c>
      <c r="FC102" s="40" t="str">
        <f t="shared" si="1510"/>
        <v/>
      </c>
      <c r="FD102" s="40" t="str">
        <f t="shared" si="1511"/>
        <v/>
      </c>
      <c r="FE102" s="40" t="str">
        <f t="shared" si="1512"/>
        <v/>
      </c>
      <c r="FF102" s="40" t="str">
        <f t="shared" si="1513"/>
        <v/>
      </c>
      <c r="FG102" s="40" t="str">
        <f t="shared" si="1514"/>
        <v/>
      </c>
      <c r="FH102" s="40" t="str">
        <f t="shared" si="1515"/>
        <v/>
      </c>
      <c r="FI102" s="40" t="str">
        <f t="shared" si="1516"/>
        <v/>
      </c>
      <c r="FJ102" s="40" t="str">
        <f t="shared" si="1517"/>
        <v/>
      </c>
      <c r="FK102" s="40" t="str">
        <f t="shared" si="1518"/>
        <v/>
      </c>
      <c r="FL102" s="40" t="str">
        <f t="shared" si="1519"/>
        <v/>
      </c>
      <c r="FM102" s="40" t="str">
        <f t="shared" si="1520"/>
        <v/>
      </c>
      <c r="FN102" s="40" t="str">
        <f t="shared" si="1521"/>
        <v/>
      </c>
      <c r="FO102" s="40" t="str">
        <f t="shared" si="1522"/>
        <v/>
      </c>
      <c r="FP102" s="40" t="str">
        <f t="shared" si="1523"/>
        <v/>
      </c>
      <c r="FQ102" s="40" t="str">
        <f t="shared" si="1524"/>
        <v/>
      </c>
      <c r="FR102" s="40" t="str">
        <f t="shared" si="1525"/>
        <v/>
      </c>
      <c r="FS102" s="40" t="str">
        <f t="shared" si="1526"/>
        <v/>
      </c>
    </row>
    <row r="103" spans="1:175" ht="54">
      <c r="A103" s="2"/>
      <c r="B103" s="2" t="s">
        <v>316</v>
      </c>
      <c r="C103" s="2" t="s">
        <v>317</v>
      </c>
      <c r="T103" s="72" t="s">
        <v>318</v>
      </c>
      <c r="U103" s="51" t="str">
        <f t="shared" si="939"/>
        <v>ReplaceableTextures\\CommandButtons\\BTNI014.blp</v>
      </c>
      <c r="CN103" s="10" t="str">
        <f t="shared" si="940"/>
        <v>InitUnitState('I014',,,,,,,,,,)</v>
      </c>
      <c r="CO103" s="10" t="str">
        <f t="shared" si="941"/>
        <v>InitUnitNormal('I014',,,,,,,,,,)</v>
      </c>
      <c r="CP103" s="10" t="str">
        <f t="shared" si="942"/>
        <v>InitUnitMagic('I014',,,,,,,,,,)</v>
      </c>
      <c r="CQ103" s="10" t="str">
        <f t="shared" si="943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8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9">IF(V103="","","|n"&amp;DB$2&amp;"+"&amp;V103&amp;DB$1)</f>
        <v/>
      </c>
      <c r="DC103" s="40" t="str">
        <f t="shared" ref="DC103:DC142" si="1530">IF(W103="","","|n"&amp;DC$2&amp;"+"&amp;W103&amp;DC$1)</f>
        <v/>
      </c>
      <c r="DD103" s="40" t="str">
        <f t="shared" ref="DD103:DD142" si="1531">IF(X103="","","|n"&amp;DD$2&amp;"+"&amp;X103&amp;DD$1)</f>
        <v/>
      </c>
      <c r="DE103" s="40" t="str">
        <f t="shared" ref="DE103:DE142" si="1532">IF(Y103="","","|n"&amp;DE$2&amp;"+"&amp;Y103&amp;DE$1)</f>
        <v/>
      </c>
      <c r="DF103" s="40" t="str">
        <f t="shared" ref="DF103:DF142" si="1533">IF(Z103="","","|n"&amp;DF$2&amp;"+"&amp;Z103&amp;DF$1)</f>
        <v/>
      </c>
      <c r="DG103" s="40" t="str">
        <f t="shared" ref="DG103:DG142" si="1534">IF(AA103="","","|n"&amp;DG$2&amp;"+"&amp;AA103&amp;DG$1)</f>
        <v/>
      </c>
      <c r="DH103" s="40" t="str">
        <f t="shared" ref="DH103:DH142" si="1535">IF(AB103="","","|n"&amp;DH$2&amp;"+"&amp;AB103&amp;DH$1)</f>
        <v/>
      </c>
      <c r="DI103" s="40" t="str">
        <f t="shared" ref="DI103:DI142" si="1536">IF(AC103="","","|n"&amp;DI$2&amp;"+"&amp;AC103&amp;DI$1)</f>
        <v/>
      </c>
      <c r="DJ103" s="40" t="str">
        <f t="shared" ref="DJ103:DJ142" si="1537">IF(AD103="","","|n"&amp;DJ$2&amp;"+"&amp;AD103&amp;DJ$1)</f>
        <v/>
      </c>
      <c r="DK103" s="40" t="str">
        <f t="shared" ref="DK103:DK142" si="1538">IF(AE103="","","|n"&amp;DK$2&amp;"+"&amp;AE103&amp;DK$1)</f>
        <v/>
      </c>
      <c r="DL103" s="40" t="str">
        <f t="shared" ref="DL103:DL142" si="1539">IF(AF103="","","|n"&amp;DL$2&amp;"+"&amp;AF103&amp;DL$1)</f>
        <v/>
      </c>
      <c r="DM103" s="40" t="str">
        <f t="shared" ref="DM103:DM142" si="1540">IF(AG103="","","|n"&amp;DM$2&amp;"+"&amp;AG103&amp;DM$1)</f>
        <v/>
      </c>
      <c r="DN103" s="40" t="str">
        <f t="shared" ref="DN103:DN142" si="1541">IF(AH103="","","|n"&amp;DN$2&amp;"+"&amp;AH103&amp;DN$1)</f>
        <v/>
      </c>
      <c r="DO103" s="40" t="str">
        <f t="shared" ref="DO103:DO142" si="1542">IF(AI103="","","|n"&amp;DO$2&amp;"+"&amp;AI103&amp;DO$1)</f>
        <v/>
      </c>
      <c r="DP103" s="40" t="str">
        <f t="shared" ref="DP103:DP142" si="1543">IF(AJ103="","","|n"&amp;DP$2&amp;"+"&amp;AJ103&amp;DP$1)</f>
        <v/>
      </c>
      <c r="DQ103" s="40" t="str">
        <f t="shared" ref="DQ103:DQ142" si="1544">IF(AK103="","","|n"&amp;DQ$2&amp;"+"&amp;AK103&amp;DQ$1)</f>
        <v/>
      </c>
      <c r="DR103" s="40" t="str">
        <f t="shared" ref="DR103:DR142" si="1545">IF(AL103="","","|n"&amp;DR$2&amp;"+"&amp;AL103&amp;DR$1)</f>
        <v/>
      </c>
      <c r="DS103" s="40" t="str">
        <f t="shared" ref="DS103:DS142" si="1546">IF(AM103="","","|n"&amp;DS$2&amp;"+"&amp;AM103&amp;DS$1)</f>
        <v/>
      </c>
      <c r="DT103" s="40" t="str">
        <f t="shared" ref="DT103:DT142" si="1547">IF(AN103="","","|n"&amp;DT$2&amp;"+"&amp;AN103&amp;DT$1)</f>
        <v/>
      </c>
      <c r="DU103" s="40" t="str">
        <f t="shared" ref="DU103:DU142" si="1548">IF(AO103="","","|n"&amp;DU$2&amp;"+"&amp;AO103&amp;DU$1)</f>
        <v/>
      </c>
      <c r="DV103" s="40" t="str">
        <f t="shared" ref="DV103:DV142" si="1549">IF(AP103="","","|n"&amp;DV$2&amp;"+"&amp;AP103&amp;DV$1)</f>
        <v/>
      </c>
      <c r="DW103" s="40" t="str">
        <f t="shared" ref="DW103:DW142" si="1550">IF(AQ103="","","|n"&amp;DW$2&amp;"+"&amp;AQ103&amp;DW$1)</f>
        <v/>
      </c>
      <c r="DX103" s="40" t="str">
        <f t="shared" ref="DX103:DX142" si="1551">IF(AR103="","","|n"&amp;DX$2&amp;"+"&amp;AR103&amp;DX$1)</f>
        <v/>
      </c>
      <c r="DY103" s="40" t="str">
        <f t="shared" ref="DY103:DY142" si="1552">IF(AS103="","","|n"&amp;DY$2&amp;"+"&amp;AS103&amp;DY$1)</f>
        <v/>
      </c>
      <c r="DZ103" s="40" t="str">
        <f t="shared" ref="DZ103:DZ142" si="1553">IF(AT103="","","|n"&amp;DZ$2&amp;"+"&amp;AT103&amp;DZ$1)</f>
        <v/>
      </c>
      <c r="EA103" s="40" t="str">
        <f t="shared" ref="EA103:EA142" si="1554">IF(AU103="","","|n"&amp;EA$2&amp;"+"&amp;AU103&amp;EA$1)</f>
        <v/>
      </c>
      <c r="EB103" s="40" t="str">
        <f t="shared" ref="EB103:EB142" si="1555">IF(AV103="","","|n"&amp;EB$2&amp;"+"&amp;AV103&amp;EB$1)</f>
        <v/>
      </c>
      <c r="EC103" s="40" t="str">
        <f t="shared" ref="EC103:EC142" si="1556">IF(AW103="","","|n"&amp;EC$2&amp;"+"&amp;AW103&amp;EC$1)</f>
        <v/>
      </c>
      <c r="ED103" s="40" t="str">
        <f t="shared" ref="ED103:ED142" si="1557">IF(AX103="","","|n"&amp;ED$2&amp;"+"&amp;AX103&amp;ED$1)</f>
        <v/>
      </c>
      <c r="EE103" s="40" t="str">
        <f t="shared" ref="EE103:EE142" si="1558">IF(AY103="","","|n"&amp;EE$2&amp;"+"&amp;AY103&amp;EE$1)</f>
        <v/>
      </c>
      <c r="EF103" s="40" t="str">
        <f t="shared" ref="EF103:EF142" si="1559">IF(AZ103="","","|n"&amp;EF$2&amp;"+"&amp;AZ103&amp;EF$1)</f>
        <v/>
      </c>
      <c r="EG103" s="40" t="str">
        <f t="shared" ref="EG103:EG142" si="1560">IF(BA103="","","|n"&amp;EG$2&amp;"+"&amp;BA103&amp;EG$1)</f>
        <v/>
      </c>
      <c r="EH103" s="40" t="str">
        <f t="shared" ref="EH103:EH142" si="1561">IF(BB103="","","|n"&amp;EH$2&amp;"+"&amp;BB103&amp;EH$1)</f>
        <v/>
      </c>
      <c r="EI103" s="40" t="str">
        <f t="shared" ref="EI103:EI142" si="1562">IF(BC103="","","|n"&amp;EI$2&amp;"+"&amp;BC103&amp;EI$1)</f>
        <v/>
      </c>
      <c r="EJ103" s="40" t="str">
        <f t="shared" ref="EJ103:EJ142" si="1563">IF(BD103="","","|n"&amp;EJ$2&amp;"+"&amp;BD103&amp;EJ$1)</f>
        <v/>
      </c>
      <c r="EK103" s="40" t="str">
        <f t="shared" ref="EK103:EK142" si="1564">IF(BE103="","","|n"&amp;EK$2&amp;"+"&amp;BE103&amp;EK$1)</f>
        <v/>
      </c>
      <c r="EL103" s="40" t="str">
        <f t="shared" ref="EL103:EL142" si="1565">IF(BF103="","","|n"&amp;EL$2&amp;"+"&amp;BF103&amp;EL$1)</f>
        <v/>
      </c>
      <c r="EM103" s="40" t="str">
        <f t="shared" ref="EM103:EM142" si="1566">IF(BG103="","","|n"&amp;EM$2&amp;"+"&amp;BG103&amp;EM$1)</f>
        <v/>
      </c>
      <c r="EN103" s="40" t="str">
        <f t="shared" ref="EN103:EN142" si="1567">IF(BH103="","","|n"&amp;EN$2&amp;"+"&amp;BH103&amp;EN$1)</f>
        <v/>
      </c>
      <c r="EO103" s="40" t="str">
        <f t="shared" ref="EO103:EO142" si="1568">IF(BI103="","","|n"&amp;EO$2&amp;"+"&amp;BI103&amp;EO$1)</f>
        <v/>
      </c>
      <c r="EP103" s="40" t="str">
        <f t="shared" ref="EP103:EP142" si="1569">IF(BJ103="","","|n"&amp;EP$2&amp;"+"&amp;BJ103&amp;EP$1)</f>
        <v/>
      </c>
      <c r="EQ103" s="40" t="str">
        <f t="shared" ref="EQ103:EQ142" si="1570">IF(BK103="","","|n"&amp;EQ$2&amp;"+"&amp;BK103&amp;EQ$1)</f>
        <v/>
      </c>
      <c r="ER103" s="40" t="str">
        <f t="shared" ref="ER103:ER142" si="1571">IF(BL103="","","|n"&amp;ER$2&amp;"+"&amp;BL103&amp;ER$1)</f>
        <v/>
      </c>
      <c r="ES103" s="40" t="str">
        <f t="shared" ref="ES103:ES142" si="1572">IF(BM103="","","|n"&amp;ES$2&amp;"+"&amp;BM103&amp;ES$1)</f>
        <v/>
      </c>
      <c r="ET103" s="40" t="str">
        <f t="shared" ref="ET103:ET142" si="1573">IF(BN103="","","|n"&amp;ET$2&amp;"+"&amp;BN103&amp;ET$1)</f>
        <v/>
      </c>
      <c r="EU103" s="40" t="str">
        <f t="shared" ref="EU103:EU142" si="1574">IF(BO103="","","|n"&amp;EU$2&amp;"+"&amp;BO103&amp;EU$1)</f>
        <v/>
      </c>
      <c r="EV103" s="40" t="str">
        <f t="shared" ref="EV103:EV142" si="1575">IF(BP103="","","|n"&amp;EV$2&amp;"+"&amp;BP103&amp;EV$1)</f>
        <v/>
      </c>
      <c r="EW103" s="40" t="str">
        <f t="shared" ref="EW103:EW142" si="1576">IF(BQ103="","","|n"&amp;EW$2&amp;"+"&amp;BQ103&amp;EW$1)</f>
        <v/>
      </c>
      <c r="EX103" s="40" t="str">
        <f t="shared" ref="EX103:EX142" si="1577">IF(BR103="","","|n"&amp;EX$2&amp;"+"&amp;BR103&amp;EX$1)</f>
        <v/>
      </c>
      <c r="EY103" s="40" t="str">
        <f t="shared" ref="EY103:EY142" si="1578">IF(BS103="","","|n"&amp;EY$2&amp;"+"&amp;BS103&amp;EY$1)</f>
        <v/>
      </c>
      <c r="EZ103" s="40" t="str">
        <f t="shared" ref="EZ103:EZ142" si="1579">IF(BT103="","","|n"&amp;EZ$2&amp;"+"&amp;BT103&amp;EZ$1)</f>
        <v/>
      </c>
      <c r="FA103" s="40" t="str">
        <f t="shared" ref="FA103:FA142" si="1580">IF(BU103="","","|n"&amp;FA$2&amp;"+"&amp;BU103&amp;FA$1)</f>
        <v/>
      </c>
      <c r="FB103" s="40" t="str">
        <f t="shared" ref="FB103:FB142" si="1581">IF(BV103="","","|n"&amp;FB$2&amp;"+"&amp;BV103&amp;FB$1)</f>
        <v/>
      </c>
      <c r="FC103" s="40" t="str">
        <f t="shared" ref="FC103:FC142" si="1582">IF(BW103="","","|n"&amp;FC$2&amp;"+"&amp;BW103&amp;FC$1)</f>
        <v/>
      </c>
      <c r="FD103" s="40" t="str">
        <f t="shared" ref="FD103:FD142" si="1583">IF(BX103="","","|n"&amp;FD$2&amp;"+"&amp;BX103&amp;FD$1)</f>
        <v/>
      </c>
      <c r="FE103" s="40" t="str">
        <f t="shared" ref="FE103:FE142" si="1584">IF(BY103="","","|n"&amp;FE$2&amp;"+"&amp;BY103&amp;FE$1)</f>
        <v/>
      </c>
      <c r="FF103" s="40" t="str">
        <f t="shared" ref="FF103:FF142" si="1585">IF(BZ103="","","|n"&amp;FF$2&amp;"+"&amp;BZ103&amp;FF$1)</f>
        <v/>
      </c>
      <c r="FG103" s="40" t="str">
        <f t="shared" ref="FG103:FG142" si="1586">IF(CA103="","","|n"&amp;FG$2&amp;"+"&amp;CA103&amp;FG$1)</f>
        <v/>
      </c>
      <c r="FH103" s="40" t="str">
        <f t="shared" ref="FH103:FH142" si="1587">IF(CB103="","","|n"&amp;FH$2&amp;"+"&amp;CB103&amp;FH$1)</f>
        <v/>
      </c>
      <c r="FI103" s="40" t="str">
        <f t="shared" ref="FI103:FI142" si="1588">IF(CC103="","","|n"&amp;FI$2&amp;"+"&amp;CC103&amp;FI$1)</f>
        <v/>
      </c>
      <c r="FJ103" s="40" t="str">
        <f t="shared" ref="FJ103:FJ142" si="1589">IF(CD103="","","|n"&amp;FJ$2&amp;"+"&amp;CD103&amp;FJ$1)</f>
        <v/>
      </c>
      <c r="FK103" s="40" t="str">
        <f t="shared" ref="FK103:FK142" si="1590">IF(CE103="","","|n"&amp;FK$2&amp;"+"&amp;CE103&amp;FK$1)</f>
        <v/>
      </c>
      <c r="FL103" s="40" t="str">
        <f t="shared" ref="FL103:FL142" si="1591">IF(CF103="","","|n"&amp;FL$2&amp;"+"&amp;CF103&amp;FL$1)</f>
        <v/>
      </c>
      <c r="FM103" s="40" t="str">
        <f t="shared" ref="FM103:FM142" si="1592">IF(CG103="","","|n"&amp;FM$2&amp;"+"&amp;CG103&amp;FM$1)</f>
        <v/>
      </c>
      <c r="FN103" s="40" t="str">
        <f t="shared" ref="FN103:FN142" si="1593">IF(CH103="","","|n"&amp;FN$2&amp;"+"&amp;CH103&amp;FN$1)</f>
        <v/>
      </c>
      <c r="FO103" s="40" t="str">
        <f t="shared" ref="FO103:FO142" si="1594">IF(CI103="","","|n"&amp;FO$2&amp;"+"&amp;CI103&amp;FO$1)</f>
        <v/>
      </c>
      <c r="FP103" s="40" t="str">
        <f t="shared" ref="FP103:FP142" si="1595">IF(CJ103="","","|n"&amp;FP$2&amp;"+"&amp;CJ103&amp;FP$1)</f>
        <v/>
      </c>
      <c r="FQ103" s="40" t="str">
        <f t="shared" ref="FQ103:FQ142" si="1596">IF(CK103="","","|n"&amp;FQ$2&amp;"+"&amp;CK103&amp;FQ$1)</f>
        <v/>
      </c>
      <c r="FR103" s="40" t="str">
        <f t="shared" ref="FR103:FR142" si="1597">IF(CL103="","","|n"&amp;FR$2&amp;"+"&amp;CL103&amp;FR$1)</f>
        <v/>
      </c>
      <c r="FS103" s="40" t="str">
        <f t="shared" ref="FS103:FS142" si="1598">IF(CM103="","","|n"&amp;FS$2&amp;"+"&amp;CM103&amp;FS$1)</f>
        <v/>
      </c>
    </row>
    <row r="104" spans="1:175" ht="54">
      <c r="A104" s="2"/>
      <c r="B104" s="4" t="s">
        <v>319</v>
      </c>
      <c r="C104" s="67" t="s">
        <v>320</v>
      </c>
      <c r="T104" s="72" t="s">
        <v>321</v>
      </c>
      <c r="U104" s="51" t="s">
        <v>322</v>
      </c>
      <c r="CN104" s="10" t="str">
        <f t="shared" si="940"/>
        <v>InitUnitState('INDA',,,,,,,,,,)</v>
      </c>
      <c r="CO104" s="10" t="str">
        <f t="shared" si="941"/>
        <v>InitUnitNormal('INDA',,,,,,,,,,)</v>
      </c>
      <c r="CP104" s="10" t="str">
        <f t="shared" si="942"/>
        <v>InitUnitMagic('INDA',,,,,,,,,,)</v>
      </c>
      <c r="CQ104" s="10" t="str">
        <f t="shared" si="943"/>
        <v>InitUnitAdd('INDA',,,,,,,,,,)</v>
      </c>
      <c r="CR104" s="10" t="str">
        <f t="shared" ref="CR104:CR119" si="1599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7"/>
        <v>|n</v>
      </c>
      <c r="CV104" s="3" t="str">
        <f t="shared" si="1528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9"/>
        <v/>
      </c>
      <c r="DC104" s="40" t="str">
        <f t="shared" si="1530"/>
        <v/>
      </c>
      <c r="DD104" s="40" t="str">
        <f t="shared" si="1531"/>
        <v/>
      </c>
      <c r="DE104" s="40" t="str">
        <f t="shared" si="1532"/>
        <v/>
      </c>
      <c r="DF104" s="40" t="str">
        <f t="shared" si="1533"/>
        <v/>
      </c>
      <c r="DG104" s="40" t="str">
        <f t="shared" si="1534"/>
        <v/>
      </c>
      <c r="DH104" s="40" t="str">
        <f t="shared" si="1535"/>
        <v/>
      </c>
      <c r="DI104" s="40" t="str">
        <f t="shared" si="1536"/>
        <v/>
      </c>
      <c r="DJ104" s="40" t="str">
        <f t="shared" si="1537"/>
        <v/>
      </c>
      <c r="DK104" s="40" t="str">
        <f t="shared" si="1538"/>
        <v/>
      </c>
      <c r="DL104" s="40" t="str">
        <f t="shared" si="1539"/>
        <v/>
      </c>
      <c r="DM104" s="40" t="str">
        <f t="shared" si="1540"/>
        <v/>
      </c>
      <c r="DN104" s="40" t="str">
        <f t="shared" si="1541"/>
        <v/>
      </c>
      <c r="DO104" s="40" t="str">
        <f t="shared" si="1542"/>
        <v/>
      </c>
      <c r="DP104" s="40" t="str">
        <f t="shared" si="1543"/>
        <v/>
      </c>
      <c r="DQ104" s="40" t="str">
        <f t="shared" si="1544"/>
        <v/>
      </c>
      <c r="DR104" s="40" t="str">
        <f t="shared" si="1545"/>
        <v/>
      </c>
      <c r="DS104" s="40" t="str">
        <f t="shared" si="1546"/>
        <v/>
      </c>
      <c r="DT104" s="40" t="str">
        <f t="shared" si="1547"/>
        <v/>
      </c>
      <c r="DU104" s="40" t="str">
        <f t="shared" si="1548"/>
        <v/>
      </c>
      <c r="DV104" s="40" t="str">
        <f t="shared" si="1549"/>
        <v/>
      </c>
      <c r="DW104" s="40" t="str">
        <f t="shared" si="1550"/>
        <v/>
      </c>
      <c r="DX104" s="40" t="str">
        <f t="shared" si="1551"/>
        <v/>
      </c>
      <c r="DY104" s="40" t="str">
        <f t="shared" si="1552"/>
        <v/>
      </c>
      <c r="DZ104" s="40" t="str">
        <f t="shared" si="1553"/>
        <v/>
      </c>
      <c r="EA104" s="40" t="str">
        <f t="shared" si="1554"/>
        <v/>
      </c>
      <c r="EB104" s="40" t="str">
        <f t="shared" si="1555"/>
        <v/>
      </c>
      <c r="EC104" s="40" t="str">
        <f t="shared" si="1556"/>
        <v/>
      </c>
      <c r="ED104" s="40" t="str">
        <f t="shared" si="1557"/>
        <v/>
      </c>
      <c r="EE104" s="40" t="str">
        <f t="shared" si="1558"/>
        <v/>
      </c>
      <c r="EF104" s="40" t="str">
        <f t="shared" si="1559"/>
        <v/>
      </c>
      <c r="EG104" s="40" t="str">
        <f t="shared" si="1560"/>
        <v/>
      </c>
      <c r="EH104" s="40" t="str">
        <f t="shared" si="1561"/>
        <v/>
      </c>
      <c r="EI104" s="40" t="str">
        <f t="shared" si="1562"/>
        <v/>
      </c>
      <c r="EJ104" s="40" t="str">
        <f t="shared" si="1563"/>
        <v/>
      </c>
      <c r="EK104" s="40" t="str">
        <f t="shared" si="1564"/>
        <v/>
      </c>
      <c r="EL104" s="40" t="str">
        <f t="shared" si="1565"/>
        <v/>
      </c>
      <c r="EM104" s="40" t="str">
        <f t="shared" si="1566"/>
        <v/>
      </c>
      <c r="EN104" s="40" t="str">
        <f t="shared" si="1567"/>
        <v/>
      </c>
      <c r="EO104" s="40" t="str">
        <f t="shared" si="1568"/>
        <v/>
      </c>
      <c r="EP104" s="40" t="str">
        <f t="shared" si="1569"/>
        <v/>
      </c>
      <c r="EQ104" s="40" t="str">
        <f t="shared" si="1570"/>
        <v/>
      </c>
      <c r="ER104" s="40" t="str">
        <f t="shared" si="1571"/>
        <v/>
      </c>
      <c r="ES104" s="40" t="str">
        <f t="shared" si="1572"/>
        <v/>
      </c>
      <c r="ET104" s="40" t="str">
        <f t="shared" si="1573"/>
        <v/>
      </c>
      <c r="EU104" s="40" t="str">
        <f t="shared" si="1574"/>
        <v/>
      </c>
      <c r="EV104" s="40" t="str">
        <f t="shared" si="1575"/>
        <v/>
      </c>
      <c r="EW104" s="40" t="str">
        <f t="shared" si="1576"/>
        <v/>
      </c>
      <c r="EX104" s="40" t="str">
        <f t="shared" si="1577"/>
        <v/>
      </c>
      <c r="EY104" s="40" t="str">
        <f t="shared" si="1578"/>
        <v/>
      </c>
      <c r="EZ104" s="40" t="str">
        <f t="shared" si="1579"/>
        <v/>
      </c>
      <c r="FA104" s="40" t="str">
        <f t="shared" si="1580"/>
        <v/>
      </c>
      <c r="FB104" s="40" t="str">
        <f t="shared" si="1581"/>
        <v/>
      </c>
      <c r="FC104" s="40" t="str">
        <f t="shared" si="1582"/>
        <v/>
      </c>
      <c r="FD104" s="40" t="str">
        <f t="shared" si="1583"/>
        <v/>
      </c>
      <c r="FE104" s="40" t="str">
        <f t="shared" si="1584"/>
        <v/>
      </c>
      <c r="FF104" s="40" t="str">
        <f t="shared" si="1585"/>
        <v/>
      </c>
      <c r="FG104" s="40" t="str">
        <f t="shared" si="1586"/>
        <v/>
      </c>
      <c r="FH104" s="40" t="str">
        <f t="shared" si="1587"/>
        <v/>
      </c>
      <c r="FI104" s="40" t="str">
        <f t="shared" si="1588"/>
        <v/>
      </c>
      <c r="FJ104" s="40" t="str">
        <f t="shared" si="1589"/>
        <v/>
      </c>
      <c r="FK104" s="40" t="str">
        <f t="shared" si="1590"/>
        <v/>
      </c>
      <c r="FL104" s="40" t="str">
        <f t="shared" si="1591"/>
        <v/>
      </c>
      <c r="FM104" s="40" t="str">
        <f t="shared" si="1592"/>
        <v/>
      </c>
      <c r="FN104" s="40" t="str">
        <f t="shared" si="1593"/>
        <v/>
      </c>
      <c r="FO104" s="40" t="str">
        <f t="shared" si="1594"/>
        <v/>
      </c>
      <c r="FP104" s="40" t="str">
        <f t="shared" si="1595"/>
        <v/>
      </c>
      <c r="FQ104" s="40" t="str">
        <f t="shared" si="1596"/>
        <v/>
      </c>
      <c r="FR104" s="40" t="str">
        <f t="shared" si="1597"/>
        <v/>
      </c>
      <c r="FS104" s="40" t="str">
        <f t="shared" si="1598"/>
        <v/>
      </c>
    </row>
    <row r="105" spans="1:175" ht="54">
      <c r="A105" s="2"/>
      <c r="B105" s="4" t="s">
        <v>323</v>
      </c>
      <c r="C105" s="67" t="s">
        <v>320</v>
      </c>
      <c r="T105" s="72" t="s">
        <v>321</v>
      </c>
      <c r="U105" s="51" t="s">
        <v>322</v>
      </c>
      <c r="CN105" s="10" t="str">
        <f t="shared" si="940"/>
        <v>InitUnitState('INDB',,,,,,,,,,)</v>
      </c>
      <c r="CO105" s="10" t="str">
        <f t="shared" si="941"/>
        <v>InitUnitNormal('INDB',,,,,,,,,,)</v>
      </c>
      <c r="CP105" s="10" t="str">
        <f t="shared" si="942"/>
        <v>InitUnitMagic('INDB',,,,,,,,,,)</v>
      </c>
      <c r="CQ105" s="10" t="str">
        <f t="shared" si="943"/>
        <v>InitUnitAdd('INDB',,,,,,,,,,)</v>
      </c>
      <c r="CR105" s="10" t="str">
        <f t="shared" si="1599"/>
        <v>InitEquipData('INDB',,"",,,,,'','','','','','',"ReplaceableTextures\\CommandButtons\\BTNIN04.blp")</v>
      </c>
      <c r="CU105" s="61" t="str">
        <f t="shared" si="1527"/>
        <v>|n</v>
      </c>
      <c r="CV105" s="3" t="str">
        <f t="shared" si="1528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9"/>
        <v/>
      </c>
      <c r="DC105" s="40" t="str">
        <f t="shared" si="1530"/>
        <v/>
      </c>
      <c r="DD105" s="40" t="str">
        <f t="shared" si="1531"/>
        <v/>
      </c>
      <c r="DE105" s="40" t="str">
        <f t="shared" si="1532"/>
        <v/>
      </c>
      <c r="DF105" s="40" t="str">
        <f t="shared" si="1533"/>
        <v/>
      </c>
      <c r="DG105" s="40" t="str">
        <f t="shared" si="1534"/>
        <v/>
      </c>
      <c r="DH105" s="40" t="str">
        <f t="shared" si="1535"/>
        <v/>
      </c>
      <c r="DI105" s="40" t="str">
        <f t="shared" si="1536"/>
        <v/>
      </c>
      <c r="DJ105" s="40" t="str">
        <f t="shared" si="1537"/>
        <v/>
      </c>
      <c r="DK105" s="40" t="str">
        <f t="shared" si="1538"/>
        <v/>
      </c>
      <c r="DL105" s="40" t="str">
        <f t="shared" si="1539"/>
        <v/>
      </c>
      <c r="DM105" s="40" t="str">
        <f t="shared" si="1540"/>
        <v/>
      </c>
      <c r="DN105" s="40" t="str">
        <f t="shared" si="1541"/>
        <v/>
      </c>
      <c r="DO105" s="40" t="str">
        <f t="shared" si="1542"/>
        <v/>
      </c>
      <c r="DP105" s="40" t="str">
        <f t="shared" si="1543"/>
        <v/>
      </c>
      <c r="DQ105" s="40" t="str">
        <f t="shared" si="1544"/>
        <v/>
      </c>
      <c r="DR105" s="40" t="str">
        <f t="shared" si="1545"/>
        <v/>
      </c>
      <c r="DS105" s="40" t="str">
        <f t="shared" si="1546"/>
        <v/>
      </c>
      <c r="DT105" s="40" t="str">
        <f t="shared" si="1547"/>
        <v/>
      </c>
      <c r="DU105" s="40" t="str">
        <f t="shared" si="1548"/>
        <v/>
      </c>
      <c r="DV105" s="40" t="str">
        <f t="shared" si="1549"/>
        <v/>
      </c>
      <c r="DW105" s="40" t="str">
        <f t="shared" si="1550"/>
        <v/>
      </c>
      <c r="DX105" s="40" t="str">
        <f t="shared" si="1551"/>
        <v/>
      </c>
      <c r="DY105" s="40" t="str">
        <f t="shared" si="1552"/>
        <v/>
      </c>
      <c r="DZ105" s="40" t="str">
        <f t="shared" si="1553"/>
        <v/>
      </c>
      <c r="EA105" s="40" t="str">
        <f t="shared" si="1554"/>
        <v/>
      </c>
      <c r="EB105" s="40" t="str">
        <f t="shared" si="1555"/>
        <v/>
      </c>
      <c r="EC105" s="40" t="str">
        <f t="shared" si="1556"/>
        <v/>
      </c>
      <c r="ED105" s="40" t="str">
        <f t="shared" si="1557"/>
        <v/>
      </c>
      <c r="EE105" s="40" t="str">
        <f t="shared" si="1558"/>
        <v/>
      </c>
      <c r="EF105" s="40" t="str">
        <f t="shared" si="1559"/>
        <v/>
      </c>
      <c r="EG105" s="40" t="str">
        <f t="shared" si="1560"/>
        <v/>
      </c>
      <c r="EH105" s="40" t="str">
        <f t="shared" si="1561"/>
        <v/>
      </c>
      <c r="EI105" s="40" t="str">
        <f t="shared" si="1562"/>
        <v/>
      </c>
      <c r="EJ105" s="40" t="str">
        <f t="shared" si="1563"/>
        <v/>
      </c>
      <c r="EK105" s="40" t="str">
        <f t="shared" si="1564"/>
        <v/>
      </c>
      <c r="EL105" s="40" t="str">
        <f t="shared" si="1565"/>
        <v/>
      </c>
      <c r="EM105" s="40" t="str">
        <f t="shared" si="1566"/>
        <v/>
      </c>
      <c r="EN105" s="40" t="str">
        <f t="shared" si="1567"/>
        <v/>
      </c>
      <c r="EO105" s="40" t="str">
        <f t="shared" si="1568"/>
        <v/>
      </c>
      <c r="EP105" s="40" t="str">
        <f t="shared" si="1569"/>
        <v/>
      </c>
      <c r="EQ105" s="40" t="str">
        <f t="shared" si="1570"/>
        <v/>
      </c>
      <c r="ER105" s="40" t="str">
        <f t="shared" si="1571"/>
        <v/>
      </c>
      <c r="ES105" s="40" t="str">
        <f t="shared" si="1572"/>
        <v/>
      </c>
      <c r="ET105" s="40" t="str">
        <f t="shared" si="1573"/>
        <v/>
      </c>
      <c r="EU105" s="40" t="str">
        <f t="shared" si="1574"/>
        <v/>
      </c>
      <c r="EV105" s="40" t="str">
        <f t="shared" si="1575"/>
        <v/>
      </c>
      <c r="EW105" s="40" t="str">
        <f t="shared" si="1576"/>
        <v/>
      </c>
      <c r="EX105" s="40" t="str">
        <f t="shared" si="1577"/>
        <v/>
      </c>
      <c r="EY105" s="40" t="str">
        <f t="shared" si="1578"/>
        <v/>
      </c>
      <c r="EZ105" s="40" t="str">
        <f t="shared" si="1579"/>
        <v/>
      </c>
      <c r="FA105" s="40" t="str">
        <f t="shared" si="1580"/>
        <v/>
      </c>
      <c r="FB105" s="40" t="str">
        <f t="shared" si="1581"/>
        <v/>
      </c>
      <c r="FC105" s="40" t="str">
        <f t="shared" si="1582"/>
        <v/>
      </c>
      <c r="FD105" s="40" t="str">
        <f t="shared" si="1583"/>
        <v/>
      </c>
      <c r="FE105" s="40" t="str">
        <f t="shared" si="1584"/>
        <v/>
      </c>
      <c r="FF105" s="40" t="str">
        <f t="shared" si="1585"/>
        <v/>
      </c>
      <c r="FG105" s="40" t="str">
        <f t="shared" si="1586"/>
        <v/>
      </c>
      <c r="FH105" s="40" t="str">
        <f t="shared" si="1587"/>
        <v/>
      </c>
      <c r="FI105" s="40" t="str">
        <f t="shared" si="1588"/>
        <v/>
      </c>
      <c r="FJ105" s="40" t="str">
        <f t="shared" si="1589"/>
        <v/>
      </c>
      <c r="FK105" s="40" t="str">
        <f t="shared" si="1590"/>
        <v/>
      </c>
      <c r="FL105" s="40" t="str">
        <f t="shared" si="1591"/>
        <v/>
      </c>
      <c r="FM105" s="40" t="str">
        <f t="shared" si="1592"/>
        <v/>
      </c>
      <c r="FN105" s="40" t="str">
        <f t="shared" si="1593"/>
        <v/>
      </c>
      <c r="FO105" s="40" t="str">
        <f t="shared" si="1594"/>
        <v/>
      </c>
      <c r="FP105" s="40" t="str">
        <f t="shared" si="1595"/>
        <v/>
      </c>
      <c r="FQ105" s="40" t="str">
        <f t="shared" si="1596"/>
        <v/>
      </c>
      <c r="FR105" s="40" t="str">
        <f t="shared" si="1597"/>
        <v/>
      </c>
      <c r="FS105" s="40" t="str">
        <f t="shared" si="1598"/>
        <v/>
      </c>
    </row>
    <row r="106" spans="1:175" ht="54">
      <c r="A106" s="2"/>
      <c r="B106" s="4" t="s">
        <v>324</v>
      </c>
      <c r="C106" s="67" t="s">
        <v>320</v>
      </c>
      <c r="T106" s="72" t="s">
        <v>321</v>
      </c>
      <c r="U106" s="51" t="s">
        <v>322</v>
      </c>
      <c r="CN106" s="10" t="str">
        <f t="shared" si="940"/>
        <v>InitUnitState('INDC',,,,,,,,,,)</v>
      </c>
      <c r="CO106" s="10" t="str">
        <f t="shared" si="941"/>
        <v>InitUnitNormal('INDC',,,,,,,,,,)</v>
      </c>
      <c r="CP106" s="10" t="str">
        <f t="shared" si="942"/>
        <v>InitUnitMagic('INDC',,,,,,,,,,)</v>
      </c>
      <c r="CQ106" s="10" t="str">
        <f t="shared" si="943"/>
        <v>InitUnitAdd('INDC',,,,,,,,,,)</v>
      </c>
      <c r="CR106" s="10" t="str">
        <f t="shared" si="1599"/>
        <v>InitEquipData('INDC',,"",,,,,'','','','','','',"ReplaceableTextures\\CommandButtons\\BTNIN05.blp")</v>
      </c>
      <c r="CU106" s="61" t="str">
        <f t="shared" si="1527"/>
        <v>|n</v>
      </c>
      <c r="CV106" s="3" t="str">
        <f t="shared" si="1528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9"/>
        <v/>
      </c>
      <c r="DC106" s="40" t="str">
        <f t="shared" si="1530"/>
        <v/>
      </c>
      <c r="DD106" s="40" t="str">
        <f t="shared" si="1531"/>
        <v/>
      </c>
      <c r="DE106" s="40" t="str">
        <f t="shared" si="1532"/>
        <v/>
      </c>
      <c r="DF106" s="40" t="str">
        <f t="shared" si="1533"/>
        <v/>
      </c>
      <c r="DG106" s="40" t="str">
        <f t="shared" si="1534"/>
        <v/>
      </c>
      <c r="DH106" s="40" t="str">
        <f t="shared" si="1535"/>
        <v/>
      </c>
      <c r="DI106" s="40" t="str">
        <f t="shared" si="1536"/>
        <v/>
      </c>
      <c r="DJ106" s="40" t="str">
        <f t="shared" si="1537"/>
        <v/>
      </c>
      <c r="DK106" s="40" t="str">
        <f t="shared" si="1538"/>
        <v/>
      </c>
      <c r="DL106" s="40" t="str">
        <f t="shared" si="1539"/>
        <v/>
      </c>
      <c r="DM106" s="40" t="str">
        <f t="shared" si="1540"/>
        <v/>
      </c>
      <c r="DN106" s="40" t="str">
        <f t="shared" si="1541"/>
        <v/>
      </c>
      <c r="DO106" s="40" t="str">
        <f t="shared" si="1542"/>
        <v/>
      </c>
      <c r="DP106" s="40" t="str">
        <f t="shared" si="1543"/>
        <v/>
      </c>
      <c r="DQ106" s="40" t="str">
        <f t="shared" si="1544"/>
        <v/>
      </c>
      <c r="DR106" s="40" t="str">
        <f t="shared" si="1545"/>
        <v/>
      </c>
      <c r="DS106" s="40" t="str">
        <f t="shared" si="1546"/>
        <v/>
      </c>
      <c r="DT106" s="40" t="str">
        <f t="shared" si="1547"/>
        <v/>
      </c>
      <c r="DU106" s="40" t="str">
        <f t="shared" si="1548"/>
        <v/>
      </c>
      <c r="DV106" s="40" t="str">
        <f t="shared" si="1549"/>
        <v/>
      </c>
      <c r="DW106" s="40" t="str">
        <f t="shared" si="1550"/>
        <v/>
      </c>
      <c r="DX106" s="40" t="str">
        <f t="shared" si="1551"/>
        <v/>
      </c>
      <c r="DY106" s="40" t="str">
        <f t="shared" si="1552"/>
        <v/>
      </c>
      <c r="DZ106" s="40" t="str">
        <f t="shared" si="1553"/>
        <v/>
      </c>
      <c r="EA106" s="40" t="str">
        <f t="shared" si="1554"/>
        <v/>
      </c>
      <c r="EB106" s="40" t="str">
        <f t="shared" si="1555"/>
        <v/>
      </c>
      <c r="EC106" s="40" t="str">
        <f t="shared" si="1556"/>
        <v/>
      </c>
      <c r="ED106" s="40" t="str">
        <f t="shared" si="1557"/>
        <v/>
      </c>
      <c r="EE106" s="40" t="str">
        <f t="shared" si="1558"/>
        <v/>
      </c>
      <c r="EF106" s="40" t="str">
        <f t="shared" si="1559"/>
        <v/>
      </c>
      <c r="EG106" s="40" t="str">
        <f t="shared" si="1560"/>
        <v/>
      </c>
      <c r="EH106" s="40" t="str">
        <f t="shared" si="1561"/>
        <v/>
      </c>
      <c r="EI106" s="40" t="str">
        <f t="shared" si="1562"/>
        <v/>
      </c>
      <c r="EJ106" s="40" t="str">
        <f t="shared" si="1563"/>
        <v/>
      </c>
      <c r="EK106" s="40" t="str">
        <f t="shared" si="1564"/>
        <v/>
      </c>
      <c r="EL106" s="40" t="str">
        <f t="shared" si="1565"/>
        <v/>
      </c>
      <c r="EM106" s="40" t="str">
        <f t="shared" si="1566"/>
        <v/>
      </c>
      <c r="EN106" s="40" t="str">
        <f t="shared" si="1567"/>
        <v/>
      </c>
      <c r="EO106" s="40" t="str">
        <f t="shared" si="1568"/>
        <v/>
      </c>
      <c r="EP106" s="40" t="str">
        <f t="shared" si="1569"/>
        <v/>
      </c>
      <c r="EQ106" s="40" t="str">
        <f t="shared" si="1570"/>
        <v/>
      </c>
      <c r="ER106" s="40" t="str">
        <f t="shared" si="1571"/>
        <v/>
      </c>
      <c r="ES106" s="40" t="str">
        <f t="shared" si="1572"/>
        <v/>
      </c>
      <c r="ET106" s="40" t="str">
        <f t="shared" si="1573"/>
        <v/>
      </c>
      <c r="EU106" s="40" t="str">
        <f t="shared" si="1574"/>
        <v/>
      </c>
      <c r="EV106" s="40" t="str">
        <f t="shared" si="1575"/>
        <v/>
      </c>
      <c r="EW106" s="40" t="str">
        <f t="shared" si="1576"/>
        <v/>
      </c>
      <c r="EX106" s="40" t="str">
        <f t="shared" si="1577"/>
        <v/>
      </c>
      <c r="EY106" s="40" t="str">
        <f t="shared" si="1578"/>
        <v/>
      </c>
      <c r="EZ106" s="40" t="str">
        <f t="shared" si="1579"/>
        <v/>
      </c>
      <c r="FA106" s="40" t="str">
        <f t="shared" si="1580"/>
        <v/>
      </c>
      <c r="FB106" s="40" t="str">
        <f t="shared" si="1581"/>
        <v/>
      </c>
      <c r="FC106" s="40" t="str">
        <f t="shared" si="1582"/>
        <v/>
      </c>
      <c r="FD106" s="40" t="str">
        <f t="shared" si="1583"/>
        <v/>
      </c>
      <c r="FE106" s="40" t="str">
        <f t="shared" si="1584"/>
        <v/>
      </c>
      <c r="FF106" s="40" t="str">
        <f t="shared" si="1585"/>
        <v/>
      </c>
      <c r="FG106" s="40" t="str">
        <f t="shared" si="1586"/>
        <v/>
      </c>
      <c r="FH106" s="40" t="str">
        <f t="shared" si="1587"/>
        <v/>
      </c>
      <c r="FI106" s="40" t="str">
        <f t="shared" si="1588"/>
        <v/>
      </c>
      <c r="FJ106" s="40" t="str">
        <f t="shared" si="1589"/>
        <v/>
      </c>
      <c r="FK106" s="40" t="str">
        <f t="shared" si="1590"/>
        <v/>
      </c>
      <c r="FL106" s="40" t="str">
        <f t="shared" si="1591"/>
        <v/>
      </c>
      <c r="FM106" s="40" t="str">
        <f t="shared" si="1592"/>
        <v/>
      </c>
      <c r="FN106" s="40" t="str">
        <f t="shared" si="1593"/>
        <v/>
      </c>
      <c r="FO106" s="40" t="str">
        <f t="shared" si="1594"/>
        <v/>
      </c>
      <c r="FP106" s="40" t="str">
        <f t="shared" si="1595"/>
        <v/>
      </c>
      <c r="FQ106" s="40" t="str">
        <f t="shared" si="1596"/>
        <v/>
      </c>
      <c r="FR106" s="40" t="str">
        <f t="shared" si="1597"/>
        <v/>
      </c>
      <c r="FS106" s="40" t="str">
        <f t="shared" si="1598"/>
        <v/>
      </c>
    </row>
    <row r="107" spans="1:175" ht="54">
      <c r="A107" s="2"/>
      <c r="B107" s="4" t="s">
        <v>325</v>
      </c>
      <c r="C107" s="67" t="s">
        <v>320</v>
      </c>
      <c r="T107" s="72" t="s">
        <v>321</v>
      </c>
      <c r="U107" s="51" t="s">
        <v>322</v>
      </c>
      <c r="CN107" s="10" t="str">
        <f t="shared" si="940"/>
        <v>InitUnitState('INDD',,,,,,,,,,)</v>
      </c>
      <c r="CO107" s="10" t="str">
        <f t="shared" si="941"/>
        <v>InitUnitNormal('INDD',,,,,,,,,,)</v>
      </c>
      <c r="CP107" s="10" t="str">
        <f t="shared" si="942"/>
        <v>InitUnitMagic('INDD',,,,,,,,,,)</v>
      </c>
      <c r="CQ107" s="10" t="str">
        <f t="shared" si="943"/>
        <v>InitUnitAdd('INDD',,,,,,,,,,)</v>
      </c>
      <c r="CR107" s="10" t="str">
        <f t="shared" si="1599"/>
        <v>InitEquipData('INDD',,"",,,,,'','','','','','',"ReplaceableTextures\\CommandButtons\\BTNIN06.blp")</v>
      </c>
      <c r="CU107" s="61" t="str">
        <f t="shared" si="1527"/>
        <v>|n</v>
      </c>
      <c r="CV107" s="3" t="str">
        <f t="shared" si="1528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9"/>
        <v/>
      </c>
      <c r="DC107" s="40" t="str">
        <f t="shared" si="1530"/>
        <v/>
      </c>
      <c r="DD107" s="40" t="str">
        <f t="shared" si="1531"/>
        <v/>
      </c>
      <c r="DE107" s="40" t="str">
        <f t="shared" si="1532"/>
        <v/>
      </c>
      <c r="DF107" s="40" t="str">
        <f t="shared" si="1533"/>
        <v/>
      </c>
      <c r="DG107" s="40" t="str">
        <f t="shared" si="1534"/>
        <v/>
      </c>
      <c r="DH107" s="40" t="str">
        <f t="shared" si="1535"/>
        <v/>
      </c>
      <c r="DI107" s="40" t="str">
        <f t="shared" si="1536"/>
        <v/>
      </c>
      <c r="DJ107" s="40" t="str">
        <f t="shared" si="1537"/>
        <v/>
      </c>
      <c r="DK107" s="40" t="str">
        <f t="shared" si="1538"/>
        <v/>
      </c>
      <c r="DL107" s="40" t="str">
        <f t="shared" si="1539"/>
        <v/>
      </c>
      <c r="DM107" s="40" t="str">
        <f t="shared" si="1540"/>
        <v/>
      </c>
      <c r="DN107" s="40" t="str">
        <f t="shared" si="1541"/>
        <v/>
      </c>
      <c r="DO107" s="40" t="str">
        <f t="shared" si="1542"/>
        <v/>
      </c>
      <c r="DP107" s="40" t="str">
        <f t="shared" si="1543"/>
        <v/>
      </c>
      <c r="DQ107" s="40" t="str">
        <f t="shared" si="1544"/>
        <v/>
      </c>
      <c r="DR107" s="40" t="str">
        <f t="shared" si="1545"/>
        <v/>
      </c>
      <c r="DS107" s="40" t="str">
        <f t="shared" si="1546"/>
        <v/>
      </c>
      <c r="DT107" s="40" t="str">
        <f t="shared" si="1547"/>
        <v/>
      </c>
      <c r="DU107" s="40" t="str">
        <f t="shared" si="1548"/>
        <v/>
      </c>
      <c r="DV107" s="40" t="str">
        <f t="shared" si="1549"/>
        <v/>
      </c>
      <c r="DW107" s="40" t="str">
        <f t="shared" si="1550"/>
        <v/>
      </c>
      <c r="DX107" s="40" t="str">
        <f t="shared" si="1551"/>
        <v/>
      </c>
      <c r="DY107" s="40" t="str">
        <f t="shared" si="1552"/>
        <v/>
      </c>
      <c r="DZ107" s="40" t="str">
        <f t="shared" si="1553"/>
        <v/>
      </c>
      <c r="EA107" s="40" t="str">
        <f t="shared" si="1554"/>
        <v/>
      </c>
      <c r="EB107" s="40" t="str">
        <f t="shared" si="1555"/>
        <v/>
      </c>
      <c r="EC107" s="40" t="str">
        <f t="shared" si="1556"/>
        <v/>
      </c>
      <c r="ED107" s="40" t="str">
        <f t="shared" si="1557"/>
        <v/>
      </c>
      <c r="EE107" s="40" t="str">
        <f t="shared" si="1558"/>
        <v/>
      </c>
      <c r="EF107" s="40" t="str">
        <f t="shared" si="1559"/>
        <v/>
      </c>
      <c r="EG107" s="40" t="str">
        <f t="shared" si="1560"/>
        <v/>
      </c>
      <c r="EH107" s="40" t="str">
        <f t="shared" si="1561"/>
        <v/>
      </c>
      <c r="EI107" s="40" t="str">
        <f t="shared" si="1562"/>
        <v/>
      </c>
      <c r="EJ107" s="40" t="str">
        <f t="shared" si="1563"/>
        <v/>
      </c>
      <c r="EK107" s="40" t="str">
        <f t="shared" si="1564"/>
        <v/>
      </c>
      <c r="EL107" s="40" t="str">
        <f t="shared" si="1565"/>
        <v/>
      </c>
      <c r="EM107" s="40" t="str">
        <f t="shared" si="1566"/>
        <v/>
      </c>
      <c r="EN107" s="40" t="str">
        <f t="shared" si="1567"/>
        <v/>
      </c>
      <c r="EO107" s="40" t="str">
        <f t="shared" si="1568"/>
        <v/>
      </c>
      <c r="EP107" s="40" t="str">
        <f t="shared" si="1569"/>
        <v/>
      </c>
      <c r="EQ107" s="40" t="str">
        <f t="shared" si="1570"/>
        <v/>
      </c>
      <c r="ER107" s="40" t="str">
        <f t="shared" si="1571"/>
        <v/>
      </c>
      <c r="ES107" s="40" t="str">
        <f t="shared" si="1572"/>
        <v/>
      </c>
      <c r="ET107" s="40" t="str">
        <f t="shared" si="1573"/>
        <v/>
      </c>
      <c r="EU107" s="40" t="str">
        <f t="shared" si="1574"/>
        <v/>
      </c>
      <c r="EV107" s="40" t="str">
        <f t="shared" si="1575"/>
        <v/>
      </c>
      <c r="EW107" s="40" t="str">
        <f t="shared" si="1576"/>
        <v/>
      </c>
      <c r="EX107" s="40" t="str">
        <f t="shared" si="1577"/>
        <v/>
      </c>
      <c r="EY107" s="40" t="str">
        <f t="shared" si="1578"/>
        <v/>
      </c>
      <c r="EZ107" s="40" t="str">
        <f t="shared" si="1579"/>
        <v/>
      </c>
      <c r="FA107" s="40" t="str">
        <f t="shared" si="1580"/>
        <v/>
      </c>
      <c r="FB107" s="40" t="str">
        <f t="shared" si="1581"/>
        <v/>
      </c>
      <c r="FC107" s="40" t="str">
        <f t="shared" si="1582"/>
        <v/>
      </c>
      <c r="FD107" s="40" t="str">
        <f t="shared" si="1583"/>
        <v/>
      </c>
      <c r="FE107" s="40" t="str">
        <f t="shared" si="1584"/>
        <v/>
      </c>
      <c r="FF107" s="40" t="str">
        <f t="shared" si="1585"/>
        <v/>
      </c>
      <c r="FG107" s="40" t="str">
        <f t="shared" si="1586"/>
        <v/>
      </c>
      <c r="FH107" s="40" t="str">
        <f t="shared" si="1587"/>
        <v/>
      </c>
      <c r="FI107" s="40" t="str">
        <f t="shared" si="1588"/>
        <v/>
      </c>
      <c r="FJ107" s="40" t="str">
        <f t="shared" si="1589"/>
        <v/>
      </c>
      <c r="FK107" s="40" t="str">
        <f t="shared" si="1590"/>
        <v/>
      </c>
      <c r="FL107" s="40" t="str">
        <f t="shared" si="1591"/>
        <v/>
      </c>
      <c r="FM107" s="40" t="str">
        <f t="shared" si="1592"/>
        <v/>
      </c>
      <c r="FN107" s="40" t="str">
        <f t="shared" si="1593"/>
        <v/>
      </c>
      <c r="FO107" s="40" t="str">
        <f t="shared" si="1594"/>
        <v/>
      </c>
      <c r="FP107" s="40" t="str">
        <f t="shared" si="1595"/>
        <v/>
      </c>
      <c r="FQ107" s="40" t="str">
        <f t="shared" si="1596"/>
        <v/>
      </c>
      <c r="FR107" s="40" t="str">
        <f t="shared" si="1597"/>
        <v/>
      </c>
      <c r="FS107" s="40" t="str">
        <f t="shared" si="1598"/>
        <v/>
      </c>
    </row>
    <row r="108" spans="1:175" ht="54">
      <c r="A108" s="2"/>
      <c r="B108" s="4" t="s">
        <v>326</v>
      </c>
      <c r="C108" s="67" t="s">
        <v>320</v>
      </c>
      <c r="T108" s="72" t="s">
        <v>321</v>
      </c>
      <c r="U108" s="51" t="s">
        <v>322</v>
      </c>
      <c r="CN108" s="10" t="str">
        <f t="shared" si="940"/>
        <v>InitUnitState('INDE',,,,,,,,,,)</v>
      </c>
      <c r="CO108" s="10" t="str">
        <f t="shared" si="941"/>
        <v>InitUnitNormal('INDE',,,,,,,,,,)</v>
      </c>
      <c r="CP108" s="10" t="str">
        <f t="shared" si="942"/>
        <v>InitUnitMagic('INDE',,,,,,,,,,)</v>
      </c>
      <c r="CQ108" s="10" t="str">
        <f t="shared" si="943"/>
        <v>InitUnitAdd('INDE',,,,,,,,,,)</v>
      </c>
      <c r="CR108" s="10" t="str">
        <f t="shared" si="1599"/>
        <v>InitEquipData('INDE',,"",,,,,'','','','','','',"ReplaceableTextures\\CommandButtons\\BTNIN07.blp")</v>
      </c>
      <c r="CU108" s="61" t="str">
        <f t="shared" si="1527"/>
        <v>|n</v>
      </c>
      <c r="CV108" s="3" t="str">
        <f t="shared" si="1528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9"/>
        <v/>
      </c>
      <c r="DC108" s="40" t="str">
        <f t="shared" si="1530"/>
        <v/>
      </c>
      <c r="DD108" s="40" t="str">
        <f t="shared" si="1531"/>
        <v/>
      </c>
      <c r="DE108" s="40" t="str">
        <f t="shared" si="1532"/>
        <v/>
      </c>
      <c r="DF108" s="40" t="str">
        <f t="shared" si="1533"/>
        <v/>
      </c>
      <c r="DG108" s="40" t="str">
        <f t="shared" si="1534"/>
        <v/>
      </c>
      <c r="DH108" s="40" t="str">
        <f t="shared" si="1535"/>
        <v/>
      </c>
      <c r="DI108" s="40" t="str">
        <f t="shared" si="1536"/>
        <v/>
      </c>
      <c r="DJ108" s="40" t="str">
        <f t="shared" si="1537"/>
        <v/>
      </c>
      <c r="DK108" s="40" t="str">
        <f t="shared" si="1538"/>
        <v/>
      </c>
      <c r="DL108" s="40" t="str">
        <f t="shared" si="1539"/>
        <v/>
      </c>
      <c r="DM108" s="40" t="str">
        <f t="shared" si="1540"/>
        <v/>
      </c>
      <c r="DN108" s="40" t="str">
        <f t="shared" si="1541"/>
        <v/>
      </c>
      <c r="DO108" s="40" t="str">
        <f t="shared" si="1542"/>
        <v/>
      </c>
      <c r="DP108" s="40" t="str">
        <f t="shared" si="1543"/>
        <v/>
      </c>
      <c r="DQ108" s="40" t="str">
        <f t="shared" si="1544"/>
        <v/>
      </c>
      <c r="DR108" s="40" t="str">
        <f t="shared" si="1545"/>
        <v/>
      </c>
      <c r="DS108" s="40" t="str">
        <f t="shared" si="1546"/>
        <v/>
      </c>
      <c r="DT108" s="40" t="str">
        <f t="shared" si="1547"/>
        <v/>
      </c>
      <c r="DU108" s="40" t="str">
        <f t="shared" si="1548"/>
        <v/>
      </c>
      <c r="DV108" s="40" t="str">
        <f t="shared" si="1549"/>
        <v/>
      </c>
      <c r="DW108" s="40" t="str">
        <f t="shared" si="1550"/>
        <v/>
      </c>
      <c r="DX108" s="40" t="str">
        <f t="shared" si="1551"/>
        <v/>
      </c>
      <c r="DY108" s="40" t="str">
        <f t="shared" si="1552"/>
        <v/>
      </c>
      <c r="DZ108" s="40" t="str">
        <f t="shared" si="1553"/>
        <v/>
      </c>
      <c r="EA108" s="40" t="str">
        <f t="shared" si="1554"/>
        <v/>
      </c>
      <c r="EB108" s="40" t="str">
        <f t="shared" si="1555"/>
        <v/>
      </c>
      <c r="EC108" s="40" t="str">
        <f t="shared" si="1556"/>
        <v/>
      </c>
      <c r="ED108" s="40" t="str">
        <f t="shared" si="1557"/>
        <v/>
      </c>
      <c r="EE108" s="40" t="str">
        <f t="shared" si="1558"/>
        <v/>
      </c>
      <c r="EF108" s="40" t="str">
        <f t="shared" si="1559"/>
        <v/>
      </c>
      <c r="EG108" s="40" t="str">
        <f t="shared" si="1560"/>
        <v/>
      </c>
      <c r="EH108" s="40" t="str">
        <f t="shared" si="1561"/>
        <v/>
      </c>
      <c r="EI108" s="40" t="str">
        <f t="shared" si="1562"/>
        <v/>
      </c>
      <c r="EJ108" s="40" t="str">
        <f t="shared" si="1563"/>
        <v/>
      </c>
      <c r="EK108" s="40" t="str">
        <f t="shared" si="1564"/>
        <v/>
      </c>
      <c r="EL108" s="40" t="str">
        <f t="shared" si="1565"/>
        <v/>
      </c>
      <c r="EM108" s="40" t="str">
        <f t="shared" si="1566"/>
        <v/>
      </c>
      <c r="EN108" s="40" t="str">
        <f t="shared" si="1567"/>
        <v/>
      </c>
      <c r="EO108" s="40" t="str">
        <f t="shared" si="1568"/>
        <v/>
      </c>
      <c r="EP108" s="40" t="str">
        <f t="shared" si="1569"/>
        <v/>
      </c>
      <c r="EQ108" s="40" t="str">
        <f t="shared" si="1570"/>
        <v/>
      </c>
      <c r="ER108" s="40" t="str">
        <f t="shared" si="1571"/>
        <v/>
      </c>
      <c r="ES108" s="40" t="str">
        <f t="shared" si="1572"/>
        <v/>
      </c>
      <c r="ET108" s="40" t="str">
        <f t="shared" si="1573"/>
        <v/>
      </c>
      <c r="EU108" s="40" t="str">
        <f t="shared" si="1574"/>
        <v/>
      </c>
      <c r="EV108" s="40" t="str">
        <f t="shared" si="1575"/>
        <v/>
      </c>
      <c r="EW108" s="40" t="str">
        <f t="shared" si="1576"/>
        <v/>
      </c>
      <c r="EX108" s="40" t="str">
        <f t="shared" si="1577"/>
        <v/>
      </c>
      <c r="EY108" s="40" t="str">
        <f t="shared" si="1578"/>
        <v/>
      </c>
      <c r="EZ108" s="40" t="str">
        <f t="shared" si="1579"/>
        <v/>
      </c>
      <c r="FA108" s="40" t="str">
        <f t="shared" si="1580"/>
        <v/>
      </c>
      <c r="FB108" s="40" t="str">
        <f t="shared" si="1581"/>
        <v/>
      </c>
      <c r="FC108" s="40" t="str">
        <f t="shared" si="1582"/>
        <v/>
      </c>
      <c r="FD108" s="40" t="str">
        <f t="shared" si="1583"/>
        <v/>
      </c>
      <c r="FE108" s="40" t="str">
        <f t="shared" si="1584"/>
        <v/>
      </c>
      <c r="FF108" s="40" t="str">
        <f t="shared" si="1585"/>
        <v/>
      </c>
      <c r="FG108" s="40" t="str">
        <f t="shared" si="1586"/>
        <v/>
      </c>
      <c r="FH108" s="40" t="str">
        <f t="shared" si="1587"/>
        <v/>
      </c>
      <c r="FI108" s="40" t="str">
        <f t="shared" si="1588"/>
        <v/>
      </c>
      <c r="FJ108" s="40" t="str">
        <f t="shared" si="1589"/>
        <v/>
      </c>
      <c r="FK108" s="40" t="str">
        <f t="shared" si="1590"/>
        <v/>
      </c>
      <c r="FL108" s="40" t="str">
        <f t="shared" si="1591"/>
        <v/>
      </c>
      <c r="FM108" s="40" t="str">
        <f t="shared" si="1592"/>
        <v/>
      </c>
      <c r="FN108" s="40" t="str">
        <f t="shared" si="1593"/>
        <v/>
      </c>
      <c r="FO108" s="40" t="str">
        <f t="shared" si="1594"/>
        <v/>
      </c>
      <c r="FP108" s="40" t="str">
        <f t="shared" si="1595"/>
        <v/>
      </c>
      <c r="FQ108" s="40" t="str">
        <f t="shared" si="1596"/>
        <v/>
      </c>
      <c r="FR108" s="40" t="str">
        <f t="shared" si="1597"/>
        <v/>
      </c>
      <c r="FS108" s="40" t="str">
        <f t="shared" si="1598"/>
        <v/>
      </c>
    </row>
    <row r="109" spans="1:175" ht="16.5">
      <c r="A109" s="2"/>
      <c r="B109" s="4" t="s">
        <v>327</v>
      </c>
      <c r="C109" s="67" t="s">
        <v>328</v>
      </c>
      <c r="T109" s="72" t="s">
        <v>329</v>
      </c>
      <c r="U109" s="51" t="s">
        <v>330</v>
      </c>
      <c r="CN109" s="10" t="str">
        <f t="shared" si="940"/>
        <v>InitUnitState('INDF',,,,,,,,,,)</v>
      </c>
      <c r="CO109" s="10" t="str">
        <f t="shared" si="941"/>
        <v>InitUnitNormal('INDF',,,,,,,,,,)</v>
      </c>
      <c r="CP109" s="10" t="str">
        <f t="shared" si="942"/>
        <v>InitUnitMagic('INDF',,,,,,,,,,)</v>
      </c>
      <c r="CQ109" s="10" t="str">
        <f t="shared" si="943"/>
        <v>InitUnitAdd('INDF',,,,,,,,,,)</v>
      </c>
      <c r="CR109" s="10" t="str">
        <f t="shared" si="1599"/>
        <v>InitEquipData('INDF',,"",,,,,'','','','','','',"ReplaceableTextures\\CommandButtons\\BTNIN08.blp")</v>
      </c>
      <c r="CU109" s="61" t="str">
        <f t="shared" si="1527"/>
        <v>|n</v>
      </c>
      <c r="CV109" s="3" t="str">
        <f t="shared" si="1528"/>
        <v>开启后随机获得一张|Cffffd24d锦囊卡|r</v>
      </c>
      <c r="CW109" s="4"/>
      <c r="CX109" s="4"/>
      <c r="CY109" s="4"/>
      <c r="CZ109" s="4"/>
      <c r="DA109" s="4"/>
      <c r="DB109" s="40" t="str">
        <f t="shared" si="1529"/>
        <v/>
      </c>
      <c r="DC109" s="40" t="str">
        <f t="shared" si="1530"/>
        <v/>
      </c>
      <c r="DD109" s="40" t="str">
        <f t="shared" si="1531"/>
        <v/>
      </c>
      <c r="DE109" s="40" t="str">
        <f t="shared" si="1532"/>
        <v/>
      </c>
      <c r="DF109" s="40" t="str">
        <f t="shared" si="1533"/>
        <v/>
      </c>
      <c r="DG109" s="40" t="str">
        <f t="shared" si="1534"/>
        <v/>
      </c>
      <c r="DH109" s="40" t="str">
        <f t="shared" si="1535"/>
        <v/>
      </c>
      <c r="DI109" s="40" t="str">
        <f t="shared" si="1536"/>
        <v/>
      </c>
      <c r="DJ109" s="40" t="str">
        <f t="shared" si="1537"/>
        <v/>
      </c>
      <c r="DK109" s="40" t="str">
        <f t="shared" si="1538"/>
        <v/>
      </c>
      <c r="DL109" s="40" t="str">
        <f t="shared" si="1539"/>
        <v/>
      </c>
      <c r="DM109" s="40" t="str">
        <f t="shared" si="1540"/>
        <v/>
      </c>
      <c r="DN109" s="40" t="str">
        <f t="shared" si="1541"/>
        <v/>
      </c>
      <c r="DO109" s="40" t="str">
        <f t="shared" si="1542"/>
        <v/>
      </c>
      <c r="DP109" s="40" t="str">
        <f t="shared" si="1543"/>
        <v/>
      </c>
      <c r="DQ109" s="40" t="str">
        <f t="shared" si="1544"/>
        <v/>
      </c>
      <c r="DR109" s="40" t="str">
        <f t="shared" si="1545"/>
        <v/>
      </c>
      <c r="DS109" s="40" t="str">
        <f t="shared" si="1546"/>
        <v/>
      </c>
      <c r="DT109" s="40" t="str">
        <f t="shared" si="1547"/>
        <v/>
      </c>
      <c r="DU109" s="40" t="str">
        <f t="shared" si="1548"/>
        <v/>
      </c>
      <c r="DV109" s="40" t="str">
        <f t="shared" si="1549"/>
        <v/>
      </c>
      <c r="DW109" s="40" t="str">
        <f t="shared" si="1550"/>
        <v/>
      </c>
      <c r="DX109" s="40" t="str">
        <f t="shared" si="1551"/>
        <v/>
      </c>
      <c r="DY109" s="40" t="str">
        <f t="shared" si="1552"/>
        <v/>
      </c>
      <c r="DZ109" s="40" t="str">
        <f t="shared" si="1553"/>
        <v/>
      </c>
      <c r="EA109" s="40" t="str">
        <f t="shared" si="1554"/>
        <v/>
      </c>
      <c r="EB109" s="40" t="str">
        <f t="shared" si="1555"/>
        <v/>
      </c>
      <c r="EC109" s="40" t="str">
        <f t="shared" si="1556"/>
        <v/>
      </c>
      <c r="ED109" s="40" t="str">
        <f t="shared" si="1557"/>
        <v/>
      </c>
      <c r="EE109" s="40" t="str">
        <f t="shared" si="1558"/>
        <v/>
      </c>
      <c r="EF109" s="40" t="str">
        <f t="shared" si="1559"/>
        <v/>
      </c>
      <c r="EG109" s="40" t="str">
        <f t="shared" si="1560"/>
        <v/>
      </c>
      <c r="EH109" s="40" t="str">
        <f t="shared" si="1561"/>
        <v/>
      </c>
      <c r="EI109" s="40" t="str">
        <f t="shared" si="1562"/>
        <v/>
      </c>
      <c r="EJ109" s="40" t="str">
        <f t="shared" si="1563"/>
        <v/>
      </c>
      <c r="EK109" s="40" t="str">
        <f t="shared" si="1564"/>
        <v/>
      </c>
      <c r="EL109" s="40" t="str">
        <f t="shared" si="1565"/>
        <v/>
      </c>
      <c r="EM109" s="40" t="str">
        <f t="shared" si="1566"/>
        <v/>
      </c>
      <c r="EN109" s="40" t="str">
        <f t="shared" si="1567"/>
        <v/>
      </c>
      <c r="EO109" s="40" t="str">
        <f t="shared" si="1568"/>
        <v/>
      </c>
      <c r="EP109" s="40" t="str">
        <f t="shared" si="1569"/>
        <v/>
      </c>
      <c r="EQ109" s="40" t="str">
        <f t="shared" si="1570"/>
        <v/>
      </c>
      <c r="ER109" s="40" t="str">
        <f t="shared" si="1571"/>
        <v/>
      </c>
      <c r="ES109" s="40" t="str">
        <f t="shared" si="1572"/>
        <v/>
      </c>
      <c r="ET109" s="40" t="str">
        <f t="shared" si="1573"/>
        <v/>
      </c>
      <c r="EU109" s="40" t="str">
        <f t="shared" si="1574"/>
        <v/>
      </c>
      <c r="EV109" s="40" t="str">
        <f t="shared" si="1575"/>
        <v/>
      </c>
      <c r="EW109" s="40" t="str">
        <f t="shared" si="1576"/>
        <v/>
      </c>
      <c r="EX109" s="40" t="str">
        <f t="shared" si="1577"/>
        <v/>
      </c>
      <c r="EY109" s="40" t="str">
        <f t="shared" si="1578"/>
        <v/>
      </c>
      <c r="EZ109" s="40" t="str">
        <f t="shared" si="1579"/>
        <v/>
      </c>
      <c r="FA109" s="40" t="str">
        <f t="shared" si="1580"/>
        <v/>
      </c>
      <c r="FB109" s="40" t="str">
        <f t="shared" si="1581"/>
        <v/>
      </c>
      <c r="FC109" s="40" t="str">
        <f t="shared" si="1582"/>
        <v/>
      </c>
      <c r="FD109" s="40" t="str">
        <f t="shared" si="1583"/>
        <v/>
      </c>
      <c r="FE109" s="40" t="str">
        <f t="shared" si="1584"/>
        <v/>
      </c>
      <c r="FF109" s="40" t="str">
        <f t="shared" si="1585"/>
        <v/>
      </c>
      <c r="FG109" s="40" t="str">
        <f t="shared" si="1586"/>
        <v/>
      </c>
      <c r="FH109" s="40" t="str">
        <f t="shared" si="1587"/>
        <v/>
      </c>
      <c r="FI109" s="40" t="str">
        <f t="shared" si="1588"/>
        <v/>
      </c>
      <c r="FJ109" s="40" t="str">
        <f t="shared" si="1589"/>
        <v/>
      </c>
      <c r="FK109" s="40" t="str">
        <f t="shared" si="1590"/>
        <v/>
      </c>
      <c r="FL109" s="40" t="str">
        <f t="shared" si="1591"/>
        <v/>
      </c>
      <c r="FM109" s="40" t="str">
        <f t="shared" si="1592"/>
        <v/>
      </c>
      <c r="FN109" s="40" t="str">
        <f t="shared" si="1593"/>
        <v/>
      </c>
      <c r="FO109" s="40" t="str">
        <f t="shared" si="1594"/>
        <v/>
      </c>
      <c r="FP109" s="40" t="str">
        <f t="shared" si="1595"/>
        <v/>
      </c>
      <c r="FQ109" s="40" t="str">
        <f t="shared" si="1596"/>
        <v/>
      </c>
      <c r="FR109" s="40" t="str">
        <f t="shared" si="1597"/>
        <v/>
      </c>
      <c r="FS109" s="40" t="str">
        <f t="shared" si="1598"/>
        <v/>
      </c>
    </row>
    <row r="110" spans="1:175" ht="54">
      <c r="A110" s="2"/>
      <c r="B110" s="4" t="s">
        <v>331</v>
      </c>
      <c r="C110" s="67" t="s">
        <v>320</v>
      </c>
      <c r="T110" s="72" t="s">
        <v>321</v>
      </c>
      <c r="U110" s="51" t="s">
        <v>322</v>
      </c>
      <c r="CN110" s="10" t="str">
        <f t="shared" si="940"/>
        <v>InitUnitState('INDG',,,,,,,,,,)</v>
      </c>
      <c r="CO110" s="10" t="str">
        <f t="shared" si="941"/>
        <v>InitUnitNormal('INDG',,,,,,,,,,)</v>
      </c>
      <c r="CP110" s="10" t="str">
        <f t="shared" si="942"/>
        <v>InitUnitMagic('INDG',,,,,,,,,,)</v>
      </c>
      <c r="CQ110" s="10" t="str">
        <f t="shared" si="943"/>
        <v>InitUnitAdd('INDG',,,,,,,,,,)</v>
      </c>
      <c r="CR110" s="10" t="str">
        <f t="shared" si="1599"/>
        <v>InitEquipData('INDG',,"",,,,,'','','','','','',"ReplaceableTextures\\CommandButtons\\BTNIN09.blp")</v>
      </c>
      <c r="CU110" s="61" t="str">
        <f t="shared" si="1527"/>
        <v>|n</v>
      </c>
      <c r="CV110" s="3" t="str">
        <f t="shared" si="1528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9"/>
        <v/>
      </c>
      <c r="DC110" s="40" t="str">
        <f t="shared" si="1530"/>
        <v/>
      </c>
      <c r="DD110" s="40" t="str">
        <f t="shared" si="1531"/>
        <v/>
      </c>
      <c r="DE110" s="40" t="str">
        <f t="shared" si="1532"/>
        <v/>
      </c>
      <c r="DF110" s="40" t="str">
        <f t="shared" si="1533"/>
        <v/>
      </c>
      <c r="DG110" s="40" t="str">
        <f t="shared" si="1534"/>
        <v/>
      </c>
      <c r="DH110" s="40" t="str">
        <f t="shared" si="1535"/>
        <v/>
      </c>
      <c r="DI110" s="40" t="str">
        <f t="shared" si="1536"/>
        <v/>
      </c>
      <c r="DJ110" s="40" t="str">
        <f t="shared" si="1537"/>
        <v/>
      </c>
      <c r="DK110" s="40" t="str">
        <f t="shared" si="1538"/>
        <v/>
      </c>
      <c r="DL110" s="40" t="str">
        <f t="shared" si="1539"/>
        <v/>
      </c>
      <c r="DM110" s="40" t="str">
        <f t="shared" si="1540"/>
        <v/>
      </c>
      <c r="DN110" s="40" t="str">
        <f t="shared" si="1541"/>
        <v/>
      </c>
      <c r="DO110" s="40" t="str">
        <f t="shared" si="1542"/>
        <v/>
      </c>
      <c r="DP110" s="40" t="str">
        <f t="shared" si="1543"/>
        <v/>
      </c>
      <c r="DQ110" s="40" t="str">
        <f t="shared" si="1544"/>
        <v/>
      </c>
      <c r="DR110" s="40" t="str">
        <f t="shared" si="1545"/>
        <v/>
      </c>
      <c r="DS110" s="40" t="str">
        <f t="shared" si="1546"/>
        <v/>
      </c>
      <c r="DT110" s="40" t="str">
        <f t="shared" si="1547"/>
        <v/>
      </c>
      <c r="DU110" s="40" t="str">
        <f t="shared" si="1548"/>
        <v/>
      </c>
      <c r="DV110" s="40" t="str">
        <f t="shared" si="1549"/>
        <v/>
      </c>
      <c r="DW110" s="40" t="str">
        <f t="shared" si="1550"/>
        <v/>
      </c>
      <c r="DX110" s="40" t="str">
        <f t="shared" si="1551"/>
        <v/>
      </c>
      <c r="DY110" s="40" t="str">
        <f t="shared" si="1552"/>
        <v/>
      </c>
      <c r="DZ110" s="40" t="str">
        <f t="shared" si="1553"/>
        <v/>
      </c>
      <c r="EA110" s="40" t="str">
        <f t="shared" si="1554"/>
        <v/>
      </c>
      <c r="EB110" s="40" t="str">
        <f t="shared" si="1555"/>
        <v/>
      </c>
      <c r="EC110" s="40" t="str">
        <f t="shared" si="1556"/>
        <v/>
      </c>
      <c r="ED110" s="40" t="str">
        <f t="shared" si="1557"/>
        <v/>
      </c>
      <c r="EE110" s="40" t="str">
        <f t="shared" si="1558"/>
        <v/>
      </c>
      <c r="EF110" s="40" t="str">
        <f t="shared" si="1559"/>
        <v/>
      </c>
      <c r="EG110" s="40" t="str">
        <f t="shared" si="1560"/>
        <v/>
      </c>
      <c r="EH110" s="40" t="str">
        <f t="shared" si="1561"/>
        <v/>
      </c>
      <c r="EI110" s="40" t="str">
        <f t="shared" si="1562"/>
        <v/>
      </c>
      <c r="EJ110" s="40" t="str">
        <f t="shared" si="1563"/>
        <v/>
      </c>
      <c r="EK110" s="40" t="str">
        <f t="shared" si="1564"/>
        <v/>
      </c>
      <c r="EL110" s="40" t="str">
        <f t="shared" si="1565"/>
        <v/>
      </c>
      <c r="EM110" s="40" t="str">
        <f t="shared" si="1566"/>
        <v/>
      </c>
      <c r="EN110" s="40" t="str">
        <f t="shared" si="1567"/>
        <v/>
      </c>
      <c r="EO110" s="40" t="str">
        <f t="shared" si="1568"/>
        <v/>
      </c>
      <c r="EP110" s="40" t="str">
        <f t="shared" si="1569"/>
        <v/>
      </c>
      <c r="EQ110" s="40" t="str">
        <f t="shared" si="1570"/>
        <v/>
      </c>
      <c r="ER110" s="40" t="str">
        <f t="shared" si="1571"/>
        <v/>
      </c>
      <c r="ES110" s="40" t="str">
        <f t="shared" si="1572"/>
        <v/>
      </c>
      <c r="ET110" s="40" t="str">
        <f t="shared" si="1573"/>
        <v/>
      </c>
      <c r="EU110" s="40" t="str">
        <f t="shared" si="1574"/>
        <v/>
      </c>
      <c r="EV110" s="40" t="str">
        <f t="shared" si="1575"/>
        <v/>
      </c>
      <c r="EW110" s="40" t="str">
        <f t="shared" si="1576"/>
        <v/>
      </c>
      <c r="EX110" s="40" t="str">
        <f t="shared" si="1577"/>
        <v/>
      </c>
      <c r="EY110" s="40" t="str">
        <f t="shared" si="1578"/>
        <v/>
      </c>
      <c r="EZ110" s="40" t="str">
        <f t="shared" si="1579"/>
        <v/>
      </c>
      <c r="FA110" s="40" t="str">
        <f t="shared" si="1580"/>
        <v/>
      </c>
      <c r="FB110" s="40" t="str">
        <f t="shared" si="1581"/>
        <v/>
      </c>
      <c r="FC110" s="40" t="str">
        <f t="shared" si="1582"/>
        <v/>
      </c>
      <c r="FD110" s="40" t="str">
        <f t="shared" si="1583"/>
        <v/>
      </c>
      <c r="FE110" s="40" t="str">
        <f t="shared" si="1584"/>
        <v/>
      </c>
      <c r="FF110" s="40" t="str">
        <f t="shared" si="1585"/>
        <v/>
      </c>
      <c r="FG110" s="40" t="str">
        <f t="shared" si="1586"/>
        <v/>
      </c>
      <c r="FH110" s="40" t="str">
        <f t="shared" si="1587"/>
        <v/>
      </c>
      <c r="FI110" s="40" t="str">
        <f t="shared" si="1588"/>
        <v/>
      </c>
      <c r="FJ110" s="40" t="str">
        <f t="shared" si="1589"/>
        <v/>
      </c>
      <c r="FK110" s="40" t="str">
        <f t="shared" si="1590"/>
        <v/>
      </c>
      <c r="FL110" s="40" t="str">
        <f t="shared" si="1591"/>
        <v/>
      </c>
      <c r="FM110" s="40" t="str">
        <f t="shared" si="1592"/>
        <v/>
      </c>
      <c r="FN110" s="40" t="str">
        <f t="shared" si="1593"/>
        <v/>
      </c>
      <c r="FO110" s="40" t="str">
        <f t="shared" si="1594"/>
        <v/>
      </c>
      <c r="FP110" s="40" t="str">
        <f t="shared" si="1595"/>
        <v/>
      </c>
      <c r="FQ110" s="40" t="str">
        <f t="shared" si="1596"/>
        <v/>
      </c>
      <c r="FR110" s="40" t="str">
        <f t="shared" si="1597"/>
        <v/>
      </c>
      <c r="FS110" s="40" t="str">
        <f t="shared" si="1598"/>
        <v/>
      </c>
    </row>
    <row r="111" spans="1:175" ht="54">
      <c r="A111" s="2"/>
      <c r="B111" s="4" t="s">
        <v>332</v>
      </c>
      <c r="C111" s="67" t="s">
        <v>320</v>
      </c>
      <c r="T111" s="72" t="s">
        <v>321</v>
      </c>
      <c r="U111" s="51" t="s">
        <v>322</v>
      </c>
      <c r="CN111" s="10" t="str">
        <f t="shared" si="940"/>
        <v>InitUnitState('INDH',,,,,,,,,,)</v>
      </c>
      <c r="CO111" s="10" t="str">
        <f t="shared" si="941"/>
        <v>InitUnitNormal('INDH',,,,,,,,,,)</v>
      </c>
      <c r="CP111" s="10" t="str">
        <f t="shared" si="942"/>
        <v>InitUnitMagic('INDH',,,,,,,,,,)</v>
      </c>
      <c r="CQ111" s="10" t="str">
        <f t="shared" si="943"/>
        <v>InitUnitAdd('INDH',,,,,,,,,,)</v>
      </c>
      <c r="CR111" s="10" t="str">
        <f t="shared" si="1599"/>
        <v>InitEquipData('INDH',,"",,,,,'','','','','','',"ReplaceableTextures\\CommandButtons\\BTNIN10.blp")</v>
      </c>
      <c r="CU111" s="61" t="str">
        <f t="shared" si="1527"/>
        <v>|n</v>
      </c>
      <c r="CV111" s="3" t="str">
        <f t="shared" si="1528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9"/>
        <v/>
      </c>
      <c r="DC111" s="40" t="str">
        <f t="shared" si="1530"/>
        <v/>
      </c>
      <c r="DD111" s="40" t="str">
        <f t="shared" si="1531"/>
        <v/>
      </c>
      <c r="DE111" s="40" t="str">
        <f t="shared" si="1532"/>
        <v/>
      </c>
      <c r="DF111" s="40" t="str">
        <f t="shared" si="1533"/>
        <v/>
      </c>
      <c r="DG111" s="40" t="str">
        <f t="shared" si="1534"/>
        <v/>
      </c>
      <c r="DH111" s="40" t="str">
        <f t="shared" si="1535"/>
        <v/>
      </c>
      <c r="DI111" s="40" t="str">
        <f t="shared" si="1536"/>
        <v/>
      </c>
      <c r="DJ111" s="40" t="str">
        <f t="shared" si="1537"/>
        <v/>
      </c>
      <c r="DK111" s="40" t="str">
        <f t="shared" si="1538"/>
        <v/>
      </c>
      <c r="DL111" s="40" t="str">
        <f t="shared" si="1539"/>
        <v/>
      </c>
      <c r="DM111" s="40" t="str">
        <f t="shared" si="1540"/>
        <v/>
      </c>
      <c r="DN111" s="40" t="str">
        <f t="shared" si="1541"/>
        <v/>
      </c>
      <c r="DO111" s="40" t="str">
        <f t="shared" si="1542"/>
        <v/>
      </c>
      <c r="DP111" s="40" t="str">
        <f t="shared" si="1543"/>
        <v/>
      </c>
      <c r="DQ111" s="40" t="str">
        <f t="shared" si="1544"/>
        <v/>
      </c>
      <c r="DR111" s="40" t="str">
        <f t="shared" si="1545"/>
        <v/>
      </c>
      <c r="DS111" s="40" t="str">
        <f t="shared" si="1546"/>
        <v/>
      </c>
      <c r="DT111" s="40" t="str">
        <f t="shared" si="1547"/>
        <v/>
      </c>
      <c r="DU111" s="40" t="str">
        <f t="shared" si="1548"/>
        <v/>
      </c>
      <c r="DV111" s="40" t="str">
        <f t="shared" si="1549"/>
        <v/>
      </c>
      <c r="DW111" s="40" t="str">
        <f t="shared" si="1550"/>
        <v/>
      </c>
      <c r="DX111" s="40" t="str">
        <f t="shared" si="1551"/>
        <v/>
      </c>
      <c r="DY111" s="40" t="str">
        <f t="shared" si="1552"/>
        <v/>
      </c>
      <c r="DZ111" s="40" t="str">
        <f t="shared" si="1553"/>
        <v/>
      </c>
      <c r="EA111" s="40" t="str">
        <f t="shared" si="1554"/>
        <v/>
      </c>
      <c r="EB111" s="40" t="str">
        <f t="shared" si="1555"/>
        <v/>
      </c>
      <c r="EC111" s="40" t="str">
        <f t="shared" si="1556"/>
        <v/>
      </c>
      <c r="ED111" s="40" t="str">
        <f t="shared" si="1557"/>
        <v/>
      </c>
      <c r="EE111" s="40" t="str">
        <f t="shared" si="1558"/>
        <v/>
      </c>
      <c r="EF111" s="40" t="str">
        <f t="shared" si="1559"/>
        <v/>
      </c>
      <c r="EG111" s="40" t="str">
        <f t="shared" si="1560"/>
        <v/>
      </c>
      <c r="EH111" s="40" t="str">
        <f t="shared" si="1561"/>
        <v/>
      </c>
      <c r="EI111" s="40" t="str">
        <f t="shared" si="1562"/>
        <v/>
      </c>
      <c r="EJ111" s="40" t="str">
        <f t="shared" si="1563"/>
        <v/>
      </c>
      <c r="EK111" s="40" t="str">
        <f t="shared" si="1564"/>
        <v/>
      </c>
      <c r="EL111" s="40" t="str">
        <f t="shared" si="1565"/>
        <v/>
      </c>
      <c r="EM111" s="40" t="str">
        <f t="shared" si="1566"/>
        <v/>
      </c>
      <c r="EN111" s="40" t="str">
        <f t="shared" si="1567"/>
        <v/>
      </c>
      <c r="EO111" s="40" t="str">
        <f t="shared" si="1568"/>
        <v/>
      </c>
      <c r="EP111" s="40" t="str">
        <f t="shared" si="1569"/>
        <v/>
      </c>
      <c r="EQ111" s="40" t="str">
        <f t="shared" si="1570"/>
        <v/>
      </c>
      <c r="ER111" s="40" t="str">
        <f t="shared" si="1571"/>
        <v/>
      </c>
      <c r="ES111" s="40" t="str">
        <f t="shared" si="1572"/>
        <v/>
      </c>
      <c r="ET111" s="40" t="str">
        <f t="shared" si="1573"/>
        <v/>
      </c>
      <c r="EU111" s="40" t="str">
        <f t="shared" si="1574"/>
        <v/>
      </c>
      <c r="EV111" s="40" t="str">
        <f t="shared" si="1575"/>
        <v/>
      </c>
      <c r="EW111" s="40" t="str">
        <f t="shared" si="1576"/>
        <v/>
      </c>
      <c r="EX111" s="40" t="str">
        <f t="shared" si="1577"/>
        <v/>
      </c>
      <c r="EY111" s="40" t="str">
        <f t="shared" si="1578"/>
        <v/>
      </c>
      <c r="EZ111" s="40" t="str">
        <f t="shared" si="1579"/>
        <v/>
      </c>
      <c r="FA111" s="40" t="str">
        <f t="shared" si="1580"/>
        <v/>
      </c>
      <c r="FB111" s="40" t="str">
        <f t="shared" si="1581"/>
        <v/>
      </c>
      <c r="FC111" s="40" t="str">
        <f t="shared" si="1582"/>
        <v/>
      </c>
      <c r="FD111" s="40" t="str">
        <f t="shared" si="1583"/>
        <v/>
      </c>
      <c r="FE111" s="40" t="str">
        <f t="shared" si="1584"/>
        <v/>
      </c>
      <c r="FF111" s="40" t="str">
        <f t="shared" si="1585"/>
        <v/>
      </c>
      <c r="FG111" s="40" t="str">
        <f t="shared" si="1586"/>
        <v/>
      </c>
      <c r="FH111" s="40" t="str">
        <f t="shared" si="1587"/>
        <v/>
      </c>
      <c r="FI111" s="40" t="str">
        <f t="shared" si="1588"/>
        <v/>
      </c>
      <c r="FJ111" s="40" t="str">
        <f t="shared" si="1589"/>
        <v/>
      </c>
      <c r="FK111" s="40" t="str">
        <f t="shared" si="1590"/>
        <v/>
      </c>
      <c r="FL111" s="40" t="str">
        <f t="shared" si="1591"/>
        <v/>
      </c>
      <c r="FM111" s="40" t="str">
        <f t="shared" si="1592"/>
        <v/>
      </c>
      <c r="FN111" s="40" t="str">
        <f t="shared" si="1593"/>
        <v/>
      </c>
      <c r="FO111" s="40" t="str">
        <f t="shared" si="1594"/>
        <v/>
      </c>
      <c r="FP111" s="40" t="str">
        <f t="shared" si="1595"/>
        <v/>
      </c>
      <c r="FQ111" s="40" t="str">
        <f t="shared" si="1596"/>
        <v/>
      </c>
      <c r="FR111" s="40" t="str">
        <f t="shared" si="1597"/>
        <v/>
      </c>
      <c r="FS111" s="40" t="str">
        <f t="shared" si="1598"/>
        <v/>
      </c>
    </row>
    <row r="112" spans="1:175" ht="54">
      <c r="A112" s="2"/>
      <c r="B112" s="4" t="s">
        <v>333</v>
      </c>
      <c r="C112" s="67" t="s">
        <v>320</v>
      </c>
      <c r="T112" s="72" t="s">
        <v>321</v>
      </c>
      <c r="U112" s="51" t="s">
        <v>322</v>
      </c>
      <c r="CN112" s="10" t="str">
        <f t="shared" si="940"/>
        <v>InitUnitState('INDI',,,,,,,,,,)</v>
      </c>
      <c r="CO112" s="10" t="str">
        <f t="shared" si="941"/>
        <v>InitUnitNormal('INDI',,,,,,,,,,)</v>
      </c>
      <c r="CP112" s="10" t="str">
        <f t="shared" si="942"/>
        <v>InitUnitMagic('INDI',,,,,,,,,,)</v>
      </c>
      <c r="CQ112" s="10" t="str">
        <f t="shared" si="943"/>
        <v>InitUnitAdd('INDI',,,,,,,,,,)</v>
      </c>
      <c r="CR112" s="10" t="str">
        <f t="shared" si="1599"/>
        <v>InitEquipData('INDI',,"",,,,,'','','','','','',"ReplaceableTextures\\CommandButtons\\BTNIN11.blp")</v>
      </c>
      <c r="CU112" s="61" t="str">
        <f t="shared" ref="CU112:CU119" si="1600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1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2">IF(V112="","","|n"&amp;DB$2&amp;"+"&amp;V112&amp;DB$1)</f>
        <v/>
      </c>
      <c r="DC112" s="40" t="str">
        <f t="shared" ref="DC112:DC119" si="1603">IF(W112="","","|n"&amp;DC$2&amp;"+"&amp;W112&amp;DC$1)</f>
        <v/>
      </c>
      <c r="DD112" s="40" t="str">
        <f t="shared" ref="DD112:DD119" si="1604">IF(X112="","","|n"&amp;DD$2&amp;"+"&amp;X112&amp;DD$1)</f>
        <v/>
      </c>
      <c r="DE112" s="40" t="str">
        <f t="shared" ref="DE112:DE119" si="1605">IF(Y112="","","|n"&amp;DE$2&amp;"+"&amp;Y112&amp;DE$1)</f>
        <v/>
      </c>
      <c r="DF112" s="40" t="str">
        <f t="shared" ref="DF112:DF119" si="1606">IF(Z112="","","|n"&amp;DF$2&amp;"+"&amp;Z112&amp;DF$1)</f>
        <v/>
      </c>
      <c r="DG112" s="40" t="str">
        <f t="shared" ref="DG112:DG119" si="1607">IF(AA112="","","|n"&amp;DG$2&amp;"+"&amp;AA112&amp;DG$1)</f>
        <v/>
      </c>
      <c r="DH112" s="40" t="str">
        <f t="shared" ref="DH112:DH119" si="1608">IF(AB112="","","|n"&amp;DH$2&amp;"+"&amp;AB112&amp;DH$1)</f>
        <v/>
      </c>
      <c r="DI112" s="40" t="str">
        <f t="shared" ref="DI112:DI119" si="1609">IF(AC112="","","|n"&amp;DI$2&amp;"+"&amp;AC112&amp;DI$1)</f>
        <v/>
      </c>
      <c r="DJ112" s="40" t="str">
        <f t="shared" ref="DJ112:DJ119" si="1610">IF(AD112="","","|n"&amp;DJ$2&amp;"+"&amp;AD112&amp;DJ$1)</f>
        <v/>
      </c>
      <c r="DK112" s="40" t="str">
        <f t="shared" ref="DK112:DK119" si="1611">IF(AE112="","","|n"&amp;DK$2&amp;"+"&amp;AE112&amp;DK$1)</f>
        <v/>
      </c>
      <c r="DL112" s="40" t="str">
        <f t="shared" ref="DL112:DL119" si="1612">IF(AF112="","","|n"&amp;DL$2&amp;"+"&amp;AF112&amp;DL$1)</f>
        <v/>
      </c>
      <c r="DM112" s="40" t="str">
        <f t="shared" ref="DM112:DM119" si="1613">IF(AG112="","","|n"&amp;DM$2&amp;"+"&amp;AG112&amp;DM$1)</f>
        <v/>
      </c>
      <c r="DN112" s="40" t="str">
        <f t="shared" ref="DN112:DN119" si="1614">IF(AH112="","","|n"&amp;DN$2&amp;"+"&amp;AH112&amp;DN$1)</f>
        <v/>
      </c>
      <c r="DO112" s="40" t="str">
        <f t="shared" ref="DO112:DO119" si="1615">IF(AI112="","","|n"&amp;DO$2&amp;"+"&amp;AI112&amp;DO$1)</f>
        <v/>
      </c>
      <c r="DP112" s="40" t="str">
        <f t="shared" ref="DP112:DP119" si="1616">IF(AJ112="","","|n"&amp;DP$2&amp;"+"&amp;AJ112&amp;DP$1)</f>
        <v/>
      </c>
      <c r="DQ112" s="40" t="str">
        <f t="shared" ref="DQ112:DQ119" si="1617">IF(AK112="","","|n"&amp;DQ$2&amp;"+"&amp;AK112&amp;DQ$1)</f>
        <v/>
      </c>
      <c r="DR112" s="40" t="str">
        <f t="shared" ref="DR112:DR119" si="1618">IF(AL112="","","|n"&amp;DR$2&amp;"+"&amp;AL112&amp;DR$1)</f>
        <v/>
      </c>
      <c r="DS112" s="40" t="str">
        <f t="shared" ref="DS112:DS119" si="1619">IF(AM112="","","|n"&amp;DS$2&amp;"+"&amp;AM112&amp;DS$1)</f>
        <v/>
      </c>
      <c r="DT112" s="40" t="str">
        <f t="shared" ref="DT112:DT119" si="1620">IF(AN112="","","|n"&amp;DT$2&amp;"+"&amp;AN112&amp;DT$1)</f>
        <v/>
      </c>
      <c r="DU112" s="40" t="str">
        <f t="shared" ref="DU112:DU119" si="1621">IF(AO112="","","|n"&amp;DU$2&amp;"+"&amp;AO112&amp;DU$1)</f>
        <v/>
      </c>
      <c r="DV112" s="40" t="str">
        <f t="shared" ref="DV112:DV119" si="1622">IF(AP112="","","|n"&amp;DV$2&amp;"+"&amp;AP112&amp;DV$1)</f>
        <v/>
      </c>
      <c r="DW112" s="40" t="str">
        <f t="shared" ref="DW112:DW119" si="1623">IF(AQ112="","","|n"&amp;DW$2&amp;"+"&amp;AQ112&amp;DW$1)</f>
        <v/>
      </c>
      <c r="DX112" s="40" t="str">
        <f t="shared" ref="DX112:DX119" si="1624">IF(AR112="","","|n"&amp;DX$2&amp;"+"&amp;AR112&amp;DX$1)</f>
        <v/>
      </c>
      <c r="DY112" s="40" t="str">
        <f t="shared" ref="DY112:DY119" si="1625">IF(AS112="","","|n"&amp;DY$2&amp;"+"&amp;AS112&amp;DY$1)</f>
        <v/>
      </c>
      <c r="DZ112" s="40" t="str">
        <f t="shared" ref="DZ112:DZ119" si="1626">IF(AT112="","","|n"&amp;DZ$2&amp;"+"&amp;AT112&amp;DZ$1)</f>
        <v/>
      </c>
      <c r="EA112" s="40" t="str">
        <f t="shared" ref="EA112:EA119" si="1627">IF(AU112="","","|n"&amp;EA$2&amp;"+"&amp;AU112&amp;EA$1)</f>
        <v/>
      </c>
      <c r="EB112" s="40" t="str">
        <f t="shared" ref="EB112:EB119" si="1628">IF(AV112="","","|n"&amp;EB$2&amp;"+"&amp;AV112&amp;EB$1)</f>
        <v/>
      </c>
      <c r="EC112" s="40" t="str">
        <f t="shared" ref="EC112:EC119" si="1629">IF(AW112="","","|n"&amp;EC$2&amp;"+"&amp;AW112&amp;EC$1)</f>
        <v/>
      </c>
      <c r="ED112" s="40" t="str">
        <f t="shared" ref="ED112:ED119" si="1630">IF(AX112="","","|n"&amp;ED$2&amp;"+"&amp;AX112&amp;ED$1)</f>
        <v/>
      </c>
      <c r="EE112" s="40" t="str">
        <f t="shared" ref="EE112:EE119" si="1631">IF(AY112="","","|n"&amp;EE$2&amp;"+"&amp;AY112&amp;EE$1)</f>
        <v/>
      </c>
      <c r="EF112" s="40" t="str">
        <f t="shared" ref="EF112:EF119" si="1632">IF(AZ112="","","|n"&amp;EF$2&amp;"+"&amp;AZ112&amp;EF$1)</f>
        <v/>
      </c>
      <c r="EG112" s="40" t="str">
        <f t="shared" ref="EG112:EG119" si="1633">IF(BA112="","","|n"&amp;EG$2&amp;"+"&amp;BA112&amp;EG$1)</f>
        <v/>
      </c>
      <c r="EH112" s="40" t="str">
        <f t="shared" ref="EH112:EH119" si="1634">IF(BB112="","","|n"&amp;EH$2&amp;"+"&amp;BB112&amp;EH$1)</f>
        <v/>
      </c>
      <c r="EI112" s="40" t="str">
        <f t="shared" ref="EI112:EI119" si="1635">IF(BC112="","","|n"&amp;EI$2&amp;"+"&amp;BC112&amp;EI$1)</f>
        <v/>
      </c>
      <c r="EJ112" s="40" t="str">
        <f t="shared" ref="EJ112:EJ119" si="1636">IF(BD112="","","|n"&amp;EJ$2&amp;"+"&amp;BD112&amp;EJ$1)</f>
        <v/>
      </c>
      <c r="EK112" s="40" t="str">
        <f t="shared" ref="EK112:EK119" si="1637">IF(BE112="","","|n"&amp;EK$2&amp;"+"&amp;BE112&amp;EK$1)</f>
        <v/>
      </c>
      <c r="EL112" s="40" t="str">
        <f t="shared" ref="EL112:EL119" si="1638">IF(BF112="","","|n"&amp;EL$2&amp;"+"&amp;BF112&amp;EL$1)</f>
        <v/>
      </c>
      <c r="EM112" s="40" t="str">
        <f t="shared" ref="EM112:EM119" si="1639">IF(BG112="","","|n"&amp;EM$2&amp;"+"&amp;BG112&amp;EM$1)</f>
        <v/>
      </c>
      <c r="EN112" s="40" t="str">
        <f t="shared" ref="EN112:EN119" si="1640">IF(BH112="","","|n"&amp;EN$2&amp;"+"&amp;BH112&amp;EN$1)</f>
        <v/>
      </c>
      <c r="EO112" s="40" t="str">
        <f t="shared" ref="EO112:EO119" si="1641">IF(BI112="","","|n"&amp;EO$2&amp;"+"&amp;BI112&amp;EO$1)</f>
        <v/>
      </c>
      <c r="EP112" s="40" t="str">
        <f t="shared" ref="EP112:EP119" si="1642">IF(BJ112="","","|n"&amp;EP$2&amp;"+"&amp;BJ112&amp;EP$1)</f>
        <v/>
      </c>
      <c r="EQ112" s="40" t="str">
        <f t="shared" ref="EQ112:EQ119" si="1643">IF(BK112="","","|n"&amp;EQ$2&amp;"+"&amp;BK112&amp;EQ$1)</f>
        <v/>
      </c>
      <c r="ER112" s="40" t="str">
        <f t="shared" ref="ER112:ER119" si="1644">IF(BL112="","","|n"&amp;ER$2&amp;"+"&amp;BL112&amp;ER$1)</f>
        <v/>
      </c>
      <c r="ES112" s="40" t="str">
        <f t="shared" ref="ES112:ES119" si="1645">IF(BM112="","","|n"&amp;ES$2&amp;"+"&amp;BM112&amp;ES$1)</f>
        <v/>
      </c>
      <c r="ET112" s="40" t="str">
        <f t="shared" ref="ET112:ET119" si="1646">IF(BN112="","","|n"&amp;ET$2&amp;"+"&amp;BN112&amp;ET$1)</f>
        <v/>
      </c>
      <c r="EU112" s="40" t="str">
        <f t="shared" ref="EU112:EU119" si="1647">IF(BO112="","","|n"&amp;EU$2&amp;"+"&amp;BO112&amp;EU$1)</f>
        <v/>
      </c>
      <c r="EV112" s="40" t="str">
        <f t="shared" ref="EV112:EV119" si="1648">IF(BP112="","","|n"&amp;EV$2&amp;"+"&amp;BP112&amp;EV$1)</f>
        <v/>
      </c>
      <c r="EW112" s="40" t="str">
        <f t="shared" ref="EW112:EW119" si="1649">IF(BQ112="","","|n"&amp;EW$2&amp;"+"&amp;BQ112&amp;EW$1)</f>
        <v/>
      </c>
      <c r="EX112" s="40" t="str">
        <f t="shared" ref="EX112:EX119" si="1650">IF(BR112="","","|n"&amp;EX$2&amp;"+"&amp;BR112&amp;EX$1)</f>
        <v/>
      </c>
      <c r="EY112" s="40" t="str">
        <f t="shared" ref="EY112:EY119" si="1651">IF(BS112="","","|n"&amp;EY$2&amp;"+"&amp;BS112&amp;EY$1)</f>
        <v/>
      </c>
      <c r="EZ112" s="40" t="str">
        <f t="shared" ref="EZ112:EZ119" si="1652">IF(BT112="","","|n"&amp;EZ$2&amp;"+"&amp;BT112&amp;EZ$1)</f>
        <v/>
      </c>
      <c r="FA112" s="40" t="str">
        <f t="shared" ref="FA112:FA119" si="1653">IF(BU112="","","|n"&amp;FA$2&amp;"+"&amp;BU112&amp;FA$1)</f>
        <v/>
      </c>
      <c r="FB112" s="40" t="str">
        <f t="shared" ref="FB112:FB119" si="1654">IF(BV112="","","|n"&amp;FB$2&amp;"+"&amp;BV112&amp;FB$1)</f>
        <v/>
      </c>
      <c r="FC112" s="40" t="str">
        <f t="shared" ref="FC112:FC119" si="1655">IF(BW112="","","|n"&amp;FC$2&amp;"+"&amp;BW112&amp;FC$1)</f>
        <v/>
      </c>
      <c r="FD112" s="40" t="str">
        <f t="shared" ref="FD112:FD119" si="1656">IF(BX112="","","|n"&amp;FD$2&amp;"+"&amp;BX112&amp;FD$1)</f>
        <v/>
      </c>
      <c r="FE112" s="40" t="str">
        <f t="shared" ref="FE112:FE119" si="1657">IF(BY112="","","|n"&amp;FE$2&amp;"+"&amp;BY112&amp;FE$1)</f>
        <v/>
      </c>
      <c r="FF112" s="40" t="str">
        <f t="shared" ref="FF112:FF119" si="1658">IF(BZ112="","","|n"&amp;FF$2&amp;"+"&amp;BZ112&amp;FF$1)</f>
        <v/>
      </c>
      <c r="FG112" s="40" t="str">
        <f t="shared" ref="FG112:FG119" si="1659">IF(CA112="","","|n"&amp;FG$2&amp;"+"&amp;CA112&amp;FG$1)</f>
        <v/>
      </c>
      <c r="FH112" s="40" t="str">
        <f t="shared" ref="FH112:FH119" si="1660">IF(CB112="","","|n"&amp;FH$2&amp;"+"&amp;CB112&amp;FH$1)</f>
        <v/>
      </c>
      <c r="FI112" s="40" t="str">
        <f t="shared" ref="FI112:FI119" si="1661">IF(CC112="","","|n"&amp;FI$2&amp;"+"&amp;CC112&amp;FI$1)</f>
        <v/>
      </c>
      <c r="FJ112" s="40" t="str">
        <f t="shared" ref="FJ112:FJ119" si="1662">IF(CD112="","","|n"&amp;FJ$2&amp;"+"&amp;CD112&amp;FJ$1)</f>
        <v/>
      </c>
      <c r="FK112" s="40" t="str">
        <f t="shared" ref="FK112:FK119" si="1663">IF(CE112="","","|n"&amp;FK$2&amp;"+"&amp;CE112&amp;FK$1)</f>
        <v/>
      </c>
      <c r="FL112" s="40" t="str">
        <f t="shared" ref="FL112:FL119" si="1664">IF(CF112="","","|n"&amp;FL$2&amp;"+"&amp;CF112&amp;FL$1)</f>
        <v/>
      </c>
      <c r="FM112" s="40" t="str">
        <f t="shared" ref="FM112:FM119" si="1665">IF(CG112="","","|n"&amp;FM$2&amp;"+"&amp;CG112&amp;FM$1)</f>
        <v/>
      </c>
      <c r="FN112" s="40" t="str">
        <f t="shared" ref="FN112:FN119" si="1666">IF(CH112="","","|n"&amp;FN$2&amp;"+"&amp;CH112&amp;FN$1)</f>
        <v/>
      </c>
      <c r="FO112" s="40" t="str">
        <f t="shared" ref="FO112:FO119" si="1667">IF(CI112="","","|n"&amp;FO$2&amp;"+"&amp;CI112&amp;FO$1)</f>
        <v/>
      </c>
      <c r="FP112" s="40" t="str">
        <f t="shared" ref="FP112:FP119" si="1668">IF(CJ112="","","|n"&amp;FP$2&amp;"+"&amp;CJ112&amp;FP$1)</f>
        <v/>
      </c>
      <c r="FQ112" s="40" t="str">
        <f t="shared" ref="FQ112:FQ119" si="1669">IF(CK112="","","|n"&amp;FQ$2&amp;"+"&amp;CK112&amp;FQ$1)</f>
        <v/>
      </c>
      <c r="FR112" s="40" t="str">
        <f t="shared" ref="FR112:FR119" si="1670">IF(CL112="","","|n"&amp;FR$2&amp;"+"&amp;CL112&amp;FR$1)</f>
        <v/>
      </c>
      <c r="FS112" s="40" t="str">
        <f t="shared" ref="FS112:FS119" si="1671">IF(CM112="","","|n"&amp;FS$2&amp;"+"&amp;CM112&amp;FS$1)</f>
        <v/>
      </c>
    </row>
    <row r="113" spans="1:175" ht="54">
      <c r="A113" s="2"/>
      <c r="B113" s="4" t="s">
        <v>334</v>
      </c>
      <c r="C113" s="67" t="s">
        <v>320</v>
      </c>
      <c r="T113" s="72" t="s">
        <v>321</v>
      </c>
      <c r="U113" s="51" t="s">
        <v>322</v>
      </c>
      <c r="CN113" s="10" t="str">
        <f t="shared" si="940"/>
        <v>InitUnitState('INDJ',,,,,,,,,,)</v>
      </c>
      <c r="CO113" s="10" t="str">
        <f t="shared" si="941"/>
        <v>InitUnitNormal('INDJ',,,,,,,,,,)</v>
      </c>
      <c r="CP113" s="10" t="str">
        <f t="shared" si="942"/>
        <v>InitUnitMagic('INDJ',,,,,,,,,,)</v>
      </c>
      <c r="CQ113" s="10" t="str">
        <f t="shared" si="943"/>
        <v>InitUnitAdd('INDJ',,,,,,,,,,)</v>
      </c>
      <c r="CR113" s="10" t="str">
        <f t="shared" si="1599"/>
        <v>InitEquipData('INDJ',,"",,,,,'','','','','','',"ReplaceableTextures\\CommandButtons\\BTNIN12.blp")</v>
      </c>
      <c r="CU113" s="61" t="str">
        <f t="shared" si="1600"/>
        <v>|n</v>
      </c>
      <c r="CV113" s="3" t="str">
        <f t="shared" si="1601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2"/>
        <v/>
      </c>
      <c r="DC113" s="40" t="str">
        <f t="shared" si="1603"/>
        <v/>
      </c>
      <c r="DD113" s="40" t="str">
        <f t="shared" si="1604"/>
        <v/>
      </c>
      <c r="DE113" s="40" t="str">
        <f t="shared" si="1605"/>
        <v/>
      </c>
      <c r="DF113" s="40" t="str">
        <f t="shared" si="1606"/>
        <v/>
      </c>
      <c r="DG113" s="40" t="str">
        <f t="shared" si="1607"/>
        <v/>
      </c>
      <c r="DH113" s="40" t="str">
        <f t="shared" si="1608"/>
        <v/>
      </c>
      <c r="DI113" s="40" t="str">
        <f t="shared" si="1609"/>
        <v/>
      </c>
      <c r="DJ113" s="40" t="str">
        <f t="shared" si="1610"/>
        <v/>
      </c>
      <c r="DK113" s="40" t="str">
        <f t="shared" si="1611"/>
        <v/>
      </c>
      <c r="DL113" s="40" t="str">
        <f t="shared" si="1612"/>
        <v/>
      </c>
      <c r="DM113" s="40" t="str">
        <f t="shared" si="1613"/>
        <v/>
      </c>
      <c r="DN113" s="40" t="str">
        <f t="shared" si="1614"/>
        <v/>
      </c>
      <c r="DO113" s="40" t="str">
        <f t="shared" si="1615"/>
        <v/>
      </c>
      <c r="DP113" s="40" t="str">
        <f t="shared" si="1616"/>
        <v/>
      </c>
      <c r="DQ113" s="40" t="str">
        <f t="shared" si="1617"/>
        <v/>
      </c>
      <c r="DR113" s="40" t="str">
        <f t="shared" si="1618"/>
        <v/>
      </c>
      <c r="DS113" s="40" t="str">
        <f t="shared" si="1619"/>
        <v/>
      </c>
      <c r="DT113" s="40" t="str">
        <f t="shared" si="1620"/>
        <v/>
      </c>
      <c r="DU113" s="40" t="str">
        <f t="shared" si="1621"/>
        <v/>
      </c>
      <c r="DV113" s="40" t="str">
        <f t="shared" si="1622"/>
        <v/>
      </c>
      <c r="DW113" s="40" t="str">
        <f t="shared" si="1623"/>
        <v/>
      </c>
      <c r="DX113" s="40" t="str">
        <f t="shared" si="1624"/>
        <v/>
      </c>
      <c r="DY113" s="40" t="str">
        <f t="shared" si="1625"/>
        <v/>
      </c>
      <c r="DZ113" s="40" t="str">
        <f t="shared" si="1626"/>
        <v/>
      </c>
      <c r="EA113" s="40" t="str">
        <f t="shared" si="1627"/>
        <v/>
      </c>
      <c r="EB113" s="40" t="str">
        <f t="shared" si="1628"/>
        <v/>
      </c>
      <c r="EC113" s="40" t="str">
        <f t="shared" si="1629"/>
        <v/>
      </c>
      <c r="ED113" s="40" t="str">
        <f t="shared" si="1630"/>
        <v/>
      </c>
      <c r="EE113" s="40" t="str">
        <f t="shared" si="1631"/>
        <v/>
      </c>
      <c r="EF113" s="40" t="str">
        <f t="shared" si="1632"/>
        <v/>
      </c>
      <c r="EG113" s="40" t="str">
        <f t="shared" si="1633"/>
        <v/>
      </c>
      <c r="EH113" s="40" t="str">
        <f t="shared" si="1634"/>
        <v/>
      </c>
      <c r="EI113" s="40" t="str">
        <f t="shared" si="1635"/>
        <v/>
      </c>
      <c r="EJ113" s="40" t="str">
        <f t="shared" si="1636"/>
        <v/>
      </c>
      <c r="EK113" s="40" t="str">
        <f t="shared" si="1637"/>
        <v/>
      </c>
      <c r="EL113" s="40" t="str">
        <f t="shared" si="1638"/>
        <v/>
      </c>
      <c r="EM113" s="40" t="str">
        <f t="shared" si="1639"/>
        <v/>
      </c>
      <c r="EN113" s="40" t="str">
        <f t="shared" si="1640"/>
        <v/>
      </c>
      <c r="EO113" s="40" t="str">
        <f t="shared" si="1641"/>
        <v/>
      </c>
      <c r="EP113" s="40" t="str">
        <f t="shared" si="1642"/>
        <v/>
      </c>
      <c r="EQ113" s="40" t="str">
        <f t="shared" si="1643"/>
        <v/>
      </c>
      <c r="ER113" s="40" t="str">
        <f t="shared" si="1644"/>
        <v/>
      </c>
      <c r="ES113" s="40" t="str">
        <f t="shared" si="1645"/>
        <v/>
      </c>
      <c r="ET113" s="40" t="str">
        <f t="shared" si="1646"/>
        <v/>
      </c>
      <c r="EU113" s="40" t="str">
        <f t="shared" si="1647"/>
        <v/>
      </c>
      <c r="EV113" s="40" t="str">
        <f t="shared" si="1648"/>
        <v/>
      </c>
      <c r="EW113" s="40" t="str">
        <f t="shared" si="1649"/>
        <v/>
      </c>
      <c r="EX113" s="40" t="str">
        <f t="shared" si="1650"/>
        <v/>
      </c>
      <c r="EY113" s="40" t="str">
        <f t="shared" si="1651"/>
        <v/>
      </c>
      <c r="EZ113" s="40" t="str">
        <f t="shared" si="1652"/>
        <v/>
      </c>
      <c r="FA113" s="40" t="str">
        <f t="shared" si="1653"/>
        <v/>
      </c>
      <c r="FB113" s="40" t="str">
        <f t="shared" si="1654"/>
        <v/>
      </c>
      <c r="FC113" s="40" t="str">
        <f t="shared" si="1655"/>
        <v/>
      </c>
      <c r="FD113" s="40" t="str">
        <f t="shared" si="1656"/>
        <v/>
      </c>
      <c r="FE113" s="40" t="str">
        <f t="shared" si="1657"/>
        <v/>
      </c>
      <c r="FF113" s="40" t="str">
        <f t="shared" si="1658"/>
        <v/>
      </c>
      <c r="FG113" s="40" t="str">
        <f t="shared" si="1659"/>
        <v/>
      </c>
      <c r="FH113" s="40" t="str">
        <f t="shared" si="1660"/>
        <v/>
      </c>
      <c r="FI113" s="40" t="str">
        <f t="shared" si="1661"/>
        <v/>
      </c>
      <c r="FJ113" s="40" t="str">
        <f t="shared" si="1662"/>
        <v/>
      </c>
      <c r="FK113" s="40" t="str">
        <f t="shared" si="1663"/>
        <v/>
      </c>
      <c r="FL113" s="40" t="str">
        <f t="shared" si="1664"/>
        <v/>
      </c>
      <c r="FM113" s="40" t="str">
        <f t="shared" si="1665"/>
        <v/>
      </c>
      <c r="FN113" s="40" t="str">
        <f t="shared" si="1666"/>
        <v/>
      </c>
      <c r="FO113" s="40" t="str">
        <f t="shared" si="1667"/>
        <v/>
      </c>
      <c r="FP113" s="40" t="str">
        <f t="shared" si="1668"/>
        <v/>
      </c>
      <c r="FQ113" s="40" t="str">
        <f t="shared" si="1669"/>
        <v/>
      </c>
      <c r="FR113" s="40" t="str">
        <f t="shared" si="1670"/>
        <v/>
      </c>
      <c r="FS113" s="40" t="str">
        <f t="shared" si="1671"/>
        <v/>
      </c>
    </row>
    <row r="114" spans="1:175" ht="54">
      <c r="A114" s="2"/>
      <c r="B114" s="4" t="s">
        <v>335</v>
      </c>
      <c r="C114" s="67" t="s">
        <v>320</v>
      </c>
      <c r="T114" s="72" t="s">
        <v>321</v>
      </c>
      <c r="U114" s="51" t="s">
        <v>322</v>
      </c>
      <c r="CN114" s="10" t="str">
        <f t="shared" si="940"/>
        <v>InitUnitState('INDK',,,,,,,,,,)</v>
      </c>
      <c r="CO114" s="10" t="str">
        <f t="shared" si="941"/>
        <v>InitUnitNormal('INDK',,,,,,,,,,)</v>
      </c>
      <c r="CP114" s="10" t="str">
        <f t="shared" si="942"/>
        <v>InitUnitMagic('INDK',,,,,,,,,,)</v>
      </c>
      <c r="CQ114" s="10" t="str">
        <f t="shared" si="943"/>
        <v>InitUnitAdd('INDK',,,,,,,,,,)</v>
      </c>
      <c r="CR114" s="10" t="str">
        <f t="shared" si="1599"/>
        <v>InitEquipData('INDK',,"",,,,,'','','','','','',"ReplaceableTextures\\CommandButtons\\BTNIN13.blp")</v>
      </c>
      <c r="CU114" s="61" t="str">
        <f t="shared" si="1600"/>
        <v>|n</v>
      </c>
      <c r="CV114" s="3" t="str">
        <f t="shared" si="1601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2"/>
        <v/>
      </c>
      <c r="DC114" s="40" t="str">
        <f t="shared" si="1603"/>
        <v/>
      </c>
      <c r="DD114" s="40" t="str">
        <f t="shared" si="1604"/>
        <v/>
      </c>
      <c r="DE114" s="40" t="str">
        <f t="shared" si="1605"/>
        <v/>
      </c>
      <c r="DF114" s="40" t="str">
        <f t="shared" si="1606"/>
        <v/>
      </c>
      <c r="DG114" s="40" t="str">
        <f t="shared" si="1607"/>
        <v/>
      </c>
      <c r="DH114" s="40" t="str">
        <f t="shared" si="1608"/>
        <v/>
      </c>
      <c r="DI114" s="40" t="str">
        <f t="shared" si="1609"/>
        <v/>
      </c>
      <c r="DJ114" s="40" t="str">
        <f t="shared" si="1610"/>
        <v/>
      </c>
      <c r="DK114" s="40" t="str">
        <f t="shared" si="1611"/>
        <v/>
      </c>
      <c r="DL114" s="40" t="str">
        <f t="shared" si="1612"/>
        <v/>
      </c>
      <c r="DM114" s="40" t="str">
        <f t="shared" si="1613"/>
        <v/>
      </c>
      <c r="DN114" s="40" t="str">
        <f t="shared" si="1614"/>
        <v/>
      </c>
      <c r="DO114" s="40" t="str">
        <f t="shared" si="1615"/>
        <v/>
      </c>
      <c r="DP114" s="40" t="str">
        <f t="shared" si="1616"/>
        <v/>
      </c>
      <c r="DQ114" s="40" t="str">
        <f t="shared" si="1617"/>
        <v/>
      </c>
      <c r="DR114" s="40" t="str">
        <f t="shared" si="1618"/>
        <v/>
      </c>
      <c r="DS114" s="40" t="str">
        <f t="shared" si="1619"/>
        <v/>
      </c>
      <c r="DT114" s="40" t="str">
        <f t="shared" si="1620"/>
        <v/>
      </c>
      <c r="DU114" s="40" t="str">
        <f t="shared" si="1621"/>
        <v/>
      </c>
      <c r="DV114" s="40" t="str">
        <f t="shared" si="1622"/>
        <v/>
      </c>
      <c r="DW114" s="40" t="str">
        <f t="shared" si="1623"/>
        <v/>
      </c>
      <c r="DX114" s="40" t="str">
        <f t="shared" si="1624"/>
        <v/>
      </c>
      <c r="DY114" s="40" t="str">
        <f t="shared" si="1625"/>
        <v/>
      </c>
      <c r="DZ114" s="40" t="str">
        <f t="shared" si="1626"/>
        <v/>
      </c>
      <c r="EA114" s="40" t="str">
        <f t="shared" si="1627"/>
        <v/>
      </c>
      <c r="EB114" s="40" t="str">
        <f t="shared" si="1628"/>
        <v/>
      </c>
      <c r="EC114" s="40" t="str">
        <f t="shared" si="1629"/>
        <v/>
      </c>
      <c r="ED114" s="40" t="str">
        <f t="shared" si="1630"/>
        <v/>
      </c>
      <c r="EE114" s="40" t="str">
        <f t="shared" si="1631"/>
        <v/>
      </c>
      <c r="EF114" s="40" t="str">
        <f t="shared" si="1632"/>
        <v/>
      </c>
      <c r="EG114" s="40" t="str">
        <f t="shared" si="1633"/>
        <v/>
      </c>
      <c r="EH114" s="40" t="str">
        <f t="shared" si="1634"/>
        <v/>
      </c>
      <c r="EI114" s="40" t="str">
        <f t="shared" si="1635"/>
        <v/>
      </c>
      <c r="EJ114" s="40" t="str">
        <f t="shared" si="1636"/>
        <v/>
      </c>
      <c r="EK114" s="40" t="str">
        <f t="shared" si="1637"/>
        <v/>
      </c>
      <c r="EL114" s="40" t="str">
        <f t="shared" si="1638"/>
        <v/>
      </c>
      <c r="EM114" s="40" t="str">
        <f t="shared" si="1639"/>
        <v/>
      </c>
      <c r="EN114" s="40" t="str">
        <f t="shared" si="1640"/>
        <v/>
      </c>
      <c r="EO114" s="40" t="str">
        <f t="shared" si="1641"/>
        <v/>
      </c>
      <c r="EP114" s="40" t="str">
        <f t="shared" si="1642"/>
        <v/>
      </c>
      <c r="EQ114" s="40" t="str">
        <f t="shared" si="1643"/>
        <v/>
      </c>
      <c r="ER114" s="40" t="str">
        <f t="shared" si="1644"/>
        <v/>
      </c>
      <c r="ES114" s="40" t="str">
        <f t="shared" si="1645"/>
        <v/>
      </c>
      <c r="ET114" s="40" t="str">
        <f t="shared" si="1646"/>
        <v/>
      </c>
      <c r="EU114" s="40" t="str">
        <f t="shared" si="1647"/>
        <v/>
      </c>
      <c r="EV114" s="40" t="str">
        <f t="shared" si="1648"/>
        <v/>
      </c>
      <c r="EW114" s="40" t="str">
        <f t="shared" si="1649"/>
        <v/>
      </c>
      <c r="EX114" s="40" t="str">
        <f t="shared" si="1650"/>
        <v/>
      </c>
      <c r="EY114" s="40" t="str">
        <f t="shared" si="1651"/>
        <v/>
      </c>
      <c r="EZ114" s="40" t="str">
        <f t="shared" si="1652"/>
        <v/>
      </c>
      <c r="FA114" s="40" t="str">
        <f t="shared" si="1653"/>
        <v/>
      </c>
      <c r="FB114" s="40" t="str">
        <f t="shared" si="1654"/>
        <v/>
      </c>
      <c r="FC114" s="40" t="str">
        <f t="shared" si="1655"/>
        <v/>
      </c>
      <c r="FD114" s="40" t="str">
        <f t="shared" si="1656"/>
        <v/>
      </c>
      <c r="FE114" s="40" t="str">
        <f t="shared" si="1657"/>
        <v/>
      </c>
      <c r="FF114" s="40" t="str">
        <f t="shared" si="1658"/>
        <v/>
      </c>
      <c r="FG114" s="40" t="str">
        <f t="shared" si="1659"/>
        <v/>
      </c>
      <c r="FH114" s="40" t="str">
        <f t="shared" si="1660"/>
        <v/>
      </c>
      <c r="FI114" s="40" t="str">
        <f t="shared" si="1661"/>
        <v/>
      </c>
      <c r="FJ114" s="40" t="str">
        <f t="shared" si="1662"/>
        <v/>
      </c>
      <c r="FK114" s="40" t="str">
        <f t="shared" si="1663"/>
        <v/>
      </c>
      <c r="FL114" s="40" t="str">
        <f t="shared" si="1664"/>
        <v/>
      </c>
      <c r="FM114" s="40" t="str">
        <f t="shared" si="1665"/>
        <v/>
      </c>
      <c r="FN114" s="40" t="str">
        <f t="shared" si="1666"/>
        <v/>
      </c>
      <c r="FO114" s="40" t="str">
        <f t="shared" si="1667"/>
        <v/>
      </c>
      <c r="FP114" s="40" t="str">
        <f t="shared" si="1668"/>
        <v/>
      </c>
      <c r="FQ114" s="40" t="str">
        <f t="shared" si="1669"/>
        <v/>
      </c>
      <c r="FR114" s="40" t="str">
        <f t="shared" si="1670"/>
        <v/>
      </c>
      <c r="FS114" s="40" t="str">
        <f t="shared" si="1671"/>
        <v/>
      </c>
    </row>
    <row r="115" spans="1:175" ht="16.5">
      <c r="A115" s="2"/>
      <c r="B115" s="4" t="s">
        <v>336</v>
      </c>
      <c r="C115" s="67" t="s">
        <v>328</v>
      </c>
      <c r="T115" s="72" t="s">
        <v>329</v>
      </c>
      <c r="U115" s="51" t="s">
        <v>330</v>
      </c>
      <c r="CN115" s="10" t="str">
        <f t="shared" si="940"/>
        <v>InitUnitState('INDL',,,,,,,,,,)</v>
      </c>
      <c r="CO115" s="10" t="str">
        <f t="shared" si="941"/>
        <v>InitUnitNormal('INDL',,,,,,,,,,)</v>
      </c>
      <c r="CP115" s="10" t="str">
        <f t="shared" si="942"/>
        <v>InitUnitMagic('INDL',,,,,,,,,,)</v>
      </c>
      <c r="CQ115" s="10" t="str">
        <f t="shared" si="943"/>
        <v>InitUnitAdd('INDL',,,,,,,,,,)</v>
      </c>
      <c r="CR115" s="10" t="str">
        <f t="shared" si="1599"/>
        <v>InitEquipData('INDL',,"",,,,,'','','','','','',"ReplaceableTextures\\CommandButtons\\BTNIN14.blp")</v>
      </c>
      <c r="CU115" s="61" t="str">
        <f t="shared" si="1600"/>
        <v>|n</v>
      </c>
      <c r="CV115" s="3" t="str">
        <f t="shared" si="1601"/>
        <v>开启后随机获得一张|Cffffd24d锦囊卡|r</v>
      </c>
      <c r="CW115" s="4"/>
      <c r="CX115" s="4"/>
      <c r="CY115" s="4"/>
      <c r="CZ115" s="4"/>
      <c r="DA115" s="4"/>
      <c r="DB115" s="40" t="str">
        <f t="shared" si="1602"/>
        <v/>
      </c>
      <c r="DC115" s="40" t="str">
        <f t="shared" si="1603"/>
        <v/>
      </c>
      <c r="DD115" s="40" t="str">
        <f t="shared" si="1604"/>
        <v/>
      </c>
      <c r="DE115" s="40" t="str">
        <f t="shared" si="1605"/>
        <v/>
      </c>
      <c r="DF115" s="40" t="str">
        <f t="shared" si="1606"/>
        <v/>
      </c>
      <c r="DG115" s="40" t="str">
        <f t="shared" si="1607"/>
        <v/>
      </c>
      <c r="DH115" s="40" t="str">
        <f t="shared" si="1608"/>
        <v/>
      </c>
      <c r="DI115" s="40" t="str">
        <f t="shared" si="1609"/>
        <v/>
      </c>
      <c r="DJ115" s="40" t="str">
        <f t="shared" si="1610"/>
        <v/>
      </c>
      <c r="DK115" s="40" t="str">
        <f t="shared" si="1611"/>
        <v/>
      </c>
      <c r="DL115" s="40" t="str">
        <f t="shared" si="1612"/>
        <v/>
      </c>
      <c r="DM115" s="40" t="str">
        <f t="shared" si="1613"/>
        <v/>
      </c>
      <c r="DN115" s="40" t="str">
        <f t="shared" si="1614"/>
        <v/>
      </c>
      <c r="DO115" s="40" t="str">
        <f t="shared" si="1615"/>
        <v/>
      </c>
      <c r="DP115" s="40" t="str">
        <f t="shared" si="1616"/>
        <v/>
      </c>
      <c r="DQ115" s="40" t="str">
        <f t="shared" si="1617"/>
        <v/>
      </c>
      <c r="DR115" s="40" t="str">
        <f t="shared" si="1618"/>
        <v/>
      </c>
      <c r="DS115" s="40" t="str">
        <f t="shared" si="1619"/>
        <v/>
      </c>
      <c r="DT115" s="40" t="str">
        <f t="shared" si="1620"/>
        <v/>
      </c>
      <c r="DU115" s="40" t="str">
        <f t="shared" si="1621"/>
        <v/>
      </c>
      <c r="DV115" s="40" t="str">
        <f t="shared" si="1622"/>
        <v/>
      </c>
      <c r="DW115" s="40" t="str">
        <f t="shared" si="1623"/>
        <v/>
      </c>
      <c r="DX115" s="40" t="str">
        <f t="shared" si="1624"/>
        <v/>
      </c>
      <c r="DY115" s="40" t="str">
        <f t="shared" si="1625"/>
        <v/>
      </c>
      <c r="DZ115" s="40" t="str">
        <f t="shared" si="1626"/>
        <v/>
      </c>
      <c r="EA115" s="40" t="str">
        <f t="shared" si="1627"/>
        <v/>
      </c>
      <c r="EB115" s="40" t="str">
        <f t="shared" si="1628"/>
        <v/>
      </c>
      <c r="EC115" s="40" t="str">
        <f t="shared" si="1629"/>
        <v/>
      </c>
      <c r="ED115" s="40" t="str">
        <f t="shared" si="1630"/>
        <v/>
      </c>
      <c r="EE115" s="40" t="str">
        <f t="shared" si="1631"/>
        <v/>
      </c>
      <c r="EF115" s="40" t="str">
        <f t="shared" si="1632"/>
        <v/>
      </c>
      <c r="EG115" s="40" t="str">
        <f t="shared" si="1633"/>
        <v/>
      </c>
      <c r="EH115" s="40" t="str">
        <f t="shared" si="1634"/>
        <v/>
      </c>
      <c r="EI115" s="40" t="str">
        <f t="shared" si="1635"/>
        <v/>
      </c>
      <c r="EJ115" s="40" t="str">
        <f t="shared" si="1636"/>
        <v/>
      </c>
      <c r="EK115" s="40" t="str">
        <f t="shared" si="1637"/>
        <v/>
      </c>
      <c r="EL115" s="40" t="str">
        <f t="shared" si="1638"/>
        <v/>
      </c>
      <c r="EM115" s="40" t="str">
        <f t="shared" si="1639"/>
        <v/>
      </c>
      <c r="EN115" s="40" t="str">
        <f t="shared" si="1640"/>
        <v/>
      </c>
      <c r="EO115" s="40" t="str">
        <f t="shared" si="1641"/>
        <v/>
      </c>
      <c r="EP115" s="40" t="str">
        <f t="shared" si="1642"/>
        <v/>
      </c>
      <c r="EQ115" s="40" t="str">
        <f t="shared" si="1643"/>
        <v/>
      </c>
      <c r="ER115" s="40" t="str">
        <f t="shared" si="1644"/>
        <v/>
      </c>
      <c r="ES115" s="40" t="str">
        <f t="shared" si="1645"/>
        <v/>
      </c>
      <c r="ET115" s="40" t="str">
        <f t="shared" si="1646"/>
        <v/>
      </c>
      <c r="EU115" s="40" t="str">
        <f t="shared" si="1647"/>
        <v/>
      </c>
      <c r="EV115" s="40" t="str">
        <f t="shared" si="1648"/>
        <v/>
      </c>
      <c r="EW115" s="40" t="str">
        <f t="shared" si="1649"/>
        <v/>
      </c>
      <c r="EX115" s="40" t="str">
        <f t="shared" si="1650"/>
        <v/>
      </c>
      <c r="EY115" s="40" t="str">
        <f t="shared" si="1651"/>
        <v/>
      </c>
      <c r="EZ115" s="40" t="str">
        <f t="shared" si="1652"/>
        <v/>
      </c>
      <c r="FA115" s="40" t="str">
        <f t="shared" si="1653"/>
        <v/>
      </c>
      <c r="FB115" s="40" t="str">
        <f t="shared" si="1654"/>
        <v/>
      </c>
      <c r="FC115" s="40" t="str">
        <f t="shared" si="1655"/>
        <v/>
      </c>
      <c r="FD115" s="40" t="str">
        <f t="shared" si="1656"/>
        <v/>
      </c>
      <c r="FE115" s="40" t="str">
        <f t="shared" si="1657"/>
        <v/>
      </c>
      <c r="FF115" s="40" t="str">
        <f t="shared" si="1658"/>
        <v/>
      </c>
      <c r="FG115" s="40" t="str">
        <f t="shared" si="1659"/>
        <v/>
      </c>
      <c r="FH115" s="40" t="str">
        <f t="shared" si="1660"/>
        <v/>
      </c>
      <c r="FI115" s="40" t="str">
        <f t="shared" si="1661"/>
        <v/>
      </c>
      <c r="FJ115" s="40" t="str">
        <f t="shared" si="1662"/>
        <v/>
      </c>
      <c r="FK115" s="40" t="str">
        <f t="shared" si="1663"/>
        <v/>
      </c>
      <c r="FL115" s="40" t="str">
        <f t="shared" si="1664"/>
        <v/>
      </c>
      <c r="FM115" s="40" t="str">
        <f t="shared" si="1665"/>
        <v/>
      </c>
      <c r="FN115" s="40" t="str">
        <f t="shared" si="1666"/>
        <v/>
      </c>
      <c r="FO115" s="40" t="str">
        <f t="shared" si="1667"/>
        <v/>
      </c>
      <c r="FP115" s="40" t="str">
        <f t="shared" si="1668"/>
        <v/>
      </c>
      <c r="FQ115" s="40" t="str">
        <f t="shared" si="1669"/>
        <v/>
      </c>
      <c r="FR115" s="40" t="str">
        <f t="shared" si="1670"/>
        <v/>
      </c>
      <c r="FS115" s="40" t="str">
        <f t="shared" si="1671"/>
        <v/>
      </c>
    </row>
    <row r="116" spans="1:175" ht="54">
      <c r="A116" s="2"/>
      <c r="B116" s="4" t="s">
        <v>337</v>
      </c>
      <c r="C116" s="67" t="s">
        <v>320</v>
      </c>
      <c r="T116" s="72" t="s">
        <v>321</v>
      </c>
      <c r="U116" s="51" t="s">
        <v>322</v>
      </c>
      <c r="CN116" s="10" t="str">
        <f t="shared" si="940"/>
        <v>InitUnitState('INDM',,,,,,,,,,)</v>
      </c>
      <c r="CO116" s="10" t="str">
        <f t="shared" si="941"/>
        <v>InitUnitNormal('INDM',,,,,,,,,,)</v>
      </c>
      <c r="CP116" s="10" t="str">
        <f t="shared" si="942"/>
        <v>InitUnitMagic('INDM',,,,,,,,,,)</v>
      </c>
      <c r="CQ116" s="10" t="str">
        <f t="shared" si="943"/>
        <v>InitUnitAdd('INDM',,,,,,,,,,)</v>
      </c>
      <c r="CR116" s="10" t="str">
        <f t="shared" si="1599"/>
        <v>InitEquipData('INDM',,"",,,,,'','','','','','',"ReplaceableTextures\\CommandButtons\\BTNIN15.blp")</v>
      </c>
      <c r="CU116" s="61" t="str">
        <f t="shared" si="1600"/>
        <v>|n</v>
      </c>
      <c r="CV116" s="3" t="str">
        <f t="shared" si="1601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2"/>
        <v/>
      </c>
      <c r="DC116" s="40" t="str">
        <f t="shared" si="1603"/>
        <v/>
      </c>
      <c r="DD116" s="40" t="str">
        <f t="shared" si="1604"/>
        <v/>
      </c>
      <c r="DE116" s="40" t="str">
        <f t="shared" si="1605"/>
        <v/>
      </c>
      <c r="DF116" s="40" t="str">
        <f t="shared" si="1606"/>
        <v/>
      </c>
      <c r="DG116" s="40" t="str">
        <f t="shared" si="1607"/>
        <v/>
      </c>
      <c r="DH116" s="40" t="str">
        <f t="shared" si="1608"/>
        <v/>
      </c>
      <c r="DI116" s="40" t="str">
        <f t="shared" si="1609"/>
        <v/>
      </c>
      <c r="DJ116" s="40" t="str">
        <f t="shared" si="1610"/>
        <v/>
      </c>
      <c r="DK116" s="40" t="str">
        <f t="shared" si="1611"/>
        <v/>
      </c>
      <c r="DL116" s="40" t="str">
        <f t="shared" si="1612"/>
        <v/>
      </c>
      <c r="DM116" s="40" t="str">
        <f t="shared" si="1613"/>
        <v/>
      </c>
      <c r="DN116" s="40" t="str">
        <f t="shared" si="1614"/>
        <v/>
      </c>
      <c r="DO116" s="40" t="str">
        <f t="shared" si="1615"/>
        <v/>
      </c>
      <c r="DP116" s="40" t="str">
        <f t="shared" si="1616"/>
        <v/>
      </c>
      <c r="DQ116" s="40" t="str">
        <f t="shared" si="1617"/>
        <v/>
      </c>
      <c r="DR116" s="40" t="str">
        <f t="shared" si="1618"/>
        <v/>
      </c>
      <c r="DS116" s="40" t="str">
        <f t="shared" si="1619"/>
        <v/>
      </c>
      <c r="DT116" s="40" t="str">
        <f t="shared" si="1620"/>
        <v/>
      </c>
      <c r="DU116" s="40" t="str">
        <f t="shared" si="1621"/>
        <v/>
      </c>
      <c r="DV116" s="40" t="str">
        <f t="shared" si="1622"/>
        <v/>
      </c>
      <c r="DW116" s="40" t="str">
        <f t="shared" si="1623"/>
        <v/>
      </c>
      <c r="DX116" s="40" t="str">
        <f t="shared" si="1624"/>
        <v/>
      </c>
      <c r="DY116" s="40" t="str">
        <f t="shared" si="1625"/>
        <v/>
      </c>
      <c r="DZ116" s="40" t="str">
        <f t="shared" si="1626"/>
        <v/>
      </c>
      <c r="EA116" s="40" t="str">
        <f t="shared" si="1627"/>
        <v/>
      </c>
      <c r="EB116" s="40" t="str">
        <f t="shared" si="1628"/>
        <v/>
      </c>
      <c r="EC116" s="40" t="str">
        <f t="shared" si="1629"/>
        <v/>
      </c>
      <c r="ED116" s="40" t="str">
        <f t="shared" si="1630"/>
        <v/>
      </c>
      <c r="EE116" s="40" t="str">
        <f t="shared" si="1631"/>
        <v/>
      </c>
      <c r="EF116" s="40" t="str">
        <f t="shared" si="1632"/>
        <v/>
      </c>
      <c r="EG116" s="40" t="str">
        <f t="shared" si="1633"/>
        <v/>
      </c>
      <c r="EH116" s="40" t="str">
        <f t="shared" si="1634"/>
        <v/>
      </c>
      <c r="EI116" s="40" t="str">
        <f t="shared" si="1635"/>
        <v/>
      </c>
      <c r="EJ116" s="40" t="str">
        <f t="shared" si="1636"/>
        <v/>
      </c>
      <c r="EK116" s="40" t="str">
        <f t="shared" si="1637"/>
        <v/>
      </c>
      <c r="EL116" s="40" t="str">
        <f t="shared" si="1638"/>
        <v/>
      </c>
      <c r="EM116" s="40" t="str">
        <f t="shared" si="1639"/>
        <v/>
      </c>
      <c r="EN116" s="40" t="str">
        <f t="shared" si="1640"/>
        <v/>
      </c>
      <c r="EO116" s="40" t="str">
        <f t="shared" si="1641"/>
        <v/>
      </c>
      <c r="EP116" s="40" t="str">
        <f t="shared" si="1642"/>
        <v/>
      </c>
      <c r="EQ116" s="40" t="str">
        <f t="shared" si="1643"/>
        <v/>
      </c>
      <c r="ER116" s="40" t="str">
        <f t="shared" si="1644"/>
        <v/>
      </c>
      <c r="ES116" s="40" t="str">
        <f t="shared" si="1645"/>
        <v/>
      </c>
      <c r="ET116" s="40" t="str">
        <f t="shared" si="1646"/>
        <v/>
      </c>
      <c r="EU116" s="40" t="str">
        <f t="shared" si="1647"/>
        <v/>
      </c>
      <c r="EV116" s="40" t="str">
        <f t="shared" si="1648"/>
        <v/>
      </c>
      <c r="EW116" s="40" t="str">
        <f t="shared" si="1649"/>
        <v/>
      </c>
      <c r="EX116" s="40" t="str">
        <f t="shared" si="1650"/>
        <v/>
      </c>
      <c r="EY116" s="40" t="str">
        <f t="shared" si="1651"/>
        <v/>
      </c>
      <c r="EZ116" s="40" t="str">
        <f t="shared" si="1652"/>
        <v/>
      </c>
      <c r="FA116" s="40" t="str">
        <f t="shared" si="1653"/>
        <v/>
      </c>
      <c r="FB116" s="40" t="str">
        <f t="shared" si="1654"/>
        <v/>
      </c>
      <c r="FC116" s="40" t="str">
        <f t="shared" si="1655"/>
        <v/>
      </c>
      <c r="FD116" s="40" t="str">
        <f t="shared" si="1656"/>
        <v/>
      </c>
      <c r="FE116" s="40" t="str">
        <f t="shared" si="1657"/>
        <v/>
      </c>
      <c r="FF116" s="40" t="str">
        <f t="shared" si="1658"/>
        <v/>
      </c>
      <c r="FG116" s="40" t="str">
        <f t="shared" si="1659"/>
        <v/>
      </c>
      <c r="FH116" s="40" t="str">
        <f t="shared" si="1660"/>
        <v/>
      </c>
      <c r="FI116" s="40" t="str">
        <f t="shared" si="1661"/>
        <v/>
      </c>
      <c r="FJ116" s="40" t="str">
        <f t="shared" si="1662"/>
        <v/>
      </c>
      <c r="FK116" s="40" t="str">
        <f t="shared" si="1663"/>
        <v/>
      </c>
      <c r="FL116" s="40" t="str">
        <f t="shared" si="1664"/>
        <v/>
      </c>
      <c r="FM116" s="40" t="str">
        <f t="shared" si="1665"/>
        <v/>
      </c>
      <c r="FN116" s="40" t="str">
        <f t="shared" si="1666"/>
        <v/>
      </c>
      <c r="FO116" s="40" t="str">
        <f t="shared" si="1667"/>
        <v/>
      </c>
      <c r="FP116" s="40" t="str">
        <f t="shared" si="1668"/>
        <v/>
      </c>
      <c r="FQ116" s="40" t="str">
        <f t="shared" si="1669"/>
        <v/>
      </c>
      <c r="FR116" s="40" t="str">
        <f t="shared" si="1670"/>
        <v/>
      </c>
      <c r="FS116" s="40" t="str">
        <f t="shared" si="1671"/>
        <v/>
      </c>
    </row>
    <row r="117" spans="1:175" ht="54">
      <c r="A117" s="2"/>
      <c r="B117" s="4" t="s">
        <v>338</v>
      </c>
      <c r="C117" s="67" t="s">
        <v>320</v>
      </c>
      <c r="T117" s="72" t="s">
        <v>321</v>
      </c>
      <c r="U117" s="51" t="s">
        <v>322</v>
      </c>
      <c r="CN117" s="10" t="str">
        <f t="shared" si="940"/>
        <v>InitUnitState('INDN',,,,,,,,,,)</v>
      </c>
      <c r="CO117" s="10" t="str">
        <f t="shared" si="941"/>
        <v>InitUnitNormal('INDN',,,,,,,,,,)</v>
      </c>
      <c r="CP117" s="10" t="str">
        <f t="shared" si="942"/>
        <v>InitUnitMagic('INDN',,,,,,,,,,)</v>
      </c>
      <c r="CQ117" s="10" t="str">
        <f t="shared" si="943"/>
        <v>InitUnitAdd('INDN',,,,,,,,,,)</v>
      </c>
      <c r="CR117" s="10" t="str">
        <f t="shared" si="1599"/>
        <v>InitEquipData('INDN',,"",,,,,'','','','','','',"ReplaceableTextures\\CommandButtons\\BTNIN16.blp")</v>
      </c>
      <c r="CU117" s="61" t="str">
        <f t="shared" si="1600"/>
        <v>|n</v>
      </c>
      <c r="CV117" s="3" t="str">
        <f t="shared" si="1601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2"/>
        <v/>
      </c>
      <c r="DC117" s="40" t="str">
        <f t="shared" si="1603"/>
        <v/>
      </c>
      <c r="DD117" s="40" t="str">
        <f t="shared" si="1604"/>
        <v/>
      </c>
      <c r="DE117" s="40" t="str">
        <f t="shared" si="1605"/>
        <v/>
      </c>
      <c r="DF117" s="40" t="str">
        <f t="shared" si="1606"/>
        <v/>
      </c>
      <c r="DG117" s="40" t="str">
        <f t="shared" si="1607"/>
        <v/>
      </c>
      <c r="DH117" s="40" t="str">
        <f t="shared" si="1608"/>
        <v/>
      </c>
      <c r="DI117" s="40" t="str">
        <f t="shared" si="1609"/>
        <v/>
      </c>
      <c r="DJ117" s="40" t="str">
        <f t="shared" si="1610"/>
        <v/>
      </c>
      <c r="DK117" s="40" t="str">
        <f t="shared" si="1611"/>
        <v/>
      </c>
      <c r="DL117" s="40" t="str">
        <f t="shared" si="1612"/>
        <v/>
      </c>
      <c r="DM117" s="40" t="str">
        <f t="shared" si="1613"/>
        <v/>
      </c>
      <c r="DN117" s="40" t="str">
        <f t="shared" si="1614"/>
        <v/>
      </c>
      <c r="DO117" s="40" t="str">
        <f t="shared" si="1615"/>
        <v/>
      </c>
      <c r="DP117" s="40" t="str">
        <f t="shared" si="1616"/>
        <v/>
      </c>
      <c r="DQ117" s="40" t="str">
        <f t="shared" si="1617"/>
        <v/>
      </c>
      <c r="DR117" s="40" t="str">
        <f t="shared" si="1618"/>
        <v/>
      </c>
      <c r="DS117" s="40" t="str">
        <f t="shared" si="1619"/>
        <v/>
      </c>
      <c r="DT117" s="40" t="str">
        <f t="shared" si="1620"/>
        <v/>
      </c>
      <c r="DU117" s="40" t="str">
        <f t="shared" si="1621"/>
        <v/>
      </c>
      <c r="DV117" s="40" t="str">
        <f t="shared" si="1622"/>
        <v/>
      </c>
      <c r="DW117" s="40" t="str">
        <f t="shared" si="1623"/>
        <v/>
      </c>
      <c r="DX117" s="40" t="str">
        <f t="shared" si="1624"/>
        <v/>
      </c>
      <c r="DY117" s="40" t="str">
        <f t="shared" si="1625"/>
        <v/>
      </c>
      <c r="DZ117" s="40" t="str">
        <f t="shared" si="1626"/>
        <v/>
      </c>
      <c r="EA117" s="40" t="str">
        <f t="shared" si="1627"/>
        <v/>
      </c>
      <c r="EB117" s="40" t="str">
        <f t="shared" si="1628"/>
        <v/>
      </c>
      <c r="EC117" s="40" t="str">
        <f t="shared" si="1629"/>
        <v/>
      </c>
      <c r="ED117" s="40" t="str">
        <f t="shared" si="1630"/>
        <v/>
      </c>
      <c r="EE117" s="40" t="str">
        <f t="shared" si="1631"/>
        <v/>
      </c>
      <c r="EF117" s="40" t="str">
        <f t="shared" si="1632"/>
        <v/>
      </c>
      <c r="EG117" s="40" t="str">
        <f t="shared" si="1633"/>
        <v/>
      </c>
      <c r="EH117" s="40" t="str">
        <f t="shared" si="1634"/>
        <v/>
      </c>
      <c r="EI117" s="40" t="str">
        <f t="shared" si="1635"/>
        <v/>
      </c>
      <c r="EJ117" s="40" t="str">
        <f t="shared" si="1636"/>
        <v/>
      </c>
      <c r="EK117" s="40" t="str">
        <f t="shared" si="1637"/>
        <v/>
      </c>
      <c r="EL117" s="40" t="str">
        <f t="shared" si="1638"/>
        <v/>
      </c>
      <c r="EM117" s="40" t="str">
        <f t="shared" si="1639"/>
        <v/>
      </c>
      <c r="EN117" s="40" t="str">
        <f t="shared" si="1640"/>
        <v/>
      </c>
      <c r="EO117" s="40" t="str">
        <f t="shared" si="1641"/>
        <v/>
      </c>
      <c r="EP117" s="40" t="str">
        <f t="shared" si="1642"/>
        <v/>
      </c>
      <c r="EQ117" s="40" t="str">
        <f t="shared" si="1643"/>
        <v/>
      </c>
      <c r="ER117" s="40" t="str">
        <f t="shared" si="1644"/>
        <v/>
      </c>
      <c r="ES117" s="40" t="str">
        <f t="shared" si="1645"/>
        <v/>
      </c>
      <c r="ET117" s="40" t="str">
        <f t="shared" si="1646"/>
        <v/>
      </c>
      <c r="EU117" s="40" t="str">
        <f t="shared" si="1647"/>
        <v/>
      </c>
      <c r="EV117" s="40" t="str">
        <f t="shared" si="1648"/>
        <v/>
      </c>
      <c r="EW117" s="40" t="str">
        <f t="shared" si="1649"/>
        <v/>
      </c>
      <c r="EX117" s="40" t="str">
        <f t="shared" si="1650"/>
        <v/>
      </c>
      <c r="EY117" s="40" t="str">
        <f t="shared" si="1651"/>
        <v/>
      </c>
      <c r="EZ117" s="40" t="str">
        <f t="shared" si="1652"/>
        <v/>
      </c>
      <c r="FA117" s="40" t="str">
        <f t="shared" si="1653"/>
        <v/>
      </c>
      <c r="FB117" s="40" t="str">
        <f t="shared" si="1654"/>
        <v/>
      </c>
      <c r="FC117" s="40" t="str">
        <f t="shared" si="1655"/>
        <v/>
      </c>
      <c r="FD117" s="40" t="str">
        <f t="shared" si="1656"/>
        <v/>
      </c>
      <c r="FE117" s="40" t="str">
        <f t="shared" si="1657"/>
        <v/>
      </c>
      <c r="FF117" s="40" t="str">
        <f t="shared" si="1658"/>
        <v/>
      </c>
      <c r="FG117" s="40" t="str">
        <f t="shared" si="1659"/>
        <v/>
      </c>
      <c r="FH117" s="40" t="str">
        <f t="shared" si="1660"/>
        <v/>
      </c>
      <c r="FI117" s="40" t="str">
        <f t="shared" si="1661"/>
        <v/>
      </c>
      <c r="FJ117" s="40" t="str">
        <f t="shared" si="1662"/>
        <v/>
      </c>
      <c r="FK117" s="40" t="str">
        <f t="shared" si="1663"/>
        <v/>
      </c>
      <c r="FL117" s="40" t="str">
        <f t="shared" si="1664"/>
        <v/>
      </c>
      <c r="FM117" s="40" t="str">
        <f t="shared" si="1665"/>
        <v/>
      </c>
      <c r="FN117" s="40" t="str">
        <f t="shared" si="1666"/>
        <v/>
      </c>
      <c r="FO117" s="40" t="str">
        <f t="shared" si="1667"/>
        <v/>
      </c>
      <c r="FP117" s="40" t="str">
        <f t="shared" si="1668"/>
        <v/>
      </c>
      <c r="FQ117" s="40" t="str">
        <f t="shared" si="1669"/>
        <v/>
      </c>
      <c r="FR117" s="40" t="str">
        <f t="shared" si="1670"/>
        <v/>
      </c>
      <c r="FS117" s="40" t="str">
        <f t="shared" si="1671"/>
        <v/>
      </c>
    </row>
    <row r="118" spans="1:175" ht="54">
      <c r="A118" s="2"/>
      <c r="B118" s="4" t="s">
        <v>339</v>
      </c>
      <c r="C118" s="67" t="s">
        <v>320</v>
      </c>
      <c r="T118" s="72" t="s">
        <v>321</v>
      </c>
      <c r="U118" s="51" t="s">
        <v>322</v>
      </c>
      <c r="CN118" s="10" t="str">
        <f t="shared" si="940"/>
        <v>InitUnitState('INDO',,,,,,,,,,)</v>
      </c>
      <c r="CO118" s="10" t="str">
        <f t="shared" si="941"/>
        <v>InitUnitNormal('INDO',,,,,,,,,,)</v>
      </c>
      <c r="CP118" s="10" t="str">
        <f t="shared" si="942"/>
        <v>InitUnitMagic('INDO',,,,,,,,,,)</v>
      </c>
      <c r="CQ118" s="10" t="str">
        <f t="shared" si="943"/>
        <v>InitUnitAdd('INDO',,,,,,,,,,)</v>
      </c>
      <c r="CR118" s="10" t="str">
        <f t="shared" si="1599"/>
        <v>InitEquipData('INDO',,"",,,,,'','','','','','',"ReplaceableTextures\\CommandButtons\\BTNIN17.blp")</v>
      </c>
      <c r="CU118" s="61" t="str">
        <f t="shared" si="1600"/>
        <v>|n</v>
      </c>
      <c r="CV118" s="3" t="str">
        <f t="shared" si="1601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2"/>
        <v/>
      </c>
      <c r="DC118" s="40" t="str">
        <f t="shared" si="1603"/>
        <v/>
      </c>
      <c r="DD118" s="40" t="str">
        <f t="shared" si="1604"/>
        <v/>
      </c>
      <c r="DE118" s="40" t="str">
        <f t="shared" si="1605"/>
        <v/>
      </c>
      <c r="DF118" s="40" t="str">
        <f t="shared" si="1606"/>
        <v/>
      </c>
      <c r="DG118" s="40" t="str">
        <f t="shared" si="1607"/>
        <v/>
      </c>
      <c r="DH118" s="40" t="str">
        <f t="shared" si="1608"/>
        <v/>
      </c>
      <c r="DI118" s="40" t="str">
        <f t="shared" si="1609"/>
        <v/>
      </c>
      <c r="DJ118" s="40" t="str">
        <f t="shared" si="1610"/>
        <v/>
      </c>
      <c r="DK118" s="40" t="str">
        <f t="shared" si="1611"/>
        <v/>
      </c>
      <c r="DL118" s="40" t="str">
        <f t="shared" si="1612"/>
        <v/>
      </c>
      <c r="DM118" s="40" t="str">
        <f t="shared" si="1613"/>
        <v/>
      </c>
      <c r="DN118" s="40" t="str">
        <f t="shared" si="1614"/>
        <v/>
      </c>
      <c r="DO118" s="40" t="str">
        <f t="shared" si="1615"/>
        <v/>
      </c>
      <c r="DP118" s="40" t="str">
        <f t="shared" si="1616"/>
        <v/>
      </c>
      <c r="DQ118" s="40" t="str">
        <f t="shared" si="1617"/>
        <v/>
      </c>
      <c r="DR118" s="40" t="str">
        <f t="shared" si="1618"/>
        <v/>
      </c>
      <c r="DS118" s="40" t="str">
        <f t="shared" si="1619"/>
        <v/>
      </c>
      <c r="DT118" s="40" t="str">
        <f t="shared" si="1620"/>
        <v/>
      </c>
      <c r="DU118" s="40" t="str">
        <f t="shared" si="1621"/>
        <v/>
      </c>
      <c r="DV118" s="40" t="str">
        <f t="shared" si="1622"/>
        <v/>
      </c>
      <c r="DW118" s="40" t="str">
        <f t="shared" si="1623"/>
        <v/>
      </c>
      <c r="DX118" s="40" t="str">
        <f t="shared" si="1624"/>
        <v/>
      </c>
      <c r="DY118" s="40" t="str">
        <f t="shared" si="1625"/>
        <v/>
      </c>
      <c r="DZ118" s="40" t="str">
        <f t="shared" si="1626"/>
        <v/>
      </c>
      <c r="EA118" s="40" t="str">
        <f t="shared" si="1627"/>
        <v/>
      </c>
      <c r="EB118" s="40" t="str">
        <f t="shared" si="1628"/>
        <v/>
      </c>
      <c r="EC118" s="40" t="str">
        <f t="shared" si="1629"/>
        <v/>
      </c>
      <c r="ED118" s="40" t="str">
        <f t="shared" si="1630"/>
        <v/>
      </c>
      <c r="EE118" s="40" t="str">
        <f t="shared" si="1631"/>
        <v/>
      </c>
      <c r="EF118" s="40" t="str">
        <f t="shared" si="1632"/>
        <v/>
      </c>
      <c r="EG118" s="40" t="str">
        <f t="shared" si="1633"/>
        <v/>
      </c>
      <c r="EH118" s="40" t="str">
        <f t="shared" si="1634"/>
        <v/>
      </c>
      <c r="EI118" s="40" t="str">
        <f t="shared" si="1635"/>
        <v/>
      </c>
      <c r="EJ118" s="40" t="str">
        <f t="shared" si="1636"/>
        <v/>
      </c>
      <c r="EK118" s="40" t="str">
        <f t="shared" si="1637"/>
        <v/>
      </c>
      <c r="EL118" s="40" t="str">
        <f t="shared" si="1638"/>
        <v/>
      </c>
      <c r="EM118" s="40" t="str">
        <f t="shared" si="1639"/>
        <v/>
      </c>
      <c r="EN118" s="40" t="str">
        <f t="shared" si="1640"/>
        <v/>
      </c>
      <c r="EO118" s="40" t="str">
        <f t="shared" si="1641"/>
        <v/>
      </c>
      <c r="EP118" s="40" t="str">
        <f t="shared" si="1642"/>
        <v/>
      </c>
      <c r="EQ118" s="40" t="str">
        <f t="shared" si="1643"/>
        <v/>
      </c>
      <c r="ER118" s="40" t="str">
        <f t="shared" si="1644"/>
        <v/>
      </c>
      <c r="ES118" s="40" t="str">
        <f t="shared" si="1645"/>
        <v/>
      </c>
      <c r="ET118" s="40" t="str">
        <f t="shared" si="1646"/>
        <v/>
      </c>
      <c r="EU118" s="40" t="str">
        <f t="shared" si="1647"/>
        <v/>
      </c>
      <c r="EV118" s="40" t="str">
        <f t="shared" si="1648"/>
        <v/>
      </c>
      <c r="EW118" s="40" t="str">
        <f t="shared" si="1649"/>
        <v/>
      </c>
      <c r="EX118" s="40" t="str">
        <f t="shared" si="1650"/>
        <v/>
      </c>
      <c r="EY118" s="40" t="str">
        <f t="shared" si="1651"/>
        <v/>
      </c>
      <c r="EZ118" s="40" t="str">
        <f t="shared" si="1652"/>
        <v/>
      </c>
      <c r="FA118" s="40" t="str">
        <f t="shared" si="1653"/>
        <v/>
      </c>
      <c r="FB118" s="40" t="str">
        <f t="shared" si="1654"/>
        <v/>
      </c>
      <c r="FC118" s="40" t="str">
        <f t="shared" si="1655"/>
        <v/>
      </c>
      <c r="FD118" s="40" t="str">
        <f t="shared" si="1656"/>
        <v/>
      </c>
      <c r="FE118" s="40" t="str">
        <f t="shared" si="1657"/>
        <v/>
      </c>
      <c r="FF118" s="40" t="str">
        <f t="shared" si="1658"/>
        <v/>
      </c>
      <c r="FG118" s="40" t="str">
        <f t="shared" si="1659"/>
        <v/>
      </c>
      <c r="FH118" s="40" t="str">
        <f t="shared" si="1660"/>
        <v/>
      </c>
      <c r="FI118" s="40" t="str">
        <f t="shared" si="1661"/>
        <v/>
      </c>
      <c r="FJ118" s="40" t="str">
        <f t="shared" si="1662"/>
        <v/>
      </c>
      <c r="FK118" s="40" t="str">
        <f t="shared" si="1663"/>
        <v/>
      </c>
      <c r="FL118" s="40" t="str">
        <f t="shared" si="1664"/>
        <v/>
      </c>
      <c r="FM118" s="40" t="str">
        <f t="shared" si="1665"/>
        <v/>
      </c>
      <c r="FN118" s="40" t="str">
        <f t="shared" si="1666"/>
        <v/>
      </c>
      <c r="FO118" s="40" t="str">
        <f t="shared" si="1667"/>
        <v/>
      </c>
      <c r="FP118" s="40" t="str">
        <f t="shared" si="1668"/>
        <v/>
      </c>
      <c r="FQ118" s="40" t="str">
        <f t="shared" si="1669"/>
        <v/>
      </c>
      <c r="FR118" s="40" t="str">
        <f t="shared" si="1670"/>
        <v/>
      </c>
      <c r="FS118" s="40" t="str">
        <f t="shared" si="1671"/>
        <v/>
      </c>
    </row>
    <row r="119" spans="1:175" ht="54">
      <c r="A119" s="2"/>
      <c r="B119" s="4" t="s">
        <v>340</v>
      </c>
      <c r="C119" s="67" t="s">
        <v>320</v>
      </c>
      <c r="T119" s="72" t="s">
        <v>321</v>
      </c>
      <c r="U119" s="51" t="s">
        <v>322</v>
      </c>
      <c r="CN119" s="10" t="str">
        <f t="shared" si="940"/>
        <v>InitUnitState('INDP',,,,,,,,,,)</v>
      </c>
      <c r="CO119" s="10" t="str">
        <f t="shared" si="941"/>
        <v>InitUnitNormal('INDP',,,,,,,,,,)</v>
      </c>
      <c r="CP119" s="10" t="str">
        <f t="shared" si="942"/>
        <v>InitUnitMagic('INDP',,,,,,,,,,)</v>
      </c>
      <c r="CQ119" s="10" t="str">
        <f t="shared" si="943"/>
        <v>InitUnitAdd('INDP',,,,,,,,,,)</v>
      </c>
      <c r="CR119" s="10" t="str">
        <f t="shared" si="1599"/>
        <v>InitEquipData('INDP',,"",,,,,'','','','','','',"ReplaceableTextures\\CommandButtons\\BTNIN18.blp")</v>
      </c>
      <c r="CU119" s="61" t="str">
        <f t="shared" si="1600"/>
        <v>|n</v>
      </c>
      <c r="CV119" s="3" t="str">
        <f t="shared" si="1601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2"/>
        <v/>
      </c>
      <c r="DC119" s="40" t="str">
        <f t="shared" si="1603"/>
        <v/>
      </c>
      <c r="DD119" s="40" t="str">
        <f t="shared" si="1604"/>
        <v/>
      </c>
      <c r="DE119" s="40" t="str">
        <f t="shared" si="1605"/>
        <v/>
      </c>
      <c r="DF119" s="40" t="str">
        <f t="shared" si="1606"/>
        <v/>
      </c>
      <c r="DG119" s="40" t="str">
        <f t="shared" si="1607"/>
        <v/>
      </c>
      <c r="DH119" s="40" t="str">
        <f t="shared" si="1608"/>
        <v/>
      </c>
      <c r="DI119" s="40" t="str">
        <f t="shared" si="1609"/>
        <v/>
      </c>
      <c r="DJ119" s="40" t="str">
        <f t="shared" si="1610"/>
        <v/>
      </c>
      <c r="DK119" s="40" t="str">
        <f t="shared" si="1611"/>
        <v/>
      </c>
      <c r="DL119" s="40" t="str">
        <f t="shared" si="1612"/>
        <v/>
      </c>
      <c r="DM119" s="40" t="str">
        <f t="shared" si="1613"/>
        <v/>
      </c>
      <c r="DN119" s="40" t="str">
        <f t="shared" si="1614"/>
        <v/>
      </c>
      <c r="DO119" s="40" t="str">
        <f t="shared" si="1615"/>
        <v/>
      </c>
      <c r="DP119" s="40" t="str">
        <f t="shared" si="1616"/>
        <v/>
      </c>
      <c r="DQ119" s="40" t="str">
        <f t="shared" si="1617"/>
        <v/>
      </c>
      <c r="DR119" s="40" t="str">
        <f t="shared" si="1618"/>
        <v/>
      </c>
      <c r="DS119" s="40" t="str">
        <f t="shared" si="1619"/>
        <v/>
      </c>
      <c r="DT119" s="40" t="str">
        <f t="shared" si="1620"/>
        <v/>
      </c>
      <c r="DU119" s="40" t="str">
        <f t="shared" si="1621"/>
        <v/>
      </c>
      <c r="DV119" s="40" t="str">
        <f t="shared" si="1622"/>
        <v/>
      </c>
      <c r="DW119" s="40" t="str">
        <f t="shared" si="1623"/>
        <v/>
      </c>
      <c r="DX119" s="40" t="str">
        <f t="shared" si="1624"/>
        <v/>
      </c>
      <c r="DY119" s="40" t="str">
        <f t="shared" si="1625"/>
        <v/>
      </c>
      <c r="DZ119" s="40" t="str">
        <f t="shared" si="1626"/>
        <v/>
      </c>
      <c r="EA119" s="40" t="str">
        <f t="shared" si="1627"/>
        <v/>
      </c>
      <c r="EB119" s="40" t="str">
        <f t="shared" si="1628"/>
        <v/>
      </c>
      <c r="EC119" s="40" t="str">
        <f t="shared" si="1629"/>
        <v/>
      </c>
      <c r="ED119" s="40" t="str">
        <f t="shared" si="1630"/>
        <v/>
      </c>
      <c r="EE119" s="40" t="str">
        <f t="shared" si="1631"/>
        <v/>
      </c>
      <c r="EF119" s="40" t="str">
        <f t="shared" si="1632"/>
        <v/>
      </c>
      <c r="EG119" s="40" t="str">
        <f t="shared" si="1633"/>
        <v/>
      </c>
      <c r="EH119" s="40" t="str">
        <f t="shared" si="1634"/>
        <v/>
      </c>
      <c r="EI119" s="40" t="str">
        <f t="shared" si="1635"/>
        <v/>
      </c>
      <c r="EJ119" s="40" t="str">
        <f t="shared" si="1636"/>
        <v/>
      </c>
      <c r="EK119" s="40" t="str">
        <f t="shared" si="1637"/>
        <v/>
      </c>
      <c r="EL119" s="40" t="str">
        <f t="shared" si="1638"/>
        <v/>
      </c>
      <c r="EM119" s="40" t="str">
        <f t="shared" si="1639"/>
        <v/>
      </c>
      <c r="EN119" s="40" t="str">
        <f t="shared" si="1640"/>
        <v/>
      </c>
      <c r="EO119" s="40" t="str">
        <f t="shared" si="1641"/>
        <v/>
      </c>
      <c r="EP119" s="40" t="str">
        <f t="shared" si="1642"/>
        <v/>
      </c>
      <c r="EQ119" s="40" t="str">
        <f t="shared" si="1643"/>
        <v/>
      </c>
      <c r="ER119" s="40" t="str">
        <f t="shared" si="1644"/>
        <v/>
      </c>
      <c r="ES119" s="40" t="str">
        <f t="shared" si="1645"/>
        <v/>
      </c>
      <c r="ET119" s="40" t="str">
        <f t="shared" si="1646"/>
        <v/>
      </c>
      <c r="EU119" s="40" t="str">
        <f t="shared" si="1647"/>
        <v/>
      </c>
      <c r="EV119" s="40" t="str">
        <f t="shared" si="1648"/>
        <v/>
      </c>
      <c r="EW119" s="40" t="str">
        <f t="shared" si="1649"/>
        <v/>
      </c>
      <c r="EX119" s="40" t="str">
        <f t="shared" si="1650"/>
        <v/>
      </c>
      <c r="EY119" s="40" t="str">
        <f t="shared" si="1651"/>
        <v/>
      </c>
      <c r="EZ119" s="40" t="str">
        <f t="shared" si="1652"/>
        <v/>
      </c>
      <c r="FA119" s="40" t="str">
        <f t="shared" si="1653"/>
        <v/>
      </c>
      <c r="FB119" s="40" t="str">
        <f t="shared" si="1654"/>
        <v/>
      </c>
      <c r="FC119" s="40" t="str">
        <f t="shared" si="1655"/>
        <v/>
      </c>
      <c r="FD119" s="40" t="str">
        <f t="shared" si="1656"/>
        <v/>
      </c>
      <c r="FE119" s="40" t="str">
        <f t="shared" si="1657"/>
        <v/>
      </c>
      <c r="FF119" s="40" t="str">
        <f t="shared" si="1658"/>
        <v/>
      </c>
      <c r="FG119" s="40" t="str">
        <f t="shared" si="1659"/>
        <v/>
      </c>
      <c r="FH119" s="40" t="str">
        <f t="shared" si="1660"/>
        <v/>
      </c>
      <c r="FI119" s="40" t="str">
        <f t="shared" si="1661"/>
        <v/>
      </c>
      <c r="FJ119" s="40" t="str">
        <f t="shared" si="1662"/>
        <v/>
      </c>
      <c r="FK119" s="40" t="str">
        <f t="shared" si="1663"/>
        <v/>
      </c>
      <c r="FL119" s="40" t="str">
        <f t="shared" si="1664"/>
        <v/>
      </c>
      <c r="FM119" s="40" t="str">
        <f t="shared" si="1665"/>
        <v/>
      </c>
      <c r="FN119" s="40" t="str">
        <f t="shared" si="1666"/>
        <v/>
      </c>
      <c r="FO119" s="40" t="str">
        <f t="shared" si="1667"/>
        <v/>
      </c>
      <c r="FP119" s="40" t="str">
        <f t="shared" si="1668"/>
        <v/>
      </c>
      <c r="FQ119" s="40" t="str">
        <f t="shared" si="1669"/>
        <v/>
      </c>
      <c r="FR119" s="40" t="str">
        <f t="shared" si="1670"/>
        <v/>
      </c>
      <c r="FS119" s="40" t="str">
        <f t="shared" si="1671"/>
        <v/>
      </c>
    </row>
    <row r="120" spans="1:175" ht="54">
      <c r="A120" s="2"/>
      <c r="B120" s="4" t="s">
        <v>341</v>
      </c>
      <c r="C120" s="67" t="s">
        <v>320</v>
      </c>
      <c r="T120" s="72" t="s">
        <v>321</v>
      </c>
      <c r="U120" s="51" t="s">
        <v>322</v>
      </c>
      <c r="CN120" s="10" t="str">
        <f t="shared" si="940"/>
        <v>InitUnitState('INDQ',,,,,,,,,,)</v>
      </c>
      <c r="CO120" s="10" t="str">
        <f t="shared" si="941"/>
        <v>InitUnitNormal('INDQ',,,,,,,,,,)</v>
      </c>
      <c r="CP120" s="10" t="str">
        <f t="shared" si="942"/>
        <v>InitUnitMagic('INDQ',,,,,,,,,,)</v>
      </c>
      <c r="CQ120" s="10" t="str">
        <f t="shared" si="943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7"/>
        <v>|n</v>
      </c>
      <c r="CV120" s="3" t="str">
        <f t="shared" si="1528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9"/>
        <v/>
      </c>
      <c r="DC120" s="40" t="str">
        <f t="shared" si="1530"/>
        <v/>
      </c>
      <c r="DD120" s="40" t="str">
        <f t="shared" si="1531"/>
        <v/>
      </c>
      <c r="DE120" s="40" t="str">
        <f t="shared" si="1532"/>
        <v/>
      </c>
      <c r="DF120" s="40" t="str">
        <f t="shared" si="1533"/>
        <v/>
      </c>
      <c r="DG120" s="40" t="str">
        <f t="shared" si="1534"/>
        <v/>
      </c>
      <c r="DH120" s="40" t="str">
        <f t="shared" si="1535"/>
        <v/>
      </c>
      <c r="DI120" s="40" t="str">
        <f t="shared" si="1536"/>
        <v/>
      </c>
      <c r="DJ120" s="40" t="str">
        <f t="shared" si="1537"/>
        <v/>
      </c>
      <c r="DK120" s="40" t="str">
        <f t="shared" si="1538"/>
        <v/>
      </c>
      <c r="DL120" s="40" t="str">
        <f t="shared" si="1539"/>
        <v/>
      </c>
      <c r="DM120" s="40" t="str">
        <f t="shared" si="1540"/>
        <v/>
      </c>
      <c r="DN120" s="40" t="str">
        <f t="shared" si="1541"/>
        <v/>
      </c>
      <c r="DO120" s="40" t="str">
        <f t="shared" si="1542"/>
        <v/>
      </c>
      <c r="DP120" s="40" t="str">
        <f t="shared" si="1543"/>
        <v/>
      </c>
      <c r="DQ120" s="40" t="str">
        <f t="shared" si="1544"/>
        <v/>
      </c>
      <c r="DR120" s="40" t="str">
        <f t="shared" si="1545"/>
        <v/>
      </c>
      <c r="DS120" s="40" t="str">
        <f t="shared" si="1546"/>
        <v/>
      </c>
      <c r="DT120" s="40" t="str">
        <f t="shared" si="1547"/>
        <v/>
      </c>
      <c r="DU120" s="40" t="str">
        <f t="shared" si="1548"/>
        <v/>
      </c>
      <c r="DV120" s="40" t="str">
        <f t="shared" si="1549"/>
        <v/>
      </c>
      <c r="DW120" s="40" t="str">
        <f t="shared" si="1550"/>
        <v/>
      </c>
      <c r="DX120" s="40" t="str">
        <f t="shared" si="1551"/>
        <v/>
      </c>
      <c r="DY120" s="40" t="str">
        <f t="shared" si="1552"/>
        <v/>
      </c>
      <c r="DZ120" s="40" t="str">
        <f t="shared" si="1553"/>
        <v/>
      </c>
      <c r="EA120" s="40" t="str">
        <f t="shared" si="1554"/>
        <v/>
      </c>
      <c r="EB120" s="40" t="str">
        <f t="shared" si="1555"/>
        <v/>
      </c>
      <c r="EC120" s="40" t="str">
        <f t="shared" si="1556"/>
        <v/>
      </c>
      <c r="ED120" s="40" t="str">
        <f t="shared" si="1557"/>
        <v/>
      </c>
      <c r="EE120" s="40" t="str">
        <f t="shared" si="1558"/>
        <v/>
      </c>
      <c r="EF120" s="40" t="str">
        <f t="shared" si="1559"/>
        <v/>
      </c>
      <c r="EG120" s="40" t="str">
        <f t="shared" si="1560"/>
        <v/>
      </c>
      <c r="EH120" s="40" t="str">
        <f t="shared" si="1561"/>
        <v/>
      </c>
      <c r="EI120" s="40" t="str">
        <f t="shared" si="1562"/>
        <v/>
      </c>
      <c r="EJ120" s="40" t="str">
        <f t="shared" si="1563"/>
        <v/>
      </c>
      <c r="EK120" s="40" t="str">
        <f t="shared" si="1564"/>
        <v/>
      </c>
      <c r="EL120" s="40" t="str">
        <f t="shared" si="1565"/>
        <v/>
      </c>
      <c r="EM120" s="40" t="str">
        <f t="shared" si="1566"/>
        <v/>
      </c>
      <c r="EN120" s="40" t="str">
        <f t="shared" si="1567"/>
        <v/>
      </c>
      <c r="EO120" s="40" t="str">
        <f t="shared" si="1568"/>
        <v/>
      </c>
      <c r="EP120" s="40" t="str">
        <f t="shared" si="1569"/>
        <v/>
      </c>
      <c r="EQ120" s="40" t="str">
        <f t="shared" si="1570"/>
        <v/>
      </c>
      <c r="ER120" s="40" t="str">
        <f t="shared" si="1571"/>
        <v/>
      </c>
      <c r="ES120" s="40" t="str">
        <f t="shared" si="1572"/>
        <v/>
      </c>
      <c r="ET120" s="40" t="str">
        <f t="shared" si="1573"/>
        <v/>
      </c>
      <c r="EU120" s="40" t="str">
        <f t="shared" si="1574"/>
        <v/>
      </c>
      <c r="EV120" s="40" t="str">
        <f t="shared" si="1575"/>
        <v/>
      </c>
      <c r="EW120" s="40" t="str">
        <f t="shared" si="1576"/>
        <v/>
      </c>
      <c r="EX120" s="40" t="str">
        <f t="shared" si="1577"/>
        <v/>
      </c>
      <c r="EY120" s="40" t="str">
        <f t="shared" si="1578"/>
        <v/>
      </c>
      <c r="EZ120" s="40" t="str">
        <f t="shared" si="1579"/>
        <v/>
      </c>
      <c r="FA120" s="40" t="str">
        <f t="shared" si="1580"/>
        <v/>
      </c>
      <c r="FB120" s="40" t="str">
        <f t="shared" si="1581"/>
        <v/>
      </c>
      <c r="FC120" s="40" t="str">
        <f t="shared" si="1582"/>
        <v/>
      </c>
      <c r="FD120" s="40" t="str">
        <f t="shared" si="1583"/>
        <v/>
      </c>
      <c r="FE120" s="40" t="str">
        <f t="shared" si="1584"/>
        <v/>
      </c>
      <c r="FF120" s="40" t="str">
        <f t="shared" si="1585"/>
        <v/>
      </c>
      <c r="FG120" s="40" t="str">
        <f t="shared" si="1586"/>
        <v/>
      </c>
      <c r="FH120" s="40" t="str">
        <f t="shared" si="1587"/>
        <v/>
      </c>
      <c r="FI120" s="40" t="str">
        <f t="shared" si="1588"/>
        <v/>
      </c>
      <c r="FJ120" s="40" t="str">
        <f t="shared" si="1589"/>
        <v/>
      </c>
      <c r="FK120" s="40" t="str">
        <f t="shared" si="1590"/>
        <v/>
      </c>
      <c r="FL120" s="40" t="str">
        <f t="shared" si="1591"/>
        <v/>
      </c>
      <c r="FM120" s="40" t="str">
        <f t="shared" si="1592"/>
        <v/>
      </c>
      <c r="FN120" s="40" t="str">
        <f t="shared" si="1593"/>
        <v/>
      </c>
      <c r="FO120" s="40" t="str">
        <f t="shared" si="1594"/>
        <v/>
      </c>
      <c r="FP120" s="40" t="str">
        <f t="shared" si="1595"/>
        <v/>
      </c>
      <c r="FQ120" s="40" t="str">
        <f t="shared" si="1596"/>
        <v/>
      </c>
      <c r="FR120" s="40" t="str">
        <f t="shared" si="1597"/>
        <v/>
      </c>
      <c r="FS120" s="40" t="str">
        <f t="shared" si="1598"/>
        <v/>
      </c>
    </row>
    <row r="121" spans="1:175" ht="16.5">
      <c r="A121" s="2"/>
      <c r="B121" s="4" t="s">
        <v>342</v>
      </c>
      <c r="C121" s="67" t="s">
        <v>328</v>
      </c>
      <c r="T121" s="72" t="s">
        <v>329</v>
      </c>
      <c r="U121" s="51" t="s">
        <v>330</v>
      </c>
      <c r="CN121" s="10" t="str">
        <f t="shared" ref="CN121:CN152" si="1672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3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4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5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7"/>
        <v>|n</v>
      </c>
      <c r="CV121" s="3" t="str">
        <f t="shared" si="1528"/>
        <v>开启后随机获得一张|Cffffd24d锦囊卡|r</v>
      </c>
      <c r="CW121" s="4"/>
      <c r="CX121" s="4"/>
      <c r="CY121" s="4"/>
      <c r="CZ121" s="4"/>
      <c r="DA121" s="4"/>
      <c r="DB121" s="40" t="str">
        <f t="shared" si="1529"/>
        <v/>
      </c>
      <c r="DC121" s="40" t="str">
        <f t="shared" si="1530"/>
        <v/>
      </c>
      <c r="DD121" s="40" t="str">
        <f t="shared" si="1531"/>
        <v/>
      </c>
      <c r="DE121" s="40" t="str">
        <f t="shared" si="1532"/>
        <v/>
      </c>
      <c r="DF121" s="40" t="str">
        <f t="shared" si="1533"/>
        <v/>
      </c>
      <c r="DG121" s="40" t="str">
        <f t="shared" si="1534"/>
        <v/>
      </c>
      <c r="DH121" s="40" t="str">
        <f t="shared" si="1535"/>
        <v/>
      </c>
      <c r="DI121" s="40" t="str">
        <f t="shared" si="1536"/>
        <v/>
      </c>
      <c r="DJ121" s="40" t="str">
        <f t="shared" si="1537"/>
        <v/>
      </c>
      <c r="DK121" s="40" t="str">
        <f t="shared" si="1538"/>
        <v/>
      </c>
      <c r="DL121" s="40" t="str">
        <f t="shared" si="1539"/>
        <v/>
      </c>
      <c r="DM121" s="40" t="str">
        <f t="shared" si="1540"/>
        <v/>
      </c>
      <c r="DN121" s="40" t="str">
        <f t="shared" si="1541"/>
        <v/>
      </c>
      <c r="DO121" s="40" t="str">
        <f t="shared" si="1542"/>
        <v/>
      </c>
      <c r="DP121" s="40" t="str">
        <f t="shared" si="1543"/>
        <v/>
      </c>
      <c r="DQ121" s="40" t="str">
        <f t="shared" si="1544"/>
        <v/>
      </c>
      <c r="DR121" s="40" t="str">
        <f t="shared" si="1545"/>
        <v/>
      </c>
      <c r="DS121" s="40" t="str">
        <f t="shared" si="1546"/>
        <v/>
      </c>
      <c r="DT121" s="40" t="str">
        <f t="shared" si="1547"/>
        <v/>
      </c>
      <c r="DU121" s="40" t="str">
        <f t="shared" si="1548"/>
        <v/>
      </c>
      <c r="DV121" s="40" t="str">
        <f t="shared" si="1549"/>
        <v/>
      </c>
      <c r="DW121" s="40" t="str">
        <f t="shared" si="1550"/>
        <v/>
      </c>
      <c r="DX121" s="40" t="str">
        <f t="shared" si="1551"/>
        <v/>
      </c>
      <c r="DY121" s="40" t="str">
        <f t="shared" si="1552"/>
        <v/>
      </c>
      <c r="DZ121" s="40" t="str">
        <f t="shared" si="1553"/>
        <v/>
      </c>
      <c r="EA121" s="40" t="str">
        <f t="shared" si="1554"/>
        <v/>
      </c>
      <c r="EB121" s="40" t="str">
        <f t="shared" si="1555"/>
        <v/>
      </c>
      <c r="EC121" s="40" t="str">
        <f t="shared" si="1556"/>
        <v/>
      </c>
      <c r="ED121" s="40" t="str">
        <f t="shared" si="1557"/>
        <v/>
      </c>
      <c r="EE121" s="40" t="str">
        <f t="shared" si="1558"/>
        <v/>
      </c>
      <c r="EF121" s="40" t="str">
        <f t="shared" si="1559"/>
        <v/>
      </c>
      <c r="EG121" s="40" t="str">
        <f t="shared" si="1560"/>
        <v/>
      </c>
      <c r="EH121" s="40" t="str">
        <f t="shared" si="1561"/>
        <v/>
      </c>
      <c r="EI121" s="40" t="str">
        <f t="shared" si="1562"/>
        <v/>
      </c>
      <c r="EJ121" s="40" t="str">
        <f t="shared" si="1563"/>
        <v/>
      </c>
      <c r="EK121" s="40" t="str">
        <f t="shared" si="1564"/>
        <v/>
      </c>
      <c r="EL121" s="40" t="str">
        <f t="shared" si="1565"/>
        <v/>
      </c>
      <c r="EM121" s="40" t="str">
        <f t="shared" si="1566"/>
        <v/>
      </c>
      <c r="EN121" s="40" t="str">
        <f t="shared" si="1567"/>
        <v/>
      </c>
      <c r="EO121" s="40" t="str">
        <f t="shared" si="1568"/>
        <v/>
      </c>
      <c r="EP121" s="40" t="str">
        <f t="shared" si="1569"/>
        <v/>
      </c>
      <c r="EQ121" s="40" t="str">
        <f t="shared" si="1570"/>
        <v/>
      </c>
      <c r="ER121" s="40" t="str">
        <f t="shared" si="1571"/>
        <v/>
      </c>
      <c r="ES121" s="40" t="str">
        <f t="shared" si="1572"/>
        <v/>
      </c>
      <c r="ET121" s="40" t="str">
        <f t="shared" si="1573"/>
        <v/>
      </c>
      <c r="EU121" s="40" t="str">
        <f t="shared" si="1574"/>
        <v/>
      </c>
      <c r="EV121" s="40" t="str">
        <f t="shared" si="1575"/>
        <v/>
      </c>
      <c r="EW121" s="40" t="str">
        <f t="shared" si="1576"/>
        <v/>
      </c>
      <c r="EX121" s="40" t="str">
        <f t="shared" si="1577"/>
        <v/>
      </c>
      <c r="EY121" s="40" t="str">
        <f t="shared" si="1578"/>
        <v/>
      </c>
      <c r="EZ121" s="40" t="str">
        <f t="shared" si="1579"/>
        <v/>
      </c>
      <c r="FA121" s="40" t="str">
        <f t="shared" si="1580"/>
        <v/>
      </c>
      <c r="FB121" s="40" t="str">
        <f t="shared" si="1581"/>
        <v/>
      </c>
      <c r="FC121" s="40" t="str">
        <f t="shared" si="1582"/>
        <v/>
      </c>
      <c r="FD121" s="40" t="str">
        <f t="shared" si="1583"/>
        <v/>
      </c>
      <c r="FE121" s="40" t="str">
        <f t="shared" si="1584"/>
        <v/>
      </c>
      <c r="FF121" s="40" t="str">
        <f t="shared" si="1585"/>
        <v/>
      </c>
      <c r="FG121" s="40" t="str">
        <f t="shared" si="1586"/>
        <v/>
      </c>
      <c r="FH121" s="40" t="str">
        <f t="shared" si="1587"/>
        <v/>
      </c>
      <c r="FI121" s="40" t="str">
        <f t="shared" si="1588"/>
        <v/>
      </c>
      <c r="FJ121" s="40" t="str">
        <f t="shared" si="1589"/>
        <v/>
      </c>
      <c r="FK121" s="40" t="str">
        <f t="shared" si="1590"/>
        <v/>
      </c>
      <c r="FL121" s="40" t="str">
        <f t="shared" si="1591"/>
        <v/>
      </c>
      <c r="FM121" s="40" t="str">
        <f t="shared" si="1592"/>
        <v/>
      </c>
      <c r="FN121" s="40" t="str">
        <f t="shared" si="1593"/>
        <v/>
      </c>
      <c r="FO121" s="40" t="str">
        <f t="shared" si="1594"/>
        <v/>
      </c>
      <c r="FP121" s="40" t="str">
        <f t="shared" si="1595"/>
        <v/>
      </c>
      <c r="FQ121" s="40" t="str">
        <f t="shared" si="1596"/>
        <v/>
      </c>
      <c r="FR121" s="40" t="str">
        <f t="shared" si="1597"/>
        <v/>
      </c>
      <c r="FS121" s="40" t="str">
        <f t="shared" si="1598"/>
        <v/>
      </c>
    </row>
    <row r="122" spans="1:175" ht="54">
      <c r="A122" s="2"/>
      <c r="B122" s="4" t="s">
        <v>343</v>
      </c>
      <c r="C122" s="67" t="s">
        <v>320</v>
      </c>
      <c r="T122" s="72" t="s">
        <v>321</v>
      </c>
      <c r="U122" s="51" t="s">
        <v>322</v>
      </c>
      <c r="CN122" s="10" t="str">
        <f t="shared" si="1672"/>
        <v>InitUnitState('INDS',,,,,,,,,,)</v>
      </c>
      <c r="CO122" s="10" t="str">
        <f t="shared" si="1673"/>
        <v>InitUnitNormal('INDS',,,,,,,,,,)</v>
      </c>
      <c r="CP122" s="10" t="str">
        <f t="shared" si="1674"/>
        <v>InitUnitMagic('INDS',,,,,,,,,,)</v>
      </c>
      <c r="CQ122" s="10" t="str">
        <f t="shared" si="1675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7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8">IF(V122="","","|n"&amp;DB$2&amp;"+"&amp;V122&amp;DB$1)</f>
        <v/>
      </c>
      <c r="DC122" s="40" t="str">
        <f t="shared" ref="DC122:DC123" si="1679">IF(W122="","","|n"&amp;DC$2&amp;"+"&amp;W122&amp;DC$1)</f>
        <v/>
      </c>
      <c r="DD122" s="40" t="str">
        <f t="shared" ref="DD122:DD123" si="1680">IF(X122="","","|n"&amp;DD$2&amp;"+"&amp;X122&amp;DD$1)</f>
        <v/>
      </c>
      <c r="DE122" s="40" t="str">
        <f t="shared" ref="DE122:DE123" si="1681">IF(Y122="","","|n"&amp;DE$2&amp;"+"&amp;Y122&amp;DE$1)</f>
        <v/>
      </c>
      <c r="DF122" s="40" t="str">
        <f t="shared" ref="DF122:DF123" si="1682">IF(Z122="","","|n"&amp;DF$2&amp;"+"&amp;Z122&amp;DF$1)</f>
        <v/>
      </c>
      <c r="DG122" s="40" t="str">
        <f t="shared" ref="DG122:DG123" si="1683">IF(AA122="","","|n"&amp;DG$2&amp;"+"&amp;AA122&amp;DG$1)</f>
        <v/>
      </c>
      <c r="DH122" s="40" t="str">
        <f t="shared" ref="DH122:DH123" si="1684">IF(AB122="","","|n"&amp;DH$2&amp;"+"&amp;AB122&amp;DH$1)</f>
        <v/>
      </c>
      <c r="DI122" s="40" t="str">
        <f t="shared" ref="DI122:DI123" si="1685">IF(AC122="","","|n"&amp;DI$2&amp;"+"&amp;AC122&amp;DI$1)</f>
        <v/>
      </c>
      <c r="DJ122" s="40" t="str">
        <f t="shared" ref="DJ122:DJ123" si="1686">IF(AD122="","","|n"&amp;DJ$2&amp;"+"&amp;AD122&amp;DJ$1)</f>
        <v/>
      </c>
      <c r="DK122" s="40" t="str">
        <f t="shared" ref="DK122:DK123" si="1687">IF(AE122="","","|n"&amp;DK$2&amp;"+"&amp;AE122&amp;DK$1)</f>
        <v/>
      </c>
      <c r="DL122" s="40" t="str">
        <f t="shared" ref="DL122:DL123" si="1688">IF(AF122="","","|n"&amp;DL$2&amp;"+"&amp;AF122&amp;DL$1)</f>
        <v/>
      </c>
      <c r="DM122" s="40" t="str">
        <f t="shared" ref="DM122:DM123" si="1689">IF(AG122="","","|n"&amp;DM$2&amp;"+"&amp;AG122&amp;DM$1)</f>
        <v/>
      </c>
      <c r="DN122" s="40" t="str">
        <f t="shared" ref="DN122:DN123" si="1690">IF(AH122="","","|n"&amp;DN$2&amp;"+"&amp;AH122&amp;DN$1)</f>
        <v/>
      </c>
      <c r="DO122" s="40" t="str">
        <f t="shared" ref="DO122:DO123" si="1691">IF(AI122="","","|n"&amp;DO$2&amp;"+"&amp;AI122&amp;DO$1)</f>
        <v/>
      </c>
      <c r="DP122" s="40" t="str">
        <f t="shared" ref="DP122:DP123" si="1692">IF(AJ122="","","|n"&amp;DP$2&amp;"+"&amp;AJ122&amp;DP$1)</f>
        <v/>
      </c>
      <c r="DQ122" s="40" t="str">
        <f t="shared" ref="DQ122:DQ123" si="1693">IF(AK122="","","|n"&amp;DQ$2&amp;"+"&amp;AK122&amp;DQ$1)</f>
        <v/>
      </c>
      <c r="DR122" s="40" t="str">
        <f t="shared" ref="DR122:DR123" si="1694">IF(AL122="","","|n"&amp;DR$2&amp;"+"&amp;AL122&amp;DR$1)</f>
        <v/>
      </c>
      <c r="DS122" s="40" t="str">
        <f t="shared" ref="DS122:DS123" si="1695">IF(AM122="","","|n"&amp;DS$2&amp;"+"&amp;AM122&amp;DS$1)</f>
        <v/>
      </c>
      <c r="DT122" s="40" t="str">
        <f t="shared" ref="DT122:DT123" si="1696">IF(AN122="","","|n"&amp;DT$2&amp;"+"&amp;AN122&amp;DT$1)</f>
        <v/>
      </c>
      <c r="DU122" s="40" t="str">
        <f t="shared" ref="DU122:DU123" si="1697">IF(AO122="","","|n"&amp;DU$2&amp;"+"&amp;AO122&amp;DU$1)</f>
        <v/>
      </c>
      <c r="DV122" s="40" t="str">
        <f t="shared" ref="DV122:DV123" si="1698">IF(AP122="","","|n"&amp;DV$2&amp;"+"&amp;AP122&amp;DV$1)</f>
        <v/>
      </c>
      <c r="DW122" s="40" t="str">
        <f t="shared" ref="DW122:DW123" si="1699">IF(AQ122="","","|n"&amp;DW$2&amp;"+"&amp;AQ122&amp;DW$1)</f>
        <v/>
      </c>
      <c r="DX122" s="40" t="str">
        <f t="shared" ref="DX122:DX123" si="1700">IF(AR122="","","|n"&amp;DX$2&amp;"+"&amp;AR122&amp;DX$1)</f>
        <v/>
      </c>
      <c r="DY122" s="40" t="str">
        <f t="shared" ref="DY122:DY123" si="1701">IF(AS122="","","|n"&amp;DY$2&amp;"+"&amp;AS122&amp;DY$1)</f>
        <v/>
      </c>
      <c r="DZ122" s="40" t="str">
        <f t="shared" ref="DZ122:DZ123" si="1702">IF(AT122="","","|n"&amp;DZ$2&amp;"+"&amp;AT122&amp;DZ$1)</f>
        <v/>
      </c>
      <c r="EA122" s="40" t="str">
        <f t="shared" ref="EA122:EA123" si="1703">IF(AU122="","","|n"&amp;EA$2&amp;"+"&amp;AU122&amp;EA$1)</f>
        <v/>
      </c>
      <c r="EB122" s="40" t="str">
        <f t="shared" ref="EB122:EB123" si="1704">IF(AV122="","","|n"&amp;EB$2&amp;"+"&amp;AV122&amp;EB$1)</f>
        <v/>
      </c>
      <c r="EC122" s="40" t="str">
        <f t="shared" ref="EC122:EC123" si="1705">IF(AW122="","","|n"&amp;EC$2&amp;"+"&amp;AW122&amp;EC$1)</f>
        <v/>
      </c>
      <c r="ED122" s="40" t="str">
        <f t="shared" ref="ED122:ED123" si="1706">IF(AX122="","","|n"&amp;ED$2&amp;"+"&amp;AX122&amp;ED$1)</f>
        <v/>
      </c>
      <c r="EE122" s="40" t="str">
        <f t="shared" ref="EE122:EE123" si="1707">IF(AY122="","","|n"&amp;EE$2&amp;"+"&amp;AY122&amp;EE$1)</f>
        <v/>
      </c>
      <c r="EF122" s="40" t="str">
        <f t="shared" ref="EF122:EF123" si="1708">IF(AZ122="","","|n"&amp;EF$2&amp;"+"&amp;AZ122&amp;EF$1)</f>
        <v/>
      </c>
      <c r="EG122" s="40" t="str">
        <f t="shared" ref="EG122:EG123" si="1709">IF(BA122="","","|n"&amp;EG$2&amp;"+"&amp;BA122&amp;EG$1)</f>
        <v/>
      </c>
      <c r="EH122" s="40" t="str">
        <f t="shared" ref="EH122:EH123" si="1710">IF(BB122="","","|n"&amp;EH$2&amp;"+"&amp;BB122&amp;EH$1)</f>
        <v/>
      </c>
      <c r="EI122" s="40" t="str">
        <f t="shared" ref="EI122:EI123" si="1711">IF(BC122="","","|n"&amp;EI$2&amp;"+"&amp;BC122&amp;EI$1)</f>
        <v/>
      </c>
      <c r="EJ122" s="40" t="str">
        <f t="shared" ref="EJ122:EJ123" si="1712">IF(BD122="","","|n"&amp;EJ$2&amp;"+"&amp;BD122&amp;EJ$1)</f>
        <v/>
      </c>
      <c r="EK122" s="40" t="str">
        <f t="shared" ref="EK122:EK123" si="1713">IF(BE122="","","|n"&amp;EK$2&amp;"+"&amp;BE122&amp;EK$1)</f>
        <v/>
      </c>
      <c r="EL122" s="40" t="str">
        <f t="shared" ref="EL122:EL123" si="1714">IF(BF122="","","|n"&amp;EL$2&amp;"+"&amp;BF122&amp;EL$1)</f>
        <v/>
      </c>
      <c r="EM122" s="40" t="str">
        <f t="shared" ref="EM122:EM123" si="1715">IF(BG122="","","|n"&amp;EM$2&amp;"+"&amp;BG122&amp;EM$1)</f>
        <v/>
      </c>
      <c r="EN122" s="40" t="str">
        <f t="shared" ref="EN122:EN123" si="1716">IF(BH122="","","|n"&amp;EN$2&amp;"+"&amp;BH122&amp;EN$1)</f>
        <v/>
      </c>
      <c r="EO122" s="40" t="str">
        <f t="shared" ref="EO122:EO123" si="1717">IF(BI122="","","|n"&amp;EO$2&amp;"+"&amp;BI122&amp;EO$1)</f>
        <v/>
      </c>
      <c r="EP122" s="40" t="str">
        <f t="shared" ref="EP122:EP123" si="1718">IF(BJ122="","","|n"&amp;EP$2&amp;"+"&amp;BJ122&amp;EP$1)</f>
        <v/>
      </c>
      <c r="EQ122" s="40" t="str">
        <f t="shared" ref="EQ122:EQ123" si="1719">IF(BK122="","","|n"&amp;EQ$2&amp;"+"&amp;BK122&amp;EQ$1)</f>
        <v/>
      </c>
      <c r="ER122" s="40" t="str">
        <f t="shared" ref="ER122:ER123" si="1720">IF(BL122="","","|n"&amp;ER$2&amp;"+"&amp;BL122&amp;ER$1)</f>
        <v/>
      </c>
      <c r="ES122" s="40" t="str">
        <f t="shared" ref="ES122:ES123" si="1721">IF(BM122="","","|n"&amp;ES$2&amp;"+"&amp;BM122&amp;ES$1)</f>
        <v/>
      </c>
      <c r="ET122" s="40" t="str">
        <f t="shared" ref="ET122:ET123" si="1722">IF(BN122="","","|n"&amp;ET$2&amp;"+"&amp;BN122&amp;ET$1)</f>
        <v/>
      </c>
      <c r="EU122" s="40" t="str">
        <f t="shared" ref="EU122:EU123" si="1723">IF(BO122="","","|n"&amp;EU$2&amp;"+"&amp;BO122&amp;EU$1)</f>
        <v/>
      </c>
      <c r="EV122" s="40" t="str">
        <f t="shared" ref="EV122:EV123" si="1724">IF(BP122="","","|n"&amp;EV$2&amp;"+"&amp;BP122&amp;EV$1)</f>
        <v/>
      </c>
      <c r="EW122" s="40" t="str">
        <f t="shared" ref="EW122:EW123" si="1725">IF(BQ122="","","|n"&amp;EW$2&amp;"+"&amp;BQ122&amp;EW$1)</f>
        <v/>
      </c>
      <c r="EX122" s="40" t="str">
        <f t="shared" ref="EX122:EX123" si="1726">IF(BR122="","","|n"&amp;EX$2&amp;"+"&amp;BR122&amp;EX$1)</f>
        <v/>
      </c>
      <c r="EY122" s="40" t="str">
        <f t="shared" ref="EY122:EY123" si="1727">IF(BS122="","","|n"&amp;EY$2&amp;"+"&amp;BS122&amp;EY$1)</f>
        <v/>
      </c>
      <c r="EZ122" s="40" t="str">
        <f t="shared" ref="EZ122:EZ123" si="1728">IF(BT122="","","|n"&amp;EZ$2&amp;"+"&amp;BT122&amp;EZ$1)</f>
        <v/>
      </c>
      <c r="FA122" s="40" t="str">
        <f t="shared" ref="FA122:FA123" si="1729">IF(BU122="","","|n"&amp;FA$2&amp;"+"&amp;BU122&amp;FA$1)</f>
        <v/>
      </c>
      <c r="FB122" s="40" t="str">
        <f t="shared" ref="FB122:FB123" si="1730">IF(BV122="","","|n"&amp;FB$2&amp;"+"&amp;BV122&amp;FB$1)</f>
        <v/>
      </c>
      <c r="FC122" s="40" t="str">
        <f t="shared" ref="FC122:FC123" si="1731">IF(BW122="","","|n"&amp;FC$2&amp;"+"&amp;BW122&amp;FC$1)</f>
        <v/>
      </c>
      <c r="FD122" s="40" t="str">
        <f t="shared" ref="FD122:FD123" si="1732">IF(BX122="","","|n"&amp;FD$2&amp;"+"&amp;BX122&amp;FD$1)</f>
        <v/>
      </c>
      <c r="FE122" s="40" t="str">
        <f t="shared" ref="FE122:FE123" si="1733">IF(BY122="","","|n"&amp;FE$2&amp;"+"&amp;BY122&amp;FE$1)</f>
        <v/>
      </c>
      <c r="FF122" s="40" t="str">
        <f t="shared" ref="FF122:FF123" si="1734">IF(BZ122="","","|n"&amp;FF$2&amp;"+"&amp;BZ122&amp;FF$1)</f>
        <v/>
      </c>
      <c r="FG122" s="40" t="str">
        <f t="shared" ref="FG122:FG123" si="1735">IF(CA122="","","|n"&amp;FG$2&amp;"+"&amp;CA122&amp;FG$1)</f>
        <v/>
      </c>
      <c r="FH122" s="40" t="str">
        <f t="shared" ref="FH122:FH123" si="1736">IF(CB122="","","|n"&amp;FH$2&amp;"+"&amp;CB122&amp;FH$1)</f>
        <v/>
      </c>
      <c r="FI122" s="40" t="str">
        <f t="shared" ref="FI122:FI123" si="1737">IF(CC122="","","|n"&amp;FI$2&amp;"+"&amp;CC122&amp;FI$1)</f>
        <v/>
      </c>
      <c r="FJ122" s="40" t="str">
        <f t="shared" ref="FJ122:FJ123" si="1738">IF(CD122="","","|n"&amp;FJ$2&amp;"+"&amp;CD122&amp;FJ$1)</f>
        <v/>
      </c>
      <c r="FK122" s="40" t="str">
        <f t="shared" ref="FK122:FK123" si="1739">IF(CE122="","","|n"&amp;FK$2&amp;"+"&amp;CE122&amp;FK$1)</f>
        <v/>
      </c>
      <c r="FL122" s="40" t="str">
        <f t="shared" ref="FL122:FL123" si="1740">IF(CF122="","","|n"&amp;FL$2&amp;"+"&amp;CF122&amp;FL$1)</f>
        <v/>
      </c>
      <c r="FM122" s="40" t="str">
        <f t="shared" ref="FM122:FM123" si="1741">IF(CG122="","","|n"&amp;FM$2&amp;"+"&amp;CG122&amp;FM$1)</f>
        <v/>
      </c>
      <c r="FN122" s="40" t="str">
        <f t="shared" ref="FN122:FN123" si="1742">IF(CH122="","","|n"&amp;FN$2&amp;"+"&amp;CH122&amp;FN$1)</f>
        <v/>
      </c>
      <c r="FO122" s="40" t="str">
        <f t="shared" ref="FO122:FO123" si="1743">IF(CI122="","","|n"&amp;FO$2&amp;"+"&amp;CI122&amp;FO$1)</f>
        <v/>
      </c>
      <c r="FP122" s="40" t="str">
        <f t="shared" ref="FP122:FP123" si="1744">IF(CJ122="","","|n"&amp;FP$2&amp;"+"&amp;CJ122&amp;FP$1)</f>
        <v/>
      </c>
      <c r="FQ122" s="40" t="str">
        <f t="shared" ref="FQ122:FQ123" si="1745">IF(CK122="","","|n"&amp;FQ$2&amp;"+"&amp;CK122&amp;FQ$1)</f>
        <v/>
      </c>
      <c r="FR122" s="40" t="str">
        <f t="shared" ref="FR122:FR123" si="1746">IF(CL122="","","|n"&amp;FR$2&amp;"+"&amp;CL122&amp;FR$1)</f>
        <v/>
      </c>
      <c r="FS122" s="40" t="str">
        <f t="shared" ref="FS122:FS123" si="1747">IF(CM122="","","|n"&amp;FS$2&amp;"+"&amp;CM122&amp;FS$1)</f>
        <v/>
      </c>
    </row>
    <row r="123" spans="1:175" ht="54">
      <c r="A123" s="2"/>
      <c r="B123" s="4" t="s">
        <v>344</v>
      </c>
      <c r="C123" s="67" t="s">
        <v>320</v>
      </c>
      <c r="T123" s="72" t="s">
        <v>321</v>
      </c>
      <c r="U123" s="51" t="s">
        <v>322</v>
      </c>
      <c r="CN123" s="10" t="str">
        <f t="shared" si="1672"/>
        <v>InitUnitState('INDT',,,,,,,,,,)</v>
      </c>
      <c r="CO123" s="10" t="str">
        <f t="shared" si="1673"/>
        <v>InitUnitNormal('INDT',,,,,,,,,,)</v>
      </c>
      <c r="CP123" s="10" t="str">
        <f t="shared" si="1674"/>
        <v>InitUnitMagic('INDT',,,,,,,,,,)</v>
      </c>
      <c r="CQ123" s="10" t="str">
        <f t="shared" si="1675"/>
        <v>InitUnitAdd('INDT',,,,,,,,,,)</v>
      </c>
      <c r="CR123" s="10" t="str">
        <f t="shared" ref="CR123:CR128" si="1748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6"/>
        <v>|n</v>
      </c>
      <c r="CV123" s="3" t="str">
        <f t="shared" si="1677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8"/>
        <v/>
      </c>
      <c r="DC123" s="40" t="str">
        <f t="shared" si="1679"/>
        <v/>
      </c>
      <c r="DD123" s="40" t="str">
        <f t="shared" si="1680"/>
        <v/>
      </c>
      <c r="DE123" s="40" t="str">
        <f t="shared" si="1681"/>
        <v/>
      </c>
      <c r="DF123" s="40" t="str">
        <f t="shared" si="1682"/>
        <v/>
      </c>
      <c r="DG123" s="40" t="str">
        <f t="shared" si="1683"/>
        <v/>
      </c>
      <c r="DH123" s="40" t="str">
        <f t="shared" si="1684"/>
        <v/>
      </c>
      <c r="DI123" s="40" t="str">
        <f t="shared" si="1685"/>
        <v/>
      </c>
      <c r="DJ123" s="40" t="str">
        <f t="shared" si="1686"/>
        <v/>
      </c>
      <c r="DK123" s="40" t="str">
        <f t="shared" si="1687"/>
        <v/>
      </c>
      <c r="DL123" s="40" t="str">
        <f t="shared" si="1688"/>
        <v/>
      </c>
      <c r="DM123" s="40" t="str">
        <f t="shared" si="1689"/>
        <v/>
      </c>
      <c r="DN123" s="40" t="str">
        <f t="shared" si="1690"/>
        <v/>
      </c>
      <c r="DO123" s="40" t="str">
        <f t="shared" si="1691"/>
        <v/>
      </c>
      <c r="DP123" s="40" t="str">
        <f t="shared" si="1692"/>
        <v/>
      </c>
      <c r="DQ123" s="40" t="str">
        <f t="shared" si="1693"/>
        <v/>
      </c>
      <c r="DR123" s="40" t="str">
        <f t="shared" si="1694"/>
        <v/>
      </c>
      <c r="DS123" s="40" t="str">
        <f t="shared" si="1695"/>
        <v/>
      </c>
      <c r="DT123" s="40" t="str">
        <f t="shared" si="1696"/>
        <v/>
      </c>
      <c r="DU123" s="40" t="str">
        <f t="shared" si="1697"/>
        <v/>
      </c>
      <c r="DV123" s="40" t="str">
        <f t="shared" si="1698"/>
        <v/>
      </c>
      <c r="DW123" s="40" t="str">
        <f t="shared" si="1699"/>
        <v/>
      </c>
      <c r="DX123" s="40" t="str">
        <f t="shared" si="1700"/>
        <v/>
      </c>
      <c r="DY123" s="40" t="str">
        <f t="shared" si="1701"/>
        <v/>
      </c>
      <c r="DZ123" s="40" t="str">
        <f t="shared" si="1702"/>
        <v/>
      </c>
      <c r="EA123" s="40" t="str">
        <f t="shared" si="1703"/>
        <v/>
      </c>
      <c r="EB123" s="40" t="str">
        <f t="shared" si="1704"/>
        <v/>
      </c>
      <c r="EC123" s="40" t="str">
        <f t="shared" si="1705"/>
        <v/>
      </c>
      <c r="ED123" s="40" t="str">
        <f t="shared" si="1706"/>
        <v/>
      </c>
      <c r="EE123" s="40" t="str">
        <f t="shared" si="1707"/>
        <v/>
      </c>
      <c r="EF123" s="40" t="str">
        <f t="shared" si="1708"/>
        <v/>
      </c>
      <c r="EG123" s="40" t="str">
        <f t="shared" si="1709"/>
        <v/>
      </c>
      <c r="EH123" s="40" t="str">
        <f t="shared" si="1710"/>
        <v/>
      </c>
      <c r="EI123" s="40" t="str">
        <f t="shared" si="1711"/>
        <v/>
      </c>
      <c r="EJ123" s="40" t="str">
        <f t="shared" si="1712"/>
        <v/>
      </c>
      <c r="EK123" s="40" t="str">
        <f t="shared" si="1713"/>
        <v/>
      </c>
      <c r="EL123" s="40" t="str">
        <f t="shared" si="1714"/>
        <v/>
      </c>
      <c r="EM123" s="40" t="str">
        <f t="shared" si="1715"/>
        <v/>
      </c>
      <c r="EN123" s="40" t="str">
        <f t="shared" si="1716"/>
        <v/>
      </c>
      <c r="EO123" s="40" t="str">
        <f t="shared" si="1717"/>
        <v/>
      </c>
      <c r="EP123" s="40" t="str">
        <f t="shared" si="1718"/>
        <v/>
      </c>
      <c r="EQ123" s="40" t="str">
        <f t="shared" si="1719"/>
        <v/>
      </c>
      <c r="ER123" s="40" t="str">
        <f t="shared" si="1720"/>
        <v/>
      </c>
      <c r="ES123" s="40" t="str">
        <f t="shared" si="1721"/>
        <v/>
      </c>
      <c r="ET123" s="40" t="str">
        <f t="shared" si="1722"/>
        <v/>
      </c>
      <c r="EU123" s="40" t="str">
        <f t="shared" si="1723"/>
        <v/>
      </c>
      <c r="EV123" s="40" t="str">
        <f t="shared" si="1724"/>
        <v/>
      </c>
      <c r="EW123" s="40" t="str">
        <f t="shared" si="1725"/>
        <v/>
      </c>
      <c r="EX123" s="40" t="str">
        <f t="shared" si="1726"/>
        <v/>
      </c>
      <c r="EY123" s="40" t="str">
        <f t="shared" si="1727"/>
        <v/>
      </c>
      <c r="EZ123" s="40" t="str">
        <f t="shared" si="1728"/>
        <v/>
      </c>
      <c r="FA123" s="40" t="str">
        <f t="shared" si="1729"/>
        <v/>
      </c>
      <c r="FB123" s="40" t="str">
        <f t="shared" si="1730"/>
        <v/>
      </c>
      <c r="FC123" s="40" t="str">
        <f t="shared" si="1731"/>
        <v/>
      </c>
      <c r="FD123" s="40" t="str">
        <f t="shared" si="1732"/>
        <v/>
      </c>
      <c r="FE123" s="40" t="str">
        <f t="shared" si="1733"/>
        <v/>
      </c>
      <c r="FF123" s="40" t="str">
        <f t="shared" si="1734"/>
        <v/>
      </c>
      <c r="FG123" s="40" t="str">
        <f t="shared" si="1735"/>
        <v/>
      </c>
      <c r="FH123" s="40" t="str">
        <f t="shared" si="1736"/>
        <v/>
      </c>
      <c r="FI123" s="40" t="str">
        <f t="shared" si="1737"/>
        <v/>
      </c>
      <c r="FJ123" s="40" t="str">
        <f t="shared" si="1738"/>
        <v/>
      </c>
      <c r="FK123" s="40" t="str">
        <f t="shared" si="1739"/>
        <v/>
      </c>
      <c r="FL123" s="40" t="str">
        <f t="shared" si="1740"/>
        <v/>
      </c>
      <c r="FM123" s="40" t="str">
        <f t="shared" si="1741"/>
        <v/>
      </c>
      <c r="FN123" s="40" t="str">
        <f t="shared" si="1742"/>
        <v/>
      </c>
      <c r="FO123" s="40" t="str">
        <f t="shared" si="1743"/>
        <v/>
      </c>
      <c r="FP123" s="40" t="str">
        <f t="shared" si="1744"/>
        <v/>
      </c>
      <c r="FQ123" s="40" t="str">
        <f t="shared" si="1745"/>
        <v/>
      </c>
      <c r="FR123" s="40" t="str">
        <f t="shared" si="1746"/>
        <v/>
      </c>
      <c r="FS123" s="40" t="str">
        <f t="shared" si="1747"/>
        <v/>
      </c>
    </row>
    <row r="124" spans="1:175" ht="54">
      <c r="A124" s="2"/>
      <c r="B124" s="4" t="s">
        <v>345</v>
      </c>
      <c r="C124" s="67" t="s">
        <v>320</v>
      </c>
      <c r="T124" s="72" t="s">
        <v>321</v>
      </c>
      <c r="U124" s="51" t="s">
        <v>322</v>
      </c>
      <c r="CN124" s="10" t="str">
        <f t="shared" si="1672"/>
        <v>InitUnitState('INDU',,,,,,,,,,)</v>
      </c>
      <c r="CO124" s="10" t="str">
        <f t="shared" si="1673"/>
        <v>InitUnitNormal('INDU',,,,,,,,,,)</v>
      </c>
      <c r="CP124" s="10" t="str">
        <f t="shared" si="1674"/>
        <v>InitUnitMagic('INDU',,,,,,,,,,)</v>
      </c>
      <c r="CQ124" s="10" t="str">
        <f t="shared" si="1675"/>
        <v>InitUnitAdd('INDU',,,,,,,,,,)</v>
      </c>
      <c r="CR124" s="10" t="str">
        <f t="shared" si="1748"/>
        <v>InitEquipData('INDU',,"",,,,,'','','','','','',"ReplaceableTextures\\CommandButtons\\BTNIT02.blp")</v>
      </c>
      <c r="CU124" s="61" t="str">
        <f t="shared" ref="CU124:CU125" si="17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50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1">IF(V124="","","|n"&amp;DB$2&amp;"+"&amp;V124&amp;DB$1)</f>
        <v/>
      </c>
      <c r="DC124" s="40" t="str">
        <f t="shared" ref="DC124:DC125" si="1752">IF(W124="","","|n"&amp;DC$2&amp;"+"&amp;W124&amp;DC$1)</f>
        <v/>
      </c>
      <c r="DD124" s="40" t="str">
        <f t="shared" ref="DD124:DD125" si="1753">IF(X124="","","|n"&amp;DD$2&amp;"+"&amp;X124&amp;DD$1)</f>
        <v/>
      </c>
      <c r="DE124" s="40" t="str">
        <f t="shared" ref="DE124:DE125" si="1754">IF(Y124="","","|n"&amp;DE$2&amp;"+"&amp;Y124&amp;DE$1)</f>
        <v/>
      </c>
      <c r="DF124" s="40" t="str">
        <f t="shared" ref="DF124:DF125" si="1755">IF(Z124="","","|n"&amp;DF$2&amp;"+"&amp;Z124&amp;DF$1)</f>
        <v/>
      </c>
      <c r="DG124" s="40" t="str">
        <f t="shared" ref="DG124:DG125" si="1756">IF(AA124="","","|n"&amp;DG$2&amp;"+"&amp;AA124&amp;DG$1)</f>
        <v/>
      </c>
      <c r="DH124" s="40" t="str">
        <f t="shared" ref="DH124:DH125" si="1757">IF(AB124="","","|n"&amp;DH$2&amp;"+"&amp;AB124&amp;DH$1)</f>
        <v/>
      </c>
      <c r="DI124" s="40" t="str">
        <f t="shared" ref="DI124:DI125" si="1758">IF(AC124="","","|n"&amp;DI$2&amp;"+"&amp;AC124&amp;DI$1)</f>
        <v/>
      </c>
      <c r="DJ124" s="40" t="str">
        <f t="shared" ref="DJ124:DJ125" si="1759">IF(AD124="","","|n"&amp;DJ$2&amp;"+"&amp;AD124&amp;DJ$1)</f>
        <v/>
      </c>
      <c r="DK124" s="40" t="str">
        <f t="shared" ref="DK124:DK125" si="1760">IF(AE124="","","|n"&amp;DK$2&amp;"+"&amp;AE124&amp;DK$1)</f>
        <v/>
      </c>
      <c r="DL124" s="40" t="str">
        <f t="shared" ref="DL124:DL125" si="1761">IF(AF124="","","|n"&amp;DL$2&amp;"+"&amp;AF124&amp;DL$1)</f>
        <v/>
      </c>
      <c r="DM124" s="40" t="str">
        <f t="shared" ref="DM124:DM125" si="1762">IF(AG124="","","|n"&amp;DM$2&amp;"+"&amp;AG124&amp;DM$1)</f>
        <v/>
      </c>
      <c r="DN124" s="40" t="str">
        <f t="shared" ref="DN124:DN125" si="1763">IF(AH124="","","|n"&amp;DN$2&amp;"+"&amp;AH124&amp;DN$1)</f>
        <v/>
      </c>
      <c r="DO124" s="40" t="str">
        <f t="shared" ref="DO124:DO125" si="1764">IF(AI124="","","|n"&amp;DO$2&amp;"+"&amp;AI124&amp;DO$1)</f>
        <v/>
      </c>
      <c r="DP124" s="40" t="str">
        <f t="shared" ref="DP124:DP125" si="1765">IF(AJ124="","","|n"&amp;DP$2&amp;"+"&amp;AJ124&amp;DP$1)</f>
        <v/>
      </c>
      <c r="DQ124" s="40" t="str">
        <f t="shared" ref="DQ124:DQ125" si="1766">IF(AK124="","","|n"&amp;DQ$2&amp;"+"&amp;AK124&amp;DQ$1)</f>
        <v/>
      </c>
      <c r="DR124" s="40" t="str">
        <f t="shared" ref="DR124:DR125" si="1767">IF(AL124="","","|n"&amp;DR$2&amp;"+"&amp;AL124&amp;DR$1)</f>
        <v/>
      </c>
      <c r="DS124" s="40" t="str">
        <f t="shared" ref="DS124:DS125" si="1768">IF(AM124="","","|n"&amp;DS$2&amp;"+"&amp;AM124&amp;DS$1)</f>
        <v/>
      </c>
      <c r="DT124" s="40" t="str">
        <f t="shared" ref="DT124:DT125" si="1769">IF(AN124="","","|n"&amp;DT$2&amp;"+"&amp;AN124&amp;DT$1)</f>
        <v/>
      </c>
      <c r="DU124" s="40" t="str">
        <f t="shared" ref="DU124:DU125" si="1770">IF(AO124="","","|n"&amp;DU$2&amp;"+"&amp;AO124&amp;DU$1)</f>
        <v/>
      </c>
      <c r="DV124" s="40" t="str">
        <f t="shared" ref="DV124:DV125" si="1771">IF(AP124="","","|n"&amp;DV$2&amp;"+"&amp;AP124&amp;DV$1)</f>
        <v/>
      </c>
      <c r="DW124" s="40" t="str">
        <f t="shared" ref="DW124:DW125" si="1772">IF(AQ124="","","|n"&amp;DW$2&amp;"+"&amp;AQ124&amp;DW$1)</f>
        <v/>
      </c>
      <c r="DX124" s="40" t="str">
        <f t="shared" ref="DX124:DX125" si="1773">IF(AR124="","","|n"&amp;DX$2&amp;"+"&amp;AR124&amp;DX$1)</f>
        <v/>
      </c>
      <c r="DY124" s="40" t="str">
        <f t="shared" ref="DY124:DY125" si="1774">IF(AS124="","","|n"&amp;DY$2&amp;"+"&amp;AS124&amp;DY$1)</f>
        <v/>
      </c>
      <c r="DZ124" s="40" t="str">
        <f t="shared" ref="DZ124:DZ125" si="1775">IF(AT124="","","|n"&amp;DZ$2&amp;"+"&amp;AT124&amp;DZ$1)</f>
        <v/>
      </c>
      <c r="EA124" s="40" t="str">
        <f t="shared" ref="EA124:EA125" si="1776">IF(AU124="","","|n"&amp;EA$2&amp;"+"&amp;AU124&amp;EA$1)</f>
        <v/>
      </c>
      <c r="EB124" s="40" t="str">
        <f t="shared" ref="EB124:EB125" si="1777">IF(AV124="","","|n"&amp;EB$2&amp;"+"&amp;AV124&amp;EB$1)</f>
        <v/>
      </c>
      <c r="EC124" s="40" t="str">
        <f t="shared" ref="EC124:EC125" si="1778">IF(AW124="","","|n"&amp;EC$2&amp;"+"&amp;AW124&amp;EC$1)</f>
        <v/>
      </c>
      <c r="ED124" s="40" t="str">
        <f t="shared" ref="ED124:ED125" si="1779">IF(AX124="","","|n"&amp;ED$2&amp;"+"&amp;AX124&amp;ED$1)</f>
        <v/>
      </c>
      <c r="EE124" s="40" t="str">
        <f t="shared" ref="EE124:EE125" si="1780">IF(AY124="","","|n"&amp;EE$2&amp;"+"&amp;AY124&amp;EE$1)</f>
        <v/>
      </c>
      <c r="EF124" s="40" t="str">
        <f t="shared" ref="EF124:EF125" si="1781">IF(AZ124="","","|n"&amp;EF$2&amp;"+"&amp;AZ124&amp;EF$1)</f>
        <v/>
      </c>
      <c r="EG124" s="40" t="str">
        <f t="shared" ref="EG124:EG125" si="1782">IF(BA124="","","|n"&amp;EG$2&amp;"+"&amp;BA124&amp;EG$1)</f>
        <v/>
      </c>
      <c r="EH124" s="40" t="str">
        <f t="shared" ref="EH124:EH125" si="1783">IF(BB124="","","|n"&amp;EH$2&amp;"+"&amp;BB124&amp;EH$1)</f>
        <v/>
      </c>
      <c r="EI124" s="40" t="str">
        <f t="shared" ref="EI124:EI125" si="1784">IF(BC124="","","|n"&amp;EI$2&amp;"+"&amp;BC124&amp;EI$1)</f>
        <v/>
      </c>
      <c r="EJ124" s="40" t="str">
        <f t="shared" ref="EJ124:EJ125" si="1785">IF(BD124="","","|n"&amp;EJ$2&amp;"+"&amp;BD124&amp;EJ$1)</f>
        <v/>
      </c>
      <c r="EK124" s="40" t="str">
        <f t="shared" ref="EK124:EK125" si="1786">IF(BE124="","","|n"&amp;EK$2&amp;"+"&amp;BE124&amp;EK$1)</f>
        <v/>
      </c>
      <c r="EL124" s="40" t="str">
        <f t="shared" ref="EL124:EL125" si="1787">IF(BF124="","","|n"&amp;EL$2&amp;"+"&amp;BF124&amp;EL$1)</f>
        <v/>
      </c>
      <c r="EM124" s="40" t="str">
        <f t="shared" ref="EM124:EM125" si="1788">IF(BG124="","","|n"&amp;EM$2&amp;"+"&amp;BG124&amp;EM$1)</f>
        <v/>
      </c>
      <c r="EN124" s="40" t="str">
        <f t="shared" ref="EN124:EN125" si="1789">IF(BH124="","","|n"&amp;EN$2&amp;"+"&amp;BH124&amp;EN$1)</f>
        <v/>
      </c>
      <c r="EO124" s="40" t="str">
        <f t="shared" ref="EO124:EO125" si="1790">IF(BI124="","","|n"&amp;EO$2&amp;"+"&amp;BI124&amp;EO$1)</f>
        <v/>
      </c>
      <c r="EP124" s="40" t="str">
        <f t="shared" ref="EP124:EP125" si="1791">IF(BJ124="","","|n"&amp;EP$2&amp;"+"&amp;BJ124&amp;EP$1)</f>
        <v/>
      </c>
      <c r="EQ124" s="40" t="str">
        <f t="shared" ref="EQ124:EQ125" si="1792">IF(BK124="","","|n"&amp;EQ$2&amp;"+"&amp;BK124&amp;EQ$1)</f>
        <v/>
      </c>
      <c r="ER124" s="40" t="str">
        <f t="shared" ref="ER124:ER125" si="1793">IF(BL124="","","|n"&amp;ER$2&amp;"+"&amp;BL124&amp;ER$1)</f>
        <v/>
      </c>
      <c r="ES124" s="40" t="str">
        <f t="shared" ref="ES124:ES125" si="1794">IF(BM124="","","|n"&amp;ES$2&amp;"+"&amp;BM124&amp;ES$1)</f>
        <v/>
      </c>
      <c r="ET124" s="40" t="str">
        <f t="shared" ref="ET124:ET125" si="1795">IF(BN124="","","|n"&amp;ET$2&amp;"+"&amp;BN124&amp;ET$1)</f>
        <v/>
      </c>
      <c r="EU124" s="40" t="str">
        <f t="shared" ref="EU124:EU125" si="1796">IF(BO124="","","|n"&amp;EU$2&amp;"+"&amp;BO124&amp;EU$1)</f>
        <v/>
      </c>
      <c r="EV124" s="40" t="str">
        <f t="shared" ref="EV124:EV125" si="1797">IF(BP124="","","|n"&amp;EV$2&amp;"+"&amp;BP124&amp;EV$1)</f>
        <v/>
      </c>
      <c r="EW124" s="40" t="str">
        <f t="shared" ref="EW124:EW125" si="1798">IF(BQ124="","","|n"&amp;EW$2&amp;"+"&amp;BQ124&amp;EW$1)</f>
        <v/>
      </c>
      <c r="EX124" s="40" t="str">
        <f t="shared" ref="EX124:EX125" si="1799">IF(BR124="","","|n"&amp;EX$2&amp;"+"&amp;BR124&amp;EX$1)</f>
        <v/>
      </c>
      <c r="EY124" s="40" t="str">
        <f t="shared" ref="EY124:EY125" si="1800">IF(BS124="","","|n"&amp;EY$2&amp;"+"&amp;BS124&amp;EY$1)</f>
        <v/>
      </c>
      <c r="EZ124" s="40" t="str">
        <f t="shared" ref="EZ124:EZ125" si="1801">IF(BT124="","","|n"&amp;EZ$2&amp;"+"&amp;BT124&amp;EZ$1)</f>
        <v/>
      </c>
      <c r="FA124" s="40" t="str">
        <f t="shared" ref="FA124:FA125" si="1802">IF(BU124="","","|n"&amp;FA$2&amp;"+"&amp;BU124&amp;FA$1)</f>
        <v/>
      </c>
      <c r="FB124" s="40" t="str">
        <f t="shared" ref="FB124:FB125" si="1803">IF(BV124="","","|n"&amp;FB$2&amp;"+"&amp;BV124&amp;FB$1)</f>
        <v/>
      </c>
      <c r="FC124" s="40" t="str">
        <f t="shared" ref="FC124:FC125" si="1804">IF(BW124="","","|n"&amp;FC$2&amp;"+"&amp;BW124&amp;FC$1)</f>
        <v/>
      </c>
      <c r="FD124" s="40" t="str">
        <f t="shared" ref="FD124:FD125" si="1805">IF(BX124="","","|n"&amp;FD$2&amp;"+"&amp;BX124&amp;FD$1)</f>
        <v/>
      </c>
      <c r="FE124" s="40" t="str">
        <f t="shared" ref="FE124:FE125" si="1806">IF(BY124="","","|n"&amp;FE$2&amp;"+"&amp;BY124&amp;FE$1)</f>
        <v/>
      </c>
      <c r="FF124" s="40" t="str">
        <f t="shared" ref="FF124:FF125" si="1807">IF(BZ124="","","|n"&amp;FF$2&amp;"+"&amp;BZ124&amp;FF$1)</f>
        <v/>
      </c>
      <c r="FG124" s="40" t="str">
        <f t="shared" ref="FG124:FG125" si="1808">IF(CA124="","","|n"&amp;FG$2&amp;"+"&amp;CA124&amp;FG$1)</f>
        <v/>
      </c>
      <c r="FH124" s="40" t="str">
        <f t="shared" ref="FH124:FH125" si="1809">IF(CB124="","","|n"&amp;FH$2&amp;"+"&amp;CB124&amp;FH$1)</f>
        <v/>
      </c>
      <c r="FI124" s="40" t="str">
        <f t="shared" ref="FI124:FI125" si="1810">IF(CC124="","","|n"&amp;FI$2&amp;"+"&amp;CC124&amp;FI$1)</f>
        <v/>
      </c>
      <c r="FJ124" s="40" t="str">
        <f t="shared" ref="FJ124:FJ125" si="1811">IF(CD124="","","|n"&amp;FJ$2&amp;"+"&amp;CD124&amp;FJ$1)</f>
        <v/>
      </c>
      <c r="FK124" s="40" t="str">
        <f t="shared" ref="FK124:FK125" si="1812">IF(CE124="","","|n"&amp;FK$2&amp;"+"&amp;CE124&amp;FK$1)</f>
        <v/>
      </c>
      <c r="FL124" s="40" t="str">
        <f t="shared" ref="FL124:FL125" si="1813">IF(CF124="","","|n"&amp;FL$2&amp;"+"&amp;CF124&amp;FL$1)</f>
        <v/>
      </c>
      <c r="FM124" s="40" t="str">
        <f t="shared" ref="FM124:FM125" si="1814">IF(CG124="","","|n"&amp;FM$2&amp;"+"&amp;CG124&amp;FM$1)</f>
        <v/>
      </c>
      <c r="FN124" s="40" t="str">
        <f t="shared" ref="FN124:FN125" si="1815">IF(CH124="","","|n"&amp;FN$2&amp;"+"&amp;CH124&amp;FN$1)</f>
        <v/>
      </c>
      <c r="FO124" s="40" t="str">
        <f t="shared" ref="FO124:FO125" si="1816">IF(CI124="","","|n"&amp;FO$2&amp;"+"&amp;CI124&amp;FO$1)</f>
        <v/>
      </c>
      <c r="FP124" s="40" t="str">
        <f t="shared" ref="FP124:FP125" si="1817">IF(CJ124="","","|n"&amp;FP$2&amp;"+"&amp;CJ124&amp;FP$1)</f>
        <v/>
      </c>
      <c r="FQ124" s="40" t="str">
        <f t="shared" ref="FQ124:FQ125" si="1818">IF(CK124="","","|n"&amp;FQ$2&amp;"+"&amp;CK124&amp;FQ$1)</f>
        <v/>
      </c>
      <c r="FR124" s="40" t="str">
        <f t="shared" ref="FR124:FR125" si="1819">IF(CL124="","","|n"&amp;FR$2&amp;"+"&amp;CL124&amp;FR$1)</f>
        <v/>
      </c>
      <c r="FS124" s="40" t="str">
        <f t="shared" ref="FS124:FS125" si="1820">IF(CM124="","","|n"&amp;FS$2&amp;"+"&amp;CM124&amp;FS$1)</f>
        <v/>
      </c>
    </row>
    <row r="125" spans="1:175" ht="54">
      <c r="A125" s="2"/>
      <c r="B125" s="4" t="s">
        <v>346</v>
      </c>
      <c r="C125" s="67" t="s">
        <v>320</v>
      </c>
      <c r="T125" s="72" t="s">
        <v>321</v>
      </c>
      <c r="U125" s="51" t="s">
        <v>322</v>
      </c>
      <c r="CN125" s="10" t="str">
        <f t="shared" si="1672"/>
        <v>InitUnitState('INDV',,,,,,,,,,)</v>
      </c>
      <c r="CO125" s="10" t="str">
        <f t="shared" si="1673"/>
        <v>InitUnitNormal('INDV',,,,,,,,,,)</v>
      </c>
      <c r="CP125" s="10" t="str">
        <f t="shared" si="1674"/>
        <v>InitUnitMagic('INDV',,,,,,,,,,)</v>
      </c>
      <c r="CQ125" s="10" t="str">
        <f t="shared" si="1675"/>
        <v>InitUnitAdd('INDV',,,,,,,,,,)</v>
      </c>
      <c r="CR125" s="10" t="str">
        <f t="shared" si="1748"/>
        <v>InitEquipData('INDV',,"",,,,,'','','','','','',"ReplaceableTextures\\CommandButtons\\BTNIT03.blp")</v>
      </c>
      <c r="CU125" s="61" t="str">
        <f t="shared" si="1749"/>
        <v>|n</v>
      </c>
      <c r="CV125" s="3" t="str">
        <f t="shared" si="1750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1"/>
        <v/>
      </c>
      <c r="DC125" s="40" t="str">
        <f t="shared" si="1752"/>
        <v/>
      </c>
      <c r="DD125" s="40" t="str">
        <f t="shared" si="1753"/>
        <v/>
      </c>
      <c r="DE125" s="40" t="str">
        <f t="shared" si="1754"/>
        <v/>
      </c>
      <c r="DF125" s="40" t="str">
        <f t="shared" si="1755"/>
        <v/>
      </c>
      <c r="DG125" s="40" t="str">
        <f t="shared" si="1756"/>
        <v/>
      </c>
      <c r="DH125" s="40" t="str">
        <f t="shared" si="1757"/>
        <v/>
      </c>
      <c r="DI125" s="40" t="str">
        <f t="shared" si="1758"/>
        <v/>
      </c>
      <c r="DJ125" s="40" t="str">
        <f t="shared" si="1759"/>
        <v/>
      </c>
      <c r="DK125" s="40" t="str">
        <f t="shared" si="1760"/>
        <v/>
      </c>
      <c r="DL125" s="40" t="str">
        <f t="shared" si="1761"/>
        <v/>
      </c>
      <c r="DM125" s="40" t="str">
        <f t="shared" si="1762"/>
        <v/>
      </c>
      <c r="DN125" s="40" t="str">
        <f t="shared" si="1763"/>
        <v/>
      </c>
      <c r="DO125" s="40" t="str">
        <f t="shared" si="1764"/>
        <v/>
      </c>
      <c r="DP125" s="40" t="str">
        <f t="shared" si="1765"/>
        <v/>
      </c>
      <c r="DQ125" s="40" t="str">
        <f t="shared" si="1766"/>
        <v/>
      </c>
      <c r="DR125" s="40" t="str">
        <f t="shared" si="1767"/>
        <v/>
      </c>
      <c r="DS125" s="40" t="str">
        <f t="shared" si="1768"/>
        <v/>
      </c>
      <c r="DT125" s="40" t="str">
        <f t="shared" si="1769"/>
        <v/>
      </c>
      <c r="DU125" s="40" t="str">
        <f t="shared" si="1770"/>
        <v/>
      </c>
      <c r="DV125" s="40" t="str">
        <f t="shared" si="1771"/>
        <v/>
      </c>
      <c r="DW125" s="40" t="str">
        <f t="shared" si="1772"/>
        <v/>
      </c>
      <c r="DX125" s="40" t="str">
        <f t="shared" si="1773"/>
        <v/>
      </c>
      <c r="DY125" s="40" t="str">
        <f t="shared" si="1774"/>
        <v/>
      </c>
      <c r="DZ125" s="40" t="str">
        <f t="shared" si="1775"/>
        <v/>
      </c>
      <c r="EA125" s="40" t="str">
        <f t="shared" si="1776"/>
        <v/>
      </c>
      <c r="EB125" s="40" t="str">
        <f t="shared" si="1777"/>
        <v/>
      </c>
      <c r="EC125" s="40" t="str">
        <f t="shared" si="1778"/>
        <v/>
      </c>
      <c r="ED125" s="40" t="str">
        <f t="shared" si="1779"/>
        <v/>
      </c>
      <c r="EE125" s="40" t="str">
        <f t="shared" si="1780"/>
        <v/>
      </c>
      <c r="EF125" s="40" t="str">
        <f t="shared" si="1781"/>
        <v/>
      </c>
      <c r="EG125" s="40" t="str">
        <f t="shared" si="1782"/>
        <v/>
      </c>
      <c r="EH125" s="40" t="str">
        <f t="shared" si="1783"/>
        <v/>
      </c>
      <c r="EI125" s="40" t="str">
        <f t="shared" si="1784"/>
        <v/>
      </c>
      <c r="EJ125" s="40" t="str">
        <f t="shared" si="1785"/>
        <v/>
      </c>
      <c r="EK125" s="40" t="str">
        <f t="shared" si="1786"/>
        <v/>
      </c>
      <c r="EL125" s="40" t="str">
        <f t="shared" si="1787"/>
        <v/>
      </c>
      <c r="EM125" s="40" t="str">
        <f t="shared" si="1788"/>
        <v/>
      </c>
      <c r="EN125" s="40" t="str">
        <f t="shared" si="1789"/>
        <v/>
      </c>
      <c r="EO125" s="40" t="str">
        <f t="shared" si="1790"/>
        <v/>
      </c>
      <c r="EP125" s="40" t="str">
        <f t="shared" si="1791"/>
        <v/>
      </c>
      <c r="EQ125" s="40" t="str">
        <f t="shared" si="1792"/>
        <v/>
      </c>
      <c r="ER125" s="40" t="str">
        <f t="shared" si="1793"/>
        <v/>
      </c>
      <c r="ES125" s="40" t="str">
        <f t="shared" si="1794"/>
        <v/>
      </c>
      <c r="ET125" s="40" t="str">
        <f t="shared" si="1795"/>
        <v/>
      </c>
      <c r="EU125" s="40" t="str">
        <f t="shared" si="1796"/>
        <v/>
      </c>
      <c r="EV125" s="40" t="str">
        <f t="shared" si="1797"/>
        <v/>
      </c>
      <c r="EW125" s="40" t="str">
        <f t="shared" si="1798"/>
        <v/>
      </c>
      <c r="EX125" s="40" t="str">
        <f t="shared" si="1799"/>
        <v/>
      </c>
      <c r="EY125" s="40" t="str">
        <f t="shared" si="1800"/>
        <v/>
      </c>
      <c r="EZ125" s="40" t="str">
        <f t="shared" si="1801"/>
        <v/>
      </c>
      <c r="FA125" s="40" t="str">
        <f t="shared" si="1802"/>
        <v/>
      </c>
      <c r="FB125" s="40" t="str">
        <f t="shared" si="1803"/>
        <v/>
      </c>
      <c r="FC125" s="40" t="str">
        <f t="shared" si="1804"/>
        <v/>
      </c>
      <c r="FD125" s="40" t="str">
        <f t="shared" si="1805"/>
        <v/>
      </c>
      <c r="FE125" s="40" t="str">
        <f t="shared" si="1806"/>
        <v/>
      </c>
      <c r="FF125" s="40" t="str">
        <f t="shared" si="1807"/>
        <v/>
      </c>
      <c r="FG125" s="40" t="str">
        <f t="shared" si="1808"/>
        <v/>
      </c>
      <c r="FH125" s="40" t="str">
        <f t="shared" si="1809"/>
        <v/>
      </c>
      <c r="FI125" s="40" t="str">
        <f t="shared" si="1810"/>
        <v/>
      </c>
      <c r="FJ125" s="40" t="str">
        <f t="shared" si="1811"/>
        <v/>
      </c>
      <c r="FK125" s="40" t="str">
        <f t="shared" si="1812"/>
        <v/>
      </c>
      <c r="FL125" s="40" t="str">
        <f t="shared" si="1813"/>
        <v/>
      </c>
      <c r="FM125" s="40" t="str">
        <f t="shared" si="1814"/>
        <v/>
      </c>
      <c r="FN125" s="40" t="str">
        <f t="shared" si="1815"/>
        <v/>
      </c>
      <c r="FO125" s="40" t="str">
        <f t="shared" si="1816"/>
        <v/>
      </c>
      <c r="FP125" s="40" t="str">
        <f t="shared" si="1817"/>
        <v/>
      </c>
      <c r="FQ125" s="40" t="str">
        <f t="shared" si="1818"/>
        <v/>
      </c>
      <c r="FR125" s="40" t="str">
        <f t="shared" si="1819"/>
        <v/>
      </c>
      <c r="FS125" s="40" t="str">
        <f t="shared" si="1820"/>
        <v/>
      </c>
    </row>
    <row r="126" spans="1:175" ht="54">
      <c r="A126" s="2"/>
      <c r="B126" s="4" t="s">
        <v>347</v>
      </c>
      <c r="C126" s="67" t="s">
        <v>320</v>
      </c>
      <c r="T126" s="72" t="s">
        <v>321</v>
      </c>
      <c r="U126" s="51" t="s">
        <v>322</v>
      </c>
      <c r="CN126" s="10" t="str">
        <f t="shared" si="1672"/>
        <v>InitUnitState('INDW',,,,,,,,,,)</v>
      </c>
      <c r="CO126" s="10" t="str">
        <f t="shared" si="1673"/>
        <v>InitUnitNormal('INDW',,,,,,,,,,)</v>
      </c>
      <c r="CP126" s="10" t="str">
        <f t="shared" si="1674"/>
        <v>InitUnitMagic('INDW',,,,,,,,,,)</v>
      </c>
      <c r="CQ126" s="10" t="str">
        <f t="shared" si="1675"/>
        <v>InitUnitAdd('INDW',,,,,,,,,,)</v>
      </c>
      <c r="CR126" s="10" t="str">
        <f t="shared" si="1748"/>
        <v>InitEquipData('INDW',,"",,,,,'','','','','','',"ReplaceableTextures\\CommandButtons\\BTNIT04.blp")</v>
      </c>
      <c r="CU126" s="61" t="str">
        <f t="shared" si="1527"/>
        <v>|n</v>
      </c>
      <c r="CV126" s="3" t="str">
        <f t="shared" si="1528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9"/>
        <v/>
      </c>
      <c r="DC126" s="40" t="str">
        <f t="shared" si="1530"/>
        <v/>
      </c>
      <c r="DD126" s="40" t="str">
        <f t="shared" si="1531"/>
        <v/>
      </c>
      <c r="DE126" s="40" t="str">
        <f t="shared" si="1532"/>
        <v/>
      </c>
      <c r="DF126" s="40" t="str">
        <f t="shared" si="1533"/>
        <v/>
      </c>
      <c r="DG126" s="40" t="str">
        <f t="shared" si="1534"/>
        <v/>
      </c>
      <c r="DH126" s="40" t="str">
        <f t="shared" si="1535"/>
        <v/>
      </c>
      <c r="DI126" s="40" t="str">
        <f t="shared" si="1536"/>
        <v/>
      </c>
      <c r="DJ126" s="40" t="str">
        <f t="shared" si="1537"/>
        <v/>
      </c>
      <c r="DK126" s="40" t="str">
        <f t="shared" si="1538"/>
        <v/>
      </c>
      <c r="DL126" s="40" t="str">
        <f t="shared" si="1539"/>
        <v/>
      </c>
      <c r="DM126" s="40" t="str">
        <f t="shared" si="1540"/>
        <v/>
      </c>
      <c r="DN126" s="40" t="str">
        <f t="shared" si="1541"/>
        <v/>
      </c>
      <c r="DO126" s="40" t="str">
        <f t="shared" si="1542"/>
        <v/>
      </c>
      <c r="DP126" s="40" t="str">
        <f t="shared" si="1543"/>
        <v/>
      </c>
      <c r="DQ126" s="40" t="str">
        <f t="shared" si="1544"/>
        <v/>
      </c>
      <c r="DR126" s="40" t="str">
        <f t="shared" si="1545"/>
        <v/>
      </c>
      <c r="DS126" s="40" t="str">
        <f t="shared" si="1546"/>
        <v/>
      </c>
      <c r="DT126" s="40" t="str">
        <f t="shared" si="1547"/>
        <v/>
      </c>
      <c r="DU126" s="40" t="str">
        <f t="shared" si="1548"/>
        <v/>
      </c>
      <c r="DV126" s="40" t="str">
        <f t="shared" si="1549"/>
        <v/>
      </c>
      <c r="DW126" s="40" t="str">
        <f t="shared" si="1550"/>
        <v/>
      </c>
      <c r="DX126" s="40" t="str">
        <f t="shared" si="1551"/>
        <v/>
      </c>
      <c r="DY126" s="40" t="str">
        <f t="shared" si="1552"/>
        <v/>
      </c>
      <c r="DZ126" s="40" t="str">
        <f t="shared" si="1553"/>
        <v/>
      </c>
      <c r="EA126" s="40" t="str">
        <f t="shared" si="1554"/>
        <v/>
      </c>
      <c r="EB126" s="40" t="str">
        <f t="shared" si="1555"/>
        <v/>
      </c>
      <c r="EC126" s="40" t="str">
        <f t="shared" si="1556"/>
        <v/>
      </c>
      <c r="ED126" s="40" t="str">
        <f t="shared" si="1557"/>
        <v/>
      </c>
      <c r="EE126" s="40" t="str">
        <f t="shared" si="1558"/>
        <v/>
      </c>
      <c r="EF126" s="40" t="str">
        <f t="shared" si="1559"/>
        <v/>
      </c>
      <c r="EG126" s="40" t="str">
        <f t="shared" si="1560"/>
        <v/>
      </c>
      <c r="EH126" s="40" t="str">
        <f t="shared" si="1561"/>
        <v/>
      </c>
      <c r="EI126" s="40" t="str">
        <f t="shared" si="1562"/>
        <v/>
      </c>
      <c r="EJ126" s="40" t="str">
        <f t="shared" si="1563"/>
        <v/>
      </c>
      <c r="EK126" s="40" t="str">
        <f t="shared" si="1564"/>
        <v/>
      </c>
      <c r="EL126" s="40" t="str">
        <f t="shared" si="1565"/>
        <v/>
      </c>
      <c r="EM126" s="40" t="str">
        <f t="shared" si="1566"/>
        <v/>
      </c>
      <c r="EN126" s="40" t="str">
        <f t="shared" si="1567"/>
        <v/>
      </c>
      <c r="EO126" s="40" t="str">
        <f t="shared" si="1568"/>
        <v/>
      </c>
      <c r="EP126" s="40" t="str">
        <f t="shared" si="1569"/>
        <v/>
      </c>
      <c r="EQ126" s="40" t="str">
        <f t="shared" si="1570"/>
        <v/>
      </c>
      <c r="ER126" s="40" t="str">
        <f t="shared" si="1571"/>
        <v/>
      </c>
      <c r="ES126" s="40" t="str">
        <f t="shared" si="1572"/>
        <v/>
      </c>
      <c r="ET126" s="40" t="str">
        <f t="shared" si="1573"/>
        <v/>
      </c>
      <c r="EU126" s="40" t="str">
        <f t="shared" si="1574"/>
        <v/>
      </c>
      <c r="EV126" s="40" t="str">
        <f t="shared" si="1575"/>
        <v/>
      </c>
      <c r="EW126" s="40" t="str">
        <f t="shared" si="1576"/>
        <v/>
      </c>
      <c r="EX126" s="40" t="str">
        <f t="shared" si="1577"/>
        <v/>
      </c>
      <c r="EY126" s="40" t="str">
        <f t="shared" si="1578"/>
        <v/>
      </c>
      <c r="EZ126" s="40" t="str">
        <f t="shared" si="1579"/>
        <v/>
      </c>
      <c r="FA126" s="40" t="str">
        <f t="shared" si="1580"/>
        <v/>
      </c>
      <c r="FB126" s="40" t="str">
        <f t="shared" si="1581"/>
        <v/>
      </c>
      <c r="FC126" s="40" t="str">
        <f t="shared" si="1582"/>
        <v/>
      </c>
      <c r="FD126" s="40" t="str">
        <f t="shared" si="1583"/>
        <v/>
      </c>
      <c r="FE126" s="40" t="str">
        <f t="shared" si="1584"/>
        <v/>
      </c>
      <c r="FF126" s="40" t="str">
        <f t="shared" si="1585"/>
        <v/>
      </c>
      <c r="FG126" s="40" t="str">
        <f t="shared" si="1586"/>
        <v/>
      </c>
      <c r="FH126" s="40" t="str">
        <f t="shared" si="1587"/>
        <v/>
      </c>
      <c r="FI126" s="40" t="str">
        <f t="shared" si="1588"/>
        <v/>
      </c>
      <c r="FJ126" s="40" t="str">
        <f t="shared" si="1589"/>
        <v/>
      </c>
      <c r="FK126" s="40" t="str">
        <f t="shared" si="1590"/>
        <v/>
      </c>
      <c r="FL126" s="40" t="str">
        <f t="shared" si="1591"/>
        <v/>
      </c>
      <c r="FM126" s="40" t="str">
        <f t="shared" si="1592"/>
        <v/>
      </c>
      <c r="FN126" s="40" t="str">
        <f t="shared" si="1593"/>
        <v/>
      </c>
      <c r="FO126" s="40" t="str">
        <f t="shared" si="1594"/>
        <v/>
      </c>
      <c r="FP126" s="40" t="str">
        <f t="shared" si="1595"/>
        <v/>
      </c>
      <c r="FQ126" s="40" t="str">
        <f t="shared" si="1596"/>
        <v/>
      </c>
      <c r="FR126" s="40" t="str">
        <f t="shared" si="1597"/>
        <v/>
      </c>
      <c r="FS126" s="40" t="str">
        <f t="shared" si="1598"/>
        <v/>
      </c>
    </row>
    <row r="127" spans="1:175" ht="16.5">
      <c r="A127" s="2"/>
      <c r="B127" s="4" t="s">
        <v>348</v>
      </c>
      <c r="C127" s="67" t="s">
        <v>328</v>
      </c>
      <c r="T127" s="72" t="s">
        <v>329</v>
      </c>
      <c r="U127" s="51" t="s">
        <v>330</v>
      </c>
      <c r="CN127" s="10" t="str">
        <f t="shared" si="1672"/>
        <v>InitUnitState('INDX',,,,,,,,,,)</v>
      </c>
      <c r="CO127" s="10" t="str">
        <f t="shared" si="1673"/>
        <v>InitUnitNormal('INDX',,,,,,,,,,)</v>
      </c>
      <c r="CP127" s="10" t="str">
        <f t="shared" si="1674"/>
        <v>InitUnitMagic('INDX',,,,,,,,,,)</v>
      </c>
      <c r="CQ127" s="10" t="str">
        <f t="shared" si="1675"/>
        <v>InitUnitAdd('INDX',,,,,,,,,,)</v>
      </c>
      <c r="CR127" s="10" t="str">
        <f t="shared" si="1748"/>
        <v>InitEquipData('INDX',,"",,,,,'','','','','','',"ReplaceableTextures\\CommandButtons\\BTNIT05.blp")</v>
      </c>
      <c r="CU127" s="61" t="str">
        <f t="shared" ref="CU127" si="1821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2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3">IF(V127="","","|n"&amp;DB$2&amp;"+"&amp;V127&amp;DB$1)</f>
        <v/>
      </c>
      <c r="DC127" s="40" t="str">
        <f t="shared" ref="DC127" si="1824">IF(W127="","","|n"&amp;DC$2&amp;"+"&amp;W127&amp;DC$1)</f>
        <v/>
      </c>
      <c r="DD127" s="40" t="str">
        <f t="shared" ref="DD127" si="1825">IF(X127="","","|n"&amp;DD$2&amp;"+"&amp;X127&amp;DD$1)</f>
        <v/>
      </c>
      <c r="DE127" s="40" t="str">
        <f t="shared" ref="DE127" si="1826">IF(Y127="","","|n"&amp;DE$2&amp;"+"&amp;Y127&amp;DE$1)</f>
        <v/>
      </c>
      <c r="DF127" s="40" t="str">
        <f t="shared" ref="DF127" si="1827">IF(Z127="","","|n"&amp;DF$2&amp;"+"&amp;Z127&amp;DF$1)</f>
        <v/>
      </c>
      <c r="DG127" s="40" t="str">
        <f t="shared" ref="DG127" si="1828">IF(AA127="","","|n"&amp;DG$2&amp;"+"&amp;AA127&amp;DG$1)</f>
        <v/>
      </c>
      <c r="DH127" s="40" t="str">
        <f t="shared" ref="DH127" si="1829">IF(AB127="","","|n"&amp;DH$2&amp;"+"&amp;AB127&amp;DH$1)</f>
        <v/>
      </c>
      <c r="DI127" s="40" t="str">
        <f t="shared" ref="DI127" si="1830">IF(AC127="","","|n"&amp;DI$2&amp;"+"&amp;AC127&amp;DI$1)</f>
        <v/>
      </c>
      <c r="DJ127" s="40" t="str">
        <f t="shared" ref="DJ127" si="1831">IF(AD127="","","|n"&amp;DJ$2&amp;"+"&amp;AD127&amp;DJ$1)</f>
        <v/>
      </c>
      <c r="DK127" s="40" t="str">
        <f t="shared" ref="DK127" si="1832">IF(AE127="","","|n"&amp;DK$2&amp;"+"&amp;AE127&amp;DK$1)</f>
        <v/>
      </c>
      <c r="DL127" s="40" t="str">
        <f t="shared" ref="DL127" si="1833">IF(AF127="","","|n"&amp;DL$2&amp;"+"&amp;AF127&amp;DL$1)</f>
        <v/>
      </c>
      <c r="DM127" s="40" t="str">
        <f t="shared" ref="DM127" si="1834">IF(AG127="","","|n"&amp;DM$2&amp;"+"&amp;AG127&amp;DM$1)</f>
        <v/>
      </c>
      <c r="DN127" s="40" t="str">
        <f t="shared" ref="DN127" si="1835">IF(AH127="","","|n"&amp;DN$2&amp;"+"&amp;AH127&amp;DN$1)</f>
        <v/>
      </c>
      <c r="DO127" s="40" t="str">
        <f t="shared" ref="DO127" si="1836">IF(AI127="","","|n"&amp;DO$2&amp;"+"&amp;AI127&amp;DO$1)</f>
        <v/>
      </c>
      <c r="DP127" s="40" t="str">
        <f t="shared" ref="DP127" si="1837">IF(AJ127="","","|n"&amp;DP$2&amp;"+"&amp;AJ127&amp;DP$1)</f>
        <v/>
      </c>
      <c r="DQ127" s="40" t="str">
        <f t="shared" ref="DQ127" si="1838">IF(AK127="","","|n"&amp;DQ$2&amp;"+"&amp;AK127&amp;DQ$1)</f>
        <v/>
      </c>
      <c r="DR127" s="40" t="str">
        <f t="shared" ref="DR127" si="1839">IF(AL127="","","|n"&amp;DR$2&amp;"+"&amp;AL127&amp;DR$1)</f>
        <v/>
      </c>
      <c r="DS127" s="40" t="str">
        <f t="shared" ref="DS127" si="1840">IF(AM127="","","|n"&amp;DS$2&amp;"+"&amp;AM127&amp;DS$1)</f>
        <v/>
      </c>
      <c r="DT127" s="40" t="str">
        <f t="shared" ref="DT127" si="1841">IF(AN127="","","|n"&amp;DT$2&amp;"+"&amp;AN127&amp;DT$1)</f>
        <v/>
      </c>
      <c r="DU127" s="40" t="str">
        <f t="shared" ref="DU127" si="1842">IF(AO127="","","|n"&amp;DU$2&amp;"+"&amp;AO127&amp;DU$1)</f>
        <v/>
      </c>
      <c r="DV127" s="40" t="str">
        <f t="shared" ref="DV127" si="1843">IF(AP127="","","|n"&amp;DV$2&amp;"+"&amp;AP127&amp;DV$1)</f>
        <v/>
      </c>
      <c r="DW127" s="40" t="str">
        <f t="shared" ref="DW127" si="1844">IF(AQ127="","","|n"&amp;DW$2&amp;"+"&amp;AQ127&amp;DW$1)</f>
        <v/>
      </c>
      <c r="DX127" s="40" t="str">
        <f t="shared" ref="DX127" si="1845">IF(AR127="","","|n"&amp;DX$2&amp;"+"&amp;AR127&amp;DX$1)</f>
        <v/>
      </c>
      <c r="DY127" s="40" t="str">
        <f t="shared" ref="DY127" si="1846">IF(AS127="","","|n"&amp;DY$2&amp;"+"&amp;AS127&amp;DY$1)</f>
        <v/>
      </c>
      <c r="DZ127" s="40" t="str">
        <f t="shared" ref="DZ127" si="1847">IF(AT127="","","|n"&amp;DZ$2&amp;"+"&amp;AT127&amp;DZ$1)</f>
        <v/>
      </c>
      <c r="EA127" s="40" t="str">
        <f t="shared" ref="EA127" si="1848">IF(AU127="","","|n"&amp;EA$2&amp;"+"&amp;AU127&amp;EA$1)</f>
        <v/>
      </c>
      <c r="EB127" s="40" t="str">
        <f t="shared" ref="EB127" si="1849">IF(AV127="","","|n"&amp;EB$2&amp;"+"&amp;AV127&amp;EB$1)</f>
        <v/>
      </c>
      <c r="EC127" s="40" t="str">
        <f t="shared" ref="EC127" si="1850">IF(AW127="","","|n"&amp;EC$2&amp;"+"&amp;AW127&amp;EC$1)</f>
        <v/>
      </c>
      <c r="ED127" s="40" t="str">
        <f t="shared" ref="ED127" si="1851">IF(AX127="","","|n"&amp;ED$2&amp;"+"&amp;AX127&amp;ED$1)</f>
        <v/>
      </c>
      <c r="EE127" s="40" t="str">
        <f t="shared" ref="EE127" si="1852">IF(AY127="","","|n"&amp;EE$2&amp;"+"&amp;AY127&amp;EE$1)</f>
        <v/>
      </c>
      <c r="EF127" s="40" t="str">
        <f t="shared" ref="EF127" si="1853">IF(AZ127="","","|n"&amp;EF$2&amp;"+"&amp;AZ127&amp;EF$1)</f>
        <v/>
      </c>
      <c r="EG127" s="40" t="str">
        <f t="shared" ref="EG127" si="1854">IF(BA127="","","|n"&amp;EG$2&amp;"+"&amp;BA127&amp;EG$1)</f>
        <v/>
      </c>
      <c r="EH127" s="40" t="str">
        <f t="shared" ref="EH127" si="1855">IF(BB127="","","|n"&amp;EH$2&amp;"+"&amp;BB127&amp;EH$1)</f>
        <v/>
      </c>
      <c r="EI127" s="40" t="str">
        <f t="shared" ref="EI127" si="1856">IF(BC127="","","|n"&amp;EI$2&amp;"+"&amp;BC127&amp;EI$1)</f>
        <v/>
      </c>
      <c r="EJ127" s="40" t="str">
        <f t="shared" ref="EJ127" si="1857">IF(BD127="","","|n"&amp;EJ$2&amp;"+"&amp;BD127&amp;EJ$1)</f>
        <v/>
      </c>
      <c r="EK127" s="40" t="str">
        <f t="shared" ref="EK127" si="1858">IF(BE127="","","|n"&amp;EK$2&amp;"+"&amp;BE127&amp;EK$1)</f>
        <v/>
      </c>
      <c r="EL127" s="40" t="str">
        <f t="shared" ref="EL127" si="1859">IF(BF127="","","|n"&amp;EL$2&amp;"+"&amp;BF127&amp;EL$1)</f>
        <v/>
      </c>
      <c r="EM127" s="40" t="str">
        <f t="shared" ref="EM127" si="1860">IF(BG127="","","|n"&amp;EM$2&amp;"+"&amp;BG127&amp;EM$1)</f>
        <v/>
      </c>
      <c r="EN127" s="40" t="str">
        <f t="shared" ref="EN127" si="1861">IF(BH127="","","|n"&amp;EN$2&amp;"+"&amp;BH127&amp;EN$1)</f>
        <v/>
      </c>
      <c r="EO127" s="40" t="str">
        <f t="shared" ref="EO127" si="1862">IF(BI127="","","|n"&amp;EO$2&amp;"+"&amp;BI127&amp;EO$1)</f>
        <v/>
      </c>
      <c r="EP127" s="40" t="str">
        <f t="shared" ref="EP127" si="1863">IF(BJ127="","","|n"&amp;EP$2&amp;"+"&amp;BJ127&amp;EP$1)</f>
        <v/>
      </c>
      <c r="EQ127" s="40" t="str">
        <f t="shared" ref="EQ127" si="1864">IF(BK127="","","|n"&amp;EQ$2&amp;"+"&amp;BK127&amp;EQ$1)</f>
        <v/>
      </c>
      <c r="ER127" s="40" t="str">
        <f t="shared" ref="ER127" si="1865">IF(BL127="","","|n"&amp;ER$2&amp;"+"&amp;BL127&amp;ER$1)</f>
        <v/>
      </c>
      <c r="ES127" s="40" t="str">
        <f t="shared" ref="ES127" si="1866">IF(BM127="","","|n"&amp;ES$2&amp;"+"&amp;BM127&amp;ES$1)</f>
        <v/>
      </c>
      <c r="ET127" s="40" t="str">
        <f t="shared" ref="ET127" si="1867">IF(BN127="","","|n"&amp;ET$2&amp;"+"&amp;BN127&amp;ET$1)</f>
        <v/>
      </c>
      <c r="EU127" s="40" t="str">
        <f t="shared" ref="EU127" si="1868">IF(BO127="","","|n"&amp;EU$2&amp;"+"&amp;BO127&amp;EU$1)</f>
        <v/>
      </c>
      <c r="EV127" s="40" t="str">
        <f t="shared" ref="EV127" si="1869">IF(BP127="","","|n"&amp;EV$2&amp;"+"&amp;BP127&amp;EV$1)</f>
        <v/>
      </c>
      <c r="EW127" s="40" t="str">
        <f t="shared" ref="EW127" si="1870">IF(BQ127="","","|n"&amp;EW$2&amp;"+"&amp;BQ127&amp;EW$1)</f>
        <v/>
      </c>
      <c r="EX127" s="40" t="str">
        <f t="shared" ref="EX127" si="1871">IF(BR127="","","|n"&amp;EX$2&amp;"+"&amp;BR127&amp;EX$1)</f>
        <v/>
      </c>
      <c r="EY127" s="40" t="str">
        <f t="shared" ref="EY127" si="1872">IF(BS127="","","|n"&amp;EY$2&amp;"+"&amp;BS127&amp;EY$1)</f>
        <v/>
      </c>
      <c r="EZ127" s="40" t="str">
        <f t="shared" ref="EZ127" si="1873">IF(BT127="","","|n"&amp;EZ$2&amp;"+"&amp;BT127&amp;EZ$1)</f>
        <v/>
      </c>
      <c r="FA127" s="40" t="str">
        <f t="shared" ref="FA127" si="1874">IF(BU127="","","|n"&amp;FA$2&amp;"+"&amp;BU127&amp;FA$1)</f>
        <v/>
      </c>
      <c r="FB127" s="40" t="str">
        <f t="shared" ref="FB127" si="1875">IF(BV127="","","|n"&amp;FB$2&amp;"+"&amp;BV127&amp;FB$1)</f>
        <v/>
      </c>
      <c r="FC127" s="40" t="str">
        <f t="shared" ref="FC127" si="1876">IF(BW127="","","|n"&amp;FC$2&amp;"+"&amp;BW127&amp;FC$1)</f>
        <v/>
      </c>
      <c r="FD127" s="40" t="str">
        <f t="shared" ref="FD127" si="1877">IF(BX127="","","|n"&amp;FD$2&amp;"+"&amp;BX127&amp;FD$1)</f>
        <v/>
      </c>
      <c r="FE127" s="40" t="str">
        <f t="shared" ref="FE127" si="1878">IF(BY127="","","|n"&amp;FE$2&amp;"+"&amp;BY127&amp;FE$1)</f>
        <v/>
      </c>
      <c r="FF127" s="40" t="str">
        <f t="shared" ref="FF127" si="1879">IF(BZ127="","","|n"&amp;FF$2&amp;"+"&amp;BZ127&amp;FF$1)</f>
        <v/>
      </c>
      <c r="FG127" s="40" t="str">
        <f t="shared" ref="FG127" si="1880">IF(CA127="","","|n"&amp;FG$2&amp;"+"&amp;CA127&amp;FG$1)</f>
        <v/>
      </c>
      <c r="FH127" s="40" t="str">
        <f t="shared" ref="FH127" si="1881">IF(CB127="","","|n"&amp;FH$2&amp;"+"&amp;CB127&amp;FH$1)</f>
        <v/>
      </c>
      <c r="FI127" s="40" t="str">
        <f t="shared" ref="FI127" si="1882">IF(CC127="","","|n"&amp;FI$2&amp;"+"&amp;CC127&amp;FI$1)</f>
        <v/>
      </c>
      <c r="FJ127" s="40" t="str">
        <f t="shared" ref="FJ127" si="1883">IF(CD127="","","|n"&amp;FJ$2&amp;"+"&amp;CD127&amp;FJ$1)</f>
        <v/>
      </c>
      <c r="FK127" s="40" t="str">
        <f t="shared" ref="FK127" si="1884">IF(CE127="","","|n"&amp;FK$2&amp;"+"&amp;CE127&amp;FK$1)</f>
        <v/>
      </c>
      <c r="FL127" s="40" t="str">
        <f t="shared" ref="FL127" si="1885">IF(CF127="","","|n"&amp;FL$2&amp;"+"&amp;CF127&amp;FL$1)</f>
        <v/>
      </c>
      <c r="FM127" s="40" t="str">
        <f t="shared" ref="FM127" si="1886">IF(CG127="","","|n"&amp;FM$2&amp;"+"&amp;CG127&amp;FM$1)</f>
        <v/>
      </c>
      <c r="FN127" s="40" t="str">
        <f t="shared" ref="FN127" si="1887">IF(CH127="","","|n"&amp;FN$2&amp;"+"&amp;CH127&amp;FN$1)</f>
        <v/>
      </c>
      <c r="FO127" s="40" t="str">
        <f t="shared" ref="FO127" si="1888">IF(CI127="","","|n"&amp;FO$2&amp;"+"&amp;CI127&amp;FO$1)</f>
        <v/>
      </c>
      <c r="FP127" s="40" t="str">
        <f t="shared" ref="FP127" si="1889">IF(CJ127="","","|n"&amp;FP$2&amp;"+"&amp;CJ127&amp;FP$1)</f>
        <v/>
      </c>
      <c r="FQ127" s="40" t="str">
        <f t="shared" ref="FQ127" si="1890">IF(CK127="","","|n"&amp;FQ$2&amp;"+"&amp;CK127&amp;FQ$1)</f>
        <v/>
      </c>
      <c r="FR127" s="40" t="str">
        <f t="shared" ref="FR127" si="1891">IF(CL127="","","|n"&amp;FR$2&amp;"+"&amp;CL127&amp;FR$1)</f>
        <v/>
      </c>
      <c r="FS127" s="40" t="str">
        <f t="shared" ref="FS127" si="1892">IF(CM127="","","|n"&amp;FS$2&amp;"+"&amp;CM127&amp;FS$1)</f>
        <v/>
      </c>
    </row>
    <row r="128" spans="1:175" ht="16.5">
      <c r="A128" s="2"/>
      <c r="B128" s="2" t="s">
        <v>349</v>
      </c>
      <c r="C128" s="2" t="s">
        <v>350</v>
      </c>
      <c r="T128" s="72" t="s">
        <v>351</v>
      </c>
      <c r="U128" s="51" t="str">
        <f t="shared" si="939"/>
        <v>ReplaceableTextures\\CommandButtons\\BTNIN00.blp</v>
      </c>
      <c r="CN128" s="10" t="str">
        <f t="shared" si="1672"/>
        <v>InitUnitState('IN00',,,,,,,,,,)</v>
      </c>
      <c r="CO128" s="10" t="str">
        <f t="shared" si="1673"/>
        <v>InitUnitNormal('IN00',,,,,,,,,,)</v>
      </c>
      <c r="CP128" s="10" t="str">
        <f t="shared" si="1674"/>
        <v>InitUnitMagic('IN00',,,,,,,,,,)</v>
      </c>
      <c r="CQ128" s="10" t="str">
        <f t="shared" si="1675"/>
        <v>InitUnitAdd('IN00',,,,,,,,,,)</v>
      </c>
      <c r="CR128" s="10" t="str">
        <f t="shared" si="1748"/>
        <v>InitEquipData('IN00',,"",,,,,'','','','','','',"ReplaceableTextures\\CommandButtons\\BTNIT06.blp")</v>
      </c>
      <c r="CU128" s="61" t="str">
        <f t="shared" si="1527"/>
        <v>|n</v>
      </c>
      <c r="CV128" s="3" t="str">
        <f t="shared" si="1528"/>
        <v>开出一个随机锦囊</v>
      </c>
      <c r="CW128" s="4"/>
      <c r="CX128" s="4"/>
      <c r="CY128" s="4"/>
      <c r="CZ128" s="4"/>
      <c r="DA128" s="4"/>
      <c r="DB128" s="40" t="str">
        <f t="shared" si="1529"/>
        <v/>
      </c>
      <c r="DC128" s="40" t="str">
        <f t="shared" si="1530"/>
        <v/>
      </c>
      <c r="DD128" s="40" t="str">
        <f t="shared" si="1531"/>
        <v/>
      </c>
      <c r="DE128" s="40" t="str">
        <f t="shared" si="1532"/>
        <v/>
      </c>
      <c r="DF128" s="40" t="str">
        <f t="shared" si="1533"/>
        <v/>
      </c>
      <c r="DG128" s="40" t="str">
        <f t="shared" si="1534"/>
        <v/>
      </c>
      <c r="DH128" s="40" t="str">
        <f t="shared" si="1535"/>
        <v/>
      </c>
      <c r="DI128" s="40" t="str">
        <f t="shared" si="1536"/>
        <v/>
      </c>
      <c r="DJ128" s="40" t="str">
        <f t="shared" si="1537"/>
        <v/>
      </c>
      <c r="DK128" s="40" t="str">
        <f t="shared" si="1538"/>
        <v/>
      </c>
      <c r="DL128" s="40" t="str">
        <f t="shared" si="1539"/>
        <v/>
      </c>
      <c r="DM128" s="40" t="str">
        <f t="shared" si="1540"/>
        <v/>
      </c>
      <c r="DN128" s="40" t="str">
        <f t="shared" si="1541"/>
        <v/>
      </c>
      <c r="DO128" s="40" t="str">
        <f t="shared" si="1542"/>
        <v/>
      </c>
      <c r="DP128" s="40" t="str">
        <f t="shared" si="1543"/>
        <v/>
      </c>
      <c r="DQ128" s="40" t="str">
        <f t="shared" si="1544"/>
        <v/>
      </c>
      <c r="DR128" s="40" t="str">
        <f t="shared" si="1545"/>
        <v/>
      </c>
      <c r="DS128" s="40" t="str">
        <f t="shared" si="1546"/>
        <v/>
      </c>
      <c r="DT128" s="40" t="str">
        <f t="shared" si="1547"/>
        <v/>
      </c>
      <c r="DU128" s="40" t="str">
        <f t="shared" si="1548"/>
        <v/>
      </c>
      <c r="DV128" s="40" t="str">
        <f t="shared" si="1549"/>
        <v/>
      </c>
      <c r="DW128" s="40" t="str">
        <f t="shared" si="1550"/>
        <v/>
      </c>
      <c r="DX128" s="40" t="str">
        <f t="shared" si="1551"/>
        <v/>
      </c>
      <c r="DY128" s="40" t="str">
        <f t="shared" si="1552"/>
        <v/>
      </c>
      <c r="DZ128" s="40" t="str">
        <f t="shared" si="1553"/>
        <v/>
      </c>
      <c r="EA128" s="40" t="str">
        <f t="shared" si="1554"/>
        <v/>
      </c>
      <c r="EB128" s="40" t="str">
        <f t="shared" si="1555"/>
        <v/>
      </c>
      <c r="EC128" s="40" t="str">
        <f t="shared" si="1556"/>
        <v/>
      </c>
      <c r="ED128" s="40" t="str">
        <f t="shared" si="1557"/>
        <v/>
      </c>
      <c r="EE128" s="40" t="str">
        <f t="shared" si="1558"/>
        <v/>
      </c>
      <c r="EF128" s="40" t="str">
        <f t="shared" si="1559"/>
        <v/>
      </c>
      <c r="EG128" s="40" t="str">
        <f t="shared" si="1560"/>
        <v/>
      </c>
      <c r="EH128" s="40" t="str">
        <f t="shared" si="1561"/>
        <v/>
      </c>
      <c r="EI128" s="40" t="str">
        <f t="shared" si="1562"/>
        <v/>
      </c>
      <c r="EJ128" s="40" t="str">
        <f t="shared" si="1563"/>
        <v/>
      </c>
      <c r="EK128" s="40" t="str">
        <f t="shared" si="1564"/>
        <v/>
      </c>
      <c r="EL128" s="40" t="str">
        <f t="shared" si="1565"/>
        <v/>
      </c>
      <c r="EM128" s="40" t="str">
        <f t="shared" si="1566"/>
        <v/>
      </c>
      <c r="EN128" s="40" t="str">
        <f t="shared" si="1567"/>
        <v/>
      </c>
      <c r="EO128" s="40" t="str">
        <f t="shared" si="1568"/>
        <v/>
      </c>
      <c r="EP128" s="40" t="str">
        <f t="shared" si="1569"/>
        <v/>
      </c>
      <c r="EQ128" s="40" t="str">
        <f t="shared" si="1570"/>
        <v/>
      </c>
      <c r="ER128" s="40" t="str">
        <f t="shared" si="1571"/>
        <v/>
      </c>
      <c r="ES128" s="40" t="str">
        <f t="shared" si="1572"/>
        <v/>
      </c>
      <c r="ET128" s="40" t="str">
        <f t="shared" si="1573"/>
        <v/>
      </c>
      <c r="EU128" s="40" t="str">
        <f t="shared" si="1574"/>
        <v/>
      </c>
      <c r="EV128" s="40" t="str">
        <f t="shared" si="1575"/>
        <v/>
      </c>
      <c r="EW128" s="40" t="str">
        <f t="shared" si="1576"/>
        <v/>
      </c>
      <c r="EX128" s="40" t="str">
        <f t="shared" si="1577"/>
        <v/>
      </c>
      <c r="EY128" s="40" t="str">
        <f t="shared" si="1578"/>
        <v/>
      </c>
      <c r="EZ128" s="40" t="str">
        <f t="shared" si="1579"/>
        <v/>
      </c>
      <c r="FA128" s="40" t="str">
        <f t="shared" si="1580"/>
        <v/>
      </c>
      <c r="FB128" s="40" t="str">
        <f t="shared" si="1581"/>
        <v/>
      </c>
      <c r="FC128" s="40" t="str">
        <f t="shared" si="1582"/>
        <v/>
      </c>
      <c r="FD128" s="40" t="str">
        <f t="shared" si="1583"/>
        <v/>
      </c>
      <c r="FE128" s="40" t="str">
        <f t="shared" si="1584"/>
        <v/>
      </c>
      <c r="FF128" s="40" t="str">
        <f t="shared" si="1585"/>
        <v/>
      </c>
      <c r="FG128" s="40" t="str">
        <f t="shared" si="1586"/>
        <v/>
      </c>
      <c r="FH128" s="40" t="str">
        <f t="shared" si="1587"/>
        <v/>
      </c>
      <c r="FI128" s="40" t="str">
        <f t="shared" si="1588"/>
        <v/>
      </c>
      <c r="FJ128" s="40" t="str">
        <f t="shared" si="1589"/>
        <v/>
      </c>
      <c r="FK128" s="40" t="str">
        <f t="shared" si="1590"/>
        <v/>
      </c>
      <c r="FL128" s="40" t="str">
        <f t="shared" si="1591"/>
        <v/>
      </c>
      <c r="FM128" s="40" t="str">
        <f t="shared" si="1592"/>
        <v/>
      </c>
      <c r="FN128" s="40" t="str">
        <f t="shared" si="1593"/>
        <v/>
      </c>
      <c r="FO128" s="40" t="str">
        <f t="shared" si="1594"/>
        <v/>
      </c>
      <c r="FP128" s="40" t="str">
        <f t="shared" si="1595"/>
        <v/>
      </c>
      <c r="FQ128" s="40" t="str">
        <f t="shared" si="1596"/>
        <v/>
      </c>
      <c r="FR128" s="40" t="str">
        <f t="shared" si="1597"/>
        <v/>
      </c>
      <c r="FS128" s="40" t="str">
        <f t="shared" si="1598"/>
        <v/>
      </c>
    </row>
    <row r="129" spans="1:175" ht="28.5">
      <c r="A129" s="2"/>
      <c r="B129" s="2" t="s">
        <v>352</v>
      </c>
      <c r="C129" s="3" t="s">
        <v>353</v>
      </c>
      <c r="T129" s="74" t="s">
        <v>354</v>
      </c>
      <c r="U129" s="51" t="str">
        <f t="shared" si="939"/>
        <v>ReplaceableTextures\\CommandButtons\\BTNIN01.blp</v>
      </c>
      <c r="CN129" s="10" t="str">
        <f t="shared" si="1672"/>
        <v>InitUnitState('IN01',,,,,,,,,,)</v>
      </c>
      <c r="CO129" s="10" t="str">
        <f t="shared" si="1673"/>
        <v>InitUnitNormal('IN01',,,,,,,,,,)</v>
      </c>
      <c r="CP129" s="10" t="str">
        <f t="shared" si="1674"/>
        <v>InitUnitMagic('IN01',,,,,,,,,,)</v>
      </c>
      <c r="CQ129" s="10" t="str">
        <f t="shared" si="1675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7"/>
        <v>|n</v>
      </c>
      <c r="CV129" s="3" t="str">
        <f t="shared" si="1528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9"/>
        <v/>
      </c>
      <c r="DC129" s="40" t="str">
        <f t="shared" si="1530"/>
        <v/>
      </c>
      <c r="DD129" s="40" t="str">
        <f t="shared" si="1531"/>
        <v/>
      </c>
      <c r="DE129" s="40" t="str">
        <f t="shared" si="1532"/>
        <v/>
      </c>
      <c r="DF129" s="40" t="str">
        <f t="shared" si="1533"/>
        <v/>
      </c>
      <c r="DG129" s="40" t="str">
        <f t="shared" si="1534"/>
        <v/>
      </c>
      <c r="DH129" s="40" t="str">
        <f t="shared" si="1535"/>
        <v/>
      </c>
      <c r="DI129" s="40" t="str">
        <f t="shared" si="1536"/>
        <v/>
      </c>
      <c r="DJ129" s="40" t="str">
        <f t="shared" si="1537"/>
        <v/>
      </c>
      <c r="DK129" s="40" t="str">
        <f t="shared" si="1538"/>
        <v/>
      </c>
      <c r="DL129" s="40" t="str">
        <f t="shared" si="1539"/>
        <v/>
      </c>
      <c r="DM129" s="40" t="str">
        <f t="shared" si="1540"/>
        <v/>
      </c>
      <c r="DN129" s="40" t="str">
        <f t="shared" si="1541"/>
        <v/>
      </c>
      <c r="DO129" s="40" t="str">
        <f t="shared" si="1542"/>
        <v/>
      </c>
      <c r="DP129" s="40" t="str">
        <f t="shared" si="1543"/>
        <v/>
      </c>
      <c r="DQ129" s="40" t="str">
        <f t="shared" si="1544"/>
        <v/>
      </c>
      <c r="DR129" s="40" t="str">
        <f t="shared" si="1545"/>
        <v/>
      </c>
      <c r="DS129" s="40" t="str">
        <f t="shared" si="1546"/>
        <v/>
      </c>
      <c r="DT129" s="40" t="str">
        <f t="shared" si="1547"/>
        <v/>
      </c>
      <c r="DU129" s="40" t="str">
        <f t="shared" si="1548"/>
        <v/>
      </c>
      <c r="DV129" s="40" t="str">
        <f t="shared" si="1549"/>
        <v/>
      </c>
      <c r="DW129" s="40" t="str">
        <f t="shared" si="1550"/>
        <v/>
      </c>
      <c r="DX129" s="40" t="str">
        <f t="shared" si="1551"/>
        <v/>
      </c>
      <c r="DY129" s="40" t="str">
        <f t="shared" si="1552"/>
        <v/>
      </c>
      <c r="DZ129" s="40" t="str">
        <f t="shared" si="1553"/>
        <v/>
      </c>
      <c r="EA129" s="40" t="str">
        <f t="shared" si="1554"/>
        <v/>
      </c>
      <c r="EB129" s="40" t="str">
        <f t="shared" si="1555"/>
        <v/>
      </c>
      <c r="EC129" s="40" t="str">
        <f t="shared" si="1556"/>
        <v/>
      </c>
      <c r="ED129" s="40" t="str">
        <f t="shared" si="1557"/>
        <v/>
      </c>
      <c r="EE129" s="40" t="str">
        <f t="shared" si="1558"/>
        <v/>
      </c>
      <c r="EF129" s="40" t="str">
        <f t="shared" si="1559"/>
        <v/>
      </c>
      <c r="EG129" s="40" t="str">
        <f t="shared" si="1560"/>
        <v/>
      </c>
      <c r="EH129" s="40" t="str">
        <f t="shared" si="1561"/>
        <v/>
      </c>
      <c r="EI129" s="40" t="str">
        <f t="shared" si="1562"/>
        <v/>
      </c>
      <c r="EJ129" s="40" t="str">
        <f t="shared" si="1563"/>
        <v/>
      </c>
      <c r="EK129" s="40" t="str">
        <f t="shared" si="1564"/>
        <v/>
      </c>
      <c r="EL129" s="40" t="str">
        <f t="shared" si="1565"/>
        <v/>
      </c>
      <c r="EM129" s="40" t="str">
        <f t="shared" si="1566"/>
        <v/>
      </c>
      <c r="EN129" s="40" t="str">
        <f t="shared" si="1567"/>
        <v/>
      </c>
      <c r="EO129" s="40" t="str">
        <f t="shared" si="1568"/>
        <v/>
      </c>
      <c r="EP129" s="40" t="str">
        <f t="shared" si="1569"/>
        <v/>
      </c>
      <c r="EQ129" s="40" t="str">
        <f t="shared" si="1570"/>
        <v/>
      </c>
      <c r="ER129" s="40" t="str">
        <f t="shared" si="1571"/>
        <v/>
      </c>
      <c r="ES129" s="40" t="str">
        <f t="shared" si="1572"/>
        <v/>
      </c>
      <c r="ET129" s="40" t="str">
        <f t="shared" si="1573"/>
        <v/>
      </c>
      <c r="EU129" s="40" t="str">
        <f t="shared" si="1574"/>
        <v/>
      </c>
      <c r="EV129" s="40" t="str">
        <f t="shared" si="1575"/>
        <v/>
      </c>
      <c r="EW129" s="40" t="str">
        <f t="shared" si="1576"/>
        <v/>
      </c>
      <c r="EX129" s="40" t="str">
        <f t="shared" si="1577"/>
        <v/>
      </c>
      <c r="EY129" s="40" t="str">
        <f t="shared" si="1578"/>
        <v/>
      </c>
      <c r="EZ129" s="40" t="str">
        <f t="shared" si="1579"/>
        <v/>
      </c>
      <c r="FA129" s="40" t="str">
        <f t="shared" si="1580"/>
        <v/>
      </c>
      <c r="FB129" s="40" t="str">
        <f t="shared" si="1581"/>
        <v/>
      </c>
      <c r="FC129" s="40" t="str">
        <f t="shared" si="1582"/>
        <v/>
      </c>
      <c r="FD129" s="40" t="str">
        <f t="shared" si="1583"/>
        <v/>
      </c>
      <c r="FE129" s="40" t="str">
        <f t="shared" si="1584"/>
        <v/>
      </c>
      <c r="FF129" s="40" t="str">
        <f t="shared" si="1585"/>
        <v/>
      </c>
      <c r="FG129" s="40" t="str">
        <f t="shared" si="1586"/>
        <v/>
      </c>
      <c r="FH129" s="40" t="str">
        <f t="shared" si="1587"/>
        <v/>
      </c>
      <c r="FI129" s="40" t="str">
        <f t="shared" si="1588"/>
        <v/>
      </c>
      <c r="FJ129" s="40" t="str">
        <f t="shared" si="1589"/>
        <v/>
      </c>
      <c r="FK129" s="40" t="str">
        <f t="shared" si="1590"/>
        <v/>
      </c>
      <c r="FL129" s="40" t="str">
        <f t="shared" si="1591"/>
        <v/>
      </c>
      <c r="FM129" s="40" t="str">
        <f t="shared" si="1592"/>
        <v/>
      </c>
      <c r="FN129" s="40" t="str">
        <f t="shared" si="1593"/>
        <v/>
      </c>
      <c r="FO129" s="40" t="str">
        <f t="shared" si="1594"/>
        <v/>
      </c>
      <c r="FP129" s="40" t="str">
        <f t="shared" si="1595"/>
        <v/>
      </c>
      <c r="FQ129" s="40" t="str">
        <f t="shared" si="1596"/>
        <v/>
      </c>
      <c r="FR129" s="40" t="str">
        <f t="shared" si="1597"/>
        <v/>
      </c>
      <c r="FS129" s="40" t="str">
        <f t="shared" si="1598"/>
        <v/>
      </c>
    </row>
    <row r="130" spans="1:175" ht="28.5">
      <c r="A130" s="2"/>
      <c r="B130" s="2" t="s">
        <v>355</v>
      </c>
      <c r="C130" s="3" t="s">
        <v>356</v>
      </c>
      <c r="T130" s="74" t="s">
        <v>357</v>
      </c>
      <c r="U130" s="51" t="str">
        <f t="shared" si="939"/>
        <v>ReplaceableTextures\\CommandButtons\\BTNIN02.blp</v>
      </c>
      <c r="CN130" s="10" t="str">
        <f t="shared" si="1672"/>
        <v>InitUnitState('IN02',,,,,,,,,,)</v>
      </c>
      <c r="CO130" s="10" t="str">
        <f t="shared" si="1673"/>
        <v>InitUnitNormal('IN02',,,,,,,,,,)</v>
      </c>
      <c r="CP130" s="10" t="str">
        <f t="shared" si="1674"/>
        <v>InitUnitMagic('IN02',,,,,,,,,,)</v>
      </c>
      <c r="CQ130" s="10" t="str">
        <f t="shared" si="1675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7"/>
        <v>|n</v>
      </c>
      <c r="CV130" s="3" t="str">
        <f t="shared" si="1528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9"/>
        <v/>
      </c>
      <c r="DC130" s="40" t="str">
        <f t="shared" si="1530"/>
        <v/>
      </c>
      <c r="DD130" s="40" t="str">
        <f t="shared" si="1531"/>
        <v/>
      </c>
      <c r="DE130" s="40" t="str">
        <f t="shared" si="1532"/>
        <v/>
      </c>
      <c r="DF130" s="40" t="str">
        <f t="shared" si="1533"/>
        <v/>
      </c>
      <c r="DG130" s="40" t="str">
        <f t="shared" si="1534"/>
        <v/>
      </c>
      <c r="DH130" s="40" t="str">
        <f t="shared" si="1535"/>
        <v/>
      </c>
      <c r="DI130" s="40" t="str">
        <f t="shared" si="1536"/>
        <v/>
      </c>
      <c r="DJ130" s="40" t="str">
        <f t="shared" si="1537"/>
        <v/>
      </c>
      <c r="DK130" s="40" t="str">
        <f t="shared" si="1538"/>
        <v/>
      </c>
      <c r="DL130" s="40" t="str">
        <f t="shared" si="1539"/>
        <v/>
      </c>
      <c r="DM130" s="40" t="str">
        <f t="shared" si="1540"/>
        <v/>
      </c>
      <c r="DN130" s="40" t="str">
        <f t="shared" si="1541"/>
        <v/>
      </c>
      <c r="DO130" s="40" t="str">
        <f t="shared" si="1542"/>
        <v/>
      </c>
      <c r="DP130" s="40" t="str">
        <f t="shared" si="1543"/>
        <v/>
      </c>
      <c r="DQ130" s="40" t="str">
        <f t="shared" si="1544"/>
        <v/>
      </c>
      <c r="DR130" s="40" t="str">
        <f t="shared" si="1545"/>
        <v/>
      </c>
      <c r="DS130" s="40" t="str">
        <f t="shared" si="1546"/>
        <v/>
      </c>
      <c r="DT130" s="40" t="str">
        <f t="shared" si="1547"/>
        <v/>
      </c>
      <c r="DU130" s="40" t="str">
        <f t="shared" si="1548"/>
        <v/>
      </c>
      <c r="DV130" s="40" t="str">
        <f t="shared" si="1549"/>
        <v/>
      </c>
      <c r="DW130" s="40" t="str">
        <f t="shared" si="1550"/>
        <v/>
      </c>
      <c r="DX130" s="40" t="str">
        <f t="shared" si="1551"/>
        <v/>
      </c>
      <c r="DY130" s="40" t="str">
        <f t="shared" si="1552"/>
        <v/>
      </c>
      <c r="DZ130" s="40" t="str">
        <f t="shared" si="1553"/>
        <v/>
      </c>
      <c r="EA130" s="40" t="str">
        <f t="shared" si="1554"/>
        <v/>
      </c>
      <c r="EB130" s="40" t="str">
        <f t="shared" si="1555"/>
        <v/>
      </c>
      <c r="EC130" s="40" t="str">
        <f t="shared" si="1556"/>
        <v/>
      </c>
      <c r="ED130" s="40" t="str">
        <f t="shared" si="1557"/>
        <v/>
      </c>
      <c r="EE130" s="40" t="str">
        <f t="shared" si="1558"/>
        <v/>
      </c>
      <c r="EF130" s="40" t="str">
        <f t="shared" si="1559"/>
        <v/>
      </c>
      <c r="EG130" s="40" t="str">
        <f t="shared" si="1560"/>
        <v/>
      </c>
      <c r="EH130" s="40" t="str">
        <f t="shared" si="1561"/>
        <v/>
      </c>
      <c r="EI130" s="40" t="str">
        <f t="shared" si="1562"/>
        <v/>
      </c>
      <c r="EJ130" s="40" t="str">
        <f t="shared" si="1563"/>
        <v/>
      </c>
      <c r="EK130" s="40" t="str">
        <f t="shared" si="1564"/>
        <v/>
      </c>
      <c r="EL130" s="40" t="str">
        <f t="shared" si="1565"/>
        <v/>
      </c>
      <c r="EM130" s="40" t="str">
        <f t="shared" si="1566"/>
        <v/>
      </c>
      <c r="EN130" s="40" t="str">
        <f t="shared" si="1567"/>
        <v/>
      </c>
      <c r="EO130" s="40" t="str">
        <f t="shared" si="1568"/>
        <v/>
      </c>
      <c r="EP130" s="40" t="str">
        <f t="shared" si="1569"/>
        <v/>
      </c>
      <c r="EQ130" s="40" t="str">
        <f t="shared" si="1570"/>
        <v/>
      </c>
      <c r="ER130" s="40" t="str">
        <f t="shared" si="1571"/>
        <v/>
      </c>
      <c r="ES130" s="40" t="str">
        <f t="shared" si="1572"/>
        <v/>
      </c>
      <c r="ET130" s="40" t="str">
        <f t="shared" si="1573"/>
        <v/>
      </c>
      <c r="EU130" s="40" t="str">
        <f t="shared" si="1574"/>
        <v/>
      </c>
      <c r="EV130" s="40" t="str">
        <f t="shared" si="1575"/>
        <v/>
      </c>
      <c r="EW130" s="40" t="str">
        <f t="shared" si="1576"/>
        <v/>
      </c>
      <c r="EX130" s="40" t="str">
        <f t="shared" si="1577"/>
        <v/>
      </c>
      <c r="EY130" s="40" t="str">
        <f t="shared" si="1578"/>
        <v/>
      </c>
      <c r="EZ130" s="40" t="str">
        <f t="shared" si="1579"/>
        <v/>
      </c>
      <c r="FA130" s="40" t="str">
        <f t="shared" si="1580"/>
        <v/>
      </c>
      <c r="FB130" s="40" t="str">
        <f t="shared" si="1581"/>
        <v/>
      </c>
      <c r="FC130" s="40" t="str">
        <f t="shared" si="1582"/>
        <v/>
      </c>
      <c r="FD130" s="40" t="str">
        <f t="shared" si="1583"/>
        <v/>
      </c>
      <c r="FE130" s="40" t="str">
        <f t="shared" si="1584"/>
        <v/>
      </c>
      <c r="FF130" s="40" t="str">
        <f t="shared" si="1585"/>
        <v/>
      </c>
      <c r="FG130" s="40" t="str">
        <f t="shared" si="1586"/>
        <v/>
      </c>
      <c r="FH130" s="40" t="str">
        <f t="shared" si="1587"/>
        <v/>
      </c>
      <c r="FI130" s="40" t="str">
        <f t="shared" si="1588"/>
        <v/>
      </c>
      <c r="FJ130" s="40" t="str">
        <f t="shared" si="1589"/>
        <v/>
      </c>
      <c r="FK130" s="40" t="str">
        <f t="shared" si="1590"/>
        <v/>
      </c>
      <c r="FL130" s="40" t="str">
        <f t="shared" si="1591"/>
        <v/>
      </c>
      <c r="FM130" s="40" t="str">
        <f t="shared" si="1592"/>
        <v/>
      </c>
      <c r="FN130" s="40" t="str">
        <f t="shared" si="1593"/>
        <v/>
      </c>
      <c r="FO130" s="40" t="str">
        <f t="shared" si="1594"/>
        <v/>
      </c>
      <c r="FP130" s="40" t="str">
        <f t="shared" si="1595"/>
        <v/>
      </c>
      <c r="FQ130" s="40" t="str">
        <f t="shared" si="1596"/>
        <v/>
      </c>
      <c r="FR130" s="40" t="str">
        <f t="shared" si="1597"/>
        <v/>
      </c>
      <c r="FS130" s="40" t="str">
        <f t="shared" si="1598"/>
        <v/>
      </c>
    </row>
    <row r="131" spans="1:175" ht="28.5">
      <c r="A131" s="2"/>
      <c r="B131" s="2" t="s">
        <v>358</v>
      </c>
      <c r="C131" s="3" t="s">
        <v>359</v>
      </c>
      <c r="T131" s="74" t="s">
        <v>360</v>
      </c>
      <c r="U131" s="51" t="str">
        <f t="shared" si="939"/>
        <v>ReplaceableTextures\\CommandButtons\\BTNIN03.blp</v>
      </c>
      <c r="CN131" s="10" t="str">
        <f t="shared" si="1672"/>
        <v>InitUnitState('IN03',,,,,,,,,,)</v>
      </c>
      <c r="CO131" s="10" t="str">
        <f t="shared" si="1673"/>
        <v>InitUnitNormal('IN03',,,,,,,,,,)</v>
      </c>
      <c r="CP131" s="10" t="str">
        <f t="shared" si="1674"/>
        <v>InitUnitMagic('IN03',,,,,,,,,,)</v>
      </c>
      <c r="CQ131" s="10" t="str">
        <f t="shared" si="1675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7"/>
        <v>|n</v>
      </c>
      <c r="CV131" s="3" t="str">
        <f t="shared" si="1528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9"/>
        <v/>
      </c>
      <c r="DC131" s="40" t="str">
        <f t="shared" si="1530"/>
        <v/>
      </c>
      <c r="DD131" s="40" t="str">
        <f t="shared" si="1531"/>
        <v/>
      </c>
      <c r="DE131" s="40" t="str">
        <f t="shared" si="1532"/>
        <v/>
      </c>
      <c r="DF131" s="40" t="str">
        <f t="shared" si="1533"/>
        <v/>
      </c>
      <c r="DG131" s="40" t="str">
        <f t="shared" si="1534"/>
        <v/>
      </c>
      <c r="DH131" s="40" t="str">
        <f t="shared" si="1535"/>
        <v/>
      </c>
      <c r="DI131" s="40" t="str">
        <f t="shared" si="1536"/>
        <v/>
      </c>
      <c r="DJ131" s="40" t="str">
        <f t="shared" si="1537"/>
        <v/>
      </c>
      <c r="DK131" s="40" t="str">
        <f t="shared" si="1538"/>
        <v/>
      </c>
      <c r="DL131" s="40" t="str">
        <f t="shared" si="1539"/>
        <v/>
      </c>
      <c r="DM131" s="40" t="str">
        <f t="shared" si="1540"/>
        <v/>
      </c>
      <c r="DN131" s="40" t="str">
        <f t="shared" si="1541"/>
        <v/>
      </c>
      <c r="DO131" s="40" t="str">
        <f t="shared" si="1542"/>
        <v/>
      </c>
      <c r="DP131" s="40" t="str">
        <f t="shared" si="1543"/>
        <v/>
      </c>
      <c r="DQ131" s="40" t="str">
        <f t="shared" si="1544"/>
        <v/>
      </c>
      <c r="DR131" s="40" t="str">
        <f t="shared" si="1545"/>
        <v/>
      </c>
      <c r="DS131" s="40" t="str">
        <f t="shared" si="1546"/>
        <v/>
      </c>
      <c r="DT131" s="40" t="str">
        <f t="shared" si="1547"/>
        <v/>
      </c>
      <c r="DU131" s="40" t="str">
        <f t="shared" si="1548"/>
        <v/>
      </c>
      <c r="DV131" s="40" t="str">
        <f t="shared" si="1549"/>
        <v/>
      </c>
      <c r="DW131" s="40" t="str">
        <f t="shared" si="1550"/>
        <v/>
      </c>
      <c r="DX131" s="40" t="str">
        <f t="shared" si="1551"/>
        <v/>
      </c>
      <c r="DY131" s="40" t="str">
        <f t="shared" si="1552"/>
        <v/>
      </c>
      <c r="DZ131" s="40" t="str">
        <f t="shared" si="1553"/>
        <v/>
      </c>
      <c r="EA131" s="40" t="str">
        <f t="shared" si="1554"/>
        <v/>
      </c>
      <c r="EB131" s="40" t="str">
        <f t="shared" si="1555"/>
        <v/>
      </c>
      <c r="EC131" s="40" t="str">
        <f t="shared" si="1556"/>
        <v/>
      </c>
      <c r="ED131" s="40" t="str">
        <f t="shared" si="1557"/>
        <v/>
      </c>
      <c r="EE131" s="40" t="str">
        <f t="shared" si="1558"/>
        <v/>
      </c>
      <c r="EF131" s="40" t="str">
        <f t="shared" si="1559"/>
        <v/>
      </c>
      <c r="EG131" s="40" t="str">
        <f t="shared" si="1560"/>
        <v/>
      </c>
      <c r="EH131" s="40" t="str">
        <f t="shared" si="1561"/>
        <v/>
      </c>
      <c r="EI131" s="40" t="str">
        <f t="shared" si="1562"/>
        <v/>
      </c>
      <c r="EJ131" s="40" t="str">
        <f t="shared" si="1563"/>
        <v/>
      </c>
      <c r="EK131" s="40" t="str">
        <f t="shared" si="1564"/>
        <v/>
      </c>
      <c r="EL131" s="40" t="str">
        <f t="shared" si="1565"/>
        <v/>
      </c>
      <c r="EM131" s="40" t="str">
        <f t="shared" si="1566"/>
        <v/>
      </c>
      <c r="EN131" s="40" t="str">
        <f t="shared" si="1567"/>
        <v/>
      </c>
      <c r="EO131" s="40" t="str">
        <f t="shared" si="1568"/>
        <v/>
      </c>
      <c r="EP131" s="40" t="str">
        <f t="shared" si="1569"/>
        <v/>
      </c>
      <c r="EQ131" s="40" t="str">
        <f t="shared" si="1570"/>
        <v/>
      </c>
      <c r="ER131" s="40" t="str">
        <f t="shared" si="1571"/>
        <v/>
      </c>
      <c r="ES131" s="40" t="str">
        <f t="shared" si="1572"/>
        <v/>
      </c>
      <c r="ET131" s="40" t="str">
        <f t="shared" si="1573"/>
        <v/>
      </c>
      <c r="EU131" s="40" t="str">
        <f t="shared" si="1574"/>
        <v/>
      </c>
      <c r="EV131" s="40" t="str">
        <f t="shared" si="1575"/>
        <v/>
      </c>
      <c r="EW131" s="40" t="str">
        <f t="shared" si="1576"/>
        <v/>
      </c>
      <c r="EX131" s="40" t="str">
        <f t="shared" si="1577"/>
        <v/>
      </c>
      <c r="EY131" s="40" t="str">
        <f t="shared" si="1578"/>
        <v/>
      </c>
      <c r="EZ131" s="40" t="str">
        <f t="shared" si="1579"/>
        <v/>
      </c>
      <c r="FA131" s="40" t="str">
        <f t="shared" si="1580"/>
        <v/>
      </c>
      <c r="FB131" s="40" t="str">
        <f t="shared" si="1581"/>
        <v/>
      </c>
      <c r="FC131" s="40" t="str">
        <f t="shared" si="1582"/>
        <v/>
      </c>
      <c r="FD131" s="40" t="str">
        <f t="shared" si="1583"/>
        <v/>
      </c>
      <c r="FE131" s="40" t="str">
        <f t="shared" si="1584"/>
        <v/>
      </c>
      <c r="FF131" s="40" t="str">
        <f t="shared" si="1585"/>
        <v/>
      </c>
      <c r="FG131" s="40" t="str">
        <f t="shared" si="1586"/>
        <v/>
      </c>
      <c r="FH131" s="40" t="str">
        <f t="shared" si="1587"/>
        <v/>
      </c>
      <c r="FI131" s="40" t="str">
        <f t="shared" si="1588"/>
        <v/>
      </c>
      <c r="FJ131" s="40" t="str">
        <f t="shared" si="1589"/>
        <v/>
      </c>
      <c r="FK131" s="40" t="str">
        <f t="shared" si="1590"/>
        <v/>
      </c>
      <c r="FL131" s="40" t="str">
        <f t="shared" si="1591"/>
        <v/>
      </c>
      <c r="FM131" s="40" t="str">
        <f t="shared" si="1592"/>
        <v/>
      </c>
      <c r="FN131" s="40" t="str">
        <f t="shared" si="1593"/>
        <v/>
      </c>
      <c r="FO131" s="40" t="str">
        <f t="shared" si="1594"/>
        <v/>
      </c>
      <c r="FP131" s="40" t="str">
        <f t="shared" si="1595"/>
        <v/>
      </c>
      <c r="FQ131" s="40" t="str">
        <f t="shared" si="1596"/>
        <v/>
      </c>
      <c r="FR131" s="40" t="str">
        <f t="shared" si="1597"/>
        <v/>
      </c>
      <c r="FS131" s="40" t="str">
        <f t="shared" si="1598"/>
        <v/>
      </c>
    </row>
    <row r="132" spans="1:175" ht="16.5">
      <c r="A132" s="2"/>
      <c r="B132" s="2" t="s">
        <v>361</v>
      </c>
      <c r="C132" s="3" t="s">
        <v>362</v>
      </c>
      <c r="T132" s="3" t="s">
        <v>363</v>
      </c>
      <c r="U132" s="51" t="str">
        <f t="shared" si="939"/>
        <v>ReplaceableTextures\\CommandButtons\\BTNIN04.blp</v>
      </c>
      <c r="CN132" s="10" t="str">
        <f t="shared" si="1672"/>
        <v>InitUnitState('IN04',,,,,,,,,,)</v>
      </c>
      <c r="CO132" s="10" t="str">
        <f t="shared" si="1673"/>
        <v>InitUnitNormal('IN04',,,,,,,,,,)</v>
      </c>
      <c r="CP132" s="10" t="str">
        <f t="shared" si="1674"/>
        <v>InitUnitMagic('IN04',,,,,,,,,,)</v>
      </c>
      <c r="CQ132" s="10" t="str">
        <f t="shared" si="1675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7"/>
        <v>|n</v>
      </c>
      <c r="CV132" s="3" t="str">
        <f t="shared" si="1528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9"/>
        <v/>
      </c>
      <c r="DC132" s="40" t="str">
        <f t="shared" si="1530"/>
        <v/>
      </c>
      <c r="DD132" s="40" t="str">
        <f t="shared" si="1531"/>
        <v/>
      </c>
      <c r="DE132" s="40" t="str">
        <f t="shared" si="1532"/>
        <v/>
      </c>
      <c r="DF132" s="40" t="str">
        <f t="shared" si="1533"/>
        <v/>
      </c>
      <c r="DG132" s="40" t="str">
        <f t="shared" si="1534"/>
        <v/>
      </c>
      <c r="DH132" s="40" t="str">
        <f t="shared" si="1535"/>
        <v/>
      </c>
      <c r="DI132" s="40" t="str">
        <f t="shared" si="1536"/>
        <v/>
      </c>
      <c r="DJ132" s="40" t="str">
        <f t="shared" si="1537"/>
        <v/>
      </c>
      <c r="DK132" s="40" t="str">
        <f t="shared" si="1538"/>
        <v/>
      </c>
      <c r="DL132" s="40" t="str">
        <f t="shared" si="1539"/>
        <v/>
      </c>
      <c r="DM132" s="40" t="str">
        <f t="shared" si="1540"/>
        <v/>
      </c>
      <c r="DN132" s="40" t="str">
        <f t="shared" si="1541"/>
        <v/>
      </c>
      <c r="DO132" s="40" t="str">
        <f t="shared" si="1542"/>
        <v/>
      </c>
      <c r="DP132" s="40" t="str">
        <f t="shared" si="1543"/>
        <v/>
      </c>
      <c r="DQ132" s="40" t="str">
        <f t="shared" si="1544"/>
        <v/>
      </c>
      <c r="DR132" s="40" t="str">
        <f t="shared" si="1545"/>
        <v/>
      </c>
      <c r="DS132" s="40" t="str">
        <f t="shared" si="1546"/>
        <v/>
      </c>
      <c r="DT132" s="40" t="str">
        <f t="shared" si="1547"/>
        <v/>
      </c>
      <c r="DU132" s="40" t="str">
        <f t="shared" si="1548"/>
        <v/>
      </c>
      <c r="DV132" s="40" t="str">
        <f t="shared" si="1549"/>
        <v/>
      </c>
      <c r="DW132" s="40" t="str">
        <f t="shared" si="1550"/>
        <v/>
      </c>
      <c r="DX132" s="40" t="str">
        <f t="shared" si="1551"/>
        <v/>
      </c>
      <c r="DY132" s="40" t="str">
        <f t="shared" si="1552"/>
        <v/>
      </c>
      <c r="DZ132" s="40" t="str">
        <f t="shared" si="1553"/>
        <v/>
      </c>
      <c r="EA132" s="40" t="str">
        <f t="shared" si="1554"/>
        <v/>
      </c>
      <c r="EB132" s="40" t="str">
        <f t="shared" si="1555"/>
        <v/>
      </c>
      <c r="EC132" s="40" t="str">
        <f t="shared" si="1556"/>
        <v/>
      </c>
      <c r="ED132" s="40" t="str">
        <f t="shared" si="1557"/>
        <v/>
      </c>
      <c r="EE132" s="40" t="str">
        <f t="shared" si="1558"/>
        <v/>
      </c>
      <c r="EF132" s="40" t="str">
        <f t="shared" si="1559"/>
        <v/>
      </c>
      <c r="EG132" s="40" t="str">
        <f t="shared" si="1560"/>
        <v/>
      </c>
      <c r="EH132" s="40" t="str">
        <f t="shared" si="1561"/>
        <v/>
      </c>
      <c r="EI132" s="40" t="str">
        <f t="shared" si="1562"/>
        <v/>
      </c>
      <c r="EJ132" s="40" t="str">
        <f t="shared" si="1563"/>
        <v/>
      </c>
      <c r="EK132" s="40" t="str">
        <f t="shared" si="1564"/>
        <v/>
      </c>
      <c r="EL132" s="40" t="str">
        <f t="shared" si="1565"/>
        <v/>
      </c>
      <c r="EM132" s="40" t="str">
        <f t="shared" si="1566"/>
        <v/>
      </c>
      <c r="EN132" s="40" t="str">
        <f t="shared" si="1567"/>
        <v/>
      </c>
      <c r="EO132" s="40" t="str">
        <f t="shared" si="1568"/>
        <v/>
      </c>
      <c r="EP132" s="40" t="str">
        <f t="shared" si="1569"/>
        <v/>
      </c>
      <c r="EQ132" s="40" t="str">
        <f t="shared" si="1570"/>
        <v/>
      </c>
      <c r="ER132" s="40" t="str">
        <f t="shared" si="1571"/>
        <v/>
      </c>
      <c r="ES132" s="40" t="str">
        <f t="shared" si="1572"/>
        <v/>
      </c>
      <c r="ET132" s="40" t="str">
        <f t="shared" si="1573"/>
        <v/>
      </c>
      <c r="EU132" s="40" t="str">
        <f t="shared" si="1574"/>
        <v/>
      </c>
      <c r="EV132" s="40" t="str">
        <f t="shared" si="1575"/>
        <v/>
      </c>
      <c r="EW132" s="40" t="str">
        <f t="shared" si="1576"/>
        <v/>
      </c>
      <c r="EX132" s="40" t="str">
        <f t="shared" si="1577"/>
        <v/>
      </c>
      <c r="EY132" s="40" t="str">
        <f t="shared" si="1578"/>
        <v/>
      </c>
      <c r="EZ132" s="40" t="str">
        <f t="shared" si="1579"/>
        <v/>
      </c>
      <c r="FA132" s="40" t="str">
        <f t="shared" si="1580"/>
        <v/>
      </c>
      <c r="FB132" s="40" t="str">
        <f t="shared" si="1581"/>
        <v/>
      </c>
      <c r="FC132" s="40" t="str">
        <f t="shared" si="1582"/>
        <v/>
      </c>
      <c r="FD132" s="40" t="str">
        <f t="shared" si="1583"/>
        <v/>
      </c>
      <c r="FE132" s="40" t="str">
        <f t="shared" si="1584"/>
        <v/>
      </c>
      <c r="FF132" s="40" t="str">
        <f t="shared" si="1585"/>
        <v/>
      </c>
      <c r="FG132" s="40" t="str">
        <f t="shared" si="1586"/>
        <v/>
      </c>
      <c r="FH132" s="40" t="str">
        <f t="shared" si="1587"/>
        <v/>
      </c>
      <c r="FI132" s="40" t="str">
        <f t="shared" si="1588"/>
        <v/>
      </c>
      <c r="FJ132" s="40" t="str">
        <f t="shared" si="1589"/>
        <v/>
      </c>
      <c r="FK132" s="40" t="str">
        <f t="shared" si="1590"/>
        <v/>
      </c>
      <c r="FL132" s="40" t="str">
        <f t="shared" si="1591"/>
        <v/>
      </c>
      <c r="FM132" s="40" t="str">
        <f t="shared" si="1592"/>
        <v/>
      </c>
      <c r="FN132" s="40" t="str">
        <f t="shared" si="1593"/>
        <v/>
      </c>
      <c r="FO132" s="40" t="str">
        <f t="shared" si="1594"/>
        <v/>
      </c>
      <c r="FP132" s="40" t="str">
        <f t="shared" si="1595"/>
        <v/>
      </c>
      <c r="FQ132" s="40" t="str">
        <f t="shared" si="1596"/>
        <v/>
      </c>
      <c r="FR132" s="40" t="str">
        <f t="shared" si="1597"/>
        <v/>
      </c>
      <c r="FS132" s="40" t="str">
        <f t="shared" si="1598"/>
        <v/>
      </c>
    </row>
    <row r="133" spans="1:175" ht="16.5">
      <c r="A133" s="2"/>
      <c r="B133" s="2" t="s">
        <v>364</v>
      </c>
      <c r="C133" s="3" t="s">
        <v>365</v>
      </c>
      <c r="T133" s="3" t="s">
        <v>366</v>
      </c>
      <c r="U133" s="51" t="str">
        <f t="shared" si="939"/>
        <v>ReplaceableTextures\\CommandButtons\\BTNIN05.blp</v>
      </c>
      <c r="CN133" s="10" t="str">
        <f t="shared" si="1672"/>
        <v>InitUnitState('IN05',,,,,,,,,,)</v>
      </c>
      <c r="CO133" s="10" t="str">
        <f t="shared" si="1673"/>
        <v>InitUnitNormal('IN05',,,,,,,,,,)</v>
      </c>
      <c r="CP133" s="10" t="str">
        <f t="shared" si="1674"/>
        <v>InitUnitMagic('IN05',,,,,,,,,,)</v>
      </c>
      <c r="CQ133" s="10" t="str">
        <f t="shared" si="1675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7"/>
        <v>|n</v>
      </c>
      <c r="CV133" s="3" t="str">
        <f t="shared" si="1528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9"/>
        <v/>
      </c>
      <c r="DC133" s="40" t="str">
        <f t="shared" si="1530"/>
        <v/>
      </c>
      <c r="DD133" s="40" t="str">
        <f t="shared" si="1531"/>
        <v/>
      </c>
      <c r="DE133" s="40" t="str">
        <f t="shared" si="1532"/>
        <v/>
      </c>
      <c r="DF133" s="40" t="str">
        <f t="shared" si="1533"/>
        <v/>
      </c>
      <c r="DG133" s="40" t="str">
        <f t="shared" si="1534"/>
        <v/>
      </c>
      <c r="DH133" s="40" t="str">
        <f t="shared" si="1535"/>
        <v/>
      </c>
      <c r="DI133" s="40" t="str">
        <f t="shared" si="1536"/>
        <v/>
      </c>
      <c r="DJ133" s="40" t="str">
        <f t="shared" si="1537"/>
        <v/>
      </c>
      <c r="DK133" s="40" t="str">
        <f t="shared" si="1538"/>
        <v/>
      </c>
      <c r="DL133" s="40" t="str">
        <f t="shared" si="1539"/>
        <v/>
      </c>
      <c r="DM133" s="40" t="str">
        <f t="shared" si="1540"/>
        <v/>
      </c>
      <c r="DN133" s="40" t="str">
        <f t="shared" si="1541"/>
        <v/>
      </c>
      <c r="DO133" s="40" t="str">
        <f t="shared" si="1542"/>
        <v/>
      </c>
      <c r="DP133" s="40" t="str">
        <f t="shared" si="1543"/>
        <v/>
      </c>
      <c r="DQ133" s="40" t="str">
        <f t="shared" si="1544"/>
        <v/>
      </c>
      <c r="DR133" s="40" t="str">
        <f t="shared" si="1545"/>
        <v/>
      </c>
      <c r="DS133" s="40" t="str">
        <f t="shared" si="1546"/>
        <v/>
      </c>
      <c r="DT133" s="40" t="str">
        <f t="shared" si="1547"/>
        <v/>
      </c>
      <c r="DU133" s="40" t="str">
        <f t="shared" si="1548"/>
        <v/>
      </c>
      <c r="DV133" s="40" t="str">
        <f t="shared" si="1549"/>
        <v/>
      </c>
      <c r="DW133" s="40" t="str">
        <f t="shared" si="1550"/>
        <v/>
      </c>
      <c r="DX133" s="40" t="str">
        <f t="shared" si="1551"/>
        <v/>
      </c>
      <c r="DY133" s="40" t="str">
        <f t="shared" si="1552"/>
        <v/>
      </c>
      <c r="DZ133" s="40" t="str">
        <f t="shared" si="1553"/>
        <v/>
      </c>
      <c r="EA133" s="40" t="str">
        <f t="shared" si="1554"/>
        <v/>
      </c>
      <c r="EB133" s="40" t="str">
        <f t="shared" si="1555"/>
        <v/>
      </c>
      <c r="EC133" s="40" t="str">
        <f t="shared" si="1556"/>
        <v/>
      </c>
      <c r="ED133" s="40" t="str">
        <f t="shared" si="1557"/>
        <v/>
      </c>
      <c r="EE133" s="40" t="str">
        <f t="shared" si="1558"/>
        <v/>
      </c>
      <c r="EF133" s="40" t="str">
        <f t="shared" si="1559"/>
        <v/>
      </c>
      <c r="EG133" s="40" t="str">
        <f t="shared" si="1560"/>
        <v/>
      </c>
      <c r="EH133" s="40" t="str">
        <f t="shared" si="1561"/>
        <v/>
      </c>
      <c r="EI133" s="40" t="str">
        <f t="shared" si="1562"/>
        <v/>
      </c>
      <c r="EJ133" s="40" t="str">
        <f t="shared" si="1563"/>
        <v/>
      </c>
      <c r="EK133" s="40" t="str">
        <f t="shared" si="1564"/>
        <v/>
      </c>
      <c r="EL133" s="40" t="str">
        <f t="shared" si="1565"/>
        <v/>
      </c>
      <c r="EM133" s="40" t="str">
        <f t="shared" si="1566"/>
        <v/>
      </c>
      <c r="EN133" s="40" t="str">
        <f t="shared" si="1567"/>
        <v/>
      </c>
      <c r="EO133" s="40" t="str">
        <f t="shared" si="1568"/>
        <v/>
      </c>
      <c r="EP133" s="40" t="str">
        <f t="shared" si="1569"/>
        <v/>
      </c>
      <c r="EQ133" s="40" t="str">
        <f t="shared" si="1570"/>
        <v/>
      </c>
      <c r="ER133" s="40" t="str">
        <f t="shared" si="1571"/>
        <v/>
      </c>
      <c r="ES133" s="40" t="str">
        <f t="shared" si="1572"/>
        <v/>
      </c>
      <c r="ET133" s="40" t="str">
        <f t="shared" si="1573"/>
        <v/>
      </c>
      <c r="EU133" s="40" t="str">
        <f t="shared" si="1574"/>
        <v/>
      </c>
      <c r="EV133" s="40" t="str">
        <f t="shared" si="1575"/>
        <v/>
      </c>
      <c r="EW133" s="40" t="str">
        <f t="shared" si="1576"/>
        <v/>
      </c>
      <c r="EX133" s="40" t="str">
        <f t="shared" si="1577"/>
        <v/>
      </c>
      <c r="EY133" s="40" t="str">
        <f t="shared" si="1578"/>
        <v/>
      </c>
      <c r="EZ133" s="40" t="str">
        <f t="shared" si="1579"/>
        <v/>
      </c>
      <c r="FA133" s="40" t="str">
        <f t="shared" si="1580"/>
        <v/>
      </c>
      <c r="FB133" s="40" t="str">
        <f t="shared" si="1581"/>
        <v/>
      </c>
      <c r="FC133" s="40" t="str">
        <f t="shared" si="1582"/>
        <v/>
      </c>
      <c r="FD133" s="40" t="str">
        <f t="shared" si="1583"/>
        <v/>
      </c>
      <c r="FE133" s="40" t="str">
        <f t="shared" si="1584"/>
        <v/>
      </c>
      <c r="FF133" s="40" t="str">
        <f t="shared" si="1585"/>
        <v/>
      </c>
      <c r="FG133" s="40" t="str">
        <f t="shared" si="1586"/>
        <v/>
      </c>
      <c r="FH133" s="40" t="str">
        <f t="shared" si="1587"/>
        <v/>
      </c>
      <c r="FI133" s="40" t="str">
        <f t="shared" si="1588"/>
        <v/>
      </c>
      <c r="FJ133" s="40" t="str">
        <f t="shared" si="1589"/>
        <v/>
      </c>
      <c r="FK133" s="40" t="str">
        <f t="shared" si="1590"/>
        <v/>
      </c>
      <c r="FL133" s="40" t="str">
        <f t="shared" si="1591"/>
        <v/>
      </c>
      <c r="FM133" s="40" t="str">
        <f t="shared" si="1592"/>
        <v/>
      </c>
      <c r="FN133" s="40" t="str">
        <f t="shared" si="1593"/>
        <v/>
      </c>
      <c r="FO133" s="40" t="str">
        <f t="shared" si="1594"/>
        <v/>
      </c>
      <c r="FP133" s="40" t="str">
        <f t="shared" si="1595"/>
        <v/>
      </c>
      <c r="FQ133" s="40" t="str">
        <f t="shared" si="1596"/>
        <v/>
      </c>
      <c r="FR133" s="40" t="str">
        <f t="shared" si="1597"/>
        <v/>
      </c>
      <c r="FS133" s="40" t="str">
        <f t="shared" si="1598"/>
        <v/>
      </c>
    </row>
    <row r="134" spans="1:175" ht="16.5">
      <c r="A134" s="2"/>
      <c r="B134" s="2" t="s">
        <v>367</v>
      </c>
      <c r="C134" s="3" t="s">
        <v>368</v>
      </c>
      <c r="T134" s="3" t="s">
        <v>369</v>
      </c>
      <c r="U134" s="51" t="str">
        <f t="shared" si="939"/>
        <v>ReplaceableTextures\\CommandButtons\\BTNIN06.blp</v>
      </c>
      <c r="CN134" s="10" t="str">
        <f t="shared" si="1672"/>
        <v>InitUnitState('IN06',,,,,,,,,,)</v>
      </c>
      <c r="CO134" s="10" t="str">
        <f t="shared" si="1673"/>
        <v>InitUnitNormal('IN06',,,,,,,,,,)</v>
      </c>
      <c r="CP134" s="10" t="str">
        <f t="shared" si="1674"/>
        <v>InitUnitMagic('IN06',,,,,,,,,,)</v>
      </c>
      <c r="CQ134" s="10" t="str">
        <f t="shared" si="1675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7"/>
        <v>|n</v>
      </c>
      <c r="CV134" s="3" t="str">
        <f t="shared" si="1528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9"/>
        <v/>
      </c>
      <c r="DC134" s="40" t="str">
        <f t="shared" si="1530"/>
        <v/>
      </c>
      <c r="DD134" s="40" t="str">
        <f t="shared" si="1531"/>
        <v/>
      </c>
      <c r="DE134" s="40" t="str">
        <f t="shared" si="1532"/>
        <v/>
      </c>
      <c r="DF134" s="40" t="str">
        <f t="shared" si="1533"/>
        <v/>
      </c>
      <c r="DG134" s="40" t="str">
        <f t="shared" si="1534"/>
        <v/>
      </c>
      <c r="DH134" s="40" t="str">
        <f t="shared" si="1535"/>
        <v/>
      </c>
      <c r="DI134" s="40" t="str">
        <f t="shared" si="1536"/>
        <v/>
      </c>
      <c r="DJ134" s="40" t="str">
        <f t="shared" si="1537"/>
        <v/>
      </c>
      <c r="DK134" s="40" t="str">
        <f t="shared" si="1538"/>
        <v/>
      </c>
      <c r="DL134" s="40" t="str">
        <f t="shared" si="1539"/>
        <v/>
      </c>
      <c r="DM134" s="40" t="str">
        <f t="shared" si="1540"/>
        <v/>
      </c>
      <c r="DN134" s="40" t="str">
        <f t="shared" si="1541"/>
        <v/>
      </c>
      <c r="DO134" s="40" t="str">
        <f t="shared" si="1542"/>
        <v/>
      </c>
      <c r="DP134" s="40" t="str">
        <f t="shared" si="1543"/>
        <v/>
      </c>
      <c r="DQ134" s="40" t="str">
        <f t="shared" si="1544"/>
        <v/>
      </c>
      <c r="DR134" s="40" t="str">
        <f t="shared" si="1545"/>
        <v/>
      </c>
      <c r="DS134" s="40" t="str">
        <f t="shared" si="1546"/>
        <v/>
      </c>
      <c r="DT134" s="40" t="str">
        <f t="shared" si="1547"/>
        <v/>
      </c>
      <c r="DU134" s="40" t="str">
        <f t="shared" si="1548"/>
        <v/>
      </c>
      <c r="DV134" s="40" t="str">
        <f t="shared" si="1549"/>
        <v/>
      </c>
      <c r="DW134" s="40" t="str">
        <f t="shared" si="1550"/>
        <v/>
      </c>
      <c r="DX134" s="40" t="str">
        <f t="shared" si="1551"/>
        <v/>
      </c>
      <c r="DY134" s="40" t="str">
        <f t="shared" si="1552"/>
        <v/>
      </c>
      <c r="DZ134" s="40" t="str">
        <f t="shared" si="1553"/>
        <v/>
      </c>
      <c r="EA134" s="40" t="str">
        <f t="shared" si="1554"/>
        <v/>
      </c>
      <c r="EB134" s="40" t="str">
        <f t="shared" si="1555"/>
        <v/>
      </c>
      <c r="EC134" s="40" t="str">
        <f t="shared" si="1556"/>
        <v/>
      </c>
      <c r="ED134" s="40" t="str">
        <f t="shared" si="1557"/>
        <v/>
      </c>
      <c r="EE134" s="40" t="str">
        <f t="shared" si="1558"/>
        <v/>
      </c>
      <c r="EF134" s="40" t="str">
        <f t="shared" si="1559"/>
        <v/>
      </c>
      <c r="EG134" s="40" t="str">
        <f t="shared" si="1560"/>
        <v/>
      </c>
      <c r="EH134" s="40" t="str">
        <f t="shared" si="1561"/>
        <v/>
      </c>
      <c r="EI134" s="40" t="str">
        <f t="shared" si="1562"/>
        <v/>
      </c>
      <c r="EJ134" s="40" t="str">
        <f t="shared" si="1563"/>
        <v/>
      </c>
      <c r="EK134" s="40" t="str">
        <f t="shared" si="1564"/>
        <v/>
      </c>
      <c r="EL134" s="40" t="str">
        <f t="shared" si="1565"/>
        <v/>
      </c>
      <c r="EM134" s="40" t="str">
        <f t="shared" si="1566"/>
        <v/>
      </c>
      <c r="EN134" s="40" t="str">
        <f t="shared" si="1567"/>
        <v/>
      </c>
      <c r="EO134" s="40" t="str">
        <f t="shared" si="1568"/>
        <v/>
      </c>
      <c r="EP134" s="40" t="str">
        <f t="shared" si="1569"/>
        <v/>
      </c>
      <c r="EQ134" s="40" t="str">
        <f t="shared" si="1570"/>
        <v/>
      </c>
      <c r="ER134" s="40" t="str">
        <f t="shared" si="1571"/>
        <v/>
      </c>
      <c r="ES134" s="40" t="str">
        <f t="shared" si="1572"/>
        <v/>
      </c>
      <c r="ET134" s="40" t="str">
        <f t="shared" si="1573"/>
        <v/>
      </c>
      <c r="EU134" s="40" t="str">
        <f t="shared" si="1574"/>
        <v/>
      </c>
      <c r="EV134" s="40" t="str">
        <f t="shared" si="1575"/>
        <v/>
      </c>
      <c r="EW134" s="40" t="str">
        <f t="shared" si="1576"/>
        <v/>
      </c>
      <c r="EX134" s="40" t="str">
        <f t="shared" si="1577"/>
        <v/>
      </c>
      <c r="EY134" s="40" t="str">
        <f t="shared" si="1578"/>
        <v/>
      </c>
      <c r="EZ134" s="40" t="str">
        <f t="shared" si="1579"/>
        <v/>
      </c>
      <c r="FA134" s="40" t="str">
        <f t="shared" si="1580"/>
        <v/>
      </c>
      <c r="FB134" s="40" t="str">
        <f t="shared" si="1581"/>
        <v/>
      </c>
      <c r="FC134" s="40" t="str">
        <f t="shared" si="1582"/>
        <v/>
      </c>
      <c r="FD134" s="40" t="str">
        <f t="shared" si="1583"/>
        <v/>
      </c>
      <c r="FE134" s="40" t="str">
        <f t="shared" si="1584"/>
        <v/>
      </c>
      <c r="FF134" s="40" t="str">
        <f t="shared" si="1585"/>
        <v/>
      </c>
      <c r="FG134" s="40" t="str">
        <f t="shared" si="1586"/>
        <v/>
      </c>
      <c r="FH134" s="40" t="str">
        <f t="shared" si="1587"/>
        <v/>
      </c>
      <c r="FI134" s="40" t="str">
        <f t="shared" si="1588"/>
        <v/>
      </c>
      <c r="FJ134" s="40" t="str">
        <f t="shared" si="1589"/>
        <v/>
      </c>
      <c r="FK134" s="40" t="str">
        <f t="shared" si="1590"/>
        <v/>
      </c>
      <c r="FL134" s="40" t="str">
        <f t="shared" si="1591"/>
        <v/>
      </c>
      <c r="FM134" s="40" t="str">
        <f t="shared" si="1592"/>
        <v/>
      </c>
      <c r="FN134" s="40" t="str">
        <f t="shared" si="1593"/>
        <v/>
      </c>
      <c r="FO134" s="40" t="str">
        <f t="shared" si="1594"/>
        <v/>
      </c>
      <c r="FP134" s="40" t="str">
        <f t="shared" si="1595"/>
        <v/>
      </c>
      <c r="FQ134" s="40" t="str">
        <f t="shared" si="1596"/>
        <v/>
      </c>
      <c r="FR134" s="40" t="str">
        <f t="shared" si="1597"/>
        <v/>
      </c>
      <c r="FS134" s="40" t="str">
        <f t="shared" si="1598"/>
        <v/>
      </c>
    </row>
    <row r="135" spans="1:175" ht="16.5">
      <c r="A135" s="2"/>
      <c r="B135" s="2" t="s">
        <v>370</v>
      </c>
      <c r="C135" s="3" t="s">
        <v>371</v>
      </c>
      <c r="T135" s="3" t="s">
        <v>372</v>
      </c>
      <c r="U135" s="51" t="str">
        <f t="shared" si="939"/>
        <v>ReplaceableTextures\\CommandButtons\\BTNIN07.blp</v>
      </c>
      <c r="CN135" s="10" t="str">
        <f t="shared" si="1672"/>
        <v>InitUnitState('IN07',,,,,,,,,,)</v>
      </c>
      <c r="CO135" s="10" t="str">
        <f t="shared" si="1673"/>
        <v>InitUnitNormal('IN07',,,,,,,,,,)</v>
      </c>
      <c r="CP135" s="10" t="str">
        <f t="shared" si="1674"/>
        <v>InitUnitMagic('IN07',,,,,,,,,,)</v>
      </c>
      <c r="CQ135" s="10" t="str">
        <f t="shared" si="1675"/>
        <v>InitUnitAdd('IN07',,,,,,,,,,)</v>
      </c>
      <c r="CR135" s="10" t="str">
        <f t="shared" ref="CR135:CR147" si="1893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4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5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6">IF(V135="","","|n"&amp;DB$2&amp;"+"&amp;V135&amp;DB$1)</f>
        <v/>
      </c>
      <c r="DC135" s="40" t="str">
        <f t="shared" ref="DC135:DC140" si="1897">IF(W135="","","|n"&amp;DC$2&amp;"+"&amp;W135&amp;DC$1)</f>
        <v/>
      </c>
      <c r="DD135" s="40" t="str">
        <f t="shared" ref="DD135:DD140" si="1898">IF(X135="","","|n"&amp;DD$2&amp;"+"&amp;X135&amp;DD$1)</f>
        <v/>
      </c>
      <c r="DE135" s="40" t="str">
        <f t="shared" ref="DE135:DE140" si="1899">IF(Y135="","","|n"&amp;DE$2&amp;"+"&amp;Y135&amp;DE$1)</f>
        <v/>
      </c>
      <c r="DF135" s="40" t="str">
        <f t="shared" ref="DF135:DF140" si="1900">IF(Z135="","","|n"&amp;DF$2&amp;"+"&amp;Z135&amp;DF$1)</f>
        <v/>
      </c>
      <c r="DG135" s="40" t="str">
        <f t="shared" ref="DG135:DG140" si="1901">IF(AA135="","","|n"&amp;DG$2&amp;"+"&amp;AA135&amp;DG$1)</f>
        <v/>
      </c>
      <c r="DH135" s="40" t="str">
        <f t="shared" ref="DH135:DH140" si="1902">IF(AB135="","","|n"&amp;DH$2&amp;"+"&amp;AB135&amp;DH$1)</f>
        <v/>
      </c>
      <c r="DI135" s="40" t="str">
        <f t="shared" ref="DI135:DI140" si="1903">IF(AC135="","","|n"&amp;DI$2&amp;"+"&amp;AC135&amp;DI$1)</f>
        <v/>
      </c>
      <c r="DJ135" s="40" t="str">
        <f t="shared" ref="DJ135:DJ140" si="1904">IF(AD135="","","|n"&amp;DJ$2&amp;"+"&amp;AD135&amp;DJ$1)</f>
        <v/>
      </c>
      <c r="DK135" s="40" t="str">
        <f t="shared" ref="DK135:DK140" si="1905">IF(AE135="","","|n"&amp;DK$2&amp;"+"&amp;AE135&amp;DK$1)</f>
        <v/>
      </c>
      <c r="DL135" s="40" t="str">
        <f t="shared" ref="DL135:DL140" si="1906">IF(AF135="","","|n"&amp;DL$2&amp;"+"&amp;AF135&amp;DL$1)</f>
        <v/>
      </c>
      <c r="DM135" s="40" t="str">
        <f t="shared" ref="DM135:DM140" si="1907">IF(AG135="","","|n"&amp;DM$2&amp;"+"&amp;AG135&amp;DM$1)</f>
        <v/>
      </c>
      <c r="DN135" s="40" t="str">
        <f t="shared" ref="DN135:DN140" si="1908">IF(AH135="","","|n"&amp;DN$2&amp;"+"&amp;AH135&amp;DN$1)</f>
        <v/>
      </c>
      <c r="DO135" s="40" t="str">
        <f t="shared" ref="DO135:DO140" si="1909">IF(AI135="","","|n"&amp;DO$2&amp;"+"&amp;AI135&amp;DO$1)</f>
        <v/>
      </c>
      <c r="DP135" s="40" t="str">
        <f t="shared" ref="DP135:DP140" si="1910">IF(AJ135="","","|n"&amp;DP$2&amp;"+"&amp;AJ135&amp;DP$1)</f>
        <v/>
      </c>
      <c r="DQ135" s="40" t="str">
        <f t="shared" ref="DQ135:DQ140" si="1911">IF(AK135="","","|n"&amp;DQ$2&amp;"+"&amp;AK135&amp;DQ$1)</f>
        <v/>
      </c>
      <c r="DR135" s="40" t="str">
        <f t="shared" ref="DR135:DR140" si="1912">IF(AL135="","","|n"&amp;DR$2&amp;"+"&amp;AL135&amp;DR$1)</f>
        <v/>
      </c>
      <c r="DS135" s="40" t="str">
        <f t="shared" ref="DS135:DS140" si="1913">IF(AM135="","","|n"&amp;DS$2&amp;"+"&amp;AM135&amp;DS$1)</f>
        <v/>
      </c>
      <c r="DT135" s="40" t="str">
        <f t="shared" ref="DT135:DT140" si="1914">IF(AN135="","","|n"&amp;DT$2&amp;"+"&amp;AN135&amp;DT$1)</f>
        <v/>
      </c>
      <c r="DU135" s="40" t="str">
        <f t="shared" ref="DU135:DU140" si="1915">IF(AO135="","","|n"&amp;DU$2&amp;"+"&amp;AO135&amp;DU$1)</f>
        <v/>
      </c>
      <c r="DV135" s="40" t="str">
        <f t="shared" ref="DV135:DV140" si="1916">IF(AP135="","","|n"&amp;DV$2&amp;"+"&amp;AP135&amp;DV$1)</f>
        <v/>
      </c>
      <c r="DW135" s="40" t="str">
        <f t="shared" ref="DW135:DW140" si="1917">IF(AQ135="","","|n"&amp;DW$2&amp;"+"&amp;AQ135&amp;DW$1)</f>
        <v/>
      </c>
      <c r="DX135" s="40" t="str">
        <f t="shared" ref="DX135:DX140" si="1918">IF(AR135="","","|n"&amp;DX$2&amp;"+"&amp;AR135&amp;DX$1)</f>
        <v/>
      </c>
      <c r="DY135" s="40" t="str">
        <f t="shared" ref="DY135:DY140" si="1919">IF(AS135="","","|n"&amp;DY$2&amp;"+"&amp;AS135&amp;DY$1)</f>
        <v/>
      </c>
      <c r="DZ135" s="40" t="str">
        <f t="shared" ref="DZ135:DZ140" si="1920">IF(AT135="","","|n"&amp;DZ$2&amp;"+"&amp;AT135&amp;DZ$1)</f>
        <v/>
      </c>
      <c r="EA135" s="40" t="str">
        <f t="shared" ref="EA135:EA140" si="1921">IF(AU135="","","|n"&amp;EA$2&amp;"+"&amp;AU135&amp;EA$1)</f>
        <v/>
      </c>
      <c r="EB135" s="40" t="str">
        <f t="shared" ref="EB135:EB140" si="1922">IF(AV135="","","|n"&amp;EB$2&amp;"+"&amp;AV135&amp;EB$1)</f>
        <v/>
      </c>
      <c r="EC135" s="40" t="str">
        <f t="shared" ref="EC135:EC140" si="1923">IF(AW135="","","|n"&amp;EC$2&amp;"+"&amp;AW135&amp;EC$1)</f>
        <v/>
      </c>
      <c r="ED135" s="40" t="str">
        <f t="shared" ref="ED135:ED140" si="1924">IF(AX135="","","|n"&amp;ED$2&amp;"+"&amp;AX135&amp;ED$1)</f>
        <v/>
      </c>
      <c r="EE135" s="40" t="str">
        <f t="shared" ref="EE135:EE140" si="1925">IF(AY135="","","|n"&amp;EE$2&amp;"+"&amp;AY135&amp;EE$1)</f>
        <v/>
      </c>
      <c r="EF135" s="40" t="str">
        <f t="shared" ref="EF135:EF140" si="1926">IF(AZ135="","","|n"&amp;EF$2&amp;"+"&amp;AZ135&amp;EF$1)</f>
        <v/>
      </c>
      <c r="EG135" s="40" t="str">
        <f t="shared" ref="EG135:EG140" si="1927">IF(BA135="","","|n"&amp;EG$2&amp;"+"&amp;BA135&amp;EG$1)</f>
        <v/>
      </c>
      <c r="EH135" s="40" t="str">
        <f t="shared" ref="EH135:EH140" si="1928">IF(BB135="","","|n"&amp;EH$2&amp;"+"&amp;BB135&amp;EH$1)</f>
        <v/>
      </c>
      <c r="EI135" s="40" t="str">
        <f t="shared" ref="EI135:EI140" si="1929">IF(BC135="","","|n"&amp;EI$2&amp;"+"&amp;BC135&amp;EI$1)</f>
        <v/>
      </c>
      <c r="EJ135" s="40" t="str">
        <f t="shared" ref="EJ135:EJ140" si="1930">IF(BD135="","","|n"&amp;EJ$2&amp;"+"&amp;BD135&amp;EJ$1)</f>
        <v/>
      </c>
      <c r="EK135" s="40" t="str">
        <f t="shared" ref="EK135:EK140" si="1931">IF(BE135="","","|n"&amp;EK$2&amp;"+"&amp;BE135&amp;EK$1)</f>
        <v/>
      </c>
      <c r="EL135" s="40" t="str">
        <f t="shared" ref="EL135:EL140" si="1932">IF(BF135="","","|n"&amp;EL$2&amp;"+"&amp;BF135&amp;EL$1)</f>
        <v/>
      </c>
      <c r="EM135" s="40" t="str">
        <f t="shared" ref="EM135:EM140" si="1933">IF(BG135="","","|n"&amp;EM$2&amp;"+"&amp;BG135&amp;EM$1)</f>
        <v/>
      </c>
      <c r="EN135" s="40" t="str">
        <f t="shared" ref="EN135:EN140" si="1934">IF(BH135="","","|n"&amp;EN$2&amp;"+"&amp;BH135&amp;EN$1)</f>
        <v/>
      </c>
      <c r="EO135" s="40" t="str">
        <f t="shared" ref="EO135:EO140" si="1935">IF(BI135="","","|n"&amp;EO$2&amp;"+"&amp;BI135&amp;EO$1)</f>
        <v/>
      </c>
      <c r="EP135" s="40" t="str">
        <f t="shared" ref="EP135:EP140" si="1936">IF(BJ135="","","|n"&amp;EP$2&amp;"+"&amp;BJ135&amp;EP$1)</f>
        <v/>
      </c>
      <c r="EQ135" s="40" t="str">
        <f t="shared" ref="EQ135:EQ140" si="1937">IF(BK135="","","|n"&amp;EQ$2&amp;"+"&amp;BK135&amp;EQ$1)</f>
        <v/>
      </c>
      <c r="ER135" s="40" t="str">
        <f t="shared" ref="ER135:ER140" si="1938">IF(BL135="","","|n"&amp;ER$2&amp;"+"&amp;BL135&amp;ER$1)</f>
        <v/>
      </c>
      <c r="ES135" s="40" t="str">
        <f t="shared" ref="ES135:ES140" si="1939">IF(BM135="","","|n"&amp;ES$2&amp;"+"&amp;BM135&amp;ES$1)</f>
        <v/>
      </c>
      <c r="ET135" s="40" t="str">
        <f t="shared" ref="ET135:ET140" si="1940">IF(BN135="","","|n"&amp;ET$2&amp;"+"&amp;BN135&amp;ET$1)</f>
        <v/>
      </c>
      <c r="EU135" s="40" t="str">
        <f t="shared" ref="EU135:EU140" si="1941">IF(BO135="","","|n"&amp;EU$2&amp;"+"&amp;BO135&amp;EU$1)</f>
        <v/>
      </c>
      <c r="EV135" s="40" t="str">
        <f t="shared" ref="EV135:EV140" si="1942">IF(BP135="","","|n"&amp;EV$2&amp;"+"&amp;BP135&amp;EV$1)</f>
        <v/>
      </c>
      <c r="EW135" s="40" t="str">
        <f t="shared" ref="EW135:EW140" si="1943">IF(BQ135="","","|n"&amp;EW$2&amp;"+"&amp;BQ135&amp;EW$1)</f>
        <v/>
      </c>
      <c r="EX135" s="40" t="str">
        <f t="shared" ref="EX135:EX140" si="1944">IF(BR135="","","|n"&amp;EX$2&amp;"+"&amp;BR135&amp;EX$1)</f>
        <v/>
      </c>
      <c r="EY135" s="40" t="str">
        <f t="shared" ref="EY135:EY140" si="1945">IF(BS135="","","|n"&amp;EY$2&amp;"+"&amp;BS135&amp;EY$1)</f>
        <v/>
      </c>
      <c r="EZ135" s="40" t="str">
        <f t="shared" ref="EZ135:EZ140" si="1946">IF(BT135="","","|n"&amp;EZ$2&amp;"+"&amp;BT135&amp;EZ$1)</f>
        <v/>
      </c>
      <c r="FA135" s="40" t="str">
        <f t="shared" ref="FA135:FA140" si="1947">IF(BU135="","","|n"&amp;FA$2&amp;"+"&amp;BU135&amp;FA$1)</f>
        <v/>
      </c>
      <c r="FB135" s="40" t="str">
        <f t="shared" ref="FB135:FB140" si="1948">IF(BV135="","","|n"&amp;FB$2&amp;"+"&amp;BV135&amp;FB$1)</f>
        <v/>
      </c>
      <c r="FC135" s="40" t="str">
        <f t="shared" ref="FC135:FC140" si="1949">IF(BW135="","","|n"&amp;FC$2&amp;"+"&amp;BW135&amp;FC$1)</f>
        <v/>
      </c>
      <c r="FD135" s="40" t="str">
        <f t="shared" ref="FD135:FD140" si="1950">IF(BX135="","","|n"&amp;FD$2&amp;"+"&amp;BX135&amp;FD$1)</f>
        <v/>
      </c>
      <c r="FE135" s="40" t="str">
        <f t="shared" ref="FE135:FE140" si="1951">IF(BY135="","","|n"&amp;FE$2&amp;"+"&amp;BY135&amp;FE$1)</f>
        <v/>
      </c>
      <c r="FF135" s="40" t="str">
        <f t="shared" ref="FF135:FF140" si="1952">IF(BZ135="","","|n"&amp;FF$2&amp;"+"&amp;BZ135&amp;FF$1)</f>
        <v/>
      </c>
      <c r="FG135" s="40" t="str">
        <f t="shared" ref="FG135:FG140" si="1953">IF(CA135="","","|n"&amp;FG$2&amp;"+"&amp;CA135&amp;FG$1)</f>
        <v/>
      </c>
      <c r="FH135" s="40" t="str">
        <f t="shared" ref="FH135:FH140" si="1954">IF(CB135="","","|n"&amp;FH$2&amp;"+"&amp;CB135&amp;FH$1)</f>
        <v/>
      </c>
      <c r="FI135" s="40" t="str">
        <f t="shared" ref="FI135:FI140" si="1955">IF(CC135="","","|n"&amp;FI$2&amp;"+"&amp;CC135&amp;FI$1)</f>
        <v/>
      </c>
      <c r="FJ135" s="40" t="str">
        <f t="shared" ref="FJ135:FJ140" si="1956">IF(CD135="","","|n"&amp;FJ$2&amp;"+"&amp;CD135&amp;FJ$1)</f>
        <v/>
      </c>
      <c r="FK135" s="40" t="str">
        <f t="shared" ref="FK135:FK140" si="1957">IF(CE135="","","|n"&amp;FK$2&amp;"+"&amp;CE135&amp;FK$1)</f>
        <v/>
      </c>
      <c r="FL135" s="40" t="str">
        <f t="shared" ref="FL135:FL140" si="1958">IF(CF135="","","|n"&amp;FL$2&amp;"+"&amp;CF135&amp;FL$1)</f>
        <v/>
      </c>
      <c r="FM135" s="40" t="str">
        <f t="shared" ref="FM135:FM140" si="1959">IF(CG135="","","|n"&amp;FM$2&amp;"+"&amp;CG135&amp;FM$1)</f>
        <v/>
      </c>
      <c r="FN135" s="40" t="str">
        <f t="shared" ref="FN135:FN140" si="1960">IF(CH135="","","|n"&amp;FN$2&amp;"+"&amp;CH135&amp;FN$1)</f>
        <v/>
      </c>
      <c r="FO135" s="40" t="str">
        <f t="shared" ref="FO135:FO140" si="1961">IF(CI135="","","|n"&amp;FO$2&amp;"+"&amp;CI135&amp;FO$1)</f>
        <v/>
      </c>
      <c r="FP135" s="40" t="str">
        <f t="shared" ref="FP135:FP140" si="1962">IF(CJ135="","","|n"&amp;FP$2&amp;"+"&amp;CJ135&amp;FP$1)</f>
        <v/>
      </c>
      <c r="FQ135" s="40" t="str">
        <f t="shared" ref="FQ135:FQ140" si="1963">IF(CK135="","","|n"&amp;FQ$2&amp;"+"&amp;CK135&amp;FQ$1)</f>
        <v/>
      </c>
      <c r="FR135" s="40" t="str">
        <f t="shared" ref="FR135:FR140" si="1964">IF(CL135="","","|n"&amp;FR$2&amp;"+"&amp;CL135&amp;FR$1)</f>
        <v/>
      </c>
      <c r="FS135" s="40" t="str">
        <f t="shared" ref="FS135:FS140" si="1965">IF(CM135="","","|n"&amp;FS$2&amp;"+"&amp;CM135&amp;FS$1)</f>
        <v/>
      </c>
    </row>
    <row r="136" spans="1:175" ht="16.5">
      <c r="A136" s="2"/>
      <c r="B136" s="2" t="s">
        <v>373</v>
      </c>
      <c r="C136" s="3" t="s">
        <v>374</v>
      </c>
      <c r="T136" s="3" t="s">
        <v>375</v>
      </c>
      <c r="U136" s="51" t="str">
        <f t="shared" si="939"/>
        <v>ReplaceableTextures\\CommandButtons\\BTNIN08.blp</v>
      </c>
      <c r="CN136" s="10" t="str">
        <f t="shared" si="1672"/>
        <v>InitUnitState('IN08',,,,,,,,,,)</v>
      </c>
      <c r="CO136" s="10" t="str">
        <f t="shared" si="1673"/>
        <v>InitUnitNormal('IN08',,,,,,,,,,)</v>
      </c>
      <c r="CP136" s="10" t="str">
        <f t="shared" si="1674"/>
        <v>InitUnitMagic('IN08',,,,,,,,,,)</v>
      </c>
      <c r="CQ136" s="10" t="str">
        <f t="shared" si="1675"/>
        <v>InitUnitAdd('IN08',,,,,,,,,,)</v>
      </c>
      <c r="CR136" s="10" t="str">
        <f t="shared" si="1893"/>
        <v>InitEquipData('IN08',,"",,,,,'','','','','','',"ReplaceableTextures\\CommandButtons\\BTNIT02.blp")</v>
      </c>
      <c r="CU136" s="61" t="str">
        <f t="shared" si="1894"/>
        <v>|n</v>
      </c>
      <c r="CV136" s="3" t="str">
        <f t="shared" si="1895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6"/>
        <v/>
      </c>
      <c r="DC136" s="40" t="str">
        <f t="shared" si="1897"/>
        <v/>
      </c>
      <c r="DD136" s="40" t="str">
        <f t="shared" si="1898"/>
        <v/>
      </c>
      <c r="DE136" s="40" t="str">
        <f t="shared" si="1899"/>
        <v/>
      </c>
      <c r="DF136" s="40" t="str">
        <f t="shared" si="1900"/>
        <v/>
      </c>
      <c r="DG136" s="40" t="str">
        <f t="shared" si="1901"/>
        <v/>
      </c>
      <c r="DH136" s="40" t="str">
        <f t="shared" si="1902"/>
        <v/>
      </c>
      <c r="DI136" s="40" t="str">
        <f t="shared" si="1903"/>
        <v/>
      </c>
      <c r="DJ136" s="40" t="str">
        <f t="shared" si="1904"/>
        <v/>
      </c>
      <c r="DK136" s="40" t="str">
        <f t="shared" si="1905"/>
        <v/>
      </c>
      <c r="DL136" s="40" t="str">
        <f t="shared" si="1906"/>
        <v/>
      </c>
      <c r="DM136" s="40" t="str">
        <f t="shared" si="1907"/>
        <v/>
      </c>
      <c r="DN136" s="40" t="str">
        <f t="shared" si="1908"/>
        <v/>
      </c>
      <c r="DO136" s="40" t="str">
        <f t="shared" si="1909"/>
        <v/>
      </c>
      <c r="DP136" s="40" t="str">
        <f t="shared" si="1910"/>
        <v/>
      </c>
      <c r="DQ136" s="40" t="str">
        <f t="shared" si="1911"/>
        <v/>
      </c>
      <c r="DR136" s="40" t="str">
        <f t="shared" si="1912"/>
        <v/>
      </c>
      <c r="DS136" s="40" t="str">
        <f t="shared" si="1913"/>
        <v/>
      </c>
      <c r="DT136" s="40" t="str">
        <f t="shared" si="1914"/>
        <v/>
      </c>
      <c r="DU136" s="40" t="str">
        <f t="shared" si="1915"/>
        <v/>
      </c>
      <c r="DV136" s="40" t="str">
        <f t="shared" si="1916"/>
        <v/>
      </c>
      <c r="DW136" s="40" t="str">
        <f t="shared" si="1917"/>
        <v/>
      </c>
      <c r="DX136" s="40" t="str">
        <f t="shared" si="1918"/>
        <v/>
      </c>
      <c r="DY136" s="40" t="str">
        <f t="shared" si="1919"/>
        <v/>
      </c>
      <c r="DZ136" s="40" t="str">
        <f t="shared" si="1920"/>
        <v/>
      </c>
      <c r="EA136" s="40" t="str">
        <f t="shared" si="1921"/>
        <v/>
      </c>
      <c r="EB136" s="40" t="str">
        <f t="shared" si="1922"/>
        <v/>
      </c>
      <c r="EC136" s="40" t="str">
        <f t="shared" si="1923"/>
        <v/>
      </c>
      <c r="ED136" s="40" t="str">
        <f t="shared" si="1924"/>
        <v/>
      </c>
      <c r="EE136" s="40" t="str">
        <f t="shared" si="1925"/>
        <v/>
      </c>
      <c r="EF136" s="40" t="str">
        <f t="shared" si="1926"/>
        <v/>
      </c>
      <c r="EG136" s="40" t="str">
        <f t="shared" si="1927"/>
        <v/>
      </c>
      <c r="EH136" s="40" t="str">
        <f t="shared" si="1928"/>
        <v/>
      </c>
      <c r="EI136" s="40" t="str">
        <f t="shared" si="1929"/>
        <v/>
      </c>
      <c r="EJ136" s="40" t="str">
        <f t="shared" si="1930"/>
        <v/>
      </c>
      <c r="EK136" s="40" t="str">
        <f t="shared" si="1931"/>
        <v/>
      </c>
      <c r="EL136" s="40" t="str">
        <f t="shared" si="1932"/>
        <v/>
      </c>
      <c r="EM136" s="40" t="str">
        <f t="shared" si="1933"/>
        <v/>
      </c>
      <c r="EN136" s="40" t="str">
        <f t="shared" si="1934"/>
        <v/>
      </c>
      <c r="EO136" s="40" t="str">
        <f t="shared" si="1935"/>
        <v/>
      </c>
      <c r="EP136" s="40" t="str">
        <f t="shared" si="1936"/>
        <v/>
      </c>
      <c r="EQ136" s="40" t="str">
        <f t="shared" si="1937"/>
        <v/>
      </c>
      <c r="ER136" s="40" t="str">
        <f t="shared" si="1938"/>
        <v/>
      </c>
      <c r="ES136" s="40" t="str">
        <f t="shared" si="1939"/>
        <v/>
      </c>
      <c r="ET136" s="40" t="str">
        <f t="shared" si="1940"/>
        <v/>
      </c>
      <c r="EU136" s="40" t="str">
        <f t="shared" si="1941"/>
        <v/>
      </c>
      <c r="EV136" s="40" t="str">
        <f t="shared" si="1942"/>
        <v/>
      </c>
      <c r="EW136" s="40" t="str">
        <f t="shared" si="1943"/>
        <v/>
      </c>
      <c r="EX136" s="40" t="str">
        <f t="shared" si="1944"/>
        <v/>
      </c>
      <c r="EY136" s="40" t="str">
        <f t="shared" si="1945"/>
        <v/>
      </c>
      <c r="EZ136" s="40" t="str">
        <f t="shared" si="1946"/>
        <v/>
      </c>
      <c r="FA136" s="40" t="str">
        <f t="shared" si="1947"/>
        <v/>
      </c>
      <c r="FB136" s="40" t="str">
        <f t="shared" si="1948"/>
        <v/>
      </c>
      <c r="FC136" s="40" t="str">
        <f t="shared" si="1949"/>
        <v/>
      </c>
      <c r="FD136" s="40" t="str">
        <f t="shared" si="1950"/>
        <v/>
      </c>
      <c r="FE136" s="40" t="str">
        <f t="shared" si="1951"/>
        <v/>
      </c>
      <c r="FF136" s="40" t="str">
        <f t="shared" si="1952"/>
        <v/>
      </c>
      <c r="FG136" s="40" t="str">
        <f t="shared" si="1953"/>
        <v/>
      </c>
      <c r="FH136" s="40" t="str">
        <f t="shared" si="1954"/>
        <v/>
      </c>
      <c r="FI136" s="40" t="str">
        <f t="shared" si="1955"/>
        <v/>
      </c>
      <c r="FJ136" s="40" t="str">
        <f t="shared" si="1956"/>
        <v/>
      </c>
      <c r="FK136" s="40" t="str">
        <f t="shared" si="1957"/>
        <v/>
      </c>
      <c r="FL136" s="40" t="str">
        <f t="shared" si="1958"/>
        <v/>
      </c>
      <c r="FM136" s="40" t="str">
        <f t="shared" si="1959"/>
        <v/>
      </c>
      <c r="FN136" s="40" t="str">
        <f t="shared" si="1960"/>
        <v/>
      </c>
      <c r="FO136" s="40" t="str">
        <f t="shared" si="1961"/>
        <v/>
      </c>
      <c r="FP136" s="40" t="str">
        <f t="shared" si="1962"/>
        <v/>
      </c>
      <c r="FQ136" s="40" t="str">
        <f t="shared" si="1963"/>
        <v/>
      </c>
      <c r="FR136" s="40" t="str">
        <f t="shared" si="1964"/>
        <v/>
      </c>
      <c r="FS136" s="40" t="str">
        <f t="shared" si="1965"/>
        <v/>
      </c>
    </row>
    <row r="137" spans="1:175" ht="16.5">
      <c r="A137" s="2"/>
      <c r="B137" s="2" t="s">
        <v>376</v>
      </c>
      <c r="C137" s="3" t="s">
        <v>377</v>
      </c>
      <c r="T137" s="3" t="s">
        <v>378</v>
      </c>
      <c r="U137" s="51" t="str">
        <f t="shared" si="939"/>
        <v>ReplaceableTextures\\CommandButtons\\BTNIN09.blp</v>
      </c>
      <c r="CN137" s="10" t="str">
        <f t="shared" si="1672"/>
        <v>InitUnitState('IN09',,,,,,,,,,)</v>
      </c>
      <c r="CO137" s="10" t="str">
        <f t="shared" si="1673"/>
        <v>InitUnitNormal('IN09',,,,,,,,,,)</v>
      </c>
      <c r="CP137" s="10" t="str">
        <f t="shared" si="1674"/>
        <v>InitUnitMagic('IN09',,,,,,,,,,)</v>
      </c>
      <c r="CQ137" s="10" t="str">
        <f t="shared" si="1675"/>
        <v>InitUnitAdd('IN09',,,,,,,,,,)</v>
      </c>
      <c r="CR137" s="10" t="str">
        <f t="shared" si="1893"/>
        <v>InitEquipData('IN09',,"",,,,,'','','','','','',"ReplaceableTextures\\CommandButtons\\BTNIT03.blp")</v>
      </c>
      <c r="CU137" s="61" t="str">
        <f t="shared" si="1894"/>
        <v>|n</v>
      </c>
      <c r="CV137" s="3" t="str">
        <f t="shared" si="1895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6"/>
        <v/>
      </c>
      <c r="DC137" s="40" t="str">
        <f t="shared" si="1897"/>
        <v/>
      </c>
      <c r="DD137" s="40" t="str">
        <f t="shared" si="1898"/>
        <v/>
      </c>
      <c r="DE137" s="40" t="str">
        <f t="shared" si="1899"/>
        <v/>
      </c>
      <c r="DF137" s="40" t="str">
        <f t="shared" si="1900"/>
        <v/>
      </c>
      <c r="DG137" s="40" t="str">
        <f t="shared" si="1901"/>
        <v/>
      </c>
      <c r="DH137" s="40" t="str">
        <f t="shared" si="1902"/>
        <v/>
      </c>
      <c r="DI137" s="40" t="str">
        <f t="shared" si="1903"/>
        <v/>
      </c>
      <c r="DJ137" s="40" t="str">
        <f t="shared" si="1904"/>
        <v/>
      </c>
      <c r="DK137" s="40" t="str">
        <f t="shared" si="1905"/>
        <v/>
      </c>
      <c r="DL137" s="40" t="str">
        <f t="shared" si="1906"/>
        <v/>
      </c>
      <c r="DM137" s="40" t="str">
        <f t="shared" si="1907"/>
        <v/>
      </c>
      <c r="DN137" s="40" t="str">
        <f t="shared" si="1908"/>
        <v/>
      </c>
      <c r="DO137" s="40" t="str">
        <f t="shared" si="1909"/>
        <v/>
      </c>
      <c r="DP137" s="40" t="str">
        <f t="shared" si="1910"/>
        <v/>
      </c>
      <c r="DQ137" s="40" t="str">
        <f t="shared" si="1911"/>
        <v/>
      </c>
      <c r="DR137" s="40" t="str">
        <f t="shared" si="1912"/>
        <v/>
      </c>
      <c r="DS137" s="40" t="str">
        <f t="shared" si="1913"/>
        <v/>
      </c>
      <c r="DT137" s="40" t="str">
        <f t="shared" si="1914"/>
        <v/>
      </c>
      <c r="DU137" s="40" t="str">
        <f t="shared" si="1915"/>
        <v/>
      </c>
      <c r="DV137" s="40" t="str">
        <f t="shared" si="1916"/>
        <v/>
      </c>
      <c r="DW137" s="40" t="str">
        <f t="shared" si="1917"/>
        <v/>
      </c>
      <c r="DX137" s="40" t="str">
        <f t="shared" si="1918"/>
        <v/>
      </c>
      <c r="DY137" s="40" t="str">
        <f t="shared" si="1919"/>
        <v/>
      </c>
      <c r="DZ137" s="40" t="str">
        <f t="shared" si="1920"/>
        <v/>
      </c>
      <c r="EA137" s="40" t="str">
        <f t="shared" si="1921"/>
        <v/>
      </c>
      <c r="EB137" s="40" t="str">
        <f t="shared" si="1922"/>
        <v/>
      </c>
      <c r="EC137" s="40" t="str">
        <f t="shared" si="1923"/>
        <v/>
      </c>
      <c r="ED137" s="40" t="str">
        <f t="shared" si="1924"/>
        <v/>
      </c>
      <c r="EE137" s="40" t="str">
        <f t="shared" si="1925"/>
        <v/>
      </c>
      <c r="EF137" s="40" t="str">
        <f t="shared" si="1926"/>
        <v/>
      </c>
      <c r="EG137" s="40" t="str">
        <f t="shared" si="1927"/>
        <v/>
      </c>
      <c r="EH137" s="40" t="str">
        <f t="shared" si="1928"/>
        <v/>
      </c>
      <c r="EI137" s="40" t="str">
        <f t="shared" si="1929"/>
        <v/>
      </c>
      <c r="EJ137" s="40" t="str">
        <f t="shared" si="1930"/>
        <v/>
      </c>
      <c r="EK137" s="40" t="str">
        <f t="shared" si="1931"/>
        <v/>
      </c>
      <c r="EL137" s="40" t="str">
        <f t="shared" si="1932"/>
        <v/>
      </c>
      <c r="EM137" s="40" t="str">
        <f t="shared" si="1933"/>
        <v/>
      </c>
      <c r="EN137" s="40" t="str">
        <f t="shared" si="1934"/>
        <v/>
      </c>
      <c r="EO137" s="40" t="str">
        <f t="shared" si="1935"/>
        <v/>
      </c>
      <c r="EP137" s="40" t="str">
        <f t="shared" si="1936"/>
        <v/>
      </c>
      <c r="EQ137" s="40" t="str">
        <f t="shared" si="1937"/>
        <v/>
      </c>
      <c r="ER137" s="40" t="str">
        <f t="shared" si="1938"/>
        <v/>
      </c>
      <c r="ES137" s="40" t="str">
        <f t="shared" si="1939"/>
        <v/>
      </c>
      <c r="ET137" s="40" t="str">
        <f t="shared" si="1940"/>
        <v/>
      </c>
      <c r="EU137" s="40" t="str">
        <f t="shared" si="1941"/>
        <v/>
      </c>
      <c r="EV137" s="40" t="str">
        <f t="shared" si="1942"/>
        <v/>
      </c>
      <c r="EW137" s="40" t="str">
        <f t="shared" si="1943"/>
        <v/>
      </c>
      <c r="EX137" s="40" t="str">
        <f t="shared" si="1944"/>
        <v/>
      </c>
      <c r="EY137" s="40" t="str">
        <f t="shared" si="1945"/>
        <v/>
      </c>
      <c r="EZ137" s="40" t="str">
        <f t="shared" si="1946"/>
        <v/>
      </c>
      <c r="FA137" s="40" t="str">
        <f t="shared" si="1947"/>
        <v/>
      </c>
      <c r="FB137" s="40" t="str">
        <f t="shared" si="1948"/>
        <v/>
      </c>
      <c r="FC137" s="40" t="str">
        <f t="shared" si="1949"/>
        <v/>
      </c>
      <c r="FD137" s="40" t="str">
        <f t="shared" si="1950"/>
        <v/>
      </c>
      <c r="FE137" s="40" t="str">
        <f t="shared" si="1951"/>
        <v/>
      </c>
      <c r="FF137" s="40" t="str">
        <f t="shared" si="1952"/>
        <v/>
      </c>
      <c r="FG137" s="40" t="str">
        <f t="shared" si="1953"/>
        <v/>
      </c>
      <c r="FH137" s="40" t="str">
        <f t="shared" si="1954"/>
        <v/>
      </c>
      <c r="FI137" s="40" t="str">
        <f t="shared" si="1955"/>
        <v/>
      </c>
      <c r="FJ137" s="40" t="str">
        <f t="shared" si="1956"/>
        <v/>
      </c>
      <c r="FK137" s="40" t="str">
        <f t="shared" si="1957"/>
        <v/>
      </c>
      <c r="FL137" s="40" t="str">
        <f t="shared" si="1958"/>
        <v/>
      </c>
      <c r="FM137" s="40" t="str">
        <f t="shared" si="1959"/>
        <v/>
      </c>
      <c r="FN137" s="40" t="str">
        <f t="shared" si="1960"/>
        <v/>
      </c>
      <c r="FO137" s="40" t="str">
        <f t="shared" si="1961"/>
        <v/>
      </c>
      <c r="FP137" s="40" t="str">
        <f t="shared" si="1962"/>
        <v/>
      </c>
      <c r="FQ137" s="40" t="str">
        <f t="shared" si="1963"/>
        <v/>
      </c>
      <c r="FR137" s="40" t="str">
        <f t="shared" si="1964"/>
        <v/>
      </c>
      <c r="FS137" s="40" t="str">
        <f t="shared" si="1965"/>
        <v/>
      </c>
    </row>
    <row r="138" spans="1:175" ht="16.5">
      <c r="A138" s="2"/>
      <c r="B138" s="2" t="s">
        <v>379</v>
      </c>
      <c r="C138" s="3" t="s">
        <v>380</v>
      </c>
      <c r="T138" s="3" t="s">
        <v>381</v>
      </c>
      <c r="U138" s="51" t="str">
        <f t="shared" si="939"/>
        <v>ReplaceableTextures\\CommandButtons\\BTNIN10.blp</v>
      </c>
      <c r="CN138" s="10" t="str">
        <f t="shared" si="1672"/>
        <v>InitUnitState('IN10',,,,,,,,,,)</v>
      </c>
      <c r="CO138" s="10" t="str">
        <f t="shared" si="1673"/>
        <v>InitUnitNormal('IN10',,,,,,,,,,)</v>
      </c>
      <c r="CP138" s="10" t="str">
        <f t="shared" si="1674"/>
        <v>InitUnitMagic('IN10',,,,,,,,,,)</v>
      </c>
      <c r="CQ138" s="10" t="str">
        <f t="shared" si="1675"/>
        <v>InitUnitAdd('IN10',,,,,,,,,,)</v>
      </c>
      <c r="CR138" s="10" t="str">
        <f t="shared" si="1893"/>
        <v>InitEquipData('IN10',,"",,,,,'','','','','','',"ReplaceableTextures\\CommandButtons\\BTNIT04.blp")</v>
      </c>
      <c r="CU138" s="61" t="str">
        <f t="shared" si="1894"/>
        <v>|n</v>
      </c>
      <c r="CV138" s="3" t="str">
        <f t="shared" si="1895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6"/>
        <v/>
      </c>
      <c r="DC138" s="40" t="str">
        <f t="shared" si="1897"/>
        <v/>
      </c>
      <c r="DD138" s="40" t="str">
        <f t="shared" si="1898"/>
        <v/>
      </c>
      <c r="DE138" s="40" t="str">
        <f t="shared" si="1899"/>
        <v/>
      </c>
      <c r="DF138" s="40" t="str">
        <f t="shared" si="1900"/>
        <v/>
      </c>
      <c r="DG138" s="40" t="str">
        <f t="shared" si="1901"/>
        <v/>
      </c>
      <c r="DH138" s="40" t="str">
        <f t="shared" si="1902"/>
        <v/>
      </c>
      <c r="DI138" s="40" t="str">
        <f t="shared" si="1903"/>
        <v/>
      </c>
      <c r="DJ138" s="40" t="str">
        <f t="shared" si="1904"/>
        <v/>
      </c>
      <c r="DK138" s="40" t="str">
        <f t="shared" si="1905"/>
        <v/>
      </c>
      <c r="DL138" s="40" t="str">
        <f t="shared" si="1906"/>
        <v/>
      </c>
      <c r="DM138" s="40" t="str">
        <f t="shared" si="1907"/>
        <v/>
      </c>
      <c r="DN138" s="40" t="str">
        <f t="shared" si="1908"/>
        <v/>
      </c>
      <c r="DO138" s="40" t="str">
        <f t="shared" si="1909"/>
        <v/>
      </c>
      <c r="DP138" s="40" t="str">
        <f t="shared" si="1910"/>
        <v/>
      </c>
      <c r="DQ138" s="40" t="str">
        <f t="shared" si="1911"/>
        <v/>
      </c>
      <c r="DR138" s="40" t="str">
        <f t="shared" si="1912"/>
        <v/>
      </c>
      <c r="DS138" s="40" t="str">
        <f t="shared" si="1913"/>
        <v/>
      </c>
      <c r="DT138" s="40" t="str">
        <f t="shared" si="1914"/>
        <v/>
      </c>
      <c r="DU138" s="40" t="str">
        <f t="shared" si="1915"/>
        <v/>
      </c>
      <c r="DV138" s="40" t="str">
        <f t="shared" si="1916"/>
        <v/>
      </c>
      <c r="DW138" s="40" t="str">
        <f t="shared" si="1917"/>
        <v/>
      </c>
      <c r="DX138" s="40" t="str">
        <f t="shared" si="1918"/>
        <v/>
      </c>
      <c r="DY138" s="40" t="str">
        <f t="shared" si="1919"/>
        <v/>
      </c>
      <c r="DZ138" s="40" t="str">
        <f t="shared" si="1920"/>
        <v/>
      </c>
      <c r="EA138" s="40" t="str">
        <f t="shared" si="1921"/>
        <v/>
      </c>
      <c r="EB138" s="40" t="str">
        <f t="shared" si="1922"/>
        <v/>
      </c>
      <c r="EC138" s="40" t="str">
        <f t="shared" si="1923"/>
        <v/>
      </c>
      <c r="ED138" s="40" t="str">
        <f t="shared" si="1924"/>
        <v/>
      </c>
      <c r="EE138" s="40" t="str">
        <f t="shared" si="1925"/>
        <v/>
      </c>
      <c r="EF138" s="40" t="str">
        <f t="shared" si="1926"/>
        <v/>
      </c>
      <c r="EG138" s="40" t="str">
        <f t="shared" si="1927"/>
        <v/>
      </c>
      <c r="EH138" s="40" t="str">
        <f t="shared" si="1928"/>
        <v/>
      </c>
      <c r="EI138" s="40" t="str">
        <f t="shared" si="1929"/>
        <v/>
      </c>
      <c r="EJ138" s="40" t="str">
        <f t="shared" si="1930"/>
        <v/>
      </c>
      <c r="EK138" s="40" t="str">
        <f t="shared" si="1931"/>
        <v/>
      </c>
      <c r="EL138" s="40" t="str">
        <f t="shared" si="1932"/>
        <v/>
      </c>
      <c r="EM138" s="40" t="str">
        <f t="shared" si="1933"/>
        <v/>
      </c>
      <c r="EN138" s="40" t="str">
        <f t="shared" si="1934"/>
        <v/>
      </c>
      <c r="EO138" s="40" t="str">
        <f t="shared" si="1935"/>
        <v/>
      </c>
      <c r="EP138" s="40" t="str">
        <f t="shared" si="1936"/>
        <v/>
      </c>
      <c r="EQ138" s="40" t="str">
        <f t="shared" si="1937"/>
        <v/>
      </c>
      <c r="ER138" s="40" t="str">
        <f t="shared" si="1938"/>
        <v/>
      </c>
      <c r="ES138" s="40" t="str">
        <f t="shared" si="1939"/>
        <v/>
      </c>
      <c r="ET138" s="40" t="str">
        <f t="shared" si="1940"/>
        <v/>
      </c>
      <c r="EU138" s="40" t="str">
        <f t="shared" si="1941"/>
        <v/>
      </c>
      <c r="EV138" s="40" t="str">
        <f t="shared" si="1942"/>
        <v/>
      </c>
      <c r="EW138" s="40" t="str">
        <f t="shared" si="1943"/>
        <v/>
      </c>
      <c r="EX138" s="40" t="str">
        <f t="shared" si="1944"/>
        <v/>
      </c>
      <c r="EY138" s="40" t="str">
        <f t="shared" si="1945"/>
        <v/>
      </c>
      <c r="EZ138" s="40" t="str">
        <f t="shared" si="1946"/>
        <v/>
      </c>
      <c r="FA138" s="40" t="str">
        <f t="shared" si="1947"/>
        <v/>
      </c>
      <c r="FB138" s="40" t="str">
        <f t="shared" si="1948"/>
        <v/>
      </c>
      <c r="FC138" s="40" t="str">
        <f t="shared" si="1949"/>
        <v/>
      </c>
      <c r="FD138" s="40" t="str">
        <f t="shared" si="1950"/>
        <v/>
      </c>
      <c r="FE138" s="40" t="str">
        <f t="shared" si="1951"/>
        <v/>
      </c>
      <c r="FF138" s="40" t="str">
        <f t="shared" si="1952"/>
        <v/>
      </c>
      <c r="FG138" s="40" t="str">
        <f t="shared" si="1953"/>
        <v/>
      </c>
      <c r="FH138" s="40" t="str">
        <f t="shared" si="1954"/>
        <v/>
      </c>
      <c r="FI138" s="40" t="str">
        <f t="shared" si="1955"/>
        <v/>
      </c>
      <c r="FJ138" s="40" t="str">
        <f t="shared" si="1956"/>
        <v/>
      </c>
      <c r="FK138" s="40" t="str">
        <f t="shared" si="1957"/>
        <v/>
      </c>
      <c r="FL138" s="40" t="str">
        <f t="shared" si="1958"/>
        <v/>
      </c>
      <c r="FM138" s="40" t="str">
        <f t="shared" si="1959"/>
        <v/>
      </c>
      <c r="FN138" s="40" t="str">
        <f t="shared" si="1960"/>
        <v/>
      </c>
      <c r="FO138" s="40" t="str">
        <f t="shared" si="1961"/>
        <v/>
      </c>
      <c r="FP138" s="40" t="str">
        <f t="shared" si="1962"/>
        <v/>
      </c>
      <c r="FQ138" s="40" t="str">
        <f t="shared" si="1963"/>
        <v/>
      </c>
      <c r="FR138" s="40" t="str">
        <f t="shared" si="1964"/>
        <v/>
      </c>
      <c r="FS138" s="40" t="str">
        <f t="shared" si="1965"/>
        <v/>
      </c>
    </row>
    <row r="139" spans="1:175" ht="16.5">
      <c r="A139" s="2"/>
      <c r="B139" s="2" t="s">
        <v>382</v>
      </c>
      <c r="C139" s="3" t="s">
        <v>383</v>
      </c>
      <c r="T139" s="3" t="s">
        <v>384</v>
      </c>
      <c r="U139" s="51" t="str">
        <f t="shared" si="939"/>
        <v>ReplaceableTextures\\CommandButtons\\BTNIN11.blp</v>
      </c>
      <c r="CN139" s="10" t="str">
        <f t="shared" si="1672"/>
        <v>InitUnitState('IN11',,,,,,,,,,)</v>
      </c>
      <c r="CO139" s="10" t="str">
        <f t="shared" si="1673"/>
        <v>InitUnitNormal('IN11',,,,,,,,,,)</v>
      </c>
      <c r="CP139" s="10" t="str">
        <f t="shared" si="1674"/>
        <v>InitUnitMagic('IN11',,,,,,,,,,)</v>
      </c>
      <c r="CQ139" s="10" t="str">
        <f t="shared" si="1675"/>
        <v>InitUnitAdd('IN11',,,,,,,,,,)</v>
      </c>
      <c r="CR139" s="10" t="str">
        <f t="shared" si="1893"/>
        <v>InitEquipData('IN11',,"",,,,,'','','','','','',"ReplaceableTextures\\CommandButtons\\BTNIT05.blp")</v>
      </c>
      <c r="CU139" s="61" t="str">
        <f t="shared" si="1894"/>
        <v>|n</v>
      </c>
      <c r="CV139" s="3" t="str">
        <f t="shared" si="1895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6"/>
        <v/>
      </c>
      <c r="DC139" s="40" t="str">
        <f t="shared" si="1897"/>
        <v/>
      </c>
      <c r="DD139" s="40" t="str">
        <f t="shared" si="1898"/>
        <v/>
      </c>
      <c r="DE139" s="40" t="str">
        <f t="shared" si="1899"/>
        <v/>
      </c>
      <c r="DF139" s="40" t="str">
        <f t="shared" si="1900"/>
        <v/>
      </c>
      <c r="DG139" s="40" t="str">
        <f t="shared" si="1901"/>
        <v/>
      </c>
      <c r="DH139" s="40" t="str">
        <f t="shared" si="1902"/>
        <v/>
      </c>
      <c r="DI139" s="40" t="str">
        <f t="shared" si="1903"/>
        <v/>
      </c>
      <c r="DJ139" s="40" t="str">
        <f t="shared" si="1904"/>
        <v/>
      </c>
      <c r="DK139" s="40" t="str">
        <f t="shared" si="1905"/>
        <v/>
      </c>
      <c r="DL139" s="40" t="str">
        <f t="shared" si="1906"/>
        <v/>
      </c>
      <c r="DM139" s="40" t="str">
        <f t="shared" si="1907"/>
        <v/>
      </c>
      <c r="DN139" s="40" t="str">
        <f t="shared" si="1908"/>
        <v/>
      </c>
      <c r="DO139" s="40" t="str">
        <f t="shared" si="1909"/>
        <v/>
      </c>
      <c r="DP139" s="40" t="str">
        <f t="shared" si="1910"/>
        <v/>
      </c>
      <c r="DQ139" s="40" t="str">
        <f t="shared" si="1911"/>
        <v/>
      </c>
      <c r="DR139" s="40" t="str">
        <f t="shared" si="1912"/>
        <v/>
      </c>
      <c r="DS139" s="40" t="str">
        <f t="shared" si="1913"/>
        <v/>
      </c>
      <c r="DT139" s="40" t="str">
        <f t="shared" si="1914"/>
        <v/>
      </c>
      <c r="DU139" s="40" t="str">
        <f t="shared" si="1915"/>
        <v/>
      </c>
      <c r="DV139" s="40" t="str">
        <f t="shared" si="1916"/>
        <v/>
      </c>
      <c r="DW139" s="40" t="str">
        <f t="shared" si="1917"/>
        <v/>
      </c>
      <c r="DX139" s="40" t="str">
        <f t="shared" si="1918"/>
        <v/>
      </c>
      <c r="DY139" s="40" t="str">
        <f t="shared" si="1919"/>
        <v/>
      </c>
      <c r="DZ139" s="40" t="str">
        <f t="shared" si="1920"/>
        <v/>
      </c>
      <c r="EA139" s="40" t="str">
        <f t="shared" si="1921"/>
        <v/>
      </c>
      <c r="EB139" s="40" t="str">
        <f t="shared" si="1922"/>
        <v/>
      </c>
      <c r="EC139" s="40" t="str">
        <f t="shared" si="1923"/>
        <v/>
      </c>
      <c r="ED139" s="40" t="str">
        <f t="shared" si="1924"/>
        <v/>
      </c>
      <c r="EE139" s="40" t="str">
        <f t="shared" si="1925"/>
        <v/>
      </c>
      <c r="EF139" s="40" t="str">
        <f t="shared" si="1926"/>
        <v/>
      </c>
      <c r="EG139" s="40" t="str">
        <f t="shared" si="1927"/>
        <v/>
      </c>
      <c r="EH139" s="40" t="str">
        <f t="shared" si="1928"/>
        <v/>
      </c>
      <c r="EI139" s="40" t="str">
        <f t="shared" si="1929"/>
        <v/>
      </c>
      <c r="EJ139" s="40" t="str">
        <f t="shared" si="1930"/>
        <v/>
      </c>
      <c r="EK139" s="40" t="str">
        <f t="shared" si="1931"/>
        <v/>
      </c>
      <c r="EL139" s="40" t="str">
        <f t="shared" si="1932"/>
        <v/>
      </c>
      <c r="EM139" s="40" t="str">
        <f t="shared" si="1933"/>
        <v/>
      </c>
      <c r="EN139" s="40" t="str">
        <f t="shared" si="1934"/>
        <v/>
      </c>
      <c r="EO139" s="40" t="str">
        <f t="shared" si="1935"/>
        <v/>
      </c>
      <c r="EP139" s="40" t="str">
        <f t="shared" si="1936"/>
        <v/>
      </c>
      <c r="EQ139" s="40" t="str">
        <f t="shared" si="1937"/>
        <v/>
      </c>
      <c r="ER139" s="40" t="str">
        <f t="shared" si="1938"/>
        <v/>
      </c>
      <c r="ES139" s="40" t="str">
        <f t="shared" si="1939"/>
        <v/>
      </c>
      <c r="ET139" s="40" t="str">
        <f t="shared" si="1940"/>
        <v/>
      </c>
      <c r="EU139" s="40" t="str">
        <f t="shared" si="1941"/>
        <v/>
      </c>
      <c r="EV139" s="40" t="str">
        <f t="shared" si="1942"/>
        <v/>
      </c>
      <c r="EW139" s="40" t="str">
        <f t="shared" si="1943"/>
        <v/>
      </c>
      <c r="EX139" s="40" t="str">
        <f t="shared" si="1944"/>
        <v/>
      </c>
      <c r="EY139" s="40" t="str">
        <f t="shared" si="1945"/>
        <v/>
      </c>
      <c r="EZ139" s="40" t="str">
        <f t="shared" si="1946"/>
        <v/>
      </c>
      <c r="FA139" s="40" t="str">
        <f t="shared" si="1947"/>
        <v/>
      </c>
      <c r="FB139" s="40" t="str">
        <f t="shared" si="1948"/>
        <v/>
      </c>
      <c r="FC139" s="40" t="str">
        <f t="shared" si="1949"/>
        <v/>
      </c>
      <c r="FD139" s="40" t="str">
        <f t="shared" si="1950"/>
        <v/>
      </c>
      <c r="FE139" s="40" t="str">
        <f t="shared" si="1951"/>
        <v/>
      </c>
      <c r="FF139" s="40" t="str">
        <f t="shared" si="1952"/>
        <v/>
      </c>
      <c r="FG139" s="40" t="str">
        <f t="shared" si="1953"/>
        <v/>
      </c>
      <c r="FH139" s="40" t="str">
        <f t="shared" si="1954"/>
        <v/>
      </c>
      <c r="FI139" s="40" t="str">
        <f t="shared" si="1955"/>
        <v/>
      </c>
      <c r="FJ139" s="40" t="str">
        <f t="shared" si="1956"/>
        <v/>
      </c>
      <c r="FK139" s="40" t="str">
        <f t="shared" si="1957"/>
        <v/>
      </c>
      <c r="FL139" s="40" t="str">
        <f t="shared" si="1958"/>
        <v/>
      </c>
      <c r="FM139" s="40" t="str">
        <f t="shared" si="1959"/>
        <v/>
      </c>
      <c r="FN139" s="40" t="str">
        <f t="shared" si="1960"/>
        <v/>
      </c>
      <c r="FO139" s="40" t="str">
        <f t="shared" si="1961"/>
        <v/>
      </c>
      <c r="FP139" s="40" t="str">
        <f t="shared" si="1962"/>
        <v/>
      </c>
      <c r="FQ139" s="40" t="str">
        <f t="shared" si="1963"/>
        <v/>
      </c>
      <c r="FR139" s="40" t="str">
        <f t="shared" si="1964"/>
        <v/>
      </c>
      <c r="FS139" s="40" t="str">
        <f t="shared" si="1965"/>
        <v/>
      </c>
    </row>
    <row r="140" spans="1:175" ht="16.5">
      <c r="A140" s="2"/>
      <c r="B140" s="2" t="s">
        <v>385</v>
      </c>
      <c r="C140" s="3" t="s">
        <v>386</v>
      </c>
      <c r="T140" s="3" t="s">
        <v>387</v>
      </c>
      <c r="U140" s="51" t="str">
        <f t="shared" si="939"/>
        <v>ReplaceableTextures\\CommandButtons\\BTNIN12.blp</v>
      </c>
      <c r="CN140" s="10" t="str">
        <f t="shared" si="1672"/>
        <v>InitUnitState('IN12',,,,,,,,,,)</v>
      </c>
      <c r="CO140" s="10" t="str">
        <f t="shared" si="1673"/>
        <v>InitUnitNormal('IN12',,,,,,,,,,)</v>
      </c>
      <c r="CP140" s="10" t="str">
        <f t="shared" si="1674"/>
        <v>InitUnitMagic('IN12',,,,,,,,,,)</v>
      </c>
      <c r="CQ140" s="10" t="str">
        <f t="shared" si="1675"/>
        <v>InitUnitAdd('IN12',,,,,,,,,,)</v>
      </c>
      <c r="CR140" s="10" t="str">
        <f t="shared" si="1893"/>
        <v>InitEquipData('IN12',,"",,,,,'','','','','','',"ReplaceableTextures\\CommandButtons\\BTNIT06.blp")</v>
      </c>
      <c r="CU140" s="61" t="str">
        <f t="shared" si="1894"/>
        <v>|n</v>
      </c>
      <c r="CV140" s="3" t="str">
        <f t="shared" si="1895"/>
        <v>获得|Cffffc92620000|r金币</v>
      </c>
      <c r="CW140" s="4"/>
      <c r="CX140" s="4"/>
      <c r="CY140" s="4"/>
      <c r="CZ140" s="4"/>
      <c r="DA140" s="4"/>
      <c r="DB140" s="40" t="str">
        <f t="shared" si="1896"/>
        <v/>
      </c>
      <c r="DC140" s="40" t="str">
        <f t="shared" si="1897"/>
        <v/>
      </c>
      <c r="DD140" s="40" t="str">
        <f t="shared" si="1898"/>
        <v/>
      </c>
      <c r="DE140" s="40" t="str">
        <f t="shared" si="1899"/>
        <v/>
      </c>
      <c r="DF140" s="40" t="str">
        <f t="shared" si="1900"/>
        <v/>
      </c>
      <c r="DG140" s="40" t="str">
        <f t="shared" si="1901"/>
        <v/>
      </c>
      <c r="DH140" s="40" t="str">
        <f t="shared" si="1902"/>
        <v/>
      </c>
      <c r="DI140" s="40" t="str">
        <f t="shared" si="1903"/>
        <v/>
      </c>
      <c r="DJ140" s="40" t="str">
        <f t="shared" si="1904"/>
        <v/>
      </c>
      <c r="DK140" s="40" t="str">
        <f t="shared" si="1905"/>
        <v/>
      </c>
      <c r="DL140" s="40" t="str">
        <f t="shared" si="1906"/>
        <v/>
      </c>
      <c r="DM140" s="40" t="str">
        <f t="shared" si="1907"/>
        <v/>
      </c>
      <c r="DN140" s="40" t="str">
        <f t="shared" si="1908"/>
        <v/>
      </c>
      <c r="DO140" s="40" t="str">
        <f t="shared" si="1909"/>
        <v/>
      </c>
      <c r="DP140" s="40" t="str">
        <f t="shared" si="1910"/>
        <v/>
      </c>
      <c r="DQ140" s="40" t="str">
        <f t="shared" si="1911"/>
        <v/>
      </c>
      <c r="DR140" s="40" t="str">
        <f t="shared" si="1912"/>
        <v/>
      </c>
      <c r="DS140" s="40" t="str">
        <f t="shared" si="1913"/>
        <v/>
      </c>
      <c r="DT140" s="40" t="str">
        <f t="shared" si="1914"/>
        <v/>
      </c>
      <c r="DU140" s="40" t="str">
        <f t="shared" si="1915"/>
        <v/>
      </c>
      <c r="DV140" s="40" t="str">
        <f t="shared" si="1916"/>
        <v/>
      </c>
      <c r="DW140" s="40" t="str">
        <f t="shared" si="1917"/>
        <v/>
      </c>
      <c r="DX140" s="40" t="str">
        <f t="shared" si="1918"/>
        <v/>
      </c>
      <c r="DY140" s="40" t="str">
        <f t="shared" si="1919"/>
        <v/>
      </c>
      <c r="DZ140" s="40" t="str">
        <f t="shared" si="1920"/>
        <v/>
      </c>
      <c r="EA140" s="40" t="str">
        <f t="shared" si="1921"/>
        <v/>
      </c>
      <c r="EB140" s="40" t="str">
        <f t="shared" si="1922"/>
        <v/>
      </c>
      <c r="EC140" s="40" t="str">
        <f t="shared" si="1923"/>
        <v/>
      </c>
      <c r="ED140" s="40" t="str">
        <f t="shared" si="1924"/>
        <v/>
      </c>
      <c r="EE140" s="40" t="str">
        <f t="shared" si="1925"/>
        <v/>
      </c>
      <c r="EF140" s="40" t="str">
        <f t="shared" si="1926"/>
        <v/>
      </c>
      <c r="EG140" s="40" t="str">
        <f t="shared" si="1927"/>
        <v/>
      </c>
      <c r="EH140" s="40" t="str">
        <f t="shared" si="1928"/>
        <v/>
      </c>
      <c r="EI140" s="40" t="str">
        <f t="shared" si="1929"/>
        <v/>
      </c>
      <c r="EJ140" s="40" t="str">
        <f t="shared" si="1930"/>
        <v/>
      </c>
      <c r="EK140" s="40" t="str">
        <f t="shared" si="1931"/>
        <v/>
      </c>
      <c r="EL140" s="40" t="str">
        <f t="shared" si="1932"/>
        <v/>
      </c>
      <c r="EM140" s="40" t="str">
        <f t="shared" si="1933"/>
        <v/>
      </c>
      <c r="EN140" s="40" t="str">
        <f t="shared" si="1934"/>
        <v/>
      </c>
      <c r="EO140" s="40" t="str">
        <f t="shared" si="1935"/>
        <v/>
      </c>
      <c r="EP140" s="40" t="str">
        <f t="shared" si="1936"/>
        <v/>
      </c>
      <c r="EQ140" s="40" t="str">
        <f t="shared" si="1937"/>
        <v/>
      </c>
      <c r="ER140" s="40" t="str">
        <f t="shared" si="1938"/>
        <v/>
      </c>
      <c r="ES140" s="40" t="str">
        <f t="shared" si="1939"/>
        <v/>
      </c>
      <c r="ET140" s="40" t="str">
        <f t="shared" si="1940"/>
        <v/>
      </c>
      <c r="EU140" s="40" t="str">
        <f t="shared" si="1941"/>
        <v/>
      </c>
      <c r="EV140" s="40" t="str">
        <f t="shared" si="1942"/>
        <v/>
      </c>
      <c r="EW140" s="40" t="str">
        <f t="shared" si="1943"/>
        <v/>
      </c>
      <c r="EX140" s="40" t="str">
        <f t="shared" si="1944"/>
        <v/>
      </c>
      <c r="EY140" s="40" t="str">
        <f t="shared" si="1945"/>
        <v/>
      </c>
      <c r="EZ140" s="40" t="str">
        <f t="shared" si="1946"/>
        <v/>
      </c>
      <c r="FA140" s="40" t="str">
        <f t="shared" si="1947"/>
        <v/>
      </c>
      <c r="FB140" s="40" t="str">
        <f t="shared" si="1948"/>
        <v/>
      </c>
      <c r="FC140" s="40" t="str">
        <f t="shared" si="1949"/>
        <v/>
      </c>
      <c r="FD140" s="40" t="str">
        <f t="shared" si="1950"/>
        <v/>
      </c>
      <c r="FE140" s="40" t="str">
        <f t="shared" si="1951"/>
        <v/>
      </c>
      <c r="FF140" s="40" t="str">
        <f t="shared" si="1952"/>
        <v/>
      </c>
      <c r="FG140" s="40" t="str">
        <f t="shared" si="1953"/>
        <v/>
      </c>
      <c r="FH140" s="40" t="str">
        <f t="shared" si="1954"/>
        <v/>
      </c>
      <c r="FI140" s="40" t="str">
        <f t="shared" si="1955"/>
        <v/>
      </c>
      <c r="FJ140" s="40" t="str">
        <f t="shared" si="1956"/>
        <v/>
      </c>
      <c r="FK140" s="40" t="str">
        <f t="shared" si="1957"/>
        <v/>
      </c>
      <c r="FL140" s="40" t="str">
        <f t="shared" si="1958"/>
        <v/>
      </c>
      <c r="FM140" s="40" t="str">
        <f t="shared" si="1959"/>
        <v/>
      </c>
      <c r="FN140" s="40" t="str">
        <f t="shared" si="1960"/>
        <v/>
      </c>
      <c r="FO140" s="40" t="str">
        <f t="shared" si="1961"/>
        <v/>
      </c>
      <c r="FP140" s="40" t="str">
        <f t="shared" si="1962"/>
        <v/>
      </c>
      <c r="FQ140" s="40" t="str">
        <f t="shared" si="1963"/>
        <v/>
      </c>
      <c r="FR140" s="40" t="str">
        <f t="shared" si="1964"/>
        <v/>
      </c>
      <c r="FS140" s="40" t="str">
        <f t="shared" si="1965"/>
        <v/>
      </c>
    </row>
    <row r="141" spans="1:175" ht="16.5">
      <c r="A141" s="2"/>
      <c r="B141" s="2" t="s">
        <v>388</v>
      </c>
      <c r="C141" s="3" t="s">
        <v>389</v>
      </c>
      <c r="T141" s="3" t="s">
        <v>390</v>
      </c>
      <c r="U141" s="51" t="str">
        <f t="shared" si="939"/>
        <v>ReplaceableTextures\\CommandButtons\\BTNIN13.blp</v>
      </c>
      <c r="CN141" s="10" t="str">
        <f t="shared" si="1672"/>
        <v>InitUnitState('IN13',,,,,,,,,,)</v>
      </c>
      <c r="CO141" s="10" t="str">
        <f t="shared" si="1673"/>
        <v>InitUnitNormal('IN13',,,,,,,,,,)</v>
      </c>
      <c r="CP141" s="10" t="str">
        <f t="shared" si="1674"/>
        <v>InitUnitMagic('IN13',,,,,,,,,,)</v>
      </c>
      <c r="CQ141" s="10" t="str">
        <f t="shared" si="1675"/>
        <v>InitUnitAdd('IN13',,,,,,,,,,)</v>
      </c>
      <c r="CR141" s="10" t="str">
        <f t="shared" si="1893"/>
        <v>InitEquipData('IN13',,"",,,,,'','','','','','',"ReplaceableTextures\\CommandButtons\\BTNIT07.blp")</v>
      </c>
      <c r="CU141" s="61" t="str">
        <f t="shared" si="1527"/>
        <v>|n</v>
      </c>
      <c r="CV141" s="3" t="str">
        <f t="shared" si="1528"/>
        <v>获得|Cffffc9262000|r金币</v>
      </c>
      <c r="CW141" s="4"/>
      <c r="CX141" s="4"/>
      <c r="CY141" s="4"/>
      <c r="CZ141" s="4"/>
      <c r="DA141" s="4"/>
      <c r="DB141" s="40" t="str">
        <f t="shared" si="1529"/>
        <v/>
      </c>
      <c r="DC141" s="40" t="str">
        <f t="shared" si="1530"/>
        <v/>
      </c>
      <c r="DD141" s="40" t="str">
        <f t="shared" si="1531"/>
        <v/>
      </c>
      <c r="DE141" s="40" t="str">
        <f t="shared" si="1532"/>
        <v/>
      </c>
      <c r="DF141" s="40" t="str">
        <f t="shared" si="1533"/>
        <v/>
      </c>
      <c r="DG141" s="40" t="str">
        <f t="shared" si="1534"/>
        <v/>
      </c>
      <c r="DH141" s="40" t="str">
        <f t="shared" si="1535"/>
        <v/>
      </c>
      <c r="DI141" s="40" t="str">
        <f t="shared" si="1536"/>
        <v/>
      </c>
      <c r="DJ141" s="40" t="str">
        <f t="shared" si="1537"/>
        <v/>
      </c>
      <c r="DK141" s="40" t="str">
        <f t="shared" si="1538"/>
        <v/>
      </c>
      <c r="DL141" s="40" t="str">
        <f t="shared" si="1539"/>
        <v/>
      </c>
      <c r="DM141" s="40" t="str">
        <f t="shared" si="1540"/>
        <v/>
      </c>
      <c r="DN141" s="40" t="str">
        <f t="shared" si="1541"/>
        <v/>
      </c>
      <c r="DO141" s="40" t="str">
        <f t="shared" si="1542"/>
        <v/>
      </c>
      <c r="DP141" s="40" t="str">
        <f t="shared" si="1543"/>
        <v/>
      </c>
      <c r="DQ141" s="40" t="str">
        <f t="shared" si="1544"/>
        <v/>
      </c>
      <c r="DR141" s="40" t="str">
        <f t="shared" si="1545"/>
        <v/>
      </c>
      <c r="DS141" s="40" t="str">
        <f t="shared" si="1546"/>
        <v/>
      </c>
      <c r="DT141" s="40" t="str">
        <f t="shared" si="1547"/>
        <v/>
      </c>
      <c r="DU141" s="40" t="str">
        <f t="shared" si="1548"/>
        <v/>
      </c>
      <c r="DV141" s="40" t="str">
        <f t="shared" si="1549"/>
        <v/>
      </c>
      <c r="DW141" s="40" t="str">
        <f t="shared" si="1550"/>
        <v/>
      </c>
      <c r="DX141" s="40" t="str">
        <f t="shared" si="1551"/>
        <v/>
      </c>
      <c r="DY141" s="40" t="str">
        <f t="shared" si="1552"/>
        <v/>
      </c>
      <c r="DZ141" s="40" t="str">
        <f t="shared" si="1553"/>
        <v/>
      </c>
      <c r="EA141" s="40" t="str">
        <f t="shared" si="1554"/>
        <v/>
      </c>
      <c r="EB141" s="40" t="str">
        <f t="shared" si="1555"/>
        <v/>
      </c>
      <c r="EC141" s="40" t="str">
        <f t="shared" si="1556"/>
        <v/>
      </c>
      <c r="ED141" s="40" t="str">
        <f t="shared" si="1557"/>
        <v/>
      </c>
      <c r="EE141" s="40" t="str">
        <f t="shared" si="1558"/>
        <v/>
      </c>
      <c r="EF141" s="40" t="str">
        <f t="shared" si="1559"/>
        <v/>
      </c>
      <c r="EG141" s="40" t="str">
        <f t="shared" si="1560"/>
        <v/>
      </c>
      <c r="EH141" s="40" t="str">
        <f t="shared" si="1561"/>
        <v/>
      </c>
      <c r="EI141" s="40" t="str">
        <f t="shared" si="1562"/>
        <v/>
      </c>
      <c r="EJ141" s="40" t="str">
        <f t="shared" si="1563"/>
        <v/>
      </c>
      <c r="EK141" s="40" t="str">
        <f t="shared" si="1564"/>
        <v/>
      </c>
      <c r="EL141" s="40" t="str">
        <f t="shared" si="1565"/>
        <v/>
      </c>
      <c r="EM141" s="40" t="str">
        <f t="shared" si="1566"/>
        <v/>
      </c>
      <c r="EN141" s="40" t="str">
        <f t="shared" si="1567"/>
        <v/>
      </c>
      <c r="EO141" s="40" t="str">
        <f t="shared" si="1568"/>
        <v/>
      </c>
      <c r="EP141" s="40" t="str">
        <f t="shared" si="1569"/>
        <v/>
      </c>
      <c r="EQ141" s="40" t="str">
        <f t="shared" si="1570"/>
        <v/>
      </c>
      <c r="ER141" s="40" t="str">
        <f t="shared" si="1571"/>
        <v/>
      </c>
      <c r="ES141" s="40" t="str">
        <f t="shared" si="1572"/>
        <v/>
      </c>
      <c r="ET141" s="40" t="str">
        <f t="shared" si="1573"/>
        <v/>
      </c>
      <c r="EU141" s="40" t="str">
        <f t="shared" si="1574"/>
        <v/>
      </c>
      <c r="EV141" s="40" t="str">
        <f t="shared" si="1575"/>
        <v/>
      </c>
      <c r="EW141" s="40" t="str">
        <f t="shared" si="1576"/>
        <v/>
      </c>
      <c r="EX141" s="40" t="str">
        <f t="shared" si="1577"/>
        <v/>
      </c>
      <c r="EY141" s="40" t="str">
        <f t="shared" si="1578"/>
        <v/>
      </c>
      <c r="EZ141" s="40" t="str">
        <f t="shared" si="1579"/>
        <v/>
      </c>
      <c r="FA141" s="40" t="str">
        <f t="shared" si="1580"/>
        <v/>
      </c>
      <c r="FB141" s="40" t="str">
        <f t="shared" si="1581"/>
        <v/>
      </c>
      <c r="FC141" s="40" t="str">
        <f t="shared" si="1582"/>
        <v/>
      </c>
      <c r="FD141" s="40" t="str">
        <f t="shared" si="1583"/>
        <v/>
      </c>
      <c r="FE141" s="40" t="str">
        <f t="shared" si="1584"/>
        <v/>
      </c>
      <c r="FF141" s="40" t="str">
        <f t="shared" si="1585"/>
        <v/>
      </c>
      <c r="FG141" s="40" t="str">
        <f t="shared" si="1586"/>
        <v/>
      </c>
      <c r="FH141" s="40" t="str">
        <f t="shared" si="1587"/>
        <v/>
      </c>
      <c r="FI141" s="40" t="str">
        <f t="shared" si="1588"/>
        <v/>
      </c>
      <c r="FJ141" s="40" t="str">
        <f t="shared" si="1589"/>
        <v/>
      </c>
      <c r="FK141" s="40" t="str">
        <f t="shared" si="1590"/>
        <v/>
      </c>
      <c r="FL141" s="40" t="str">
        <f t="shared" si="1591"/>
        <v/>
      </c>
      <c r="FM141" s="40" t="str">
        <f t="shared" si="1592"/>
        <v/>
      </c>
      <c r="FN141" s="40" t="str">
        <f t="shared" si="1593"/>
        <v/>
      </c>
      <c r="FO141" s="40" t="str">
        <f t="shared" si="1594"/>
        <v/>
      </c>
      <c r="FP141" s="40" t="str">
        <f t="shared" si="1595"/>
        <v/>
      </c>
      <c r="FQ141" s="40" t="str">
        <f t="shared" si="1596"/>
        <v/>
      </c>
      <c r="FR141" s="40" t="str">
        <f t="shared" si="1597"/>
        <v/>
      </c>
      <c r="FS141" s="40" t="str">
        <f t="shared" si="1598"/>
        <v/>
      </c>
    </row>
    <row r="142" spans="1:175" ht="42.75">
      <c r="A142" s="2"/>
      <c r="B142" s="2" t="s">
        <v>391</v>
      </c>
      <c r="C142" s="3" t="s">
        <v>392</v>
      </c>
      <c r="T142" s="74" t="s">
        <v>393</v>
      </c>
      <c r="U142" s="51" t="str">
        <f t="shared" si="939"/>
        <v>ReplaceableTextures\\CommandButtons\\BTNIN14.blp</v>
      </c>
      <c r="CN142" s="10" t="str">
        <f t="shared" si="1672"/>
        <v>InitUnitState('IN14',,,,,,,,,,)</v>
      </c>
      <c r="CO142" s="10" t="str">
        <f t="shared" si="1673"/>
        <v>InitUnitNormal('IN14',,,,,,,,,,)</v>
      </c>
      <c r="CP142" s="10" t="str">
        <f t="shared" si="1674"/>
        <v>InitUnitMagic('IN14',,,,,,,,,,)</v>
      </c>
      <c r="CQ142" s="10" t="str">
        <f t="shared" si="1675"/>
        <v>InitUnitAdd('IN14',,,,,,,,,,)</v>
      </c>
      <c r="CR142" s="10" t="str">
        <f t="shared" si="1893"/>
        <v>InitEquipData('IN14',,"",,,,,'','','','','','',"ReplaceableTextures\\CommandButtons\\BTNIT08.blp")</v>
      </c>
      <c r="CU142" s="61" t="str">
        <f t="shared" si="1527"/>
        <v>|n</v>
      </c>
      <c r="CV142" s="3" t="str">
        <f t="shared" si="1528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9"/>
        <v/>
      </c>
      <c r="DC142" s="40" t="str">
        <f t="shared" si="1530"/>
        <v/>
      </c>
      <c r="DD142" s="40" t="str">
        <f t="shared" si="1531"/>
        <v/>
      </c>
      <c r="DE142" s="40" t="str">
        <f t="shared" si="1532"/>
        <v/>
      </c>
      <c r="DF142" s="40" t="str">
        <f t="shared" si="1533"/>
        <v/>
      </c>
      <c r="DG142" s="40" t="str">
        <f t="shared" si="1534"/>
        <v/>
      </c>
      <c r="DH142" s="40" t="str">
        <f t="shared" si="1535"/>
        <v/>
      </c>
      <c r="DI142" s="40" t="str">
        <f t="shared" si="1536"/>
        <v/>
      </c>
      <c r="DJ142" s="40" t="str">
        <f t="shared" si="1537"/>
        <v/>
      </c>
      <c r="DK142" s="40" t="str">
        <f t="shared" si="1538"/>
        <v/>
      </c>
      <c r="DL142" s="40" t="str">
        <f t="shared" si="1539"/>
        <v/>
      </c>
      <c r="DM142" s="40" t="str">
        <f t="shared" si="1540"/>
        <v/>
      </c>
      <c r="DN142" s="40" t="str">
        <f t="shared" si="1541"/>
        <v/>
      </c>
      <c r="DO142" s="40" t="str">
        <f t="shared" si="1542"/>
        <v/>
      </c>
      <c r="DP142" s="40" t="str">
        <f t="shared" si="1543"/>
        <v/>
      </c>
      <c r="DQ142" s="40" t="str">
        <f t="shared" si="1544"/>
        <v/>
      </c>
      <c r="DR142" s="40" t="str">
        <f t="shared" si="1545"/>
        <v/>
      </c>
      <c r="DS142" s="40" t="str">
        <f t="shared" si="1546"/>
        <v/>
      </c>
      <c r="DT142" s="40" t="str">
        <f t="shared" si="1547"/>
        <v/>
      </c>
      <c r="DU142" s="40" t="str">
        <f t="shared" si="1548"/>
        <v/>
      </c>
      <c r="DV142" s="40" t="str">
        <f t="shared" si="1549"/>
        <v/>
      </c>
      <c r="DW142" s="40" t="str">
        <f t="shared" si="1550"/>
        <v/>
      </c>
      <c r="DX142" s="40" t="str">
        <f t="shared" si="1551"/>
        <v/>
      </c>
      <c r="DY142" s="40" t="str">
        <f t="shared" si="1552"/>
        <v/>
      </c>
      <c r="DZ142" s="40" t="str">
        <f t="shared" si="1553"/>
        <v/>
      </c>
      <c r="EA142" s="40" t="str">
        <f t="shared" si="1554"/>
        <v/>
      </c>
      <c r="EB142" s="40" t="str">
        <f t="shared" si="1555"/>
        <v/>
      </c>
      <c r="EC142" s="40" t="str">
        <f t="shared" si="1556"/>
        <v/>
      </c>
      <c r="ED142" s="40" t="str">
        <f t="shared" si="1557"/>
        <v/>
      </c>
      <c r="EE142" s="40" t="str">
        <f t="shared" si="1558"/>
        <v/>
      </c>
      <c r="EF142" s="40" t="str">
        <f t="shared" si="1559"/>
        <v/>
      </c>
      <c r="EG142" s="40" t="str">
        <f t="shared" si="1560"/>
        <v/>
      </c>
      <c r="EH142" s="40" t="str">
        <f t="shared" si="1561"/>
        <v/>
      </c>
      <c r="EI142" s="40" t="str">
        <f t="shared" si="1562"/>
        <v/>
      </c>
      <c r="EJ142" s="40" t="str">
        <f t="shared" si="1563"/>
        <v/>
      </c>
      <c r="EK142" s="40" t="str">
        <f t="shared" si="1564"/>
        <v/>
      </c>
      <c r="EL142" s="40" t="str">
        <f t="shared" si="1565"/>
        <v/>
      </c>
      <c r="EM142" s="40" t="str">
        <f t="shared" si="1566"/>
        <v/>
      </c>
      <c r="EN142" s="40" t="str">
        <f t="shared" si="1567"/>
        <v/>
      </c>
      <c r="EO142" s="40" t="str">
        <f t="shared" si="1568"/>
        <v/>
      </c>
      <c r="EP142" s="40" t="str">
        <f t="shared" si="1569"/>
        <v/>
      </c>
      <c r="EQ142" s="40" t="str">
        <f t="shared" si="1570"/>
        <v/>
      </c>
      <c r="ER142" s="40" t="str">
        <f t="shared" si="1571"/>
        <v/>
      </c>
      <c r="ES142" s="40" t="str">
        <f t="shared" si="1572"/>
        <v/>
      </c>
      <c r="ET142" s="40" t="str">
        <f t="shared" si="1573"/>
        <v/>
      </c>
      <c r="EU142" s="40" t="str">
        <f t="shared" si="1574"/>
        <v/>
      </c>
      <c r="EV142" s="40" t="str">
        <f t="shared" si="1575"/>
        <v/>
      </c>
      <c r="EW142" s="40" t="str">
        <f t="shared" si="1576"/>
        <v/>
      </c>
      <c r="EX142" s="40" t="str">
        <f t="shared" si="1577"/>
        <v/>
      </c>
      <c r="EY142" s="40" t="str">
        <f t="shared" si="1578"/>
        <v/>
      </c>
      <c r="EZ142" s="40" t="str">
        <f t="shared" si="1579"/>
        <v/>
      </c>
      <c r="FA142" s="40" t="str">
        <f t="shared" si="1580"/>
        <v/>
      </c>
      <c r="FB142" s="40" t="str">
        <f t="shared" si="1581"/>
        <v/>
      </c>
      <c r="FC142" s="40" t="str">
        <f t="shared" si="1582"/>
        <v/>
      </c>
      <c r="FD142" s="40" t="str">
        <f t="shared" si="1583"/>
        <v/>
      </c>
      <c r="FE142" s="40" t="str">
        <f t="shared" si="1584"/>
        <v/>
      </c>
      <c r="FF142" s="40" t="str">
        <f t="shared" si="1585"/>
        <v/>
      </c>
      <c r="FG142" s="40" t="str">
        <f t="shared" si="1586"/>
        <v/>
      </c>
      <c r="FH142" s="40" t="str">
        <f t="shared" si="1587"/>
        <v/>
      </c>
      <c r="FI142" s="40" t="str">
        <f t="shared" si="1588"/>
        <v/>
      </c>
      <c r="FJ142" s="40" t="str">
        <f t="shared" si="1589"/>
        <v/>
      </c>
      <c r="FK142" s="40" t="str">
        <f t="shared" si="1590"/>
        <v/>
      </c>
      <c r="FL142" s="40" t="str">
        <f t="shared" si="1591"/>
        <v/>
      </c>
      <c r="FM142" s="40" t="str">
        <f t="shared" si="1592"/>
        <v/>
      </c>
      <c r="FN142" s="40" t="str">
        <f t="shared" si="1593"/>
        <v/>
      </c>
      <c r="FO142" s="40" t="str">
        <f t="shared" si="1594"/>
        <v/>
      </c>
      <c r="FP142" s="40" t="str">
        <f t="shared" si="1595"/>
        <v/>
      </c>
      <c r="FQ142" s="40" t="str">
        <f t="shared" si="1596"/>
        <v/>
      </c>
      <c r="FR142" s="40" t="str">
        <f t="shared" si="1597"/>
        <v/>
      </c>
      <c r="FS142" s="40" t="str">
        <f t="shared" si="1598"/>
        <v/>
      </c>
    </row>
    <row r="143" spans="1:175" ht="28.5">
      <c r="A143" s="2"/>
      <c r="B143" s="2" t="s">
        <v>394</v>
      </c>
      <c r="C143" s="3" t="s">
        <v>395</v>
      </c>
      <c r="T143" s="81" t="s">
        <v>396</v>
      </c>
      <c r="U143" s="51" t="str">
        <f t="shared" si="939"/>
        <v>ReplaceableTextures\\CommandButtons\\BTNIN15.blp</v>
      </c>
      <c r="CN143" s="10" t="str">
        <f t="shared" si="1672"/>
        <v>InitUnitState('IN15',,,,,,,,,,)</v>
      </c>
      <c r="CO143" s="10" t="str">
        <f t="shared" si="1673"/>
        <v>InitUnitNormal('IN15',,,,,,,,,,)</v>
      </c>
      <c r="CP143" s="10" t="str">
        <f t="shared" si="1674"/>
        <v>InitUnitMagic('IN15',,,,,,,,,,)</v>
      </c>
      <c r="CQ143" s="10" t="str">
        <f t="shared" si="1675"/>
        <v>InitUnitAdd('IN15',,,,,,,,,,)</v>
      </c>
      <c r="CR143" s="10" t="str">
        <f t="shared" si="1893"/>
        <v>InitEquipData('IN15',,"",,,,,'','','','','','',"ReplaceableTextures\\CommandButtons\\BTNIT09.blp")</v>
      </c>
      <c r="CU143" s="61" t="str">
        <f t="shared" ref="CU143:CU145" si="1966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7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8">IF(V143="","","|n"&amp;DB$2&amp;"+"&amp;V143&amp;DB$1)</f>
        <v/>
      </c>
      <c r="DC143" s="40" t="str">
        <f t="shared" ref="DC143:DC145" si="1969">IF(W143="","","|n"&amp;DC$2&amp;"+"&amp;W143&amp;DC$1)</f>
        <v/>
      </c>
      <c r="DD143" s="40" t="str">
        <f t="shared" ref="DD143:DD145" si="1970">IF(X143="","","|n"&amp;DD$2&amp;"+"&amp;X143&amp;DD$1)</f>
        <v/>
      </c>
      <c r="DE143" s="40" t="str">
        <f t="shared" ref="DE143:DE145" si="1971">IF(Y143="","","|n"&amp;DE$2&amp;"+"&amp;Y143&amp;DE$1)</f>
        <v/>
      </c>
      <c r="DF143" s="40" t="str">
        <f t="shared" ref="DF143:DF145" si="1972">IF(Z143="","","|n"&amp;DF$2&amp;"+"&amp;Z143&amp;DF$1)</f>
        <v/>
      </c>
      <c r="DG143" s="40" t="str">
        <f t="shared" ref="DG143:DG145" si="1973">IF(AA143="","","|n"&amp;DG$2&amp;"+"&amp;AA143&amp;DG$1)</f>
        <v/>
      </c>
      <c r="DH143" s="40" t="str">
        <f t="shared" ref="DH143:DH145" si="1974">IF(AB143="","","|n"&amp;DH$2&amp;"+"&amp;AB143&amp;DH$1)</f>
        <v/>
      </c>
      <c r="DI143" s="40" t="str">
        <f t="shared" ref="DI143:DI145" si="1975">IF(AC143="","","|n"&amp;DI$2&amp;"+"&amp;AC143&amp;DI$1)</f>
        <v/>
      </c>
      <c r="DJ143" s="40" t="str">
        <f t="shared" ref="DJ143:DJ145" si="1976">IF(AD143="","","|n"&amp;DJ$2&amp;"+"&amp;AD143&amp;DJ$1)</f>
        <v/>
      </c>
      <c r="DK143" s="40" t="str">
        <f t="shared" ref="DK143:DK145" si="1977">IF(AE143="","","|n"&amp;DK$2&amp;"+"&amp;AE143&amp;DK$1)</f>
        <v/>
      </c>
      <c r="DL143" s="40" t="str">
        <f t="shared" ref="DL143:DL145" si="1978">IF(AF143="","","|n"&amp;DL$2&amp;"+"&amp;AF143&amp;DL$1)</f>
        <v/>
      </c>
      <c r="DM143" s="40" t="str">
        <f t="shared" ref="DM143:DM145" si="1979">IF(AG143="","","|n"&amp;DM$2&amp;"+"&amp;AG143&amp;DM$1)</f>
        <v/>
      </c>
      <c r="DN143" s="40" t="str">
        <f t="shared" ref="DN143:DN145" si="1980">IF(AH143="","","|n"&amp;DN$2&amp;"+"&amp;AH143&amp;DN$1)</f>
        <v/>
      </c>
      <c r="DO143" s="40" t="str">
        <f t="shared" ref="DO143:DO145" si="1981">IF(AI143="","","|n"&amp;DO$2&amp;"+"&amp;AI143&amp;DO$1)</f>
        <v/>
      </c>
      <c r="DP143" s="40" t="str">
        <f t="shared" ref="DP143:DP145" si="1982">IF(AJ143="","","|n"&amp;DP$2&amp;"+"&amp;AJ143&amp;DP$1)</f>
        <v/>
      </c>
      <c r="DQ143" s="40" t="str">
        <f t="shared" ref="DQ143:DQ145" si="1983">IF(AK143="","","|n"&amp;DQ$2&amp;"+"&amp;AK143&amp;DQ$1)</f>
        <v/>
      </c>
      <c r="DR143" s="40" t="str">
        <f t="shared" ref="DR143:DR145" si="1984">IF(AL143="","","|n"&amp;DR$2&amp;"+"&amp;AL143&amp;DR$1)</f>
        <v/>
      </c>
      <c r="DS143" s="40" t="str">
        <f t="shared" ref="DS143:DS145" si="1985">IF(AM143="","","|n"&amp;DS$2&amp;"+"&amp;AM143&amp;DS$1)</f>
        <v/>
      </c>
      <c r="DT143" s="40" t="str">
        <f t="shared" ref="DT143:DT145" si="1986">IF(AN143="","","|n"&amp;DT$2&amp;"+"&amp;AN143&amp;DT$1)</f>
        <v/>
      </c>
      <c r="DU143" s="40" t="str">
        <f t="shared" ref="DU143:DU145" si="1987">IF(AO143="","","|n"&amp;DU$2&amp;"+"&amp;AO143&amp;DU$1)</f>
        <v/>
      </c>
      <c r="DV143" s="40" t="str">
        <f t="shared" ref="DV143:DV145" si="1988">IF(AP143="","","|n"&amp;DV$2&amp;"+"&amp;AP143&amp;DV$1)</f>
        <v/>
      </c>
      <c r="DW143" s="40" t="str">
        <f t="shared" ref="DW143:DW145" si="1989">IF(AQ143="","","|n"&amp;DW$2&amp;"+"&amp;AQ143&amp;DW$1)</f>
        <v/>
      </c>
      <c r="DX143" s="40" t="str">
        <f t="shared" ref="DX143:DX145" si="1990">IF(AR143="","","|n"&amp;DX$2&amp;"+"&amp;AR143&amp;DX$1)</f>
        <v/>
      </c>
      <c r="DY143" s="40" t="str">
        <f t="shared" ref="DY143:DY145" si="1991">IF(AS143="","","|n"&amp;DY$2&amp;"+"&amp;AS143&amp;DY$1)</f>
        <v/>
      </c>
      <c r="DZ143" s="40" t="str">
        <f t="shared" ref="DZ143:DZ145" si="1992">IF(AT143="","","|n"&amp;DZ$2&amp;"+"&amp;AT143&amp;DZ$1)</f>
        <v/>
      </c>
      <c r="EA143" s="40" t="str">
        <f t="shared" ref="EA143:EA145" si="1993">IF(AU143="","","|n"&amp;EA$2&amp;"+"&amp;AU143&amp;EA$1)</f>
        <v/>
      </c>
      <c r="EB143" s="40" t="str">
        <f t="shared" ref="EB143:EB145" si="1994">IF(AV143="","","|n"&amp;EB$2&amp;"+"&amp;AV143&amp;EB$1)</f>
        <v/>
      </c>
      <c r="EC143" s="40" t="str">
        <f t="shared" ref="EC143:EC145" si="1995">IF(AW143="","","|n"&amp;EC$2&amp;"+"&amp;AW143&amp;EC$1)</f>
        <v/>
      </c>
      <c r="ED143" s="40" t="str">
        <f t="shared" ref="ED143:ED145" si="1996">IF(AX143="","","|n"&amp;ED$2&amp;"+"&amp;AX143&amp;ED$1)</f>
        <v/>
      </c>
      <c r="EE143" s="40" t="str">
        <f t="shared" ref="EE143:EE145" si="1997">IF(AY143="","","|n"&amp;EE$2&amp;"+"&amp;AY143&amp;EE$1)</f>
        <v/>
      </c>
      <c r="EF143" s="40" t="str">
        <f t="shared" ref="EF143:EF145" si="1998">IF(AZ143="","","|n"&amp;EF$2&amp;"+"&amp;AZ143&amp;EF$1)</f>
        <v/>
      </c>
      <c r="EG143" s="40" t="str">
        <f t="shared" ref="EG143:EG145" si="1999">IF(BA143="","","|n"&amp;EG$2&amp;"+"&amp;BA143&amp;EG$1)</f>
        <v/>
      </c>
      <c r="EH143" s="40" t="str">
        <f t="shared" ref="EH143:EH145" si="2000">IF(BB143="","","|n"&amp;EH$2&amp;"+"&amp;BB143&amp;EH$1)</f>
        <v/>
      </c>
      <c r="EI143" s="40" t="str">
        <f t="shared" ref="EI143:EI145" si="2001">IF(BC143="","","|n"&amp;EI$2&amp;"+"&amp;BC143&amp;EI$1)</f>
        <v/>
      </c>
      <c r="EJ143" s="40" t="str">
        <f t="shared" ref="EJ143:EJ145" si="2002">IF(BD143="","","|n"&amp;EJ$2&amp;"+"&amp;BD143&amp;EJ$1)</f>
        <v/>
      </c>
      <c r="EK143" s="40" t="str">
        <f t="shared" ref="EK143:EK145" si="2003">IF(BE143="","","|n"&amp;EK$2&amp;"+"&amp;BE143&amp;EK$1)</f>
        <v/>
      </c>
      <c r="EL143" s="40" t="str">
        <f t="shared" ref="EL143:EL145" si="2004">IF(BF143="","","|n"&amp;EL$2&amp;"+"&amp;BF143&amp;EL$1)</f>
        <v/>
      </c>
      <c r="EM143" s="40" t="str">
        <f t="shared" ref="EM143:EM145" si="2005">IF(BG143="","","|n"&amp;EM$2&amp;"+"&amp;BG143&amp;EM$1)</f>
        <v/>
      </c>
      <c r="EN143" s="40" t="str">
        <f t="shared" ref="EN143:EN145" si="2006">IF(BH143="","","|n"&amp;EN$2&amp;"+"&amp;BH143&amp;EN$1)</f>
        <v/>
      </c>
      <c r="EO143" s="40" t="str">
        <f t="shared" ref="EO143:EO145" si="2007">IF(BI143="","","|n"&amp;EO$2&amp;"+"&amp;BI143&amp;EO$1)</f>
        <v/>
      </c>
      <c r="EP143" s="40" t="str">
        <f t="shared" ref="EP143:EP145" si="2008">IF(BJ143="","","|n"&amp;EP$2&amp;"+"&amp;BJ143&amp;EP$1)</f>
        <v/>
      </c>
      <c r="EQ143" s="40" t="str">
        <f t="shared" ref="EQ143:EQ145" si="2009">IF(BK143="","","|n"&amp;EQ$2&amp;"+"&amp;BK143&amp;EQ$1)</f>
        <v/>
      </c>
      <c r="ER143" s="40" t="str">
        <f t="shared" ref="ER143:ER145" si="2010">IF(BL143="","","|n"&amp;ER$2&amp;"+"&amp;BL143&amp;ER$1)</f>
        <v/>
      </c>
      <c r="ES143" s="40" t="str">
        <f t="shared" ref="ES143:ES145" si="2011">IF(BM143="","","|n"&amp;ES$2&amp;"+"&amp;BM143&amp;ES$1)</f>
        <v/>
      </c>
      <c r="ET143" s="40" t="str">
        <f t="shared" ref="ET143:ET145" si="2012">IF(BN143="","","|n"&amp;ET$2&amp;"+"&amp;BN143&amp;ET$1)</f>
        <v/>
      </c>
      <c r="EU143" s="40" t="str">
        <f t="shared" ref="EU143:EU145" si="2013">IF(BO143="","","|n"&amp;EU$2&amp;"+"&amp;BO143&amp;EU$1)</f>
        <v/>
      </c>
      <c r="EV143" s="40" t="str">
        <f t="shared" ref="EV143:EV145" si="2014">IF(BP143="","","|n"&amp;EV$2&amp;"+"&amp;BP143&amp;EV$1)</f>
        <v/>
      </c>
      <c r="EW143" s="40" t="str">
        <f t="shared" ref="EW143:EW145" si="2015">IF(BQ143="","","|n"&amp;EW$2&amp;"+"&amp;BQ143&amp;EW$1)</f>
        <v/>
      </c>
      <c r="EX143" s="40" t="str">
        <f t="shared" ref="EX143:EX145" si="2016">IF(BR143="","","|n"&amp;EX$2&amp;"+"&amp;BR143&amp;EX$1)</f>
        <v/>
      </c>
      <c r="EY143" s="40" t="str">
        <f t="shared" ref="EY143:EY145" si="2017">IF(BS143="","","|n"&amp;EY$2&amp;"+"&amp;BS143&amp;EY$1)</f>
        <v/>
      </c>
      <c r="EZ143" s="40" t="str">
        <f t="shared" ref="EZ143:EZ145" si="2018">IF(BT143="","","|n"&amp;EZ$2&amp;"+"&amp;BT143&amp;EZ$1)</f>
        <v/>
      </c>
      <c r="FA143" s="40" t="str">
        <f t="shared" ref="FA143:FA145" si="2019">IF(BU143="","","|n"&amp;FA$2&amp;"+"&amp;BU143&amp;FA$1)</f>
        <v/>
      </c>
      <c r="FB143" s="40" t="str">
        <f t="shared" ref="FB143:FB145" si="2020">IF(BV143="","","|n"&amp;FB$2&amp;"+"&amp;BV143&amp;FB$1)</f>
        <v/>
      </c>
      <c r="FC143" s="40" t="str">
        <f t="shared" ref="FC143:FC145" si="2021">IF(BW143="","","|n"&amp;FC$2&amp;"+"&amp;BW143&amp;FC$1)</f>
        <v/>
      </c>
      <c r="FD143" s="40" t="str">
        <f t="shared" ref="FD143:FD145" si="2022">IF(BX143="","","|n"&amp;FD$2&amp;"+"&amp;BX143&amp;FD$1)</f>
        <v/>
      </c>
      <c r="FE143" s="40" t="str">
        <f t="shared" ref="FE143:FE145" si="2023">IF(BY143="","","|n"&amp;FE$2&amp;"+"&amp;BY143&amp;FE$1)</f>
        <v/>
      </c>
      <c r="FF143" s="40" t="str">
        <f t="shared" ref="FF143:FF145" si="2024">IF(BZ143="","","|n"&amp;FF$2&amp;"+"&amp;BZ143&amp;FF$1)</f>
        <v/>
      </c>
      <c r="FG143" s="40" t="str">
        <f t="shared" ref="FG143:FG145" si="2025">IF(CA143="","","|n"&amp;FG$2&amp;"+"&amp;CA143&amp;FG$1)</f>
        <v/>
      </c>
      <c r="FH143" s="40" t="str">
        <f t="shared" ref="FH143:FH145" si="2026">IF(CB143="","","|n"&amp;FH$2&amp;"+"&amp;CB143&amp;FH$1)</f>
        <v/>
      </c>
      <c r="FI143" s="40" t="str">
        <f t="shared" ref="FI143:FI145" si="2027">IF(CC143="","","|n"&amp;FI$2&amp;"+"&amp;CC143&amp;FI$1)</f>
        <v/>
      </c>
      <c r="FJ143" s="40" t="str">
        <f t="shared" ref="FJ143:FJ145" si="2028">IF(CD143="","","|n"&amp;FJ$2&amp;"+"&amp;CD143&amp;FJ$1)</f>
        <v/>
      </c>
      <c r="FK143" s="40" t="str">
        <f t="shared" ref="FK143:FK145" si="2029">IF(CE143="","","|n"&amp;FK$2&amp;"+"&amp;CE143&amp;FK$1)</f>
        <v/>
      </c>
      <c r="FL143" s="40" t="str">
        <f t="shared" ref="FL143:FL145" si="2030">IF(CF143="","","|n"&amp;FL$2&amp;"+"&amp;CF143&amp;FL$1)</f>
        <v/>
      </c>
      <c r="FM143" s="40" t="str">
        <f t="shared" ref="FM143:FM145" si="2031">IF(CG143="","","|n"&amp;FM$2&amp;"+"&amp;CG143&amp;FM$1)</f>
        <v/>
      </c>
      <c r="FN143" s="40" t="str">
        <f t="shared" ref="FN143:FN145" si="2032">IF(CH143="","","|n"&amp;FN$2&amp;"+"&amp;CH143&amp;FN$1)</f>
        <v/>
      </c>
      <c r="FO143" s="40" t="str">
        <f t="shared" ref="FO143:FO145" si="2033">IF(CI143="","","|n"&amp;FO$2&amp;"+"&amp;CI143&amp;FO$1)</f>
        <v/>
      </c>
      <c r="FP143" s="40" t="str">
        <f t="shared" ref="FP143:FP145" si="2034">IF(CJ143="","","|n"&amp;FP$2&amp;"+"&amp;CJ143&amp;FP$1)</f>
        <v/>
      </c>
      <c r="FQ143" s="40" t="str">
        <f t="shared" ref="FQ143:FQ145" si="2035">IF(CK143="","","|n"&amp;FQ$2&amp;"+"&amp;CK143&amp;FQ$1)</f>
        <v/>
      </c>
      <c r="FR143" s="40" t="str">
        <f t="shared" ref="FR143:FR145" si="2036">IF(CL143="","","|n"&amp;FR$2&amp;"+"&amp;CL143&amp;FR$1)</f>
        <v/>
      </c>
      <c r="FS143" s="40" t="str">
        <f t="shared" ref="FS143:FS145" si="2037">IF(CM143="","","|n"&amp;FS$2&amp;"+"&amp;CM143&amp;FS$1)</f>
        <v/>
      </c>
    </row>
    <row r="144" spans="1:175" ht="42.75">
      <c r="A144" s="2"/>
      <c r="B144" s="2" t="s">
        <v>397</v>
      </c>
      <c r="C144" s="3" t="s">
        <v>398</v>
      </c>
      <c r="T144" s="74" t="s">
        <v>399</v>
      </c>
      <c r="U144" s="51" t="str">
        <f t="shared" si="939"/>
        <v>ReplaceableTextures\\CommandButtons\\BTNIN16.blp</v>
      </c>
      <c r="CN144" s="10" t="str">
        <f t="shared" si="1672"/>
        <v>InitUnitState('IN16',,,,,,,,,,)</v>
      </c>
      <c r="CO144" s="10" t="str">
        <f t="shared" si="1673"/>
        <v>InitUnitNormal('IN16',,,,,,,,,,)</v>
      </c>
      <c r="CP144" s="10" t="str">
        <f t="shared" si="1674"/>
        <v>InitUnitMagic('IN16',,,,,,,,,,)</v>
      </c>
      <c r="CQ144" s="10" t="str">
        <f t="shared" si="1675"/>
        <v>InitUnitAdd('IN16',,,,,,,,,,)</v>
      </c>
      <c r="CR144" s="10" t="str">
        <f t="shared" si="1893"/>
        <v>InitEquipData('IN16',,"",,,,,'','','','','','',"ReplaceableTextures\\CommandButtons\\BTNIT10.blp")</v>
      </c>
      <c r="CU144" s="61" t="str">
        <f t="shared" si="1966"/>
        <v>|n</v>
      </c>
      <c r="CV144" s="3" t="str">
        <f t="shared" si="1967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8"/>
        <v/>
      </c>
      <c r="DC144" s="40" t="str">
        <f t="shared" si="1969"/>
        <v/>
      </c>
      <c r="DD144" s="40" t="str">
        <f t="shared" si="1970"/>
        <v/>
      </c>
      <c r="DE144" s="40" t="str">
        <f t="shared" si="1971"/>
        <v/>
      </c>
      <c r="DF144" s="40" t="str">
        <f t="shared" si="1972"/>
        <v/>
      </c>
      <c r="DG144" s="40" t="str">
        <f t="shared" si="1973"/>
        <v/>
      </c>
      <c r="DH144" s="40" t="str">
        <f t="shared" si="1974"/>
        <v/>
      </c>
      <c r="DI144" s="40" t="str">
        <f t="shared" si="1975"/>
        <v/>
      </c>
      <c r="DJ144" s="40" t="str">
        <f t="shared" si="1976"/>
        <v/>
      </c>
      <c r="DK144" s="40" t="str">
        <f t="shared" si="1977"/>
        <v/>
      </c>
      <c r="DL144" s="40" t="str">
        <f t="shared" si="1978"/>
        <v/>
      </c>
      <c r="DM144" s="40" t="str">
        <f t="shared" si="1979"/>
        <v/>
      </c>
      <c r="DN144" s="40" t="str">
        <f t="shared" si="1980"/>
        <v/>
      </c>
      <c r="DO144" s="40" t="str">
        <f t="shared" si="1981"/>
        <v/>
      </c>
      <c r="DP144" s="40" t="str">
        <f t="shared" si="1982"/>
        <v/>
      </c>
      <c r="DQ144" s="40" t="str">
        <f t="shared" si="1983"/>
        <v/>
      </c>
      <c r="DR144" s="40" t="str">
        <f t="shared" si="1984"/>
        <v/>
      </c>
      <c r="DS144" s="40" t="str">
        <f t="shared" si="1985"/>
        <v/>
      </c>
      <c r="DT144" s="40" t="str">
        <f t="shared" si="1986"/>
        <v/>
      </c>
      <c r="DU144" s="40" t="str">
        <f t="shared" si="1987"/>
        <v/>
      </c>
      <c r="DV144" s="40" t="str">
        <f t="shared" si="1988"/>
        <v/>
      </c>
      <c r="DW144" s="40" t="str">
        <f t="shared" si="1989"/>
        <v/>
      </c>
      <c r="DX144" s="40" t="str">
        <f t="shared" si="1990"/>
        <v/>
      </c>
      <c r="DY144" s="40" t="str">
        <f t="shared" si="1991"/>
        <v/>
      </c>
      <c r="DZ144" s="40" t="str">
        <f t="shared" si="1992"/>
        <v/>
      </c>
      <c r="EA144" s="40" t="str">
        <f t="shared" si="1993"/>
        <v/>
      </c>
      <c r="EB144" s="40" t="str">
        <f t="shared" si="1994"/>
        <v/>
      </c>
      <c r="EC144" s="40" t="str">
        <f t="shared" si="1995"/>
        <v/>
      </c>
      <c r="ED144" s="40" t="str">
        <f t="shared" si="1996"/>
        <v/>
      </c>
      <c r="EE144" s="40" t="str">
        <f t="shared" si="1997"/>
        <v/>
      </c>
      <c r="EF144" s="40" t="str">
        <f t="shared" si="1998"/>
        <v/>
      </c>
      <c r="EG144" s="40" t="str">
        <f t="shared" si="1999"/>
        <v/>
      </c>
      <c r="EH144" s="40" t="str">
        <f t="shared" si="2000"/>
        <v/>
      </c>
      <c r="EI144" s="40" t="str">
        <f t="shared" si="2001"/>
        <v/>
      </c>
      <c r="EJ144" s="40" t="str">
        <f t="shared" si="2002"/>
        <v/>
      </c>
      <c r="EK144" s="40" t="str">
        <f t="shared" si="2003"/>
        <v/>
      </c>
      <c r="EL144" s="40" t="str">
        <f t="shared" si="2004"/>
        <v/>
      </c>
      <c r="EM144" s="40" t="str">
        <f t="shared" si="2005"/>
        <v/>
      </c>
      <c r="EN144" s="40" t="str">
        <f t="shared" si="2006"/>
        <v/>
      </c>
      <c r="EO144" s="40" t="str">
        <f t="shared" si="2007"/>
        <v/>
      </c>
      <c r="EP144" s="40" t="str">
        <f t="shared" si="2008"/>
        <v/>
      </c>
      <c r="EQ144" s="40" t="str">
        <f t="shared" si="2009"/>
        <v/>
      </c>
      <c r="ER144" s="40" t="str">
        <f t="shared" si="2010"/>
        <v/>
      </c>
      <c r="ES144" s="40" t="str">
        <f t="shared" si="2011"/>
        <v/>
      </c>
      <c r="ET144" s="40" t="str">
        <f t="shared" si="2012"/>
        <v/>
      </c>
      <c r="EU144" s="40" t="str">
        <f t="shared" si="2013"/>
        <v/>
      </c>
      <c r="EV144" s="40" t="str">
        <f t="shared" si="2014"/>
        <v/>
      </c>
      <c r="EW144" s="40" t="str">
        <f t="shared" si="2015"/>
        <v/>
      </c>
      <c r="EX144" s="40" t="str">
        <f t="shared" si="2016"/>
        <v/>
      </c>
      <c r="EY144" s="40" t="str">
        <f t="shared" si="2017"/>
        <v/>
      </c>
      <c r="EZ144" s="40" t="str">
        <f t="shared" si="2018"/>
        <v/>
      </c>
      <c r="FA144" s="40" t="str">
        <f t="shared" si="2019"/>
        <v/>
      </c>
      <c r="FB144" s="40" t="str">
        <f t="shared" si="2020"/>
        <v/>
      </c>
      <c r="FC144" s="40" t="str">
        <f t="shared" si="2021"/>
        <v/>
      </c>
      <c r="FD144" s="40" t="str">
        <f t="shared" si="2022"/>
        <v/>
      </c>
      <c r="FE144" s="40" t="str">
        <f t="shared" si="2023"/>
        <v/>
      </c>
      <c r="FF144" s="40" t="str">
        <f t="shared" si="2024"/>
        <v/>
      </c>
      <c r="FG144" s="40" t="str">
        <f t="shared" si="2025"/>
        <v/>
      </c>
      <c r="FH144" s="40" t="str">
        <f t="shared" si="2026"/>
        <v/>
      </c>
      <c r="FI144" s="40" t="str">
        <f t="shared" si="2027"/>
        <v/>
      </c>
      <c r="FJ144" s="40" t="str">
        <f t="shared" si="2028"/>
        <v/>
      </c>
      <c r="FK144" s="40" t="str">
        <f t="shared" si="2029"/>
        <v/>
      </c>
      <c r="FL144" s="40" t="str">
        <f t="shared" si="2030"/>
        <v/>
      </c>
      <c r="FM144" s="40" t="str">
        <f t="shared" si="2031"/>
        <v/>
      </c>
      <c r="FN144" s="40" t="str">
        <f t="shared" si="2032"/>
        <v/>
      </c>
      <c r="FO144" s="40" t="str">
        <f t="shared" si="2033"/>
        <v/>
      </c>
      <c r="FP144" s="40" t="str">
        <f t="shared" si="2034"/>
        <v/>
      </c>
      <c r="FQ144" s="40" t="str">
        <f t="shared" si="2035"/>
        <v/>
      </c>
      <c r="FR144" s="40" t="str">
        <f t="shared" si="2036"/>
        <v/>
      </c>
      <c r="FS144" s="40" t="str">
        <f t="shared" si="2037"/>
        <v/>
      </c>
    </row>
    <row r="145" spans="1:175" ht="16.5">
      <c r="A145" s="2"/>
      <c r="B145" s="2" t="s">
        <v>400</v>
      </c>
      <c r="C145" s="3" t="s">
        <v>401</v>
      </c>
      <c r="T145" s="3" t="s">
        <v>402</v>
      </c>
      <c r="U145" s="51" t="str">
        <f t="shared" si="939"/>
        <v>ReplaceableTextures\\CommandButtons\\BTNIN17.blp</v>
      </c>
      <c r="CN145" s="10" t="str">
        <f t="shared" si="1672"/>
        <v>InitUnitState('IN17',,,,,,,,,,)</v>
      </c>
      <c r="CO145" s="10" t="str">
        <f t="shared" si="1673"/>
        <v>InitUnitNormal('IN17',,,,,,,,,,)</v>
      </c>
      <c r="CP145" s="10" t="str">
        <f t="shared" si="1674"/>
        <v>InitUnitMagic('IN17',,,,,,,,,,)</v>
      </c>
      <c r="CQ145" s="10" t="str">
        <f t="shared" si="1675"/>
        <v>InitUnitAdd('IN17',,,,,,,,,,)</v>
      </c>
      <c r="CR145" s="10" t="str">
        <f t="shared" si="1893"/>
        <v>InitEquipData('IN17',,"",,,,,'','','','','','',"ReplaceableTextures\\CommandButtons\\BTNIT11.blp")</v>
      </c>
      <c r="CU145" s="61" t="str">
        <f t="shared" si="1966"/>
        <v>|n</v>
      </c>
      <c r="CV145" s="3" t="str">
        <f t="shared" si="1967"/>
        <v>木头|Cffffc926+3000|r</v>
      </c>
      <c r="CW145" s="4"/>
      <c r="CX145" s="4"/>
      <c r="CY145" s="4"/>
      <c r="CZ145" s="4"/>
      <c r="DA145" s="4"/>
      <c r="DB145" s="40" t="str">
        <f t="shared" si="1968"/>
        <v/>
      </c>
      <c r="DC145" s="40" t="str">
        <f t="shared" si="1969"/>
        <v/>
      </c>
      <c r="DD145" s="40" t="str">
        <f t="shared" si="1970"/>
        <v/>
      </c>
      <c r="DE145" s="40" t="str">
        <f t="shared" si="1971"/>
        <v/>
      </c>
      <c r="DF145" s="40" t="str">
        <f t="shared" si="1972"/>
        <v/>
      </c>
      <c r="DG145" s="40" t="str">
        <f t="shared" si="1973"/>
        <v/>
      </c>
      <c r="DH145" s="40" t="str">
        <f t="shared" si="1974"/>
        <v/>
      </c>
      <c r="DI145" s="40" t="str">
        <f t="shared" si="1975"/>
        <v/>
      </c>
      <c r="DJ145" s="40" t="str">
        <f t="shared" si="1976"/>
        <v/>
      </c>
      <c r="DK145" s="40" t="str">
        <f t="shared" si="1977"/>
        <v/>
      </c>
      <c r="DL145" s="40" t="str">
        <f t="shared" si="1978"/>
        <v/>
      </c>
      <c r="DM145" s="40" t="str">
        <f t="shared" si="1979"/>
        <v/>
      </c>
      <c r="DN145" s="40" t="str">
        <f t="shared" si="1980"/>
        <v/>
      </c>
      <c r="DO145" s="40" t="str">
        <f t="shared" si="1981"/>
        <v/>
      </c>
      <c r="DP145" s="40" t="str">
        <f t="shared" si="1982"/>
        <v/>
      </c>
      <c r="DQ145" s="40" t="str">
        <f t="shared" si="1983"/>
        <v/>
      </c>
      <c r="DR145" s="40" t="str">
        <f t="shared" si="1984"/>
        <v/>
      </c>
      <c r="DS145" s="40" t="str">
        <f t="shared" si="1985"/>
        <v/>
      </c>
      <c r="DT145" s="40" t="str">
        <f t="shared" si="1986"/>
        <v/>
      </c>
      <c r="DU145" s="40" t="str">
        <f t="shared" si="1987"/>
        <v/>
      </c>
      <c r="DV145" s="40" t="str">
        <f t="shared" si="1988"/>
        <v/>
      </c>
      <c r="DW145" s="40" t="str">
        <f t="shared" si="1989"/>
        <v/>
      </c>
      <c r="DX145" s="40" t="str">
        <f t="shared" si="1990"/>
        <v/>
      </c>
      <c r="DY145" s="40" t="str">
        <f t="shared" si="1991"/>
        <v/>
      </c>
      <c r="DZ145" s="40" t="str">
        <f t="shared" si="1992"/>
        <v/>
      </c>
      <c r="EA145" s="40" t="str">
        <f t="shared" si="1993"/>
        <v/>
      </c>
      <c r="EB145" s="40" t="str">
        <f t="shared" si="1994"/>
        <v/>
      </c>
      <c r="EC145" s="40" t="str">
        <f t="shared" si="1995"/>
        <v/>
      </c>
      <c r="ED145" s="40" t="str">
        <f t="shared" si="1996"/>
        <v/>
      </c>
      <c r="EE145" s="40" t="str">
        <f t="shared" si="1997"/>
        <v/>
      </c>
      <c r="EF145" s="40" t="str">
        <f t="shared" si="1998"/>
        <v/>
      </c>
      <c r="EG145" s="40" t="str">
        <f t="shared" si="1999"/>
        <v/>
      </c>
      <c r="EH145" s="40" t="str">
        <f t="shared" si="2000"/>
        <v/>
      </c>
      <c r="EI145" s="40" t="str">
        <f t="shared" si="2001"/>
        <v/>
      </c>
      <c r="EJ145" s="40" t="str">
        <f t="shared" si="2002"/>
        <v/>
      </c>
      <c r="EK145" s="40" t="str">
        <f t="shared" si="2003"/>
        <v/>
      </c>
      <c r="EL145" s="40" t="str">
        <f t="shared" si="2004"/>
        <v/>
      </c>
      <c r="EM145" s="40" t="str">
        <f t="shared" si="2005"/>
        <v/>
      </c>
      <c r="EN145" s="40" t="str">
        <f t="shared" si="2006"/>
        <v/>
      </c>
      <c r="EO145" s="40" t="str">
        <f t="shared" si="2007"/>
        <v/>
      </c>
      <c r="EP145" s="40" t="str">
        <f t="shared" si="2008"/>
        <v/>
      </c>
      <c r="EQ145" s="40" t="str">
        <f t="shared" si="2009"/>
        <v/>
      </c>
      <c r="ER145" s="40" t="str">
        <f t="shared" si="2010"/>
        <v/>
      </c>
      <c r="ES145" s="40" t="str">
        <f t="shared" si="2011"/>
        <v/>
      </c>
      <c r="ET145" s="40" t="str">
        <f t="shared" si="2012"/>
        <v/>
      </c>
      <c r="EU145" s="40" t="str">
        <f t="shared" si="2013"/>
        <v/>
      </c>
      <c r="EV145" s="40" t="str">
        <f t="shared" si="2014"/>
        <v/>
      </c>
      <c r="EW145" s="40" t="str">
        <f t="shared" si="2015"/>
        <v/>
      </c>
      <c r="EX145" s="40" t="str">
        <f t="shared" si="2016"/>
        <v/>
      </c>
      <c r="EY145" s="40" t="str">
        <f t="shared" si="2017"/>
        <v/>
      </c>
      <c r="EZ145" s="40" t="str">
        <f t="shared" si="2018"/>
        <v/>
      </c>
      <c r="FA145" s="40" t="str">
        <f t="shared" si="2019"/>
        <v/>
      </c>
      <c r="FB145" s="40" t="str">
        <f t="shared" si="2020"/>
        <v/>
      </c>
      <c r="FC145" s="40" t="str">
        <f t="shared" si="2021"/>
        <v/>
      </c>
      <c r="FD145" s="40" t="str">
        <f t="shared" si="2022"/>
        <v/>
      </c>
      <c r="FE145" s="40" t="str">
        <f t="shared" si="2023"/>
        <v/>
      </c>
      <c r="FF145" s="40" t="str">
        <f t="shared" si="2024"/>
        <v/>
      </c>
      <c r="FG145" s="40" t="str">
        <f t="shared" si="2025"/>
        <v/>
      </c>
      <c r="FH145" s="40" t="str">
        <f t="shared" si="2026"/>
        <v/>
      </c>
      <c r="FI145" s="40" t="str">
        <f t="shared" si="2027"/>
        <v/>
      </c>
      <c r="FJ145" s="40" t="str">
        <f t="shared" si="2028"/>
        <v/>
      </c>
      <c r="FK145" s="40" t="str">
        <f t="shared" si="2029"/>
        <v/>
      </c>
      <c r="FL145" s="40" t="str">
        <f t="shared" si="2030"/>
        <v/>
      </c>
      <c r="FM145" s="40" t="str">
        <f t="shared" si="2031"/>
        <v/>
      </c>
      <c r="FN145" s="40" t="str">
        <f t="shared" si="2032"/>
        <v/>
      </c>
      <c r="FO145" s="40" t="str">
        <f t="shared" si="2033"/>
        <v/>
      </c>
      <c r="FP145" s="40" t="str">
        <f t="shared" si="2034"/>
        <v/>
      </c>
      <c r="FQ145" s="40" t="str">
        <f t="shared" si="2035"/>
        <v/>
      </c>
      <c r="FR145" s="40" t="str">
        <f t="shared" si="2036"/>
        <v/>
      </c>
      <c r="FS145" s="40" t="str">
        <f t="shared" si="2037"/>
        <v/>
      </c>
    </row>
    <row r="146" spans="1:175" ht="16.5">
      <c r="A146" s="2"/>
      <c r="B146" s="2" t="s">
        <v>403</v>
      </c>
      <c r="C146" s="3" t="s">
        <v>404</v>
      </c>
      <c r="T146" s="34" t="s">
        <v>405</v>
      </c>
      <c r="U146" s="51" t="str">
        <f t="shared" si="939"/>
        <v>ReplaceableTextures\\CommandButtons\\BTNIN18.blp</v>
      </c>
      <c r="CN146" s="10" t="str">
        <f t="shared" si="1672"/>
        <v>InitUnitState('IN18',,,,,,,,,,)</v>
      </c>
      <c r="CO146" s="10" t="str">
        <f t="shared" si="1673"/>
        <v>InitUnitNormal('IN18',,,,,,,,,,)</v>
      </c>
      <c r="CP146" s="10" t="str">
        <f t="shared" si="1674"/>
        <v>InitUnitMagic('IN18',,,,,,,,,,)</v>
      </c>
      <c r="CQ146" s="10" t="str">
        <f t="shared" si="1675"/>
        <v>InitUnitAdd('IN18',,,,,,,,,,)</v>
      </c>
      <c r="CR146" s="10" t="str">
        <f t="shared" si="1893"/>
        <v>InitEquipData('IN18',,"",,,,,'','','','','','',"ReplaceableTextures\\CommandButtons\\BTNIT12.blp")</v>
      </c>
      <c r="CU146" s="61" t="str">
        <f t="shared" ref="CU146" si="2038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9">T146</f>
        <v>木头|Cffffc926+300|r</v>
      </c>
      <c r="CW146" s="4"/>
      <c r="CX146" s="4"/>
      <c r="CY146" s="4"/>
      <c r="CZ146" s="4"/>
      <c r="DA146" s="4"/>
      <c r="DB146" s="40" t="str">
        <f t="shared" ref="DB146" si="2040">IF(V146="","","|n"&amp;DB$2&amp;"+"&amp;V146&amp;DB$1)</f>
        <v/>
      </c>
      <c r="DC146" s="40" t="str">
        <f t="shared" ref="DC146" si="2041">IF(W146="","","|n"&amp;DC$2&amp;"+"&amp;W146&amp;DC$1)</f>
        <v/>
      </c>
      <c r="DD146" s="40" t="str">
        <f t="shared" ref="DD146" si="2042">IF(X146="","","|n"&amp;DD$2&amp;"+"&amp;X146&amp;DD$1)</f>
        <v/>
      </c>
      <c r="DE146" s="40" t="str">
        <f t="shared" ref="DE146" si="2043">IF(Y146="","","|n"&amp;DE$2&amp;"+"&amp;Y146&amp;DE$1)</f>
        <v/>
      </c>
      <c r="DF146" s="40" t="str">
        <f t="shared" ref="DF146" si="2044">IF(Z146="","","|n"&amp;DF$2&amp;"+"&amp;Z146&amp;DF$1)</f>
        <v/>
      </c>
      <c r="DG146" s="40" t="str">
        <f t="shared" ref="DG146" si="2045">IF(AA146="","","|n"&amp;DG$2&amp;"+"&amp;AA146&amp;DG$1)</f>
        <v/>
      </c>
      <c r="DH146" s="40" t="str">
        <f t="shared" ref="DH146" si="2046">IF(AB146="","","|n"&amp;DH$2&amp;"+"&amp;AB146&amp;DH$1)</f>
        <v/>
      </c>
      <c r="DI146" s="40" t="str">
        <f t="shared" ref="DI146" si="2047">IF(AC146="","","|n"&amp;DI$2&amp;"+"&amp;AC146&amp;DI$1)</f>
        <v/>
      </c>
      <c r="DJ146" s="40" t="str">
        <f t="shared" ref="DJ146" si="2048">IF(AD146="","","|n"&amp;DJ$2&amp;"+"&amp;AD146&amp;DJ$1)</f>
        <v/>
      </c>
      <c r="DK146" s="40" t="str">
        <f t="shared" ref="DK146" si="2049">IF(AE146="","","|n"&amp;DK$2&amp;"+"&amp;AE146&amp;DK$1)</f>
        <v/>
      </c>
      <c r="DL146" s="40" t="str">
        <f t="shared" ref="DL146" si="2050">IF(AF146="","","|n"&amp;DL$2&amp;"+"&amp;AF146&amp;DL$1)</f>
        <v/>
      </c>
      <c r="DM146" s="40" t="str">
        <f t="shared" ref="DM146" si="2051">IF(AG146="","","|n"&amp;DM$2&amp;"+"&amp;AG146&amp;DM$1)</f>
        <v/>
      </c>
      <c r="DN146" s="40" t="str">
        <f t="shared" ref="DN146" si="2052">IF(AH146="","","|n"&amp;DN$2&amp;"+"&amp;AH146&amp;DN$1)</f>
        <v/>
      </c>
      <c r="DO146" s="40" t="str">
        <f t="shared" ref="DO146" si="2053">IF(AI146="","","|n"&amp;DO$2&amp;"+"&amp;AI146&amp;DO$1)</f>
        <v/>
      </c>
      <c r="DP146" s="40" t="str">
        <f t="shared" ref="DP146" si="2054">IF(AJ146="","","|n"&amp;DP$2&amp;"+"&amp;AJ146&amp;DP$1)</f>
        <v/>
      </c>
      <c r="DQ146" s="40" t="str">
        <f t="shared" ref="DQ146" si="2055">IF(AK146="","","|n"&amp;DQ$2&amp;"+"&amp;AK146&amp;DQ$1)</f>
        <v/>
      </c>
      <c r="DR146" s="40" t="str">
        <f t="shared" ref="DR146" si="2056">IF(AL146="","","|n"&amp;DR$2&amp;"+"&amp;AL146&amp;DR$1)</f>
        <v/>
      </c>
      <c r="DS146" s="40" t="str">
        <f t="shared" ref="DS146" si="2057">IF(AM146="","","|n"&amp;DS$2&amp;"+"&amp;AM146&amp;DS$1)</f>
        <v/>
      </c>
      <c r="DT146" s="40" t="str">
        <f t="shared" ref="DT146" si="2058">IF(AN146="","","|n"&amp;DT$2&amp;"+"&amp;AN146&amp;DT$1)</f>
        <v/>
      </c>
      <c r="DU146" s="40" t="str">
        <f t="shared" ref="DU146" si="2059">IF(AO146="","","|n"&amp;DU$2&amp;"+"&amp;AO146&amp;DU$1)</f>
        <v/>
      </c>
      <c r="DV146" s="40" t="str">
        <f t="shared" ref="DV146" si="2060">IF(AP146="","","|n"&amp;DV$2&amp;"+"&amp;AP146&amp;DV$1)</f>
        <v/>
      </c>
      <c r="DW146" s="40" t="str">
        <f t="shared" ref="DW146" si="2061">IF(AQ146="","","|n"&amp;DW$2&amp;"+"&amp;AQ146&amp;DW$1)</f>
        <v/>
      </c>
      <c r="DX146" s="40" t="str">
        <f t="shared" ref="DX146" si="2062">IF(AR146="","","|n"&amp;DX$2&amp;"+"&amp;AR146&amp;DX$1)</f>
        <v/>
      </c>
      <c r="DY146" s="40" t="str">
        <f t="shared" ref="DY146" si="2063">IF(AS146="","","|n"&amp;DY$2&amp;"+"&amp;AS146&amp;DY$1)</f>
        <v/>
      </c>
      <c r="DZ146" s="40" t="str">
        <f t="shared" ref="DZ146" si="2064">IF(AT146="","","|n"&amp;DZ$2&amp;"+"&amp;AT146&amp;DZ$1)</f>
        <v/>
      </c>
      <c r="EA146" s="40" t="str">
        <f t="shared" ref="EA146" si="2065">IF(AU146="","","|n"&amp;EA$2&amp;"+"&amp;AU146&amp;EA$1)</f>
        <v/>
      </c>
      <c r="EB146" s="40" t="str">
        <f t="shared" ref="EB146" si="2066">IF(AV146="","","|n"&amp;EB$2&amp;"+"&amp;AV146&amp;EB$1)</f>
        <v/>
      </c>
      <c r="EC146" s="40" t="str">
        <f t="shared" ref="EC146" si="2067">IF(AW146="","","|n"&amp;EC$2&amp;"+"&amp;AW146&amp;EC$1)</f>
        <v/>
      </c>
      <c r="ED146" s="40" t="str">
        <f t="shared" ref="ED146" si="2068">IF(AX146="","","|n"&amp;ED$2&amp;"+"&amp;AX146&amp;ED$1)</f>
        <v/>
      </c>
      <c r="EE146" s="40" t="str">
        <f t="shared" ref="EE146" si="2069">IF(AY146="","","|n"&amp;EE$2&amp;"+"&amp;AY146&amp;EE$1)</f>
        <v/>
      </c>
      <c r="EF146" s="40" t="str">
        <f t="shared" ref="EF146" si="2070">IF(AZ146="","","|n"&amp;EF$2&amp;"+"&amp;AZ146&amp;EF$1)</f>
        <v/>
      </c>
      <c r="EG146" s="40" t="str">
        <f t="shared" ref="EG146" si="2071">IF(BA146="","","|n"&amp;EG$2&amp;"+"&amp;BA146&amp;EG$1)</f>
        <v/>
      </c>
      <c r="EH146" s="40" t="str">
        <f t="shared" ref="EH146" si="2072">IF(BB146="","","|n"&amp;EH$2&amp;"+"&amp;BB146&amp;EH$1)</f>
        <v/>
      </c>
      <c r="EI146" s="40" t="str">
        <f t="shared" ref="EI146" si="2073">IF(BC146="","","|n"&amp;EI$2&amp;"+"&amp;BC146&amp;EI$1)</f>
        <v/>
      </c>
      <c r="EJ146" s="40" t="str">
        <f t="shared" ref="EJ146" si="2074">IF(BD146="","","|n"&amp;EJ$2&amp;"+"&amp;BD146&amp;EJ$1)</f>
        <v/>
      </c>
      <c r="EK146" s="40" t="str">
        <f t="shared" ref="EK146" si="2075">IF(BE146="","","|n"&amp;EK$2&amp;"+"&amp;BE146&amp;EK$1)</f>
        <v/>
      </c>
      <c r="EL146" s="40" t="str">
        <f t="shared" ref="EL146" si="2076">IF(BF146="","","|n"&amp;EL$2&amp;"+"&amp;BF146&amp;EL$1)</f>
        <v/>
      </c>
      <c r="EM146" s="40" t="str">
        <f t="shared" ref="EM146" si="2077">IF(BG146="","","|n"&amp;EM$2&amp;"+"&amp;BG146&amp;EM$1)</f>
        <v/>
      </c>
      <c r="EN146" s="40" t="str">
        <f t="shared" ref="EN146" si="2078">IF(BH146="","","|n"&amp;EN$2&amp;"+"&amp;BH146&amp;EN$1)</f>
        <v/>
      </c>
      <c r="EO146" s="40" t="str">
        <f t="shared" ref="EO146" si="2079">IF(BI146="","","|n"&amp;EO$2&amp;"+"&amp;BI146&amp;EO$1)</f>
        <v/>
      </c>
      <c r="EP146" s="40" t="str">
        <f t="shared" ref="EP146" si="2080">IF(BJ146="","","|n"&amp;EP$2&amp;"+"&amp;BJ146&amp;EP$1)</f>
        <v/>
      </c>
      <c r="EQ146" s="40" t="str">
        <f t="shared" ref="EQ146" si="2081">IF(BK146="","","|n"&amp;EQ$2&amp;"+"&amp;BK146&amp;EQ$1)</f>
        <v/>
      </c>
      <c r="ER146" s="40" t="str">
        <f t="shared" ref="ER146" si="2082">IF(BL146="","","|n"&amp;ER$2&amp;"+"&amp;BL146&amp;ER$1)</f>
        <v/>
      </c>
      <c r="ES146" s="40" t="str">
        <f t="shared" ref="ES146" si="2083">IF(BM146="","","|n"&amp;ES$2&amp;"+"&amp;BM146&amp;ES$1)</f>
        <v/>
      </c>
      <c r="ET146" s="40" t="str">
        <f t="shared" ref="ET146" si="2084">IF(BN146="","","|n"&amp;ET$2&amp;"+"&amp;BN146&amp;ET$1)</f>
        <v/>
      </c>
      <c r="EU146" s="40" t="str">
        <f t="shared" ref="EU146" si="2085">IF(BO146="","","|n"&amp;EU$2&amp;"+"&amp;BO146&amp;EU$1)</f>
        <v/>
      </c>
      <c r="EV146" s="40" t="str">
        <f t="shared" ref="EV146" si="2086">IF(BP146="","","|n"&amp;EV$2&amp;"+"&amp;BP146&amp;EV$1)</f>
        <v/>
      </c>
      <c r="EW146" s="40" t="str">
        <f t="shared" ref="EW146" si="2087">IF(BQ146="","","|n"&amp;EW$2&amp;"+"&amp;BQ146&amp;EW$1)</f>
        <v/>
      </c>
      <c r="EX146" s="40" t="str">
        <f t="shared" ref="EX146" si="2088">IF(BR146="","","|n"&amp;EX$2&amp;"+"&amp;BR146&amp;EX$1)</f>
        <v/>
      </c>
      <c r="EY146" s="40" t="str">
        <f t="shared" ref="EY146" si="2089">IF(BS146="","","|n"&amp;EY$2&amp;"+"&amp;BS146&amp;EY$1)</f>
        <v/>
      </c>
      <c r="EZ146" s="40" t="str">
        <f t="shared" ref="EZ146" si="2090">IF(BT146="","","|n"&amp;EZ$2&amp;"+"&amp;BT146&amp;EZ$1)</f>
        <v/>
      </c>
      <c r="FA146" s="40" t="str">
        <f t="shared" ref="FA146" si="2091">IF(BU146="","","|n"&amp;FA$2&amp;"+"&amp;BU146&amp;FA$1)</f>
        <v/>
      </c>
      <c r="FB146" s="40" t="str">
        <f t="shared" ref="FB146" si="2092">IF(BV146="","","|n"&amp;FB$2&amp;"+"&amp;BV146&amp;FB$1)</f>
        <v/>
      </c>
      <c r="FC146" s="40" t="str">
        <f t="shared" ref="FC146" si="2093">IF(BW146="","","|n"&amp;FC$2&amp;"+"&amp;BW146&amp;FC$1)</f>
        <v/>
      </c>
      <c r="FD146" s="40" t="str">
        <f t="shared" ref="FD146" si="2094">IF(BX146="","","|n"&amp;FD$2&amp;"+"&amp;BX146&amp;FD$1)</f>
        <v/>
      </c>
      <c r="FE146" s="40" t="str">
        <f t="shared" ref="FE146" si="2095">IF(BY146="","","|n"&amp;FE$2&amp;"+"&amp;BY146&amp;FE$1)</f>
        <v/>
      </c>
      <c r="FF146" s="40" t="str">
        <f t="shared" ref="FF146" si="2096">IF(BZ146="","","|n"&amp;FF$2&amp;"+"&amp;BZ146&amp;FF$1)</f>
        <v/>
      </c>
      <c r="FG146" s="40" t="str">
        <f t="shared" ref="FG146" si="2097">IF(CA146="","","|n"&amp;FG$2&amp;"+"&amp;CA146&amp;FG$1)</f>
        <v/>
      </c>
      <c r="FH146" s="40" t="str">
        <f t="shared" ref="FH146" si="2098">IF(CB146="","","|n"&amp;FH$2&amp;"+"&amp;CB146&amp;FH$1)</f>
        <v/>
      </c>
      <c r="FI146" s="40" t="str">
        <f t="shared" ref="FI146" si="2099">IF(CC146="","","|n"&amp;FI$2&amp;"+"&amp;CC146&amp;FI$1)</f>
        <v/>
      </c>
      <c r="FJ146" s="40" t="str">
        <f t="shared" ref="FJ146" si="2100">IF(CD146="","","|n"&amp;FJ$2&amp;"+"&amp;CD146&amp;FJ$1)</f>
        <v/>
      </c>
      <c r="FK146" s="40" t="str">
        <f t="shared" ref="FK146" si="2101">IF(CE146="","","|n"&amp;FK$2&amp;"+"&amp;CE146&amp;FK$1)</f>
        <v/>
      </c>
      <c r="FL146" s="40" t="str">
        <f t="shared" ref="FL146" si="2102">IF(CF146="","","|n"&amp;FL$2&amp;"+"&amp;CF146&amp;FL$1)</f>
        <v/>
      </c>
      <c r="FM146" s="40" t="str">
        <f t="shared" ref="FM146" si="2103">IF(CG146="","","|n"&amp;FM$2&amp;"+"&amp;CG146&amp;FM$1)</f>
        <v/>
      </c>
      <c r="FN146" s="40" t="str">
        <f t="shared" ref="FN146" si="2104">IF(CH146="","","|n"&amp;FN$2&amp;"+"&amp;CH146&amp;FN$1)</f>
        <v/>
      </c>
      <c r="FO146" s="40" t="str">
        <f t="shared" ref="FO146" si="2105">IF(CI146="","","|n"&amp;FO$2&amp;"+"&amp;CI146&amp;FO$1)</f>
        <v/>
      </c>
      <c r="FP146" s="40" t="str">
        <f t="shared" ref="FP146" si="2106">IF(CJ146="","","|n"&amp;FP$2&amp;"+"&amp;CJ146&amp;FP$1)</f>
        <v/>
      </c>
      <c r="FQ146" s="40" t="str">
        <f t="shared" ref="FQ146" si="2107">IF(CK146="","","|n"&amp;FQ$2&amp;"+"&amp;CK146&amp;FQ$1)</f>
        <v/>
      </c>
      <c r="FR146" s="40" t="str">
        <f t="shared" ref="FR146" si="2108">IF(CL146="","","|n"&amp;FR$2&amp;"+"&amp;CL146&amp;FR$1)</f>
        <v/>
      </c>
      <c r="FS146" s="40" t="str">
        <f t="shared" ref="FS146" si="2109">IF(CM146="","","|n"&amp;FS$2&amp;"+"&amp;CM146&amp;FS$1)</f>
        <v/>
      </c>
    </row>
    <row r="147" spans="1:175" ht="16.5">
      <c r="A147" s="2"/>
      <c r="B147" s="2" t="s">
        <v>406</v>
      </c>
      <c r="C147" s="77" t="s">
        <v>407</v>
      </c>
      <c r="T147" s="34" t="s">
        <v>408</v>
      </c>
      <c r="U147" s="51" t="str">
        <f t="shared" ref="U147" si="2110">"ReplaceableTextures\\CommandButtons\\BTN"&amp;B147&amp;".blp"</f>
        <v>ReplaceableTextures\\CommandButtons\\BTNIN19.blp</v>
      </c>
      <c r="CN147" s="10" t="str">
        <f t="shared" si="1672"/>
        <v>InitUnitState('IN19',,,,,,,,,,)</v>
      </c>
      <c r="CO147" s="10" t="str">
        <f t="shared" si="1673"/>
        <v>InitUnitNormal('IN19',,,,,,,,,,)</v>
      </c>
      <c r="CP147" s="10" t="str">
        <f t="shared" si="1674"/>
        <v>InitUnitMagic('IN19',,,,,,,,,,)</v>
      </c>
      <c r="CQ147" s="10" t="str">
        <f t="shared" si="1675"/>
        <v>InitUnitAdd('IN19',,,,,,,,,,)</v>
      </c>
      <c r="CR147" s="10" t="str">
        <f t="shared" si="1893"/>
        <v>InitEquipData('IN19',,"",,,,,'','','','','','',"ReplaceableTextures\\CommandButtons\\BTNIT13.blp")</v>
      </c>
      <c r="CU147" s="61" t="str">
        <f t="shared" ref="CU147" si="211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2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3">IF(V147="","","|n"&amp;DB$2&amp;"+"&amp;V147&amp;DB$1)</f>
        <v/>
      </c>
      <c r="DC147" s="40" t="str">
        <f t="shared" ref="DC147" si="2114">IF(W147="","","|n"&amp;DC$2&amp;"+"&amp;W147&amp;DC$1)</f>
        <v/>
      </c>
      <c r="DD147" s="40" t="str">
        <f t="shared" ref="DD147" si="2115">IF(X147="","","|n"&amp;DD$2&amp;"+"&amp;X147&amp;DD$1)</f>
        <v/>
      </c>
      <c r="DE147" s="40" t="str">
        <f t="shared" ref="DE147" si="2116">IF(Y147="","","|n"&amp;DE$2&amp;"+"&amp;Y147&amp;DE$1)</f>
        <v/>
      </c>
      <c r="DF147" s="40" t="str">
        <f t="shared" ref="DF147" si="2117">IF(Z147="","","|n"&amp;DF$2&amp;"+"&amp;Z147&amp;DF$1)</f>
        <v/>
      </c>
      <c r="DG147" s="40" t="str">
        <f t="shared" ref="DG147" si="2118">IF(AA147="","","|n"&amp;DG$2&amp;"+"&amp;AA147&amp;DG$1)</f>
        <v/>
      </c>
      <c r="DH147" s="40" t="str">
        <f t="shared" ref="DH147" si="2119">IF(AB147="","","|n"&amp;DH$2&amp;"+"&amp;AB147&amp;DH$1)</f>
        <v/>
      </c>
      <c r="DI147" s="40" t="str">
        <f t="shared" ref="DI147" si="2120">IF(AC147="","","|n"&amp;DI$2&amp;"+"&amp;AC147&amp;DI$1)</f>
        <v/>
      </c>
      <c r="DJ147" s="40" t="str">
        <f t="shared" ref="DJ147" si="2121">IF(AD147="","","|n"&amp;DJ$2&amp;"+"&amp;AD147&amp;DJ$1)</f>
        <v/>
      </c>
      <c r="DK147" s="40" t="str">
        <f t="shared" ref="DK147" si="2122">IF(AE147="","","|n"&amp;DK$2&amp;"+"&amp;AE147&amp;DK$1)</f>
        <v/>
      </c>
      <c r="DL147" s="40" t="str">
        <f t="shared" ref="DL147" si="2123">IF(AF147="","","|n"&amp;DL$2&amp;"+"&amp;AF147&amp;DL$1)</f>
        <v/>
      </c>
      <c r="DM147" s="40" t="str">
        <f t="shared" ref="DM147" si="2124">IF(AG147="","","|n"&amp;DM$2&amp;"+"&amp;AG147&amp;DM$1)</f>
        <v/>
      </c>
      <c r="DN147" s="40" t="str">
        <f t="shared" ref="DN147" si="2125">IF(AH147="","","|n"&amp;DN$2&amp;"+"&amp;AH147&amp;DN$1)</f>
        <v/>
      </c>
      <c r="DO147" s="40" t="str">
        <f t="shared" ref="DO147" si="2126">IF(AI147="","","|n"&amp;DO$2&amp;"+"&amp;AI147&amp;DO$1)</f>
        <v/>
      </c>
      <c r="DP147" s="40" t="str">
        <f t="shared" ref="DP147" si="2127">IF(AJ147="","","|n"&amp;DP$2&amp;"+"&amp;AJ147&amp;DP$1)</f>
        <v/>
      </c>
      <c r="DQ147" s="40" t="str">
        <f t="shared" ref="DQ147" si="2128">IF(AK147="","","|n"&amp;DQ$2&amp;"+"&amp;AK147&amp;DQ$1)</f>
        <v/>
      </c>
      <c r="DR147" s="40" t="str">
        <f t="shared" ref="DR147" si="2129">IF(AL147="","","|n"&amp;DR$2&amp;"+"&amp;AL147&amp;DR$1)</f>
        <v/>
      </c>
      <c r="DS147" s="40" t="str">
        <f t="shared" ref="DS147" si="2130">IF(AM147="","","|n"&amp;DS$2&amp;"+"&amp;AM147&amp;DS$1)</f>
        <v/>
      </c>
      <c r="DT147" s="40" t="str">
        <f t="shared" ref="DT147" si="2131">IF(AN147="","","|n"&amp;DT$2&amp;"+"&amp;AN147&amp;DT$1)</f>
        <v/>
      </c>
      <c r="DU147" s="40" t="str">
        <f t="shared" ref="DU147" si="2132">IF(AO147="","","|n"&amp;DU$2&amp;"+"&amp;AO147&amp;DU$1)</f>
        <v/>
      </c>
      <c r="DV147" s="40" t="str">
        <f t="shared" ref="DV147" si="2133">IF(AP147="","","|n"&amp;DV$2&amp;"+"&amp;AP147&amp;DV$1)</f>
        <v/>
      </c>
      <c r="DW147" s="40" t="str">
        <f t="shared" ref="DW147" si="2134">IF(AQ147="","","|n"&amp;DW$2&amp;"+"&amp;AQ147&amp;DW$1)</f>
        <v/>
      </c>
      <c r="DX147" s="40" t="str">
        <f t="shared" ref="DX147" si="2135">IF(AR147="","","|n"&amp;DX$2&amp;"+"&amp;AR147&amp;DX$1)</f>
        <v/>
      </c>
      <c r="DY147" s="40" t="str">
        <f t="shared" ref="DY147" si="2136">IF(AS147="","","|n"&amp;DY$2&amp;"+"&amp;AS147&amp;DY$1)</f>
        <v/>
      </c>
      <c r="DZ147" s="40" t="str">
        <f t="shared" ref="DZ147" si="2137">IF(AT147="","","|n"&amp;DZ$2&amp;"+"&amp;AT147&amp;DZ$1)</f>
        <v/>
      </c>
      <c r="EA147" s="40" t="str">
        <f t="shared" ref="EA147" si="2138">IF(AU147="","","|n"&amp;EA$2&amp;"+"&amp;AU147&amp;EA$1)</f>
        <v/>
      </c>
      <c r="EB147" s="40" t="str">
        <f t="shared" ref="EB147" si="2139">IF(AV147="","","|n"&amp;EB$2&amp;"+"&amp;AV147&amp;EB$1)</f>
        <v/>
      </c>
      <c r="EC147" s="40" t="str">
        <f t="shared" ref="EC147" si="2140">IF(AW147="","","|n"&amp;EC$2&amp;"+"&amp;AW147&amp;EC$1)</f>
        <v/>
      </c>
      <c r="ED147" s="40" t="str">
        <f t="shared" ref="ED147" si="2141">IF(AX147="","","|n"&amp;ED$2&amp;"+"&amp;AX147&amp;ED$1)</f>
        <v/>
      </c>
      <c r="EE147" s="40" t="str">
        <f t="shared" ref="EE147" si="2142">IF(AY147="","","|n"&amp;EE$2&amp;"+"&amp;AY147&amp;EE$1)</f>
        <v/>
      </c>
      <c r="EF147" s="40" t="str">
        <f t="shared" ref="EF147" si="2143">IF(AZ147="","","|n"&amp;EF$2&amp;"+"&amp;AZ147&amp;EF$1)</f>
        <v/>
      </c>
      <c r="EG147" s="40" t="str">
        <f t="shared" ref="EG147" si="2144">IF(BA147="","","|n"&amp;EG$2&amp;"+"&amp;BA147&amp;EG$1)</f>
        <v/>
      </c>
      <c r="EH147" s="40" t="str">
        <f t="shared" ref="EH147" si="2145">IF(BB147="","","|n"&amp;EH$2&amp;"+"&amp;BB147&amp;EH$1)</f>
        <v/>
      </c>
      <c r="EI147" s="40" t="str">
        <f t="shared" ref="EI147" si="2146">IF(BC147="","","|n"&amp;EI$2&amp;"+"&amp;BC147&amp;EI$1)</f>
        <v/>
      </c>
      <c r="EJ147" s="40" t="str">
        <f t="shared" ref="EJ147" si="2147">IF(BD147="","","|n"&amp;EJ$2&amp;"+"&amp;BD147&amp;EJ$1)</f>
        <v/>
      </c>
      <c r="EK147" s="40" t="str">
        <f t="shared" ref="EK147" si="2148">IF(BE147="","","|n"&amp;EK$2&amp;"+"&amp;BE147&amp;EK$1)</f>
        <v/>
      </c>
      <c r="EL147" s="40" t="str">
        <f t="shared" ref="EL147" si="2149">IF(BF147="","","|n"&amp;EL$2&amp;"+"&amp;BF147&amp;EL$1)</f>
        <v/>
      </c>
      <c r="EM147" s="40" t="str">
        <f t="shared" ref="EM147" si="2150">IF(BG147="","","|n"&amp;EM$2&amp;"+"&amp;BG147&amp;EM$1)</f>
        <v/>
      </c>
      <c r="EN147" s="40" t="str">
        <f t="shared" ref="EN147" si="2151">IF(BH147="","","|n"&amp;EN$2&amp;"+"&amp;BH147&amp;EN$1)</f>
        <v/>
      </c>
      <c r="EO147" s="40" t="str">
        <f t="shared" ref="EO147" si="2152">IF(BI147="","","|n"&amp;EO$2&amp;"+"&amp;BI147&amp;EO$1)</f>
        <v/>
      </c>
      <c r="EP147" s="40" t="str">
        <f t="shared" ref="EP147" si="2153">IF(BJ147="","","|n"&amp;EP$2&amp;"+"&amp;BJ147&amp;EP$1)</f>
        <v/>
      </c>
      <c r="EQ147" s="40" t="str">
        <f t="shared" ref="EQ147" si="2154">IF(BK147="","","|n"&amp;EQ$2&amp;"+"&amp;BK147&amp;EQ$1)</f>
        <v/>
      </c>
      <c r="ER147" s="40" t="str">
        <f t="shared" ref="ER147" si="2155">IF(BL147="","","|n"&amp;ER$2&amp;"+"&amp;BL147&amp;ER$1)</f>
        <v/>
      </c>
      <c r="ES147" s="40" t="str">
        <f t="shared" ref="ES147" si="2156">IF(BM147="","","|n"&amp;ES$2&amp;"+"&amp;BM147&amp;ES$1)</f>
        <v/>
      </c>
      <c r="ET147" s="40" t="str">
        <f t="shared" ref="ET147" si="2157">IF(BN147="","","|n"&amp;ET$2&amp;"+"&amp;BN147&amp;ET$1)</f>
        <v/>
      </c>
      <c r="EU147" s="40" t="str">
        <f t="shared" ref="EU147" si="2158">IF(BO147="","","|n"&amp;EU$2&amp;"+"&amp;BO147&amp;EU$1)</f>
        <v/>
      </c>
      <c r="EV147" s="40" t="str">
        <f t="shared" ref="EV147" si="2159">IF(BP147="","","|n"&amp;EV$2&amp;"+"&amp;BP147&amp;EV$1)</f>
        <v/>
      </c>
      <c r="EW147" s="40" t="str">
        <f t="shared" ref="EW147" si="2160">IF(BQ147="","","|n"&amp;EW$2&amp;"+"&amp;BQ147&amp;EW$1)</f>
        <v/>
      </c>
      <c r="EX147" s="40" t="str">
        <f t="shared" ref="EX147" si="2161">IF(BR147="","","|n"&amp;EX$2&amp;"+"&amp;BR147&amp;EX$1)</f>
        <v/>
      </c>
      <c r="EY147" s="40" t="str">
        <f t="shared" ref="EY147" si="2162">IF(BS147="","","|n"&amp;EY$2&amp;"+"&amp;BS147&amp;EY$1)</f>
        <v/>
      </c>
      <c r="EZ147" s="40" t="str">
        <f t="shared" ref="EZ147" si="2163">IF(BT147="","","|n"&amp;EZ$2&amp;"+"&amp;BT147&amp;EZ$1)</f>
        <v/>
      </c>
      <c r="FA147" s="40" t="str">
        <f t="shared" ref="FA147" si="2164">IF(BU147="","","|n"&amp;FA$2&amp;"+"&amp;BU147&amp;FA$1)</f>
        <v/>
      </c>
      <c r="FB147" s="40" t="str">
        <f t="shared" ref="FB147" si="2165">IF(BV147="","","|n"&amp;FB$2&amp;"+"&amp;BV147&amp;FB$1)</f>
        <v/>
      </c>
      <c r="FC147" s="40" t="str">
        <f t="shared" ref="FC147" si="2166">IF(BW147="","","|n"&amp;FC$2&amp;"+"&amp;BW147&amp;FC$1)</f>
        <v/>
      </c>
      <c r="FD147" s="40" t="str">
        <f t="shared" ref="FD147" si="2167">IF(BX147="","","|n"&amp;FD$2&amp;"+"&amp;BX147&amp;FD$1)</f>
        <v/>
      </c>
      <c r="FE147" s="40" t="str">
        <f t="shared" ref="FE147" si="2168">IF(BY147="","","|n"&amp;FE$2&amp;"+"&amp;BY147&amp;FE$1)</f>
        <v/>
      </c>
      <c r="FF147" s="40" t="str">
        <f t="shared" ref="FF147" si="2169">IF(BZ147="","","|n"&amp;FF$2&amp;"+"&amp;BZ147&amp;FF$1)</f>
        <v/>
      </c>
      <c r="FG147" s="40" t="str">
        <f t="shared" ref="FG147" si="2170">IF(CA147="","","|n"&amp;FG$2&amp;"+"&amp;CA147&amp;FG$1)</f>
        <v/>
      </c>
      <c r="FH147" s="40" t="str">
        <f t="shared" ref="FH147" si="2171">IF(CB147="","","|n"&amp;FH$2&amp;"+"&amp;CB147&amp;FH$1)</f>
        <v/>
      </c>
      <c r="FI147" s="40" t="str">
        <f t="shared" ref="FI147" si="2172">IF(CC147="","","|n"&amp;FI$2&amp;"+"&amp;CC147&amp;FI$1)</f>
        <v/>
      </c>
      <c r="FJ147" s="40" t="str">
        <f t="shared" ref="FJ147" si="2173">IF(CD147="","","|n"&amp;FJ$2&amp;"+"&amp;CD147&amp;FJ$1)</f>
        <v/>
      </c>
      <c r="FK147" s="40" t="str">
        <f t="shared" ref="FK147" si="2174">IF(CE147="","","|n"&amp;FK$2&amp;"+"&amp;CE147&amp;FK$1)</f>
        <v/>
      </c>
      <c r="FL147" s="40" t="str">
        <f t="shared" ref="FL147" si="2175">IF(CF147="","","|n"&amp;FL$2&amp;"+"&amp;CF147&amp;FL$1)</f>
        <v/>
      </c>
      <c r="FM147" s="40" t="str">
        <f t="shared" ref="FM147" si="2176">IF(CG147="","","|n"&amp;FM$2&amp;"+"&amp;CG147&amp;FM$1)</f>
        <v/>
      </c>
      <c r="FN147" s="40" t="str">
        <f t="shared" ref="FN147" si="2177">IF(CH147="","","|n"&amp;FN$2&amp;"+"&amp;CH147&amp;FN$1)</f>
        <v/>
      </c>
      <c r="FO147" s="40" t="str">
        <f t="shared" ref="FO147" si="2178">IF(CI147="","","|n"&amp;FO$2&amp;"+"&amp;CI147&amp;FO$1)</f>
        <v/>
      </c>
      <c r="FP147" s="40" t="str">
        <f t="shared" ref="FP147" si="2179">IF(CJ147="","","|n"&amp;FP$2&amp;"+"&amp;CJ147&amp;FP$1)</f>
        <v/>
      </c>
      <c r="FQ147" s="40" t="str">
        <f t="shared" ref="FQ147" si="2180">IF(CK147="","","|n"&amp;FQ$2&amp;"+"&amp;CK147&amp;FQ$1)</f>
        <v/>
      </c>
      <c r="FR147" s="40" t="str">
        <f t="shared" ref="FR147" si="2181">IF(CL147="","","|n"&amp;FR$2&amp;"+"&amp;CL147&amp;FR$1)</f>
        <v/>
      </c>
      <c r="FS147" s="40" t="str">
        <f t="shared" ref="FS147" si="2182">IF(CM147="","","|n"&amp;FS$2&amp;"+"&amp;CM147&amp;FS$1)</f>
        <v/>
      </c>
    </row>
    <row r="148" spans="1:175" ht="16.5">
      <c r="A148" s="2"/>
      <c r="B148" s="2" t="s">
        <v>409</v>
      </c>
      <c r="C148" s="2" t="s">
        <v>410</v>
      </c>
      <c r="T148" s="82" t="s">
        <v>411</v>
      </c>
      <c r="U148" s="51" t="str">
        <f t="shared" si="939"/>
        <v>ReplaceableTextures\\CommandButtons\\BTNIP01.blp</v>
      </c>
      <c r="CN148" s="10" t="str">
        <f t="shared" si="1672"/>
        <v>InitUnitState('IP01',,,,,,,,,,)</v>
      </c>
      <c r="CO148" s="10" t="str">
        <f t="shared" si="1673"/>
        <v>InitUnitNormal('IP01',,,,,,,,,,)</v>
      </c>
      <c r="CP148" s="10" t="str">
        <f t="shared" si="1674"/>
        <v>InitUnitMagic('IP01',,,,,,,,,,)</v>
      </c>
      <c r="CQ148" s="10" t="str">
        <f t="shared" si="1675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4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5">IF(V148="","","|n"&amp;DB$2&amp;"+"&amp;V148&amp;DB$1)</f>
        <v/>
      </c>
      <c r="DC148" s="40" t="str">
        <f t="shared" ref="DC148" si="2186">IF(W148="","","|n"&amp;DC$2&amp;"+"&amp;W148&amp;DC$1)</f>
        <v/>
      </c>
      <c r="DD148" s="40" t="str">
        <f t="shared" ref="DD148" si="2187">IF(X148="","","|n"&amp;DD$2&amp;"+"&amp;X148&amp;DD$1)</f>
        <v/>
      </c>
      <c r="DE148" s="40" t="str">
        <f t="shared" ref="DE148" si="2188">IF(Y148="","","|n"&amp;DE$2&amp;"+"&amp;Y148&amp;DE$1)</f>
        <v/>
      </c>
      <c r="DF148" s="40" t="str">
        <f t="shared" ref="DF148" si="2189">IF(Z148="","","|n"&amp;DF$2&amp;"+"&amp;Z148&amp;DF$1)</f>
        <v/>
      </c>
      <c r="DG148" s="40" t="str">
        <f t="shared" ref="DG148" si="2190">IF(AA148="","","|n"&amp;DG$2&amp;"+"&amp;AA148&amp;DG$1)</f>
        <v/>
      </c>
      <c r="DH148" s="40" t="str">
        <f t="shared" ref="DH148" si="2191">IF(AB148="","","|n"&amp;DH$2&amp;"+"&amp;AB148&amp;DH$1)</f>
        <v/>
      </c>
      <c r="DI148" s="40" t="str">
        <f t="shared" ref="DI148" si="2192">IF(AC148="","","|n"&amp;DI$2&amp;"+"&amp;AC148&amp;DI$1)</f>
        <v/>
      </c>
      <c r="DJ148" s="40" t="str">
        <f t="shared" ref="DJ148" si="2193">IF(AD148="","","|n"&amp;DJ$2&amp;"+"&amp;AD148&amp;DJ$1)</f>
        <v/>
      </c>
      <c r="DK148" s="40" t="str">
        <f t="shared" ref="DK148" si="2194">IF(AE148="","","|n"&amp;DK$2&amp;"+"&amp;AE148&amp;DK$1)</f>
        <v/>
      </c>
      <c r="DL148" s="40" t="str">
        <f t="shared" ref="DL148" si="2195">IF(AF148="","","|n"&amp;DL$2&amp;"+"&amp;AF148&amp;DL$1)</f>
        <v/>
      </c>
      <c r="DM148" s="40" t="str">
        <f t="shared" ref="DM148" si="2196">IF(AG148="","","|n"&amp;DM$2&amp;"+"&amp;AG148&amp;DM$1)</f>
        <v/>
      </c>
      <c r="DN148" s="40" t="str">
        <f t="shared" ref="DN148" si="2197">IF(AH148="","","|n"&amp;DN$2&amp;"+"&amp;AH148&amp;DN$1)</f>
        <v/>
      </c>
      <c r="DO148" s="40" t="str">
        <f t="shared" ref="DO148" si="2198">IF(AI148="","","|n"&amp;DO$2&amp;"+"&amp;AI148&amp;DO$1)</f>
        <v/>
      </c>
      <c r="DP148" s="40" t="str">
        <f t="shared" ref="DP148" si="2199">IF(AJ148="","","|n"&amp;DP$2&amp;"+"&amp;AJ148&amp;DP$1)</f>
        <v/>
      </c>
      <c r="DQ148" s="40" t="str">
        <f t="shared" ref="DQ148" si="2200">IF(AK148="","","|n"&amp;DQ$2&amp;"+"&amp;AK148&amp;DQ$1)</f>
        <v/>
      </c>
      <c r="DR148" s="40" t="str">
        <f t="shared" ref="DR148" si="2201">IF(AL148="","","|n"&amp;DR$2&amp;"+"&amp;AL148&amp;DR$1)</f>
        <v/>
      </c>
      <c r="DS148" s="40" t="str">
        <f t="shared" ref="DS148" si="2202">IF(AM148="","","|n"&amp;DS$2&amp;"+"&amp;AM148&amp;DS$1)</f>
        <v/>
      </c>
      <c r="DT148" s="40" t="str">
        <f t="shared" ref="DT148" si="2203">IF(AN148="","","|n"&amp;DT$2&amp;"+"&amp;AN148&amp;DT$1)</f>
        <v/>
      </c>
      <c r="DU148" s="40" t="str">
        <f t="shared" ref="DU148" si="2204">IF(AO148="","","|n"&amp;DU$2&amp;"+"&amp;AO148&amp;DU$1)</f>
        <v/>
      </c>
      <c r="DV148" s="40" t="str">
        <f t="shared" ref="DV148" si="2205">IF(AP148="","","|n"&amp;DV$2&amp;"+"&amp;AP148&amp;DV$1)</f>
        <v/>
      </c>
      <c r="DW148" s="40" t="str">
        <f t="shared" ref="DW148" si="2206">IF(AQ148="","","|n"&amp;DW$2&amp;"+"&amp;AQ148&amp;DW$1)</f>
        <v/>
      </c>
      <c r="DX148" s="40" t="str">
        <f t="shared" ref="DX148" si="2207">IF(AR148="","","|n"&amp;DX$2&amp;"+"&amp;AR148&amp;DX$1)</f>
        <v/>
      </c>
      <c r="DY148" s="40" t="str">
        <f t="shared" ref="DY148" si="2208">IF(AS148="","","|n"&amp;DY$2&amp;"+"&amp;AS148&amp;DY$1)</f>
        <v/>
      </c>
      <c r="DZ148" s="40" t="str">
        <f t="shared" ref="DZ148" si="2209">IF(AT148="","","|n"&amp;DZ$2&amp;"+"&amp;AT148&amp;DZ$1)</f>
        <v/>
      </c>
      <c r="EA148" s="40" t="str">
        <f t="shared" ref="EA148" si="2210">IF(AU148="","","|n"&amp;EA$2&amp;"+"&amp;AU148&amp;EA$1)</f>
        <v/>
      </c>
      <c r="EB148" s="40" t="str">
        <f t="shared" ref="EB148" si="2211">IF(AV148="","","|n"&amp;EB$2&amp;"+"&amp;AV148&amp;EB$1)</f>
        <v/>
      </c>
      <c r="EC148" s="40" t="str">
        <f t="shared" ref="EC148" si="2212">IF(AW148="","","|n"&amp;EC$2&amp;"+"&amp;AW148&amp;EC$1)</f>
        <v/>
      </c>
      <c r="ED148" s="40" t="str">
        <f t="shared" ref="ED148" si="2213">IF(AX148="","","|n"&amp;ED$2&amp;"+"&amp;AX148&amp;ED$1)</f>
        <v/>
      </c>
      <c r="EE148" s="40" t="str">
        <f t="shared" ref="EE148" si="2214">IF(AY148="","","|n"&amp;EE$2&amp;"+"&amp;AY148&amp;EE$1)</f>
        <v/>
      </c>
      <c r="EF148" s="40" t="str">
        <f t="shared" ref="EF148" si="2215">IF(AZ148="","","|n"&amp;EF$2&amp;"+"&amp;AZ148&amp;EF$1)</f>
        <v/>
      </c>
      <c r="EG148" s="40" t="str">
        <f t="shared" ref="EG148" si="2216">IF(BA148="","","|n"&amp;EG$2&amp;"+"&amp;BA148&amp;EG$1)</f>
        <v/>
      </c>
      <c r="EH148" s="40" t="str">
        <f t="shared" ref="EH148" si="2217">IF(BB148="","","|n"&amp;EH$2&amp;"+"&amp;BB148&amp;EH$1)</f>
        <v/>
      </c>
      <c r="EI148" s="40" t="str">
        <f t="shared" ref="EI148" si="2218">IF(BC148="","","|n"&amp;EI$2&amp;"+"&amp;BC148&amp;EI$1)</f>
        <v/>
      </c>
      <c r="EJ148" s="40" t="str">
        <f t="shared" ref="EJ148" si="2219">IF(BD148="","","|n"&amp;EJ$2&amp;"+"&amp;BD148&amp;EJ$1)</f>
        <v/>
      </c>
      <c r="EK148" s="40" t="str">
        <f t="shared" ref="EK148" si="2220">IF(BE148="","","|n"&amp;EK$2&amp;"+"&amp;BE148&amp;EK$1)</f>
        <v/>
      </c>
      <c r="EL148" s="40" t="str">
        <f t="shared" ref="EL148" si="2221">IF(BF148="","","|n"&amp;EL$2&amp;"+"&amp;BF148&amp;EL$1)</f>
        <v/>
      </c>
      <c r="EM148" s="40" t="str">
        <f t="shared" ref="EM148" si="2222">IF(BG148="","","|n"&amp;EM$2&amp;"+"&amp;BG148&amp;EM$1)</f>
        <v/>
      </c>
      <c r="EN148" s="40" t="str">
        <f t="shared" ref="EN148" si="2223">IF(BH148="","","|n"&amp;EN$2&amp;"+"&amp;BH148&amp;EN$1)</f>
        <v/>
      </c>
      <c r="EO148" s="40" t="str">
        <f t="shared" ref="EO148" si="2224">IF(BI148="","","|n"&amp;EO$2&amp;"+"&amp;BI148&amp;EO$1)</f>
        <v/>
      </c>
      <c r="EP148" s="40" t="str">
        <f t="shared" ref="EP148" si="2225">IF(BJ148="","","|n"&amp;EP$2&amp;"+"&amp;BJ148&amp;EP$1)</f>
        <v/>
      </c>
      <c r="EQ148" s="40" t="str">
        <f t="shared" ref="EQ148" si="2226">IF(BK148="","","|n"&amp;EQ$2&amp;"+"&amp;BK148&amp;EQ$1)</f>
        <v/>
      </c>
      <c r="ER148" s="40" t="str">
        <f t="shared" ref="ER148" si="2227">IF(BL148="","","|n"&amp;ER$2&amp;"+"&amp;BL148&amp;ER$1)</f>
        <v/>
      </c>
      <c r="ES148" s="40" t="str">
        <f t="shared" ref="ES148" si="2228">IF(BM148="","","|n"&amp;ES$2&amp;"+"&amp;BM148&amp;ES$1)</f>
        <v/>
      </c>
      <c r="ET148" s="40" t="str">
        <f t="shared" ref="ET148" si="2229">IF(BN148="","","|n"&amp;ET$2&amp;"+"&amp;BN148&amp;ET$1)</f>
        <v/>
      </c>
      <c r="EU148" s="40" t="str">
        <f t="shared" ref="EU148" si="2230">IF(BO148="","","|n"&amp;EU$2&amp;"+"&amp;BO148&amp;EU$1)</f>
        <v/>
      </c>
      <c r="EV148" s="40" t="str">
        <f t="shared" ref="EV148" si="2231">IF(BP148="","","|n"&amp;EV$2&amp;"+"&amp;BP148&amp;EV$1)</f>
        <v/>
      </c>
      <c r="EW148" s="40" t="str">
        <f t="shared" ref="EW148" si="2232">IF(BQ148="","","|n"&amp;EW$2&amp;"+"&amp;BQ148&amp;EW$1)</f>
        <v/>
      </c>
      <c r="EX148" s="40" t="str">
        <f t="shared" ref="EX148" si="2233">IF(BR148="","","|n"&amp;EX$2&amp;"+"&amp;BR148&amp;EX$1)</f>
        <v/>
      </c>
      <c r="EY148" s="40" t="str">
        <f t="shared" ref="EY148" si="2234">IF(BS148="","","|n"&amp;EY$2&amp;"+"&amp;BS148&amp;EY$1)</f>
        <v/>
      </c>
      <c r="EZ148" s="40" t="str">
        <f t="shared" ref="EZ148" si="2235">IF(BT148="","","|n"&amp;EZ$2&amp;"+"&amp;BT148&amp;EZ$1)</f>
        <v/>
      </c>
      <c r="FA148" s="40" t="str">
        <f t="shared" ref="FA148" si="2236">IF(BU148="","","|n"&amp;FA$2&amp;"+"&amp;BU148&amp;FA$1)</f>
        <v/>
      </c>
      <c r="FB148" s="40" t="str">
        <f t="shared" ref="FB148" si="2237">IF(BV148="","","|n"&amp;FB$2&amp;"+"&amp;BV148&amp;FB$1)</f>
        <v/>
      </c>
      <c r="FC148" s="40" t="str">
        <f t="shared" ref="FC148" si="2238">IF(BW148="","","|n"&amp;FC$2&amp;"+"&amp;BW148&amp;FC$1)</f>
        <v/>
      </c>
      <c r="FD148" s="40" t="str">
        <f t="shared" ref="FD148" si="2239">IF(BX148="","","|n"&amp;FD$2&amp;"+"&amp;BX148&amp;FD$1)</f>
        <v/>
      </c>
      <c r="FE148" s="40" t="str">
        <f t="shared" ref="FE148" si="2240">IF(BY148="","","|n"&amp;FE$2&amp;"+"&amp;BY148&amp;FE$1)</f>
        <v/>
      </c>
      <c r="FF148" s="40" t="str">
        <f t="shared" ref="FF148" si="2241">IF(BZ148="","","|n"&amp;FF$2&amp;"+"&amp;BZ148&amp;FF$1)</f>
        <v/>
      </c>
      <c r="FG148" s="40" t="str">
        <f t="shared" ref="FG148" si="2242">IF(CA148="","","|n"&amp;FG$2&amp;"+"&amp;CA148&amp;FG$1)</f>
        <v/>
      </c>
      <c r="FH148" s="40" t="str">
        <f t="shared" ref="FH148" si="2243">IF(CB148="","","|n"&amp;FH$2&amp;"+"&amp;CB148&amp;FH$1)</f>
        <v/>
      </c>
      <c r="FI148" s="40" t="str">
        <f t="shared" ref="FI148" si="2244">IF(CC148="","","|n"&amp;FI$2&amp;"+"&amp;CC148&amp;FI$1)</f>
        <v/>
      </c>
      <c r="FJ148" s="40" t="str">
        <f t="shared" ref="FJ148" si="2245">IF(CD148="","","|n"&amp;FJ$2&amp;"+"&amp;CD148&amp;FJ$1)</f>
        <v/>
      </c>
      <c r="FK148" s="40" t="str">
        <f t="shared" ref="FK148" si="2246">IF(CE148="","","|n"&amp;FK$2&amp;"+"&amp;CE148&amp;FK$1)</f>
        <v/>
      </c>
      <c r="FL148" s="40" t="str">
        <f t="shared" ref="FL148" si="2247">IF(CF148="","","|n"&amp;FL$2&amp;"+"&amp;CF148&amp;FL$1)</f>
        <v/>
      </c>
      <c r="FM148" s="40" t="str">
        <f t="shared" ref="FM148" si="2248">IF(CG148="","","|n"&amp;FM$2&amp;"+"&amp;CG148&amp;FM$1)</f>
        <v/>
      </c>
      <c r="FN148" s="40" t="str">
        <f t="shared" ref="FN148" si="2249">IF(CH148="","","|n"&amp;FN$2&amp;"+"&amp;CH148&amp;FN$1)</f>
        <v/>
      </c>
      <c r="FO148" s="40" t="str">
        <f t="shared" ref="FO148" si="2250">IF(CI148="","","|n"&amp;FO$2&amp;"+"&amp;CI148&amp;FO$1)</f>
        <v/>
      </c>
      <c r="FP148" s="40" t="str">
        <f t="shared" ref="FP148" si="2251">IF(CJ148="","","|n"&amp;FP$2&amp;"+"&amp;CJ148&amp;FP$1)</f>
        <v/>
      </c>
      <c r="FQ148" s="40" t="str">
        <f t="shared" ref="FQ148" si="2252">IF(CK148="","","|n"&amp;FQ$2&amp;"+"&amp;CK148&amp;FQ$1)</f>
        <v/>
      </c>
      <c r="FR148" s="40" t="str">
        <f t="shared" ref="FR148" si="2253">IF(CL148="","","|n"&amp;FR$2&amp;"+"&amp;CL148&amp;FR$1)</f>
        <v/>
      </c>
      <c r="FS148" s="40" t="str">
        <f t="shared" ref="FS148" si="2254">IF(CM148="","","|n"&amp;FS$2&amp;"+"&amp;CM148&amp;FS$1)</f>
        <v/>
      </c>
    </row>
    <row r="149" spans="1:175" ht="16.5">
      <c r="A149" s="78"/>
      <c r="B149" s="2" t="s">
        <v>412</v>
      </c>
      <c r="C149" s="78" t="s">
        <v>413</v>
      </c>
      <c r="T149" s="83" t="s">
        <v>414</v>
      </c>
      <c r="U149" s="51" t="str">
        <f t="shared" si="939"/>
        <v>ReplaceableTextures\\CommandButtons\\BTNIP02.blp</v>
      </c>
      <c r="CN149" s="10" t="str">
        <f t="shared" si="1672"/>
        <v>InitUnitState('IP02',,,,,,,,,,)</v>
      </c>
      <c r="CO149" s="10" t="str">
        <f t="shared" si="1673"/>
        <v>InitUnitNormal('IP02',,,,,,,,,,)</v>
      </c>
      <c r="CP149" s="10" t="str">
        <f t="shared" si="1674"/>
        <v>InitUnitMagic('IP02',,,,,,,,,,)</v>
      </c>
      <c r="CQ149" s="10" t="str">
        <f t="shared" si="1675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5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6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7">IF(V149="","","|n"&amp;DB$2&amp;"+"&amp;V149&amp;DB$1)</f>
        <v/>
      </c>
      <c r="DC149" s="40" t="str">
        <f t="shared" ref="DC149:DC150" si="2258">IF(W149="","","|n"&amp;DC$2&amp;"+"&amp;W149&amp;DC$1)</f>
        <v/>
      </c>
      <c r="DD149" s="40" t="str">
        <f t="shared" ref="DD149:DD150" si="2259">IF(X149="","","|n"&amp;DD$2&amp;"+"&amp;X149&amp;DD$1)</f>
        <v/>
      </c>
      <c r="DE149" s="40" t="str">
        <f t="shared" ref="DE149:DE150" si="2260">IF(Y149="","","|n"&amp;DE$2&amp;"+"&amp;Y149&amp;DE$1)</f>
        <v/>
      </c>
      <c r="DF149" s="40" t="str">
        <f t="shared" ref="DF149:DF150" si="2261">IF(Z149="","","|n"&amp;DF$2&amp;"+"&amp;Z149&amp;DF$1)</f>
        <v/>
      </c>
      <c r="DG149" s="40" t="str">
        <f t="shared" ref="DG149:DG150" si="2262">IF(AA149="","","|n"&amp;DG$2&amp;"+"&amp;AA149&amp;DG$1)</f>
        <v/>
      </c>
      <c r="DH149" s="40" t="str">
        <f t="shared" ref="DH149:DH150" si="2263">IF(AB149="","","|n"&amp;DH$2&amp;"+"&amp;AB149&amp;DH$1)</f>
        <v/>
      </c>
      <c r="DI149" s="40" t="str">
        <f t="shared" ref="DI149:DI150" si="2264">IF(AC149="","","|n"&amp;DI$2&amp;"+"&amp;AC149&amp;DI$1)</f>
        <v/>
      </c>
      <c r="DJ149" s="40" t="str">
        <f t="shared" ref="DJ149:DJ150" si="2265">IF(AD149="","","|n"&amp;DJ$2&amp;"+"&amp;AD149&amp;DJ$1)</f>
        <v/>
      </c>
      <c r="DK149" s="40" t="str">
        <f t="shared" ref="DK149:DK150" si="2266">IF(AE149="","","|n"&amp;DK$2&amp;"+"&amp;AE149&amp;DK$1)</f>
        <v/>
      </c>
      <c r="DL149" s="40" t="str">
        <f t="shared" ref="DL149:DL150" si="2267">IF(AF149="","","|n"&amp;DL$2&amp;"+"&amp;AF149&amp;DL$1)</f>
        <v/>
      </c>
      <c r="DM149" s="40" t="str">
        <f t="shared" ref="DM149:DM150" si="2268">IF(AG149="","","|n"&amp;DM$2&amp;"+"&amp;AG149&amp;DM$1)</f>
        <v/>
      </c>
      <c r="DN149" s="40" t="str">
        <f t="shared" ref="DN149:DN150" si="2269">IF(AH149="","","|n"&amp;DN$2&amp;"+"&amp;AH149&amp;DN$1)</f>
        <v/>
      </c>
      <c r="DO149" s="40" t="str">
        <f t="shared" ref="DO149:DO150" si="2270">IF(AI149="","","|n"&amp;DO$2&amp;"+"&amp;AI149&amp;DO$1)</f>
        <v/>
      </c>
      <c r="DP149" s="40" t="str">
        <f t="shared" ref="DP149:DP150" si="2271">IF(AJ149="","","|n"&amp;DP$2&amp;"+"&amp;AJ149&amp;DP$1)</f>
        <v/>
      </c>
      <c r="DQ149" s="40" t="str">
        <f t="shared" ref="DQ149:DQ150" si="2272">IF(AK149="","","|n"&amp;DQ$2&amp;"+"&amp;AK149&amp;DQ$1)</f>
        <v/>
      </c>
      <c r="DR149" s="40" t="str">
        <f t="shared" ref="DR149:DR150" si="2273">IF(AL149="","","|n"&amp;DR$2&amp;"+"&amp;AL149&amp;DR$1)</f>
        <v/>
      </c>
      <c r="DS149" s="40" t="str">
        <f t="shared" ref="DS149:DS150" si="2274">IF(AM149="","","|n"&amp;DS$2&amp;"+"&amp;AM149&amp;DS$1)</f>
        <v/>
      </c>
      <c r="DT149" s="40" t="str">
        <f t="shared" ref="DT149:DT150" si="2275">IF(AN149="","","|n"&amp;DT$2&amp;"+"&amp;AN149&amp;DT$1)</f>
        <v/>
      </c>
      <c r="DU149" s="40" t="str">
        <f t="shared" ref="DU149:DU150" si="2276">IF(AO149="","","|n"&amp;DU$2&amp;"+"&amp;AO149&amp;DU$1)</f>
        <v/>
      </c>
      <c r="DV149" s="40" t="str">
        <f t="shared" ref="DV149:DV150" si="2277">IF(AP149="","","|n"&amp;DV$2&amp;"+"&amp;AP149&amp;DV$1)</f>
        <v/>
      </c>
      <c r="DW149" s="40" t="str">
        <f t="shared" ref="DW149:DW150" si="2278">IF(AQ149="","","|n"&amp;DW$2&amp;"+"&amp;AQ149&amp;DW$1)</f>
        <v/>
      </c>
      <c r="DX149" s="40" t="str">
        <f t="shared" ref="DX149:DX150" si="2279">IF(AR149="","","|n"&amp;DX$2&amp;"+"&amp;AR149&amp;DX$1)</f>
        <v/>
      </c>
      <c r="DY149" s="40" t="str">
        <f t="shared" ref="DY149:DY150" si="2280">IF(AS149="","","|n"&amp;DY$2&amp;"+"&amp;AS149&amp;DY$1)</f>
        <v/>
      </c>
      <c r="DZ149" s="40" t="str">
        <f t="shared" ref="DZ149:DZ150" si="2281">IF(AT149="","","|n"&amp;DZ$2&amp;"+"&amp;AT149&amp;DZ$1)</f>
        <v/>
      </c>
      <c r="EA149" s="40" t="str">
        <f t="shared" ref="EA149:EA150" si="2282">IF(AU149="","","|n"&amp;EA$2&amp;"+"&amp;AU149&amp;EA$1)</f>
        <v/>
      </c>
      <c r="EB149" s="40" t="str">
        <f t="shared" ref="EB149:EB150" si="2283">IF(AV149="","","|n"&amp;EB$2&amp;"+"&amp;AV149&amp;EB$1)</f>
        <v/>
      </c>
      <c r="EC149" s="40" t="str">
        <f t="shared" ref="EC149:EC150" si="2284">IF(AW149="","","|n"&amp;EC$2&amp;"+"&amp;AW149&amp;EC$1)</f>
        <v/>
      </c>
      <c r="ED149" s="40" t="str">
        <f t="shared" ref="ED149:ED150" si="2285">IF(AX149="","","|n"&amp;ED$2&amp;"+"&amp;AX149&amp;ED$1)</f>
        <v/>
      </c>
      <c r="EE149" s="40" t="str">
        <f t="shared" ref="EE149:EE150" si="2286">IF(AY149="","","|n"&amp;EE$2&amp;"+"&amp;AY149&amp;EE$1)</f>
        <v/>
      </c>
      <c r="EF149" s="40" t="str">
        <f t="shared" ref="EF149:EF150" si="2287">IF(AZ149="","","|n"&amp;EF$2&amp;"+"&amp;AZ149&amp;EF$1)</f>
        <v/>
      </c>
      <c r="EG149" s="40" t="str">
        <f t="shared" ref="EG149:EG150" si="2288">IF(BA149="","","|n"&amp;EG$2&amp;"+"&amp;BA149&amp;EG$1)</f>
        <v/>
      </c>
      <c r="EH149" s="40" t="str">
        <f t="shared" ref="EH149:EH150" si="2289">IF(BB149="","","|n"&amp;EH$2&amp;"+"&amp;BB149&amp;EH$1)</f>
        <v/>
      </c>
      <c r="EI149" s="40" t="str">
        <f t="shared" ref="EI149:EI150" si="2290">IF(BC149="","","|n"&amp;EI$2&amp;"+"&amp;BC149&amp;EI$1)</f>
        <v/>
      </c>
      <c r="EJ149" s="40" t="str">
        <f t="shared" ref="EJ149:EJ150" si="2291">IF(BD149="","","|n"&amp;EJ$2&amp;"+"&amp;BD149&amp;EJ$1)</f>
        <v/>
      </c>
      <c r="EK149" s="40" t="str">
        <f t="shared" ref="EK149:EK150" si="2292">IF(BE149="","","|n"&amp;EK$2&amp;"+"&amp;BE149&amp;EK$1)</f>
        <v/>
      </c>
      <c r="EL149" s="40" t="str">
        <f t="shared" ref="EL149:EL150" si="2293">IF(BF149="","","|n"&amp;EL$2&amp;"+"&amp;BF149&amp;EL$1)</f>
        <v/>
      </c>
      <c r="EM149" s="40" t="str">
        <f t="shared" ref="EM149:EM150" si="2294">IF(BG149="","","|n"&amp;EM$2&amp;"+"&amp;BG149&amp;EM$1)</f>
        <v/>
      </c>
      <c r="EN149" s="40" t="str">
        <f t="shared" ref="EN149:EN150" si="2295">IF(BH149="","","|n"&amp;EN$2&amp;"+"&amp;BH149&amp;EN$1)</f>
        <v/>
      </c>
      <c r="EO149" s="40" t="str">
        <f t="shared" ref="EO149:EO150" si="2296">IF(BI149="","","|n"&amp;EO$2&amp;"+"&amp;BI149&amp;EO$1)</f>
        <v/>
      </c>
      <c r="EP149" s="40" t="str">
        <f t="shared" ref="EP149:EP150" si="2297">IF(BJ149="","","|n"&amp;EP$2&amp;"+"&amp;BJ149&amp;EP$1)</f>
        <v/>
      </c>
      <c r="EQ149" s="40" t="str">
        <f t="shared" ref="EQ149:EQ150" si="2298">IF(BK149="","","|n"&amp;EQ$2&amp;"+"&amp;BK149&amp;EQ$1)</f>
        <v/>
      </c>
      <c r="ER149" s="40" t="str">
        <f t="shared" ref="ER149:ER150" si="2299">IF(BL149="","","|n"&amp;ER$2&amp;"+"&amp;BL149&amp;ER$1)</f>
        <v/>
      </c>
      <c r="ES149" s="40" t="str">
        <f t="shared" ref="ES149:ES150" si="2300">IF(BM149="","","|n"&amp;ES$2&amp;"+"&amp;BM149&amp;ES$1)</f>
        <v/>
      </c>
      <c r="ET149" s="40" t="str">
        <f t="shared" ref="ET149:ET150" si="2301">IF(BN149="","","|n"&amp;ET$2&amp;"+"&amp;BN149&amp;ET$1)</f>
        <v/>
      </c>
      <c r="EU149" s="40" t="str">
        <f t="shared" ref="EU149:EU150" si="2302">IF(BO149="","","|n"&amp;EU$2&amp;"+"&amp;BO149&amp;EU$1)</f>
        <v/>
      </c>
      <c r="EV149" s="40" t="str">
        <f t="shared" ref="EV149:EV150" si="2303">IF(BP149="","","|n"&amp;EV$2&amp;"+"&amp;BP149&amp;EV$1)</f>
        <v/>
      </c>
      <c r="EW149" s="40" t="str">
        <f t="shared" ref="EW149:EW150" si="2304">IF(BQ149="","","|n"&amp;EW$2&amp;"+"&amp;BQ149&amp;EW$1)</f>
        <v/>
      </c>
      <c r="EX149" s="40" t="str">
        <f t="shared" ref="EX149:EX150" si="2305">IF(BR149="","","|n"&amp;EX$2&amp;"+"&amp;BR149&amp;EX$1)</f>
        <v/>
      </c>
      <c r="EY149" s="40" t="str">
        <f t="shared" ref="EY149:EY150" si="2306">IF(BS149="","","|n"&amp;EY$2&amp;"+"&amp;BS149&amp;EY$1)</f>
        <v/>
      </c>
      <c r="EZ149" s="40" t="str">
        <f t="shared" ref="EZ149:EZ150" si="2307">IF(BT149="","","|n"&amp;EZ$2&amp;"+"&amp;BT149&amp;EZ$1)</f>
        <v/>
      </c>
      <c r="FA149" s="40" t="str">
        <f t="shared" ref="FA149:FA150" si="2308">IF(BU149="","","|n"&amp;FA$2&amp;"+"&amp;BU149&amp;FA$1)</f>
        <v/>
      </c>
      <c r="FB149" s="40" t="str">
        <f t="shared" ref="FB149:FB150" si="2309">IF(BV149="","","|n"&amp;FB$2&amp;"+"&amp;BV149&amp;FB$1)</f>
        <v/>
      </c>
      <c r="FC149" s="40" t="str">
        <f t="shared" ref="FC149:FC150" si="2310">IF(BW149="","","|n"&amp;FC$2&amp;"+"&amp;BW149&amp;FC$1)</f>
        <v/>
      </c>
      <c r="FD149" s="40" t="str">
        <f t="shared" ref="FD149:FD150" si="2311">IF(BX149="","","|n"&amp;FD$2&amp;"+"&amp;BX149&amp;FD$1)</f>
        <v/>
      </c>
      <c r="FE149" s="40" t="str">
        <f t="shared" ref="FE149:FE150" si="2312">IF(BY149="","","|n"&amp;FE$2&amp;"+"&amp;BY149&amp;FE$1)</f>
        <v/>
      </c>
      <c r="FF149" s="40" t="str">
        <f t="shared" ref="FF149:FF150" si="2313">IF(BZ149="","","|n"&amp;FF$2&amp;"+"&amp;BZ149&amp;FF$1)</f>
        <v/>
      </c>
      <c r="FG149" s="40" t="str">
        <f t="shared" ref="FG149:FG150" si="2314">IF(CA149="","","|n"&amp;FG$2&amp;"+"&amp;CA149&amp;FG$1)</f>
        <v/>
      </c>
      <c r="FH149" s="40" t="str">
        <f t="shared" ref="FH149:FH150" si="2315">IF(CB149="","","|n"&amp;FH$2&amp;"+"&amp;CB149&amp;FH$1)</f>
        <v/>
      </c>
      <c r="FI149" s="40" t="str">
        <f t="shared" ref="FI149:FI150" si="2316">IF(CC149="","","|n"&amp;FI$2&amp;"+"&amp;CC149&amp;FI$1)</f>
        <v/>
      </c>
      <c r="FJ149" s="40" t="str">
        <f t="shared" ref="FJ149:FJ150" si="2317">IF(CD149="","","|n"&amp;FJ$2&amp;"+"&amp;CD149&amp;FJ$1)</f>
        <v/>
      </c>
      <c r="FK149" s="40" t="str">
        <f t="shared" ref="FK149:FK150" si="2318">IF(CE149="","","|n"&amp;FK$2&amp;"+"&amp;CE149&amp;FK$1)</f>
        <v/>
      </c>
      <c r="FL149" s="40" t="str">
        <f t="shared" ref="FL149:FL150" si="2319">IF(CF149="","","|n"&amp;FL$2&amp;"+"&amp;CF149&amp;FL$1)</f>
        <v/>
      </c>
      <c r="FM149" s="40" t="str">
        <f t="shared" ref="FM149:FM150" si="2320">IF(CG149="","","|n"&amp;FM$2&amp;"+"&amp;CG149&amp;FM$1)</f>
        <v/>
      </c>
      <c r="FN149" s="40" t="str">
        <f t="shared" ref="FN149:FN150" si="2321">IF(CH149="","","|n"&amp;FN$2&amp;"+"&amp;CH149&amp;FN$1)</f>
        <v/>
      </c>
      <c r="FO149" s="40" t="str">
        <f t="shared" ref="FO149:FO150" si="2322">IF(CI149="","","|n"&amp;FO$2&amp;"+"&amp;CI149&amp;FO$1)</f>
        <v/>
      </c>
      <c r="FP149" s="40" t="str">
        <f t="shared" ref="FP149:FP150" si="2323">IF(CJ149="","","|n"&amp;FP$2&amp;"+"&amp;CJ149&amp;FP$1)</f>
        <v/>
      </c>
      <c r="FQ149" s="40" t="str">
        <f t="shared" ref="FQ149:FQ150" si="2324">IF(CK149="","","|n"&amp;FQ$2&amp;"+"&amp;CK149&amp;FQ$1)</f>
        <v/>
      </c>
      <c r="FR149" s="40" t="str">
        <f t="shared" ref="FR149:FR150" si="2325">IF(CL149="","","|n"&amp;FR$2&amp;"+"&amp;CL149&amp;FR$1)</f>
        <v/>
      </c>
      <c r="FS149" s="40" t="str">
        <f t="shared" ref="FS149:FS150" si="2326">IF(CM149="","","|n"&amp;FS$2&amp;"+"&amp;CM149&amp;FS$1)</f>
        <v/>
      </c>
    </row>
    <row r="150" spans="1:175" ht="16.5">
      <c r="A150" s="78"/>
      <c r="B150" s="2" t="s">
        <v>415</v>
      </c>
      <c r="C150" s="78" t="s">
        <v>416</v>
      </c>
      <c r="T150" s="83" t="s">
        <v>417</v>
      </c>
      <c r="U150" s="51" t="str">
        <f t="shared" si="939"/>
        <v>ReplaceableTextures\\CommandButtons\\BTNIP03.blp</v>
      </c>
      <c r="CN150" s="10" t="str">
        <f t="shared" si="1672"/>
        <v>InitUnitState('IP03',,,,,,,,,,)</v>
      </c>
      <c r="CO150" s="10" t="str">
        <f t="shared" si="1673"/>
        <v>InitUnitNormal('IP03',,,,,,,,,,)</v>
      </c>
      <c r="CP150" s="10" t="str">
        <f t="shared" si="1674"/>
        <v>InitUnitMagic('IP03',,,,,,,,,,)</v>
      </c>
      <c r="CQ150" s="10" t="str">
        <f t="shared" si="1675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5"/>
        <v>|n</v>
      </c>
      <c r="CV150" s="3" t="str">
        <f t="shared" si="2256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7"/>
        <v/>
      </c>
      <c r="DC150" s="40" t="str">
        <f t="shared" si="2258"/>
        <v/>
      </c>
      <c r="DD150" s="40" t="str">
        <f t="shared" si="2259"/>
        <v/>
      </c>
      <c r="DE150" s="40" t="str">
        <f t="shared" si="2260"/>
        <v/>
      </c>
      <c r="DF150" s="40" t="str">
        <f t="shared" si="2261"/>
        <v/>
      </c>
      <c r="DG150" s="40" t="str">
        <f t="shared" si="2262"/>
        <v/>
      </c>
      <c r="DH150" s="40" t="str">
        <f t="shared" si="2263"/>
        <v/>
      </c>
      <c r="DI150" s="40" t="str">
        <f t="shared" si="2264"/>
        <v/>
      </c>
      <c r="DJ150" s="40" t="str">
        <f t="shared" si="2265"/>
        <v/>
      </c>
      <c r="DK150" s="40" t="str">
        <f t="shared" si="2266"/>
        <v/>
      </c>
      <c r="DL150" s="40" t="str">
        <f t="shared" si="2267"/>
        <v/>
      </c>
      <c r="DM150" s="40" t="str">
        <f t="shared" si="2268"/>
        <v/>
      </c>
      <c r="DN150" s="40" t="str">
        <f t="shared" si="2269"/>
        <v/>
      </c>
      <c r="DO150" s="40" t="str">
        <f t="shared" si="2270"/>
        <v/>
      </c>
      <c r="DP150" s="40" t="str">
        <f t="shared" si="2271"/>
        <v/>
      </c>
      <c r="DQ150" s="40" t="str">
        <f t="shared" si="2272"/>
        <v/>
      </c>
      <c r="DR150" s="40" t="str">
        <f t="shared" si="2273"/>
        <v/>
      </c>
      <c r="DS150" s="40" t="str">
        <f t="shared" si="2274"/>
        <v/>
      </c>
      <c r="DT150" s="40" t="str">
        <f t="shared" si="2275"/>
        <v/>
      </c>
      <c r="DU150" s="40" t="str">
        <f t="shared" si="2276"/>
        <v/>
      </c>
      <c r="DV150" s="40" t="str">
        <f t="shared" si="2277"/>
        <v/>
      </c>
      <c r="DW150" s="40" t="str">
        <f t="shared" si="2278"/>
        <v/>
      </c>
      <c r="DX150" s="40" t="str">
        <f t="shared" si="2279"/>
        <v/>
      </c>
      <c r="DY150" s="40" t="str">
        <f t="shared" si="2280"/>
        <v/>
      </c>
      <c r="DZ150" s="40" t="str">
        <f t="shared" si="2281"/>
        <v/>
      </c>
      <c r="EA150" s="40" t="str">
        <f t="shared" si="2282"/>
        <v/>
      </c>
      <c r="EB150" s="40" t="str">
        <f t="shared" si="2283"/>
        <v/>
      </c>
      <c r="EC150" s="40" t="str">
        <f t="shared" si="2284"/>
        <v/>
      </c>
      <c r="ED150" s="40" t="str">
        <f t="shared" si="2285"/>
        <v/>
      </c>
      <c r="EE150" s="40" t="str">
        <f t="shared" si="2286"/>
        <v/>
      </c>
      <c r="EF150" s="40" t="str">
        <f t="shared" si="2287"/>
        <v/>
      </c>
      <c r="EG150" s="40" t="str">
        <f t="shared" si="2288"/>
        <v/>
      </c>
      <c r="EH150" s="40" t="str">
        <f t="shared" si="2289"/>
        <v/>
      </c>
      <c r="EI150" s="40" t="str">
        <f t="shared" si="2290"/>
        <v/>
      </c>
      <c r="EJ150" s="40" t="str">
        <f t="shared" si="2291"/>
        <v/>
      </c>
      <c r="EK150" s="40" t="str">
        <f t="shared" si="2292"/>
        <v/>
      </c>
      <c r="EL150" s="40" t="str">
        <f t="shared" si="2293"/>
        <v/>
      </c>
      <c r="EM150" s="40" t="str">
        <f t="shared" si="2294"/>
        <v/>
      </c>
      <c r="EN150" s="40" t="str">
        <f t="shared" si="2295"/>
        <v/>
      </c>
      <c r="EO150" s="40" t="str">
        <f t="shared" si="2296"/>
        <v/>
      </c>
      <c r="EP150" s="40" t="str">
        <f t="shared" si="2297"/>
        <v/>
      </c>
      <c r="EQ150" s="40" t="str">
        <f t="shared" si="2298"/>
        <v/>
      </c>
      <c r="ER150" s="40" t="str">
        <f t="shared" si="2299"/>
        <v/>
      </c>
      <c r="ES150" s="40" t="str">
        <f t="shared" si="2300"/>
        <v/>
      </c>
      <c r="ET150" s="40" t="str">
        <f t="shared" si="2301"/>
        <v/>
      </c>
      <c r="EU150" s="40" t="str">
        <f t="shared" si="2302"/>
        <v/>
      </c>
      <c r="EV150" s="40" t="str">
        <f t="shared" si="2303"/>
        <v/>
      </c>
      <c r="EW150" s="40" t="str">
        <f t="shared" si="2304"/>
        <v/>
      </c>
      <c r="EX150" s="40" t="str">
        <f t="shared" si="2305"/>
        <v/>
      </c>
      <c r="EY150" s="40" t="str">
        <f t="shared" si="2306"/>
        <v/>
      </c>
      <c r="EZ150" s="40" t="str">
        <f t="shared" si="2307"/>
        <v/>
      </c>
      <c r="FA150" s="40" t="str">
        <f t="shared" si="2308"/>
        <v/>
      </c>
      <c r="FB150" s="40" t="str">
        <f t="shared" si="2309"/>
        <v/>
      </c>
      <c r="FC150" s="40" t="str">
        <f t="shared" si="2310"/>
        <v/>
      </c>
      <c r="FD150" s="40" t="str">
        <f t="shared" si="2311"/>
        <v/>
      </c>
      <c r="FE150" s="40" t="str">
        <f t="shared" si="2312"/>
        <v/>
      </c>
      <c r="FF150" s="40" t="str">
        <f t="shared" si="2313"/>
        <v/>
      </c>
      <c r="FG150" s="40" t="str">
        <f t="shared" si="2314"/>
        <v/>
      </c>
      <c r="FH150" s="40" t="str">
        <f t="shared" si="2315"/>
        <v/>
      </c>
      <c r="FI150" s="40" t="str">
        <f t="shared" si="2316"/>
        <v/>
      </c>
      <c r="FJ150" s="40" t="str">
        <f t="shared" si="2317"/>
        <v/>
      </c>
      <c r="FK150" s="40" t="str">
        <f t="shared" si="2318"/>
        <v/>
      </c>
      <c r="FL150" s="40" t="str">
        <f t="shared" si="2319"/>
        <v/>
      </c>
      <c r="FM150" s="40" t="str">
        <f t="shared" si="2320"/>
        <v/>
      </c>
      <c r="FN150" s="40" t="str">
        <f t="shared" si="2321"/>
        <v/>
      </c>
      <c r="FO150" s="40" t="str">
        <f t="shared" si="2322"/>
        <v/>
      </c>
      <c r="FP150" s="40" t="str">
        <f t="shared" si="2323"/>
        <v/>
      </c>
      <c r="FQ150" s="40" t="str">
        <f t="shared" si="2324"/>
        <v/>
      </c>
      <c r="FR150" s="40" t="str">
        <f t="shared" si="2325"/>
        <v/>
      </c>
      <c r="FS150" s="40" t="str">
        <f t="shared" si="2326"/>
        <v/>
      </c>
    </row>
    <row r="151" spans="1:175" ht="16.5">
      <c r="A151" s="78"/>
      <c r="B151" s="2" t="s">
        <v>418</v>
      </c>
      <c r="C151" s="78" t="s">
        <v>419</v>
      </c>
      <c r="T151" s="83"/>
      <c r="U151" s="51" t="str">
        <f t="shared" ref="U151:U152" si="2327">"ReplaceableTextures\\CommandButtons\\BTN"&amp;B151&amp;".blp"</f>
        <v>ReplaceableTextures\\CommandButtons\\BTNIP04.blp</v>
      </c>
      <c r="CN151" s="10" t="str">
        <f t="shared" si="1672"/>
        <v>InitUnitState('IP04',,,,,,,,,,)</v>
      </c>
      <c r="CO151" s="10" t="str">
        <f t="shared" si="1673"/>
        <v>InitUnitNormal('IP04',,,,,,,,,,)</v>
      </c>
      <c r="CP151" s="10" t="str">
        <f t="shared" si="1674"/>
        <v>InitUnitMagic('IP04',,,,,,,,,,)</v>
      </c>
      <c r="CQ151" s="10" t="str">
        <f t="shared" si="1675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8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9">T151</f>
        <v>0</v>
      </c>
      <c r="CW151" s="4"/>
      <c r="CX151" s="4"/>
      <c r="CY151" s="4"/>
      <c r="CZ151" s="4"/>
      <c r="DA151" s="4"/>
      <c r="DB151" s="40" t="str">
        <f t="shared" ref="DB151:DB152" si="2330">IF(V151="","","|n"&amp;DB$2&amp;"+"&amp;V151&amp;DB$1)</f>
        <v/>
      </c>
      <c r="DC151" s="40" t="str">
        <f t="shared" ref="DC151:DC152" si="2331">IF(W151="","","|n"&amp;DC$2&amp;"+"&amp;W151&amp;DC$1)</f>
        <v/>
      </c>
      <c r="DD151" s="40" t="str">
        <f t="shared" ref="DD151:DD152" si="2332">IF(X151="","","|n"&amp;DD$2&amp;"+"&amp;X151&amp;DD$1)</f>
        <v/>
      </c>
      <c r="DE151" s="40" t="str">
        <f t="shared" ref="DE151:DE152" si="2333">IF(Y151="","","|n"&amp;DE$2&amp;"+"&amp;Y151&amp;DE$1)</f>
        <v/>
      </c>
      <c r="DF151" s="40" t="str">
        <f t="shared" ref="DF151:DF152" si="2334">IF(Z151="","","|n"&amp;DF$2&amp;"+"&amp;Z151&amp;DF$1)</f>
        <v/>
      </c>
      <c r="DG151" s="40" t="str">
        <f t="shared" ref="DG151:DG152" si="2335">IF(AA151="","","|n"&amp;DG$2&amp;"+"&amp;AA151&amp;DG$1)</f>
        <v/>
      </c>
      <c r="DH151" s="40" t="str">
        <f t="shared" ref="DH151:DH152" si="2336">IF(AB151="","","|n"&amp;DH$2&amp;"+"&amp;AB151&amp;DH$1)</f>
        <v/>
      </c>
      <c r="DI151" s="40" t="str">
        <f t="shared" ref="DI151:DI152" si="2337">IF(AC151="","","|n"&amp;DI$2&amp;"+"&amp;AC151&amp;DI$1)</f>
        <v/>
      </c>
      <c r="DJ151" s="40" t="str">
        <f t="shared" ref="DJ151:DJ152" si="2338">IF(AD151="","","|n"&amp;DJ$2&amp;"+"&amp;AD151&amp;DJ$1)</f>
        <v/>
      </c>
      <c r="DK151" s="40" t="str">
        <f t="shared" ref="DK151:DK152" si="2339">IF(AE151="","","|n"&amp;DK$2&amp;"+"&amp;AE151&amp;DK$1)</f>
        <v/>
      </c>
      <c r="DL151" s="40" t="str">
        <f t="shared" ref="DL151:DL152" si="2340">IF(AF151="","","|n"&amp;DL$2&amp;"+"&amp;AF151&amp;DL$1)</f>
        <v/>
      </c>
      <c r="DM151" s="40" t="str">
        <f t="shared" ref="DM151:DM152" si="2341">IF(AG151="","","|n"&amp;DM$2&amp;"+"&amp;AG151&amp;DM$1)</f>
        <v/>
      </c>
      <c r="DN151" s="40" t="str">
        <f t="shared" ref="DN151:DN152" si="2342">IF(AH151="","","|n"&amp;DN$2&amp;"+"&amp;AH151&amp;DN$1)</f>
        <v/>
      </c>
      <c r="DO151" s="40" t="str">
        <f t="shared" ref="DO151:DO152" si="2343">IF(AI151="","","|n"&amp;DO$2&amp;"+"&amp;AI151&amp;DO$1)</f>
        <v/>
      </c>
      <c r="DP151" s="40" t="str">
        <f t="shared" ref="DP151:DP152" si="2344">IF(AJ151="","","|n"&amp;DP$2&amp;"+"&amp;AJ151&amp;DP$1)</f>
        <v/>
      </c>
      <c r="DQ151" s="40" t="str">
        <f t="shared" ref="DQ151:DQ152" si="2345">IF(AK151="","","|n"&amp;DQ$2&amp;"+"&amp;AK151&amp;DQ$1)</f>
        <v/>
      </c>
      <c r="DR151" s="40" t="str">
        <f t="shared" ref="DR151:DR152" si="2346">IF(AL151="","","|n"&amp;DR$2&amp;"+"&amp;AL151&amp;DR$1)</f>
        <v/>
      </c>
      <c r="DS151" s="40" t="str">
        <f t="shared" ref="DS151:DS152" si="2347">IF(AM151="","","|n"&amp;DS$2&amp;"+"&amp;AM151&amp;DS$1)</f>
        <v/>
      </c>
      <c r="DT151" s="40" t="str">
        <f t="shared" ref="DT151:DT152" si="2348">IF(AN151="","","|n"&amp;DT$2&amp;"+"&amp;AN151&amp;DT$1)</f>
        <v/>
      </c>
      <c r="DU151" s="40" t="str">
        <f t="shared" ref="DU151:DU152" si="2349">IF(AO151="","","|n"&amp;DU$2&amp;"+"&amp;AO151&amp;DU$1)</f>
        <v/>
      </c>
      <c r="DV151" s="40" t="str">
        <f t="shared" ref="DV151:DV152" si="2350">IF(AP151="","","|n"&amp;DV$2&amp;"+"&amp;AP151&amp;DV$1)</f>
        <v/>
      </c>
      <c r="DW151" s="40" t="str">
        <f t="shared" ref="DW151:DW152" si="2351">IF(AQ151="","","|n"&amp;DW$2&amp;"+"&amp;AQ151&amp;DW$1)</f>
        <v/>
      </c>
      <c r="DX151" s="40" t="str">
        <f t="shared" ref="DX151:DX152" si="2352">IF(AR151="","","|n"&amp;DX$2&amp;"+"&amp;AR151&amp;DX$1)</f>
        <v/>
      </c>
      <c r="DY151" s="40" t="str">
        <f t="shared" ref="DY151:DY152" si="2353">IF(AS151="","","|n"&amp;DY$2&amp;"+"&amp;AS151&amp;DY$1)</f>
        <v/>
      </c>
      <c r="DZ151" s="40" t="str">
        <f t="shared" ref="DZ151:DZ152" si="2354">IF(AT151="","","|n"&amp;DZ$2&amp;"+"&amp;AT151&amp;DZ$1)</f>
        <v/>
      </c>
      <c r="EA151" s="40" t="str">
        <f t="shared" ref="EA151:EA152" si="2355">IF(AU151="","","|n"&amp;EA$2&amp;"+"&amp;AU151&amp;EA$1)</f>
        <v/>
      </c>
      <c r="EB151" s="40" t="str">
        <f t="shared" ref="EB151:EB152" si="2356">IF(AV151="","","|n"&amp;EB$2&amp;"+"&amp;AV151&amp;EB$1)</f>
        <v/>
      </c>
      <c r="EC151" s="40" t="str">
        <f t="shared" ref="EC151:EC152" si="2357">IF(AW151="","","|n"&amp;EC$2&amp;"+"&amp;AW151&amp;EC$1)</f>
        <v/>
      </c>
      <c r="ED151" s="40" t="str">
        <f t="shared" ref="ED151:ED152" si="2358">IF(AX151="","","|n"&amp;ED$2&amp;"+"&amp;AX151&amp;ED$1)</f>
        <v/>
      </c>
      <c r="EE151" s="40" t="str">
        <f t="shared" ref="EE151:EE152" si="2359">IF(AY151="","","|n"&amp;EE$2&amp;"+"&amp;AY151&amp;EE$1)</f>
        <v/>
      </c>
      <c r="EF151" s="40" t="str">
        <f t="shared" ref="EF151:EF152" si="2360">IF(AZ151="","","|n"&amp;EF$2&amp;"+"&amp;AZ151&amp;EF$1)</f>
        <v/>
      </c>
      <c r="EG151" s="40" t="str">
        <f t="shared" ref="EG151:EG152" si="2361">IF(BA151="","","|n"&amp;EG$2&amp;"+"&amp;BA151&amp;EG$1)</f>
        <v/>
      </c>
      <c r="EH151" s="40" t="str">
        <f t="shared" ref="EH151:EH152" si="2362">IF(BB151="","","|n"&amp;EH$2&amp;"+"&amp;BB151&amp;EH$1)</f>
        <v/>
      </c>
      <c r="EI151" s="40" t="str">
        <f t="shared" ref="EI151:EI152" si="2363">IF(BC151="","","|n"&amp;EI$2&amp;"+"&amp;BC151&amp;EI$1)</f>
        <v/>
      </c>
      <c r="EJ151" s="40" t="str">
        <f t="shared" ref="EJ151:EJ152" si="2364">IF(BD151="","","|n"&amp;EJ$2&amp;"+"&amp;BD151&amp;EJ$1)</f>
        <v/>
      </c>
      <c r="EK151" s="40" t="str">
        <f t="shared" ref="EK151:EK152" si="2365">IF(BE151="","","|n"&amp;EK$2&amp;"+"&amp;BE151&amp;EK$1)</f>
        <v/>
      </c>
      <c r="EL151" s="40" t="str">
        <f t="shared" ref="EL151:EL152" si="2366">IF(BF151="","","|n"&amp;EL$2&amp;"+"&amp;BF151&amp;EL$1)</f>
        <v/>
      </c>
      <c r="EM151" s="40" t="str">
        <f t="shared" ref="EM151:EM152" si="2367">IF(BG151="","","|n"&amp;EM$2&amp;"+"&amp;BG151&amp;EM$1)</f>
        <v/>
      </c>
      <c r="EN151" s="40" t="str">
        <f t="shared" ref="EN151:EN152" si="2368">IF(BH151="","","|n"&amp;EN$2&amp;"+"&amp;BH151&amp;EN$1)</f>
        <v/>
      </c>
      <c r="EO151" s="40" t="str">
        <f t="shared" ref="EO151:EO152" si="2369">IF(BI151="","","|n"&amp;EO$2&amp;"+"&amp;BI151&amp;EO$1)</f>
        <v/>
      </c>
      <c r="EP151" s="40" t="str">
        <f t="shared" ref="EP151:EP152" si="2370">IF(BJ151="","","|n"&amp;EP$2&amp;"+"&amp;BJ151&amp;EP$1)</f>
        <v/>
      </c>
      <c r="EQ151" s="40" t="str">
        <f t="shared" ref="EQ151:EQ152" si="2371">IF(BK151="","","|n"&amp;EQ$2&amp;"+"&amp;BK151&amp;EQ$1)</f>
        <v/>
      </c>
      <c r="ER151" s="40" t="str">
        <f t="shared" ref="ER151:ER152" si="2372">IF(BL151="","","|n"&amp;ER$2&amp;"+"&amp;BL151&amp;ER$1)</f>
        <v/>
      </c>
      <c r="ES151" s="40" t="str">
        <f t="shared" ref="ES151:ES152" si="2373">IF(BM151="","","|n"&amp;ES$2&amp;"+"&amp;BM151&amp;ES$1)</f>
        <v/>
      </c>
      <c r="ET151" s="40" t="str">
        <f t="shared" ref="ET151:ET152" si="2374">IF(BN151="","","|n"&amp;ET$2&amp;"+"&amp;BN151&amp;ET$1)</f>
        <v/>
      </c>
      <c r="EU151" s="40" t="str">
        <f t="shared" ref="EU151:EU152" si="2375">IF(BO151="","","|n"&amp;EU$2&amp;"+"&amp;BO151&amp;EU$1)</f>
        <v/>
      </c>
      <c r="EV151" s="40" t="str">
        <f t="shared" ref="EV151:EV152" si="2376">IF(BP151="","","|n"&amp;EV$2&amp;"+"&amp;BP151&amp;EV$1)</f>
        <v/>
      </c>
      <c r="EW151" s="40" t="str">
        <f t="shared" ref="EW151:EW152" si="2377">IF(BQ151="","","|n"&amp;EW$2&amp;"+"&amp;BQ151&amp;EW$1)</f>
        <v/>
      </c>
      <c r="EX151" s="40" t="str">
        <f t="shared" ref="EX151:EX152" si="2378">IF(BR151="","","|n"&amp;EX$2&amp;"+"&amp;BR151&amp;EX$1)</f>
        <v/>
      </c>
      <c r="EY151" s="40" t="str">
        <f t="shared" ref="EY151:EY152" si="2379">IF(BS151="","","|n"&amp;EY$2&amp;"+"&amp;BS151&amp;EY$1)</f>
        <v/>
      </c>
      <c r="EZ151" s="40" t="str">
        <f t="shared" ref="EZ151:EZ152" si="2380">IF(BT151="","","|n"&amp;EZ$2&amp;"+"&amp;BT151&amp;EZ$1)</f>
        <v/>
      </c>
      <c r="FA151" s="40" t="str">
        <f t="shared" ref="FA151:FA152" si="2381">IF(BU151="","","|n"&amp;FA$2&amp;"+"&amp;BU151&amp;FA$1)</f>
        <v/>
      </c>
      <c r="FB151" s="40" t="str">
        <f t="shared" ref="FB151:FB152" si="2382">IF(BV151="","","|n"&amp;FB$2&amp;"+"&amp;BV151&amp;FB$1)</f>
        <v/>
      </c>
      <c r="FC151" s="40" t="str">
        <f t="shared" ref="FC151:FC152" si="2383">IF(BW151="","","|n"&amp;FC$2&amp;"+"&amp;BW151&amp;FC$1)</f>
        <v/>
      </c>
      <c r="FD151" s="40" t="str">
        <f t="shared" ref="FD151:FD152" si="2384">IF(BX151="","","|n"&amp;FD$2&amp;"+"&amp;BX151&amp;FD$1)</f>
        <v/>
      </c>
      <c r="FE151" s="40" t="str">
        <f t="shared" ref="FE151:FE152" si="2385">IF(BY151="","","|n"&amp;FE$2&amp;"+"&amp;BY151&amp;FE$1)</f>
        <v/>
      </c>
      <c r="FF151" s="40" t="str">
        <f t="shared" ref="FF151:FF152" si="2386">IF(BZ151="","","|n"&amp;FF$2&amp;"+"&amp;BZ151&amp;FF$1)</f>
        <v/>
      </c>
      <c r="FG151" s="40" t="str">
        <f t="shared" ref="FG151:FG152" si="2387">IF(CA151="","","|n"&amp;FG$2&amp;"+"&amp;CA151&amp;FG$1)</f>
        <v/>
      </c>
      <c r="FH151" s="40" t="str">
        <f t="shared" ref="FH151:FH152" si="2388">IF(CB151="","","|n"&amp;FH$2&amp;"+"&amp;CB151&amp;FH$1)</f>
        <v/>
      </c>
      <c r="FI151" s="40" t="str">
        <f t="shared" ref="FI151:FI152" si="2389">IF(CC151="","","|n"&amp;FI$2&amp;"+"&amp;CC151&amp;FI$1)</f>
        <v/>
      </c>
      <c r="FJ151" s="40" t="str">
        <f t="shared" ref="FJ151:FJ152" si="2390">IF(CD151="","","|n"&amp;FJ$2&amp;"+"&amp;CD151&amp;FJ$1)</f>
        <v/>
      </c>
      <c r="FK151" s="40" t="str">
        <f t="shared" ref="FK151:FK152" si="2391">IF(CE151="","","|n"&amp;FK$2&amp;"+"&amp;CE151&amp;FK$1)</f>
        <v/>
      </c>
      <c r="FL151" s="40" t="str">
        <f t="shared" ref="FL151:FL152" si="2392">IF(CF151="","","|n"&amp;FL$2&amp;"+"&amp;CF151&amp;FL$1)</f>
        <v/>
      </c>
      <c r="FM151" s="40" t="str">
        <f t="shared" ref="FM151:FM152" si="2393">IF(CG151="","","|n"&amp;FM$2&amp;"+"&amp;CG151&amp;FM$1)</f>
        <v/>
      </c>
      <c r="FN151" s="40" t="str">
        <f t="shared" ref="FN151:FN152" si="2394">IF(CH151="","","|n"&amp;FN$2&amp;"+"&amp;CH151&amp;FN$1)</f>
        <v/>
      </c>
      <c r="FO151" s="40" t="str">
        <f t="shared" ref="FO151:FO152" si="2395">IF(CI151="","","|n"&amp;FO$2&amp;"+"&amp;CI151&amp;FO$1)</f>
        <v/>
      </c>
      <c r="FP151" s="40" t="str">
        <f t="shared" ref="FP151:FP152" si="2396">IF(CJ151="","","|n"&amp;FP$2&amp;"+"&amp;CJ151&amp;FP$1)</f>
        <v/>
      </c>
      <c r="FQ151" s="40" t="str">
        <f t="shared" ref="FQ151:FQ152" si="2397">IF(CK151="","","|n"&amp;FQ$2&amp;"+"&amp;CK151&amp;FQ$1)</f>
        <v/>
      </c>
      <c r="FR151" s="40" t="str">
        <f t="shared" ref="FR151:FR152" si="2398">IF(CL151="","","|n"&amp;FR$2&amp;"+"&amp;CL151&amp;FR$1)</f>
        <v/>
      </c>
      <c r="FS151" s="40" t="str">
        <f t="shared" ref="FS151:FS152" si="2399">IF(CM151="","","|n"&amp;FS$2&amp;"+"&amp;CM151&amp;FS$1)</f>
        <v/>
      </c>
    </row>
    <row r="152" spans="1:175" ht="16.5">
      <c r="A152" s="78"/>
      <c r="B152" s="2" t="s">
        <v>420</v>
      </c>
      <c r="C152" s="78" t="s">
        <v>421</v>
      </c>
      <c r="T152" s="83"/>
      <c r="U152" s="51" t="str">
        <f t="shared" si="2327"/>
        <v>ReplaceableTextures\\CommandButtons\\BTNIP05.blp</v>
      </c>
      <c r="CN152" s="10" t="str">
        <f t="shared" si="1672"/>
        <v>InitUnitState('IP05',,,,,,,,,,)</v>
      </c>
      <c r="CO152" s="10" t="str">
        <f t="shared" si="1673"/>
        <v>InitUnitNormal('IP05',,,,,,,,,,)</v>
      </c>
      <c r="CP152" s="10" t="str">
        <f t="shared" si="1674"/>
        <v>InitUnitMagic('IP05',,,,,,,,,,)</v>
      </c>
      <c r="CQ152" s="10" t="str">
        <f t="shared" si="1675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8"/>
        <v>|n</v>
      </c>
      <c r="CV152" s="3">
        <f t="shared" si="2329"/>
        <v>0</v>
      </c>
      <c r="CW152" s="4"/>
      <c r="CX152" s="4"/>
      <c r="CY152" s="4"/>
      <c r="CZ152" s="4"/>
      <c r="DA152" s="4"/>
      <c r="DB152" s="40" t="str">
        <f t="shared" si="2330"/>
        <v/>
      </c>
      <c r="DC152" s="40" t="str">
        <f t="shared" si="2331"/>
        <v/>
      </c>
      <c r="DD152" s="40" t="str">
        <f t="shared" si="2332"/>
        <v/>
      </c>
      <c r="DE152" s="40" t="str">
        <f t="shared" si="2333"/>
        <v/>
      </c>
      <c r="DF152" s="40" t="str">
        <f t="shared" si="2334"/>
        <v/>
      </c>
      <c r="DG152" s="40" t="str">
        <f t="shared" si="2335"/>
        <v/>
      </c>
      <c r="DH152" s="40" t="str">
        <f t="shared" si="2336"/>
        <v/>
      </c>
      <c r="DI152" s="40" t="str">
        <f t="shared" si="2337"/>
        <v/>
      </c>
      <c r="DJ152" s="40" t="str">
        <f t="shared" si="2338"/>
        <v/>
      </c>
      <c r="DK152" s="40" t="str">
        <f t="shared" si="2339"/>
        <v/>
      </c>
      <c r="DL152" s="40" t="str">
        <f t="shared" si="2340"/>
        <v/>
      </c>
      <c r="DM152" s="40" t="str">
        <f t="shared" si="2341"/>
        <v/>
      </c>
      <c r="DN152" s="40" t="str">
        <f t="shared" si="2342"/>
        <v/>
      </c>
      <c r="DO152" s="40" t="str">
        <f t="shared" si="2343"/>
        <v/>
      </c>
      <c r="DP152" s="40" t="str">
        <f t="shared" si="2344"/>
        <v/>
      </c>
      <c r="DQ152" s="40" t="str">
        <f t="shared" si="2345"/>
        <v/>
      </c>
      <c r="DR152" s="40" t="str">
        <f t="shared" si="2346"/>
        <v/>
      </c>
      <c r="DS152" s="40" t="str">
        <f t="shared" si="2347"/>
        <v/>
      </c>
      <c r="DT152" s="40" t="str">
        <f t="shared" si="2348"/>
        <v/>
      </c>
      <c r="DU152" s="40" t="str">
        <f t="shared" si="2349"/>
        <v/>
      </c>
      <c r="DV152" s="40" t="str">
        <f t="shared" si="2350"/>
        <v/>
      </c>
      <c r="DW152" s="40" t="str">
        <f t="shared" si="2351"/>
        <v/>
      </c>
      <c r="DX152" s="40" t="str">
        <f t="shared" si="2352"/>
        <v/>
      </c>
      <c r="DY152" s="40" t="str">
        <f t="shared" si="2353"/>
        <v/>
      </c>
      <c r="DZ152" s="40" t="str">
        <f t="shared" si="2354"/>
        <v/>
      </c>
      <c r="EA152" s="40" t="str">
        <f t="shared" si="2355"/>
        <v/>
      </c>
      <c r="EB152" s="40" t="str">
        <f t="shared" si="2356"/>
        <v/>
      </c>
      <c r="EC152" s="40" t="str">
        <f t="shared" si="2357"/>
        <v/>
      </c>
      <c r="ED152" s="40" t="str">
        <f t="shared" si="2358"/>
        <v/>
      </c>
      <c r="EE152" s="40" t="str">
        <f t="shared" si="2359"/>
        <v/>
      </c>
      <c r="EF152" s="40" t="str">
        <f t="shared" si="2360"/>
        <v/>
      </c>
      <c r="EG152" s="40" t="str">
        <f t="shared" si="2361"/>
        <v/>
      </c>
      <c r="EH152" s="40" t="str">
        <f t="shared" si="2362"/>
        <v/>
      </c>
      <c r="EI152" s="40" t="str">
        <f t="shared" si="2363"/>
        <v/>
      </c>
      <c r="EJ152" s="40" t="str">
        <f t="shared" si="2364"/>
        <v/>
      </c>
      <c r="EK152" s="40" t="str">
        <f t="shared" si="2365"/>
        <v/>
      </c>
      <c r="EL152" s="40" t="str">
        <f t="shared" si="2366"/>
        <v/>
      </c>
      <c r="EM152" s="40" t="str">
        <f t="shared" si="2367"/>
        <v/>
      </c>
      <c r="EN152" s="40" t="str">
        <f t="shared" si="2368"/>
        <v/>
      </c>
      <c r="EO152" s="40" t="str">
        <f t="shared" si="2369"/>
        <v/>
      </c>
      <c r="EP152" s="40" t="str">
        <f t="shared" si="2370"/>
        <v/>
      </c>
      <c r="EQ152" s="40" t="str">
        <f t="shared" si="2371"/>
        <v/>
      </c>
      <c r="ER152" s="40" t="str">
        <f t="shared" si="2372"/>
        <v/>
      </c>
      <c r="ES152" s="40" t="str">
        <f t="shared" si="2373"/>
        <v/>
      </c>
      <c r="ET152" s="40" t="str">
        <f t="shared" si="2374"/>
        <v/>
      </c>
      <c r="EU152" s="40" t="str">
        <f t="shared" si="2375"/>
        <v/>
      </c>
      <c r="EV152" s="40" t="str">
        <f t="shared" si="2376"/>
        <v/>
      </c>
      <c r="EW152" s="40" t="str">
        <f t="shared" si="2377"/>
        <v/>
      </c>
      <c r="EX152" s="40" t="str">
        <f t="shared" si="2378"/>
        <v/>
      </c>
      <c r="EY152" s="40" t="str">
        <f t="shared" si="2379"/>
        <v/>
      </c>
      <c r="EZ152" s="40" t="str">
        <f t="shared" si="2380"/>
        <v/>
      </c>
      <c r="FA152" s="40" t="str">
        <f t="shared" si="2381"/>
        <v/>
      </c>
      <c r="FB152" s="40" t="str">
        <f t="shared" si="2382"/>
        <v/>
      </c>
      <c r="FC152" s="40" t="str">
        <f t="shared" si="2383"/>
        <v/>
      </c>
      <c r="FD152" s="40" t="str">
        <f t="shared" si="2384"/>
        <v/>
      </c>
      <c r="FE152" s="40" t="str">
        <f t="shared" si="2385"/>
        <v/>
      </c>
      <c r="FF152" s="40" t="str">
        <f t="shared" si="2386"/>
        <v/>
      </c>
      <c r="FG152" s="40" t="str">
        <f t="shared" si="2387"/>
        <v/>
      </c>
      <c r="FH152" s="40" t="str">
        <f t="shared" si="2388"/>
        <v/>
      </c>
      <c r="FI152" s="40" t="str">
        <f t="shared" si="2389"/>
        <v/>
      </c>
      <c r="FJ152" s="40" t="str">
        <f t="shared" si="2390"/>
        <v/>
      </c>
      <c r="FK152" s="40" t="str">
        <f t="shared" si="2391"/>
        <v/>
      </c>
      <c r="FL152" s="40" t="str">
        <f t="shared" si="2392"/>
        <v/>
      </c>
      <c r="FM152" s="40" t="str">
        <f t="shared" si="2393"/>
        <v/>
      </c>
      <c r="FN152" s="40" t="str">
        <f t="shared" si="2394"/>
        <v/>
      </c>
      <c r="FO152" s="40" t="str">
        <f t="shared" si="2395"/>
        <v/>
      </c>
      <c r="FP152" s="40" t="str">
        <f t="shared" si="2396"/>
        <v/>
      </c>
      <c r="FQ152" s="40" t="str">
        <f t="shared" si="2397"/>
        <v/>
      </c>
      <c r="FR152" s="40" t="str">
        <f t="shared" si="2398"/>
        <v/>
      </c>
      <c r="FS152" s="40" t="str">
        <f t="shared" si="2399"/>
        <v/>
      </c>
    </row>
    <row r="153" spans="1:175" ht="57">
      <c r="A153" s="78"/>
      <c r="B153" s="2" t="s">
        <v>422</v>
      </c>
      <c r="C153" s="78" t="s">
        <v>423</v>
      </c>
      <c r="R153" s="35">
        <v>-8086</v>
      </c>
      <c r="S153" s="35">
        <v>-3245</v>
      </c>
      <c r="T153" s="84" t="s">
        <v>424</v>
      </c>
      <c r="U153" s="51" t="str">
        <f t="shared" si="939"/>
        <v>ReplaceableTextures\\CommandButtons\\BTNIT01.blp</v>
      </c>
      <c r="CN153" s="10" t="str">
        <f t="shared" ref="CN153:CN184" si="2400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1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2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3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4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6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7">IF(V153="","","|n"&amp;DB$2&amp;"+"&amp;V153&amp;DB$1)</f>
        <v/>
      </c>
      <c r="DC153" s="40" t="str">
        <f t="shared" ref="DC153" si="2408">IF(W153="","","|n"&amp;DC$2&amp;"+"&amp;W153&amp;DC$1)</f>
        <v/>
      </c>
      <c r="DD153" s="40" t="str">
        <f t="shared" ref="DD153" si="2409">IF(X153="","","|n"&amp;DD$2&amp;"+"&amp;X153&amp;DD$1)</f>
        <v/>
      </c>
      <c r="DE153" s="40" t="str">
        <f t="shared" ref="DE153" si="2410">IF(Y153="","","|n"&amp;DE$2&amp;"+"&amp;Y153&amp;DE$1)</f>
        <v/>
      </c>
      <c r="DF153" s="40" t="str">
        <f t="shared" ref="DF153" si="2411">IF(Z153="","","|n"&amp;DF$2&amp;"+"&amp;Z153&amp;DF$1)</f>
        <v/>
      </c>
      <c r="DG153" s="40" t="str">
        <f t="shared" ref="DG153" si="2412">IF(AA153="","","|n"&amp;DG$2&amp;"+"&amp;AA153&amp;DG$1)</f>
        <v/>
      </c>
      <c r="DH153" s="40" t="str">
        <f t="shared" ref="DH153" si="2413">IF(AB153="","","|n"&amp;DH$2&amp;"+"&amp;AB153&amp;DH$1)</f>
        <v/>
      </c>
      <c r="DI153" s="40" t="str">
        <f t="shared" ref="DI153" si="2414">IF(AC153="","","|n"&amp;DI$2&amp;"+"&amp;AC153&amp;DI$1)</f>
        <v/>
      </c>
      <c r="DJ153" s="40" t="str">
        <f t="shared" ref="DJ153" si="2415">IF(AD153="","","|n"&amp;DJ$2&amp;"+"&amp;AD153&amp;DJ$1)</f>
        <v/>
      </c>
      <c r="DK153" s="40" t="str">
        <f t="shared" ref="DK153" si="2416">IF(AE153="","","|n"&amp;DK$2&amp;"+"&amp;AE153&amp;DK$1)</f>
        <v/>
      </c>
      <c r="DL153" s="40" t="str">
        <f t="shared" ref="DL153" si="2417">IF(AF153="","","|n"&amp;DL$2&amp;"+"&amp;AF153&amp;DL$1)</f>
        <v/>
      </c>
      <c r="DM153" s="40" t="str">
        <f t="shared" ref="DM153" si="2418">IF(AG153="","","|n"&amp;DM$2&amp;"+"&amp;AG153&amp;DM$1)</f>
        <v/>
      </c>
      <c r="DN153" s="40" t="str">
        <f t="shared" ref="DN153" si="2419">IF(AH153="","","|n"&amp;DN$2&amp;"+"&amp;AH153&amp;DN$1)</f>
        <v/>
      </c>
      <c r="DO153" s="40" t="str">
        <f t="shared" ref="DO153" si="2420">IF(AI153="","","|n"&amp;DO$2&amp;"+"&amp;AI153&amp;DO$1)</f>
        <v/>
      </c>
      <c r="DP153" s="40" t="str">
        <f t="shared" ref="DP153" si="2421">IF(AJ153="","","|n"&amp;DP$2&amp;"+"&amp;AJ153&amp;DP$1)</f>
        <v/>
      </c>
      <c r="DQ153" s="40" t="str">
        <f t="shared" ref="DQ153" si="2422">IF(AK153="","","|n"&amp;DQ$2&amp;"+"&amp;AK153&amp;DQ$1)</f>
        <v/>
      </c>
      <c r="DR153" s="40" t="str">
        <f t="shared" ref="DR153" si="2423">IF(AL153="","","|n"&amp;DR$2&amp;"+"&amp;AL153&amp;DR$1)</f>
        <v/>
      </c>
      <c r="DS153" s="40" t="str">
        <f t="shared" ref="DS153" si="2424">IF(AM153="","","|n"&amp;DS$2&amp;"+"&amp;AM153&amp;DS$1)</f>
        <v/>
      </c>
      <c r="DT153" s="40" t="str">
        <f t="shared" ref="DT153" si="2425">IF(AN153="","","|n"&amp;DT$2&amp;"+"&amp;AN153&amp;DT$1)</f>
        <v/>
      </c>
      <c r="DU153" s="40" t="str">
        <f t="shared" ref="DU153" si="2426">IF(AO153="","","|n"&amp;DU$2&amp;"+"&amp;AO153&amp;DU$1)</f>
        <v/>
      </c>
      <c r="DV153" s="40" t="str">
        <f t="shared" ref="DV153" si="2427">IF(AP153="","","|n"&amp;DV$2&amp;"+"&amp;AP153&amp;DV$1)</f>
        <v/>
      </c>
      <c r="DW153" s="40" t="str">
        <f t="shared" ref="DW153" si="2428">IF(AQ153="","","|n"&amp;DW$2&amp;"+"&amp;AQ153&amp;DW$1)</f>
        <v/>
      </c>
      <c r="DX153" s="40" t="str">
        <f t="shared" ref="DX153" si="2429">IF(AR153="","","|n"&amp;DX$2&amp;"+"&amp;AR153&amp;DX$1)</f>
        <v/>
      </c>
      <c r="DY153" s="40" t="str">
        <f t="shared" ref="DY153" si="2430">IF(AS153="","","|n"&amp;DY$2&amp;"+"&amp;AS153&amp;DY$1)</f>
        <v/>
      </c>
      <c r="DZ153" s="40" t="str">
        <f t="shared" ref="DZ153" si="2431">IF(AT153="","","|n"&amp;DZ$2&amp;"+"&amp;AT153&amp;DZ$1)</f>
        <v/>
      </c>
      <c r="EA153" s="40" t="str">
        <f t="shared" ref="EA153" si="2432">IF(AU153="","","|n"&amp;EA$2&amp;"+"&amp;AU153&amp;EA$1)</f>
        <v/>
      </c>
      <c r="EB153" s="40" t="str">
        <f t="shared" ref="EB153" si="2433">IF(AV153="","","|n"&amp;EB$2&amp;"+"&amp;AV153&amp;EB$1)</f>
        <v/>
      </c>
      <c r="EC153" s="40" t="str">
        <f t="shared" ref="EC153" si="2434">IF(AW153="","","|n"&amp;EC$2&amp;"+"&amp;AW153&amp;EC$1)</f>
        <v/>
      </c>
      <c r="ED153" s="40" t="str">
        <f t="shared" ref="ED153" si="2435">IF(AX153="","","|n"&amp;ED$2&amp;"+"&amp;AX153&amp;ED$1)</f>
        <v/>
      </c>
      <c r="EE153" s="40" t="str">
        <f t="shared" ref="EE153" si="2436">IF(AY153="","","|n"&amp;EE$2&amp;"+"&amp;AY153&amp;EE$1)</f>
        <v/>
      </c>
      <c r="EF153" s="40" t="str">
        <f t="shared" ref="EF153" si="2437">IF(AZ153="","","|n"&amp;EF$2&amp;"+"&amp;AZ153&amp;EF$1)</f>
        <v/>
      </c>
      <c r="EG153" s="40" t="str">
        <f t="shared" ref="EG153" si="2438">IF(BA153="","","|n"&amp;EG$2&amp;"+"&amp;BA153&amp;EG$1)</f>
        <v/>
      </c>
      <c r="EH153" s="40" t="str">
        <f t="shared" ref="EH153" si="2439">IF(BB153="","","|n"&amp;EH$2&amp;"+"&amp;BB153&amp;EH$1)</f>
        <v/>
      </c>
      <c r="EI153" s="40" t="str">
        <f t="shared" ref="EI153" si="2440">IF(BC153="","","|n"&amp;EI$2&amp;"+"&amp;BC153&amp;EI$1)</f>
        <v/>
      </c>
      <c r="EJ153" s="40" t="str">
        <f t="shared" ref="EJ153" si="2441">IF(BD153="","","|n"&amp;EJ$2&amp;"+"&amp;BD153&amp;EJ$1)</f>
        <v/>
      </c>
      <c r="EK153" s="40" t="str">
        <f t="shared" ref="EK153" si="2442">IF(BE153="","","|n"&amp;EK$2&amp;"+"&amp;BE153&amp;EK$1)</f>
        <v/>
      </c>
      <c r="EL153" s="40" t="str">
        <f t="shared" ref="EL153" si="2443">IF(BF153="","","|n"&amp;EL$2&amp;"+"&amp;BF153&amp;EL$1)</f>
        <v/>
      </c>
      <c r="EM153" s="40" t="str">
        <f t="shared" ref="EM153" si="2444">IF(BG153="","","|n"&amp;EM$2&amp;"+"&amp;BG153&amp;EM$1)</f>
        <v/>
      </c>
      <c r="EN153" s="40" t="str">
        <f t="shared" ref="EN153" si="2445">IF(BH153="","","|n"&amp;EN$2&amp;"+"&amp;BH153&amp;EN$1)</f>
        <v/>
      </c>
      <c r="EO153" s="40" t="str">
        <f t="shared" ref="EO153" si="2446">IF(BI153="","","|n"&amp;EO$2&amp;"+"&amp;BI153&amp;EO$1)</f>
        <v/>
      </c>
      <c r="EP153" s="40" t="str">
        <f t="shared" ref="EP153" si="2447">IF(BJ153="","","|n"&amp;EP$2&amp;"+"&amp;BJ153&amp;EP$1)</f>
        <v/>
      </c>
      <c r="EQ153" s="40" t="str">
        <f t="shared" ref="EQ153" si="2448">IF(BK153="","","|n"&amp;EQ$2&amp;"+"&amp;BK153&amp;EQ$1)</f>
        <v/>
      </c>
      <c r="ER153" s="40" t="str">
        <f t="shared" ref="ER153" si="2449">IF(BL153="","","|n"&amp;ER$2&amp;"+"&amp;BL153&amp;ER$1)</f>
        <v/>
      </c>
      <c r="ES153" s="40" t="str">
        <f t="shared" ref="ES153" si="2450">IF(BM153="","","|n"&amp;ES$2&amp;"+"&amp;BM153&amp;ES$1)</f>
        <v/>
      </c>
      <c r="ET153" s="40" t="str">
        <f t="shared" ref="ET153" si="2451">IF(BN153="","","|n"&amp;ET$2&amp;"+"&amp;BN153&amp;ET$1)</f>
        <v/>
      </c>
      <c r="EU153" s="40" t="str">
        <f t="shared" ref="EU153" si="2452">IF(BO153="","","|n"&amp;EU$2&amp;"+"&amp;BO153&amp;EU$1)</f>
        <v/>
      </c>
      <c r="EV153" s="40" t="str">
        <f t="shared" ref="EV153" si="2453">IF(BP153="","","|n"&amp;EV$2&amp;"+"&amp;BP153&amp;EV$1)</f>
        <v/>
      </c>
      <c r="EW153" s="40" t="str">
        <f t="shared" ref="EW153" si="2454">IF(BQ153="","","|n"&amp;EW$2&amp;"+"&amp;BQ153&amp;EW$1)</f>
        <v/>
      </c>
      <c r="EX153" s="40" t="str">
        <f t="shared" ref="EX153" si="2455">IF(BR153="","","|n"&amp;EX$2&amp;"+"&amp;BR153&amp;EX$1)</f>
        <v/>
      </c>
      <c r="EY153" s="40" t="str">
        <f t="shared" ref="EY153" si="2456">IF(BS153="","","|n"&amp;EY$2&amp;"+"&amp;BS153&amp;EY$1)</f>
        <v/>
      </c>
      <c r="EZ153" s="40" t="str">
        <f t="shared" ref="EZ153" si="2457">IF(BT153="","","|n"&amp;EZ$2&amp;"+"&amp;BT153&amp;EZ$1)</f>
        <v/>
      </c>
      <c r="FA153" s="40" t="str">
        <f t="shared" ref="FA153" si="2458">IF(BU153="","","|n"&amp;FA$2&amp;"+"&amp;BU153&amp;FA$1)</f>
        <v/>
      </c>
      <c r="FB153" s="40" t="str">
        <f t="shared" ref="FB153" si="2459">IF(BV153="","","|n"&amp;FB$2&amp;"+"&amp;BV153&amp;FB$1)</f>
        <v/>
      </c>
      <c r="FC153" s="40" t="str">
        <f t="shared" ref="FC153" si="2460">IF(BW153="","","|n"&amp;FC$2&amp;"+"&amp;BW153&amp;FC$1)</f>
        <v/>
      </c>
      <c r="FD153" s="40" t="str">
        <f t="shared" ref="FD153" si="2461">IF(BX153="","","|n"&amp;FD$2&amp;"+"&amp;BX153&amp;FD$1)</f>
        <v/>
      </c>
      <c r="FE153" s="40" t="str">
        <f t="shared" ref="FE153" si="2462">IF(BY153="","","|n"&amp;FE$2&amp;"+"&amp;BY153&amp;FE$1)</f>
        <v/>
      </c>
      <c r="FF153" s="40" t="str">
        <f t="shared" ref="FF153" si="2463">IF(BZ153="","","|n"&amp;FF$2&amp;"+"&amp;BZ153&amp;FF$1)</f>
        <v/>
      </c>
      <c r="FG153" s="40" t="str">
        <f t="shared" ref="FG153" si="2464">IF(CA153="","","|n"&amp;FG$2&amp;"+"&amp;CA153&amp;FG$1)</f>
        <v/>
      </c>
      <c r="FH153" s="40" t="str">
        <f t="shared" ref="FH153" si="2465">IF(CB153="","","|n"&amp;FH$2&amp;"+"&amp;CB153&amp;FH$1)</f>
        <v/>
      </c>
      <c r="FI153" s="40" t="str">
        <f t="shared" ref="FI153" si="2466">IF(CC153="","","|n"&amp;FI$2&amp;"+"&amp;CC153&amp;FI$1)</f>
        <v/>
      </c>
      <c r="FJ153" s="40" t="str">
        <f t="shared" ref="FJ153" si="2467">IF(CD153="","","|n"&amp;FJ$2&amp;"+"&amp;CD153&amp;FJ$1)</f>
        <v/>
      </c>
      <c r="FK153" s="40" t="str">
        <f t="shared" ref="FK153" si="2468">IF(CE153="","","|n"&amp;FK$2&amp;"+"&amp;CE153&amp;FK$1)</f>
        <v/>
      </c>
      <c r="FL153" s="40" t="str">
        <f t="shared" ref="FL153" si="2469">IF(CF153="","","|n"&amp;FL$2&amp;"+"&amp;CF153&amp;FL$1)</f>
        <v/>
      </c>
      <c r="FM153" s="40" t="str">
        <f t="shared" ref="FM153" si="2470">IF(CG153="","","|n"&amp;FM$2&amp;"+"&amp;CG153&amp;FM$1)</f>
        <v/>
      </c>
      <c r="FN153" s="40" t="str">
        <f t="shared" ref="FN153" si="2471">IF(CH153="","","|n"&amp;FN$2&amp;"+"&amp;CH153&amp;FN$1)</f>
        <v/>
      </c>
      <c r="FO153" s="40" t="str">
        <f t="shared" ref="FO153" si="2472">IF(CI153="","","|n"&amp;FO$2&amp;"+"&amp;CI153&amp;FO$1)</f>
        <v/>
      </c>
      <c r="FP153" s="40" t="str">
        <f t="shared" ref="FP153" si="2473">IF(CJ153="","","|n"&amp;FP$2&amp;"+"&amp;CJ153&amp;FP$1)</f>
        <v/>
      </c>
      <c r="FQ153" s="40" t="str">
        <f t="shared" ref="FQ153" si="2474">IF(CK153="","","|n"&amp;FQ$2&amp;"+"&amp;CK153&amp;FQ$1)</f>
        <v/>
      </c>
      <c r="FR153" s="40" t="str">
        <f t="shared" ref="FR153" si="2475">IF(CL153="","","|n"&amp;FR$2&amp;"+"&amp;CL153&amp;FR$1)</f>
        <v/>
      </c>
      <c r="FS153" s="40" t="str">
        <f t="shared" ref="FS153" si="2476">IF(CM153="","","|n"&amp;FS$2&amp;"+"&amp;CM153&amp;FS$1)</f>
        <v/>
      </c>
    </row>
    <row r="154" spans="1:175" ht="16.5">
      <c r="A154" s="78"/>
      <c r="B154" s="2" t="s">
        <v>425</v>
      </c>
      <c r="C154" s="78" t="s">
        <v>426</v>
      </c>
      <c r="R154" s="35">
        <v>-7991</v>
      </c>
      <c r="S154" s="35">
        <v>-2312</v>
      </c>
      <c r="T154" s="78" t="s">
        <v>427</v>
      </c>
      <c r="U154" s="51" t="str">
        <f t="shared" si="939"/>
        <v>ReplaceableTextures\\CommandButtons\\BTNIT02.blp</v>
      </c>
      <c r="CN154" s="10" t="str">
        <f t="shared" si="2400"/>
        <v>InitUnitState('IT02',,,,,,,,,,)</v>
      </c>
      <c r="CO154" s="10" t="str">
        <f t="shared" si="2401"/>
        <v>InitUnitNormal('IT02',,,,,,,,,,)</v>
      </c>
      <c r="CP154" s="10" t="str">
        <f t="shared" si="2402"/>
        <v>InitUnitMagic('IT02',,,,,,,,,,)</v>
      </c>
      <c r="CQ154" s="10" t="str">
        <f t="shared" si="2403"/>
        <v>InitUnitAdd('IT02',,,,,,,,,,)</v>
      </c>
      <c r="CR154" s="10" t="str">
        <f t="shared" si="2404"/>
        <v>InitEquipData('IT02',,"",,,,,'','','','','','',"ReplaceableTextures\\CommandButtons\\BTNIT03.blp")</v>
      </c>
      <c r="CU154" s="61" t="str">
        <f t="shared" ref="CU154:CU162" si="2477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6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8">IF(V154="","","|n"&amp;DB$2&amp;"+"&amp;V154&amp;DB$1)</f>
        <v/>
      </c>
      <c r="DC154" s="40" t="str">
        <f t="shared" ref="DC154:DC162" si="2479">IF(W154="","","|n"&amp;DC$2&amp;"+"&amp;W154&amp;DC$1)</f>
        <v/>
      </c>
      <c r="DD154" s="40" t="str">
        <f t="shared" ref="DD154:DD162" si="2480">IF(X154="","","|n"&amp;DD$2&amp;"+"&amp;X154&amp;DD$1)</f>
        <v/>
      </c>
      <c r="DE154" s="40" t="str">
        <f t="shared" ref="DE154:DE162" si="2481">IF(Y154="","","|n"&amp;DE$2&amp;"+"&amp;Y154&amp;DE$1)</f>
        <v/>
      </c>
      <c r="DF154" s="40" t="str">
        <f t="shared" ref="DF154:DF162" si="2482">IF(Z154="","","|n"&amp;DF$2&amp;"+"&amp;Z154&amp;DF$1)</f>
        <v/>
      </c>
      <c r="DG154" s="40" t="str">
        <f t="shared" ref="DG154:DG162" si="2483">IF(AA154="","","|n"&amp;DG$2&amp;"+"&amp;AA154&amp;DG$1)</f>
        <v/>
      </c>
      <c r="DH154" s="40" t="str">
        <f t="shared" ref="DH154:DH162" si="2484">IF(AB154="","","|n"&amp;DH$2&amp;"+"&amp;AB154&amp;DH$1)</f>
        <v/>
      </c>
      <c r="DI154" s="40" t="str">
        <f t="shared" ref="DI154:DI162" si="2485">IF(AC154="","","|n"&amp;DI$2&amp;"+"&amp;AC154&amp;DI$1)</f>
        <v/>
      </c>
      <c r="DJ154" s="40" t="str">
        <f t="shared" ref="DJ154:DJ162" si="2486">IF(AD154="","","|n"&amp;DJ$2&amp;"+"&amp;AD154&amp;DJ$1)</f>
        <v/>
      </c>
      <c r="DK154" s="40" t="str">
        <f t="shared" ref="DK154:DK162" si="2487">IF(AE154="","","|n"&amp;DK$2&amp;"+"&amp;AE154&amp;DK$1)</f>
        <v/>
      </c>
      <c r="DL154" s="40" t="str">
        <f t="shared" ref="DL154:DL162" si="2488">IF(AF154="","","|n"&amp;DL$2&amp;"+"&amp;AF154&amp;DL$1)</f>
        <v/>
      </c>
      <c r="DM154" s="40" t="str">
        <f t="shared" ref="DM154:DM162" si="2489">IF(AG154="","","|n"&amp;DM$2&amp;"+"&amp;AG154&amp;DM$1)</f>
        <v/>
      </c>
      <c r="DN154" s="40" t="str">
        <f t="shared" ref="DN154:DN162" si="2490">IF(AH154="","","|n"&amp;DN$2&amp;"+"&amp;AH154&amp;DN$1)</f>
        <v/>
      </c>
      <c r="DO154" s="40" t="str">
        <f t="shared" ref="DO154:DO162" si="2491">IF(AI154="","","|n"&amp;DO$2&amp;"+"&amp;AI154&amp;DO$1)</f>
        <v/>
      </c>
      <c r="DP154" s="40" t="str">
        <f t="shared" ref="DP154:DP162" si="2492">IF(AJ154="","","|n"&amp;DP$2&amp;"+"&amp;AJ154&amp;DP$1)</f>
        <v/>
      </c>
      <c r="DQ154" s="40" t="str">
        <f t="shared" ref="DQ154:DQ162" si="2493">IF(AK154="","","|n"&amp;DQ$2&amp;"+"&amp;AK154&amp;DQ$1)</f>
        <v/>
      </c>
      <c r="DR154" s="40" t="str">
        <f t="shared" ref="DR154:DR162" si="2494">IF(AL154="","","|n"&amp;DR$2&amp;"+"&amp;AL154&amp;DR$1)</f>
        <v/>
      </c>
      <c r="DS154" s="40" t="str">
        <f t="shared" ref="DS154:DS162" si="2495">IF(AM154="","","|n"&amp;DS$2&amp;"+"&amp;AM154&amp;DS$1)</f>
        <v/>
      </c>
      <c r="DT154" s="40" t="str">
        <f t="shared" ref="DT154:DT162" si="2496">IF(AN154="","","|n"&amp;DT$2&amp;"+"&amp;AN154&amp;DT$1)</f>
        <v/>
      </c>
      <c r="DU154" s="40" t="str">
        <f t="shared" ref="DU154:DU162" si="2497">IF(AO154="","","|n"&amp;DU$2&amp;"+"&amp;AO154&amp;DU$1)</f>
        <v/>
      </c>
      <c r="DV154" s="40" t="str">
        <f t="shared" ref="DV154:DV162" si="2498">IF(AP154="","","|n"&amp;DV$2&amp;"+"&amp;AP154&amp;DV$1)</f>
        <v/>
      </c>
      <c r="DW154" s="40" t="str">
        <f t="shared" ref="DW154:DW162" si="2499">IF(AQ154="","","|n"&amp;DW$2&amp;"+"&amp;AQ154&amp;DW$1)</f>
        <v/>
      </c>
      <c r="DX154" s="40" t="str">
        <f t="shared" ref="DX154:DX162" si="2500">IF(AR154="","","|n"&amp;DX$2&amp;"+"&amp;AR154&amp;DX$1)</f>
        <v/>
      </c>
      <c r="DY154" s="40" t="str">
        <f t="shared" ref="DY154:DY162" si="2501">IF(AS154="","","|n"&amp;DY$2&amp;"+"&amp;AS154&amp;DY$1)</f>
        <v/>
      </c>
      <c r="DZ154" s="40" t="str">
        <f t="shared" ref="DZ154:DZ162" si="2502">IF(AT154="","","|n"&amp;DZ$2&amp;"+"&amp;AT154&amp;DZ$1)</f>
        <v/>
      </c>
      <c r="EA154" s="40" t="str">
        <f t="shared" ref="EA154:EA162" si="2503">IF(AU154="","","|n"&amp;EA$2&amp;"+"&amp;AU154&amp;EA$1)</f>
        <v/>
      </c>
      <c r="EB154" s="40" t="str">
        <f t="shared" ref="EB154:EB162" si="2504">IF(AV154="","","|n"&amp;EB$2&amp;"+"&amp;AV154&amp;EB$1)</f>
        <v/>
      </c>
      <c r="EC154" s="40" t="str">
        <f t="shared" ref="EC154:EC162" si="2505">IF(AW154="","","|n"&amp;EC$2&amp;"+"&amp;AW154&amp;EC$1)</f>
        <v/>
      </c>
      <c r="ED154" s="40" t="str">
        <f t="shared" ref="ED154:ED162" si="2506">IF(AX154="","","|n"&amp;ED$2&amp;"+"&amp;AX154&amp;ED$1)</f>
        <v/>
      </c>
      <c r="EE154" s="40" t="str">
        <f t="shared" ref="EE154:EE162" si="2507">IF(AY154="","","|n"&amp;EE$2&amp;"+"&amp;AY154&amp;EE$1)</f>
        <v/>
      </c>
      <c r="EF154" s="40" t="str">
        <f t="shared" ref="EF154:EF162" si="2508">IF(AZ154="","","|n"&amp;EF$2&amp;"+"&amp;AZ154&amp;EF$1)</f>
        <v/>
      </c>
      <c r="EG154" s="40" t="str">
        <f t="shared" ref="EG154:EG162" si="2509">IF(BA154="","","|n"&amp;EG$2&amp;"+"&amp;BA154&amp;EG$1)</f>
        <v/>
      </c>
      <c r="EH154" s="40" t="str">
        <f t="shared" ref="EH154:EH162" si="2510">IF(BB154="","","|n"&amp;EH$2&amp;"+"&amp;BB154&amp;EH$1)</f>
        <v/>
      </c>
      <c r="EI154" s="40" t="str">
        <f t="shared" ref="EI154:EI162" si="2511">IF(BC154="","","|n"&amp;EI$2&amp;"+"&amp;BC154&amp;EI$1)</f>
        <v/>
      </c>
      <c r="EJ154" s="40" t="str">
        <f t="shared" ref="EJ154:EJ162" si="2512">IF(BD154="","","|n"&amp;EJ$2&amp;"+"&amp;BD154&amp;EJ$1)</f>
        <v/>
      </c>
      <c r="EK154" s="40" t="str">
        <f t="shared" ref="EK154:EK162" si="2513">IF(BE154="","","|n"&amp;EK$2&amp;"+"&amp;BE154&amp;EK$1)</f>
        <v/>
      </c>
      <c r="EL154" s="40" t="str">
        <f t="shared" ref="EL154:EL162" si="2514">IF(BF154="","","|n"&amp;EL$2&amp;"+"&amp;BF154&amp;EL$1)</f>
        <v/>
      </c>
      <c r="EM154" s="40" t="str">
        <f t="shared" ref="EM154:EM162" si="2515">IF(BG154="","","|n"&amp;EM$2&amp;"+"&amp;BG154&amp;EM$1)</f>
        <v/>
      </c>
      <c r="EN154" s="40" t="str">
        <f t="shared" ref="EN154:EN162" si="2516">IF(BH154="","","|n"&amp;EN$2&amp;"+"&amp;BH154&amp;EN$1)</f>
        <v/>
      </c>
      <c r="EO154" s="40" t="str">
        <f t="shared" ref="EO154:EO162" si="2517">IF(BI154="","","|n"&amp;EO$2&amp;"+"&amp;BI154&amp;EO$1)</f>
        <v/>
      </c>
      <c r="EP154" s="40" t="str">
        <f t="shared" ref="EP154:EP162" si="2518">IF(BJ154="","","|n"&amp;EP$2&amp;"+"&amp;BJ154&amp;EP$1)</f>
        <v/>
      </c>
      <c r="EQ154" s="40" t="str">
        <f t="shared" ref="EQ154:EQ162" si="2519">IF(BK154="","","|n"&amp;EQ$2&amp;"+"&amp;BK154&amp;EQ$1)</f>
        <v/>
      </c>
      <c r="ER154" s="40" t="str">
        <f t="shared" ref="ER154:ER162" si="2520">IF(BL154="","","|n"&amp;ER$2&amp;"+"&amp;BL154&amp;ER$1)</f>
        <v/>
      </c>
      <c r="ES154" s="40" t="str">
        <f t="shared" ref="ES154:ES162" si="2521">IF(BM154="","","|n"&amp;ES$2&amp;"+"&amp;BM154&amp;ES$1)</f>
        <v/>
      </c>
      <c r="ET154" s="40" t="str">
        <f t="shared" ref="ET154:ET162" si="2522">IF(BN154="","","|n"&amp;ET$2&amp;"+"&amp;BN154&amp;ET$1)</f>
        <v/>
      </c>
      <c r="EU154" s="40" t="str">
        <f t="shared" ref="EU154:EU162" si="2523">IF(BO154="","","|n"&amp;EU$2&amp;"+"&amp;BO154&amp;EU$1)</f>
        <v/>
      </c>
      <c r="EV154" s="40" t="str">
        <f t="shared" ref="EV154:EV162" si="2524">IF(BP154="","","|n"&amp;EV$2&amp;"+"&amp;BP154&amp;EV$1)</f>
        <v/>
      </c>
      <c r="EW154" s="40" t="str">
        <f t="shared" ref="EW154:EW162" si="2525">IF(BQ154="","","|n"&amp;EW$2&amp;"+"&amp;BQ154&amp;EW$1)</f>
        <v/>
      </c>
      <c r="EX154" s="40" t="str">
        <f t="shared" ref="EX154:EX162" si="2526">IF(BR154="","","|n"&amp;EX$2&amp;"+"&amp;BR154&amp;EX$1)</f>
        <v/>
      </c>
      <c r="EY154" s="40" t="str">
        <f t="shared" ref="EY154:EY162" si="2527">IF(BS154="","","|n"&amp;EY$2&amp;"+"&amp;BS154&amp;EY$1)</f>
        <v/>
      </c>
      <c r="EZ154" s="40" t="str">
        <f t="shared" ref="EZ154:EZ162" si="2528">IF(BT154="","","|n"&amp;EZ$2&amp;"+"&amp;BT154&amp;EZ$1)</f>
        <v/>
      </c>
      <c r="FA154" s="40" t="str">
        <f t="shared" ref="FA154:FA162" si="2529">IF(BU154="","","|n"&amp;FA$2&amp;"+"&amp;BU154&amp;FA$1)</f>
        <v/>
      </c>
      <c r="FB154" s="40" t="str">
        <f t="shared" ref="FB154:FB162" si="2530">IF(BV154="","","|n"&amp;FB$2&amp;"+"&amp;BV154&amp;FB$1)</f>
        <v/>
      </c>
      <c r="FC154" s="40" t="str">
        <f t="shared" ref="FC154:FC162" si="2531">IF(BW154="","","|n"&amp;FC$2&amp;"+"&amp;BW154&amp;FC$1)</f>
        <v/>
      </c>
      <c r="FD154" s="40" t="str">
        <f t="shared" ref="FD154:FD162" si="2532">IF(BX154="","","|n"&amp;FD$2&amp;"+"&amp;BX154&amp;FD$1)</f>
        <v/>
      </c>
      <c r="FE154" s="40" t="str">
        <f t="shared" ref="FE154:FE162" si="2533">IF(BY154="","","|n"&amp;FE$2&amp;"+"&amp;BY154&amp;FE$1)</f>
        <v/>
      </c>
      <c r="FF154" s="40" t="str">
        <f t="shared" ref="FF154:FF162" si="2534">IF(BZ154="","","|n"&amp;FF$2&amp;"+"&amp;BZ154&amp;FF$1)</f>
        <v/>
      </c>
      <c r="FG154" s="40" t="str">
        <f t="shared" ref="FG154:FG162" si="2535">IF(CA154="","","|n"&amp;FG$2&amp;"+"&amp;CA154&amp;FG$1)</f>
        <v/>
      </c>
      <c r="FH154" s="40" t="str">
        <f t="shared" ref="FH154:FH162" si="2536">IF(CB154="","","|n"&amp;FH$2&amp;"+"&amp;CB154&amp;FH$1)</f>
        <v/>
      </c>
      <c r="FI154" s="40" t="str">
        <f t="shared" ref="FI154:FI162" si="2537">IF(CC154="","","|n"&amp;FI$2&amp;"+"&amp;CC154&amp;FI$1)</f>
        <v/>
      </c>
      <c r="FJ154" s="40" t="str">
        <f t="shared" ref="FJ154:FJ162" si="2538">IF(CD154="","","|n"&amp;FJ$2&amp;"+"&amp;CD154&amp;FJ$1)</f>
        <v/>
      </c>
      <c r="FK154" s="40" t="str">
        <f t="shared" ref="FK154:FK162" si="2539">IF(CE154="","","|n"&amp;FK$2&amp;"+"&amp;CE154&amp;FK$1)</f>
        <v/>
      </c>
      <c r="FL154" s="40" t="str">
        <f t="shared" ref="FL154:FL162" si="2540">IF(CF154="","","|n"&amp;FL$2&amp;"+"&amp;CF154&amp;FL$1)</f>
        <v/>
      </c>
      <c r="FM154" s="40" t="str">
        <f t="shared" ref="FM154:FM162" si="2541">IF(CG154="","","|n"&amp;FM$2&amp;"+"&amp;CG154&amp;FM$1)</f>
        <v/>
      </c>
      <c r="FN154" s="40" t="str">
        <f t="shared" ref="FN154:FN162" si="2542">IF(CH154="","","|n"&amp;FN$2&amp;"+"&amp;CH154&amp;FN$1)</f>
        <v/>
      </c>
      <c r="FO154" s="40" t="str">
        <f t="shared" ref="FO154:FO162" si="2543">IF(CI154="","","|n"&amp;FO$2&amp;"+"&amp;CI154&amp;FO$1)</f>
        <v/>
      </c>
      <c r="FP154" s="40" t="str">
        <f t="shared" ref="FP154:FP162" si="2544">IF(CJ154="","","|n"&amp;FP$2&amp;"+"&amp;CJ154&amp;FP$1)</f>
        <v/>
      </c>
      <c r="FQ154" s="40" t="str">
        <f t="shared" ref="FQ154:FQ162" si="2545">IF(CK154="","","|n"&amp;FQ$2&amp;"+"&amp;CK154&amp;FQ$1)</f>
        <v/>
      </c>
      <c r="FR154" s="40" t="str">
        <f t="shared" ref="FR154:FR162" si="2546">IF(CL154="","","|n"&amp;FR$2&amp;"+"&amp;CL154&amp;FR$1)</f>
        <v/>
      </c>
      <c r="FS154" s="40" t="str">
        <f t="shared" ref="FS154:FS162" si="2547">IF(CM154="","","|n"&amp;FS$2&amp;"+"&amp;CM154&amp;FS$1)</f>
        <v/>
      </c>
    </row>
    <row r="155" spans="1:175" ht="16.5">
      <c r="A155" s="78"/>
      <c r="B155" s="2" t="s">
        <v>428</v>
      </c>
      <c r="C155" s="78" t="s">
        <v>429</v>
      </c>
      <c r="R155" s="35">
        <v>-8089</v>
      </c>
      <c r="S155" s="35">
        <v>-1230</v>
      </c>
      <c r="T155" s="78" t="s">
        <v>430</v>
      </c>
      <c r="U155" s="51" t="str">
        <f t="shared" si="939"/>
        <v>ReplaceableTextures\\CommandButtons\\BTNIT03.blp</v>
      </c>
      <c r="CN155" s="10" t="str">
        <f t="shared" si="2400"/>
        <v>InitUnitState('IT03',,,,,,,,,,)</v>
      </c>
      <c r="CO155" s="10" t="str">
        <f t="shared" si="2401"/>
        <v>InitUnitNormal('IT03',,,,,,,,,,)</v>
      </c>
      <c r="CP155" s="10" t="str">
        <f t="shared" si="2402"/>
        <v>InitUnitMagic('IT03',,,,,,,,,,)</v>
      </c>
      <c r="CQ155" s="10" t="str">
        <f t="shared" si="2403"/>
        <v>InitUnitAdd('IT03',,,,,,,,,,)</v>
      </c>
      <c r="CR155" s="10" t="str">
        <f t="shared" si="2404"/>
        <v>InitEquipData('IT03',,"",,,,,'','','','','','',"ReplaceableTextures\\CommandButtons\\BTNIT04.blp")</v>
      </c>
      <c r="CU155" s="61" t="str">
        <f t="shared" si="2477"/>
        <v>|n</v>
      </c>
      <c r="CV155" s="3" t="str">
        <f t="shared" ref="CV155:CV162" si="2548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8"/>
        <v/>
      </c>
      <c r="DC155" s="40" t="str">
        <f t="shared" si="2479"/>
        <v/>
      </c>
      <c r="DD155" s="40" t="str">
        <f t="shared" si="2480"/>
        <v/>
      </c>
      <c r="DE155" s="40" t="str">
        <f t="shared" si="2481"/>
        <v/>
      </c>
      <c r="DF155" s="40" t="str">
        <f t="shared" si="2482"/>
        <v/>
      </c>
      <c r="DG155" s="40" t="str">
        <f t="shared" si="2483"/>
        <v/>
      </c>
      <c r="DH155" s="40" t="str">
        <f t="shared" si="2484"/>
        <v/>
      </c>
      <c r="DI155" s="40" t="str">
        <f t="shared" si="2485"/>
        <v/>
      </c>
      <c r="DJ155" s="40" t="str">
        <f t="shared" si="2486"/>
        <v/>
      </c>
      <c r="DK155" s="40" t="str">
        <f t="shared" si="2487"/>
        <v/>
      </c>
      <c r="DL155" s="40" t="str">
        <f t="shared" si="2488"/>
        <v/>
      </c>
      <c r="DM155" s="40" t="str">
        <f t="shared" si="2489"/>
        <v/>
      </c>
      <c r="DN155" s="40" t="str">
        <f t="shared" si="2490"/>
        <v/>
      </c>
      <c r="DO155" s="40" t="str">
        <f t="shared" si="2491"/>
        <v/>
      </c>
      <c r="DP155" s="40" t="str">
        <f t="shared" si="2492"/>
        <v/>
      </c>
      <c r="DQ155" s="40" t="str">
        <f t="shared" si="2493"/>
        <v/>
      </c>
      <c r="DR155" s="40" t="str">
        <f t="shared" si="2494"/>
        <v/>
      </c>
      <c r="DS155" s="40" t="str">
        <f t="shared" si="2495"/>
        <v/>
      </c>
      <c r="DT155" s="40" t="str">
        <f t="shared" si="2496"/>
        <v/>
      </c>
      <c r="DU155" s="40" t="str">
        <f t="shared" si="2497"/>
        <v/>
      </c>
      <c r="DV155" s="40" t="str">
        <f t="shared" si="2498"/>
        <v/>
      </c>
      <c r="DW155" s="40" t="str">
        <f t="shared" si="2499"/>
        <v/>
      </c>
      <c r="DX155" s="40" t="str">
        <f t="shared" si="2500"/>
        <v/>
      </c>
      <c r="DY155" s="40" t="str">
        <f t="shared" si="2501"/>
        <v/>
      </c>
      <c r="DZ155" s="40" t="str">
        <f t="shared" si="2502"/>
        <v/>
      </c>
      <c r="EA155" s="40" t="str">
        <f t="shared" si="2503"/>
        <v/>
      </c>
      <c r="EB155" s="40" t="str">
        <f t="shared" si="2504"/>
        <v/>
      </c>
      <c r="EC155" s="40" t="str">
        <f t="shared" si="2505"/>
        <v/>
      </c>
      <c r="ED155" s="40" t="str">
        <f t="shared" si="2506"/>
        <v/>
      </c>
      <c r="EE155" s="40" t="str">
        <f t="shared" si="2507"/>
        <v/>
      </c>
      <c r="EF155" s="40" t="str">
        <f t="shared" si="2508"/>
        <v/>
      </c>
      <c r="EG155" s="40" t="str">
        <f t="shared" si="2509"/>
        <v/>
      </c>
      <c r="EH155" s="40" t="str">
        <f t="shared" si="2510"/>
        <v/>
      </c>
      <c r="EI155" s="40" t="str">
        <f t="shared" si="2511"/>
        <v/>
      </c>
      <c r="EJ155" s="40" t="str">
        <f t="shared" si="2512"/>
        <v/>
      </c>
      <c r="EK155" s="40" t="str">
        <f t="shared" si="2513"/>
        <v/>
      </c>
      <c r="EL155" s="40" t="str">
        <f t="shared" si="2514"/>
        <v/>
      </c>
      <c r="EM155" s="40" t="str">
        <f t="shared" si="2515"/>
        <v/>
      </c>
      <c r="EN155" s="40" t="str">
        <f t="shared" si="2516"/>
        <v/>
      </c>
      <c r="EO155" s="40" t="str">
        <f t="shared" si="2517"/>
        <v/>
      </c>
      <c r="EP155" s="40" t="str">
        <f t="shared" si="2518"/>
        <v/>
      </c>
      <c r="EQ155" s="40" t="str">
        <f t="shared" si="2519"/>
        <v/>
      </c>
      <c r="ER155" s="40" t="str">
        <f t="shared" si="2520"/>
        <v/>
      </c>
      <c r="ES155" s="40" t="str">
        <f t="shared" si="2521"/>
        <v/>
      </c>
      <c r="ET155" s="40" t="str">
        <f t="shared" si="2522"/>
        <v/>
      </c>
      <c r="EU155" s="40" t="str">
        <f t="shared" si="2523"/>
        <v/>
      </c>
      <c r="EV155" s="40" t="str">
        <f t="shared" si="2524"/>
        <v/>
      </c>
      <c r="EW155" s="40" t="str">
        <f t="shared" si="2525"/>
        <v/>
      </c>
      <c r="EX155" s="40" t="str">
        <f t="shared" si="2526"/>
        <v/>
      </c>
      <c r="EY155" s="40" t="str">
        <f t="shared" si="2527"/>
        <v/>
      </c>
      <c r="EZ155" s="40" t="str">
        <f t="shared" si="2528"/>
        <v/>
      </c>
      <c r="FA155" s="40" t="str">
        <f t="shared" si="2529"/>
        <v/>
      </c>
      <c r="FB155" s="40" t="str">
        <f t="shared" si="2530"/>
        <v/>
      </c>
      <c r="FC155" s="40" t="str">
        <f t="shared" si="2531"/>
        <v/>
      </c>
      <c r="FD155" s="40" t="str">
        <f t="shared" si="2532"/>
        <v/>
      </c>
      <c r="FE155" s="40" t="str">
        <f t="shared" si="2533"/>
        <v/>
      </c>
      <c r="FF155" s="40" t="str">
        <f t="shared" si="2534"/>
        <v/>
      </c>
      <c r="FG155" s="40" t="str">
        <f t="shared" si="2535"/>
        <v/>
      </c>
      <c r="FH155" s="40" t="str">
        <f t="shared" si="2536"/>
        <v/>
      </c>
      <c r="FI155" s="40" t="str">
        <f t="shared" si="2537"/>
        <v/>
      </c>
      <c r="FJ155" s="40" t="str">
        <f t="shared" si="2538"/>
        <v/>
      </c>
      <c r="FK155" s="40" t="str">
        <f t="shared" si="2539"/>
        <v/>
      </c>
      <c r="FL155" s="40" t="str">
        <f t="shared" si="2540"/>
        <v/>
      </c>
      <c r="FM155" s="40" t="str">
        <f t="shared" si="2541"/>
        <v/>
      </c>
      <c r="FN155" s="40" t="str">
        <f t="shared" si="2542"/>
        <v/>
      </c>
      <c r="FO155" s="40" t="str">
        <f t="shared" si="2543"/>
        <v/>
      </c>
      <c r="FP155" s="40" t="str">
        <f t="shared" si="2544"/>
        <v/>
      </c>
      <c r="FQ155" s="40" t="str">
        <f t="shared" si="2545"/>
        <v/>
      </c>
      <c r="FR155" s="40" t="str">
        <f t="shared" si="2546"/>
        <v/>
      </c>
      <c r="FS155" s="40" t="str">
        <f t="shared" si="2547"/>
        <v/>
      </c>
    </row>
    <row r="156" spans="1:175" ht="16.5">
      <c r="A156" s="78"/>
      <c r="B156" s="2" t="s">
        <v>431</v>
      </c>
      <c r="C156" s="78" t="s">
        <v>432</v>
      </c>
      <c r="R156" s="35">
        <v>-7794</v>
      </c>
      <c r="S156" s="35">
        <v>195</v>
      </c>
      <c r="T156" s="78" t="s">
        <v>433</v>
      </c>
      <c r="U156" s="51" t="str">
        <f t="shared" si="939"/>
        <v>ReplaceableTextures\\CommandButtons\\BTNIT04.blp</v>
      </c>
      <c r="CN156" s="10" t="str">
        <f t="shared" si="2400"/>
        <v>InitUnitState('IT04',,,,,,,,,,)</v>
      </c>
      <c r="CO156" s="10" t="str">
        <f t="shared" si="2401"/>
        <v>InitUnitNormal('IT04',,,,,,,,,,)</v>
      </c>
      <c r="CP156" s="10" t="str">
        <f t="shared" si="2402"/>
        <v>InitUnitMagic('IT04',,,,,,,,,,)</v>
      </c>
      <c r="CQ156" s="10" t="str">
        <f t="shared" si="2403"/>
        <v>InitUnitAdd('IT04',,,,,,,,,,)</v>
      </c>
      <c r="CR156" s="10" t="str">
        <f t="shared" si="2404"/>
        <v>InitEquipData('IT04',,"",,,,,'','','','','','',"ReplaceableTextures\\CommandButtons\\BTNIT05.blp")</v>
      </c>
      <c r="CU156" s="61" t="str">
        <f t="shared" si="2477"/>
        <v>|n</v>
      </c>
      <c r="CV156" s="3" t="str">
        <f t="shared" si="2548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8"/>
        <v/>
      </c>
      <c r="DC156" s="40" t="str">
        <f t="shared" si="2479"/>
        <v/>
      </c>
      <c r="DD156" s="40" t="str">
        <f t="shared" si="2480"/>
        <v/>
      </c>
      <c r="DE156" s="40" t="str">
        <f t="shared" si="2481"/>
        <v/>
      </c>
      <c r="DF156" s="40" t="str">
        <f t="shared" si="2482"/>
        <v/>
      </c>
      <c r="DG156" s="40" t="str">
        <f t="shared" si="2483"/>
        <v/>
      </c>
      <c r="DH156" s="40" t="str">
        <f t="shared" si="2484"/>
        <v/>
      </c>
      <c r="DI156" s="40" t="str">
        <f t="shared" si="2485"/>
        <v/>
      </c>
      <c r="DJ156" s="40" t="str">
        <f t="shared" si="2486"/>
        <v/>
      </c>
      <c r="DK156" s="40" t="str">
        <f t="shared" si="2487"/>
        <v/>
      </c>
      <c r="DL156" s="40" t="str">
        <f t="shared" si="2488"/>
        <v/>
      </c>
      <c r="DM156" s="40" t="str">
        <f t="shared" si="2489"/>
        <v/>
      </c>
      <c r="DN156" s="40" t="str">
        <f t="shared" si="2490"/>
        <v/>
      </c>
      <c r="DO156" s="40" t="str">
        <f t="shared" si="2491"/>
        <v/>
      </c>
      <c r="DP156" s="40" t="str">
        <f t="shared" si="2492"/>
        <v/>
      </c>
      <c r="DQ156" s="40" t="str">
        <f t="shared" si="2493"/>
        <v/>
      </c>
      <c r="DR156" s="40" t="str">
        <f t="shared" si="2494"/>
        <v/>
      </c>
      <c r="DS156" s="40" t="str">
        <f t="shared" si="2495"/>
        <v/>
      </c>
      <c r="DT156" s="40" t="str">
        <f t="shared" si="2496"/>
        <v/>
      </c>
      <c r="DU156" s="40" t="str">
        <f t="shared" si="2497"/>
        <v/>
      </c>
      <c r="DV156" s="40" t="str">
        <f t="shared" si="2498"/>
        <v/>
      </c>
      <c r="DW156" s="40" t="str">
        <f t="shared" si="2499"/>
        <v/>
      </c>
      <c r="DX156" s="40" t="str">
        <f t="shared" si="2500"/>
        <v/>
      </c>
      <c r="DY156" s="40" t="str">
        <f t="shared" si="2501"/>
        <v/>
      </c>
      <c r="DZ156" s="40" t="str">
        <f t="shared" si="2502"/>
        <v/>
      </c>
      <c r="EA156" s="40" t="str">
        <f t="shared" si="2503"/>
        <v/>
      </c>
      <c r="EB156" s="40" t="str">
        <f t="shared" si="2504"/>
        <v/>
      </c>
      <c r="EC156" s="40" t="str">
        <f t="shared" si="2505"/>
        <v/>
      </c>
      <c r="ED156" s="40" t="str">
        <f t="shared" si="2506"/>
        <v/>
      </c>
      <c r="EE156" s="40" t="str">
        <f t="shared" si="2507"/>
        <v/>
      </c>
      <c r="EF156" s="40" t="str">
        <f t="shared" si="2508"/>
        <v/>
      </c>
      <c r="EG156" s="40" t="str">
        <f t="shared" si="2509"/>
        <v/>
      </c>
      <c r="EH156" s="40" t="str">
        <f t="shared" si="2510"/>
        <v/>
      </c>
      <c r="EI156" s="40" t="str">
        <f t="shared" si="2511"/>
        <v/>
      </c>
      <c r="EJ156" s="40" t="str">
        <f t="shared" si="2512"/>
        <v/>
      </c>
      <c r="EK156" s="40" t="str">
        <f t="shared" si="2513"/>
        <v/>
      </c>
      <c r="EL156" s="40" t="str">
        <f t="shared" si="2514"/>
        <v/>
      </c>
      <c r="EM156" s="40" t="str">
        <f t="shared" si="2515"/>
        <v/>
      </c>
      <c r="EN156" s="40" t="str">
        <f t="shared" si="2516"/>
        <v/>
      </c>
      <c r="EO156" s="40" t="str">
        <f t="shared" si="2517"/>
        <v/>
      </c>
      <c r="EP156" s="40" t="str">
        <f t="shared" si="2518"/>
        <v/>
      </c>
      <c r="EQ156" s="40" t="str">
        <f t="shared" si="2519"/>
        <v/>
      </c>
      <c r="ER156" s="40" t="str">
        <f t="shared" si="2520"/>
        <v/>
      </c>
      <c r="ES156" s="40" t="str">
        <f t="shared" si="2521"/>
        <v/>
      </c>
      <c r="ET156" s="40" t="str">
        <f t="shared" si="2522"/>
        <v/>
      </c>
      <c r="EU156" s="40" t="str">
        <f t="shared" si="2523"/>
        <v/>
      </c>
      <c r="EV156" s="40" t="str">
        <f t="shared" si="2524"/>
        <v/>
      </c>
      <c r="EW156" s="40" t="str">
        <f t="shared" si="2525"/>
        <v/>
      </c>
      <c r="EX156" s="40" t="str">
        <f t="shared" si="2526"/>
        <v/>
      </c>
      <c r="EY156" s="40" t="str">
        <f t="shared" si="2527"/>
        <v/>
      </c>
      <c r="EZ156" s="40" t="str">
        <f t="shared" si="2528"/>
        <v/>
      </c>
      <c r="FA156" s="40" t="str">
        <f t="shared" si="2529"/>
        <v/>
      </c>
      <c r="FB156" s="40" t="str">
        <f t="shared" si="2530"/>
        <v/>
      </c>
      <c r="FC156" s="40" t="str">
        <f t="shared" si="2531"/>
        <v/>
      </c>
      <c r="FD156" s="40" t="str">
        <f t="shared" si="2532"/>
        <v/>
      </c>
      <c r="FE156" s="40" t="str">
        <f t="shared" si="2533"/>
        <v/>
      </c>
      <c r="FF156" s="40" t="str">
        <f t="shared" si="2534"/>
        <v/>
      </c>
      <c r="FG156" s="40" t="str">
        <f t="shared" si="2535"/>
        <v/>
      </c>
      <c r="FH156" s="40" t="str">
        <f t="shared" si="2536"/>
        <v/>
      </c>
      <c r="FI156" s="40" t="str">
        <f t="shared" si="2537"/>
        <v/>
      </c>
      <c r="FJ156" s="40" t="str">
        <f t="shared" si="2538"/>
        <v/>
      </c>
      <c r="FK156" s="40" t="str">
        <f t="shared" si="2539"/>
        <v/>
      </c>
      <c r="FL156" s="40" t="str">
        <f t="shared" si="2540"/>
        <v/>
      </c>
      <c r="FM156" s="40" t="str">
        <f t="shared" si="2541"/>
        <v/>
      </c>
      <c r="FN156" s="40" t="str">
        <f t="shared" si="2542"/>
        <v/>
      </c>
      <c r="FO156" s="40" t="str">
        <f t="shared" si="2543"/>
        <v/>
      </c>
      <c r="FP156" s="40" t="str">
        <f t="shared" si="2544"/>
        <v/>
      </c>
      <c r="FQ156" s="40" t="str">
        <f t="shared" si="2545"/>
        <v/>
      </c>
      <c r="FR156" s="40" t="str">
        <f t="shared" si="2546"/>
        <v/>
      </c>
      <c r="FS156" s="40" t="str">
        <f t="shared" si="2547"/>
        <v/>
      </c>
    </row>
    <row r="157" spans="1:175" ht="16.5">
      <c r="A157" s="78"/>
      <c r="B157" s="2" t="s">
        <v>434</v>
      </c>
      <c r="C157" s="78" t="s">
        <v>435</v>
      </c>
      <c r="R157" s="35">
        <v>-8110</v>
      </c>
      <c r="S157" s="35">
        <v>1810</v>
      </c>
      <c r="T157" s="78" t="s">
        <v>436</v>
      </c>
      <c r="U157" s="51" t="str">
        <f t="shared" si="939"/>
        <v>ReplaceableTextures\\CommandButtons\\BTNIT05.blp</v>
      </c>
      <c r="CN157" s="10" t="str">
        <f t="shared" si="2400"/>
        <v>InitUnitState('IT05',,,,,,,,,,)</v>
      </c>
      <c r="CO157" s="10" t="str">
        <f t="shared" si="2401"/>
        <v>InitUnitNormal('IT05',,,,,,,,,,)</v>
      </c>
      <c r="CP157" s="10" t="str">
        <f t="shared" si="2402"/>
        <v>InitUnitMagic('IT05',,,,,,,,,,)</v>
      </c>
      <c r="CQ157" s="10" t="str">
        <f t="shared" si="2403"/>
        <v>InitUnitAdd('IT05',,,,,,,,,,)</v>
      </c>
      <c r="CR157" s="10" t="str">
        <f t="shared" si="2404"/>
        <v>InitEquipData('IT05',,"",,,,,'','','','','','',"ReplaceableTextures\\CommandButtons\\BTNIT06.blp")</v>
      </c>
      <c r="CU157" s="61" t="str">
        <f t="shared" si="2477"/>
        <v>|n</v>
      </c>
      <c r="CV157" s="3" t="str">
        <f t="shared" si="2548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8"/>
        <v/>
      </c>
      <c r="DC157" s="40" t="str">
        <f t="shared" si="2479"/>
        <v/>
      </c>
      <c r="DD157" s="40" t="str">
        <f t="shared" si="2480"/>
        <v/>
      </c>
      <c r="DE157" s="40" t="str">
        <f t="shared" si="2481"/>
        <v/>
      </c>
      <c r="DF157" s="40" t="str">
        <f t="shared" si="2482"/>
        <v/>
      </c>
      <c r="DG157" s="40" t="str">
        <f t="shared" si="2483"/>
        <v/>
      </c>
      <c r="DH157" s="40" t="str">
        <f t="shared" si="2484"/>
        <v/>
      </c>
      <c r="DI157" s="40" t="str">
        <f t="shared" si="2485"/>
        <v/>
      </c>
      <c r="DJ157" s="40" t="str">
        <f t="shared" si="2486"/>
        <v/>
      </c>
      <c r="DK157" s="40" t="str">
        <f t="shared" si="2487"/>
        <v/>
      </c>
      <c r="DL157" s="40" t="str">
        <f t="shared" si="2488"/>
        <v/>
      </c>
      <c r="DM157" s="40" t="str">
        <f t="shared" si="2489"/>
        <v/>
      </c>
      <c r="DN157" s="40" t="str">
        <f t="shared" si="2490"/>
        <v/>
      </c>
      <c r="DO157" s="40" t="str">
        <f t="shared" si="2491"/>
        <v/>
      </c>
      <c r="DP157" s="40" t="str">
        <f t="shared" si="2492"/>
        <v/>
      </c>
      <c r="DQ157" s="40" t="str">
        <f t="shared" si="2493"/>
        <v/>
      </c>
      <c r="DR157" s="40" t="str">
        <f t="shared" si="2494"/>
        <v/>
      </c>
      <c r="DS157" s="40" t="str">
        <f t="shared" si="2495"/>
        <v/>
      </c>
      <c r="DT157" s="40" t="str">
        <f t="shared" si="2496"/>
        <v/>
      </c>
      <c r="DU157" s="40" t="str">
        <f t="shared" si="2497"/>
        <v/>
      </c>
      <c r="DV157" s="40" t="str">
        <f t="shared" si="2498"/>
        <v/>
      </c>
      <c r="DW157" s="40" t="str">
        <f t="shared" si="2499"/>
        <v/>
      </c>
      <c r="DX157" s="40" t="str">
        <f t="shared" si="2500"/>
        <v/>
      </c>
      <c r="DY157" s="40" t="str">
        <f t="shared" si="2501"/>
        <v/>
      </c>
      <c r="DZ157" s="40" t="str">
        <f t="shared" si="2502"/>
        <v/>
      </c>
      <c r="EA157" s="40" t="str">
        <f t="shared" si="2503"/>
        <v/>
      </c>
      <c r="EB157" s="40" t="str">
        <f t="shared" si="2504"/>
        <v/>
      </c>
      <c r="EC157" s="40" t="str">
        <f t="shared" si="2505"/>
        <v/>
      </c>
      <c r="ED157" s="40" t="str">
        <f t="shared" si="2506"/>
        <v/>
      </c>
      <c r="EE157" s="40" t="str">
        <f t="shared" si="2507"/>
        <v/>
      </c>
      <c r="EF157" s="40" t="str">
        <f t="shared" si="2508"/>
        <v/>
      </c>
      <c r="EG157" s="40" t="str">
        <f t="shared" si="2509"/>
        <v/>
      </c>
      <c r="EH157" s="40" t="str">
        <f t="shared" si="2510"/>
        <v/>
      </c>
      <c r="EI157" s="40" t="str">
        <f t="shared" si="2511"/>
        <v/>
      </c>
      <c r="EJ157" s="40" t="str">
        <f t="shared" si="2512"/>
        <v/>
      </c>
      <c r="EK157" s="40" t="str">
        <f t="shared" si="2513"/>
        <v/>
      </c>
      <c r="EL157" s="40" t="str">
        <f t="shared" si="2514"/>
        <v/>
      </c>
      <c r="EM157" s="40" t="str">
        <f t="shared" si="2515"/>
        <v/>
      </c>
      <c r="EN157" s="40" t="str">
        <f t="shared" si="2516"/>
        <v/>
      </c>
      <c r="EO157" s="40" t="str">
        <f t="shared" si="2517"/>
        <v/>
      </c>
      <c r="EP157" s="40" t="str">
        <f t="shared" si="2518"/>
        <v/>
      </c>
      <c r="EQ157" s="40" t="str">
        <f t="shared" si="2519"/>
        <v/>
      </c>
      <c r="ER157" s="40" t="str">
        <f t="shared" si="2520"/>
        <v/>
      </c>
      <c r="ES157" s="40" t="str">
        <f t="shared" si="2521"/>
        <v/>
      </c>
      <c r="ET157" s="40" t="str">
        <f t="shared" si="2522"/>
        <v/>
      </c>
      <c r="EU157" s="40" t="str">
        <f t="shared" si="2523"/>
        <v/>
      </c>
      <c r="EV157" s="40" t="str">
        <f t="shared" si="2524"/>
        <v/>
      </c>
      <c r="EW157" s="40" t="str">
        <f t="shared" si="2525"/>
        <v/>
      </c>
      <c r="EX157" s="40" t="str">
        <f t="shared" si="2526"/>
        <v/>
      </c>
      <c r="EY157" s="40" t="str">
        <f t="shared" si="2527"/>
        <v/>
      </c>
      <c r="EZ157" s="40" t="str">
        <f t="shared" si="2528"/>
        <v/>
      </c>
      <c r="FA157" s="40" t="str">
        <f t="shared" si="2529"/>
        <v/>
      </c>
      <c r="FB157" s="40" t="str">
        <f t="shared" si="2530"/>
        <v/>
      </c>
      <c r="FC157" s="40" t="str">
        <f t="shared" si="2531"/>
        <v/>
      </c>
      <c r="FD157" s="40" t="str">
        <f t="shared" si="2532"/>
        <v/>
      </c>
      <c r="FE157" s="40" t="str">
        <f t="shared" si="2533"/>
        <v/>
      </c>
      <c r="FF157" s="40" t="str">
        <f t="shared" si="2534"/>
        <v/>
      </c>
      <c r="FG157" s="40" t="str">
        <f t="shared" si="2535"/>
        <v/>
      </c>
      <c r="FH157" s="40" t="str">
        <f t="shared" si="2536"/>
        <v/>
      </c>
      <c r="FI157" s="40" t="str">
        <f t="shared" si="2537"/>
        <v/>
      </c>
      <c r="FJ157" s="40" t="str">
        <f t="shared" si="2538"/>
        <v/>
      </c>
      <c r="FK157" s="40" t="str">
        <f t="shared" si="2539"/>
        <v/>
      </c>
      <c r="FL157" s="40" t="str">
        <f t="shared" si="2540"/>
        <v/>
      </c>
      <c r="FM157" s="40" t="str">
        <f t="shared" si="2541"/>
        <v/>
      </c>
      <c r="FN157" s="40" t="str">
        <f t="shared" si="2542"/>
        <v/>
      </c>
      <c r="FO157" s="40" t="str">
        <f t="shared" si="2543"/>
        <v/>
      </c>
      <c r="FP157" s="40" t="str">
        <f t="shared" si="2544"/>
        <v/>
      </c>
      <c r="FQ157" s="40" t="str">
        <f t="shared" si="2545"/>
        <v/>
      </c>
      <c r="FR157" s="40" t="str">
        <f t="shared" si="2546"/>
        <v/>
      </c>
      <c r="FS157" s="40" t="str">
        <f t="shared" si="2547"/>
        <v/>
      </c>
    </row>
    <row r="158" spans="1:175" ht="16.5">
      <c r="A158" s="78"/>
      <c r="B158" s="2" t="s">
        <v>437</v>
      </c>
      <c r="C158" s="78" t="s">
        <v>438</v>
      </c>
      <c r="R158" s="35">
        <v>-7896</v>
      </c>
      <c r="S158" s="35">
        <v>3839</v>
      </c>
      <c r="T158" s="78" t="s">
        <v>439</v>
      </c>
      <c r="U158" s="51" t="str">
        <f t="shared" si="939"/>
        <v>ReplaceableTextures\\CommandButtons\\BTNIT06.blp</v>
      </c>
      <c r="CN158" s="10" t="str">
        <f t="shared" si="2400"/>
        <v>InitUnitState('IT06',,,,,,,,,,)</v>
      </c>
      <c r="CO158" s="10" t="str">
        <f t="shared" si="2401"/>
        <v>InitUnitNormal('IT06',,,,,,,,,,)</v>
      </c>
      <c r="CP158" s="10" t="str">
        <f t="shared" si="2402"/>
        <v>InitUnitMagic('IT06',,,,,,,,,,)</v>
      </c>
      <c r="CQ158" s="10" t="str">
        <f t="shared" si="2403"/>
        <v>InitUnitAdd('IT06',,,,,,,,,,)</v>
      </c>
      <c r="CR158" s="10" t="str">
        <f t="shared" si="2404"/>
        <v>InitEquipData('IT06',,"",,,,,'','','','','','',"ReplaceableTextures\\CommandButtons\\BTNIT07.blp")</v>
      </c>
      <c r="CU158" s="61" t="str">
        <f t="shared" si="2477"/>
        <v>|n</v>
      </c>
      <c r="CV158" s="3" t="str">
        <f t="shared" si="2548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8"/>
        <v/>
      </c>
      <c r="DC158" s="40" t="str">
        <f t="shared" si="2479"/>
        <v/>
      </c>
      <c r="DD158" s="40" t="str">
        <f t="shared" si="2480"/>
        <v/>
      </c>
      <c r="DE158" s="40" t="str">
        <f t="shared" si="2481"/>
        <v/>
      </c>
      <c r="DF158" s="40" t="str">
        <f t="shared" si="2482"/>
        <v/>
      </c>
      <c r="DG158" s="40" t="str">
        <f t="shared" si="2483"/>
        <v/>
      </c>
      <c r="DH158" s="40" t="str">
        <f t="shared" si="2484"/>
        <v/>
      </c>
      <c r="DI158" s="40" t="str">
        <f t="shared" si="2485"/>
        <v/>
      </c>
      <c r="DJ158" s="40" t="str">
        <f t="shared" si="2486"/>
        <v/>
      </c>
      <c r="DK158" s="40" t="str">
        <f t="shared" si="2487"/>
        <v/>
      </c>
      <c r="DL158" s="40" t="str">
        <f t="shared" si="2488"/>
        <v/>
      </c>
      <c r="DM158" s="40" t="str">
        <f t="shared" si="2489"/>
        <v/>
      </c>
      <c r="DN158" s="40" t="str">
        <f t="shared" si="2490"/>
        <v/>
      </c>
      <c r="DO158" s="40" t="str">
        <f t="shared" si="2491"/>
        <v/>
      </c>
      <c r="DP158" s="40" t="str">
        <f t="shared" si="2492"/>
        <v/>
      </c>
      <c r="DQ158" s="40" t="str">
        <f t="shared" si="2493"/>
        <v/>
      </c>
      <c r="DR158" s="40" t="str">
        <f t="shared" si="2494"/>
        <v/>
      </c>
      <c r="DS158" s="40" t="str">
        <f t="shared" si="2495"/>
        <v/>
      </c>
      <c r="DT158" s="40" t="str">
        <f t="shared" si="2496"/>
        <v/>
      </c>
      <c r="DU158" s="40" t="str">
        <f t="shared" si="2497"/>
        <v/>
      </c>
      <c r="DV158" s="40" t="str">
        <f t="shared" si="2498"/>
        <v/>
      </c>
      <c r="DW158" s="40" t="str">
        <f t="shared" si="2499"/>
        <v/>
      </c>
      <c r="DX158" s="40" t="str">
        <f t="shared" si="2500"/>
        <v/>
      </c>
      <c r="DY158" s="40" t="str">
        <f t="shared" si="2501"/>
        <v/>
      </c>
      <c r="DZ158" s="40" t="str">
        <f t="shared" si="2502"/>
        <v/>
      </c>
      <c r="EA158" s="40" t="str">
        <f t="shared" si="2503"/>
        <v/>
      </c>
      <c r="EB158" s="40" t="str">
        <f t="shared" si="2504"/>
        <v/>
      </c>
      <c r="EC158" s="40" t="str">
        <f t="shared" si="2505"/>
        <v/>
      </c>
      <c r="ED158" s="40" t="str">
        <f t="shared" si="2506"/>
        <v/>
      </c>
      <c r="EE158" s="40" t="str">
        <f t="shared" si="2507"/>
        <v/>
      </c>
      <c r="EF158" s="40" t="str">
        <f t="shared" si="2508"/>
        <v/>
      </c>
      <c r="EG158" s="40" t="str">
        <f t="shared" si="2509"/>
        <v/>
      </c>
      <c r="EH158" s="40" t="str">
        <f t="shared" si="2510"/>
        <v/>
      </c>
      <c r="EI158" s="40" t="str">
        <f t="shared" si="2511"/>
        <v/>
      </c>
      <c r="EJ158" s="40" t="str">
        <f t="shared" si="2512"/>
        <v/>
      </c>
      <c r="EK158" s="40" t="str">
        <f t="shared" si="2513"/>
        <v/>
      </c>
      <c r="EL158" s="40" t="str">
        <f t="shared" si="2514"/>
        <v/>
      </c>
      <c r="EM158" s="40" t="str">
        <f t="shared" si="2515"/>
        <v/>
      </c>
      <c r="EN158" s="40" t="str">
        <f t="shared" si="2516"/>
        <v/>
      </c>
      <c r="EO158" s="40" t="str">
        <f t="shared" si="2517"/>
        <v/>
      </c>
      <c r="EP158" s="40" t="str">
        <f t="shared" si="2518"/>
        <v/>
      </c>
      <c r="EQ158" s="40" t="str">
        <f t="shared" si="2519"/>
        <v/>
      </c>
      <c r="ER158" s="40" t="str">
        <f t="shared" si="2520"/>
        <v/>
      </c>
      <c r="ES158" s="40" t="str">
        <f t="shared" si="2521"/>
        <v/>
      </c>
      <c r="ET158" s="40" t="str">
        <f t="shared" si="2522"/>
        <v/>
      </c>
      <c r="EU158" s="40" t="str">
        <f t="shared" si="2523"/>
        <v/>
      </c>
      <c r="EV158" s="40" t="str">
        <f t="shared" si="2524"/>
        <v/>
      </c>
      <c r="EW158" s="40" t="str">
        <f t="shared" si="2525"/>
        <v/>
      </c>
      <c r="EX158" s="40" t="str">
        <f t="shared" si="2526"/>
        <v/>
      </c>
      <c r="EY158" s="40" t="str">
        <f t="shared" si="2527"/>
        <v/>
      </c>
      <c r="EZ158" s="40" t="str">
        <f t="shared" si="2528"/>
        <v/>
      </c>
      <c r="FA158" s="40" t="str">
        <f t="shared" si="2529"/>
        <v/>
      </c>
      <c r="FB158" s="40" t="str">
        <f t="shared" si="2530"/>
        <v/>
      </c>
      <c r="FC158" s="40" t="str">
        <f t="shared" si="2531"/>
        <v/>
      </c>
      <c r="FD158" s="40" t="str">
        <f t="shared" si="2532"/>
        <v/>
      </c>
      <c r="FE158" s="40" t="str">
        <f t="shared" si="2533"/>
        <v/>
      </c>
      <c r="FF158" s="40" t="str">
        <f t="shared" si="2534"/>
        <v/>
      </c>
      <c r="FG158" s="40" t="str">
        <f t="shared" si="2535"/>
        <v/>
      </c>
      <c r="FH158" s="40" t="str">
        <f t="shared" si="2536"/>
        <v/>
      </c>
      <c r="FI158" s="40" t="str">
        <f t="shared" si="2537"/>
        <v/>
      </c>
      <c r="FJ158" s="40" t="str">
        <f t="shared" si="2538"/>
        <v/>
      </c>
      <c r="FK158" s="40" t="str">
        <f t="shared" si="2539"/>
        <v/>
      </c>
      <c r="FL158" s="40" t="str">
        <f t="shared" si="2540"/>
        <v/>
      </c>
      <c r="FM158" s="40" t="str">
        <f t="shared" si="2541"/>
        <v/>
      </c>
      <c r="FN158" s="40" t="str">
        <f t="shared" si="2542"/>
        <v/>
      </c>
      <c r="FO158" s="40" t="str">
        <f t="shared" si="2543"/>
        <v/>
      </c>
      <c r="FP158" s="40" t="str">
        <f t="shared" si="2544"/>
        <v/>
      </c>
      <c r="FQ158" s="40" t="str">
        <f t="shared" si="2545"/>
        <v/>
      </c>
      <c r="FR158" s="40" t="str">
        <f t="shared" si="2546"/>
        <v/>
      </c>
      <c r="FS158" s="40" t="str">
        <f t="shared" si="2547"/>
        <v/>
      </c>
    </row>
    <row r="159" spans="1:175" ht="16.5">
      <c r="A159" s="78"/>
      <c r="B159" s="2" t="s">
        <v>440</v>
      </c>
      <c r="C159" s="78" t="s">
        <v>441</v>
      </c>
      <c r="R159" s="35">
        <v>-7896</v>
      </c>
      <c r="S159" s="35">
        <v>5906</v>
      </c>
      <c r="T159" s="78" t="s">
        <v>442</v>
      </c>
      <c r="U159" s="51" t="str">
        <f t="shared" si="939"/>
        <v>ReplaceableTextures\\CommandButtons\\BTNIT07.blp</v>
      </c>
      <c r="CN159" s="10" t="str">
        <f t="shared" si="2400"/>
        <v>InitUnitState('IT07',,,,,,,,,,)</v>
      </c>
      <c r="CO159" s="10" t="str">
        <f t="shared" si="2401"/>
        <v>InitUnitNormal('IT07',,,,,,,,,,)</v>
      </c>
      <c r="CP159" s="10" t="str">
        <f t="shared" si="2402"/>
        <v>InitUnitMagic('IT07',,,,,,,,,,)</v>
      </c>
      <c r="CQ159" s="10" t="str">
        <f t="shared" si="2403"/>
        <v>InitUnitAdd('IT07',,,,,,,,,,)</v>
      </c>
      <c r="CR159" s="10" t="str">
        <f t="shared" si="2404"/>
        <v>InitEquipData('IT07',,"",,,,,'','','','','','',"ReplaceableTextures\\CommandButtons\\BTNIT08.blp")</v>
      </c>
      <c r="CU159" s="61" t="str">
        <f t="shared" si="2477"/>
        <v>|n</v>
      </c>
      <c r="CV159" s="3" t="str">
        <f t="shared" si="2548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8"/>
        <v/>
      </c>
      <c r="DC159" s="40" t="str">
        <f t="shared" si="2479"/>
        <v/>
      </c>
      <c r="DD159" s="40" t="str">
        <f t="shared" si="2480"/>
        <v/>
      </c>
      <c r="DE159" s="40" t="str">
        <f t="shared" si="2481"/>
        <v/>
      </c>
      <c r="DF159" s="40" t="str">
        <f t="shared" si="2482"/>
        <v/>
      </c>
      <c r="DG159" s="40" t="str">
        <f t="shared" si="2483"/>
        <v/>
      </c>
      <c r="DH159" s="40" t="str">
        <f t="shared" si="2484"/>
        <v/>
      </c>
      <c r="DI159" s="40" t="str">
        <f t="shared" si="2485"/>
        <v/>
      </c>
      <c r="DJ159" s="40" t="str">
        <f t="shared" si="2486"/>
        <v/>
      </c>
      <c r="DK159" s="40" t="str">
        <f t="shared" si="2487"/>
        <v/>
      </c>
      <c r="DL159" s="40" t="str">
        <f t="shared" si="2488"/>
        <v/>
      </c>
      <c r="DM159" s="40" t="str">
        <f t="shared" si="2489"/>
        <v/>
      </c>
      <c r="DN159" s="40" t="str">
        <f t="shared" si="2490"/>
        <v/>
      </c>
      <c r="DO159" s="40" t="str">
        <f t="shared" si="2491"/>
        <v/>
      </c>
      <c r="DP159" s="40" t="str">
        <f t="shared" si="2492"/>
        <v/>
      </c>
      <c r="DQ159" s="40" t="str">
        <f t="shared" si="2493"/>
        <v/>
      </c>
      <c r="DR159" s="40" t="str">
        <f t="shared" si="2494"/>
        <v/>
      </c>
      <c r="DS159" s="40" t="str">
        <f t="shared" si="2495"/>
        <v/>
      </c>
      <c r="DT159" s="40" t="str">
        <f t="shared" si="2496"/>
        <v/>
      </c>
      <c r="DU159" s="40" t="str">
        <f t="shared" si="2497"/>
        <v/>
      </c>
      <c r="DV159" s="40" t="str">
        <f t="shared" si="2498"/>
        <v/>
      </c>
      <c r="DW159" s="40" t="str">
        <f t="shared" si="2499"/>
        <v/>
      </c>
      <c r="DX159" s="40" t="str">
        <f t="shared" si="2500"/>
        <v/>
      </c>
      <c r="DY159" s="40" t="str">
        <f t="shared" si="2501"/>
        <v/>
      </c>
      <c r="DZ159" s="40" t="str">
        <f t="shared" si="2502"/>
        <v/>
      </c>
      <c r="EA159" s="40" t="str">
        <f t="shared" si="2503"/>
        <v/>
      </c>
      <c r="EB159" s="40" t="str">
        <f t="shared" si="2504"/>
        <v/>
      </c>
      <c r="EC159" s="40" t="str">
        <f t="shared" si="2505"/>
        <v/>
      </c>
      <c r="ED159" s="40" t="str">
        <f t="shared" si="2506"/>
        <v/>
      </c>
      <c r="EE159" s="40" t="str">
        <f t="shared" si="2507"/>
        <v/>
      </c>
      <c r="EF159" s="40" t="str">
        <f t="shared" si="2508"/>
        <v/>
      </c>
      <c r="EG159" s="40" t="str">
        <f t="shared" si="2509"/>
        <v/>
      </c>
      <c r="EH159" s="40" t="str">
        <f t="shared" si="2510"/>
        <v/>
      </c>
      <c r="EI159" s="40" t="str">
        <f t="shared" si="2511"/>
        <v/>
      </c>
      <c r="EJ159" s="40" t="str">
        <f t="shared" si="2512"/>
        <v/>
      </c>
      <c r="EK159" s="40" t="str">
        <f t="shared" si="2513"/>
        <v/>
      </c>
      <c r="EL159" s="40" t="str">
        <f t="shared" si="2514"/>
        <v/>
      </c>
      <c r="EM159" s="40" t="str">
        <f t="shared" si="2515"/>
        <v/>
      </c>
      <c r="EN159" s="40" t="str">
        <f t="shared" si="2516"/>
        <v/>
      </c>
      <c r="EO159" s="40" t="str">
        <f t="shared" si="2517"/>
        <v/>
      </c>
      <c r="EP159" s="40" t="str">
        <f t="shared" si="2518"/>
        <v/>
      </c>
      <c r="EQ159" s="40" t="str">
        <f t="shared" si="2519"/>
        <v/>
      </c>
      <c r="ER159" s="40" t="str">
        <f t="shared" si="2520"/>
        <v/>
      </c>
      <c r="ES159" s="40" t="str">
        <f t="shared" si="2521"/>
        <v/>
      </c>
      <c r="ET159" s="40" t="str">
        <f t="shared" si="2522"/>
        <v/>
      </c>
      <c r="EU159" s="40" t="str">
        <f t="shared" si="2523"/>
        <v/>
      </c>
      <c r="EV159" s="40" t="str">
        <f t="shared" si="2524"/>
        <v/>
      </c>
      <c r="EW159" s="40" t="str">
        <f t="shared" si="2525"/>
        <v/>
      </c>
      <c r="EX159" s="40" t="str">
        <f t="shared" si="2526"/>
        <v/>
      </c>
      <c r="EY159" s="40" t="str">
        <f t="shared" si="2527"/>
        <v/>
      </c>
      <c r="EZ159" s="40" t="str">
        <f t="shared" si="2528"/>
        <v/>
      </c>
      <c r="FA159" s="40" t="str">
        <f t="shared" si="2529"/>
        <v/>
      </c>
      <c r="FB159" s="40" t="str">
        <f t="shared" si="2530"/>
        <v/>
      </c>
      <c r="FC159" s="40" t="str">
        <f t="shared" si="2531"/>
        <v/>
      </c>
      <c r="FD159" s="40" t="str">
        <f t="shared" si="2532"/>
        <v/>
      </c>
      <c r="FE159" s="40" t="str">
        <f t="shared" si="2533"/>
        <v/>
      </c>
      <c r="FF159" s="40" t="str">
        <f t="shared" si="2534"/>
        <v/>
      </c>
      <c r="FG159" s="40" t="str">
        <f t="shared" si="2535"/>
        <v/>
      </c>
      <c r="FH159" s="40" t="str">
        <f t="shared" si="2536"/>
        <v/>
      </c>
      <c r="FI159" s="40" t="str">
        <f t="shared" si="2537"/>
        <v/>
      </c>
      <c r="FJ159" s="40" t="str">
        <f t="shared" si="2538"/>
        <v/>
      </c>
      <c r="FK159" s="40" t="str">
        <f t="shared" si="2539"/>
        <v/>
      </c>
      <c r="FL159" s="40" t="str">
        <f t="shared" si="2540"/>
        <v/>
      </c>
      <c r="FM159" s="40" t="str">
        <f t="shared" si="2541"/>
        <v/>
      </c>
      <c r="FN159" s="40" t="str">
        <f t="shared" si="2542"/>
        <v/>
      </c>
      <c r="FO159" s="40" t="str">
        <f t="shared" si="2543"/>
        <v/>
      </c>
      <c r="FP159" s="40" t="str">
        <f t="shared" si="2544"/>
        <v/>
      </c>
      <c r="FQ159" s="40" t="str">
        <f t="shared" si="2545"/>
        <v/>
      </c>
      <c r="FR159" s="40" t="str">
        <f t="shared" si="2546"/>
        <v/>
      </c>
      <c r="FS159" s="40" t="str">
        <f t="shared" si="2547"/>
        <v/>
      </c>
    </row>
    <row r="160" spans="1:175" ht="16.5">
      <c r="A160" s="78" t="s">
        <v>443</v>
      </c>
      <c r="B160" s="2" t="s">
        <v>444</v>
      </c>
      <c r="C160" s="78" t="s">
        <v>445</v>
      </c>
      <c r="R160" s="35">
        <v>-7970</v>
      </c>
      <c r="S160" s="35">
        <v>7965</v>
      </c>
      <c r="T160" s="78" t="s">
        <v>446</v>
      </c>
      <c r="U160" s="51" t="str">
        <f t="shared" si="939"/>
        <v>ReplaceableTextures\\CommandButtons\\BTNIT08.blp</v>
      </c>
      <c r="CN160" s="10" t="str">
        <f t="shared" si="2400"/>
        <v>InitUnitState('IT08',,,,,,,,,,)</v>
      </c>
      <c r="CO160" s="10" t="str">
        <f t="shared" si="2401"/>
        <v>InitUnitNormal('IT08',,,,,,,,,,)</v>
      </c>
      <c r="CP160" s="10" t="str">
        <f t="shared" si="2402"/>
        <v>InitUnitMagic('IT08',,,,,,,,,,)</v>
      </c>
      <c r="CQ160" s="10" t="str">
        <f t="shared" si="2403"/>
        <v>InitUnitAdd('IT08',,,,,,,,,,)</v>
      </c>
      <c r="CR160" s="10" t="str">
        <f t="shared" si="2404"/>
        <v>InitEquipData('IT08',,".",,,,,'','','','','','',"ReplaceableTextures\\CommandButtons\\BTNIT09.blp")</v>
      </c>
      <c r="CU160" s="61" t="str">
        <f t="shared" si="2477"/>
        <v>|n</v>
      </c>
      <c r="CV160" s="3" t="str">
        <f t="shared" si="2548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8"/>
        <v/>
      </c>
      <c r="DC160" s="40" t="str">
        <f t="shared" si="2479"/>
        <v/>
      </c>
      <c r="DD160" s="40" t="str">
        <f t="shared" si="2480"/>
        <v/>
      </c>
      <c r="DE160" s="40" t="str">
        <f t="shared" si="2481"/>
        <v/>
      </c>
      <c r="DF160" s="40" t="str">
        <f t="shared" si="2482"/>
        <v/>
      </c>
      <c r="DG160" s="40" t="str">
        <f t="shared" si="2483"/>
        <v/>
      </c>
      <c r="DH160" s="40" t="str">
        <f t="shared" si="2484"/>
        <v/>
      </c>
      <c r="DI160" s="40" t="str">
        <f t="shared" si="2485"/>
        <v/>
      </c>
      <c r="DJ160" s="40" t="str">
        <f t="shared" si="2486"/>
        <v/>
      </c>
      <c r="DK160" s="40" t="str">
        <f t="shared" si="2487"/>
        <v/>
      </c>
      <c r="DL160" s="40" t="str">
        <f t="shared" si="2488"/>
        <v/>
      </c>
      <c r="DM160" s="40" t="str">
        <f t="shared" si="2489"/>
        <v/>
      </c>
      <c r="DN160" s="40" t="str">
        <f t="shared" si="2490"/>
        <v/>
      </c>
      <c r="DO160" s="40" t="str">
        <f t="shared" si="2491"/>
        <v/>
      </c>
      <c r="DP160" s="40" t="str">
        <f t="shared" si="2492"/>
        <v/>
      </c>
      <c r="DQ160" s="40" t="str">
        <f t="shared" si="2493"/>
        <v/>
      </c>
      <c r="DR160" s="40" t="str">
        <f t="shared" si="2494"/>
        <v/>
      </c>
      <c r="DS160" s="40" t="str">
        <f t="shared" si="2495"/>
        <v/>
      </c>
      <c r="DT160" s="40" t="str">
        <f t="shared" si="2496"/>
        <v/>
      </c>
      <c r="DU160" s="40" t="str">
        <f t="shared" si="2497"/>
        <v/>
      </c>
      <c r="DV160" s="40" t="str">
        <f t="shared" si="2498"/>
        <v/>
      </c>
      <c r="DW160" s="40" t="str">
        <f t="shared" si="2499"/>
        <v/>
      </c>
      <c r="DX160" s="40" t="str">
        <f t="shared" si="2500"/>
        <v/>
      </c>
      <c r="DY160" s="40" t="str">
        <f t="shared" si="2501"/>
        <v/>
      </c>
      <c r="DZ160" s="40" t="str">
        <f t="shared" si="2502"/>
        <v/>
      </c>
      <c r="EA160" s="40" t="str">
        <f t="shared" si="2503"/>
        <v/>
      </c>
      <c r="EB160" s="40" t="str">
        <f t="shared" si="2504"/>
        <v/>
      </c>
      <c r="EC160" s="40" t="str">
        <f t="shared" si="2505"/>
        <v/>
      </c>
      <c r="ED160" s="40" t="str">
        <f t="shared" si="2506"/>
        <v/>
      </c>
      <c r="EE160" s="40" t="str">
        <f t="shared" si="2507"/>
        <v/>
      </c>
      <c r="EF160" s="40" t="str">
        <f t="shared" si="2508"/>
        <v/>
      </c>
      <c r="EG160" s="40" t="str">
        <f t="shared" si="2509"/>
        <v/>
      </c>
      <c r="EH160" s="40" t="str">
        <f t="shared" si="2510"/>
        <v/>
      </c>
      <c r="EI160" s="40" t="str">
        <f t="shared" si="2511"/>
        <v/>
      </c>
      <c r="EJ160" s="40" t="str">
        <f t="shared" si="2512"/>
        <v/>
      </c>
      <c r="EK160" s="40" t="str">
        <f t="shared" si="2513"/>
        <v/>
      </c>
      <c r="EL160" s="40" t="str">
        <f t="shared" si="2514"/>
        <v/>
      </c>
      <c r="EM160" s="40" t="str">
        <f t="shared" si="2515"/>
        <v/>
      </c>
      <c r="EN160" s="40" t="str">
        <f t="shared" si="2516"/>
        <v/>
      </c>
      <c r="EO160" s="40" t="str">
        <f t="shared" si="2517"/>
        <v/>
      </c>
      <c r="EP160" s="40" t="str">
        <f t="shared" si="2518"/>
        <v/>
      </c>
      <c r="EQ160" s="40" t="str">
        <f t="shared" si="2519"/>
        <v/>
      </c>
      <c r="ER160" s="40" t="str">
        <f t="shared" si="2520"/>
        <v/>
      </c>
      <c r="ES160" s="40" t="str">
        <f t="shared" si="2521"/>
        <v/>
      </c>
      <c r="ET160" s="40" t="str">
        <f t="shared" si="2522"/>
        <v/>
      </c>
      <c r="EU160" s="40" t="str">
        <f t="shared" si="2523"/>
        <v/>
      </c>
      <c r="EV160" s="40" t="str">
        <f t="shared" si="2524"/>
        <v/>
      </c>
      <c r="EW160" s="40" t="str">
        <f t="shared" si="2525"/>
        <v/>
      </c>
      <c r="EX160" s="40" t="str">
        <f t="shared" si="2526"/>
        <v/>
      </c>
      <c r="EY160" s="40" t="str">
        <f t="shared" si="2527"/>
        <v/>
      </c>
      <c r="EZ160" s="40" t="str">
        <f t="shared" si="2528"/>
        <v/>
      </c>
      <c r="FA160" s="40" t="str">
        <f t="shared" si="2529"/>
        <v/>
      </c>
      <c r="FB160" s="40" t="str">
        <f t="shared" si="2530"/>
        <v/>
      </c>
      <c r="FC160" s="40" t="str">
        <f t="shared" si="2531"/>
        <v/>
      </c>
      <c r="FD160" s="40" t="str">
        <f t="shared" si="2532"/>
        <v/>
      </c>
      <c r="FE160" s="40" t="str">
        <f t="shared" si="2533"/>
        <v/>
      </c>
      <c r="FF160" s="40" t="str">
        <f t="shared" si="2534"/>
        <v/>
      </c>
      <c r="FG160" s="40" t="str">
        <f t="shared" si="2535"/>
        <v/>
      </c>
      <c r="FH160" s="40" t="str">
        <f t="shared" si="2536"/>
        <v/>
      </c>
      <c r="FI160" s="40" t="str">
        <f t="shared" si="2537"/>
        <v/>
      </c>
      <c r="FJ160" s="40" t="str">
        <f t="shared" si="2538"/>
        <v/>
      </c>
      <c r="FK160" s="40" t="str">
        <f t="shared" si="2539"/>
        <v/>
      </c>
      <c r="FL160" s="40" t="str">
        <f t="shared" si="2540"/>
        <v/>
      </c>
      <c r="FM160" s="40" t="str">
        <f t="shared" si="2541"/>
        <v/>
      </c>
      <c r="FN160" s="40" t="str">
        <f t="shared" si="2542"/>
        <v/>
      </c>
      <c r="FO160" s="40" t="str">
        <f t="shared" si="2543"/>
        <v/>
      </c>
      <c r="FP160" s="40" t="str">
        <f t="shared" si="2544"/>
        <v/>
      </c>
      <c r="FQ160" s="40" t="str">
        <f t="shared" si="2545"/>
        <v/>
      </c>
      <c r="FR160" s="40" t="str">
        <f t="shared" si="2546"/>
        <v/>
      </c>
      <c r="FS160" s="40" t="str">
        <f t="shared" si="2547"/>
        <v/>
      </c>
    </row>
    <row r="161" spans="1:175" ht="16.5">
      <c r="A161" s="78"/>
      <c r="B161" s="2" t="s">
        <v>447</v>
      </c>
      <c r="C161" s="78" t="s">
        <v>448</v>
      </c>
      <c r="R161" s="35">
        <v>2100</v>
      </c>
      <c r="S161" s="35">
        <v>-5120</v>
      </c>
      <c r="T161" s="78" t="s">
        <v>449</v>
      </c>
      <c r="U161" s="51" t="str">
        <f t="shared" si="939"/>
        <v>ReplaceableTextures\\CommandButtons\\BTNIT09.blp</v>
      </c>
      <c r="CN161" s="10" t="str">
        <f t="shared" si="2400"/>
        <v>InitUnitState('IT09',,,,,,,,,,)</v>
      </c>
      <c r="CO161" s="10" t="str">
        <f t="shared" si="2401"/>
        <v>InitUnitNormal('IT09',,,,,,,,,,)</v>
      </c>
      <c r="CP161" s="10" t="str">
        <f t="shared" si="2402"/>
        <v>InitUnitMagic('IT09',,,,,,,,,,)</v>
      </c>
      <c r="CQ161" s="10" t="str">
        <f t="shared" si="2403"/>
        <v>InitUnitAdd('IT09',,,,,,,,,,)</v>
      </c>
      <c r="CR161" s="10" t="str">
        <f t="shared" si="2404"/>
        <v>InitEquipData('IT09',,"",,,,,'','','','','','',"ReplaceableTextures\\CommandButtons\\BTNIT10.blp")</v>
      </c>
      <c r="CU161" s="61" t="str">
        <f t="shared" si="2477"/>
        <v>|n</v>
      </c>
      <c r="CV161" s="3" t="str">
        <f t="shared" si="2548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8"/>
        <v/>
      </c>
      <c r="DC161" s="40" t="str">
        <f t="shared" si="2479"/>
        <v/>
      </c>
      <c r="DD161" s="40" t="str">
        <f t="shared" si="2480"/>
        <v/>
      </c>
      <c r="DE161" s="40" t="str">
        <f t="shared" si="2481"/>
        <v/>
      </c>
      <c r="DF161" s="40" t="str">
        <f t="shared" si="2482"/>
        <v/>
      </c>
      <c r="DG161" s="40" t="str">
        <f t="shared" si="2483"/>
        <v/>
      </c>
      <c r="DH161" s="40" t="str">
        <f t="shared" si="2484"/>
        <v/>
      </c>
      <c r="DI161" s="40" t="str">
        <f t="shared" si="2485"/>
        <v/>
      </c>
      <c r="DJ161" s="40" t="str">
        <f t="shared" si="2486"/>
        <v/>
      </c>
      <c r="DK161" s="40" t="str">
        <f t="shared" si="2487"/>
        <v/>
      </c>
      <c r="DL161" s="40" t="str">
        <f t="shared" si="2488"/>
        <v/>
      </c>
      <c r="DM161" s="40" t="str">
        <f t="shared" si="2489"/>
        <v/>
      </c>
      <c r="DN161" s="40" t="str">
        <f t="shared" si="2490"/>
        <v/>
      </c>
      <c r="DO161" s="40" t="str">
        <f t="shared" si="2491"/>
        <v/>
      </c>
      <c r="DP161" s="40" t="str">
        <f t="shared" si="2492"/>
        <v/>
      </c>
      <c r="DQ161" s="40" t="str">
        <f t="shared" si="2493"/>
        <v/>
      </c>
      <c r="DR161" s="40" t="str">
        <f t="shared" si="2494"/>
        <v/>
      </c>
      <c r="DS161" s="40" t="str">
        <f t="shared" si="2495"/>
        <v/>
      </c>
      <c r="DT161" s="40" t="str">
        <f t="shared" si="2496"/>
        <v/>
      </c>
      <c r="DU161" s="40" t="str">
        <f t="shared" si="2497"/>
        <v/>
      </c>
      <c r="DV161" s="40" t="str">
        <f t="shared" si="2498"/>
        <v/>
      </c>
      <c r="DW161" s="40" t="str">
        <f t="shared" si="2499"/>
        <v/>
      </c>
      <c r="DX161" s="40" t="str">
        <f t="shared" si="2500"/>
        <v/>
      </c>
      <c r="DY161" s="40" t="str">
        <f t="shared" si="2501"/>
        <v/>
      </c>
      <c r="DZ161" s="40" t="str">
        <f t="shared" si="2502"/>
        <v/>
      </c>
      <c r="EA161" s="40" t="str">
        <f t="shared" si="2503"/>
        <v/>
      </c>
      <c r="EB161" s="40" t="str">
        <f t="shared" si="2504"/>
        <v/>
      </c>
      <c r="EC161" s="40" t="str">
        <f t="shared" si="2505"/>
        <v/>
      </c>
      <c r="ED161" s="40" t="str">
        <f t="shared" si="2506"/>
        <v/>
      </c>
      <c r="EE161" s="40" t="str">
        <f t="shared" si="2507"/>
        <v/>
      </c>
      <c r="EF161" s="40" t="str">
        <f t="shared" si="2508"/>
        <v/>
      </c>
      <c r="EG161" s="40" t="str">
        <f t="shared" si="2509"/>
        <v/>
      </c>
      <c r="EH161" s="40" t="str">
        <f t="shared" si="2510"/>
        <v/>
      </c>
      <c r="EI161" s="40" t="str">
        <f t="shared" si="2511"/>
        <v/>
      </c>
      <c r="EJ161" s="40" t="str">
        <f t="shared" si="2512"/>
        <v/>
      </c>
      <c r="EK161" s="40" t="str">
        <f t="shared" si="2513"/>
        <v/>
      </c>
      <c r="EL161" s="40" t="str">
        <f t="shared" si="2514"/>
        <v/>
      </c>
      <c r="EM161" s="40" t="str">
        <f t="shared" si="2515"/>
        <v/>
      </c>
      <c r="EN161" s="40" t="str">
        <f t="shared" si="2516"/>
        <v/>
      </c>
      <c r="EO161" s="40" t="str">
        <f t="shared" si="2517"/>
        <v/>
      </c>
      <c r="EP161" s="40" t="str">
        <f t="shared" si="2518"/>
        <v/>
      </c>
      <c r="EQ161" s="40" t="str">
        <f t="shared" si="2519"/>
        <v/>
      </c>
      <c r="ER161" s="40" t="str">
        <f t="shared" si="2520"/>
        <v/>
      </c>
      <c r="ES161" s="40" t="str">
        <f t="shared" si="2521"/>
        <v/>
      </c>
      <c r="ET161" s="40" t="str">
        <f t="shared" si="2522"/>
        <v/>
      </c>
      <c r="EU161" s="40" t="str">
        <f t="shared" si="2523"/>
        <v/>
      </c>
      <c r="EV161" s="40" t="str">
        <f t="shared" si="2524"/>
        <v/>
      </c>
      <c r="EW161" s="40" t="str">
        <f t="shared" si="2525"/>
        <v/>
      </c>
      <c r="EX161" s="40" t="str">
        <f t="shared" si="2526"/>
        <v/>
      </c>
      <c r="EY161" s="40" t="str">
        <f t="shared" si="2527"/>
        <v/>
      </c>
      <c r="EZ161" s="40" t="str">
        <f t="shared" si="2528"/>
        <v/>
      </c>
      <c r="FA161" s="40" t="str">
        <f t="shared" si="2529"/>
        <v/>
      </c>
      <c r="FB161" s="40" t="str">
        <f t="shared" si="2530"/>
        <v/>
      </c>
      <c r="FC161" s="40" t="str">
        <f t="shared" si="2531"/>
        <v/>
      </c>
      <c r="FD161" s="40" t="str">
        <f t="shared" si="2532"/>
        <v/>
      </c>
      <c r="FE161" s="40" t="str">
        <f t="shared" si="2533"/>
        <v/>
      </c>
      <c r="FF161" s="40" t="str">
        <f t="shared" si="2534"/>
        <v/>
      </c>
      <c r="FG161" s="40" t="str">
        <f t="shared" si="2535"/>
        <v/>
      </c>
      <c r="FH161" s="40" t="str">
        <f t="shared" si="2536"/>
        <v/>
      </c>
      <c r="FI161" s="40" t="str">
        <f t="shared" si="2537"/>
        <v/>
      </c>
      <c r="FJ161" s="40" t="str">
        <f t="shared" si="2538"/>
        <v/>
      </c>
      <c r="FK161" s="40" t="str">
        <f t="shared" si="2539"/>
        <v/>
      </c>
      <c r="FL161" s="40" t="str">
        <f t="shared" si="2540"/>
        <v/>
      </c>
      <c r="FM161" s="40" t="str">
        <f t="shared" si="2541"/>
        <v/>
      </c>
      <c r="FN161" s="40" t="str">
        <f t="shared" si="2542"/>
        <v/>
      </c>
      <c r="FO161" s="40" t="str">
        <f t="shared" si="2543"/>
        <v/>
      </c>
      <c r="FP161" s="40" t="str">
        <f t="shared" si="2544"/>
        <v/>
      </c>
      <c r="FQ161" s="40" t="str">
        <f t="shared" si="2545"/>
        <v/>
      </c>
      <c r="FR161" s="40" t="str">
        <f t="shared" si="2546"/>
        <v/>
      </c>
      <c r="FS161" s="40" t="str">
        <f t="shared" si="2547"/>
        <v/>
      </c>
    </row>
    <row r="162" spans="1:175" ht="16.5">
      <c r="A162" s="78"/>
      <c r="B162" s="2" t="s">
        <v>450</v>
      </c>
      <c r="C162" s="78" t="s">
        <v>451</v>
      </c>
      <c r="R162" s="35">
        <v>2268</v>
      </c>
      <c r="S162" s="35">
        <v>-8065</v>
      </c>
      <c r="T162" s="78" t="s">
        <v>452</v>
      </c>
      <c r="U162" s="51" t="str">
        <f t="shared" si="939"/>
        <v>ReplaceableTextures\\CommandButtons\\BTNIT10.blp</v>
      </c>
      <c r="CN162" s="10" t="str">
        <f t="shared" si="2400"/>
        <v>InitUnitState('IT10',,,,,,,,,,)</v>
      </c>
      <c r="CO162" s="10" t="str">
        <f t="shared" si="2401"/>
        <v>InitUnitNormal('IT10',,,,,,,,,,)</v>
      </c>
      <c r="CP162" s="10" t="str">
        <f t="shared" si="2402"/>
        <v>InitUnitMagic('IT10',,,,,,,,,,)</v>
      </c>
      <c r="CQ162" s="10" t="str">
        <f t="shared" si="2403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7"/>
        <v>|n</v>
      </c>
      <c r="CV162" s="3" t="str">
        <f t="shared" si="2548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8"/>
        <v/>
      </c>
      <c r="DC162" s="40" t="str">
        <f t="shared" si="2479"/>
        <v/>
      </c>
      <c r="DD162" s="40" t="str">
        <f t="shared" si="2480"/>
        <v/>
      </c>
      <c r="DE162" s="40" t="str">
        <f t="shared" si="2481"/>
        <v/>
      </c>
      <c r="DF162" s="40" t="str">
        <f t="shared" si="2482"/>
        <v/>
      </c>
      <c r="DG162" s="40" t="str">
        <f t="shared" si="2483"/>
        <v/>
      </c>
      <c r="DH162" s="40" t="str">
        <f t="shared" si="2484"/>
        <v/>
      </c>
      <c r="DI162" s="40" t="str">
        <f t="shared" si="2485"/>
        <v/>
      </c>
      <c r="DJ162" s="40" t="str">
        <f t="shared" si="2486"/>
        <v/>
      </c>
      <c r="DK162" s="40" t="str">
        <f t="shared" si="2487"/>
        <v/>
      </c>
      <c r="DL162" s="40" t="str">
        <f t="shared" si="2488"/>
        <v/>
      </c>
      <c r="DM162" s="40" t="str">
        <f t="shared" si="2489"/>
        <v/>
      </c>
      <c r="DN162" s="40" t="str">
        <f t="shared" si="2490"/>
        <v/>
      </c>
      <c r="DO162" s="40" t="str">
        <f t="shared" si="2491"/>
        <v/>
      </c>
      <c r="DP162" s="40" t="str">
        <f t="shared" si="2492"/>
        <v/>
      </c>
      <c r="DQ162" s="40" t="str">
        <f t="shared" si="2493"/>
        <v/>
      </c>
      <c r="DR162" s="40" t="str">
        <f t="shared" si="2494"/>
        <v/>
      </c>
      <c r="DS162" s="40" t="str">
        <f t="shared" si="2495"/>
        <v/>
      </c>
      <c r="DT162" s="40" t="str">
        <f t="shared" si="2496"/>
        <v/>
      </c>
      <c r="DU162" s="40" t="str">
        <f t="shared" si="2497"/>
        <v/>
      </c>
      <c r="DV162" s="40" t="str">
        <f t="shared" si="2498"/>
        <v/>
      </c>
      <c r="DW162" s="40" t="str">
        <f t="shared" si="2499"/>
        <v/>
      </c>
      <c r="DX162" s="40" t="str">
        <f t="shared" si="2500"/>
        <v/>
      </c>
      <c r="DY162" s="40" t="str">
        <f t="shared" si="2501"/>
        <v/>
      </c>
      <c r="DZ162" s="40" t="str">
        <f t="shared" si="2502"/>
        <v/>
      </c>
      <c r="EA162" s="40" t="str">
        <f t="shared" si="2503"/>
        <v/>
      </c>
      <c r="EB162" s="40" t="str">
        <f t="shared" si="2504"/>
        <v/>
      </c>
      <c r="EC162" s="40" t="str">
        <f t="shared" si="2505"/>
        <v/>
      </c>
      <c r="ED162" s="40" t="str">
        <f t="shared" si="2506"/>
        <v/>
      </c>
      <c r="EE162" s="40" t="str">
        <f t="shared" si="2507"/>
        <v/>
      </c>
      <c r="EF162" s="40" t="str">
        <f t="shared" si="2508"/>
        <v/>
      </c>
      <c r="EG162" s="40" t="str">
        <f t="shared" si="2509"/>
        <v/>
      </c>
      <c r="EH162" s="40" t="str">
        <f t="shared" si="2510"/>
        <v/>
      </c>
      <c r="EI162" s="40" t="str">
        <f t="shared" si="2511"/>
        <v/>
      </c>
      <c r="EJ162" s="40" t="str">
        <f t="shared" si="2512"/>
        <v/>
      </c>
      <c r="EK162" s="40" t="str">
        <f t="shared" si="2513"/>
        <v/>
      </c>
      <c r="EL162" s="40" t="str">
        <f t="shared" si="2514"/>
        <v/>
      </c>
      <c r="EM162" s="40" t="str">
        <f t="shared" si="2515"/>
        <v/>
      </c>
      <c r="EN162" s="40" t="str">
        <f t="shared" si="2516"/>
        <v/>
      </c>
      <c r="EO162" s="40" t="str">
        <f t="shared" si="2517"/>
        <v/>
      </c>
      <c r="EP162" s="40" t="str">
        <f t="shared" si="2518"/>
        <v/>
      </c>
      <c r="EQ162" s="40" t="str">
        <f t="shared" si="2519"/>
        <v/>
      </c>
      <c r="ER162" s="40" t="str">
        <f t="shared" si="2520"/>
        <v/>
      </c>
      <c r="ES162" s="40" t="str">
        <f t="shared" si="2521"/>
        <v/>
      </c>
      <c r="ET162" s="40" t="str">
        <f t="shared" si="2522"/>
        <v/>
      </c>
      <c r="EU162" s="40" t="str">
        <f t="shared" si="2523"/>
        <v/>
      </c>
      <c r="EV162" s="40" t="str">
        <f t="shared" si="2524"/>
        <v/>
      </c>
      <c r="EW162" s="40" t="str">
        <f t="shared" si="2525"/>
        <v/>
      </c>
      <c r="EX162" s="40" t="str">
        <f t="shared" si="2526"/>
        <v/>
      </c>
      <c r="EY162" s="40" t="str">
        <f t="shared" si="2527"/>
        <v/>
      </c>
      <c r="EZ162" s="40" t="str">
        <f t="shared" si="2528"/>
        <v/>
      </c>
      <c r="FA162" s="40" t="str">
        <f t="shared" si="2529"/>
        <v/>
      </c>
      <c r="FB162" s="40" t="str">
        <f t="shared" si="2530"/>
        <v/>
      </c>
      <c r="FC162" s="40" t="str">
        <f t="shared" si="2531"/>
        <v/>
      </c>
      <c r="FD162" s="40" t="str">
        <f t="shared" si="2532"/>
        <v/>
      </c>
      <c r="FE162" s="40" t="str">
        <f t="shared" si="2533"/>
        <v/>
      </c>
      <c r="FF162" s="40" t="str">
        <f t="shared" si="2534"/>
        <v/>
      </c>
      <c r="FG162" s="40" t="str">
        <f t="shared" si="2535"/>
        <v/>
      </c>
      <c r="FH162" s="40" t="str">
        <f t="shared" si="2536"/>
        <v/>
      </c>
      <c r="FI162" s="40" t="str">
        <f t="shared" si="2537"/>
        <v/>
      </c>
      <c r="FJ162" s="40" t="str">
        <f t="shared" si="2538"/>
        <v/>
      </c>
      <c r="FK162" s="40" t="str">
        <f t="shared" si="2539"/>
        <v/>
      </c>
      <c r="FL162" s="40" t="str">
        <f t="shared" si="2540"/>
        <v/>
      </c>
      <c r="FM162" s="40" t="str">
        <f t="shared" si="2541"/>
        <v/>
      </c>
      <c r="FN162" s="40" t="str">
        <f t="shared" si="2542"/>
        <v/>
      </c>
      <c r="FO162" s="40" t="str">
        <f t="shared" si="2543"/>
        <v/>
      </c>
      <c r="FP162" s="40" t="str">
        <f t="shared" si="2544"/>
        <v/>
      </c>
      <c r="FQ162" s="40" t="str">
        <f t="shared" si="2545"/>
        <v/>
      </c>
      <c r="FR162" s="40" t="str">
        <f t="shared" si="2546"/>
        <v/>
      </c>
      <c r="FS162" s="40" t="str">
        <f t="shared" si="2547"/>
        <v/>
      </c>
    </row>
    <row r="163" spans="1:175" ht="16.5">
      <c r="A163" s="78" t="s">
        <v>443</v>
      </c>
      <c r="B163" s="2" t="s">
        <v>453</v>
      </c>
      <c r="C163" s="78" t="s">
        <v>454</v>
      </c>
      <c r="T163" s="78" t="s">
        <v>455</v>
      </c>
      <c r="U163" s="51" t="str">
        <f t="shared" si="939"/>
        <v>ReplaceableTextures\\CommandButtons\\BTNIT11.blp</v>
      </c>
      <c r="CN163" s="10" t="str">
        <f t="shared" si="2400"/>
        <v>InitUnitState('IT11',,,,,,,,,,)</v>
      </c>
      <c r="CO163" s="10" t="str">
        <f t="shared" si="2401"/>
        <v>InitUnitNormal('IT11',,,,,,,,,,)</v>
      </c>
      <c r="CP163" s="10" t="str">
        <f t="shared" si="2402"/>
        <v>InitUnitMagic('IT11',,,,,,,,,,)</v>
      </c>
      <c r="CQ163" s="10" t="str">
        <f t="shared" si="2403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50">T163</f>
        <v>境界挑战11</v>
      </c>
      <c r="CW163" s="4"/>
      <c r="CX163" s="4"/>
      <c r="CY163" s="4"/>
      <c r="CZ163" s="4"/>
      <c r="DA163" s="4"/>
      <c r="DB163" s="40" t="str">
        <f t="shared" ref="DB163:DB165" si="2551">IF(V163="","","|n"&amp;DB$2&amp;"+"&amp;V163&amp;DB$1)</f>
        <v/>
      </c>
      <c r="DC163" s="40" t="str">
        <f t="shared" ref="DC163:DC165" si="2552">IF(W163="","","|n"&amp;DC$2&amp;"+"&amp;W163&amp;DC$1)</f>
        <v/>
      </c>
      <c r="DD163" s="40" t="str">
        <f t="shared" ref="DD163:DD165" si="2553">IF(X163="","","|n"&amp;DD$2&amp;"+"&amp;X163&amp;DD$1)</f>
        <v/>
      </c>
      <c r="DE163" s="40" t="str">
        <f t="shared" ref="DE163:DE165" si="2554">IF(Y163="","","|n"&amp;DE$2&amp;"+"&amp;Y163&amp;DE$1)</f>
        <v/>
      </c>
      <c r="DF163" s="40" t="str">
        <f t="shared" ref="DF163:DF165" si="2555">IF(Z163="","","|n"&amp;DF$2&amp;"+"&amp;Z163&amp;DF$1)</f>
        <v/>
      </c>
      <c r="DG163" s="40" t="str">
        <f t="shared" ref="DG163:DG165" si="2556">IF(AA163="","","|n"&amp;DG$2&amp;"+"&amp;AA163&amp;DG$1)</f>
        <v/>
      </c>
      <c r="DH163" s="40" t="str">
        <f t="shared" ref="DH163:DH165" si="2557">IF(AB163="","","|n"&amp;DH$2&amp;"+"&amp;AB163&amp;DH$1)</f>
        <v/>
      </c>
      <c r="DI163" s="40" t="str">
        <f t="shared" ref="DI163:DI165" si="2558">IF(AC163="","","|n"&amp;DI$2&amp;"+"&amp;AC163&amp;DI$1)</f>
        <v/>
      </c>
      <c r="DJ163" s="40" t="str">
        <f t="shared" ref="DJ163:DJ165" si="2559">IF(AD163="","","|n"&amp;DJ$2&amp;"+"&amp;AD163&amp;DJ$1)</f>
        <v/>
      </c>
      <c r="DK163" s="40" t="str">
        <f t="shared" ref="DK163:DK165" si="2560">IF(AE163="","","|n"&amp;DK$2&amp;"+"&amp;AE163&amp;DK$1)</f>
        <v/>
      </c>
      <c r="DL163" s="40" t="str">
        <f t="shared" ref="DL163:DL165" si="2561">IF(AF163="","","|n"&amp;DL$2&amp;"+"&amp;AF163&amp;DL$1)</f>
        <v/>
      </c>
      <c r="DM163" s="40" t="str">
        <f t="shared" ref="DM163:DM165" si="2562">IF(AG163="","","|n"&amp;DM$2&amp;"+"&amp;AG163&amp;DM$1)</f>
        <v/>
      </c>
      <c r="DN163" s="40" t="str">
        <f t="shared" ref="DN163:DN165" si="2563">IF(AH163="","","|n"&amp;DN$2&amp;"+"&amp;AH163&amp;DN$1)</f>
        <v/>
      </c>
      <c r="DO163" s="40" t="str">
        <f t="shared" ref="DO163:DO165" si="2564">IF(AI163="","","|n"&amp;DO$2&amp;"+"&amp;AI163&amp;DO$1)</f>
        <v/>
      </c>
      <c r="DP163" s="40" t="str">
        <f t="shared" ref="DP163:DP165" si="2565">IF(AJ163="","","|n"&amp;DP$2&amp;"+"&amp;AJ163&amp;DP$1)</f>
        <v/>
      </c>
      <c r="DQ163" s="40" t="str">
        <f t="shared" ref="DQ163:DQ165" si="2566">IF(AK163="","","|n"&amp;DQ$2&amp;"+"&amp;AK163&amp;DQ$1)</f>
        <v/>
      </c>
      <c r="DR163" s="40" t="str">
        <f t="shared" ref="DR163:DR165" si="2567">IF(AL163="","","|n"&amp;DR$2&amp;"+"&amp;AL163&amp;DR$1)</f>
        <v/>
      </c>
      <c r="DS163" s="40" t="str">
        <f t="shared" ref="DS163:DS165" si="2568">IF(AM163="","","|n"&amp;DS$2&amp;"+"&amp;AM163&amp;DS$1)</f>
        <v/>
      </c>
      <c r="DT163" s="40" t="str">
        <f t="shared" ref="DT163:DT165" si="2569">IF(AN163="","","|n"&amp;DT$2&amp;"+"&amp;AN163&amp;DT$1)</f>
        <v/>
      </c>
      <c r="DU163" s="40" t="str">
        <f t="shared" ref="DU163:DU165" si="2570">IF(AO163="","","|n"&amp;DU$2&amp;"+"&amp;AO163&amp;DU$1)</f>
        <v/>
      </c>
      <c r="DV163" s="40" t="str">
        <f t="shared" ref="DV163:DV165" si="2571">IF(AP163="","","|n"&amp;DV$2&amp;"+"&amp;AP163&amp;DV$1)</f>
        <v/>
      </c>
      <c r="DW163" s="40" t="str">
        <f t="shared" ref="DW163:DW165" si="2572">IF(AQ163="","","|n"&amp;DW$2&amp;"+"&amp;AQ163&amp;DW$1)</f>
        <v/>
      </c>
      <c r="DX163" s="40" t="str">
        <f t="shared" ref="DX163:DX165" si="2573">IF(AR163="","","|n"&amp;DX$2&amp;"+"&amp;AR163&amp;DX$1)</f>
        <v/>
      </c>
      <c r="DY163" s="40" t="str">
        <f t="shared" ref="DY163:DY165" si="2574">IF(AS163="","","|n"&amp;DY$2&amp;"+"&amp;AS163&amp;DY$1)</f>
        <v/>
      </c>
      <c r="DZ163" s="40" t="str">
        <f t="shared" ref="DZ163:DZ165" si="2575">IF(AT163="","","|n"&amp;DZ$2&amp;"+"&amp;AT163&amp;DZ$1)</f>
        <v/>
      </c>
      <c r="EA163" s="40" t="str">
        <f t="shared" ref="EA163:EA165" si="2576">IF(AU163="","","|n"&amp;EA$2&amp;"+"&amp;AU163&amp;EA$1)</f>
        <v/>
      </c>
      <c r="EB163" s="40" t="str">
        <f t="shared" ref="EB163:EB165" si="2577">IF(AV163="","","|n"&amp;EB$2&amp;"+"&amp;AV163&amp;EB$1)</f>
        <v/>
      </c>
      <c r="EC163" s="40" t="str">
        <f t="shared" ref="EC163:EC165" si="2578">IF(AW163="","","|n"&amp;EC$2&amp;"+"&amp;AW163&amp;EC$1)</f>
        <v/>
      </c>
      <c r="ED163" s="40" t="str">
        <f t="shared" ref="ED163:ED165" si="2579">IF(AX163="","","|n"&amp;ED$2&amp;"+"&amp;AX163&amp;ED$1)</f>
        <v/>
      </c>
      <c r="EE163" s="40" t="str">
        <f t="shared" ref="EE163:EE165" si="2580">IF(AY163="","","|n"&amp;EE$2&amp;"+"&amp;AY163&amp;EE$1)</f>
        <v/>
      </c>
      <c r="EF163" s="40" t="str">
        <f t="shared" ref="EF163:EF165" si="2581">IF(AZ163="","","|n"&amp;EF$2&amp;"+"&amp;AZ163&amp;EF$1)</f>
        <v/>
      </c>
      <c r="EG163" s="40" t="str">
        <f t="shared" ref="EG163:EG165" si="2582">IF(BA163="","","|n"&amp;EG$2&amp;"+"&amp;BA163&amp;EG$1)</f>
        <v/>
      </c>
      <c r="EH163" s="40" t="str">
        <f t="shared" ref="EH163:EH165" si="2583">IF(BB163="","","|n"&amp;EH$2&amp;"+"&amp;BB163&amp;EH$1)</f>
        <v/>
      </c>
      <c r="EI163" s="40" t="str">
        <f t="shared" ref="EI163:EI165" si="2584">IF(BC163="","","|n"&amp;EI$2&amp;"+"&amp;BC163&amp;EI$1)</f>
        <v/>
      </c>
      <c r="EJ163" s="40" t="str">
        <f t="shared" ref="EJ163:EJ165" si="2585">IF(BD163="","","|n"&amp;EJ$2&amp;"+"&amp;BD163&amp;EJ$1)</f>
        <v/>
      </c>
      <c r="EK163" s="40" t="str">
        <f t="shared" ref="EK163:EK165" si="2586">IF(BE163="","","|n"&amp;EK$2&amp;"+"&amp;BE163&amp;EK$1)</f>
        <v/>
      </c>
      <c r="EL163" s="40" t="str">
        <f t="shared" ref="EL163:EL165" si="2587">IF(BF163="","","|n"&amp;EL$2&amp;"+"&amp;BF163&amp;EL$1)</f>
        <v/>
      </c>
      <c r="EM163" s="40" t="str">
        <f t="shared" ref="EM163:EM165" si="2588">IF(BG163="","","|n"&amp;EM$2&amp;"+"&amp;BG163&amp;EM$1)</f>
        <v/>
      </c>
      <c r="EN163" s="40" t="str">
        <f t="shared" ref="EN163:EN165" si="2589">IF(BH163="","","|n"&amp;EN$2&amp;"+"&amp;BH163&amp;EN$1)</f>
        <v/>
      </c>
      <c r="EO163" s="40" t="str">
        <f t="shared" ref="EO163:EO165" si="2590">IF(BI163="","","|n"&amp;EO$2&amp;"+"&amp;BI163&amp;EO$1)</f>
        <v/>
      </c>
      <c r="EP163" s="40" t="str">
        <f t="shared" ref="EP163:EP165" si="2591">IF(BJ163="","","|n"&amp;EP$2&amp;"+"&amp;BJ163&amp;EP$1)</f>
        <v/>
      </c>
      <c r="EQ163" s="40" t="str">
        <f t="shared" ref="EQ163:EQ165" si="2592">IF(BK163="","","|n"&amp;EQ$2&amp;"+"&amp;BK163&amp;EQ$1)</f>
        <v/>
      </c>
      <c r="ER163" s="40" t="str">
        <f t="shared" ref="ER163:ER165" si="2593">IF(BL163="","","|n"&amp;ER$2&amp;"+"&amp;BL163&amp;ER$1)</f>
        <v/>
      </c>
      <c r="ES163" s="40" t="str">
        <f t="shared" ref="ES163:ES165" si="2594">IF(BM163="","","|n"&amp;ES$2&amp;"+"&amp;BM163&amp;ES$1)</f>
        <v/>
      </c>
      <c r="ET163" s="40" t="str">
        <f t="shared" ref="ET163:ET165" si="2595">IF(BN163="","","|n"&amp;ET$2&amp;"+"&amp;BN163&amp;ET$1)</f>
        <v/>
      </c>
      <c r="EU163" s="40" t="str">
        <f t="shared" ref="EU163:EU165" si="2596">IF(BO163="","","|n"&amp;EU$2&amp;"+"&amp;BO163&amp;EU$1)</f>
        <v/>
      </c>
      <c r="EV163" s="40" t="str">
        <f t="shared" ref="EV163:EV165" si="2597">IF(BP163="","","|n"&amp;EV$2&amp;"+"&amp;BP163&amp;EV$1)</f>
        <v/>
      </c>
      <c r="EW163" s="40" t="str">
        <f t="shared" ref="EW163:EW165" si="2598">IF(BQ163="","","|n"&amp;EW$2&amp;"+"&amp;BQ163&amp;EW$1)</f>
        <v/>
      </c>
      <c r="EX163" s="40" t="str">
        <f t="shared" ref="EX163:EX165" si="2599">IF(BR163="","","|n"&amp;EX$2&amp;"+"&amp;BR163&amp;EX$1)</f>
        <v/>
      </c>
      <c r="EY163" s="40" t="str">
        <f t="shared" ref="EY163:EY165" si="2600">IF(BS163="","","|n"&amp;EY$2&amp;"+"&amp;BS163&amp;EY$1)</f>
        <v/>
      </c>
      <c r="EZ163" s="40" t="str">
        <f t="shared" ref="EZ163:EZ165" si="2601">IF(BT163="","","|n"&amp;EZ$2&amp;"+"&amp;BT163&amp;EZ$1)</f>
        <v/>
      </c>
      <c r="FA163" s="40" t="str">
        <f t="shared" ref="FA163:FA165" si="2602">IF(BU163="","","|n"&amp;FA$2&amp;"+"&amp;BU163&amp;FA$1)</f>
        <v/>
      </c>
      <c r="FB163" s="40" t="str">
        <f t="shared" ref="FB163:FB165" si="2603">IF(BV163="","","|n"&amp;FB$2&amp;"+"&amp;BV163&amp;FB$1)</f>
        <v/>
      </c>
      <c r="FC163" s="40" t="str">
        <f t="shared" ref="FC163:FC165" si="2604">IF(BW163="","","|n"&amp;FC$2&amp;"+"&amp;BW163&amp;FC$1)</f>
        <v/>
      </c>
      <c r="FD163" s="40" t="str">
        <f t="shared" ref="FD163:FD165" si="2605">IF(BX163="","","|n"&amp;FD$2&amp;"+"&amp;BX163&amp;FD$1)</f>
        <v/>
      </c>
      <c r="FE163" s="40" t="str">
        <f t="shared" ref="FE163:FE165" si="2606">IF(BY163="","","|n"&amp;FE$2&amp;"+"&amp;BY163&amp;FE$1)</f>
        <v/>
      </c>
      <c r="FF163" s="40" t="str">
        <f t="shared" ref="FF163:FF165" si="2607">IF(BZ163="","","|n"&amp;FF$2&amp;"+"&amp;BZ163&amp;FF$1)</f>
        <v/>
      </c>
      <c r="FG163" s="40" t="str">
        <f t="shared" ref="FG163:FG165" si="2608">IF(CA163="","","|n"&amp;FG$2&amp;"+"&amp;CA163&amp;FG$1)</f>
        <v/>
      </c>
      <c r="FH163" s="40" t="str">
        <f t="shared" ref="FH163:FH165" si="2609">IF(CB163="","","|n"&amp;FH$2&amp;"+"&amp;CB163&amp;FH$1)</f>
        <v/>
      </c>
      <c r="FI163" s="40" t="str">
        <f t="shared" ref="FI163:FI165" si="2610">IF(CC163="","","|n"&amp;FI$2&amp;"+"&amp;CC163&amp;FI$1)</f>
        <v/>
      </c>
      <c r="FJ163" s="40" t="str">
        <f t="shared" ref="FJ163:FJ165" si="2611">IF(CD163="","","|n"&amp;FJ$2&amp;"+"&amp;CD163&amp;FJ$1)</f>
        <v/>
      </c>
      <c r="FK163" s="40" t="str">
        <f t="shared" ref="FK163:FK165" si="2612">IF(CE163="","","|n"&amp;FK$2&amp;"+"&amp;CE163&amp;FK$1)</f>
        <v/>
      </c>
      <c r="FL163" s="40" t="str">
        <f t="shared" ref="FL163:FL165" si="2613">IF(CF163="","","|n"&amp;FL$2&amp;"+"&amp;CF163&amp;FL$1)</f>
        <v/>
      </c>
      <c r="FM163" s="40" t="str">
        <f t="shared" ref="FM163:FM165" si="2614">IF(CG163="","","|n"&amp;FM$2&amp;"+"&amp;CG163&amp;FM$1)</f>
        <v/>
      </c>
      <c r="FN163" s="40" t="str">
        <f t="shared" ref="FN163:FN165" si="2615">IF(CH163="","","|n"&amp;FN$2&amp;"+"&amp;CH163&amp;FN$1)</f>
        <v/>
      </c>
      <c r="FO163" s="40" t="str">
        <f t="shared" ref="FO163:FO165" si="2616">IF(CI163="","","|n"&amp;FO$2&amp;"+"&amp;CI163&amp;FO$1)</f>
        <v/>
      </c>
      <c r="FP163" s="40" t="str">
        <f t="shared" ref="FP163:FP165" si="2617">IF(CJ163="","","|n"&amp;FP$2&amp;"+"&amp;CJ163&amp;FP$1)</f>
        <v/>
      </c>
      <c r="FQ163" s="40" t="str">
        <f t="shared" ref="FQ163:FQ165" si="2618">IF(CK163="","","|n"&amp;FQ$2&amp;"+"&amp;CK163&amp;FQ$1)</f>
        <v/>
      </c>
      <c r="FR163" s="40" t="str">
        <f t="shared" ref="FR163:FR165" si="2619">IF(CL163="","","|n"&amp;FR$2&amp;"+"&amp;CL163&amp;FR$1)</f>
        <v/>
      </c>
      <c r="FS163" s="40" t="str">
        <f t="shared" ref="FS163:FS165" si="2620">IF(CM163="","","|n"&amp;FS$2&amp;"+"&amp;CM163&amp;FS$1)</f>
        <v/>
      </c>
    </row>
    <row r="164" spans="1:175" ht="16.5">
      <c r="A164" s="78"/>
      <c r="B164" s="2" t="s">
        <v>456</v>
      </c>
      <c r="C164" s="78" t="s">
        <v>457</v>
      </c>
      <c r="T164" s="78" t="s">
        <v>458</v>
      </c>
      <c r="U164" s="51" t="str">
        <f t="shared" si="939"/>
        <v>ReplaceableTextures\\CommandButtons\\BTNIT12.blp</v>
      </c>
      <c r="CN164" s="10" t="str">
        <f t="shared" si="2400"/>
        <v>InitUnitState('IT12',,,,,,,,,,)</v>
      </c>
      <c r="CO164" s="10" t="str">
        <f t="shared" si="2401"/>
        <v>InitUnitNormal('IT12',,,,,,,,,,)</v>
      </c>
      <c r="CP164" s="10" t="str">
        <f t="shared" si="2402"/>
        <v>InitUnitMagic('IT12',,,,,,,,,,)</v>
      </c>
      <c r="CQ164" s="10" t="str">
        <f t="shared" si="2403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9"/>
        <v>|n</v>
      </c>
      <c r="CV164" s="3" t="str">
        <f t="shared" si="2550"/>
        <v>境界挑战12</v>
      </c>
      <c r="CW164" s="4"/>
      <c r="CX164" s="4"/>
      <c r="CY164" s="4"/>
      <c r="CZ164" s="4"/>
      <c r="DA164" s="4"/>
      <c r="DB164" s="40" t="str">
        <f t="shared" si="2551"/>
        <v/>
      </c>
      <c r="DC164" s="40" t="str">
        <f t="shared" si="2552"/>
        <v/>
      </c>
      <c r="DD164" s="40" t="str">
        <f t="shared" si="2553"/>
        <v/>
      </c>
      <c r="DE164" s="40" t="str">
        <f t="shared" si="2554"/>
        <v/>
      </c>
      <c r="DF164" s="40" t="str">
        <f t="shared" si="2555"/>
        <v/>
      </c>
      <c r="DG164" s="40" t="str">
        <f t="shared" si="2556"/>
        <v/>
      </c>
      <c r="DH164" s="40" t="str">
        <f t="shared" si="2557"/>
        <v/>
      </c>
      <c r="DI164" s="40" t="str">
        <f t="shared" si="2558"/>
        <v/>
      </c>
      <c r="DJ164" s="40" t="str">
        <f t="shared" si="2559"/>
        <v/>
      </c>
      <c r="DK164" s="40" t="str">
        <f t="shared" si="2560"/>
        <v/>
      </c>
      <c r="DL164" s="40" t="str">
        <f t="shared" si="2561"/>
        <v/>
      </c>
      <c r="DM164" s="40" t="str">
        <f t="shared" si="2562"/>
        <v/>
      </c>
      <c r="DN164" s="40" t="str">
        <f t="shared" si="2563"/>
        <v/>
      </c>
      <c r="DO164" s="40" t="str">
        <f t="shared" si="2564"/>
        <v/>
      </c>
      <c r="DP164" s="40" t="str">
        <f t="shared" si="2565"/>
        <v/>
      </c>
      <c r="DQ164" s="40" t="str">
        <f t="shared" si="2566"/>
        <v/>
      </c>
      <c r="DR164" s="40" t="str">
        <f t="shared" si="2567"/>
        <v/>
      </c>
      <c r="DS164" s="40" t="str">
        <f t="shared" si="2568"/>
        <v/>
      </c>
      <c r="DT164" s="40" t="str">
        <f t="shared" si="2569"/>
        <v/>
      </c>
      <c r="DU164" s="40" t="str">
        <f t="shared" si="2570"/>
        <v/>
      </c>
      <c r="DV164" s="40" t="str">
        <f t="shared" si="2571"/>
        <v/>
      </c>
      <c r="DW164" s="40" t="str">
        <f t="shared" si="2572"/>
        <v/>
      </c>
      <c r="DX164" s="40" t="str">
        <f t="shared" si="2573"/>
        <v/>
      </c>
      <c r="DY164" s="40" t="str">
        <f t="shared" si="2574"/>
        <v/>
      </c>
      <c r="DZ164" s="40" t="str">
        <f t="shared" si="2575"/>
        <v/>
      </c>
      <c r="EA164" s="40" t="str">
        <f t="shared" si="2576"/>
        <v/>
      </c>
      <c r="EB164" s="40" t="str">
        <f t="shared" si="2577"/>
        <v/>
      </c>
      <c r="EC164" s="40" t="str">
        <f t="shared" si="2578"/>
        <v/>
      </c>
      <c r="ED164" s="40" t="str">
        <f t="shared" si="2579"/>
        <v/>
      </c>
      <c r="EE164" s="40" t="str">
        <f t="shared" si="2580"/>
        <v/>
      </c>
      <c r="EF164" s="40" t="str">
        <f t="shared" si="2581"/>
        <v/>
      </c>
      <c r="EG164" s="40" t="str">
        <f t="shared" si="2582"/>
        <v/>
      </c>
      <c r="EH164" s="40" t="str">
        <f t="shared" si="2583"/>
        <v/>
      </c>
      <c r="EI164" s="40" t="str">
        <f t="shared" si="2584"/>
        <v/>
      </c>
      <c r="EJ164" s="40" t="str">
        <f t="shared" si="2585"/>
        <v/>
      </c>
      <c r="EK164" s="40" t="str">
        <f t="shared" si="2586"/>
        <v/>
      </c>
      <c r="EL164" s="40" t="str">
        <f t="shared" si="2587"/>
        <v/>
      </c>
      <c r="EM164" s="40" t="str">
        <f t="shared" si="2588"/>
        <v/>
      </c>
      <c r="EN164" s="40" t="str">
        <f t="shared" si="2589"/>
        <v/>
      </c>
      <c r="EO164" s="40" t="str">
        <f t="shared" si="2590"/>
        <v/>
      </c>
      <c r="EP164" s="40" t="str">
        <f t="shared" si="2591"/>
        <v/>
      </c>
      <c r="EQ164" s="40" t="str">
        <f t="shared" si="2592"/>
        <v/>
      </c>
      <c r="ER164" s="40" t="str">
        <f t="shared" si="2593"/>
        <v/>
      </c>
      <c r="ES164" s="40" t="str">
        <f t="shared" si="2594"/>
        <v/>
      </c>
      <c r="ET164" s="40" t="str">
        <f t="shared" si="2595"/>
        <v/>
      </c>
      <c r="EU164" s="40" t="str">
        <f t="shared" si="2596"/>
        <v/>
      </c>
      <c r="EV164" s="40" t="str">
        <f t="shared" si="2597"/>
        <v/>
      </c>
      <c r="EW164" s="40" t="str">
        <f t="shared" si="2598"/>
        <v/>
      </c>
      <c r="EX164" s="40" t="str">
        <f t="shared" si="2599"/>
        <v/>
      </c>
      <c r="EY164" s="40" t="str">
        <f t="shared" si="2600"/>
        <v/>
      </c>
      <c r="EZ164" s="40" t="str">
        <f t="shared" si="2601"/>
        <v/>
      </c>
      <c r="FA164" s="40" t="str">
        <f t="shared" si="2602"/>
        <v/>
      </c>
      <c r="FB164" s="40" t="str">
        <f t="shared" si="2603"/>
        <v/>
      </c>
      <c r="FC164" s="40" t="str">
        <f t="shared" si="2604"/>
        <v/>
      </c>
      <c r="FD164" s="40" t="str">
        <f t="shared" si="2605"/>
        <v/>
      </c>
      <c r="FE164" s="40" t="str">
        <f t="shared" si="2606"/>
        <v/>
      </c>
      <c r="FF164" s="40" t="str">
        <f t="shared" si="2607"/>
        <v/>
      </c>
      <c r="FG164" s="40" t="str">
        <f t="shared" si="2608"/>
        <v/>
      </c>
      <c r="FH164" s="40" t="str">
        <f t="shared" si="2609"/>
        <v/>
      </c>
      <c r="FI164" s="40" t="str">
        <f t="shared" si="2610"/>
        <v/>
      </c>
      <c r="FJ164" s="40" t="str">
        <f t="shared" si="2611"/>
        <v/>
      </c>
      <c r="FK164" s="40" t="str">
        <f t="shared" si="2612"/>
        <v/>
      </c>
      <c r="FL164" s="40" t="str">
        <f t="shared" si="2613"/>
        <v/>
      </c>
      <c r="FM164" s="40" t="str">
        <f t="shared" si="2614"/>
        <v/>
      </c>
      <c r="FN164" s="40" t="str">
        <f t="shared" si="2615"/>
        <v/>
      </c>
      <c r="FO164" s="40" t="str">
        <f t="shared" si="2616"/>
        <v/>
      </c>
      <c r="FP164" s="40" t="str">
        <f t="shared" si="2617"/>
        <v/>
      </c>
      <c r="FQ164" s="40" t="str">
        <f t="shared" si="2618"/>
        <v/>
      </c>
      <c r="FR164" s="40" t="str">
        <f t="shared" si="2619"/>
        <v/>
      </c>
      <c r="FS164" s="40" t="str">
        <f t="shared" si="2620"/>
        <v/>
      </c>
    </row>
    <row r="165" spans="1:175" ht="16.5">
      <c r="A165" s="78"/>
      <c r="B165" s="2" t="s">
        <v>459</v>
      </c>
      <c r="C165" s="78" t="s">
        <v>460</v>
      </c>
      <c r="T165" s="78" t="s">
        <v>461</v>
      </c>
      <c r="U165" s="51" t="str">
        <f t="shared" si="939"/>
        <v>ReplaceableTextures\\CommandButtons\\BTNIT13.blp</v>
      </c>
      <c r="CN165" s="10" t="str">
        <f t="shared" si="2400"/>
        <v>InitUnitState('IT13',,,,,,,,,,)</v>
      </c>
      <c r="CO165" s="10" t="str">
        <f t="shared" si="2401"/>
        <v>InitUnitNormal('IT13',,,,,,,,,,)</v>
      </c>
      <c r="CP165" s="10" t="str">
        <f t="shared" si="2402"/>
        <v>InitUnitMagic('IT13',,,,,,,,,,)</v>
      </c>
      <c r="CQ165" s="10" t="str">
        <f t="shared" si="2403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9"/>
        <v>|n</v>
      </c>
      <c r="CV165" s="3" t="str">
        <f t="shared" si="2550"/>
        <v>境界挑战13</v>
      </c>
      <c r="CW165" s="4"/>
      <c r="CX165" s="4"/>
      <c r="CY165" s="4"/>
      <c r="CZ165" s="4"/>
      <c r="DA165" s="4"/>
      <c r="DB165" s="40" t="str">
        <f t="shared" si="2551"/>
        <v/>
      </c>
      <c r="DC165" s="40" t="str">
        <f t="shared" si="2552"/>
        <v/>
      </c>
      <c r="DD165" s="40" t="str">
        <f t="shared" si="2553"/>
        <v/>
      </c>
      <c r="DE165" s="40" t="str">
        <f t="shared" si="2554"/>
        <v/>
      </c>
      <c r="DF165" s="40" t="str">
        <f t="shared" si="2555"/>
        <v/>
      </c>
      <c r="DG165" s="40" t="str">
        <f t="shared" si="2556"/>
        <v/>
      </c>
      <c r="DH165" s="40" t="str">
        <f t="shared" si="2557"/>
        <v/>
      </c>
      <c r="DI165" s="40" t="str">
        <f t="shared" si="2558"/>
        <v/>
      </c>
      <c r="DJ165" s="40" t="str">
        <f t="shared" si="2559"/>
        <v/>
      </c>
      <c r="DK165" s="40" t="str">
        <f t="shared" si="2560"/>
        <v/>
      </c>
      <c r="DL165" s="40" t="str">
        <f t="shared" si="2561"/>
        <v/>
      </c>
      <c r="DM165" s="40" t="str">
        <f t="shared" si="2562"/>
        <v/>
      </c>
      <c r="DN165" s="40" t="str">
        <f t="shared" si="2563"/>
        <v/>
      </c>
      <c r="DO165" s="40" t="str">
        <f t="shared" si="2564"/>
        <v/>
      </c>
      <c r="DP165" s="40" t="str">
        <f t="shared" si="2565"/>
        <v/>
      </c>
      <c r="DQ165" s="40" t="str">
        <f t="shared" si="2566"/>
        <v/>
      </c>
      <c r="DR165" s="40" t="str">
        <f t="shared" si="2567"/>
        <v/>
      </c>
      <c r="DS165" s="40" t="str">
        <f t="shared" si="2568"/>
        <v/>
      </c>
      <c r="DT165" s="40" t="str">
        <f t="shared" si="2569"/>
        <v/>
      </c>
      <c r="DU165" s="40" t="str">
        <f t="shared" si="2570"/>
        <v/>
      </c>
      <c r="DV165" s="40" t="str">
        <f t="shared" si="2571"/>
        <v/>
      </c>
      <c r="DW165" s="40" t="str">
        <f t="shared" si="2572"/>
        <v/>
      </c>
      <c r="DX165" s="40" t="str">
        <f t="shared" si="2573"/>
        <v/>
      </c>
      <c r="DY165" s="40" t="str">
        <f t="shared" si="2574"/>
        <v/>
      </c>
      <c r="DZ165" s="40" t="str">
        <f t="shared" si="2575"/>
        <v/>
      </c>
      <c r="EA165" s="40" t="str">
        <f t="shared" si="2576"/>
        <v/>
      </c>
      <c r="EB165" s="40" t="str">
        <f t="shared" si="2577"/>
        <v/>
      </c>
      <c r="EC165" s="40" t="str">
        <f t="shared" si="2578"/>
        <v/>
      </c>
      <c r="ED165" s="40" t="str">
        <f t="shared" si="2579"/>
        <v/>
      </c>
      <c r="EE165" s="40" t="str">
        <f t="shared" si="2580"/>
        <v/>
      </c>
      <c r="EF165" s="40" t="str">
        <f t="shared" si="2581"/>
        <v/>
      </c>
      <c r="EG165" s="40" t="str">
        <f t="shared" si="2582"/>
        <v/>
      </c>
      <c r="EH165" s="40" t="str">
        <f t="shared" si="2583"/>
        <v/>
      </c>
      <c r="EI165" s="40" t="str">
        <f t="shared" si="2584"/>
        <v/>
      </c>
      <c r="EJ165" s="40" t="str">
        <f t="shared" si="2585"/>
        <v/>
      </c>
      <c r="EK165" s="40" t="str">
        <f t="shared" si="2586"/>
        <v/>
      </c>
      <c r="EL165" s="40" t="str">
        <f t="shared" si="2587"/>
        <v/>
      </c>
      <c r="EM165" s="40" t="str">
        <f t="shared" si="2588"/>
        <v/>
      </c>
      <c r="EN165" s="40" t="str">
        <f t="shared" si="2589"/>
        <v/>
      </c>
      <c r="EO165" s="40" t="str">
        <f t="shared" si="2590"/>
        <v/>
      </c>
      <c r="EP165" s="40" t="str">
        <f t="shared" si="2591"/>
        <v/>
      </c>
      <c r="EQ165" s="40" t="str">
        <f t="shared" si="2592"/>
        <v/>
      </c>
      <c r="ER165" s="40" t="str">
        <f t="shared" si="2593"/>
        <v/>
      </c>
      <c r="ES165" s="40" t="str">
        <f t="shared" si="2594"/>
        <v/>
      </c>
      <c r="ET165" s="40" t="str">
        <f t="shared" si="2595"/>
        <v/>
      </c>
      <c r="EU165" s="40" t="str">
        <f t="shared" si="2596"/>
        <v/>
      </c>
      <c r="EV165" s="40" t="str">
        <f t="shared" si="2597"/>
        <v/>
      </c>
      <c r="EW165" s="40" t="str">
        <f t="shared" si="2598"/>
        <v/>
      </c>
      <c r="EX165" s="40" t="str">
        <f t="shared" si="2599"/>
        <v/>
      </c>
      <c r="EY165" s="40" t="str">
        <f t="shared" si="2600"/>
        <v/>
      </c>
      <c r="EZ165" s="40" t="str">
        <f t="shared" si="2601"/>
        <v/>
      </c>
      <c r="FA165" s="40" t="str">
        <f t="shared" si="2602"/>
        <v/>
      </c>
      <c r="FB165" s="40" t="str">
        <f t="shared" si="2603"/>
        <v/>
      </c>
      <c r="FC165" s="40" t="str">
        <f t="shared" si="2604"/>
        <v/>
      </c>
      <c r="FD165" s="40" t="str">
        <f t="shared" si="2605"/>
        <v/>
      </c>
      <c r="FE165" s="40" t="str">
        <f t="shared" si="2606"/>
        <v/>
      </c>
      <c r="FF165" s="40" t="str">
        <f t="shared" si="2607"/>
        <v/>
      </c>
      <c r="FG165" s="40" t="str">
        <f t="shared" si="2608"/>
        <v/>
      </c>
      <c r="FH165" s="40" t="str">
        <f t="shared" si="2609"/>
        <v/>
      </c>
      <c r="FI165" s="40" t="str">
        <f t="shared" si="2610"/>
        <v/>
      </c>
      <c r="FJ165" s="40" t="str">
        <f t="shared" si="2611"/>
        <v/>
      </c>
      <c r="FK165" s="40" t="str">
        <f t="shared" si="2612"/>
        <v/>
      </c>
      <c r="FL165" s="40" t="str">
        <f t="shared" si="2613"/>
        <v/>
      </c>
      <c r="FM165" s="40" t="str">
        <f t="shared" si="2614"/>
        <v/>
      </c>
      <c r="FN165" s="40" t="str">
        <f t="shared" si="2615"/>
        <v/>
      </c>
      <c r="FO165" s="40" t="str">
        <f t="shared" si="2616"/>
        <v/>
      </c>
      <c r="FP165" s="40" t="str">
        <f t="shared" si="2617"/>
        <v/>
      </c>
      <c r="FQ165" s="40" t="str">
        <f t="shared" si="2618"/>
        <v/>
      </c>
      <c r="FR165" s="40" t="str">
        <f t="shared" si="2619"/>
        <v/>
      </c>
      <c r="FS165" s="40" t="str">
        <f t="shared" si="2620"/>
        <v/>
      </c>
    </row>
    <row r="166" spans="1:175" ht="16.5">
      <c r="A166" s="78"/>
      <c r="B166" s="2" t="s">
        <v>462</v>
      </c>
      <c r="C166" s="78" t="s">
        <v>463</v>
      </c>
      <c r="T166" s="78" t="s">
        <v>463</v>
      </c>
      <c r="U166" s="51" t="str">
        <f t="shared" si="939"/>
        <v>ReplaceableTextures\\CommandButtons\\BTNIT14.blp</v>
      </c>
      <c r="CN166" s="10" t="str">
        <f t="shared" si="2400"/>
        <v>InitUnitState('IT14',,,,,,,,,,)</v>
      </c>
      <c r="CO166" s="10" t="str">
        <f t="shared" si="2401"/>
        <v>InitUnitNormal('IT14',,,,,,,,,,)</v>
      </c>
      <c r="CP166" s="10" t="str">
        <f t="shared" si="2402"/>
        <v>InitUnitMagic('IT14',,,,,,,,,,)</v>
      </c>
      <c r="CQ166" s="10" t="str">
        <f t="shared" si="2403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9"/>
        <v>|n</v>
      </c>
      <c r="CV166" s="3" t="str">
        <f t="shared" si="2550"/>
        <v>境界挑战14</v>
      </c>
      <c r="CW166" s="4"/>
      <c r="CX166" s="4"/>
      <c r="CY166" s="4"/>
      <c r="CZ166" s="4"/>
      <c r="DA166" s="4"/>
      <c r="DB166" s="40" t="str">
        <f t="shared" ref="DB166:EG166" si="2621">IF(V166="","","|n"&amp;DB$2&amp;"+"&amp;V166&amp;DB$1)</f>
        <v/>
      </c>
      <c r="DC166" s="40" t="str">
        <f t="shared" si="2621"/>
        <v/>
      </c>
      <c r="DD166" s="40" t="str">
        <f t="shared" si="2621"/>
        <v/>
      </c>
      <c r="DE166" s="40" t="str">
        <f t="shared" si="2621"/>
        <v/>
      </c>
      <c r="DF166" s="40" t="str">
        <f t="shared" si="2621"/>
        <v/>
      </c>
      <c r="DG166" s="40" t="str">
        <f t="shared" si="2621"/>
        <v/>
      </c>
      <c r="DH166" s="40" t="str">
        <f t="shared" si="2621"/>
        <v/>
      </c>
      <c r="DI166" s="40" t="str">
        <f t="shared" si="2621"/>
        <v/>
      </c>
      <c r="DJ166" s="40" t="str">
        <f t="shared" si="2621"/>
        <v/>
      </c>
      <c r="DK166" s="40" t="str">
        <f t="shared" si="2621"/>
        <v/>
      </c>
      <c r="DL166" s="40" t="str">
        <f t="shared" si="2621"/>
        <v/>
      </c>
      <c r="DM166" s="40" t="str">
        <f t="shared" si="2621"/>
        <v/>
      </c>
      <c r="DN166" s="40" t="str">
        <f t="shared" si="2621"/>
        <v/>
      </c>
      <c r="DO166" s="40" t="str">
        <f t="shared" si="2621"/>
        <v/>
      </c>
      <c r="DP166" s="40" t="str">
        <f t="shared" si="2621"/>
        <v/>
      </c>
      <c r="DQ166" s="40" t="str">
        <f t="shared" si="2621"/>
        <v/>
      </c>
      <c r="DR166" s="40" t="str">
        <f t="shared" si="2621"/>
        <v/>
      </c>
      <c r="DS166" s="40" t="str">
        <f t="shared" si="2621"/>
        <v/>
      </c>
      <c r="DT166" s="40" t="str">
        <f t="shared" si="2621"/>
        <v/>
      </c>
      <c r="DU166" s="40" t="str">
        <f t="shared" si="2621"/>
        <v/>
      </c>
      <c r="DV166" s="40" t="str">
        <f t="shared" si="2621"/>
        <v/>
      </c>
      <c r="DW166" s="40" t="str">
        <f t="shared" si="2621"/>
        <v/>
      </c>
      <c r="DX166" s="40" t="str">
        <f t="shared" si="2621"/>
        <v/>
      </c>
      <c r="DY166" s="40" t="str">
        <f t="shared" si="2621"/>
        <v/>
      </c>
      <c r="DZ166" s="40" t="str">
        <f t="shared" si="2621"/>
        <v/>
      </c>
      <c r="EA166" s="40" t="str">
        <f t="shared" si="2621"/>
        <v/>
      </c>
      <c r="EB166" s="40" t="str">
        <f t="shared" si="2621"/>
        <v/>
      </c>
      <c r="EC166" s="40" t="str">
        <f t="shared" si="2621"/>
        <v/>
      </c>
      <c r="ED166" s="40" t="str">
        <f t="shared" si="2621"/>
        <v/>
      </c>
      <c r="EE166" s="40" t="str">
        <f t="shared" si="2621"/>
        <v/>
      </c>
      <c r="EF166" s="40" t="str">
        <f t="shared" si="2621"/>
        <v/>
      </c>
      <c r="EG166" s="40" t="str">
        <f t="shared" si="2621"/>
        <v/>
      </c>
      <c r="EH166" s="40" t="str">
        <f t="shared" ref="EH166:FM166" si="2622">IF(BB166="","","|n"&amp;EH$2&amp;"+"&amp;BB166&amp;EH$1)</f>
        <v/>
      </c>
      <c r="EI166" s="40" t="str">
        <f t="shared" si="2622"/>
        <v/>
      </c>
      <c r="EJ166" s="40" t="str">
        <f t="shared" si="2622"/>
        <v/>
      </c>
      <c r="EK166" s="40" t="str">
        <f t="shared" si="2622"/>
        <v/>
      </c>
      <c r="EL166" s="40" t="str">
        <f t="shared" si="2622"/>
        <v/>
      </c>
      <c r="EM166" s="40" t="str">
        <f t="shared" si="2622"/>
        <v/>
      </c>
      <c r="EN166" s="40" t="str">
        <f t="shared" si="2622"/>
        <v/>
      </c>
      <c r="EO166" s="40" t="str">
        <f t="shared" si="2622"/>
        <v/>
      </c>
      <c r="EP166" s="40" t="str">
        <f t="shared" si="2622"/>
        <v/>
      </c>
      <c r="EQ166" s="40" t="str">
        <f t="shared" si="2622"/>
        <v/>
      </c>
      <c r="ER166" s="40" t="str">
        <f t="shared" si="2622"/>
        <v/>
      </c>
      <c r="ES166" s="40" t="str">
        <f t="shared" si="2622"/>
        <v/>
      </c>
      <c r="ET166" s="40" t="str">
        <f t="shared" si="2622"/>
        <v/>
      </c>
      <c r="EU166" s="40" t="str">
        <f t="shared" si="2622"/>
        <v/>
      </c>
      <c r="EV166" s="40" t="str">
        <f t="shared" si="2622"/>
        <v/>
      </c>
      <c r="EW166" s="40" t="str">
        <f t="shared" si="2622"/>
        <v/>
      </c>
      <c r="EX166" s="40" t="str">
        <f t="shared" si="2622"/>
        <v/>
      </c>
      <c r="EY166" s="40" t="str">
        <f t="shared" si="2622"/>
        <v/>
      </c>
      <c r="EZ166" s="40" t="str">
        <f t="shared" si="2622"/>
        <v/>
      </c>
      <c r="FA166" s="40" t="str">
        <f t="shared" si="2622"/>
        <v/>
      </c>
      <c r="FB166" s="40" t="str">
        <f t="shared" si="2622"/>
        <v/>
      </c>
      <c r="FC166" s="40" t="str">
        <f t="shared" si="2622"/>
        <v/>
      </c>
      <c r="FD166" s="40" t="str">
        <f t="shared" si="2622"/>
        <v/>
      </c>
      <c r="FE166" s="40" t="str">
        <f t="shared" si="2622"/>
        <v/>
      </c>
      <c r="FF166" s="40" t="str">
        <f t="shared" si="2622"/>
        <v/>
      </c>
      <c r="FG166" s="40" t="str">
        <f t="shared" si="2622"/>
        <v/>
      </c>
      <c r="FH166" s="40" t="str">
        <f t="shared" si="2622"/>
        <v/>
      </c>
      <c r="FI166" s="40" t="str">
        <f t="shared" si="2622"/>
        <v/>
      </c>
      <c r="FJ166" s="40" t="str">
        <f t="shared" si="2622"/>
        <v/>
      </c>
      <c r="FK166" s="40" t="str">
        <f t="shared" si="2622"/>
        <v/>
      </c>
      <c r="FL166" s="40" t="str">
        <f t="shared" si="2622"/>
        <v/>
      </c>
      <c r="FM166" s="40" t="str">
        <f t="shared" si="2622"/>
        <v/>
      </c>
      <c r="FN166" s="40" t="str">
        <f t="shared" ref="FN166:FS166" si="2623">IF(CH166="","","|n"&amp;FN$2&amp;"+"&amp;CH166&amp;FN$1)</f>
        <v/>
      </c>
      <c r="FO166" s="40" t="str">
        <f t="shared" si="2623"/>
        <v/>
      </c>
      <c r="FP166" s="40" t="str">
        <f t="shared" si="2623"/>
        <v/>
      </c>
      <c r="FQ166" s="40" t="str">
        <f t="shared" si="2623"/>
        <v/>
      </c>
      <c r="FR166" s="40" t="str">
        <f t="shared" si="2623"/>
        <v/>
      </c>
      <c r="FS166" s="40" t="str">
        <f t="shared" si="2623"/>
        <v/>
      </c>
    </row>
    <row r="167" spans="1:175" s="34" customFormat="1" ht="16.5">
      <c r="A167" s="78"/>
      <c r="B167" s="2" t="s">
        <v>464</v>
      </c>
      <c r="C167" s="78" t="s">
        <v>465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466</v>
      </c>
      <c r="U167" s="51" t="str">
        <f t="shared" si="939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400"/>
        <v>InitUnitState('IZ01',,,,,,,,,,)</v>
      </c>
      <c r="CO167" s="89" t="str">
        <f t="shared" si="2401"/>
        <v>InitUnitNormal('IZ01',,,,,,,,,,)</v>
      </c>
      <c r="CP167" s="89" t="str">
        <f t="shared" si="2402"/>
        <v>InitUnitMagic('IZ01',,,,,,,,,,)</v>
      </c>
      <c r="CQ167" s="89" t="str">
        <f t="shared" si="2403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9"/>
        <v>|n</v>
      </c>
      <c r="CV167" s="34" t="str">
        <f t="shared" si="2550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4">IF(V167="","","|n"&amp;DB$2&amp;"+"&amp;V167&amp;DB$1)</f>
        <v/>
      </c>
      <c r="DC167" s="90" t="str">
        <f t="shared" si="2624"/>
        <v/>
      </c>
      <c r="DD167" s="90" t="str">
        <f t="shared" si="2624"/>
        <v/>
      </c>
      <c r="DE167" s="90" t="str">
        <f t="shared" si="2624"/>
        <v/>
      </c>
      <c r="DF167" s="90" t="str">
        <f t="shared" si="2624"/>
        <v/>
      </c>
      <c r="DG167" s="90" t="str">
        <f t="shared" si="2624"/>
        <v/>
      </c>
      <c r="DH167" s="90" t="str">
        <f t="shared" si="2624"/>
        <v/>
      </c>
      <c r="DI167" s="90" t="str">
        <f t="shared" si="2624"/>
        <v/>
      </c>
      <c r="DJ167" s="90" t="str">
        <f t="shared" si="2624"/>
        <v/>
      </c>
      <c r="DK167" s="90" t="str">
        <f t="shared" si="2624"/>
        <v/>
      </c>
      <c r="DL167" s="90" t="str">
        <f t="shared" si="2624"/>
        <v/>
      </c>
      <c r="DM167" s="90" t="str">
        <f t="shared" si="2624"/>
        <v/>
      </c>
      <c r="DN167" s="90" t="str">
        <f t="shared" si="2624"/>
        <v/>
      </c>
      <c r="DO167" s="90" t="str">
        <f t="shared" si="2624"/>
        <v/>
      </c>
      <c r="DP167" s="90" t="str">
        <f t="shared" si="2624"/>
        <v/>
      </c>
      <c r="DQ167" s="90" t="str">
        <f t="shared" si="2624"/>
        <v/>
      </c>
      <c r="DR167" s="90" t="str">
        <f t="shared" si="2624"/>
        <v/>
      </c>
      <c r="DS167" s="90" t="str">
        <f t="shared" si="2624"/>
        <v/>
      </c>
      <c r="DT167" s="90" t="str">
        <f t="shared" si="2624"/>
        <v/>
      </c>
      <c r="DU167" s="90" t="str">
        <f t="shared" si="2624"/>
        <v/>
      </c>
      <c r="DV167" s="90" t="str">
        <f t="shared" si="2624"/>
        <v/>
      </c>
      <c r="DW167" s="90" t="str">
        <f t="shared" si="2624"/>
        <v/>
      </c>
      <c r="DX167" s="90" t="str">
        <f t="shared" si="2624"/>
        <v/>
      </c>
      <c r="DY167" s="90" t="str">
        <f t="shared" si="2624"/>
        <v/>
      </c>
      <c r="DZ167" s="90" t="str">
        <f t="shared" si="2624"/>
        <v/>
      </c>
      <c r="EA167" s="90" t="str">
        <f t="shared" si="2624"/>
        <v/>
      </c>
      <c r="EB167" s="90" t="str">
        <f t="shared" si="2624"/>
        <v/>
      </c>
      <c r="EC167" s="90" t="str">
        <f t="shared" si="2624"/>
        <v/>
      </c>
      <c r="ED167" s="90" t="str">
        <f t="shared" si="2624"/>
        <v/>
      </c>
      <c r="EE167" s="90" t="str">
        <f t="shared" si="2624"/>
        <v/>
      </c>
      <c r="EF167" s="90" t="str">
        <f t="shared" si="2624"/>
        <v/>
      </c>
      <c r="EG167" s="90" t="str">
        <f t="shared" si="2624"/>
        <v/>
      </c>
      <c r="EH167" s="90" t="str">
        <f t="shared" si="2624"/>
        <v/>
      </c>
      <c r="EI167" s="90" t="str">
        <f t="shared" si="2624"/>
        <v/>
      </c>
      <c r="EJ167" s="90" t="str">
        <f t="shared" si="2624"/>
        <v/>
      </c>
      <c r="EK167" s="90" t="str">
        <f t="shared" si="2624"/>
        <v/>
      </c>
      <c r="EL167" s="90" t="str">
        <f t="shared" si="2624"/>
        <v/>
      </c>
      <c r="EM167" s="90" t="str">
        <f t="shared" si="2624"/>
        <v/>
      </c>
      <c r="EN167" s="90" t="str">
        <f t="shared" si="2624"/>
        <v/>
      </c>
      <c r="EO167" s="90" t="str">
        <f t="shared" si="2624"/>
        <v/>
      </c>
      <c r="EP167" s="90" t="str">
        <f t="shared" si="2624"/>
        <v/>
      </c>
      <c r="EQ167" s="90" t="str">
        <f t="shared" si="2624"/>
        <v/>
      </c>
      <c r="ER167" s="90" t="str">
        <f t="shared" si="2624"/>
        <v/>
      </c>
      <c r="ES167" s="90" t="str">
        <f t="shared" si="2624"/>
        <v/>
      </c>
      <c r="ET167" s="90" t="str">
        <f t="shared" si="2624"/>
        <v/>
      </c>
      <c r="EU167" s="90" t="str">
        <f t="shared" si="2624"/>
        <v/>
      </c>
      <c r="EV167" s="90" t="str">
        <f t="shared" si="2624"/>
        <v/>
      </c>
      <c r="EW167" s="90" t="str">
        <f t="shared" si="2624"/>
        <v/>
      </c>
      <c r="EX167" s="90" t="str">
        <f t="shared" si="2624"/>
        <v/>
      </c>
      <c r="EY167" s="90" t="str">
        <f t="shared" si="2624"/>
        <v/>
      </c>
      <c r="EZ167" s="90" t="str">
        <f t="shared" si="2624"/>
        <v/>
      </c>
      <c r="FA167" s="90" t="str">
        <f t="shared" si="2624"/>
        <v/>
      </c>
      <c r="FB167" s="90" t="str">
        <f t="shared" si="2624"/>
        <v/>
      </c>
      <c r="FC167" s="90" t="str">
        <f t="shared" si="2624"/>
        <v/>
      </c>
      <c r="FD167" s="90" t="str">
        <f t="shared" si="2624"/>
        <v/>
      </c>
      <c r="FE167" s="90" t="str">
        <f t="shared" si="2624"/>
        <v/>
      </c>
      <c r="FF167" s="90" t="str">
        <f t="shared" si="2624"/>
        <v/>
      </c>
      <c r="FG167" s="90" t="str">
        <f t="shared" si="2624"/>
        <v/>
      </c>
      <c r="FH167" s="90" t="str">
        <f t="shared" si="2624"/>
        <v/>
      </c>
      <c r="FI167" s="90" t="str">
        <f t="shared" si="2624"/>
        <v/>
      </c>
      <c r="FJ167" s="90" t="str">
        <f t="shared" si="2624"/>
        <v/>
      </c>
      <c r="FK167" s="90" t="str">
        <f t="shared" si="2624"/>
        <v/>
      </c>
      <c r="FL167" s="90" t="str">
        <f t="shared" si="2624"/>
        <v/>
      </c>
      <c r="FM167" s="90" t="str">
        <f t="shared" si="2624"/>
        <v/>
      </c>
      <c r="FN167" s="90" t="str">
        <f t="shared" ref="FN167:FS167" si="2625">IF(CH167="","","|n"&amp;FN$2&amp;"+"&amp;CH167&amp;FN$1)</f>
        <v/>
      </c>
      <c r="FO167" s="90" t="str">
        <f t="shared" si="2625"/>
        <v/>
      </c>
      <c r="FP167" s="90" t="str">
        <f t="shared" si="2625"/>
        <v/>
      </c>
      <c r="FQ167" s="90" t="str">
        <f t="shared" si="2625"/>
        <v/>
      </c>
      <c r="FR167" s="90" t="str">
        <f t="shared" si="2625"/>
        <v/>
      </c>
      <c r="FS167" s="90" t="str">
        <f t="shared" si="2625"/>
        <v/>
      </c>
    </row>
    <row r="168" spans="1:175" ht="16.5">
      <c r="A168" s="78"/>
      <c r="B168" s="2" t="s">
        <v>467</v>
      </c>
      <c r="C168" s="78" t="s">
        <v>624</v>
      </c>
      <c r="T168" s="78" t="s">
        <v>624</v>
      </c>
      <c r="U168" s="51" t="s">
        <v>633</v>
      </c>
      <c r="CN168" s="10" t="str">
        <f t="shared" si="2400"/>
        <v>InitUnitState('IS01',,,,,,,,,,)</v>
      </c>
      <c r="CO168" s="10" t="str">
        <f t="shared" si="2401"/>
        <v>InitUnitNormal('IS01',,,,,,,,,,)</v>
      </c>
      <c r="CP168" s="10" t="str">
        <f t="shared" si="2402"/>
        <v>InitUnitMagic('IS01',,,,,,,,,,)</v>
      </c>
      <c r="CQ168" s="10" t="str">
        <f t="shared" si="2403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9"/>
        <v>|n</v>
      </c>
      <c r="CV168" s="3" t="str">
        <f t="shared" si="2550"/>
        <v>抽技能Q</v>
      </c>
      <c r="CW168" s="4"/>
      <c r="CX168" s="4"/>
      <c r="CY168" s="4"/>
      <c r="CZ168" s="4"/>
      <c r="DA168" s="4"/>
      <c r="DB168" s="40" t="str">
        <f t="shared" ref="DB168:DK169" si="2626">IF(V168="","","|n"&amp;DB$2&amp;"+"&amp;V168&amp;DB$1)</f>
        <v/>
      </c>
      <c r="DC168" s="40" t="str">
        <f t="shared" si="2626"/>
        <v/>
      </c>
      <c r="DD168" s="40" t="str">
        <f t="shared" si="2626"/>
        <v/>
      </c>
      <c r="DE168" s="40" t="str">
        <f t="shared" si="2626"/>
        <v/>
      </c>
      <c r="DF168" s="40" t="str">
        <f t="shared" si="2626"/>
        <v/>
      </c>
      <c r="DG168" s="40" t="str">
        <f t="shared" si="2626"/>
        <v/>
      </c>
      <c r="DH168" s="40" t="str">
        <f t="shared" si="2626"/>
        <v/>
      </c>
      <c r="DI168" s="40" t="str">
        <f t="shared" si="2626"/>
        <v/>
      </c>
      <c r="DJ168" s="40" t="str">
        <f t="shared" si="2626"/>
        <v/>
      </c>
      <c r="DK168" s="40" t="str">
        <f t="shared" si="2626"/>
        <v/>
      </c>
      <c r="DL168" s="40" t="str">
        <f t="shared" ref="DL168:DU169" si="2627">IF(AF168="","","|n"&amp;DL$2&amp;"+"&amp;AF168&amp;DL$1)</f>
        <v/>
      </c>
      <c r="DM168" s="40" t="str">
        <f t="shared" si="2627"/>
        <v/>
      </c>
      <c r="DN168" s="40" t="str">
        <f t="shared" si="2627"/>
        <v/>
      </c>
      <c r="DO168" s="40" t="str">
        <f t="shared" si="2627"/>
        <v/>
      </c>
      <c r="DP168" s="40" t="str">
        <f t="shared" si="2627"/>
        <v/>
      </c>
      <c r="DQ168" s="40" t="str">
        <f t="shared" si="2627"/>
        <v/>
      </c>
      <c r="DR168" s="40" t="str">
        <f t="shared" si="2627"/>
        <v/>
      </c>
      <c r="DS168" s="40" t="str">
        <f t="shared" si="2627"/>
        <v/>
      </c>
      <c r="DT168" s="40" t="str">
        <f t="shared" si="2627"/>
        <v/>
      </c>
      <c r="DU168" s="40" t="str">
        <f t="shared" si="2627"/>
        <v/>
      </c>
      <c r="DV168" s="40" t="str">
        <f t="shared" ref="DV168:EE169" si="2628">IF(AP168="","","|n"&amp;DV$2&amp;"+"&amp;AP168&amp;DV$1)</f>
        <v/>
      </c>
      <c r="DW168" s="40" t="str">
        <f t="shared" si="2628"/>
        <v/>
      </c>
      <c r="DX168" s="40" t="str">
        <f t="shared" si="2628"/>
        <v/>
      </c>
      <c r="DY168" s="40" t="str">
        <f t="shared" si="2628"/>
        <v/>
      </c>
      <c r="DZ168" s="40" t="str">
        <f t="shared" si="2628"/>
        <v/>
      </c>
      <c r="EA168" s="40" t="str">
        <f t="shared" si="2628"/>
        <v/>
      </c>
      <c r="EB168" s="40" t="str">
        <f t="shared" si="2628"/>
        <v/>
      </c>
      <c r="EC168" s="40" t="str">
        <f t="shared" si="2628"/>
        <v/>
      </c>
      <c r="ED168" s="40" t="str">
        <f t="shared" si="2628"/>
        <v/>
      </c>
      <c r="EE168" s="40" t="str">
        <f t="shared" si="2628"/>
        <v/>
      </c>
      <c r="EF168" s="40" t="str">
        <f t="shared" ref="EF168:EO169" si="2629">IF(AZ168="","","|n"&amp;EF$2&amp;"+"&amp;AZ168&amp;EF$1)</f>
        <v/>
      </c>
      <c r="EG168" s="40" t="str">
        <f t="shared" si="2629"/>
        <v/>
      </c>
      <c r="EH168" s="40" t="str">
        <f t="shared" si="2629"/>
        <v/>
      </c>
      <c r="EI168" s="40" t="str">
        <f t="shared" si="2629"/>
        <v/>
      </c>
      <c r="EJ168" s="40" t="str">
        <f t="shared" si="2629"/>
        <v/>
      </c>
      <c r="EK168" s="40" t="str">
        <f t="shared" si="2629"/>
        <v/>
      </c>
      <c r="EL168" s="40" t="str">
        <f t="shared" si="2629"/>
        <v/>
      </c>
      <c r="EM168" s="40" t="str">
        <f t="shared" si="2629"/>
        <v/>
      </c>
      <c r="EN168" s="40" t="str">
        <f t="shared" si="2629"/>
        <v/>
      </c>
      <c r="EO168" s="40" t="str">
        <f t="shared" si="2629"/>
        <v/>
      </c>
      <c r="EP168" s="40" t="str">
        <f t="shared" ref="EP168:EY169" si="2630">IF(BJ168="","","|n"&amp;EP$2&amp;"+"&amp;BJ168&amp;EP$1)</f>
        <v/>
      </c>
      <c r="EQ168" s="40" t="str">
        <f t="shared" si="2630"/>
        <v/>
      </c>
      <c r="ER168" s="40" t="str">
        <f t="shared" si="2630"/>
        <v/>
      </c>
      <c r="ES168" s="40" t="str">
        <f t="shared" si="2630"/>
        <v/>
      </c>
      <c r="ET168" s="40" t="str">
        <f t="shared" si="2630"/>
        <v/>
      </c>
      <c r="EU168" s="40" t="str">
        <f t="shared" si="2630"/>
        <v/>
      </c>
      <c r="EV168" s="40" t="str">
        <f t="shared" si="2630"/>
        <v/>
      </c>
      <c r="EW168" s="40" t="str">
        <f t="shared" si="2630"/>
        <v/>
      </c>
      <c r="EX168" s="40" t="str">
        <f t="shared" si="2630"/>
        <v/>
      </c>
      <c r="EY168" s="40" t="str">
        <f t="shared" si="2630"/>
        <v/>
      </c>
      <c r="EZ168" s="40" t="str">
        <f t="shared" ref="EZ168:FI169" si="2631">IF(BT168="","","|n"&amp;EZ$2&amp;"+"&amp;BT168&amp;EZ$1)</f>
        <v/>
      </c>
      <c r="FA168" s="40" t="str">
        <f t="shared" si="2631"/>
        <v/>
      </c>
      <c r="FB168" s="40" t="str">
        <f t="shared" si="2631"/>
        <v/>
      </c>
      <c r="FC168" s="40" t="str">
        <f t="shared" si="2631"/>
        <v/>
      </c>
      <c r="FD168" s="40" t="str">
        <f t="shared" si="2631"/>
        <v/>
      </c>
      <c r="FE168" s="40" t="str">
        <f t="shared" si="2631"/>
        <v/>
      </c>
      <c r="FF168" s="40" t="str">
        <f t="shared" si="2631"/>
        <v/>
      </c>
      <c r="FG168" s="40" t="str">
        <f t="shared" si="2631"/>
        <v/>
      </c>
      <c r="FH168" s="40" t="str">
        <f t="shared" si="2631"/>
        <v/>
      </c>
      <c r="FI168" s="40" t="str">
        <f t="shared" si="2631"/>
        <v/>
      </c>
      <c r="FJ168" s="40" t="str">
        <f t="shared" ref="FJ168:FS169" si="2632">IF(CD168="","","|n"&amp;FJ$2&amp;"+"&amp;CD168&amp;FJ$1)</f>
        <v/>
      </c>
      <c r="FK168" s="40" t="str">
        <f t="shared" si="2632"/>
        <v/>
      </c>
      <c r="FL168" s="40" t="str">
        <f t="shared" si="2632"/>
        <v/>
      </c>
      <c r="FM168" s="40" t="str">
        <f t="shared" si="2632"/>
        <v/>
      </c>
      <c r="FN168" s="40" t="str">
        <f t="shared" si="2632"/>
        <v/>
      </c>
      <c r="FO168" s="40" t="str">
        <f t="shared" si="2632"/>
        <v/>
      </c>
      <c r="FP168" s="40" t="str">
        <f t="shared" si="2632"/>
        <v/>
      </c>
      <c r="FQ168" s="40" t="str">
        <f t="shared" si="2632"/>
        <v/>
      </c>
      <c r="FR168" s="40" t="str">
        <f t="shared" si="2632"/>
        <v/>
      </c>
      <c r="FS168" s="40" t="str">
        <f t="shared" si="2632"/>
        <v/>
      </c>
    </row>
    <row r="169" spans="1:175" ht="16.5">
      <c r="A169" s="78"/>
      <c r="B169" s="2" t="s">
        <v>468</v>
      </c>
      <c r="C169" s="78" t="s">
        <v>625</v>
      </c>
      <c r="T169" s="78" t="s">
        <v>625</v>
      </c>
      <c r="U169" s="51" t="s">
        <v>634</v>
      </c>
      <c r="CN169" s="10" t="str">
        <f t="shared" si="2400"/>
        <v>InitUnitState('IS02',,,,,,,,,,)</v>
      </c>
      <c r="CO169" s="10" t="str">
        <f t="shared" si="2401"/>
        <v>InitUnitNormal('IS02',,,,,,,,,,)</v>
      </c>
      <c r="CP169" s="10" t="str">
        <f t="shared" si="2402"/>
        <v>InitUnitMagic('IS02',,,,,,,,,,)</v>
      </c>
      <c r="CQ169" s="10" t="str">
        <f t="shared" si="2403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9"/>
        <v>|n</v>
      </c>
      <c r="CV169" s="3" t="str">
        <f t="shared" si="2550"/>
        <v>抽技能W</v>
      </c>
      <c r="CW169" s="4"/>
      <c r="CX169" s="4"/>
      <c r="CY169" s="4"/>
      <c r="CZ169" s="4"/>
      <c r="DA169" s="4"/>
      <c r="DB169" s="40" t="str">
        <f t="shared" si="2626"/>
        <v/>
      </c>
      <c r="DC169" s="40" t="str">
        <f t="shared" si="2626"/>
        <v/>
      </c>
      <c r="DD169" s="40" t="str">
        <f t="shared" si="2626"/>
        <v/>
      </c>
      <c r="DE169" s="40" t="str">
        <f t="shared" si="2626"/>
        <v/>
      </c>
      <c r="DF169" s="40" t="str">
        <f t="shared" si="2626"/>
        <v/>
      </c>
      <c r="DG169" s="40" t="str">
        <f t="shared" si="2626"/>
        <v/>
      </c>
      <c r="DH169" s="40" t="str">
        <f t="shared" si="2626"/>
        <v/>
      </c>
      <c r="DI169" s="40" t="str">
        <f t="shared" si="2626"/>
        <v/>
      </c>
      <c r="DJ169" s="40" t="str">
        <f t="shared" si="2626"/>
        <v/>
      </c>
      <c r="DK169" s="40" t="str">
        <f t="shared" si="2626"/>
        <v/>
      </c>
      <c r="DL169" s="40" t="str">
        <f t="shared" si="2627"/>
        <v/>
      </c>
      <c r="DM169" s="40" t="str">
        <f t="shared" si="2627"/>
        <v/>
      </c>
      <c r="DN169" s="40" t="str">
        <f t="shared" si="2627"/>
        <v/>
      </c>
      <c r="DO169" s="40" t="str">
        <f t="shared" si="2627"/>
        <v/>
      </c>
      <c r="DP169" s="40" t="str">
        <f t="shared" si="2627"/>
        <v/>
      </c>
      <c r="DQ169" s="40" t="str">
        <f t="shared" si="2627"/>
        <v/>
      </c>
      <c r="DR169" s="40" t="str">
        <f t="shared" si="2627"/>
        <v/>
      </c>
      <c r="DS169" s="40" t="str">
        <f t="shared" si="2627"/>
        <v/>
      </c>
      <c r="DT169" s="40" t="str">
        <f t="shared" si="2627"/>
        <v/>
      </c>
      <c r="DU169" s="40" t="str">
        <f t="shared" si="2627"/>
        <v/>
      </c>
      <c r="DV169" s="40" t="str">
        <f t="shared" si="2628"/>
        <v/>
      </c>
      <c r="DW169" s="40" t="str">
        <f t="shared" si="2628"/>
        <v/>
      </c>
      <c r="DX169" s="40" t="str">
        <f t="shared" si="2628"/>
        <v/>
      </c>
      <c r="DY169" s="40" t="str">
        <f t="shared" si="2628"/>
        <v/>
      </c>
      <c r="DZ169" s="40" t="str">
        <f t="shared" si="2628"/>
        <v/>
      </c>
      <c r="EA169" s="40" t="str">
        <f t="shared" si="2628"/>
        <v/>
      </c>
      <c r="EB169" s="40" t="str">
        <f t="shared" si="2628"/>
        <v/>
      </c>
      <c r="EC169" s="40" t="str">
        <f t="shared" si="2628"/>
        <v/>
      </c>
      <c r="ED169" s="40" t="str">
        <f t="shared" si="2628"/>
        <v/>
      </c>
      <c r="EE169" s="40" t="str">
        <f t="shared" si="2628"/>
        <v/>
      </c>
      <c r="EF169" s="40" t="str">
        <f t="shared" si="2629"/>
        <v/>
      </c>
      <c r="EG169" s="40" t="str">
        <f t="shared" si="2629"/>
        <v/>
      </c>
      <c r="EH169" s="40" t="str">
        <f t="shared" si="2629"/>
        <v/>
      </c>
      <c r="EI169" s="40" t="str">
        <f t="shared" si="2629"/>
        <v/>
      </c>
      <c r="EJ169" s="40" t="str">
        <f t="shared" si="2629"/>
        <v/>
      </c>
      <c r="EK169" s="40" t="str">
        <f t="shared" si="2629"/>
        <v/>
      </c>
      <c r="EL169" s="40" t="str">
        <f t="shared" si="2629"/>
        <v/>
      </c>
      <c r="EM169" s="40" t="str">
        <f t="shared" si="2629"/>
        <v/>
      </c>
      <c r="EN169" s="40" t="str">
        <f t="shared" si="2629"/>
        <v/>
      </c>
      <c r="EO169" s="40" t="str">
        <f t="shared" si="2629"/>
        <v/>
      </c>
      <c r="EP169" s="40" t="str">
        <f t="shared" si="2630"/>
        <v/>
      </c>
      <c r="EQ169" s="40" t="str">
        <f t="shared" si="2630"/>
        <v/>
      </c>
      <c r="ER169" s="40" t="str">
        <f t="shared" si="2630"/>
        <v/>
      </c>
      <c r="ES169" s="40" t="str">
        <f t="shared" si="2630"/>
        <v/>
      </c>
      <c r="ET169" s="40" t="str">
        <f t="shared" si="2630"/>
        <v/>
      </c>
      <c r="EU169" s="40" t="str">
        <f t="shared" si="2630"/>
        <v/>
      </c>
      <c r="EV169" s="40" t="str">
        <f t="shared" si="2630"/>
        <v/>
      </c>
      <c r="EW169" s="40" t="str">
        <f t="shared" si="2630"/>
        <v/>
      </c>
      <c r="EX169" s="40" t="str">
        <f t="shared" si="2630"/>
        <v/>
      </c>
      <c r="EY169" s="40" t="str">
        <f t="shared" si="2630"/>
        <v/>
      </c>
      <c r="EZ169" s="40" t="str">
        <f t="shared" si="2631"/>
        <v/>
      </c>
      <c r="FA169" s="40" t="str">
        <f t="shared" si="2631"/>
        <v/>
      </c>
      <c r="FB169" s="40" t="str">
        <f t="shared" si="2631"/>
        <v/>
      </c>
      <c r="FC169" s="40" t="str">
        <f t="shared" si="2631"/>
        <v/>
      </c>
      <c r="FD169" s="40" t="str">
        <f t="shared" si="2631"/>
        <v/>
      </c>
      <c r="FE169" s="40" t="str">
        <f t="shared" si="2631"/>
        <v/>
      </c>
      <c r="FF169" s="40" t="str">
        <f t="shared" si="2631"/>
        <v/>
      </c>
      <c r="FG169" s="40" t="str">
        <f t="shared" si="2631"/>
        <v/>
      </c>
      <c r="FH169" s="40" t="str">
        <f t="shared" si="2631"/>
        <v/>
      </c>
      <c r="FI169" s="40" t="str">
        <f t="shared" si="2631"/>
        <v/>
      </c>
      <c r="FJ169" s="40" t="str">
        <f t="shared" si="2632"/>
        <v/>
      </c>
      <c r="FK169" s="40" t="str">
        <f t="shared" si="2632"/>
        <v/>
      </c>
      <c r="FL169" s="40" t="str">
        <f t="shared" si="2632"/>
        <v/>
      </c>
      <c r="FM169" s="40" t="str">
        <f t="shared" si="2632"/>
        <v/>
      </c>
      <c r="FN169" s="40" t="str">
        <f t="shared" si="2632"/>
        <v/>
      </c>
      <c r="FO169" s="40" t="str">
        <f t="shared" si="2632"/>
        <v/>
      </c>
      <c r="FP169" s="40" t="str">
        <f t="shared" si="2632"/>
        <v/>
      </c>
      <c r="FQ169" s="40" t="str">
        <f t="shared" si="2632"/>
        <v/>
      </c>
      <c r="FR169" s="40" t="str">
        <f t="shared" si="2632"/>
        <v/>
      </c>
      <c r="FS169" s="40" t="str">
        <f t="shared" si="2632"/>
        <v/>
      </c>
    </row>
    <row r="170" spans="1:175" ht="16.5">
      <c r="A170" s="78"/>
      <c r="B170" s="2" t="s">
        <v>469</v>
      </c>
      <c r="C170" s="78" t="s">
        <v>626</v>
      </c>
      <c r="T170" s="78" t="s">
        <v>626</v>
      </c>
      <c r="U170" s="51" t="s">
        <v>635</v>
      </c>
      <c r="CN170" s="10" t="str">
        <f t="shared" si="2400"/>
        <v>InitUnitState('IS03',,,,,,,,,,)</v>
      </c>
      <c r="CO170" s="10" t="str">
        <f t="shared" si="2401"/>
        <v>InitUnitNormal('IS03',,,,,,,,,,)</v>
      </c>
      <c r="CP170" s="10" t="str">
        <f t="shared" si="2402"/>
        <v>InitUnitMagic('IS03',,,,,,,,,,)</v>
      </c>
      <c r="CQ170" s="10" t="str">
        <f t="shared" si="2403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3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4">T170</f>
        <v>抽技能E</v>
      </c>
      <c r="CW170" s="4"/>
      <c r="CX170" s="4"/>
      <c r="CY170" s="4"/>
      <c r="CZ170" s="4"/>
      <c r="DA170" s="4"/>
      <c r="DB170" s="40" t="str">
        <f t="shared" ref="DB170:DB175" si="2635">IF(V170="","","|n"&amp;DB$2&amp;"+"&amp;V170&amp;DB$1)</f>
        <v/>
      </c>
      <c r="DC170" s="40" t="str">
        <f t="shared" ref="DC170:DC175" si="2636">IF(W170="","","|n"&amp;DC$2&amp;"+"&amp;W170&amp;DC$1)</f>
        <v/>
      </c>
      <c r="DD170" s="40" t="str">
        <f t="shared" ref="DD170:DD175" si="2637">IF(X170="","","|n"&amp;DD$2&amp;"+"&amp;X170&amp;DD$1)</f>
        <v/>
      </c>
      <c r="DE170" s="40" t="str">
        <f t="shared" ref="DE170:DE175" si="2638">IF(Y170="","","|n"&amp;DE$2&amp;"+"&amp;Y170&amp;DE$1)</f>
        <v/>
      </c>
      <c r="DF170" s="40" t="str">
        <f t="shared" ref="DF170:DF175" si="2639">IF(Z170="","","|n"&amp;DF$2&amp;"+"&amp;Z170&amp;DF$1)</f>
        <v/>
      </c>
      <c r="DG170" s="40" t="str">
        <f t="shared" ref="DG170:DG175" si="2640">IF(AA170="","","|n"&amp;DG$2&amp;"+"&amp;AA170&amp;DG$1)</f>
        <v/>
      </c>
      <c r="DH170" s="40" t="str">
        <f t="shared" ref="DH170:DH175" si="2641">IF(AB170="","","|n"&amp;DH$2&amp;"+"&amp;AB170&amp;DH$1)</f>
        <v/>
      </c>
      <c r="DI170" s="40" t="str">
        <f t="shared" ref="DI170:DI175" si="2642">IF(AC170="","","|n"&amp;DI$2&amp;"+"&amp;AC170&amp;DI$1)</f>
        <v/>
      </c>
      <c r="DJ170" s="40" t="str">
        <f t="shared" ref="DJ170:DJ175" si="2643">IF(AD170="","","|n"&amp;DJ$2&amp;"+"&amp;AD170&amp;DJ$1)</f>
        <v/>
      </c>
      <c r="DK170" s="40" t="str">
        <f t="shared" ref="DK170:DK175" si="2644">IF(AE170="","","|n"&amp;DK$2&amp;"+"&amp;AE170&amp;DK$1)</f>
        <v/>
      </c>
      <c r="DL170" s="40" t="str">
        <f t="shared" ref="DL170:DL175" si="2645">IF(AF170="","","|n"&amp;DL$2&amp;"+"&amp;AF170&amp;DL$1)</f>
        <v/>
      </c>
      <c r="DM170" s="40" t="str">
        <f t="shared" ref="DM170:DM175" si="2646">IF(AG170="","","|n"&amp;DM$2&amp;"+"&amp;AG170&amp;DM$1)</f>
        <v/>
      </c>
      <c r="DN170" s="40" t="str">
        <f t="shared" ref="DN170:DN175" si="2647">IF(AH170="","","|n"&amp;DN$2&amp;"+"&amp;AH170&amp;DN$1)</f>
        <v/>
      </c>
      <c r="DO170" s="40" t="str">
        <f t="shared" ref="DO170:DO175" si="2648">IF(AI170="","","|n"&amp;DO$2&amp;"+"&amp;AI170&amp;DO$1)</f>
        <v/>
      </c>
      <c r="DP170" s="40" t="str">
        <f t="shared" ref="DP170:DP175" si="2649">IF(AJ170="","","|n"&amp;DP$2&amp;"+"&amp;AJ170&amp;DP$1)</f>
        <v/>
      </c>
      <c r="DQ170" s="40" t="str">
        <f t="shared" ref="DQ170:DQ175" si="2650">IF(AK170="","","|n"&amp;DQ$2&amp;"+"&amp;AK170&amp;DQ$1)</f>
        <v/>
      </c>
      <c r="DR170" s="40" t="str">
        <f t="shared" ref="DR170:DR175" si="2651">IF(AL170="","","|n"&amp;DR$2&amp;"+"&amp;AL170&amp;DR$1)</f>
        <v/>
      </c>
      <c r="DS170" s="40" t="str">
        <f t="shared" ref="DS170:DS175" si="2652">IF(AM170="","","|n"&amp;DS$2&amp;"+"&amp;AM170&amp;DS$1)</f>
        <v/>
      </c>
      <c r="DT170" s="40" t="str">
        <f t="shared" ref="DT170:DT175" si="2653">IF(AN170="","","|n"&amp;DT$2&amp;"+"&amp;AN170&amp;DT$1)</f>
        <v/>
      </c>
      <c r="DU170" s="40" t="str">
        <f t="shared" ref="DU170:DU175" si="2654">IF(AO170="","","|n"&amp;DU$2&amp;"+"&amp;AO170&amp;DU$1)</f>
        <v/>
      </c>
      <c r="DV170" s="40" t="str">
        <f t="shared" ref="DV170:DV175" si="2655">IF(AP170="","","|n"&amp;DV$2&amp;"+"&amp;AP170&amp;DV$1)</f>
        <v/>
      </c>
      <c r="DW170" s="40" t="str">
        <f t="shared" ref="DW170:DW175" si="2656">IF(AQ170="","","|n"&amp;DW$2&amp;"+"&amp;AQ170&amp;DW$1)</f>
        <v/>
      </c>
      <c r="DX170" s="40" t="str">
        <f t="shared" ref="DX170:DX175" si="2657">IF(AR170="","","|n"&amp;DX$2&amp;"+"&amp;AR170&amp;DX$1)</f>
        <v/>
      </c>
      <c r="DY170" s="40" t="str">
        <f t="shared" ref="DY170:DY175" si="2658">IF(AS170="","","|n"&amp;DY$2&amp;"+"&amp;AS170&amp;DY$1)</f>
        <v/>
      </c>
      <c r="DZ170" s="40" t="str">
        <f t="shared" ref="DZ170:DZ175" si="2659">IF(AT170="","","|n"&amp;DZ$2&amp;"+"&amp;AT170&amp;DZ$1)</f>
        <v/>
      </c>
      <c r="EA170" s="40" t="str">
        <f t="shared" ref="EA170:EA175" si="2660">IF(AU170="","","|n"&amp;EA$2&amp;"+"&amp;AU170&amp;EA$1)</f>
        <v/>
      </c>
      <c r="EB170" s="40" t="str">
        <f t="shared" ref="EB170:EB175" si="2661">IF(AV170="","","|n"&amp;EB$2&amp;"+"&amp;AV170&amp;EB$1)</f>
        <v/>
      </c>
      <c r="EC170" s="40" t="str">
        <f t="shared" ref="EC170:EC175" si="2662">IF(AW170="","","|n"&amp;EC$2&amp;"+"&amp;AW170&amp;EC$1)</f>
        <v/>
      </c>
      <c r="ED170" s="40" t="str">
        <f t="shared" ref="ED170:ED175" si="2663">IF(AX170="","","|n"&amp;ED$2&amp;"+"&amp;AX170&amp;ED$1)</f>
        <v/>
      </c>
      <c r="EE170" s="40" t="str">
        <f t="shared" ref="EE170:EE175" si="2664">IF(AY170="","","|n"&amp;EE$2&amp;"+"&amp;AY170&amp;EE$1)</f>
        <v/>
      </c>
      <c r="EF170" s="40" t="str">
        <f t="shared" ref="EF170:EF175" si="2665">IF(AZ170="","","|n"&amp;EF$2&amp;"+"&amp;AZ170&amp;EF$1)</f>
        <v/>
      </c>
      <c r="EG170" s="40" t="str">
        <f t="shared" ref="EG170:EG175" si="2666">IF(BA170="","","|n"&amp;EG$2&amp;"+"&amp;BA170&amp;EG$1)</f>
        <v/>
      </c>
      <c r="EH170" s="40" t="str">
        <f t="shared" ref="EH170:EH175" si="2667">IF(BB170="","","|n"&amp;EH$2&amp;"+"&amp;BB170&amp;EH$1)</f>
        <v/>
      </c>
      <c r="EI170" s="40" t="str">
        <f t="shared" ref="EI170:EI175" si="2668">IF(BC170="","","|n"&amp;EI$2&amp;"+"&amp;BC170&amp;EI$1)</f>
        <v/>
      </c>
      <c r="EJ170" s="40" t="str">
        <f t="shared" ref="EJ170:EJ175" si="2669">IF(BD170="","","|n"&amp;EJ$2&amp;"+"&amp;BD170&amp;EJ$1)</f>
        <v/>
      </c>
      <c r="EK170" s="40" t="str">
        <f t="shared" ref="EK170:EK175" si="2670">IF(BE170="","","|n"&amp;EK$2&amp;"+"&amp;BE170&amp;EK$1)</f>
        <v/>
      </c>
      <c r="EL170" s="40" t="str">
        <f t="shared" ref="EL170:EL175" si="2671">IF(BF170="","","|n"&amp;EL$2&amp;"+"&amp;BF170&amp;EL$1)</f>
        <v/>
      </c>
      <c r="EM170" s="40" t="str">
        <f t="shared" ref="EM170:EM175" si="2672">IF(BG170="","","|n"&amp;EM$2&amp;"+"&amp;BG170&amp;EM$1)</f>
        <v/>
      </c>
      <c r="EN170" s="40" t="str">
        <f t="shared" ref="EN170:EN175" si="2673">IF(BH170="","","|n"&amp;EN$2&amp;"+"&amp;BH170&amp;EN$1)</f>
        <v/>
      </c>
      <c r="EO170" s="40" t="str">
        <f t="shared" ref="EO170:EO175" si="2674">IF(BI170="","","|n"&amp;EO$2&amp;"+"&amp;BI170&amp;EO$1)</f>
        <v/>
      </c>
      <c r="EP170" s="40" t="str">
        <f t="shared" ref="EP170:EP175" si="2675">IF(BJ170="","","|n"&amp;EP$2&amp;"+"&amp;BJ170&amp;EP$1)</f>
        <v/>
      </c>
      <c r="EQ170" s="40" t="str">
        <f t="shared" ref="EQ170:EQ175" si="2676">IF(BK170="","","|n"&amp;EQ$2&amp;"+"&amp;BK170&amp;EQ$1)</f>
        <v/>
      </c>
      <c r="ER170" s="40" t="str">
        <f t="shared" ref="ER170:ER175" si="2677">IF(BL170="","","|n"&amp;ER$2&amp;"+"&amp;BL170&amp;ER$1)</f>
        <v/>
      </c>
      <c r="ES170" s="40" t="str">
        <f t="shared" ref="ES170:ES175" si="2678">IF(BM170="","","|n"&amp;ES$2&amp;"+"&amp;BM170&amp;ES$1)</f>
        <v/>
      </c>
      <c r="ET170" s="40" t="str">
        <f t="shared" ref="ET170:ET175" si="2679">IF(BN170="","","|n"&amp;ET$2&amp;"+"&amp;BN170&amp;ET$1)</f>
        <v/>
      </c>
      <c r="EU170" s="40" t="str">
        <f t="shared" ref="EU170:EU175" si="2680">IF(BO170="","","|n"&amp;EU$2&amp;"+"&amp;BO170&amp;EU$1)</f>
        <v/>
      </c>
      <c r="EV170" s="40" t="str">
        <f t="shared" ref="EV170:EV175" si="2681">IF(BP170="","","|n"&amp;EV$2&amp;"+"&amp;BP170&amp;EV$1)</f>
        <v/>
      </c>
      <c r="EW170" s="40" t="str">
        <f t="shared" ref="EW170:EW175" si="2682">IF(BQ170="","","|n"&amp;EW$2&amp;"+"&amp;BQ170&amp;EW$1)</f>
        <v/>
      </c>
      <c r="EX170" s="40" t="str">
        <f t="shared" ref="EX170:EX175" si="2683">IF(BR170="","","|n"&amp;EX$2&amp;"+"&amp;BR170&amp;EX$1)</f>
        <v/>
      </c>
      <c r="EY170" s="40" t="str">
        <f t="shared" ref="EY170:EY175" si="2684">IF(BS170="","","|n"&amp;EY$2&amp;"+"&amp;BS170&amp;EY$1)</f>
        <v/>
      </c>
      <c r="EZ170" s="40" t="str">
        <f t="shared" ref="EZ170:EZ175" si="2685">IF(BT170="","","|n"&amp;EZ$2&amp;"+"&amp;BT170&amp;EZ$1)</f>
        <v/>
      </c>
      <c r="FA170" s="40" t="str">
        <f t="shared" ref="FA170:FA175" si="2686">IF(BU170="","","|n"&amp;FA$2&amp;"+"&amp;BU170&amp;FA$1)</f>
        <v/>
      </c>
      <c r="FB170" s="40" t="str">
        <f t="shared" ref="FB170:FB175" si="2687">IF(BV170="","","|n"&amp;FB$2&amp;"+"&amp;BV170&amp;FB$1)</f>
        <v/>
      </c>
      <c r="FC170" s="40" t="str">
        <f t="shared" ref="FC170:FC175" si="2688">IF(BW170="","","|n"&amp;FC$2&amp;"+"&amp;BW170&amp;FC$1)</f>
        <v/>
      </c>
      <c r="FD170" s="40" t="str">
        <f t="shared" ref="FD170:FD175" si="2689">IF(BX170="","","|n"&amp;FD$2&amp;"+"&amp;BX170&amp;FD$1)</f>
        <v/>
      </c>
      <c r="FE170" s="40" t="str">
        <f t="shared" ref="FE170:FE175" si="2690">IF(BY170="","","|n"&amp;FE$2&amp;"+"&amp;BY170&amp;FE$1)</f>
        <v/>
      </c>
      <c r="FF170" s="40" t="str">
        <f t="shared" ref="FF170:FF175" si="2691">IF(BZ170="","","|n"&amp;FF$2&amp;"+"&amp;BZ170&amp;FF$1)</f>
        <v/>
      </c>
      <c r="FG170" s="40" t="str">
        <f t="shared" ref="FG170:FG175" si="2692">IF(CA170="","","|n"&amp;FG$2&amp;"+"&amp;CA170&amp;FG$1)</f>
        <v/>
      </c>
      <c r="FH170" s="40" t="str">
        <f t="shared" ref="FH170:FH175" si="2693">IF(CB170="","","|n"&amp;FH$2&amp;"+"&amp;CB170&amp;FH$1)</f>
        <v/>
      </c>
      <c r="FI170" s="40" t="str">
        <f t="shared" ref="FI170:FI175" si="2694">IF(CC170="","","|n"&amp;FI$2&amp;"+"&amp;CC170&amp;FI$1)</f>
        <v/>
      </c>
      <c r="FJ170" s="40" t="str">
        <f t="shared" ref="FJ170:FJ175" si="2695">IF(CD170="","","|n"&amp;FJ$2&amp;"+"&amp;CD170&amp;FJ$1)</f>
        <v/>
      </c>
      <c r="FK170" s="40" t="str">
        <f t="shared" ref="FK170:FK175" si="2696">IF(CE170="","","|n"&amp;FK$2&amp;"+"&amp;CE170&amp;FK$1)</f>
        <v/>
      </c>
      <c r="FL170" s="40" t="str">
        <f t="shared" ref="FL170:FL175" si="2697">IF(CF170="","","|n"&amp;FL$2&amp;"+"&amp;CF170&amp;FL$1)</f>
        <v/>
      </c>
      <c r="FM170" s="40" t="str">
        <f t="shared" ref="FM170:FM175" si="2698">IF(CG170="","","|n"&amp;FM$2&amp;"+"&amp;CG170&amp;FM$1)</f>
        <v/>
      </c>
      <c r="FN170" s="40" t="str">
        <f t="shared" ref="FN170:FN175" si="2699">IF(CH170="","","|n"&amp;FN$2&amp;"+"&amp;CH170&amp;FN$1)</f>
        <v/>
      </c>
      <c r="FO170" s="40" t="str">
        <f t="shared" ref="FO170:FO175" si="2700">IF(CI170="","","|n"&amp;FO$2&amp;"+"&amp;CI170&amp;FO$1)</f>
        <v/>
      </c>
      <c r="FP170" s="40" t="str">
        <f t="shared" ref="FP170:FP175" si="2701">IF(CJ170="","","|n"&amp;FP$2&amp;"+"&amp;CJ170&amp;FP$1)</f>
        <v/>
      </c>
      <c r="FQ170" s="40" t="str">
        <f t="shared" ref="FQ170:FQ175" si="2702">IF(CK170="","","|n"&amp;FQ$2&amp;"+"&amp;CK170&amp;FQ$1)</f>
        <v/>
      </c>
      <c r="FR170" s="40" t="str">
        <f t="shared" ref="FR170:FR175" si="2703">IF(CL170="","","|n"&amp;FR$2&amp;"+"&amp;CL170&amp;FR$1)</f>
        <v/>
      </c>
      <c r="FS170" s="40" t="str">
        <f t="shared" ref="FS170:FS175" si="2704">IF(CM170="","","|n"&amp;FS$2&amp;"+"&amp;CM170&amp;FS$1)</f>
        <v/>
      </c>
    </row>
    <row r="171" spans="1:175" ht="16.5">
      <c r="A171" s="78"/>
      <c r="B171" s="2" t="s">
        <v>627</v>
      </c>
      <c r="C171" s="78" t="s">
        <v>630</v>
      </c>
      <c r="T171" s="78" t="s">
        <v>630</v>
      </c>
      <c r="U171" s="51" t="s">
        <v>633</v>
      </c>
      <c r="CN171" s="10" t="str">
        <f t="shared" si="2400"/>
        <v>InitUnitState('IS21',,,,,,,,,,)</v>
      </c>
      <c r="CO171" s="10" t="str">
        <f t="shared" si="2401"/>
        <v>InitUnitNormal('IS21',,,,,,,,,,)</v>
      </c>
      <c r="CP171" s="10" t="str">
        <f t="shared" si="2402"/>
        <v>InitUnitMagic('IS21',,,,,,,,,,)</v>
      </c>
      <c r="CQ171" s="10" t="str">
        <f t="shared" si="2403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3"/>
        <v>|n</v>
      </c>
      <c r="CV171" s="3" t="str">
        <f t="shared" si="2634"/>
        <v>Q附魔</v>
      </c>
      <c r="CW171" s="4"/>
      <c r="CX171" s="4"/>
      <c r="CY171" s="4"/>
      <c r="CZ171" s="4"/>
      <c r="DA171" s="4"/>
      <c r="DB171" s="40" t="str">
        <f t="shared" si="2635"/>
        <v/>
      </c>
      <c r="DC171" s="40" t="str">
        <f t="shared" si="2636"/>
        <v/>
      </c>
      <c r="DD171" s="40" t="str">
        <f t="shared" si="2637"/>
        <v/>
      </c>
      <c r="DE171" s="40" t="str">
        <f t="shared" si="2638"/>
        <v/>
      </c>
      <c r="DF171" s="40" t="str">
        <f t="shared" si="2639"/>
        <v/>
      </c>
      <c r="DG171" s="40" t="str">
        <f t="shared" si="2640"/>
        <v/>
      </c>
      <c r="DH171" s="40" t="str">
        <f t="shared" si="2641"/>
        <v/>
      </c>
      <c r="DI171" s="40" t="str">
        <f t="shared" si="2642"/>
        <v/>
      </c>
      <c r="DJ171" s="40" t="str">
        <f t="shared" si="2643"/>
        <v/>
      </c>
      <c r="DK171" s="40" t="str">
        <f t="shared" si="2644"/>
        <v/>
      </c>
      <c r="DL171" s="40" t="str">
        <f t="shared" si="2645"/>
        <v/>
      </c>
      <c r="DM171" s="40" t="str">
        <f t="shared" si="2646"/>
        <v/>
      </c>
      <c r="DN171" s="40" t="str">
        <f t="shared" si="2647"/>
        <v/>
      </c>
      <c r="DO171" s="40" t="str">
        <f t="shared" si="2648"/>
        <v/>
      </c>
      <c r="DP171" s="40" t="str">
        <f t="shared" si="2649"/>
        <v/>
      </c>
      <c r="DQ171" s="40" t="str">
        <f t="shared" si="2650"/>
        <v/>
      </c>
      <c r="DR171" s="40" t="str">
        <f t="shared" si="2651"/>
        <v/>
      </c>
      <c r="DS171" s="40" t="str">
        <f t="shared" si="2652"/>
        <v/>
      </c>
      <c r="DT171" s="40" t="str">
        <f t="shared" si="2653"/>
        <v/>
      </c>
      <c r="DU171" s="40" t="str">
        <f t="shared" si="2654"/>
        <v/>
      </c>
      <c r="DV171" s="40" t="str">
        <f t="shared" si="2655"/>
        <v/>
      </c>
      <c r="DW171" s="40" t="str">
        <f t="shared" si="2656"/>
        <v/>
      </c>
      <c r="DX171" s="40" t="str">
        <f t="shared" si="2657"/>
        <v/>
      </c>
      <c r="DY171" s="40" t="str">
        <f t="shared" si="2658"/>
        <v/>
      </c>
      <c r="DZ171" s="40" t="str">
        <f t="shared" si="2659"/>
        <v/>
      </c>
      <c r="EA171" s="40" t="str">
        <f t="shared" si="2660"/>
        <v/>
      </c>
      <c r="EB171" s="40" t="str">
        <f t="shared" si="2661"/>
        <v/>
      </c>
      <c r="EC171" s="40" t="str">
        <f t="shared" si="2662"/>
        <v/>
      </c>
      <c r="ED171" s="40" t="str">
        <f t="shared" si="2663"/>
        <v/>
      </c>
      <c r="EE171" s="40" t="str">
        <f t="shared" si="2664"/>
        <v/>
      </c>
      <c r="EF171" s="40" t="str">
        <f t="shared" si="2665"/>
        <v/>
      </c>
      <c r="EG171" s="40" t="str">
        <f t="shared" si="2666"/>
        <v/>
      </c>
      <c r="EH171" s="40" t="str">
        <f t="shared" si="2667"/>
        <v/>
      </c>
      <c r="EI171" s="40" t="str">
        <f t="shared" si="2668"/>
        <v/>
      </c>
      <c r="EJ171" s="40" t="str">
        <f t="shared" si="2669"/>
        <v/>
      </c>
      <c r="EK171" s="40" t="str">
        <f t="shared" si="2670"/>
        <v/>
      </c>
      <c r="EL171" s="40" t="str">
        <f t="shared" si="2671"/>
        <v/>
      </c>
      <c r="EM171" s="40" t="str">
        <f t="shared" si="2672"/>
        <v/>
      </c>
      <c r="EN171" s="40" t="str">
        <f t="shared" si="2673"/>
        <v/>
      </c>
      <c r="EO171" s="40" t="str">
        <f t="shared" si="2674"/>
        <v/>
      </c>
      <c r="EP171" s="40" t="str">
        <f t="shared" si="2675"/>
        <v/>
      </c>
      <c r="EQ171" s="40" t="str">
        <f t="shared" si="2676"/>
        <v/>
      </c>
      <c r="ER171" s="40" t="str">
        <f t="shared" si="2677"/>
        <v/>
      </c>
      <c r="ES171" s="40" t="str">
        <f t="shared" si="2678"/>
        <v/>
      </c>
      <c r="ET171" s="40" t="str">
        <f t="shared" si="2679"/>
        <v/>
      </c>
      <c r="EU171" s="40" t="str">
        <f t="shared" si="2680"/>
        <v/>
      </c>
      <c r="EV171" s="40" t="str">
        <f t="shared" si="2681"/>
        <v/>
      </c>
      <c r="EW171" s="40" t="str">
        <f t="shared" si="2682"/>
        <v/>
      </c>
      <c r="EX171" s="40" t="str">
        <f t="shared" si="2683"/>
        <v/>
      </c>
      <c r="EY171" s="40" t="str">
        <f t="shared" si="2684"/>
        <v/>
      </c>
      <c r="EZ171" s="40" t="str">
        <f t="shared" si="2685"/>
        <v/>
      </c>
      <c r="FA171" s="40" t="str">
        <f t="shared" si="2686"/>
        <v/>
      </c>
      <c r="FB171" s="40" t="str">
        <f t="shared" si="2687"/>
        <v/>
      </c>
      <c r="FC171" s="40" t="str">
        <f t="shared" si="2688"/>
        <v/>
      </c>
      <c r="FD171" s="40" t="str">
        <f t="shared" si="2689"/>
        <v/>
      </c>
      <c r="FE171" s="40" t="str">
        <f t="shared" si="2690"/>
        <v/>
      </c>
      <c r="FF171" s="40" t="str">
        <f t="shared" si="2691"/>
        <v/>
      </c>
      <c r="FG171" s="40" t="str">
        <f t="shared" si="2692"/>
        <v/>
      </c>
      <c r="FH171" s="40" t="str">
        <f t="shared" si="2693"/>
        <v/>
      </c>
      <c r="FI171" s="40" t="str">
        <f t="shared" si="2694"/>
        <v/>
      </c>
      <c r="FJ171" s="40" t="str">
        <f t="shared" si="2695"/>
        <v/>
      </c>
      <c r="FK171" s="40" t="str">
        <f t="shared" si="2696"/>
        <v/>
      </c>
      <c r="FL171" s="40" t="str">
        <f t="shared" si="2697"/>
        <v/>
      </c>
      <c r="FM171" s="40" t="str">
        <f t="shared" si="2698"/>
        <v/>
      </c>
      <c r="FN171" s="40" t="str">
        <f t="shared" si="2699"/>
        <v/>
      </c>
      <c r="FO171" s="40" t="str">
        <f t="shared" si="2700"/>
        <v/>
      </c>
      <c r="FP171" s="40" t="str">
        <f t="shared" si="2701"/>
        <v/>
      </c>
      <c r="FQ171" s="40" t="str">
        <f t="shared" si="2702"/>
        <v/>
      </c>
      <c r="FR171" s="40" t="str">
        <f t="shared" si="2703"/>
        <v/>
      </c>
      <c r="FS171" s="40" t="str">
        <f t="shared" si="2704"/>
        <v/>
      </c>
    </row>
    <row r="172" spans="1:175" ht="16.5">
      <c r="A172" s="78"/>
      <c r="B172" s="2" t="s">
        <v>628</v>
      </c>
      <c r="C172" s="78" t="s">
        <v>631</v>
      </c>
      <c r="T172" s="78" t="s">
        <v>631</v>
      </c>
      <c r="U172" s="51" t="s">
        <v>634</v>
      </c>
      <c r="CN172" s="10" t="str">
        <f t="shared" si="2400"/>
        <v>InitUnitState('IS22',,,,,,,,,,)</v>
      </c>
      <c r="CO172" s="10" t="str">
        <f t="shared" si="2401"/>
        <v>InitUnitNormal('IS22',,,,,,,,,,)</v>
      </c>
      <c r="CP172" s="10" t="str">
        <f t="shared" si="2402"/>
        <v>InitUnitMagic('IS22',,,,,,,,,,)</v>
      </c>
      <c r="CQ172" s="10" t="str">
        <f t="shared" si="2403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3"/>
        <v>|n</v>
      </c>
      <c r="CV172" s="3" t="str">
        <f t="shared" si="2634"/>
        <v>W附魔</v>
      </c>
      <c r="CW172" s="4"/>
      <c r="CX172" s="4"/>
      <c r="CY172" s="4"/>
      <c r="CZ172" s="4"/>
      <c r="DA172" s="4"/>
      <c r="DB172" s="40" t="str">
        <f t="shared" si="2635"/>
        <v/>
      </c>
      <c r="DC172" s="40" t="str">
        <f t="shared" si="2636"/>
        <v/>
      </c>
      <c r="DD172" s="40" t="str">
        <f t="shared" si="2637"/>
        <v/>
      </c>
      <c r="DE172" s="40" t="str">
        <f t="shared" si="2638"/>
        <v/>
      </c>
      <c r="DF172" s="40" t="str">
        <f t="shared" si="2639"/>
        <v/>
      </c>
      <c r="DG172" s="40" t="str">
        <f t="shared" si="2640"/>
        <v/>
      </c>
      <c r="DH172" s="40" t="str">
        <f t="shared" si="2641"/>
        <v/>
      </c>
      <c r="DI172" s="40" t="str">
        <f t="shared" si="2642"/>
        <v/>
      </c>
      <c r="DJ172" s="40" t="str">
        <f t="shared" si="2643"/>
        <v/>
      </c>
      <c r="DK172" s="40" t="str">
        <f t="shared" si="2644"/>
        <v/>
      </c>
      <c r="DL172" s="40" t="str">
        <f t="shared" si="2645"/>
        <v/>
      </c>
      <c r="DM172" s="40" t="str">
        <f t="shared" si="2646"/>
        <v/>
      </c>
      <c r="DN172" s="40" t="str">
        <f t="shared" si="2647"/>
        <v/>
      </c>
      <c r="DO172" s="40" t="str">
        <f t="shared" si="2648"/>
        <v/>
      </c>
      <c r="DP172" s="40" t="str">
        <f t="shared" si="2649"/>
        <v/>
      </c>
      <c r="DQ172" s="40" t="str">
        <f t="shared" si="2650"/>
        <v/>
      </c>
      <c r="DR172" s="40" t="str">
        <f t="shared" si="2651"/>
        <v/>
      </c>
      <c r="DS172" s="40" t="str">
        <f t="shared" si="2652"/>
        <v/>
      </c>
      <c r="DT172" s="40" t="str">
        <f t="shared" si="2653"/>
        <v/>
      </c>
      <c r="DU172" s="40" t="str">
        <f t="shared" si="2654"/>
        <v/>
      </c>
      <c r="DV172" s="40" t="str">
        <f t="shared" si="2655"/>
        <v/>
      </c>
      <c r="DW172" s="40" t="str">
        <f t="shared" si="2656"/>
        <v/>
      </c>
      <c r="DX172" s="40" t="str">
        <f t="shared" si="2657"/>
        <v/>
      </c>
      <c r="DY172" s="40" t="str">
        <f t="shared" si="2658"/>
        <v/>
      </c>
      <c r="DZ172" s="40" t="str">
        <f t="shared" si="2659"/>
        <v/>
      </c>
      <c r="EA172" s="40" t="str">
        <f t="shared" si="2660"/>
        <v/>
      </c>
      <c r="EB172" s="40" t="str">
        <f t="shared" si="2661"/>
        <v/>
      </c>
      <c r="EC172" s="40" t="str">
        <f t="shared" si="2662"/>
        <v/>
      </c>
      <c r="ED172" s="40" t="str">
        <f t="shared" si="2663"/>
        <v/>
      </c>
      <c r="EE172" s="40" t="str">
        <f t="shared" si="2664"/>
        <v/>
      </c>
      <c r="EF172" s="40" t="str">
        <f t="shared" si="2665"/>
        <v/>
      </c>
      <c r="EG172" s="40" t="str">
        <f t="shared" si="2666"/>
        <v/>
      </c>
      <c r="EH172" s="40" t="str">
        <f t="shared" si="2667"/>
        <v/>
      </c>
      <c r="EI172" s="40" t="str">
        <f t="shared" si="2668"/>
        <v/>
      </c>
      <c r="EJ172" s="40" t="str">
        <f t="shared" si="2669"/>
        <v/>
      </c>
      <c r="EK172" s="40" t="str">
        <f t="shared" si="2670"/>
        <v/>
      </c>
      <c r="EL172" s="40" t="str">
        <f t="shared" si="2671"/>
        <v/>
      </c>
      <c r="EM172" s="40" t="str">
        <f t="shared" si="2672"/>
        <v/>
      </c>
      <c r="EN172" s="40" t="str">
        <f t="shared" si="2673"/>
        <v/>
      </c>
      <c r="EO172" s="40" t="str">
        <f t="shared" si="2674"/>
        <v/>
      </c>
      <c r="EP172" s="40" t="str">
        <f t="shared" si="2675"/>
        <v/>
      </c>
      <c r="EQ172" s="40" t="str">
        <f t="shared" si="2676"/>
        <v/>
      </c>
      <c r="ER172" s="40" t="str">
        <f t="shared" si="2677"/>
        <v/>
      </c>
      <c r="ES172" s="40" t="str">
        <f t="shared" si="2678"/>
        <v/>
      </c>
      <c r="ET172" s="40" t="str">
        <f t="shared" si="2679"/>
        <v/>
      </c>
      <c r="EU172" s="40" t="str">
        <f t="shared" si="2680"/>
        <v/>
      </c>
      <c r="EV172" s="40" t="str">
        <f t="shared" si="2681"/>
        <v/>
      </c>
      <c r="EW172" s="40" t="str">
        <f t="shared" si="2682"/>
        <v/>
      </c>
      <c r="EX172" s="40" t="str">
        <f t="shared" si="2683"/>
        <v/>
      </c>
      <c r="EY172" s="40" t="str">
        <f t="shared" si="2684"/>
        <v/>
      </c>
      <c r="EZ172" s="40" t="str">
        <f t="shared" si="2685"/>
        <v/>
      </c>
      <c r="FA172" s="40" t="str">
        <f t="shared" si="2686"/>
        <v/>
      </c>
      <c r="FB172" s="40" t="str">
        <f t="shared" si="2687"/>
        <v/>
      </c>
      <c r="FC172" s="40" t="str">
        <f t="shared" si="2688"/>
        <v/>
      </c>
      <c r="FD172" s="40" t="str">
        <f t="shared" si="2689"/>
        <v/>
      </c>
      <c r="FE172" s="40" t="str">
        <f t="shared" si="2690"/>
        <v/>
      </c>
      <c r="FF172" s="40" t="str">
        <f t="shared" si="2691"/>
        <v/>
      </c>
      <c r="FG172" s="40" t="str">
        <f t="shared" si="2692"/>
        <v/>
      </c>
      <c r="FH172" s="40" t="str">
        <f t="shared" si="2693"/>
        <v/>
      </c>
      <c r="FI172" s="40" t="str">
        <f t="shared" si="2694"/>
        <v/>
      </c>
      <c r="FJ172" s="40" t="str">
        <f t="shared" si="2695"/>
        <v/>
      </c>
      <c r="FK172" s="40" t="str">
        <f t="shared" si="2696"/>
        <v/>
      </c>
      <c r="FL172" s="40" t="str">
        <f t="shared" si="2697"/>
        <v/>
      </c>
      <c r="FM172" s="40" t="str">
        <f t="shared" si="2698"/>
        <v/>
      </c>
      <c r="FN172" s="40" t="str">
        <f t="shared" si="2699"/>
        <v/>
      </c>
      <c r="FO172" s="40" t="str">
        <f t="shared" si="2700"/>
        <v/>
      </c>
      <c r="FP172" s="40" t="str">
        <f t="shared" si="2701"/>
        <v/>
      </c>
      <c r="FQ172" s="40" t="str">
        <f t="shared" si="2702"/>
        <v/>
      </c>
      <c r="FR172" s="40" t="str">
        <f t="shared" si="2703"/>
        <v/>
      </c>
      <c r="FS172" s="40" t="str">
        <f t="shared" si="2704"/>
        <v/>
      </c>
    </row>
    <row r="173" spans="1:175" ht="16.5">
      <c r="A173" s="78"/>
      <c r="B173" s="2" t="s">
        <v>629</v>
      </c>
      <c r="C173" s="78" t="s">
        <v>632</v>
      </c>
      <c r="T173" s="78" t="s">
        <v>632</v>
      </c>
      <c r="U173" s="51" t="s">
        <v>635</v>
      </c>
      <c r="CN173" s="10" t="str">
        <f t="shared" si="2400"/>
        <v>InitUnitState('IS23',,,,,,,,,,)</v>
      </c>
      <c r="CO173" s="10" t="str">
        <f t="shared" si="2401"/>
        <v>InitUnitNormal('IS23',,,,,,,,,,)</v>
      </c>
      <c r="CP173" s="10" t="str">
        <f t="shared" si="2402"/>
        <v>InitUnitMagic('IS23',,,,,,,,,,)</v>
      </c>
      <c r="CQ173" s="10" t="str">
        <f t="shared" si="2403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6">T173</f>
        <v>E附魔</v>
      </c>
      <c r="CW173" s="4"/>
      <c r="CX173" s="4"/>
      <c r="CY173" s="4"/>
      <c r="CZ173" s="4"/>
      <c r="DA173" s="4"/>
      <c r="DB173" s="40" t="str">
        <f t="shared" ref="DB173" si="2707">IF(V173="","","|n"&amp;DB$2&amp;"+"&amp;V173&amp;DB$1)</f>
        <v/>
      </c>
      <c r="DC173" s="40" t="str">
        <f t="shared" ref="DC173" si="2708">IF(W173="","","|n"&amp;DC$2&amp;"+"&amp;W173&amp;DC$1)</f>
        <v/>
      </c>
      <c r="DD173" s="40" t="str">
        <f t="shared" ref="DD173" si="2709">IF(X173="","","|n"&amp;DD$2&amp;"+"&amp;X173&amp;DD$1)</f>
        <v/>
      </c>
      <c r="DE173" s="40" t="str">
        <f t="shared" ref="DE173" si="2710">IF(Y173="","","|n"&amp;DE$2&amp;"+"&amp;Y173&amp;DE$1)</f>
        <v/>
      </c>
      <c r="DF173" s="40" t="str">
        <f t="shared" ref="DF173" si="2711">IF(Z173="","","|n"&amp;DF$2&amp;"+"&amp;Z173&amp;DF$1)</f>
        <v/>
      </c>
      <c r="DG173" s="40" t="str">
        <f t="shared" ref="DG173" si="2712">IF(AA173="","","|n"&amp;DG$2&amp;"+"&amp;AA173&amp;DG$1)</f>
        <v/>
      </c>
      <c r="DH173" s="40" t="str">
        <f t="shared" ref="DH173" si="2713">IF(AB173="","","|n"&amp;DH$2&amp;"+"&amp;AB173&amp;DH$1)</f>
        <v/>
      </c>
      <c r="DI173" s="40" t="str">
        <f t="shared" ref="DI173" si="2714">IF(AC173="","","|n"&amp;DI$2&amp;"+"&amp;AC173&amp;DI$1)</f>
        <v/>
      </c>
      <c r="DJ173" s="40" t="str">
        <f t="shared" ref="DJ173" si="2715">IF(AD173="","","|n"&amp;DJ$2&amp;"+"&amp;AD173&amp;DJ$1)</f>
        <v/>
      </c>
      <c r="DK173" s="40" t="str">
        <f t="shared" ref="DK173" si="2716">IF(AE173="","","|n"&amp;DK$2&amp;"+"&amp;AE173&amp;DK$1)</f>
        <v/>
      </c>
      <c r="DL173" s="40" t="str">
        <f t="shared" ref="DL173" si="2717">IF(AF173="","","|n"&amp;DL$2&amp;"+"&amp;AF173&amp;DL$1)</f>
        <v/>
      </c>
      <c r="DM173" s="40" t="str">
        <f t="shared" ref="DM173" si="2718">IF(AG173="","","|n"&amp;DM$2&amp;"+"&amp;AG173&amp;DM$1)</f>
        <v/>
      </c>
      <c r="DN173" s="40" t="str">
        <f t="shared" ref="DN173" si="2719">IF(AH173="","","|n"&amp;DN$2&amp;"+"&amp;AH173&amp;DN$1)</f>
        <v/>
      </c>
      <c r="DO173" s="40" t="str">
        <f t="shared" ref="DO173" si="2720">IF(AI173="","","|n"&amp;DO$2&amp;"+"&amp;AI173&amp;DO$1)</f>
        <v/>
      </c>
      <c r="DP173" s="40" t="str">
        <f t="shared" ref="DP173" si="2721">IF(AJ173="","","|n"&amp;DP$2&amp;"+"&amp;AJ173&amp;DP$1)</f>
        <v/>
      </c>
      <c r="DQ173" s="40" t="str">
        <f t="shared" ref="DQ173" si="2722">IF(AK173="","","|n"&amp;DQ$2&amp;"+"&amp;AK173&amp;DQ$1)</f>
        <v/>
      </c>
      <c r="DR173" s="40" t="str">
        <f t="shared" ref="DR173" si="2723">IF(AL173="","","|n"&amp;DR$2&amp;"+"&amp;AL173&amp;DR$1)</f>
        <v/>
      </c>
      <c r="DS173" s="40" t="str">
        <f t="shared" ref="DS173" si="2724">IF(AM173="","","|n"&amp;DS$2&amp;"+"&amp;AM173&amp;DS$1)</f>
        <v/>
      </c>
      <c r="DT173" s="40" t="str">
        <f t="shared" ref="DT173" si="2725">IF(AN173="","","|n"&amp;DT$2&amp;"+"&amp;AN173&amp;DT$1)</f>
        <v/>
      </c>
      <c r="DU173" s="40" t="str">
        <f t="shared" ref="DU173" si="2726">IF(AO173="","","|n"&amp;DU$2&amp;"+"&amp;AO173&amp;DU$1)</f>
        <v/>
      </c>
      <c r="DV173" s="40" t="str">
        <f t="shared" ref="DV173" si="2727">IF(AP173="","","|n"&amp;DV$2&amp;"+"&amp;AP173&amp;DV$1)</f>
        <v/>
      </c>
      <c r="DW173" s="40" t="str">
        <f t="shared" ref="DW173" si="2728">IF(AQ173="","","|n"&amp;DW$2&amp;"+"&amp;AQ173&amp;DW$1)</f>
        <v/>
      </c>
      <c r="DX173" s="40" t="str">
        <f t="shared" ref="DX173" si="2729">IF(AR173="","","|n"&amp;DX$2&amp;"+"&amp;AR173&amp;DX$1)</f>
        <v/>
      </c>
      <c r="DY173" s="40" t="str">
        <f t="shared" ref="DY173" si="2730">IF(AS173="","","|n"&amp;DY$2&amp;"+"&amp;AS173&amp;DY$1)</f>
        <v/>
      </c>
      <c r="DZ173" s="40" t="str">
        <f t="shared" ref="DZ173" si="2731">IF(AT173="","","|n"&amp;DZ$2&amp;"+"&amp;AT173&amp;DZ$1)</f>
        <v/>
      </c>
      <c r="EA173" s="40" t="str">
        <f t="shared" ref="EA173" si="2732">IF(AU173="","","|n"&amp;EA$2&amp;"+"&amp;AU173&amp;EA$1)</f>
        <v/>
      </c>
      <c r="EB173" s="40" t="str">
        <f t="shared" ref="EB173" si="2733">IF(AV173="","","|n"&amp;EB$2&amp;"+"&amp;AV173&amp;EB$1)</f>
        <v/>
      </c>
      <c r="EC173" s="40" t="str">
        <f t="shared" ref="EC173" si="2734">IF(AW173="","","|n"&amp;EC$2&amp;"+"&amp;AW173&amp;EC$1)</f>
        <v/>
      </c>
      <c r="ED173" s="40" t="str">
        <f t="shared" ref="ED173" si="2735">IF(AX173="","","|n"&amp;ED$2&amp;"+"&amp;AX173&amp;ED$1)</f>
        <v/>
      </c>
      <c r="EE173" s="40" t="str">
        <f t="shared" ref="EE173" si="2736">IF(AY173="","","|n"&amp;EE$2&amp;"+"&amp;AY173&amp;EE$1)</f>
        <v/>
      </c>
      <c r="EF173" s="40" t="str">
        <f t="shared" ref="EF173" si="2737">IF(AZ173="","","|n"&amp;EF$2&amp;"+"&amp;AZ173&amp;EF$1)</f>
        <v/>
      </c>
      <c r="EG173" s="40" t="str">
        <f t="shared" ref="EG173" si="2738">IF(BA173="","","|n"&amp;EG$2&amp;"+"&amp;BA173&amp;EG$1)</f>
        <v/>
      </c>
      <c r="EH173" s="40" t="str">
        <f t="shared" ref="EH173" si="2739">IF(BB173="","","|n"&amp;EH$2&amp;"+"&amp;BB173&amp;EH$1)</f>
        <v/>
      </c>
      <c r="EI173" s="40" t="str">
        <f t="shared" ref="EI173" si="2740">IF(BC173="","","|n"&amp;EI$2&amp;"+"&amp;BC173&amp;EI$1)</f>
        <v/>
      </c>
      <c r="EJ173" s="40" t="str">
        <f t="shared" ref="EJ173" si="2741">IF(BD173="","","|n"&amp;EJ$2&amp;"+"&amp;BD173&amp;EJ$1)</f>
        <v/>
      </c>
      <c r="EK173" s="40" t="str">
        <f t="shared" ref="EK173" si="2742">IF(BE173="","","|n"&amp;EK$2&amp;"+"&amp;BE173&amp;EK$1)</f>
        <v/>
      </c>
      <c r="EL173" s="40" t="str">
        <f t="shared" ref="EL173" si="2743">IF(BF173="","","|n"&amp;EL$2&amp;"+"&amp;BF173&amp;EL$1)</f>
        <v/>
      </c>
      <c r="EM173" s="40" t="str">
        <f t="shared" ref="EM173" si="2744">IF(BG173="","","|n"&amp;EM$2&amp;"+"&amp;BG173&amp;EM$1)</f>
        <v/>
      </c>
      <c r="EN173" s="40" t="str">
        <f t="shared" ref="EN173" si="2745">IF(BH173="","","|n"&amp;EN$2&amp;"+"&amp;BH173&amp;EN$1)</f>
        <v/>
      </c>
      <c r="EO173" s="40" t="str">
        <f t="shared" ref="EO173" si="2746">IF(BI173="","","|n"&amp;EO$2&amp;"+"&amp;BI173&amp;EO$1)</f>
        <v/>
      </c>
      <c r="EP173" s="40" t="str">
        <f t="shared" ref="EP173" si="2747">IF(BJ173="","","|n"&amp;EP$2&amp;"+"&amp;BJ173&amp;EP$1)</f>
        <v/>
      </c>
      <c r="EQ173" s="40" t="str">
        <f t="shared" ref="EQ173" si="2748">IF(BK173="","","|n"&amp;EQ$2&amp;"+"&amp;BK173&amp;EQ$1)</f>
        <v/>
      </c>
      <c r="ER173" s="40" t="str">
        <f t="shared" ref="ER173" si="2749">IF(BL173="","","|n"&amp;ER$2&amp;"+"&amp;BL173&amp;ER$1)</f>
        <v/>
      </c>
      <c r="ES173" s="40" t="str">
        <f t="shared" ref="ES173" si="2750">IF(BM173="","","|n"&amp;ES$2&amp;"+"&amp;BM173&amp;ES$1)</f>
        <v/>
      </c>
      <c r="ET173" s="40" t="str">
        <f t="shared" ref="ET173" si="2751">IF(BN173="","","|n"&amp;ET$2&amp;"+"&amp;BN173&amp;ET$1)</f>
        <v/>
      </c>
      <c r="EU173" s="40" t="str">
        <f t="shared" ref="EU173" si="2752">IF(BO173="","","|n"&amp;EU$2&amp;"+"&amp;BO173&amp;EU$1)</f>
        <v/>
      </c>
      <c r="EV173" s="40" t="str">
        <f t="shared" ref="EV173" si="2753">IF(BP173="","","|n"&amp;EV$2&amp;"+"&amp;BP173&amp;EV$1)</f>
        <v/>
      </c>
      <c r="EW173" s="40" t="str">
        <f t="shared" ref="EW173" si="2754">IF(BQ173="","","|n"&amp;EW$2&amp;"+"&amp;BQ173&amp;EW$1)</f>
        <v/>
      </c>
      <c r="EX173" s="40" t="str">
        <f t="shared" ref="EX173" si="2755">IF(BR173="","","|n"&amp;EX$2&amp;"+"&amp;BR173&amp;EX$1)</f>
        <v/>
      </c>
      <c r="EY173" s="40" t="str">
        <f t="shared" ref="EY173" si="2756">IF(BS173="","","|n"&amp;EY$2&amp;"+"&amp;BS173&amp;EY$1)</f>
        <v/>
      </c>
      <c r="EZ173" s="40" t="str">
        <f t="shared" ref="EZ173" si="2757">IF(BT173="","","|n"&amp;EZ$2&amp;"+"&amp;BT173&amp;EZ$1)</f>
        <v/>
      </c>
      <c r="FA173" s="40" t="str">
        <f t="shared" ref="FA173" si="2758">IF(BU173="","","|n"&amp;FA$2&amp;"+"&amp;BU173&amp;FA$1)</f>
        <v/>
      </c>
      <c r="FB173" s="40" t="str">
        <f t="shared" ref="FB173" si="2759">IF(BV173="","","|n"&amp;FB$2&amp;"+"&amp;BV173&amp;FB$1)</f>
        <v/>
      </c>
      <c r="FC173" s="40" t="str">
        <f t="shared" ref="FC173" si="2760">IF(BW173="","","|n"&amp;FC$2&amp;"+"&amp;BW173&amp;FC$1)</f>
        <v/>
      </c>
      <c r="FD173" s="40" t="str">
        <f t="shared" ref="FD173" si="2761">IF(BX173="","","|n"&amp;FD$2&amp;"+"&amp;BX173&amp;FD$1)</f>
        <v/>
      </c>
      <c r="FE173" s="40" t="str">
        <f t="shared" ref="FE173" si="2762">IF(BY173="","","|n"&amp;FE$2&amp;"+"&amp;BY173&amp;FE$1)</f>
        <v/>
      </c>
      <c r="FF173" s="40" t="str">
        <f t="shared" ref="FF173" si="2763">IF(BZ173="","","|n"&amp;FF$2&amp;"+"&amp;BZ173&amp;FF$1)</f>
        <v/>
      </c>
      <c r="FG173" s="40" t="str">
        <f t="shared" ref="FG173" si="2764">IF(CA173="","","|n"&amp;FG$2&amp;"+"&amp;CA173&amp;FG$1)</f>
        <v/>
      </c>
      <c r="FH173" s="40" t="str">
        <f t="shared" ref="FH173" si="2765">IF(CB173="","","|n"&amp;FH$2&amp;"+"&amp;CB173&amp;FH$1)</f>
        <v/>
      </c>
      <c r="FI173" s="40" t="str">
        <f t="shared" ref="FI173" si="2766">IF(CC173="","","|n"&amp;FI$2&amp;"+"&amp;CC173&amp;FI$1)</f>
        <v/>
      </c>
      <c r="FJ173" s="40" t="str">
        <f t="shared" ref="FJ173" si="2767">IF(CD173="","","|n"&amp;FJ$2&amp;"+"&amp;CD173&amp;FJ$1)</f>
        <v/>
      </c>
      <c r="FK173" s="40" t="str">
        <f t="shared" ref="FK173" si="2768">IF(CE173="","","|n"&amp;FK$2&amp;"+"&amp;CE173&amp;FK$1)</f>
        <v/>
      </c>
      <c r="FL173" s="40" t="str">
        <f t="shared" ref="FL173" si="2769">IF(CF173="","","|n"&amp;FL$2&amp;"+"&amp;CF173&amp;FL$1)</f>
        <v/>
      </c>
      <c r="FM173" s="40" t="str">
        <f t="shared" ref="FM173" si="2770">IF(CG173="","","|n"&amp;FM$2&amp;"+"&amp;CG173&amp;FM$1)</f>
        <v/>
      </c>
      <c r="FN173" s="40" t="str">
        <f t="shared" ref="FN173" si="2771">IF(CH173="","","|n"&amp;FN$2&amp;"+"&amp;CH173&amp;FN$1)</f>
        <v/>
      </c>
      <c r="FO173" s="40" t="str">
        <f t="shared" ref="FO173" si="2772">IF(CI173="","","|n"&amp;FO$2&amp;"+"&amp;CI173&amp;FO$1)</f>
        <v/>
      </c>
      <c r="FP173" s="40" t="str">
        <f t="shared" ref="FP173" si="2773">IF(CJ173="","","|n"&amp;FP$2&amp;"+"&amp;CJ173&amp;FP$1)</f>
        <v/>
      </c>
      <c r="FQ173" s="40" t="str">
        <f t="shared" ref="FQ173" si="2774">IF(CK173="","","|n"&amp;FQ$2&amp;"+"&amp;CK173&amp;FQ$1)</f>
        <v/>
      </c>
      <c r="FR173" s="40" t="str">
        <f t="shared" ref="FR173" si="2775">IF(CL173="","","|n"&amp;FR$2&amp;"+"&amp;CL173&amp;FR$1)</f>
        <v/>
      </c>
      <c r="FS173" s="40" t="str">
        <f t="shared" ref="FS173" si="2776">IF(CM173="","","|n"&amp;FS$2&amp;"+"&amp;CM173&amp;FS$1)</f>
        <v/>
      </c>
    </row>
    <row r="174" spans="1:175" ht="16.5">
      <c r="A174" s="78"/>
      <c r="B174" s="2" t="s">
        <v>470</v>
      </c>
      <c r="C174" s="78" t="s">
        <v>471</v>
      </c>
      <c r="T174" s="78" t="s">
        <v>472</v>
      </c>
      <c r="U174" s="51" t="str">
        <f t="shared" ref="U174:U181" si="2777">"ReplaceableTextures\\CommandButtons\\BTN"&amp;B174&amp;".blp"</f>
        <v>ReplaceableTextures\\CommandButtons\\BTNIS11.blp</v>
      </c>
      <c r="CN174" s="10" t="str">
        <f t="shared" si="2400"/>
        <v>InitUnitState('IS11',,,,,,,,,,)</v>
      </c>
      <c r="CO174" s="10" t="str">
        <f t="shared" si="2401"/>
        <v>InitUnitNormal('IS11',,,,,,,,,,)</v>
      </c>
      <c r="CP174" s="10" t="str">
        <f t="shared" si="2402"/>
        <v>InitUnitMagic('IS11',,,,,,,,,,)</v>
      </c>
      <c r="CQ174" s="10" t="str">
        <f t="shared" si="2403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8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9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80">IF(V174="","","|n"&amp;DB$2&amp;"+"&amp;V174&amp;DB$1)</f>
        <v/>
      </c>
      <c r="DC174" s="40" t="str">
        <f t="shared" ref="DC174" si="2781">IF(W174="","","|n"&amp;DC$2&amp;"+"&amp;W174&amp;DC$1)</f>
        <v/>
      </c>
      <c r="DD174" s="40" t="str">
        <f t="shared" ref="DD174" si="2782">IF(X174="","","|n"&amp;DD$2&amp;"+"&amp;X174&amp;DD$1)</f>
        <v/>
      </c>
      <c r="DE174" s="40" t="str">
        <f t="shared" ref="DE174" si="2783">IF(Y174="","","|n"&amp;DE$2&amp;"+"&amp;Y174&amp;DE$1)</f>
        <v/>
      </c>
      <c r="DF174" s="40" t="str">
        <f t="shared" ref="DF174" si="2784">IF(Z174="","","|n"&amp;DF$2&amp;"+"&amp;Z174&amp;DF$1)</f>
        <v/>
      </c>
      <c r="DG174" s="40" t="str">
        <f t="shared" ref="DG174" si="2785">IF(AA174="","","|n"&amp;DG$2&amp;"+"&amp;AA174&amp;DG$1)</f>
        <v/>
      </c>
      <c r="DH174" s="40" t="str">
        <f t="shared" ref="DH174" si="2786">IF(AB174="","","|n"&amp;DH$2&amp;"+"&amp;AB174&amp;DH$1)</f>
        <v/>
      </c>
      <c r="DI174" s="40" t="str">
        <f t="shared" ref="DI174" si="2787">IF(AC174="","","|n"&amp;DI$2&amp;"+"&amp;AC174&amp;DI$1)</f>
        <v/>
      </c>
      <c r="DJ174" s="40" t="str">
        <f t="shared" ref="DJ174" si="2788">IF(AD174="","","|n"&amp;DJ$2&amp;"+"&amp;AD174&amp;DJ$1)</f>
        <v/>
      </c>
      <c r="DK174" s="40" t="str">
        <f t="shared" ref="DK174" si="2789">IF(AE174="","","|n"&amp;DK$2&amp;"+"&amp;AE174&amp;DK$1)</f>
        <v/>
      </c>
      <c r="DL174" s="40" t="str">
        <f t="shared" ref="DL174" si="2790">IF(AF174="","","|n"&amp;DL$2&amp;"+"&amp;AF174&amp;DL$1)</f>
        <v/>
      </c>
      <c r="DM174" s="40" t="str">
        <f t="shared" ref="DM174" si="2791">IF(AG174="","","|n"&amp;DM$2&amp;"+"&amp;AG174&amp;DM$1)</f>
        <v/>
      </c>
      <c r="DN174" s="40" t="str">
        <f t="shared" ref="DN174" si="2792">IF(AH174="","","|n"&amp;DN$2&amp;"+"&amp;AH174&amp;DN$1)</f>
        <v/>
      </c>
      <c r="DO174" s="40" t="str">
        <f t="shared" ref="DO174" si="2793">IF(AI174="","","|n"&amp;DO$2&amp;"+"&amp;AI174&amp;DO$1)</f>
        <v/>
      </c>
      <c r="DP174" s="40" t="str">
        <f t="shared" ref="DP174" si="2794">IF(AJ174="","","|n"&amp;DP$2&amp;"+"&amp;AJ174&amp;DP$1)</f>
        <v/>
      </c>
      <c r="DQ174" s="40" t="str">
        <f t="shared" ref="DQ174" si="2795">IF(AK174="","","|n"&amp;DQ$2&amp;"+"&amp;AK174&amp;DQ$1)</f>
        <v/>
      </c>
      <c r="DR174" s="40" t="str">
        <f t="shared" ref="DR174" si="2796">IF(AL174="","","|n"&amp;DR$2&amp;"+"&amp;AL174&amp;DR$1)</f>
        <v/>
      </c>
      <c r="DS174" s="40" t="str">
        <f t="shared" ref="DS174" si="2797">IF(AM174="","","|n"&amp;DS$2&amp;"+"&amp;AM174&amp;DS$1)</f>
        <v/>
      </c>
      <c r="DT174" s="40" t="str">
        <f t="shared" ref="DT174" si="2798">IF(AN174="","","|n"&amp;DT$2&amp;"+"&amp;AN174&amp;DT$1)</f>
        <v/>
      </c>
      <c r="DU174" s="40" t="str">
        <f t="shared" ref="DU174" si="2799">IF(AO174="","","|n"&amp;DU$2&amp;"+"&amp;AO174&amp;DU$1)</f>
        <v/>
      </c>
      <c r="DV174" s="40" t="str">
        <f t="shared" ref="DV174" si="2800">IF(AP174="","","|n"&amp;DV$2&amp;"+"&amp;AP174&amp;DV$1)</f>
        <v/>
      </c>
      <c r="DW174" s="40" t="str">
        <f t="shared" ref="DW174" si="2801">IF(AQ174="","","|n"&amp;DW$2&amp;"+"&amp;AQ174&amp;DW$1)</f>
        <v/>
      </c>
      <c r="DX174" s="40" t="str">
        <f t="shared" ref="DX174" si="2802">IF(AR174="","","|n"&amp;DX$2&amp;"+"&amp;AR174&amp;DX$1)</f>
        <v/>
      </c>
      <c r="DY174" s="40" t="str">
        <f t="shared" ref="DY174" si="2803">IF(AS174="","","|n"&amp;DY$2&amp;"+"&amp;AS174&amp;DY$1)</f>
        <v/>
      </c>
      <c r="DZ174" s="40" t="str">
        <f t="shared" ref="DZ174" si="2804">IF(AT174="","","|n"&amp;DZ$2&amp;"+"&amp;AT174&amp;DZ$1)</f>
        <v/>
      </c>
      <c r="EA174" s="40" t="str">
        <f t="shared" ref="EA174" si="2805">IF(AU174="","","|n"&amp;EA$2&amp;"+"&amp;AU174&amp;EA$1)</f>
        <v/>
      </c>
      <c r="EB174" s="40" t="str">
        <f t="shared" ref="EB174" si="2806">IF(AV174="","","|n"&amp;EB$2&amp;"+"&amp;AV174&amp;EB$1)</f>
        <v/>
      </c>
      <c r="EC174" s="40" t="str">
        <f t="shared" ref="EC174" si="2807">IF(AW174="","","|n"&amp;EC$2&amp;"+"&amp;AW174&amp;EC$1)</f>
        <v/>
      </c>
      <c r="ED174" s="40" t="str">
        <f t="shared" ref="ED174" si="2808">IF(AX174="","","|n"&amp;ED$2&amp;"+"&amp;AX174&amp;ED$1)</f>
        <v/>
      </c>
      <c r="EE174" s="40" t="str">
        <f t="shared" ref="EE174" si="2809">IF(AY174="","","|n"&amp;EE$2&amp;"+"&amp;AY174&amp;EE$1)</f>
        <v/>
      </c>
      <c r="EF174" s="40" t="str">
        <f t="shared" ref="EF174" si="2810">IF(AZ174="","","|n"&amp;EF$2&amp;"+"&amp;AZ174&amp;EF$1)</f>
        <v/>
      </c>
      <c r="EG174" s="40" t="str">
        <f t="shared" ref="EG174" si="2811">IF(BA174="","","|n"&amp;EG$2&amp;"+"&amp;BA174&amp;EG$1)</f>
        <v/>
      </c>
      <c r="EH174" s="40" t="str">
        <f t="shared" ref="EH174" si="2812">IF(BB174="","","|n"&amp;EH$2&amp;"+"&amp;BB174&amp;EH$1)</f>
        <v/>
      </c>
      <c r="EI174" s="40" t="str">
        <f t="shared" ref="EI174" si="2813">IF(BC174="","","|n"&amp;EI$2&amp;"+"&amp;BC174&amp;EI$1)</f>
        <v/>
      </c>
      <c r="EJ174" s="40" t="str">
        <f t="shared" ref="EJ174" si="2814">IF(BD174="","","|n"&amp;EJ$2&amp;"+"&amp;BD174&amp;EJ$1)</f>
        <v/>
      </c>
      <c r="EK174" s="40" t="str">
        <f t="shared" ref="EK174" si="2815">IF(BE174="","","|n"&amp;EK$2&amp;"+"&amp;BE174&amp;EK$1)</f>
        <v/>
      </c>
      <c r="EL174" s="40" t="str">
        <f t="shared" ref="EL174" si="2816">IF(BF174="","","|n"&amp;EL$2&amp;"+"&amp;BF174&amp;EL$1)</f>
        <v/>
      </c>
      <c r="EM174" s="40" t="str">
        <f t="shared" ref="EM174" si="2817">IF(BG174="","","|n"&amp;EM$2&amp;"+"&amp;BG174&amp;EM$1)</f>
        <v/>
      </c>
      <c r="EN174" s="40" t="str">
        <f t="shared" ref="EN174" si="2818">IF(BH174="","","|n"&amp;EN$2&amp;"+"&amp;BH174&amp;EN$1)</f>
        <v/>
      </c>
      <c r="EO174" s="40" t="str">
        <f t="shared" ref="EO174" si="2819">IF(BI174="","","|n"&amp;EO$2&amp;"+"&amp;BI174&amp;EO$1)</f>
        <v/>
      </c>
      <c r="EP174" s="40" t="str">
        <f t="shared" ref="EP174" si="2820">IF(BJ174="","","|n"&amp;EP$2&amp;"+"&amp;BJ174&amp;EP$1)</f>
        <v/>
      </c>
      <c r="EQ174" s="40" t="str">
        <f t="shared" ref="EQ174" si="2821">IF(BK174="","","|n"&amp;EQ$2&amp;"+"&amp;BK174&amp;EQ$1)</f>
        <v/>
      </c>
      <c r="ER174" s="40" t="str">
        <f t="shared" ref="ER174" si="2822">IF(BL174="","","|n"&amp;ER$2&amp;"+"&amp;BL174&amp;ER$1)</f>
        <v/>
      </c>
      <c r="ES174" s="40" t="str">
        <f t="shared" ref="ES174" si="2823">IF(BM174="","","|n"&amp;ES$2&amp;"+"&amp;BM174&amp;ES$1)</f>
        <v/>
      </c>
      <c r="ET174" s="40" t="str">
        <f t="shared" ref="ET174" si="2824">IF(BN174="","","|n"&amp;ET$2&amp;"+"&amp;BN174&amp;ET$1)</f>
        <v/>
      </c>
      <c r="EU174" s="40" t="str">
        <f t="shared" ref="EU174" si="2825">IF(BO174="","","|n"&amp;EU$2&amp;"+"&amp;BO174&amp;EU$1)</f>
        <v/>
      </c>
      <c r="EV174" s="40" t="str">
        <f t="shared" ref="EV174" si="2826">IF(BP174="","","|n"&amp;EV$2&amp;"+"&amp;BP174&amp;EV$1)</f>
        <v/>
      </c>
      <c r="EW174" s="40" t="str">
        <f t="shared" ref="EW174" si="2827">IF(BQ174="","","|n"&amp;EW$2&amp;"+"&amp;BQ174&amp;EW$1)</f>
        <v/>
      </c>
      <c r="EX174" s="40" t="str">
        <f t="shared" ref="EX174" si="2828">IF(BR174="","","|n"&amp;EX$2&amp;"+"&amp;BR174&amp;EX$1)</f>
        <v/>
      </c>
      <c r="EY174" s="40" t="str">
        <f t="shared" ref="EY174" si="2829">IF(BS174="","","|n"&amp;EY$2&amp;"+"&amp;BS174&amp;EY$1)</f>
        <v/>
      </c>
      <c r="EZ174" s="40" t="str">
        <f t="shared" ref="EZ174" si="2830">IF(BT174="","","|n"&amp;EZ$2&amp;"+"&amp;BT174&amp;EZ$1)</f>
        <v/>
      </c>
      <c r="FA174" s="40" t="str">
        <f t="shared" ref="FA174" si="2831">IF(BU174="","","|n"&amp;FA$2&amp;"+"&amp;BU174&amp;FA$1)</f>
        <v/>
      </c>
      <c r="FB174" s="40" t="str">
        <f t="shared" ref="FB174" si="2832">IF(BV174="","","|n"&amp;FB$2&amp;"+"&amp;BV174&amp;FB$1)</f>
        <v/>
      </c>
      <c r="FC174" s="40" t="str">
        <f t="shared" ref="FC174" si="2833">IF(BW174="","","|n"&amp;FC$2&amp;"+"&amp;BW174&amp;FC$1)</f>
        <v/>
      </c>
      <c r="FD174" s="40" t="str">
        <f t="shared" ref="FD174" si="2834">IF(BX174="","","|n"&amp;FD$2&amp;"+"&amp;BX174&amp;FD$1)</f>
        <v/>
      </c>
      <c r="FE174" s="40" t="str">
        <f t="shared" ref="FE174" si="2835">IF(BY174="","","|n"&amp;FE$2&amp;"+"&amp;BY174&amp;FE$1)</f>
        <v/>
      </c>
      <c r="FF174" s="40" t="str">
        <f t="shared" ref="FF174" si="2836">IF(BZ174="","","|n"&amp;FF$2&amp;"+"&amp;BZ174&amp;FF$1)</f>
        <v/>
      </c>
      <c r="FG174" s="40" t="str">
        <f t="shared" ref="FG174" si="2837">IF(CA174="","","|n"&amp;FG$2&amp;"+"&amp;CA174&amp;FG$1)</f>
        <v/>
      </c>
      <c r="FH174" s="40" t="str">
        <f t="shared" ref="FH174" si="2838">IF(CB174="","","|n"&amp;FH$2&amp;"+"&amp;CB174&amp;FH$1)</f>
        <v/>
      </c>
      <c r="FI174" s="40" t="str">
        <f t="shared" ref="FI174" si="2839">IF(CC174="","","|n"&amp;FI$2&amp;"+"&amp;CC174&amp;FI$1)</f>
        <v/>
      </c>
      <c r="FJ174" s="40" t="str">
        <f t="shared" ref="FJ174" si="2840">IF(CD174="","","|n"&amp;FJ$2&amp;"+"&amp;CD174&amp;FJ$1)</f>
        <v/>
      </c>
      <c r="FK174" s="40" t="str">
        <f t="shared" ref="FK174" si="2841">IF(CE174="","","|n"&amp;FK$2&amp;"+"&amp;CE174&amp;FK$1)</f>
        <v/>
      </c>
      <c r="FL174" s="40" t="str">
        <f t="shared" ref="FL174" si="2842">IF(CF174="","","|n"&amp;FL$2&amp;"+"&amp;CF174&amp;FL$1)</f>
        <v/>
      </c>
      <c r="FM174" s="40" t="str">
        <f t="shared" ref="FM174" si="2843">IF(CG174="","","|n"&amp;FM$2&amp;"+"&amp;CG174&amp;FM$1)</f>
        <v/>
      </c>
      <c r="FN174" s="40" t="str">
        <f t="shared" ref="FN174" si="2844">IF(CH174="","","|n"&amp;FN$2&amp;"+"&amp;CH174&amp;FN$1)</f>
        <v/>
      </c>
      <c r="FO174" s="40" t="str">
        <f t="shared" ref="FO174" si="2845">IF(CI174="","","|n"&amp;FO$2&amp;"+"&amp;CI174&amp;FO$1)</f>
        <v/>
      </c>
      <c r="FP174" s="40" t="str">
        <f t="shared" ref="FP174" si="2846">IF(CJ174="","","|n"&amp;FP$2&amp;"+"&amp;CJ174&amp;FP$1)</f>
        <v/>
      </c>
      <c r="FQ174" s="40" t="str">
        <f t="shared" ref="FQ174" si="2847">IF(CK174="","","|n"&amp;FQ$2&amp;"+"&amp;CK174&amp;FQ$1)</f>
        <v/>
      </c>
      <c r="FR174" s="40" t="str">
        <f t="shared" ref="FR174" si="2848">IF(CL174="","","|n"&amp;FR$2&amp;"+"&amp;CL174&amp;FR$1)</f>
        <v/>
      </c>
      <c r="FS174" s="40" t="str">
        <f t="shared" ref="FS174" si="2849">IF(CM174="","","|n"&amp;FS$2&amp;"+"&amp;CM174&amp;FS$1)</f>
        <v/>
      </c>
    </row>
    <row r="175" spans="1:175" ht="16.5">
      <c r="A175" s="78"/>
      <c r="B175" s="2" t="s">
        <v>473</v>
      </c>
      <c r="C175" s="78" t="s">
        <v>474</v>
      </c>
      <c r="T175" s="78" t="s">
        <v>475</v>
      </c>
      <c r="U175" s="51" t="str">
        <f t="shared" si="2777"/>
        <v>ReplaceableTextures\\CommandButtons\\BTNIH00.blp</v>
      </c>
      <c r="CN175" s="10" t="str">
        <f t="shared" si="2400"/>
        <v>InitUnitState('IH00',,,,,,,,,,)</v>
      </c>
      <c r="CO175" s="10" t="str">
        <f t="shared" si="2401"/>
        <v>InitUnitNormal('IH00',,,,,,,,,,)</v>
      </c>
      <c r="CP175" s="10" t="str">
        <f t="shared" si="2402"/>
        <v>InitUnitMagic('IH00',,,,,,,,,,)</v>
      </c>
      <c r="CQ175" s="10" t="str">
        <f t="shared" si="2403"/>
        <v>InitUnitAdd('IH00',,,,,,,,,,)</v>
      </c>
      <c r="CR175" s="10" t="str">
        <f t="shared" ref="CR175:CR182" si="2850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3"/>
        <v>|n</v>
      </c>
      <c r="CV175" s="3" t="str">
        <f t="shared" si="2634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5"/>
        <v/>
      </c>
      <c r="DC175" s="40" t="str">
        <f t="shared" si="2636"/>
        <v/>
      </c>
      <c r="DD175" s="40" t="str">
        <f t="shared" si="2637"/>
        <v/>
      </c>
      <c r="DE175" s="40" t="str">
        <f t="shared" si="2638"/>
        <v/>
      </c>
      <c r="DF175" s="40" t="str">
        <f t="shared" si="2639"/>
        <v/>
      </c>
      <c r="DG175" s="40" t="str">
        <f t="shared" si="2640"/>
        <v/>
      </c>
      <c r="DH175" s="40" t="str">
        <f t="shared" si="2641"/>
        <v/>
      </c>
      <c r="DI175" s="40" t="str">
        <f t="shared" si="2642"/>
        <v/>
      </c>
      <c r="DJ175" s="40" t="str">
        <f t="shared" si="2643"/>
        <v/>
      </c>
      <c r="DK175" s="40" t="str">
        <f t="shared" si="2644"/>
        <v/>
      </c>
      <c r="DL175" s="40" t="str">
        <f t="shared" si="2645"/>
        <v/>
      </c>
      <c r="DM175" s="40" t="str">
        <f t="shared" si="2646"/>
        <v/>
      </c>
      <c r="DN175" s="40" t="str">
        <f t="shared" si="2647"/>
        <v/>
      </c>
      <c r="DO175" s="40" t="str">
        <f t="shared" si="2648"/>
        <v/>
      </c>
      <c r="DP175" s="40" t="str">
        <f t="shared" si="2649"/>
        <v/>
      </c>
      <c r="DQ175" s="40" t="str">
        <f t="shared" si="2650"/>
        <v/>
      </c>
      <c r="DR175" s="40" t="str">
        <f t="shared" si="2651"/>
        <v/>
      </c>
      <c r="DS175" s="40" t="str">
        <f t="shared" si="2652"/>
        <v/>
      </c>
      <c r="DT175" s="40" t="str">
        <f t="shared" si="2653"/>
        <v/>
      </c>
      <c r="DU175" s="40" t="str">
        <f t="shared" si="2654"/>
        <v/>
      </c>
      <c r="DV175" s="40" t="str">
        <f t="shared" si="2655"/>
        <v/>
      </c>
      <c r="DW175" s="40" t="str">
        <f t="shared" si="2656"/>
        <v/>
      </c>
      <c r="DX175" s="40" t="str">
        <f t="shared" si="2657"/>
        <v/>
      </c>
      <c r="DY175" s="40" t="str">
        <f t="shared" si="2658"/>
        <v/>
      </c>
      <c r="DZ175" s="40" t="str">
        <f t="shared" si="2659"/>
        <v/>
      </c>
      <c r="EA175" s="40" t="str">
        <f t="shared" si="2660"/>
        <v/>
      </c>
      <c r="EB175" s="40" t="str">
        <f t="shared" si="2661"/>
        <v/>
      </c>
      <c r="EC175" s="40" t="str">
        <f t="shared" si="2662"/>
        <v/>
      </c>
      <c r="ED175" s="40" t="str">
        <f t="shared" si="2663"/>
        <v/>
      </c>
      <c r="EE175" s="40" t="str">
        <f t="shared" si="2664"/>
        <v/>
      </c>
      <c r="EF175" s="40" t="str">
        <f t="shared" si="2665"/>
        <v/>
      </c>
      <c r="EG175" s="40" t="str">
        <f t="shared" si="2666"/>
        <v/>
      </c>
      <c r="EH175" s="40" t="str">
        <f t="shared" si="2667"/>
        <v/>
      </c>
      <c r="EI175" s="40" t="str">
        <f t="shared" si="2668"/>
        <v/>
      </c>
      <c r="EJ175" s="40" t="str">
        <f t="shared" si="2669"/>
        <v/>
      </c>
      <c r="EK175" s="40" t="str">
        <f t="shared" si="2670"/>
        <v/>
      </c>
      <c r="EL175" s="40" t="str">
        <f t="shared" si="2671"/>
        <v/>
      </c>
      <c r="EM175" s="40" t="str">
        <f t="shared" si="2672"/>
        <v/>
      </c>
      <c r="EN175" s="40" t="str">
        <f t="shared" si="2673"/>
        <v/>
      </c>
      <c r="EO175" s="40" t="str">
        <f t="shared" si="2674"/>
        <v/>
      </c>
      <c r="EP175" s="40" t="str">
        <f t="shared" si="2675"/>
        <v/>
      </c>
      <c r="EQ175" s="40" t="str">
        <f t="shared" si="2676"/>
        <v/>
      </c>
      <c r="ER175" s="40" t="str">
        <f t="shared" si="2677"/>
        <v/>
      </c>
      <c r="ES175" s="40" t="str">
        <f t="shared" si="2678"/>
        <v/>
      </c>
      <c r="ET175" s="40" t="str">
        <f t="shared" si="2679"/>
        <v/>
      </c>
      <c r="EU175" s="40" t="str">
        <f t="shared" si="2680"/>
        <v/>
      </c>
      <c r="EV175" s="40" t="str">
        <f t="shared" si="2681"/>
        <v/>
      </c>
      <c r="EW175" s="40" t="str">
        <f t="shared" si="2682"/>
        <v/>
      </c>
      <c r="EX175" s="40" t="str">
        <f t="shared" si="2683"/>
        <v/>
      </c>
      <c r="EY175" s="40" t="str">
        <f t="shared" si="2684"/>
        <v/>
      </c>
      <c r="EZ175" s="40" t="str">
        <f t="shared" si="2685"/>
        <v/>
      </c>
      <c r="FA175" s="40" t="str">
        <f t="shared" si="2686"/>
        <v/>
      </c>
      <c r="FB175" s="40" t="str">
        <f t="shared" si="2687"/>
        <v/>
      </c>
      <c r="FC175" s="40" t="str">
        <f t="shared" si="2688"/>
        <v/>
      </c>
      <c r="FD175" s="40" t="str">
        <f t="shared" si="2689"/>
        <v/>
      </c>
      <c r="FE175" s="40" t="str">
        <f t="shared" si="2690"/>
        <v/>
      </c>
      <c r="FF175" s="40" t="str">
        <f t="shared" si="2691"/>
        <v/>
      </c>
      <c r="FG175" s="40" t="str">
        <f t="shared" si="2692"/>
        <v/>
      </c>
      <c r="FH175" s="40" t="str">
        <f t="shared" si="2693"/>
        <v/>
      </c>
      <c r="FI175" s="40" t="str">
        <f t="shared" si="2694"/>
        <v/>
      </c>
      <c r="FJ175" s="40" t="str">
        <f t="shared" si="2695"/>
        <v/>
      </c>
      <c r="FK175" s="40" t="str">
        <f t="shared" si="2696"/>
        <v/>
      </c>
      <c r="FL175" s="40" t="str">
        <f t="shared" si="2697"/>
        <v/>
      </c>
      <c r="FM175" s="40" t="str">
        <f t="shared" si="2698"/>
        <v/>
      </c>
      <c r="FN175" s="40" t="str">
        <f t="shared" si="2699"/>
        <v/>
      </c>
      <c r="FO175" s="40" t="str">
        <f t="shared" si="2700"/>
        <v/>
      </c>
      <c r="FP175" s="40" t="str">
        <f t="shared" si="2701"/>
        <v/>
      </c>
      <c r="FQ175" s="40" t="str">
        <f t="shared" si="2702"/>
        <v/>
      </c>
      <c r="FR175" s="40" t="str">
        <f t="shared" si="2703"/>
        <v/>
      </c>
      <c r="FS175" s="40" t="str">
        <f t="shared" si="2704"/>
        <v/>
      </c>
    </row>
    <row r="176" spans="1:175" ht="42.75">
      <c r="A176" s="78"/>
      <c r="B176" s="2" t="s">
        <v>476</v>
      </c>
      <c r="C176" s="78" t="s">
        <v>477</v>
      </c>
      <c r="T176" s="84" t="s">
        <v>478</v>
      </c>
      <c r="U176" s="51" t="str">
        <f t="shared" si="2777"/>
        <v>ReplaceableTextures\\CommandButtons\\BTNIH01.blp</v>
      </c>
      <c r="CN176" s="10" t="str">
        <f t="shared" si="2400"/>
        <v>InitUnitState('IH01',,,,,,,,,,)</v>
      </c>
      <c r="CO176" s="10" t="str">
        <f t="shared" si="2401"/>
        <v>InitUnitNormal('IH01',,,,,,,,,,)</v>
      </c>
      <c r="CP176" s="10" t="str">
        <f t="shared" si="2402"/>
        <v>InitUnitMagic('IH01',,,,,,,,,,)</v>
      </c>
      <c r="CQ176" s="10" t="str">
        <f t="shared" si="2403"/>
        <v>InitUnitAdd('IH01',,,,,,,,,,)</v>
      </c>
      <c r="CR176" s="10" t="str">
        <f t="shared" si="2850"/>
        <v>InitEquipData('IH01',,"",,,,,'','','','','','',"ReplaceableTextures\\CommandButtons\\BTNIH02.blp")</v>
      </c>
      <c r="CU176" s="61" t="str">
        <f t="shared" ref="CU176" si="285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2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3">IF(V176="","","|n"&amp;DB$2&amp;"+"&amp;V176&amp;DB$1)</f>
        <v/>
      </c>
      <c r="DC176" s="40" t="str">
        <f t="shared" ref="DC176" si="2854">IF(W176="","","|n"&amp;DC$2&amp;"+"&amp;W176&amp;DC$1)</f>
        <v/>
      </c>
      <c r="DD176" s="40" t="str">
        <f t="shared" ref="DD176" si="2855">IF(X176="","","|n"&amp;DD$2&amp;"+"&amp;X176&amp;DD$1)</f>
        <v/>
      </c>
      <c r="DE176" s="40" t="str">
        <f t="shared" ref="DE176" si="2856">IF(Y176="","","|n"&amp;DE$2&amp;"+"&amp;Y176&amp;DE$1)</f>
        <v/>
      </c>
      <c r="DF176" s="40" t="str">
        <f t="shared" ref="DF176" si="2857">IF(Z176="","","|n"&amp;DF$2&amp;"+"&amp;Z176&amp;DF$1)</f>
        <v/>
      </c>
      <c r="DG176" s="40" t="str">
        <f t="shared" ref="DG176" si="2858">IF(AA176="","","|n"&amp;DG$2&amp;"+"&amp;AA176&amp;DG$1)</f>
        <v/>
      </c>
      <c r="DH176" s="40" t="str">
        <f t="shared" ref="DH176" si="2859">IF(AB176="","","|n"&amp;DH$2&amp;"+"&amp;AB176&amp;DH$1)</f>
        <v/>
      </c>
      <c r="DI176" s="40" t="str">
        <f t="shared" ref="DI176" si="2860">IF(AC176="","","|n"&amp;DI$2&amp;"+"&amp;AC176&amp;DI$1)</f>
        <v/>
      </c>
      <c r="DJ176" s="40" t="str">
        <f t="shared" ref="DJ176" si="2861">IF(AD176="","","|n"&amp;DJ$2&amp;"+"&amp;AD176&amp;DJ$1)</f>
        <v/>
      </c>
      <c r="DK176" s="40" t="str">
        <f t="shared" ref="DK176" si="2862">IF(AE176="","","|n"&amp;DK$2&amp;"+"&amp;AE176&amp;DK$1)</f>
        <v/>
      </c>
      <c r="DL176" s="40" t="str">
        <f t="shared" ref="DL176" si="2863">IF(AF176="","","|n"&amp;DL$2&amp;"+"&amp;AF176&amp;DL$1)</f>
        <v/>
      </c>
      <c r="DM176" s="40" t="str">
        <f t="shared" ref="DM176" si="2864">IF(AG176="","","|n"&amp;DM$2&amp;"+"&amp;AG176&amp;DM$1)</f>
        <v/>
      </c>
      <c r="DN176" s="40" t="str">
        <f t="shared" ref="DN176" si="2865">IF(AH176="","","|n"&amp;DN$2&amp;"+"&amp;AH176&amp;DN$1)</f>
        <v/>
      </c>
      <c r="DO176" s="40" t="str">
        <f t="shared" ref="DO176" si="2866">IF(AI176="","","|n"&amp;DO$2&amp;"+"&amp;AI176&amp;DO$1)</f>
        <v/>
      </c>
      <c r="DP176" s="40" t="str">
        <f t="shared" ref="DP176" si="2867">IF(AJ176="","","|n"&amp;DP$2&amp;"+"&amp;AJ176&amp;DP$1)</f>
        <v/>
      </c>
      <c r="DQ176" s="40" t="str">
        <f t="shared" ref="DQ176" si="2868">IF(AK176="","","|n"&amp;DQ$2&amp;"+"&amp;AK176&amp;DQ$1)</f>
        <v/>
      </c>
      <c r="DR176" s="40" t="str">
        <f t="shared" ref="DR176" si="2869">IF(AL176="","","|n"&amp;DR$2&amp;"+"&amp;AL176&amp;DR$1)</f>
        <v/>
      </c>
      <c r="DS176" s="40" t="str">
        <f t="shared" ref="DS176" si="2870">IF(AM176="","","|n"&amp;DS$2&amp;"+"&amp;AM176&amp;DS$1)</f>
        <v/>
      </c>
      <c r="DT176" s="40" t="str">
        <f t="shared" ref="DT176" si="2871">IF(AN176="","","|n"&amp;DT$2&amp;"+"&amp;AN176&amp;DT$1)</f>
        <v/>
      </c>
      <c r="DU176" s="40" t="str">
        <f t="shared" ref="DU176" si="2872">IF(AO176="","","|n"&amp;DU$2&amp;"+"&amp;AO176&amp;DU$1)</f>
        <v/>
      </c>
      <c r="DV176" s="40" t="str">
        <f t="shared" ref="DV176" si="2873">IF(AP176="","","|n"&amp;DV$2&amp;"+"&amp;AP176&amp;DV$1)</f>
        <v/>
      </c>
      <c r="DW176" s="40" t="str">
        <f t="shared" ref="DW176" si="2874">IF(AQ176="","","|n"&amp;DW$2&amp;"+"&amp;AQ176&amp;DW$1)</f>
        <v/>
      </c>
      <c r="DX176" s="40" t="str">
        <f t="shared" ref="DX176" si="2875">IF(AR176="","","|n"&amp;DX$2&amp;"+"&amp;AR176&amp;DX$1)</f>
        <v/>
      </c>
      <c r="DY176" s="40" t="str">
        <f t="shared" ref="DY176" si="2876">IF(AS176="","","|n"&amp;DY$2&amp;"+"&amp;AS176&amp;DY$1)</f>
        <v/>
      </c>
      <c r="DZ176" s="40" t="str">
        <f t="shared" ref="DZ176" si="2877">IF(AT176="","","|n"&amp;DZ$2&amp;"+"&amp;AT176&amp;DZ$1)</f>
        <v/>
      </c>
      <c r="EA176" s="40" t="str">
        <f t="shared" ref="EA176" si="2878">IF(AU176="","","|n"&amp;EA$2&amp;"+"&amp;AU176&amp;EA$1)</f>
        <v/>
      </c>
      <c r="EB176" s="40" t="str">
        <f t="shared" ref="EB176" si="2879">IF(AV176="","","|n"&amp;EB$2&amp;"+"&amp;AV176&amp;EB$1)</f>
        <v/>
      </c>
      <c r="EC176" s="40" t="str">
        <f t="shared" ref="EC176" si="2880">IF(AW176="","","|n"&amp;EC$2&amp;"+"&amp;AW176&amp;EC$1)</f>
        <v/>
      </c>
      <c r="ED176" s="40" t="str">
        <f t="shared" ref="ED176" si="2881">IF(AX176="","","|n"&amp;ED$2&amp;"+"&amp;AX176&amp;ED$1)</f>
        <v/>
      </c>
      <c r="EE176" s="40" t="str">
        <f t="shared" ref="EE176" si="2882">IF(AY176="","","|n"&amp;EE$2&amp;"+"&amp;AY176&amp;EE$1)</f>
        <v/>
      </c>
      <c r="EF176" s="40" t="str">
        <f t="shared" ref="EF176" si="2883">IF(AZ176="","","|n"&amp;EF$2&amp;"+"&amp;AZ176&amp;EF$1)</f>
        <v/>
      </c>
      <c r="EG176" s="40" t="str">
        <f t="shared" ref="EG176" si="2884">IF(BA176="","","|n"&amp;EG$2&amp;"+"&amp;BA176&amp;EG$1)</f>
        <v/>
      </c>
      <c r="EH176" s="40" t="str">
        <f t="shared" ref="EH176" si="2885">IF(BB176="","","|n"&amp;EH$2&amp;"+"&amp;BB176&amp;EH$1)</f>
        <v/>
      </c>
      <c r="EI176" s="40" t="str">
        <f t="shared" ref="EI176" si="2886">IF(BC176="","","|n"&amp;EI$2&amp;"+"&amp;BC176&amp;EI$1)</f>
        <v/>
      </c>
      <c r="EJ176" s="40" t="str">
        <f t="shared" ref="EJ176" si="2887">IF(BD176="","","|n"&amp;EJ$2&amp;"+"&amp;BD176&amp;EJ$1)</f>
        <v/>
      </c>
      <c r="EK176" s="40" t="str">
        <f t="shared" ref="EK176" si="2888">IF(BE176="","","|n"&amp;EK$2&amp;"+"&amp;BE176&amp;EK$1)</f>
        <v/>
      </c>
      <c r="EL176" s="40" t="str">
        <f t="shared" ref="EL176" si="2889">IF(BF176="","","|n"&amp;EL$2&amp;"+"&amp;BF176&amp;EL$1)</f>
        <v/>
      </c>
      <c r="EM176" s="40" t="str">
        <f t="shared" ref="EM176" si="2890">IF(BG176="","","|n"&amp;EM$2&amp;"+"&amp;BG176&amp;EM$1)</f>
        <v/>
      </c>
      <c r="EN176" s="40" t="str">
        <f t="shared" ref="EN176" si="2891">IF(BH176="","","|n"&amp;EN$2&amp;"+"&amp;BH176&amp;EN$1)</f>
        <v/>
      </c>
      <c r="EO176" s="40" t="str">
        <f t="shared" ref="EO176" si="2892">IF(BI176="","","|n"&amp;EO$2&amp;"+"&amp;BI176&amp;EO$1)</f>
        <v/>
      </c>
      <c r="EP176" s="40" t="str">
        <f t="shared" ref="EP176" si="2893">IF(BJ176="","","|n"&amp;EP$2&amp;"+"&amp;BJ176&amp;EP$1)</f>
        <v/>
      </c>
      <c r="EQ176" s="40" t="str">
        <f t="shared" ref="EQ176" si="2894">IF(BK176="","","|n"&amp;EQ$2&amp;"+"&amp;BK176&amp;EQ$1)</f>
        <v/>
      </c>
      <c r="ER176" s="40" t="str">
        <f t="shared" ref="ER176" si="2895">IF(BL176="","","|n"&amp;ER$2&amp;"+"&amp;BL176&amp;ER$1)</f>
        <v/>
      </c>
      <c r="ES176" s="40" t="str">
        <f t="shared" ref="ES176" si="2896">IF(BM176="","","|n"&amp;ES$2&amp;"+"&amp;BM176&amp;ES$1)</f>
        <v/>
      </c>
      <c r="ET176" s="40" t="str">
        <f t="shared" ref="ET176" si="2897">IF(BN176="","","|n"&amp;ET$2&amp;"+"&amp;BN176&amp;ET$1)</f>
        <v/>
      </c>
      <c r="EU176" s="40" t="str">
        <f t="shared" ref="EU176" si="2898">IF(BO176="","","|n"&amp;EU$2&amp;"+"&amp;BO176&amp;EU$1)</f>
        <v/>
      </c>
      <c r="EV176" s="40" t="str">
        <f t="shared" ref="EV176" si="2899">IF(BP176="","","|n"&amp;EV$2&amp;"+"&amp;BP176&amp;EV$1)</f>
        <v/>
      </c>
      <c r="EW176" s="40" t="str">
        <f t="shared" ref="EW176" si="2900">IF(BQ176="","","|n"&amp;EW$2&amp;"+"&amp;BQ176&amp;EW$1)</f>
        <v/>
      </c>
      <c r="EX176" s="40" t="str">
        <f t="shared" ref="EX176" si="2901">IF(BR176="","","|n"&amp;EX$2&amp;"+"&amp;BR176&amp;EX$1)</f>
        <v/>
      </c>
      <c r="EY176" s="40" t="str">
        <f t="shared" ref="EY176" si="2902">IF(BS176="","","|n"&amp;EY$2&amp;"+"&amp;BS176&amp;EY$1)</f>
        <v/>
      </c>
      <c r="EZ176" s="40" t="str">
        <f t="shared" ref="EZ176" si="2903">IF(BT176="","","|n"&amp;EZ$2&amp;"+"&amp;BT176&amp;EZ$1)</f>
        <v/>
      </c>
      <c r="FA176" s="40" t="str">
        <f t="shared" ref="FA176" si="2904">IF(BU176="","","|n"&amp;FA$2&amp;"+"&amp;BU176&amp;FA$1)</f>
        <v/>
      </c>
      <c r="FB176" s="40" t="str">
        <f t="shared" ref="FB176" si="2905">IF(BV176="","","|n"&amp;FB$2&amp;"+"&amp;BV176&amp;FB$1)</f>
        <v/>
      </c>
      <c r="FC176" s="40" t="str">
        <f t="shared" ref="FC176" si="2906">IF(BW176="","","|n"&amp;FC$2&amp;"+"&amp;BW176&amp;FC$1)</f>
        <v/>
      </c>
      <c r="FD176" s="40" t="str">
        <f t="shared" ref="FD176" si="2907">IF(BX176="","","|n"&amp;FD$2&amp;"+"&amp;BX176&amp;FD$1)</f>
        <v/>
      </c>
      <c r="FE176" s="40" t="str">
        <f t="shared" ref="FE176" si="2908">IF(BY176="","","|n"&amp;FE$2&amp;"+"&amp;BY176&amp;FE$1)</f>
        <v/>
      </c>
      <c r="FF176" s="40" t="str">
        <f t="shared" ref="FF176" si="2909">IF(BZ176="","","|n"&amp;FF$2&amp;"+"&amp;BZ176&amp;FF$1)</f>
        <v/>
      </c>
      <c r="FG176" s="40" t="str">
        <f t="shared" ref="FG176" si="2910">IF(CA176="","","|n"&amp;FG$2&amp;"+"&amp;CA176&amp;FG$1)</f>
        <v/>
      </c>
      <c r="FH176" s="40" t="str">
        <f t="shared" ref="FH176" si="2911">IF(CB176="","","|n"&amp;FH$2&amp;"+"&amp;CB176&amp;FH$1)</f>
        <v/>
      </c>
      <c r="FI176" s="40" t="str">
        <f t="shared" ref="FI176" si="2912">IF(CC176="","","|n"&amp;FI$2&amp;"+"&amp;CC176&amp;FI$1)</f>
        <v/>
      </c>
      <c r="FJ176" s="40" t="str">
        <f t="shared" ref="FJ176" si="2913">IF(CD176="","","|n"&amp;FJ$2&amp;"+"&amp;CD176&amp;FJ$1)</f>
        <v/>
      </c>
      <c r="FK176" s="40" t="str">
        <f t="shared" ref="FK176" si="2914">IF(CE176="","","|n"&amp;FK$2&amp;"+"&amp;CE176&amp;FK$1)</f>
        <v/>
      </c>
      <c r="FL176" s="40" t="str">
        <f t="shared" ref="FL176" si="2915">IF(CF176="","","|n"&amp;FL$2&amp;"+"&amp;CF176&amp;FL$1)</f>
        <v/>
      </c>
      <c r="FM176" s="40" t="str">
        <f t="shared" ref="FM176" si="2916">IF(CG176="","","|n"&amp;FM$2&amp;"+"&amp;CG176&amp;FM$1)</f>
        <v/>
      </c>
      <c r="FN176" s="40" t="str">
        <f t="shared" ref="FN176" si="2917">IF(CH176="","","|n"&amp;FN$2&amp;"+"&amp;CH176&amp;FN$1)</f>
        <v/>
      </c>
      <c r="FO176" s="40" t="str">
        <f t="shared" ref="FO176" si="2918">IF(CI176="","","|n"&amp;FO$2&amp;"+"&amp;CI176&amp;FO$1)</f>
        <v/>
      </c>
      <c r="FP176" s="40" t="str">
        <f t="shared" ref="FP176" si="2919">IF(CJ176="","","|n"&amp;FP$2&amp;"+"&amp;CJ176&amp;FP$1)</f>
        <v/>
      </c>
      <c r="FQ176" s="40" t="str">
        <f t="shared" ref="FQ176" si="2920">IF(CK176="","","|n"&amp;FQ$2&amp;"+"&amp;CK176&amp;FQ$1)</f>
        <v/>
      </c>
      <c r="FR176" s="40" t="str">
        <f t="shared" ref="FR176" si="2921">IF(CL176="","","|n"&amp;FR$2&amp;"+"&amp;CL176&amp;FR$1)</f>
        <v/>
      </c>
      <c r="FS176" s="40" t="str">
        <f t="shared" ref="FS176" si="2922">IF(CM176="","","|n"&amp;FS$2&amp;"+"&amp;CM176&amp;FS$1)</f>
        <v/>
      </c>
    </row>
    <row r="177" spans="1:175" ht="16.5">
      <c r="A177" s="78"/>
      <c r="B177" s="2" t="s">
        <v>479</v>
      </c>
      <c r="C177" s="78" t="s">
        <v>480</v>
      </c>
      <c r="T177" s="78" t="s">
        <v>481</v>
      </c>
      <c r="U177" s="51" t="str">
        <f t="shared" si="2777"/>
        <v>ReplaceableTextures\\CommandButtons\\BTNIH02.blp</v>
      </c>
      <c r="CN177" s="10" t="str">
        <f t="shared" si="2400"/>
        <v>InitUnitState('IH02',,,,,,,,,,)</v>
      </c>
      <c r="CO177" s="10" t="str">
        <f t="shared" si="2401"/>
        <v>InitUnitNormal('IH02',,,,,,,,,,)</v>
      </c>
      <c r="CP177" s="10" t="str">
        <f t="shared" si="2402"/>
        <v>InitUnitMagic('IH02',,,,,,,,,,)</v>
      </c>
      <c r="CQ177" s="10" t="str">
        <f t="shared" si="2403"/>
        <v>InitUnitAdd('IH02',,,,,,,,,,)</v>
      </c>
      <c r="CR177" s="10" t="str">
        <f t="shared" si="2850"/>
        <v>InitEquipData('IH02',,"",,,,,'','','','','','',"ReplaceableTextures\\CommandButtons\\BTNIH03.blp")</v>
      </c>
      <c r="CU177" s="61" t="str">
        <f t="shared" ref="CU177:CU183" si="2923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4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5">IF(V177="","","|n"&amp;DB$2&amp;"+"&amp;V177&amp;DB$1)</f>
        <v/>
      </c>
      <c r="DC177" s="40" t="str">
        <f t="shared" ref="DC177:DC183" si="2926">IF(W177="","","|n"&amp;DC$2&amp;"+"&amp;W177&amp;DC$1)</f>
        <v/>
      </c>
      <c r="DD177" s="40" t="str">
        <f t="shared" ref="DD177:DD183" si="2927">IF(X177="","","|n"&amp;DD$2&amp;"+"&amp;X177&amp;DD$1)</f>
        <v/>
      </c>
      <c r="DE177" s="40" t="str">
        <f t="shared" ref="DE177:DE183" si="2928">IF(Y177="","","|n"&amp;DE$2&amp;"+"&amp;Y177&amp;DE$1)</f>
        <v/>
      </c>
      <c r="DF177" s="40" t="str">
        <f t="shared" ref="DF177:DF183" si="2929">IF(Z177="","","|n"&amp;DF$2&amp;"+"&amp;Z177&amp;DF$1)</f>
        <v/>
      </c>
      <c r="DG177" s="40" t="str">
        <f t="shared" ref="DG177:DG183" si="2930">IF(AA177="","","|n"&amp;DG$2&amp;"+"&amp;AA177&amp;DG$1)</f>
        <v/>
      </c>
      <c r="DH177" s="40" t="str">
        <f t="shared" ref="DH177:DH183" si="2931">IF(AB177="","","|n"&amp;DH$2&amp;"+"&amp;AB177&amp;DH$1)</f>
        <v/>
      </c>
      <c r="DI177" s="40" t="str">
        <f t="shared" ref="DI177:DI183" si="2932">IF(AC177="","","|n"&amp;DI$2&amp;"+"&amp;AC177&amp;DI$1)</f>
        <v/>
      </c>
      <c r="DJ177" s="40" t="str">
        <f t="shared" ref="DJ177:DJ183" si="2933">IF(AD177="","","|n"&amp;DJ$2&amp;"+"&amp;AD177&amp;DJ$1)</f>
        <v/>
      </c>
      <c r="DK177" s="40" t="str">
        <f t="shared" ref="DK177:DK183" si="2934">IF(AE177="","","|n"&amp;DK$2&amp;"+"&amp;AE177&amp;DK$1)</f>
        <v/>
      </c>
      <c r="DL177" s="40" t="str">
        <f t="shared" ref="DL177:DL183" si="2935">IF(AF177="","","|n"&amp;DL$2&amp;"+"&amp;AF177&amp;DL$1)</f>
        <v/>
      </c>
      <c r="DM177" s="40" t="str">
        <f t="shared" ref="DM177:DM183" si="2936">IF(AG177="","","|n"&amp;DM$2&amp;"+"&amp;AG177&amp;DM$1)</f>
        <v/>
      </c>
      <c r="DN177" s="40" t="str">
        <f t="shared" ref="DN177:DN183" si="2937">IF(AH177="","","|n"&amp;DN$2&amp;"+"&amp;AH177&amp;DN$1)</f>
        <v/>
      </c>
      <c r="DO177" s="40" t="str">
        <f t="shared" ref="DO177:DO183" si="2938">IF(AI177="","","|n"&amp;DO$2&amp;"+"&amp;AI177&amp;DO$1)</f>
        <v/>
      </c>
      <c r="DP177" s="40" t="str">
        <f t="shared" ref="DP177:DP183" si="2939">IF(AJ177="","","|n"&amp;DP$2&amp;"+"&amp;AJ177&amp;DP$1)</f>
        <v/>
      </c>
      <c r="DQ177" s="40" t="str">
        <f t="shared" ref="DQ177:DQ183" si="2940">IF(AK177="","","|n"&amp;DQ$2&amp;"+"&amp;AK177&amp;DQ$1)</f>
        <v/>
      </c>
      <c r="DR177" s="40" t="str">
        <f t="shared" ref="DR177:DR183" si="2941">IF(AL177="","","|n"&amp;DR$2&amp;"+"&amp;AL177&amp;DR$1)</f>
        <v/>
      </c>
      <c r="DS177" s="40" t="str">
        <f t="shared" ref="DS177:DS183" si="2942">IF(AM177="","","|n"&amp;DS$2&amp;"+"&amp;AM177&amp;DS$1)</f>
        <v/>
      </c>
      <c r="DT177" s="40" t="str">
        <f t="shared" ref="DT177:DT183" si="2943">IF(AN177="","","|n"&amp;DT$2&amp;"+"&amp;AN177&amp;DT$1)</f>
        <v/>
      </c>
      <c r="DU177" s="40" t="str">
        <f t="shared" ref="DU177:DU183" si="2944">IF(AO177="","","|n"&amp;DU$2&amp;"+"&amp;AO177&amp;DU$1)</f>
        <v/>
      </c>
      <c r="DV177" s="40" t="str">
        <f t="shared" ref="DV177:DV183" si="2945">IF(AP177="","","|n"&amp;DV$2&amp;"+"&amp;AP177&amp;DV$1)</f>
        <v/>
      </c>
      <c r="DW177" s="40" t="str">
        <f t="shared" ref="DW177:DW183" si="2946">IF(AQ177="","","|n"&amp;DW$2&amp;"+"&amp;AQ177&amp;DW$1)</f>
        <v/>
      </c>
      <c r="DX177" s="40" t="str">
        <f t="shared" ref="DX177:DX183" si="2947">IF(AR177="","","|n"&amp;DX$2&amp;"+"&amp;AR177&amp;DX$1)</f>
        <v/>
      </c>
      <c r="DY177" s="40" t="str">
        <f t="shared" ref="DY177:DY183" si="2948">IF(AS177="","","|n"&amp;DY$2&amp;"+"&amp;AS177&amp;DY$1)</f>
        <v/>
      </c>
      <c r="DZ177" s="40" t="str">
        <f t="shared" ref="DZ177:DZ183" si="2949">IF(AT177="","","|n"&amp;DZ$2&amp;"+"&amp;AT177&amp;DZ$1)</f>
        <v/>
      </c>
      <c r="EA177" s="40" t="str">
        <f t="shared" ref="EA177:EA183" si="2950">IF(AU177="","","|n"&amp;EA$2&amp;"+"&amp;AU177&amp;EA$1)</f>
        <v/>
      </c>
      <c r="EB177" s="40" t="str">
        <f t="shared" ref="EB177:EB183" si="2951">IF(AV177="","","|n"&amp;EB$2&amp;"+"&amp;AV177&amp;EB$1)</f>
        <v/>
      </c>
      <c r="EC177" s="40" t="str">
        <f t="shared" ref="EC177:EC183" si="2952">IF(AW177="","","|n"&amp;EC$2&amp;"+"&amp;AW177&amp;EC$1)</f>
        <v/>
      </c>
      <c r="ED177" s="40" t="str">
        <f t="shared" ref="ED177:ED183" si="2953">IF(AX177="","","|n"&amp;ED$2&amp;"+"&amp;AX177&amp;ED$1)</f>
        <v/>
      </c>
      <c r="EE177" s="40" t="str">
        <f t="shared" ref="EE177:EE183" si="2954">IF(AY177="","","|n"&amp;EE$2&amp;"+"&amp;AY177&amp;EE$1)</f>
        <v/>
      </c>
      <c r="EF177" s="40" t="str">
        <f t="shared" ref="EF177:EF183" si="2955">IF(AZ177="","","|n"&amp;EF$2&amp;"+"&amp;AZ177&amp;EF$1)</f>
        <v/>
      </c>
      <c r="EG177" s="40" t="str">
        <f t="shared" ref="EG177:EG183" si="2956">IF(BA177="","","|n"&amp;EG$2&amp;"+"&amp;BA177&amp;EG$1)</f>
        <v/>
      </c>
      <c r="EH177" s="40" t="str">
        <f t="shared" ref="EH177:EH183" si="2957">IF(BB177="","","|n"&amp;EH$2&amp;"+"&amp;BB177&amp;EH$1)</f>
        <v/>
      </c>
      <c r="EI177" s="40" t="str">
        <f t="shared" ref="EI177:EI183" si="2958">IF(BC177="","","|n"&amp;EI$2&amp;"+"&amp;BC177&amp;EI$1)</f>
        <v/>
      </c>
      <c r="EJ177" s="40" t="str">
        <f t="shared" ref="EJ177:EJ183" si="2959">IF(BD177="","","|n"&amp;EJ$2&amp;"+"&amp;BD177&amp;EJ$1)</f>
        <v/>
      </c>
      <c r="EK177" s="40" t="str">
        <f t="shared" ref="EK177:EK183" si="2960">IF(BE177="","","|n"&amp;EK$2&amp;"+"&amp;BE177&amp;EK$1)</f>
        <v/>
      </c>
      <c r="EL177" s="40" t="str">
        <f t="shared" ref="EL177:EL183" si="2961">IF(BF177="","","|n"&amp;EL$2&amp;"+"&amp;BF177&amp;EL$1)</f>
        <v/>
      </c>
      <c r="EM177" s="40" t="str">
        <f t="shared" ref="EM177:EM183" si="2962">IF(BG177="","","|n"&amp;EM$2&amp;"+"&amp;BG177&amp;EM$1)</f>
        <v/>
      </c>
      <c r="EN177" s="40" t="str">
        <f t="shared" ref="EN177:EN183" si="2963">IF(BH177="","","|n"&amp;EN$2&amp;"+"&amp;BH177&amp;EN$1)</f>
        <v/>
      </c>
      <c r="EO177" s="40" t="str">
        <f t="shared" ref="EO177:EO183" si="2964">IF(BI177="","","|n"&amp;EO$2&amp;"+"&amp;BI177&amp;EO$1)</f>
        <v/>
      </c>
      <c r="EP177" s="40" t="str">
        <f t="shared" ref="EP177:EP183" si="2965">IF(BJ177="","","|n"&amp;EP$2&amp;"+"&amp;BJ177&amp;EP$1)</f>
        <v/>
      </c>
      <c r="EQ177" s="40" t="str">
        <f t="shared" ref="EQ177:EQ183" si="2966">IF(BK177="","","|n"&amp;EQ$2&amp;"+"&amp;BK177&amp;EQ$1)</f>
        <v/>
      </c>
      <c r="ER177" s="40" t="str">
        <f t="shared" ref="ER177:ER183" si="2967">IF(BL177="","","|n"&amp;ER$2&amp;"+"&amp;BL177&amp;ER$1)</f>
        <v/>
      </c>
      <c r="ES177" s="40" t="str">
        <f t="shared" ref="ES177:ES183" si="2968">IF(BM177="","","|n"&amp;ES$2&amp;"+"&amp;BM177&amp;ES$1)</f>
        <v/>
      </c>
      <c r="ET177" s="40" t="str">
        <f t="shared" ref="ET177:ET183" si="2969">IF(BN177="","","|n"&amp;ET$2&amp;"+"&amp;BN177&amp;ET$1)</f>
        <v/>
      </c>
      <c r="EU177" s="40" t="str">
        <f t="shared" ref="EU177:EU183" si="2970">IF(BO177="","","|n"&amp;EU$2&amp;"+"&amp;BO177&amp;EU$1)</f>
        <v/>
      </c>
      <c r="EV177" s="40" t="str">
        <f t="shared" ref="EV177:EV183" si="2971">IF(BP177="","","|n"&amp;EV$2&amp;"+"&amp;BP177&amp;EV$1)</f>
        <v/>
      </c>
      <c r="EW177" s="40" t="str">
        <f t="shared" ref="EW177:EW183" si="2972">IF(BQ177="","","|n"&amp;EW$2&amp;"+"&amp;BQ177&amp;EW$1)</f>
        <v/>
      </c>
      <c r="EX177" s="40" t="str">
        <f t="shared" ref="EX177:EX183" si="2973">IF(BR177="","","|n"&amp;EX$2&amp;"+"&amp;BR177&amp;EX$1)</f>
        <v/>
      </c>
      <c r="EY177" s="40" t="str">
        <f t="shared" ref="EY177:EY183" si="2974">IF(BS177="","","|n"&amp;EY$2&amp;"+"&amp;BS177&amp;EY$1)</f>
        <v/>
      </c>
      <c r="EZ177" s="40" t="str">
        <f t="shared" ref="EZ177:EZ183" si="2975">IF(BT177="","","|n"&amp;EZ$2&amp;"+"&amp;BT177&amp;EZ$1)</f>
        <v/>
      </c>
      <c r="FA177" s="40" t="str">
        <f t="shared" ref="FA177:FA183" si="2976">IF(BU177="","","|n"&amp;FA$2&amp;"+"&amp;BU177&amp;FA$1)</f>
        <v/>
      </c>
      <c r="FB177" s="40" t="str">
        <f t="shared" ref="FB177:FB183" si="2977">IF(BV177="","","|n"&amp;FB$2&amp;"+"&amp;BV177&amp;FB$1)</f>
        <v/>
      </c>
      <c r="FC177" s="40" t="str">
        <f t="shared" ref="FC177:FC183" si="2978">IF(BW177="","","|n"&amp;FC$2&amp;"+"&amp;BW177&amp;FC$1)</f>
        <v/>
      </c>
      <c r="FD177" s="40" t="str">
        <f t="shared" ref="FD177:FD183" si="2979">IF(BX177="","","|n"&amp;FD$2&amp;"+"&amp;BX177&amp;FD$1)</f>
        <v/>
      </c>
      <c r="FE177" s="40" t="str">
        <f t="shared" ref="FE177:FE183" si="2980">IF(BY177="","","|n"&amp;FE$2&amp;"+"&amp;BY177&amp;FE$1)</f>
        <v/>
      </c>
      <c r="FF177" s="40" t="str">
        <f t="shared" ref="FF177:FF183" si="2981">IF(BZ177="","","|n"&amp;FF$2&amp;"+"&amp;BZ177&amp;FF$1)</f>
        <v/>
      </c>
      <c r="FG177" s="40" t="str">
        <f t="shared" ref="FG177:FG183" si="2982">IF(CA177="","","|n"&amp;FG$2&amp;"+"&amp;CA177&amp;FG$1)</f>
        <v/>
      </c>
      <c r="FH177" s="40" t="str">
        <f t="shared" ref="FH177:FH183" si="2983">IF(CB177="","","|n"&amp;FH$2&amp;"+"&amp;CB177&amp;FH$1)</f>
        <v/>
      </c>
      <c r="FI177" s="40" t="str">
        <f t="shared" ref="FI177:FI183" si="2984">IF(CC177="","","|n"&amp;FI$2&amp;"+"&amp;CC177&amp;FI$1)</f>
        <v/>
      </c>
      <c r="FJ177" s="40" t="str">
        <f t="shared" ref="FJ177:FJ183" si="2985">IF(CD177="","","|n"&amp;FJ$2&amp;"+"&amp;CD177&amp;FJ$1)</f>
        <v/>
      </c>
      <c r="FK177" s="40" t="str">
        <f t="shared" ref="FK177:FK183" si="2986">IF(CE177="","","|n"&amp;FK$2&amp;"+"&amp;CE177&amp;FK$1)</f>
        <v/>
      </c>
      <c r="FL177" s="40" t="str">
        <f t="shared" ref="FL177:FL183" si="2987">IF(CF177="","","|n"&amp;FL$2&amp;"+"&amp;CF177&amp;FL$1)</f>
        <v/>
      </c>
      <c r="FM177" s="40" t="str">
        <f t="shared" ref="FM177:FM183" si="2988">IF(CG177="","","|n"&amp;FM$2&amp;"+"&amp;CG177&amp;FM$1)</f>
        <v/>
      </c>
      <c r="FN177" s="40" t="str">
        <f t="shared" ref="FN177:FN183" si="2989">IF(CH177="","","|n"&amp;FN$2&amp;"+"&amp;CH177&amp;FN$1)</f>
        <v/>
      </c>
      <c r="FO177" s="40" t="str">
        <f t="shared" ref="FO177:FO183" si="2990">IF(CI177="","","|n"&amp;FO$2&amp;"+"&amp;CI177&amp;FO$1)</f>
        <v/>
      </c>
      <c r="FP177" s="40" t="str">
        <f t="shared" ref="FP177:FP183" si="2991">IF(CJ177="","","|n"&amp;FP$2&amp;"+"&amp;CJ177&amp;FP$1)</f>
        <v/>
      </c>
      <c r="FQ177" s="40" t="str">
        <f t="shared" ref="FQ177:FQ183" si="2992">IF(CK177="","","|n"&amp;FQ$2&amp;"+"&amp;CK177&amp;FQ$1)</f>
        <v/>
      </c>
      <c r="FR177" s="40" t="str">
        <f t="shared" ref="FR177:FR183" si="2993">IF(CL177="","","|n"&amp;FR$2&amp;"+"&amp;CL177&amp;FR$1)</f>
        <v/>
      </c>
      <c r="FS177" s="40" t="str">
        <f t="shared" ref="FS177:FS183" si="2994">IF(CM177="","","|n"&amp;FS$2&amp;"+"&amp;CM177&amp;FS$1)</f>
        <v/>
      </c>
    </row>
    <row r="178" spans="1:175" ht="16.5">
      <c r="A178" s="78"/>
      <c r="B178" s="2" t="s">
        <v>482</v>
      </c>
      <c r="C178" s="78" t="s">
        <v>483</v>
      </c>
      <c r="T178" s="78" t="s">
        <v>484</v>
      </c>
      <c r="U178" s="51" t="str">
        <f t="shared" si="2777"/>
        <v>ReplaceableTextures\\CommandButtons\\BTNIH03.blp</v>
      </c>
      <c r="CN178" s="10" t="str">
        <f t="shared" si="2400"/>
        <v>InitUnitState('IH03',,,,,,,,,,)</v>
      </c>
      <c r="CO178" s="10" t="str">
        <f t="shared" si="2401"/>
        <v>InitUnitNormal('IH03',,,,,,,,,,)</v>
      </c>
      <c r="CP178" s="10" t="str">
        <f t="shared" si="2402"/>
        <v>InitUnitMagic('IH03',,,,,,,,,,)</v>
      </c>
      <c r="CQ178" s="10" t="str">
        <f t="shared" si="2403"/>
        <v>InitUnitAdd('IH03',,,,,,,,,,)</v>
      </c>
      <c r="CR178" s="10" t="str">
        <f t="shared" si="2850"/>
        <v>InitEquipData('IH03',,"",,,,,'','','','','','',"ReplaceableTextures\\CommandButtons\\BTNIH04.blp")</v>
      </c>
      <c r="CU178" s="61" t="str">
        <f t="shared" si="2923"/>
        <v>|n</v>
      </c>
      <c r="CV178" s="3" t="str">
        <f t="shared" si="2924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5"/>
        <v/>
      </c>
      <c r="DC178" s="40" t="str">
        <f t="shared" si="2926"/>
        <v/>
      </c>
      <c r="DD178" s="40" t="str">
        <f t="shared" si="2927"/>
        <v/>
      </c>
      <c r="DE178" s="40" t="str">
        <f t="shared" si="2928"/>
        <v/>
      </c>
      <c r="DF178" s="40" t="str">
        <f t="shared" si="2929"/>
        <v/>
      </c>
      <c r="DG178" s="40" t="str">
        <f t="shared" si="2930"/>
        <v/>
      </c>
      <c r="DH178" s="40" t="str">
        <f t="shared" si="2931"/>
        <v/>
      </c>
      <c r="DI178" s="40" t="str">
        <f t="shared" si="2932"/>
        <v/>
      </c>
      <c r="DJ178" s="40" t="str">
        <f t="shared" si="2933"/>
        <v/>
      </c>
      <c r="DK178" s="40" t="str">
        <f t="shared" si="2934"/>
        <v/>
      </c>
      <c r="DL178" s="40" t="str">
        <f t="shared" si="2935"/>
        <v/>
      </c>
      <c r="DM178" s="40" t="str">
        <f t="shared" si="2936"/>
        <v/>
      </c>
      <c r="DN178" s="40" t="str">
        <f t="shared" si="2937"/>
        <v/>
      </c>
      <c r="DO178" s="40" t="str">
        <f t="shared" si="2938"/>
        <v/>
      </c>
      <c r="DP178" s="40" t="str">
        <f t="shared" si="2939"/>
        <v/>
      </c>
      <c r="DQ178" s="40" t="str">
        <f t="shared" si="2940"/>
        <v/>
      </c>
      <c r="DR178" s="40" t="str">
        <f t="shared" si="2941"/>
        <v/>
      </c>
      <c r="DS178" s="40" t="str">
        <f t="shared" si="2942"/>
        <v/>
      </c>
      <c r="DT178" s="40" t="str">
        <f t="shared" si="2943"/>
        <v/>
      </c>
      <c r="DU178" s="40" t="str">
        <f t="shared" si="2944"/>
        <v/>
      </c>
      <c r="DV178" s="40" t="str">
        <f t="shared" si="2945"/>
        <v/>
      </c>
      <c r="DW178" s="40" t="str">
        <f t="shared" si="2946"/>
        <v/>
      </c>
      <c r="DX178" s="40" t="str">
        <f t="shared" si="2947"/>
        <v/>
      </c>
      <c r="DY178" s="40" t="str">
        <f t="shared" si="2948"/>
        <v/>
      </c>
      <c r="DZ178" s="40" t="str">
        <f t="shared" si="2949"/>
        <v/>
      </c>
      <c r="EA178" s="40" t="str">
        <f t="shared" si="2950"/>
        <v/>
      </c>
      <c r="EB178" s="40" t="str">
        <f t="shared" si="2951"/>
        <v/>
      </c>
      <c r="EC178" s="40" t="str">
        <f t="shared" si="2952"/>
        <v/>
      </c>
      <c r="ED178" s="40" t="str">
        <f t="shared" si="2953"/>
        <v/>
      </c>
      <c r="EE178" s="40" t="str">
        <f t="shared" si="2954"/>
        <v/>
      </c>
      <c r="EF178" s="40" t="str">
        <f t="shared" si="2955"/>
        <v/>
      </c>
      <c r="EG178" s="40" t="str">
        <f t="shared" si="2956"/>
        <v/>
      </c>
      <c r="EH178" s="40" t="str">
        <f t="shared" si="2957"/>
        <v/>
      </c>
      <c r="EI178" s="40" t="str">
        <f t="shared" si="2958"/>
        <v/>
      </c>
      <c r="EJ178" s="40" t="str">
        <f t="shared" si="2959"/>
        <v/>
      </c>
      <c r="EK178" s="40" t="str">
        <f t="shared" si="2960"/>
        <v/>
      </c>
      <c r="EL178" s="40" t="str">
        <f t="shared" si="2961"/>
        <v/>
      </c>
      <c r="EM178" s="40" t="str">
        <f t="shared" si="2962"/>
        <v/>
      </c>
      <c r="EN178" s="40" t="str">
        <f t="shared" si="2963"/>
        <v/>
      </c>
      <c r="EO178" s="40" t="str">
        <f t="shared" si="2964"/>
        <v/>
      </c>
      <c r="EP178" s="40" t="str">
        <f t="shared" si="2965"/>
        <v/>
      </c>
      <c r="EQ178" s="40" t="str">
        <f t="shared" si="2966"/>
        <v/>
      </c>
      <c r="ER178" s="40" t="str">
        <f t="shared" si="2967"/>
        <v/>
      </c>
      <c r="ES178" s="40" t="str">
        <f t="shared" si="2968"/>
        <v/>
      </c>
      <c r="ET178" s="40" t="str">
        <f t="shared" si="2969"/>
        <v/>
      </c>
      <c r="EU178" s="40" t="str">
        <f t="shared" si="2970"/>
        <v/>
      </c>
      <c r="EV178" s="40" t="str">
        <f t="shared" si="2971"/>
        <v/>
      </c>
      <c r="EW178" s="40" t="str">
        <f t="shared" si="2972"/>
        <v/>
      </c>
      <c r="EX178" s="40" t="str">
        <f t="shared" si="2973"/>
        <v/>
      </c>
      <c r="EY178" s="40" t="str">
        <f t="shared" si="2974"/>
        <v/>
      </c>
      <c r="EZ178" s="40" t="str">
        <f t="shared" si="2975"/>
        <v/>
      </c>
      <c r="FA178" s="40" t="str">
        <f t="shared" si="2976"/>
        <v/>
      </c>
      <c r="FB178" s="40" t="str">
        <f t="shared" si="2977"/>
        <v/>
      </c>
      <c r="FC178" s="40" t="str">
        <f t="shared" si="2978"/>
        <v/>
      </c>
      <c r="FD178" s="40" t="str">
        <f t="shared" si="2979"/>
        <v/>
      </c>
      <c r="FE178" s="40" t="str">
        <f t="shared" si="2980"/>
        <v/>
      </c>
      <c r="FF178" s="40" t="str">
        <f t="shared" si="2981"/>
        <v/>
      </c>
      <c r="FG178" s="40" t="str">
        <f t="shared" si="2982"/>
        <v/>
      </c>
      <c r="FH178" s="40" t="str">
        <f t="shared" si="2983"/>
        <v/>
      </c>
      <c r="FI178" s="40" t="str">
        <f t="shared" si="2984"/>
        <v/>
      </c>
      <c r="FJ178" s="40" t="str">
        <f t="shared" si="2985"/>
        <v/>
      </c>
      <c r="FK178" s="40" t="str">
        <f t="shared" si="2986"/>
        <v/>
      </c>
      <c r="FL178" s="40" t="str">
        <f t="shared" si="2987"/>
        <v/>
      </c>
      <c r="FM178" s="40" t="str">
        <f t="shared" si="2988"/>
        <v/>
      </c>
      <c r="FN178" s="40" t="str">
        <f t="shared" si="2989"/>
        <v/>
      </c>
      <c r="FO178" s="40" t="str">
        <f t="shared" si="2990"/>
        <v/>
      </c>
      <c r="FP178" s="40" t="str">
        <f t="shared" si="2991"/>
        <v/>
      </c>
      <c r="FQ178" s="40" t="str">
        <f t="shared" si="2992"/>
        <v/>
      </c>
      <c r="FR178" s="40" t="str">
        <f t="shared" si="2993"/>
        <v/>
      </c>
      <c r="FS178" s="40" t="str">
        <f t="shared" si="2994"/>
        <v/>
      </c>
    </row>
    <row r="179" spans="1:175" ht="16.5">
      <c r="A179" s="78"/>
      <c r="B179" s="2" t="s">
        <v>485</v>
      </c>
      <c r="C179" s="78" t="s">
        <v>486</v>
      </c>
      <c r="T179" s="78" t="s">
        <v>487</v>
      </c>
      <c r="U179" s="51" t="str">
        <f t="shared" si="2777"/>
        <v>ReplaceableTextures\\CommandButtons\\BTNIH04.blp</v>
      </c>
      <c r="CN179" s="10" t="str">
        <f t="shared" si="2400"/>
        <v>InitUnitState('IH04',,,,,,,,,,)</v>
      </c>
      <c r="CO179" s="10" t="str">
        <f t="shared" si="2401"/>
        <v>InitUnitNormal('IH04',,,,,,,,,,)</v>
      </c>
      <c r="CP179" s="10" t="str">
        <f t="shared" si="2402"/>
        <v>InitUnitMagic('IH04',,,,,,,,,,)</v>
      </c>
      <c r="CQ179" s="10" t="str">
        <f t="shared" si="2403"/>
        <v>InitUnitAdd('IH04',,,,,,,,,,)</v>
      </c>
      <c r="CR179" s="10" t="str">
        <f t="shared" si="2850"/>
        <v>InitEquipData('IH04',,"",,,,,'','','','','','',"ReplaceableTextures\\CommandButtons\\BTNIH05.blp")</v>
      </c>
      <c r="CU179" s="61" t="str">
        <f t="shared" si="2923"/>
        <v>|n</v>
      </c>
      <c r="CV179" s="3" t="str">
        <f t="shared" si="2924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5"/>
        <v/>
      </c>
      <c r="DC179" s="40" t="str">
        <f t="shared" si="2926"/>
        <v/>
      </c>
      <c r="DD179" s="40" t="str">
        <f t="shared" si="2927"/>
        <v/>
      </c>
      <c r="DE179" s="40" t="str">
        <f t="shared" si="2928"/>
        <v/>
      </c>
      <c r="DF179" s="40" t="str">
        <f t="shared" si="2929"/>
        <v/>
      </c>
      <c r="DG179" s="40" t="str">
        <f t="shared" si="2930"/>
        <v/>
      </c>
      <c r="DH179" s="40" t="str">
        <f t="shared" si="2931"/>
        <v/>
      </c>
      <c r="DI179" s="40" t="str">
        <f t="shared" si="2932"/>
        <v/>
      </c>
      <c r="DJ179" s="40" t="str">
        <f t="shared" si="2933"/>
        <v/>
      </c>
      <c r="DK179" s="40" t="str">
        <f t="shared" si="2934"/>
        <v/>
      </c>
      <c r="DL179" s="40" t="str">
        <f t="shared" si="2935"/>
        <v/>
      </c>
      <c r="DM179" s="40" t="str">
        <f t="shared" si="2936"/>
        <v/>
      </c>
      <c r="DN179" s="40" t="str">
        <f t="shared" si="2937"/>
        <v/>
      </c>
      <c r="DO179" s="40" t="str">
        <f t="shared" si="2938"/>
        <v/>
      </c>
      <c r="DP179" s="40" t="str">
        <f t="shared" si="2939"/>
        <v/>
      </c>
      <c r="DQ179" s="40" t="str">
        <f t="shared" si="2940"/>
        <v/>
      </c>
      <c r="DR179" s="40" t="str">
        <f t="shared" si="2941"/>
        <v/>
      </c>
      <c r="DS179" s="40" t="str">
        <f t="shared" si="2942"/>
        <v/>
      </c>
      <c r="DT179" s="40" t="str">
        <f t="shared" si="2943"/>
        <v/>
      </c>
      <c r="DU179" s="40" t="str">
        <f t="shared" si="2944"/>
        <v/>
      </c>
      <c r="DV179" s="40" t="str">
        <f t="shared" si="2945"/>
        <v/>
      </c>
      <c r="DW179" s="40" t="str">
        <f t="shared" si="2946"/>
        <v/>
      </c>
      <c r="DX179" s="40" t="str">
        <f t="shared" si="2947"/>
        <v/>
      </c>
      <c r="DY179" s="40" t="str">
        <f t="shared" si="2948"/>
        <v/>
      </c>
      <c r="DZ179" s="40" t="str">
        <f t="shared" si="2949"/>
        <v/>
      </c>
      <c r="EA179" s="40" t="str">
        <f t="shared" si="2950"/>
        <v/>
      </c>
      <c r="EB179" s="40" t="str">
        <f t="shared" si="2951"/>
        <v/>
      </c>
      <c r="EC179" s="40" t="str">
        <f t="shared" si="2952"/>
        <v/>
      </c>
      <c r="ED179" s="40" t="str">
        <f t="shared" si="2953"/>
        <v/>
      </c>
      <c r="EE179" s="40" t="str">
        <f t="shared" si="2954"/>
        <v/>
      </c>
      <c r="EF179" s="40" t="str">
        <f t="shared" si="2955"/>
        <v/>
      </c>
      <c r="EG179" s="40" t="str">
        <f t="shared" si="2956"/>
        <v/>
      </c>
      <c r="EH179" s="40" t="str">
        <f t="shared" si="2957"/>
        <v/>
      </c>
      <c r="EI179" s="40" t="str">
        <f t="shared" si="2958"/>
        <v/>
      </c>
      <c r="EJ179" s="40" t="str">
        <f t="shared" si="2959"/>
        <v/>
      </c>
      <c r="EK179" s="40" t="str">
        <f t="shared" si="2960"/>
        <v/>
      </c>
      <c r="EL179" s="40" t="str">
        <f t="shared" si="2961"/>
        <v/>
      </c>
      <c r="EM179" s="40" t="str">
        <f t="shared" si="2962"/>
        <v/>
      </c>
      <c r="EN179" s="40" t="str">
        <f t="shared" si="2963"/>
        <v/>
      </c>
      <c r="EO179" s="40" t="str">
        <f t="shared" si="2964"/>
        <v/>
      </c>
      <c r="EP179" s="40" t="str">
        <f t="shared" si="2965"/>
        <v/>
      </c>
      <c r="EQ179" s="40" t="str">
        <f t="shared" si="2966"/>
        <v/>
      </c>
      <c r="ER179" s="40" t="str">
        <f t="shared" si="2967"/>
        <v/>
      </c>
      <c r="ES179" s="40" t="str">
        <f t="shared" si="2968"/>
        <v/>
      </c>
      <c r="ET179" s="40" t="str">
        <f t="shared" si="2969"/>
        <v/>
      </c>
      <c r="EU179" s="40" t="str">
        <f t="shared" si="2970"/>
        <v/>
      </c>
      <c r="EV179" s="40" t="str">
        <f t="shared" si="2971"/>
        <v/>
      </c>
      <c r="EW179" s="40" t="str">
        <f t="shared" si="2972"/>
        <v/>
      </c>
      <c r="EX179" s="40" t="str">
        <f t="shared" si="2973"/>
        <v/>
      </c>
      <c r="EY179" s="40" t="str">
        <f t="shared" si="2974"/>
        <v/>
      </c>
      <c r="EZ179" s="40" t="str">
        <f t="shared" si="2975"/>
        <v/>
      </c>
      <c r="FA179" s="40" t="str">
        <f t="shared" si="2976"/>
        <v/>
      </c>
      <c r="FB179" s="40" t="str">
        <f t="shared" si="2977"/>
        <v/>
      </c>
      <c r="FC179" s="40" t="str">
        <f t="shared" si="2978"/>
        <v/>
      </c>
      <c r="FD179" s="40" t="str">
        <f t="shared" si="2979"/>
        <v/>
      </c>
      <c r="FE179" s="40" t="str">
        <f t="shared" si="2980"/>
        <v/>
      </c>
      <c r="FF179" s="40" t="str">
        <f t="shared" si="2981"/>
        <v/>
      </c>
      <c r="FG179" s="40" t="str">
        <f t="shared" si="2982"/>
        <v/>
      </c>
      <c r="FH179" s="40" t="str">
        <f t="shared" si="2983"/>
        <v/>
      </c>
      <c r="FI179" s="40" t="str">
        <f t="shared" si="2984"/>
        <v/>
      </c>
      <c r="FJ179" s="40" t="str">
        <f t="shared" si="2985"/>
        <v/>
      </c>
      <c r="FK179" s="40" t="str">
        <f t="shared" si="2986"/>
        <v/>
      </c>
      <c r="FL179" s="40" t="str">
        <f t="shared" si="2987"/>
        <v/>
      </c>
      <c r="FM179" s="40" t="str">
        <f t="shared" si="2988"/>
        <v/>
      </c>
      <c r="FN179" s="40" t="str">
        <f t="shared" si="2989"/>
        <v/>
      </c>
      <c r="FO179" s="40" t="str">
        <f t="shared" si="2990"/>
        <v/>
      </c>
      <c r="FP179" s="40" t="str">
        <f t="shared" si="2991"/>
        <v/>
      </c>
      <c r="FQ179" s="40" t="str">
        <f t="shared" si="2992"/>
        <v/>
      </c>
      <c r="FR179" s="40" t="str">
        <f t="shared" si="2993"/>
        <v/>
      </c>
      <c r="FS179" s="40" t="str">
        <f t="shared" si="2994"/>
        <v/>
      </c>
    </row>
    <row r="180" spans="1:175" ht="16.5">
      <c r="A180" s="78"/>
      <c r="B180" s="2" t="s">
        <v>488</v>
      </c>
      <c r="C180" s="78" t="s">
        <v>489</v>
      </c>
      <c r="T180" s="78" t="s">
        <v>490</v>
      </c>
      <c r="U180" s="51" t="str">
        <f t="shared" si="2777"/>
        <v>ReplaceableTextures\\CommandButtons\\BTNIH05.blp</v>
      </c>
      <c r="CN180" s="10" t="str">
        <f t="shared" si="2400"/>
        <v>InitUnitState('IH05',,,,,,,,,,)</v>
      </c>
      <c r="CO180" s="10" t="str">
        <f t="shared" si="2401"/>
        <v>InitUnitNormal('IH05',,,,,,,,,,)</v>
      </c>
      <c r="CP180" s="10" t="str">
        <f t="shared" si="2402"/>
        <v>InitUnitMagic('IH05',,,,,,,,,,)</v>
      </c>
      <c r="CQ180" s="10" t="str">
        <f t="shared" si="2403"/>
        <v>InitUnitAdd('IH05',,,,,,,,,,)</v>
      </c>
      <c r="CR180" s="10" t="str">
        <f t="shared" si="2850"/>
        <v>InitEquipData('IH05',,"",,,,,'','','','','','',"ReplaceableTextures\\CommandButtons\\BTNIH06.blp")</v>
      </c>
      <c r="CU180" s="61" t="str">
        <f t="shared" si="2923"/>
        <v>|n</v>
      </c>
      <c r="CV180" s="3" t="str">
        <f t="shared" si="2924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5"/>
        <v/>
      </c>
      <c r="DC180" s="40" t="str">
        <f t="shared" si="2926"/>
        <v/>
      </c>
      <c r="DD180" s="40" t="str">
        <f t="shared" si="2927"/>
        <v/>
      </c>
      <c r="DE180" s="40" t="str">
        <f t="shared" si="2928"/>
        <v/>
      </c>
      <c r="DF180" s="40" t="str">
        <f t="shared" si="2929"/>
        <v/>
      </c>
      <c r="DG180" s="40" t="str">
        <f t="shared" si="2930"/>
        <v/>
      </c>
      <c r="DH180" s="40" t="str">
        <f t="shared" si="2931"/>
        <v/>
      </c>
      <c r="DI180" s="40" t="str">
        <f t="shared" si="2932"/>
        <v/>
      </c>
      <c r="DJ180" s="40" t="str">
        <f t="shared" si="2933"/>
        <v/>
      </c>
      <c r="DK180" s="40" t="str">
        <f t="shared" si="2934"/>
        <v/>
      </c>
      <c r="DL180" s="40" t="str">
        <f t="shared" si="2935"/>
        <v/>
      </c>
      <c r="DM180" s="40" t="str">
        <f t="shared" si="2936"/>
        <v/>
      </c>
      <c r="DN180" s="40" t="str">
        <f t="shared" si="2937"/>
        <v/>
      </c>
      <c r="DO180" s="40" t="str">
        <f t="shared" si="2938"/>
        <v/>
      </c>
      <c r="DP180" s="40" t="str">
        <f t="shared" si="2939"/>
        <v/>
      </c>
      <c r="DQ180" s="40" t="str">
        <f t="shared" si="2940"/>
        <v/>
      </c>
      <c r="DR180" s="40" t="str">
        <f t="shared" si="2941"/>
        <v/>
      </c>
      <c r="DS180" s="40" t="str">
        <f t="shared" si="2942"/>
        <v/>
      </c>
      <c r="DT180" s="40" t="str">
        <f t="shared" si="2943"/>
        <v/>
      </c>
      <c r="DU180" s="40" t="str">
        <f t="shared" si="2944"/>
        <v/>
      </c>
      <c r="DV180" s="40" t="str">
        <f t="shared" si="2945"/>
        <v/>
      </c>
      <c r="DW180" s="40" t="str">
        <f t="shared" si="2946"/>
        <v/>
      </c>
      <c r="DX180" s="40" t="str">
        <f t="shared" si="2947"/>
        <v/>
      </c>
      <c r="DY180" s="40" t="str">
        <f t="shared" si="2948"/>
        <v/>
      </c>
      <c r="DZ180" s="40" t="str">
        <f t="shared" si="2949"/>
        <v/>
      </c>
      <c r="EA180" s="40" t="str">
        <f t="shared" si="2950"/>
        <v/>
      </c>
      <c r="EB180" s="40" t="str">
        <f t="shared" si="2951"/>
        <v/>
      </c>
      <c r="EC180" s="40" t="str">
        <f t="shared" si="2952"/>
        <v/>
      </c>
      <c r="ED180" s="40" t="str">
        <f t="shared" si="2953"/>
        <v/>
      </c>
      <c r="EE180" s="40" t="str">
        <f t="shared" si="2954"/>
        <v/>
      </c>
      <c r="EF180" s="40" t="str">
        <f t="shared" si="2955"/>
        <v/>
      </c>
      <c r="EG180" s="40" t="str">
        <f t="shared" si="2956"/>
        <v/>
      </c>
      <c r="EH180" s="40" t="str">
        <f t="shared" si="2957"/>
        <v/>
      </c>
      <c r="EI180" s="40" t="str">
        <f t="shared" si="2958"/>
        <v/>
      </c>
      <c r="EJ180" s="40" t="str">
        <f t="shared" si="2959"/>
        <v/>
      </c>
      <c r="EK180" s="40" t="str">
        <f t="shared" si="2960"/>
        <v/>
      </c>
      <c r="EL180" s="40" t="str">
        <f t="shared" si="2961"/>
        <v/>
      </c>
      <c r="EM180" s="40" t="str">
        <f t="shared" si="2962"/>
        <v/>
      </c>
      <c r="EN180" s="40" t="str">
        <f t="shared" si="2963"/>
        <v/>
      </c>
      <c r="EO180" s="40" t="str">
        <f t="shared" si="2964"/>
        <v/>
      </c>
      <c r="EP180" s="40" t="str">
        <f t="shared" si="2965"/>
        <v/>
      </c>
      <c r="EQ180" s="40" t="str">
        <f t="shared" si="2966"/>
        <v/>
      </c>
      <c r="ER180" s="40" t="str">
        <f t="shared" si="2967"/>
        <v/>
      </c>
      <c r="ES180" s="40" t="str">
        <f t="shared" si="2968"/>
        <v/>
      </c>
      <c r="ET180" s="40" t="str">
        <f t="shared" si="2969"/>
        <v/>
      </c>
      <c r="EU180" s="40" t="str">
        <f t="shared" si="2970"/>
        <v/>
      </c>
      <c r="EV180" s="40" t="str">
        <f t="shared" si="2971"/>
        <v/>
      </c>
      <c r="EW180" s="40" t="str">
        <f t="shared" si="2972"/>
        <v/>
      </c>
      <c r="EX180" s="40" t="str">
        <f t="shared" si="2973"/>
        <v/>
      </c>
      <c r="EY180" s="40" t="str">
        <f t="shared" si="2974"/>
        <v/>
      </c>
      <c r="EZ180" s="40" t="str">
        <f t="shared" si="2975"/>
        <v/>
      </c>
      <c r="FA180" s="40" t="str">
        <f t="shared" si="2976"/>
        <v/>
      </c>
      <c r="FB180" s="40" t="str">
        <f t="shared" si="2977"/>
        <v/>
      </c>
      <c r="FC180" s="40" t="str">
        <f t="shared" si="2978"/>
        <v/>
      </c>
      <c r="FD180" s="40" t="str">
        <f t="shared" si="2979"/>
        <v/>
      </c>
      <c r="FE180" s="40" t="str">
        <f t="shared" si="2980"/>
        <v/>
      </c>
      <c r="FF180" s="40" t="str">
        <f t="shared" si="2981"/>
        <v/>
      </c>
      <c r="FG180" s="40" t="str">
        <f t="shared" si="2982"/>
        <v/>
      </c>
      <c r="FH180" s="40" t="str">
        <f t="shared" si="2983"/>
        <v/>
      </c>
      <c r="FI180" s="40" t="str">
        <f t="shared" si="2984"/>
        <v/>
      </c>
      <c r="FJ180" s="40" t="str">
        <f t="shared" si="2985"/>
        <v/>
      </c>
      <c r="FK180" s="40" t="str">
        <f t="shared" si="2986"/>
        <v/>
      </c>
      <c r="FL180" s="40" t="str">
        <f t="shared" si="2987"/>
        <v/>
      </c>
      <c r="FM180" s="40" t="str">
        <f t="shared" si="2988"/>
        <v/>
      </c>
      <c r="FN180" s="40" t="str">
        <f t="shared" si="2989"/>
        <v/>
      </c>
      <c r="FO180" s="40" t="str">
        <f t="shared" si="2990"/>
        <v/>
      </c>
      <c r="FP180" s="40" t="str">
        <f t="shared" si="2991"/>
        <v/>
      </c>
      <c r="FQ180" s="40" t="str">
        <f t="shared" si="2992"/>
        <v/>
      </c>
      <c r="FR180" s="40" t="str">
        <f t="shared" si="2993"/>
        <v/>
      </c>
      <c r="FS180" s="40" t="str">
        <f t="shared" si="2994"/>
        <v/>
      </c>
    </row>
    <row r="181" spans="1:175" ht="16.5">
      <c r="A181" s="78"/>
      <c r="B181" s="2" t="s">
        <v>491</v>
      </c>
      <c r="C181" s="78" t="s">
        <v>492</v>
      </c>
      <c r="T181" s="78" t="s">
        <v>493</v>
      </c>
      <c r="U181" s="51" t="str">
        <f t="shared" si="2777"/>
        <v>ReplaceableTextures\\CommandButtons\\BTNIH06.blp</v>
      </c>
      <c r="CN181" s="10" t="str">
        <f t="shared" si="2400"/>
        <v>InitUnitState('IH06',,,,,,,,,,)</v>
      </c>
      <c r="CO181" s="10" t="str">
        <f t="shared" si="2401"/>
        <v>InitUnitNormal('IH06',,,,,,,,,,)</v>
      </c>
      <c r="CP181" s="10" t="str">
        <f t="shared" si="2402"/>
        <v>InitUnitMagic('IH06',,,,,,,,,,)</v>
      </c>
      <c r="CQ181" s="10" t="str">
        <f t="shared" si="2403"/>
        <v>InitUnitAdd('IH06',,,,,,,,,,)</v>
      </c>
      <c r="CR181" s="10" t="str">
        <f t="shared" si="2850"/>
        <v>InitEquipData('IH06',,"",,,,,'','','','','','',"ReplaceableTextures\\CommandButtons\\BTNIH07.blp")</v>
      </c>
      <c r="CU181" s="61" t="str">
        <f t="shared" si="2923"/>
        <v>|n</v>
      </c>
      <c r="CV181" s="3" t="str">
        <f t="shared" si="2924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5"/>
        <v/>
      </c>
      <c r="DC181" s="40" t="str">
        <f t="shared" si="2926"/>
        <v/>
      </c>
      <c r="DD181" s="40" t="str">
        <f t="shared" si="2927"/>
        <v/>
      </c>
      <c r="DE181" s="40" t="str">
        <f t="shared" si="2928"/>
        <v/>
      </c>
      <c r="DF181" s="40" t="str">
        <f t="shared" si="2929"/>
        <v/>
      </c>
      <c r="DG181" s="40" t="str">
        <f t="shared" si="2930"/>
        <v/>
      </c>
      <c r="DH181" s="40" t="str">
        <f t="shared" si="2931"/>
        <v/>
      </c>
      <c r="DI181" s="40" t="str">
        <f t="shared" si="2932"/>
        <v/>
      </c>
      <c r="DJ181" s="40" t="str">
        <f t="shared" si="2933"/>
        <v/>
      </c>
      <c r="DK181" s="40" t="str">
        <f t="shared" si="2934"/>
        <v/>
      </c>
      <c r="DL181" s="40" t="str">
        <f t="shared" si="2935"/>
        <v/>
      </c>
      <c r="DM181" s="40" t="str">
        <f t="shared" si="2936"/>
        <v/>
      </c>
      <c r="DN181" s="40" t="str">
        <f t="shared" si="2937"/>
        <v/>
      </c>
      <c r="DO181" s="40" t="str">
        <f t="shared" si="2938"/>
        <v/>
      </c>
      <c r="DP181" s="40" t="str">
        <f t="shared" si="2939"/>
        <v/>
      </c>
      <c r="DQ181" s="40" t="str">
        <f t="shared" si="2940"/>
        <v/>
      </c>
      <c r="DR181" s="40" t="str">
        <f t="shared" si="2941"/>
        <v/>
      </c>
      <c r="DS181" s="40" t="str">
        <f t="shared" si="2942"/>
        <v/>
      </c>
      <c r="DT181" s="40" t="str">
        <f t="shared" si="2943"/>
        <v/>
      </c>
      <c r="DU181" s="40" t="str">
        <f t="shared" si="2944"/>
        <v/>
      </c>
      <c r="DV181" s="40" t="str">
        <f t="shared" si="2945"/>
        <v/>
      </c>
      <c r="DW181" s="40" t="str">
        <f t="shared" si="2946"/>
        <v/>
      </c>
      <c r="DX181" s="40" t="str">
        <f t="shared" si="2947"/>
        <v/>
      </c>
      <c r="DY181" s="40" t="str">
        <f t="shared" si="2948"/>
        <v/>
      </c>
      <c r="DZ181" s="40" t="str">
        <f t="shared" si="2949"/>
        <v/>
      </c>
      <c r="EA181" s="40" t="str">
        <f t="shared" si="2950"/>
        <v/>
      </c>
      <c r="EB181" s="40" t="str">
        <f t="shared" si="2951"/>
        <v/>
      </c>
      <c r="EC181" s="40" t="str">
        <f t="shared" si="2952"/>
        <v/>
      </c>
      <c r="ED181" s="40" t="str">
        <f t="shared" si="2953"/>
        <v/>
      </c>
      <c r="EE181" s="40" t="str">
        <f t="shared" si="2954"/>
        <v/>
      </c>
      <c r="EF181" s="40" t="str">
        <f t="shared" si="2955"/>
        <v/>
      </c>
      <c r="EG181" s="40" t="str">
        <f t="shared" si="2956"/>
        <v/>
      </c>
      <c r="EH181" s="40" t="str">
        <f t="shared" si="2957"/>
        <v/>
      </c>
      <c r="EI181" s="40" t="str">
        <f t="shared" si="2958"/>
        <v/>
      </c>
      <c r="EJ181" s="40" t="str">
        <f t="shared" si="2959"/>
        <v/>
      </c>
      <c r="EK181" s="40" t="str">
        <f t="shared" si="2960"/>
        <v/>
      </c>
      <c r="EL181" s="40" t="str">
        <f t="shared" si="2961"/>
        <v/>
      </c>
      <c r="EM181" s="40" t="str">
        <f t="shared" si="2962"/>
        <v/>
      </c>
      <c r="EN181" s="40" t="str">
        <f t="shared" si="2963"/>
        <v/>
      </c>
      <c r="EO181" s="40" t="str">
        <f t="shared" si="2964"/>
        <v/>
      </c>
      <c r="EP181" s="40" t="str">
        <f t="shared" si="2965"/>
        <v/>
      </c>
      <c r="EQ181" s="40" t="str">
        <f t="shared" si="2966"/>
        <v/>
      </c>
      <c r="ER181" s="40" t="str">
        <f t="shared" si="2967"/>
        <v/>
      </c>
      <c r="ES181" s="40" t="str">
        <f t="shared" si="2968"/>
        <v/>
      </c>
      <c r="ET181" s="40" t="str">
        <f t="shared" si="2969"/>
        <v/>
      </c>
      <c r="EU181" s="40" t="str">
        <f t="shared" si="2970"/>
        <v/>
      </c>
      <c r="EV181" s="40" t="str">
        <f t="shared" si="2971"/>
        <v/>
      </c>
      <c r="EW181" s="40" t="str">
        <f t="shared" si="2972"/>
        <v/>
      </c>
      <c r="EX181" s="40" t="str">
        <f t="shared" si="2973"/>
        <v/>
      </c>
      <c r="EY181" s="40" t="str">
        <f t="shared" si="2974"/>
        <v/>
      </c>
      <c r="EZ181" s="40" t="str">
        <f t="shared" si="2975"/>
        <v/>
      </c>
      <c r="FA181" s="40" t="str">
        <f t="shared" si="2976"/>
        <v/>
      </c>
      <c r="FB181" s="40" t="str">
        <f t="shared" si="2977"/>
        <v/>
      </c>
      <c r="FC181" s="40" t="str">
        <f t="shared" si="2978"/>
        <v/>
      </c>
      <c r="FD181" s="40" t="str">
        <f t="shared" si="2979"/>
        <v/>
      </c>
      <c r="FE181" s="40" t="str">
        <f t="shared" si="2980"/>
        <v/>
      </c>
      <c r="FF181" s="40" t="str">
        <f t="shared" si="2981"/>
        <v/>
      </c>
      <c r="FG181" s="40" t="str">
        <f t="shared" si="2982"/>
        <v/>
      </c>
      <c r="FH181" s="40" t="str">
        <f t="shared" si="2983"/>
        <v/>
      </c>
      <c r="FI181" s="40" t="str">
        <f t="shared" si="2984"/>
        <v/>
      </c>
      <c r="FJ181" s="40" t="str">
        <f t="shared" si="2985"/>
        <v/>
      </c>
      <c r="FK181" s="40" t="str">
        <f t="shared" si="2986"/>
        <v/>
      </c>
      <c r="FL181" s="40" t="str">
        <f t="shared" si="2987"/>
        <v/>
      </c>
      <c r="FM181" s="40" t="str">
        <f t="shared" si="2988"/>
        <v/>
      </c>
      <c r="FN181" s="40" t="str">
        <f t="shared" si="2989"/>
        <v/>
      </c>
      <c r="FO181" s="40" t="str">
        <f t="shared" si="2990"/>
        <v/>
      </c>
      <c r="FP181" s="40" t="str">
        <f t="shared" si="2991"/>
        <v/>
      </c>
      <c r="FQ181" s="40" t="str">
        <f t="shared" si="2992"/>
        <v/>
      </c>
      <c r="FR181" s="40" t="str">
        <f t="shared" si="2993"/>
        <v/>
      </c>
      <c r="FS181" s="40" t="str">
        <f t="shared" si="2994"/>
        <v/>
      </c>
    </row>
    <row r="182" spans="1:175" ht="16.5">
      <c r="A182" s="78"/>
      <c r="B182" s="2" t="s">
        <v>494</v>
      </c>
      <c r="C182" s="78" t="s">
        <v>495</v>
      </c>
      <c r="T182" s="78" t="s">
        <v>496</v>
      </c>
      <c r="U182" s="51" t="str">
        <f t="shared" ref="U182:U192" si="2995">"ReplaceableTextures\\CommandButtons\\BTN"&amp;B182&amp;".blp"</f>
        <v>ReplaceableTextures\\CommandButtons\\BTNIH07.blp</v>
      </c>
      <c r="CN182" s="10" t="str">
        <f t="shared" si="2400"/>
        <v>InitUnitState('IH07',,,,,,,,,,)</v>
      </c>
      <c r="CO182" s="10" t="str">
        <f t="shared" si="2401"/>
        <v>InitUnitNormal('IH07',,,,,,,,,,)</v>
      </c>
      <c r="CP182" s="10" t="str">
        <f t="shared" si="2402"/>
        <v>InitUnitMagic('IH07',,,,,,,,,,)</v>
      </c>
      <c r="CQ182" s="10" t="str">
        <f t="shared" si="2403"/>
        <v>InitUnitAdd('IH07',,,,,,,,,,)</v>
      </c>
      <c r="CR182" s="10" t="str">
        <f t="shared" si="2850"/>
        <v>InitEquipData('IH07',,"",,,,,'','','','','','',"ReplaceableTextures\\CommandButtons\\BTNIH08.blp")</v>
      </c>
      <c r="CU182" s="61" t="str">
        <f t="shared" si="2923"/>
        <v>|n</v>
      </c>
      <c r="CV182" s="3" t="str">
        <f t="shared" si="2924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5"/>
        <v/>
      </c>
      <c r="DC182" s="40" t="str">
        <f t="shared" si="2926"/>
        <v/>
      </c>
      <c r="DD182" s="40" t="str">
        <f t="shared" si="2927"/>
        <v/>
      </c>
      <c r="DE182" s="40" t="str">
        <f t="shared" si="2928"/>
        <v/>
      </c>
      <c r="DF182" s="40" t="str">
        <f t="shared" si="2929"/>
        <v/>
      </c>
      <c r="DG182" s="40" t="str">
        <f t="shared" si="2930"/>
        <v/>
      </c>
      <c r="DH182" s="40" t="str">
        <f t="shared" si="2931"/>
        <v/>
      </c>
      <c r="DI182" s="40" t="str">
        <f t="shared" si="2932"/>
        <v/>
      </c>
      <c r="DJ182" s="40" t="str">
        <f t="shared" si="2933"/>
        <v/>
      </c>
      <c r="DK182" s="40" t="str">
        <f t="shared" si="2934"/>
        <v/>
      </c>
      <c r="DL182" s="40" t="str">
        <f t="shared" si="2935"/>
        <v/>
      </c>
      <c r="DM182" s="40" t="str">
        <f t="shared" si="2936"/>
        <v/>
      </c>
      <c r="DN182" s="40" t="str">
        <f t="shared" si="2937"/>
        <v/>
      </c>
      <c r="DO182" s="40" t="str">
        <f t="shared" si="2938"/>
        <v/>
      </c>
      <c r="DP182" s="40" t="str">
        <f t="shared" si="2939"/>
        <v/>
      </c>
      <c r="DQ182" s="40" t="str">
        <f t="shared" si="2940"/>
        <v/>
      </c>
      <c r="DR182" s="40" t="str">
        <f t="shared" si="2941"/>
        <v/>
      </c>
      <c r="DS182" s="40" t="str">
        <f t="shared" si="2942"/>
        <v/>
      </c>
      <c r="DT182" s="40" t="str">
        <f t="shared" si="2943"/>
        <v/>
      </c>
      <c r="DU182" s="40" t="str">
        <f t="shared" si="2944"/>
        <v/>
      </c>
      <c r="DV182" s="40" t="str">
        <f t="shared" si="2945"/>
        <v/>
      </c>
      <c r="DW182" s="40" t="str">
        <f t="shared" si="2946"/>
        <v/>
      </c>
      <c r="DX182" s="40" t="str">
        <f t="shared" si="2947"/>
        <v/>
      </c>
      <c r="DY182" s="40" t="str">
        <f t="shared" si="2948"/>
        <v/>
      </c>
      <c r="DZ182" s="40" t="str">
        <f t="shared" si="2949"/>
        <v/>
      </c>
      <c r="EA182" s="40" t="str">
        <f t="shared" si="2950"/>
        <v/>
      </c>
      <c r="EB182" s="40" t="str">
        <f t="shared" si="2951"/>
        <v/>
      </c>
      <c r="EC182" s="40" t="str">
        <f t="shared" si="2952"/>
        <v/>
      </c>
      <c r="ED182" s="40" t="str">
        <f t="shared" si="2953"/>
        <v/>
      </c>
      <c r="EE182" s="40" t="str">
        <f t="shared" si="2954"/>
        <v/>
      </c>
      <c r="EF182" s="40" t="str">
        <f t="shared" si="2955"/>
        <v/>
      </c>
      <c r="EG182" s="40" t="str">
        <f t="shared" si="2956"/>
        <v/>
      </c>
      <c r="EH182" s="40" t="str">
        <f t="shared" si="2957"/>
        <v/>
      </c>
      <c r="EI182" s="40" t="str">
        <f t="shared" si="2958"/>
        <v/>
      </c>
      <c r="EJ182" s="40" t="str">
        <f t="shared" si="2959"/>
        <v/>
      </c>
      <c r="EK182" s="40" t="str">
        <f t="shared" si="2960"/>
        <v/>
      </c>
      <c r="EL182" s="40" t="str">
        <f t="shared" si="2961"/>
        <v/>
      </c>
      <c r="EM182" s="40" t="str">
        <f t="shared" si="2962"/>
        <v/>
      </c>
      <c r="EN182" s="40" t="str">
        <f t="shared" si="2963"/>
        <v/>
      </c>
      <c r="EO182" s="40" t="str">
        <f t="shared" si="2964"/>
        <v/>
      </c>
      <c r="EP182" s="40" t="str">
        <f t="shared" si="2965"/>
        <v/>
      </c>
      <c r="EQ182" s="40" t="str">
        <f t="shared" si="2966"/>
        <v/>
      </c>
      <c r="ER182" s="40" t="str">
        <f t="shared" si="2967"/>
        <v/>
      </c>
      <c r="ES182" s="40" t="str">
        <f t="shared" si="2968"/>
        <v/>
      </c>
      <c r="ET182" s="40" t="str">
        <f t="shared" si="2969"/>
        <v/>
      </c>
      <c r="EU182" s="40" t="str">
        <f t="shared" si="2970"/>
        <v/>
      </c>
      <c r="EV182" s="40" t="str">
        <f t="shared" si="2971"/>
        <v/>
      </c>
      <c r="EW182" s="40" t="str">
        <f t="shared" si="2972"/>
        <v/>
      </c>
      <c r="EX182" s="40" t="str">
        <f t="shared" si="2973"/>
        <v/>
      </c>
      <c r="EY182" s="40" t="str">
        <f t="shared" si="2974"/>
        <v/>
      </c>
      <c r="EZ182" s="40" t="str">
        <f t="shared" si="2975"/>
        <v/>
      </c>
      <c r="FA182" s="40" t="str">
        <f t="shared" si="2976"/>
        <v/>
      </c>
      <c r="FB182" s="40" t="str">
        <f t="shared" si="2977"/>
        <v/>
      </c>
      <c r="FC182" s="40" t="str">
        <f t="shared" si="2978"/>
        <v/>
      </c>
      <c r="FD182" s="40" t="str">
        <f t="shared" si="2979"/>
        <v/>
      </c>
      <c r="FE182" s="40" t="str">
        <f t="shared" si="2980"/>
        <v/>
      </c>
      <c r="FF182" s="40" t="str">
        <f t="shared" si="2981"/>
        <v/>
      </c>
      <c r="FG182" s="40" t="str">
        <f t="shared" si="2982"/>
        <v/>
      </c>
      <c r="FH182" s="40" t="str">
        <f t="shared" si="2983"/>
        <v/>
      </c>
      <c r="FI182" s="40" t="str">
        <f t="shared" si="2984"/>
        <v/>
      </c>
      <c r="FJ182" s="40" t="str">
        <f t="shared" si="2985"/>
        <v/>
      </c>
      <c r="FK182" s="40" t="str">
        <f t="shared" si="2986"/>
        <v/>
      </c>
      <c r="FL182" s="40" t="str">
        <f t="shared" si="2987"/>
        <v/>
      </c>
      <c r="FM182" s="40" t="str">
        <f t="shared" si="2988"/>
        <v/>
      </c>
      <c r="FN182" s="40" t="str">
        <f t="shared" si="2989"/>
        <v/>
      </c>
      <c r="FO182" s="40" t="str">
        <f t="shared" si="2990"/>
        <v/>
      </c>
      <c r="FP182" s="40" t="str">
        <f t="shared" si="2991"/>
        <v/>
      </c>
      <c r="FQ182" s="40" t="str">
        <f t="shared" si="2992"/>
        <v/>
      </c>
      <c r="FR182" s="40" t="str">
        <f t="shared" si="2993"/>
        <v/>
      </c>
      <c r="FS182" s="40" t="str">
        <f t="shared" si="2994"/>
        <v/>
      </c>
    </row>
    <row r="183" spans="1:175" ht="16.5">
      <c r="A183" s="78"/>
      <c r="B183" s="2" t="s">
        <v>497</v>
      </c>
      <c r="C183" s="78" t="s">
        <v>498</v>
      </c>
      <c r="T183" s="78" t="s">
        <v>499</v>
      </c>
      <c r="U183" s="51" t="str">
        <f t="shared" si="2995"/>
        <v>ReplaceableTextures\\CommandButtons\\BTNIH08.blp</v>
      </c>
      <c r="CN183" s="10" t="str">
        <f t="shared" si="2400"/>
        <v>InitUnitState('IH08',,,,,,,,,,)</v>
      </c>
      <c r="CO183" s="10" t="str">
        <f t="shared" si="2401"/>
        <v>InitUnitNormal('IH08',,,,,,,,,,)</v>
      </c>
      <c r="CP183" s="10" t="str">
        <f t="shared" si="2402"/>
        <v>InitUnitMagic('IH08',,,,,,,,,,)</v>
      </c>
      <c r="CQ183" s="10" t="str">
        <f t="shared" si="2403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InitEquipData('IH08',,"",,,,,'','','','','','',"ReplaceableTextures\\CommandButtons\\BTNIF01.blp")</v>
      </c>
      <c r="CU183" s="61" t="str">
        <f t="shared" si="2923"/>
        <v>|n</v>
      </c>
      <c r="CV183" s="3" t="str">
        <f t="shared" si="2924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5"/>
        <v/>
      </c>
      <c r="DC183" s="40" t="str">
        <f t="shared" si="2926"/>
        <v/>
      </c>
      <c r="DD183" s="40" t="str">
        <f t="shared" si="2927"/>
        <v/>
      </c>
      <c r="DE183" s="40" t="str">
        <f t="shared" si="2928"/>
        <v/>
      </c>
      <c r="DF183" s="40" t="str">
        <f t="shared" si="2929"/>
        <v/>
      </c>
      <c r="DG183" s="40" t="str">
        <f t="shared" si="2930"/>
        <v/>
      </c>
      <c r="DH183" s="40" t="str">
        <f t="shared" si="2931"/>
        <v/>
      </c>
      <c r="DI183" s="40" t="str">
        <f t="shared" si="2932"/>
        <v/>
      </c>
      <c r="DJ183" s="40" t="str">
        <f t="shared" si="2933"/>
        <v/>
      </c>
      <c r="DK183" s="40" t="str">
        <f t="shared" si="2934"/>
        <v/>
      </c>
      <c r="DL183" s="40" t="str">
        <f t="shared" si="2935"/>
        <v/>
      </c>
      <c r="DM183" s="40" t="str">
        <f t="shared" si="2936"/>
        <v/>
      </c>
      <c r="DN183" s="40" t="str">
        <f t="shared" si="2937"/>
        <v/>
      </c>
      <c r="DO183" s="40" t="str">
        <f t="shared" si="2938"/>
        <v/>
      </c>
      <c r="DP183" s="40" t="str">
        <f t="shared" si="2939"/>
        <v/>
      </c>
      <c r="DQ183" s="40" t="str">
        <f t="shared" si="2940"/>
        <v/>
      </c>
      <c r="DR183" s="40" t="str">
        <f t="shared" si="2941"/>
        <v/>
      </c>
      <c r="DS183" s="40" t="str">
        <f t="shared" si="2942"/>
        <v/>
      </c>
      <c r="DT183" s="40" t="str">
        <f t="shared" si="2943"/>
        <v/>
      </c>
      <c r="DU183" s="40" t="str">
        <f t="shared" si="2944"/>
        <v/>
      </c>
      <c r="DV183" s="40" t="str">
        <f t="shared" si="2945"/>
        <v/>
      </c>
      <c r="DW183" s="40" t="str">
        <f t="shared" si="2946"/>
        <v/>
      </c>
      <c r="DX183" s="40" t="str">
        <f t="shared" si="2947"/>
        <v/>
      </c>
      <c r="DY183" s="40" t="str">
        <f t="shared" si="2948"/>
        <v/>
      </c>
      <c r="DZ183" s="40" t="str">
        <f t="shared" si="2949"/>
        <v/>
      </c>
      <c r="EA183" s="40" t="str">
        <f t="shared" si="2950"/>
        <v/>
      </c>
      <c r="EB183" s="40" t="str">
        <f t="shared" si="2951"/>
        <v/>
      </c>
      <c r="EC183" s="40" t="str">
        <f t="shared" si="2952"/>
        <v/>
      </c>
      <c r="ED183" s="40" t="str">
        <f t="shared" si="2953"/>
        <v/>
      </c>
      <c r="EE183" s="40" t="str">
        <f t="shared" si="2954"/>
        <v/>
      </c>
      <c r="EF183" s="40" t="str">
        <f t="shared" si="2955"/>
        <v/>
      </c>
      <c r="EG183" s="40" t="str">
        <f t="shared" si="2956"/>
        <v/>
      </c>
      <c r="EH183" s="40" t="str">
        <f t="shared" si="2957"/>
        <v/>
      </c>
      <c r="EI183" s="40" t="str">
        <f t="shared" si="2958"/>
        <v/>
      </c>
      <c r="EJ183" s="40" t="str">
        <f t="shared" si="2959"/>
        <v/>
      </c>
      <c r="EK183" s="40" t="str">
        <f t="shared" si="2960"/>
        <v/>
      </c>
      <c r="EL183" s="40" t="str">
        <f t="shared" si="2961"/>
        <v/>
      </c>
      <c r="EM183" s="40" t="str">
        <f t="shared" si="2962"/>
        <v/>
      </c>
      <c r="EN183" s="40" t="str">
        <f t="shared" si="2963"/>
        <v/>
      </c>
      <c r="EO183" s="40" t="str">
        <f t="shared" si="2964"/>
        <v/>
      </c>
      <c r="EP183" s="40" t="str">
        <f t="shared" si="2965"/>
        <v/>
      </c>
      <c r="EQ183" s="40" t="str">
        <f t="shared" si="2966"/>
        <v/>
      </c>
      <c r="ER183" s="40" t="str">
        <f t="shared" si="2967"/>
        <v/>
      </c>
      <c r="ES183" s="40" t="str">
        <f t="shared" si="2968"/>
        <v/>
      </c>
      <c r="ET183" s="40" t="str">
        <f t="shared" si="2969"/>
        <v/>
      </c>
      <c r="EU183" s="40" t="str">
        <f t="shared" si="2970"/>
        <v/>
      </c>
      <c r="EV183" s="40" t="str">
        <f t="shared" si="2971"/>
        <v/>
      </c>
      <c r="EW183" s="40" t="str">
        <f t="shared" si="2972"/>
        <v/>
      </c>
      <c r="EX183" s="40" t="str">
        <f t="shared" si="2973"/>
        <v/>
      </c>
      <c r="EY183" s="40" t="str">
        <f t="shared" si="2974"/>
        <v/>
      </c>
      <c r="EZ183" s="40" t="str">
        <f t="shared" si="2975"/>
        <v/>
      </c>
      <c r="FA183" s="40" t="str">
        <f t="shared" si="2976"/>
        <v/>
      </c>
      <c r="FB183" s="40" t="str">
        <f t="shared" si="2977"/>
        <v/>
      </c>
      <c r="FC183" s="40" t="str">
        <f t="shared" si="2978"/>
        <v/>
      </c>
      <c r="FD183" s="40" t="str">
        <f t="shared" si="2979"/>
        <v/>
      </c>
      <c r="FE183" s="40" t="str">
        <f t="shared" si="2980"/>
        <v/>
      </c>
      <c r="FF183" s="40" t="str">
        <f t="shared" si="2981"/>
        <v/>
      </c>
      <c r="FG183" s="40" t="str">
        <f t="shared" si="2982"/>
        <v/>
      </c>
      <c r="FH183" s="40" t="str">
        <f t="shared" si="2983"/>
        <v/>
      </c>
      <c r="FI183" s="40" t="str">
        <f t="shared" si="2984"/>
        <v/>
      </c>
      <c r="FJ183" s="40" t="str">
        <f t="shared" si="2985"/>
        <v/>
      </c>
      <c r="FK183" s="40" t="str">
        <f t="shared" si="2986"/>
        <v/>
      </c>
      <c r="FL183" s="40" t="str">
        <f t="shared" si="2987"/>
        <v/>
      </c>
      <c r="FM183" s="40" t="str">
        <f t="shared" si="2988"/>
        <v/>
      </c>
      <c r="FN183" s="40" t="str">
        <f t="shared" si="2989"/>
        <v/>
      </c>
      <c r="FO183" s="40" t="str">
        <f t="shared" si="2990"/>
        <v/>
      </c>
      <c r="FP183" s="40" t="str">
        <f t="shared" si="2991"/>
        <v/>
      </c>
      <c r="FQ183" s="40" t="str">
        <f t="shared" si="2992"/>
        <v/>
      </c>
      <c r="FR183" s="40" t="str">
        <f t="shared" si="2993"/>
        <v/>
      </c>
      <c r="FS183" s="40" t="str">
        <f t="shared" si="2994"/>
        <v/>
      </c>
    </row>
    <row r="184" spans="1:175">
      <c r="A184" s="78"/>
      <c r="B184" s="5" t="s">
        <v>500</v>
      </c>
      <c r="C184" s="135" t="s">
        <v>657</v>
      </c>
      <c r="T184" s="135" t="s">
        <v>657</v>
      </c>
      <c r="U184" s="51" t="str">
        <f t="shared" si="2995"/>
        <v>ReplaceableTextures\\CommandButtons\\BTNIB01.blp</v>
      </c>
      <c r="CN184" s="10" t="str">
        <f t="shared" si="2400"/>
        <v>InitUnitState('IB01',,,,,,,,,,)</v>
      </c>
      <c r="CO184" s="10" t="str">
        <f t="shared" si="2401"/>
        <v>InitUnitNormal('IB01',,,,,,,,,,)</v>
      </c>
      <c r="CP184" s="10" t="str">
        <f t="shared" si="2402"/>
        <v>InitUnitMagic('IB01',,,,,,,,,,)</v>
      </c>
      <c r="CQ184" s="10" t="str">
        <f t="shared" si="2403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91" si="2996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91" si="2997">T184</f>
        <v>公众号礼包</v>
      </c>
      <c r="CW184" s="4"/>
      <c r="CX184" s="4"/>
      <c r="CY184" s="4"/>
      <c r="CZ184" s="4"/>
      <c r="DA184" s="4"/>
      <c r="DB184" s="40" t="str">
        <f t="shared" ref="DB184:DB191" si="2998">IF(V184="","","|n"&amp;DB$2&amp;"+"&amp;V184&amp;DB$1)</f>
        <v/>
      </c>
      <c r="DC184" s="40" t="str">
        <f t="shared" ref="DC184:DC191" si="2999">IF(W184="","","|n"&amp;DC$2&amp;"+"&amp;W184&amp;DC$1)</f>
        <v/>
      </c>
      <c r="DD184" s="40" t="str">
        <f t="shared" ref="DD184:DD191" si="3000">IF(X184="","","|n"&amp;DD$2&amp;"+"&amp;X184&amp;DD$1)</f>
        <v/>
      </c>
      <c r="DE184" s="40" t="str">
        <f t="shared" ref="DE184:DE191" si="3001">IF(Y184="","","|n"&amp;DE$2&amp;"+"&amp;Y184&amp;DE$1)</f>
        <v/>
      </c>
      <c r="DF184" s="40" t="str">
        <f t="shared" ref="DF184:DF191" si="3002">IF(Z184="","","|n"&amp;DF$2&amp;"+"&amp;Z184&amp;DF$1)</f>
        <v/>
      </c>
      <c r="DG184" s="40" t="str">
        <f t="shared" ref="DG184:DG191" si="3003">IF(AA184="","","|n"&amp;DG$2&amp;"+"&amp;AA184&amp;DG$1)</f>
        <v/>
      </c>
      <c r="DH184" s="40" t="str">
        <f t="shared" ref="DH184:DH191" si="3004">IF(AB184="","","|n"&amp;DH$2&amp;"+"&amp;AB184&amp;DH$1)</f>
        <v/>
      </c>
      <c r="DI184" s="40" t="str">
        <f t="shared" ref="DI184:DI191" si="3005">IF(AC184="","","|n"&amp;DI$2&amp;"+"&amp;AC184&amp;DI$1)</f>
        <v/>
      </c>
      <c r="DJ184" s="40" t="str">
        <f t="shared" ref="DJ184:DJ191" si="3006">IF(AD184="","","|n"&amp;DJ$2&amp;"+"&amp;AD184&amp;DJ$1)</f>
        <v/>
      </c>
      <c r="DK184" s="40" t="str">
        <f t="shared" ref="DK184:DK191" si="3007">IF(AE184="","","|n"&amp;DK$2&amp;"+"&amp;AE184&amp;DK$1)</f>
        <v/>
      </c>
      <c r="DL184" s="40" t="str">
        <f t="shared" ref="DL184:DL191" si="3008">IF(AF184="","","|n"&amp;DL$2&amp;"+"&amp;AF184&amp;DL$1)</f>
        <v/>
      </c>
      <c r="DM184" s="40" t="str">
        <f t="shared" ref="DM184:DM191" si="3009">IF(AG184="","","|n"&amp;DM$2&amp;"+"&amp;AG184&amp;DM$1)</f>
        <v/>
      </c>
      <c r="DN184" s="40" t="str">
        <f t="shared" ref="DN184:DN191" si="3010">IF(AH184="","","|n"&amp;DN$2&amp;"+"&amp;AH184&amp;DN$1)</f>
        <v/>
      </c>
      <c r="DO184" s="40" t="str">
        <f t="shared" ref="DO184:DO191" si="3011">IF(AI184="","","|n"&amp;DO$2&amp;"+"&amp;AI184&amp;DO$1)</f>
        <v/>
      </c>
      <c r="DP184" s="40" t="str">
        <f t="shared" ref="DP184:DP191" si="3012">IF(AJ184="","","|n"&amp;DP$2&amp;"+"&amp;AJ184&amp;DP$1)</f>
        <v/>
      </c>
      <c r="DQ184" s="40" t="str">
        <f t="shared" ref="DQ184:DQ191" si="3013">IF(AK184="","","|n"&amp;DQ$2&amp;"+"&amp;AK184&amp;DQ$1)</f>
        <v/>
      </c>
      <c r="DR184" s="40" t="str">
        <f t="shared" ref="DR184:DR191" si="3014">IF(AL184="","","|n"&amp;DR$2&amp;"+"&amp;AL184&amp;DR$1)</f>
        <v/>
      </c>
      <c r="DS184" s="40" t="str">
        <f t="shared" ref="DS184:DS191" si="3015">IF(AM184="","","|n"&amp;DS$2&amp;"+"&amp;AM184&amp;DS$1)</f>
        <v/>
      </c>
      <c r="DT184" s="40" t="str">
        <f t="shared" ref="DT184:DT191" si="3016">IF(AN184="","","|n"&amp;DT$2&amp;"+"&amp;AN184&amp;DT$1)</f>
        <v/>
      </c>
      <c r="DU184" s="40" t="str">
        <f t="shared" ref="DU184:DU191" si="3017">IF(AO184="","","|n"&amp;DU$2&amp;"+"&amp;AO184&amp;DU$1)</f>
        <v/>
      </c>
      <c r="DV184" s="40" t="str">
        <f t="shared" ref="DV184:DV191" si="3018">IF(AP184="","","|n"&amp;DV$2&amp;"+"&amp;AP184&amp;DV$1)</f>
        <v/>
      </c>
      <c r="DW184" s="40" t="str">
        <f t="shared" ref="DW184:DW191" si="3019">IF(AQ184="","","|n"&amp;DW$2&amp;"+"&amp;AQ184&amp;DW$1)</f>
        <v/>
      </c>
      <c r="DX184" s="40" t="str">
        <f t="shared" ref="DX184:DX191" si="3020">IF(AR184="","","|n"&amp;DX$2&amp;"+"&amp;AR184&amp;DX$1)</f>
        <v/>
      </c>
      <c r="DY184" s="40" t="str">
        <f t="shared" ref="DY184:DY191" si="3021">IF(AS184="","","|n"&amp;DY$2&amp;"+"&amp;AS184&amp;DY$1)</f>
        <v/>
      </c>
      <c r="DZ184" s="40" t="str">
        <f t="shared" ref="DZ184:DZ191" si="3022">IF(AT184="","","|n"&amp;DZ$2&amp;"+"&amp;AT184&amp;DZ$1)</f>
        <v/>
      </c>
      <c r="EA184" s="40" t="str">
        <f t="shared" ref="EA184:EA191" si="3023">IF(AU184="","","|n"&amp;EA$2&amp;"+"&amp;AU184&amp;EA$1)</f>
        <v/>
      </c>
      <c r="EB184" s="40" t="str">
        <f t="shared" ref="EB184:EB191" si="3024">IF(AV184="","","|n"&amp;EB$2&amp;"+"&amp;AV184&amp;EB$1)</f>
        <v/>
      </c>
      <c r="EC184" s="40" t="str">
        <f t="shared" ref="EC184:EC191" si="3025">IF(AW184="","","|n"&amp;EC$2&amp;"+"&amp;AW184&amp;EC$1)</f>
        <v/>
      </c>
      <c r="ED184" s="40" t="str">
        <f t="shared" ref="ED184:ED191" si="3026">IF(AX184="","","|n"&amp;ED$2&amp;"+"&amp;AX184&amp;ED$1)</f>
        <v/>
      </c>
      <c r="EE184" s="40" t="str">
        <f t="shared" ref="EE184:EE191" si="3027">IF(AY184="","","|n"&amp;EE$2&amp;"+"&amp;AY184&amp;EE$1)</f>
        <v/>
      </c>
      <c r="EF184" s="40" t="str">
        <f t="shared" ref="EF184:EF191" si="3028">IF(AZ184="","","|n"&amp;EF$2&amp;"+"&amp;AZ184&amp;EF$1)</f>
        <v/>
      </c>
      <c r="EG184" s="40" t="str">
        <f t="shared" ref="EG184:EG191" si="3029">IF(BA184="","","|n"&amp;EG$2&amp;"+"&amp;BA184&amp;EG$1)</f>
        <v/>
      </c>
      <c r="EH184" s="40" t="str">
        <f t="shared" ref="EH184:EH191" si="3030">IF(BB184="","","|n"&amp;EH$2&amp;"+"&amp;BB184&amp;EH$1)</f>
        <v/>
      </c>
      <c r="EI184" s="40" t="str">
        <f t="shared" ref="EI184:EI191" si="3031">IF(BC184="","","|n"&amp;EI$2&amp;"+"&amp;BC184&amp;EI$1)</f>
        <v/>
      </c>
      <c r="EJ184" s="40" t="str">
        <f t="shared" ref="EJ184:EJ191" si="3032">IF(BD184="","","|n"&amp;EJ$2&amp;"+"&amp;BD184&amp;EJ$1)</f>
        <v/>
      </c>
      <c r="EK184" s="40" t="str">
        <f t="shared" ref="EK184:EK191" si="3033">IF(BE184="","","|n"&amp;EK$2&amp;"+"&amp;BE184&amp;EK$1)</f>
        <v/>
      </c>
      <c r="EL184" s="40" t="str">
        <f t="shared" ref="EL184:EL191" si="3034">IF(BF184="","","|n"&amp;EL$2&amp;"+"&amp;BF184&amp;EL$1)</f>
        <v/>
      </c>
      <c r="EM184" s="40" t="str">
        <f t="shared" ref="EM184:EM191" si="3035">IF(BG184="","","|n"&amp;EM$2&amp;"+"&amp;BG184&amp;EM$1)</f>
        <v/>
      </c>
      <c r="EN184" s="40" t="str">
        <f t="shared" ref="EN184:EN191" si="3036">IF(BH184="","","|n"&amp;EN$2&amp;"+"&amp;BH184&amp;EN$1)</f>
        <v/>
      </c>
      <c r="EO184" s="40" t="str">
        <f t="shared" ref="EO184:EO191" si="3037">IF(BI184="","","|n"&amp;EO$2&amp;"+"&amp;BI184&amp;EO$1)</f>
        <v/>
      </c>
      <c r="EP184" s="40" t="str">
        <f t="shared" ref="EP184:EP191" si="3038">IF(BJ184="","","|n"&amp;EP$2&amp;"+"&amp;BJ184&amp;EP$1)</f>
        <v/>
      </c>
      <c r="EQ184" s="40" t="str">
        <f t="shared" ref="EQ184:EQ191" si="3039">IF(BK184="","","|n"&amp;EQ$2&amp;"+"&amp;BK184&amp;EQ$1)</f>
        <v/>
      </c>
      <c r="ER184" s="40" t="str">
        <f t="shared" ref="ER184:ER191" si="3040">IF(BL184="","","|n"&amp;ER$2&amp;"+"&amp;BL184&amp;ER$1)</f>
        <v/>
      </c>
      <c r="ES184" s="40" t="str">
        <f t="shared" ref="ES184:ES191" si="3041">IF(BM184="","","|n"&amp;ES$2&amp;"+"&amp;BM184&amp;ES$1)</f>
        <v/>
      </c>
      <c r="ET184" s="40" t="str">
        <f t="shared" ref="ET184:ET191" si="3042">IF(BN184="","","|n"&amp;ET$2&amp;"+"&amp;BN184&amp;ET$1)</f>
        <v/>
      </c>
      <c r="EU184" s="40" t="str">
        <f t="shared" ref="EU184:EU191" si="3043">IF(BO184="","","|n"&amp;EU$2&amp;"+"&amp;BO184&amp;EU$1)</f>
        <v/>
      </c>
      <c r="EV184" s="40" t="str">
        <f t="shared" ref="EV184:EV191" si="3044">IF(BP184="","","|n"&amp;EV$2&amp;"+"&amp;BP184&amp;EV$1)</f>
        <v/>
      </c>
      <c r="EW184" s="40" t="str">
        <f t="shared" ref="EW184:EW191" si="3045">IF(BQ184="","","|n"&amp;EW$2&amp;"+"&amp;BQ184&amp;EW$1)</f>
        <v/>
      </c>
      <c r="EX184" s="40" t="str">
        <f t="shared" ref="EX184:EX191" si="3046">IF(BR184="","","|n"&amp;EX$2&amp;"+"&amp;BR184&amp;EX$1)</f>
        <v/>
      </c>
      <c r="EY184" s="40" t="str">
        <f t="shared" ref="EY184:EY191" si="3047">IF(BS184="","","|n"&amp;EY$2&amp;"+"&amp;BS184&amp;EY$1)</f>
        <v/>
      </c>
      <c r="EZ184" s="40" t="str">
        <f t="shared" ref="EZ184:EZ191" si="3048">IF(BT184="","","|n"&amp;EZ$2&amp;"+"&amp;BT184&amp;EZ$1)</f>
        <v/>
      </c>
      <c r="FA184" s="40" t="str">
        <f t="shared" ref="FA184:FA191" si="3049">IF(BU184="","","|n"&amp;FA$2&amp;"+"&amp;BU184&amp;FA$1)</f>
        <v/>
      </c>
      <c r="FB184" s="40" t="str">
        <f t="shared" ref="FB184:FB191" si="3050">IF(BV184="","","|n"&amp;FB$2&amp;"+"&amp;BV184&amp;FB$1)</f>
        <v/>
      </c>
      <c r="FC184" s="40" t="str">
        <f t="shared" ref="FC184:FC191" si="3051">IF(BW184="","","|n"&amp;FC$2&amp;"+"&amp;BW184&amp;FC$1)</f>
        <v/>
      </c>
      <c r="FD184" s="40" t="str">
        <f t="shared" ref="FD184:FD191" si="3052">IF(BX184="","","|n"&amp;FD$2&amp;"+"&amp;BX184&amp;FD$1)</f>
        <v/>
      </c>
      <c r="FE184" s="40" t="str">
        <f t="shared" ref="FE184:FE191" si="3053">IF(BY184="","","|n"&amp;FE$2&amp;"+"&amp;BY184&amp;FE$1)</f>
        <v/>
      </c>
      <c r="FF184" s="40" t="str">
        <f t="shared" ref="FF184:FF191" si="3054">IF(BZ184="","","|n"&amp;FF$2&amp;"+"&amp;BZ184&amp;FF$1)</f>
        <v/>
      </c>
      <c r="FG184" s="40" t="str">
        <f t="shared" ref="FG184:FG191" si="3055">IF(CA184="","","|n"&amp;FG$2&amp;"+"&amp;CA184&amp;FG$1)</f>
        <v/>
      </c>
      <c r="FH184" s="40" t="str">
        <f t="shared" ref="FH184:FH191" si="3056">IF(CB184="","","|n"&amp;FH$2&amp;"+"&amp;CB184&amp;FH$1)</f>
        <v/>
      </c>
      <c r="FI184" s="40" t="str">
        <f t="shared" ref="FI184:FI191" si="3057">IF(CC184="","","|n"&amp;FI$2&amp;"+"&amp;CC184&amp;FI$1)</f>
        <v/>
      </c>
      <c r="FJ184" s="40" t="str">
        <f t="shared" ref="FJ184:FJ191" si="3058">IF(CD184="","","|n"&amp;FJ$2&amp;"+"&amp;CD184&amp;FJ$1)</f>
        <v/>
      </c>
      <c r="FK184" s="40" t="str">
        <f t="shared" ref="FK184:FK191" si="3059">IF(CE184="","","|n"&amp;FK$2&amp;"+"&amp;CE184&amp;FK$1)</f>
        <v/>
      </c>
      <c r="FL184" s="40" t="str">
        <f t="shared" ref="FL184:FL191" si="3060">IF(CF184="","","|n"&amp;FL$2&amp;"+"&amp;CF184&amp;FL$1)</f>
        <v/>
      </c>
      <c r="FM184" s="40" t="str">
        <f t="shared" ref="FM184:FM191" si="3061">IF(CG184="","","|n"&amp;FM$2&amp;"+"&amp;CG184&amp;FM$1)</f>
        <v/>
      </c>
      <c r="FN184" s="40" t="str">
        <f t="shared" ref="FN184:FN191" si="3062">IF(CH184="","","|n"&amp;FN$2&amp;"+"&amp;CH184&amp;FN$1)</f>
        <v/>
      </c>
      <c r="FO184" s="40" t="str">
        <f t="shared" ref="FO184:FO191" si="3063">IF(CI184="","","|n"&amp;FO$2&amp;"+"&amp;CI184&amp;FO$1)</f>
        <v/>
      </c>
      <c r="FP184" s="40" t="str">
        <f t="shared" ref="FP184:FP191" si="3064">IF(CJ184="","","|n"&amp;FP$2&amp;"+"&amp;CJ184&amp;FP$1)</f>
        <v/>
      </c>
      <c r="FQ184" s="40" t="str">
        <f t="shared" ref="FQ184:FQ191" si="3065">IF(CK184="","","|n"&amp;FQ$2&amp;"+"&amp;CK184&amp;FQ$1)</f>
        <v/>
      </c>
      <c r="FR184" s="40" t="str">
        <f t="shared" ref="FR184:FR191" si="3066">IF(CL184="","","|n"&amp;FR$2&amp;"+"&amp;CL184&amp;FR$1)</f>
        <v/>
      </c>
      <c r="FS184" s="40" t="str">
        <f t="shared" ref="FS184:FS191" si="3067">IF(CM184="","","|n"&amp;FS$2&amp;"+"&amp;CM184&amp;FS$1)</f>
        <v/>
      </c>
    </row>
    <row r="185" spans="1:175">
      <c r="A185" s="78"/>
      <c r="B185" s="5" t="s">
        <v>501</v>
      </c>
      <c r="C185" s="135" t="s">
        <v>658</v>
      </c>
      <c r="T185" s="135" t="s">
        <v>658</v>
      </c>
      <c r="U185" s="51" t="str">
        <f t="shared" si="2995"/>
        <v>ReplaceableTextures\\CommandButtons\\BTNIB02.blp</v>
      </c>
      <c r="CN185" s="10" t="str">
        <f t="shared" ref="CN185:CN219" si="3068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9" si="3069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9" si="3070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9" si="3071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6"/>
        <v>|n</v>
      </c>
      <c r="CV185" s="3" t="str">
        <f t="shared" si="2997"/>
        <v>入群礼包</v>
      </c>
      <c r="CW185" s="4"/>
      <c r="CX185" s="4"/>
      <c r="CY185" s="4"/>
      <c r="CZ185" s="4"/>
      <c r="DA185" s="4"/>
      <c r="DB185" s="40" t="str">
        <f t="shared" si="2998"/>
        <v/>
      </c>
      <c r="DC185" s="40" t="str">
        <f t="shared" si="2999"/>
        <v/>
      </c>
      <c r="DD185" s="40" t="str">
        <f t="shared" si="3000"/>
        <v/>
      </c>
      <c r="DE185" s="40" t="str">
        <f t="shared" si="3001"/>
        <v/>
      </c>
      <c r="DF185" s="40" t="str">
        <f t="shared" si="3002"/>
        <v/>
      </c>
      <c r="DG185" s="40" t="str">
        <f t="shared" si="3003"/>
        <v/>
      </c>
      <c r="DH185" s="40" t="str">
        <f t="shared" si="3004"/>
        <v/>
      </c>
      <c r="DI185" s="40" t="str">
        <f t="shared" si="3005"/>
        <v/>
      </c>
      <c r="DJ185" s="40" t="str">
        <f t="shared" si="3006"/>
        <v/>
      </c>
      <c r="DK185" s="40" t="str">
        <f t="shared" si="3007"/>
        <v/>
      </c>
      <c r="DL185" s="40" t="str">
        <f t="shared" si="3008"/>
        <v/>
      </c>
      <c r="DM185" s="40" t="str">
        <f t="shared" si="3009"/>
        <v/>
      </c>
      <c r="DN185" s="40" t="str">
        <f t="shared" si="3010"/>
        <v/>
      </c>
      <c r="DO185" s="40" t="str">
        <f t="shared" si="3011"/>
        <v/>
      </c>
      <c r="DP185" s="40" t="str">
        <f t="shared" si="3012"/>
        <v/>
      </c>
      <c r="DQ185" s="40" t="str">
        <f t="shared" si="3013"/>
        <v/>
      </c>
      <c r="DR185" s="40" t="str">
        <f t="shared" si="3014"/>
        <v/>
      </c>
      <c r="DS185" s="40" t="str">
        <f t="shared" si="3015"/>
        <v/>
      </c>
      <c r="DT185" s="40" t="str">
        <f t="shared" si="3016"/>
        <v/>
      </c>
      <c r="DU185" s="40" t="str">
        <f t="shared" si="3017"/>
        <v/>
      </c>
      <c r="DV185" s="40" t="str">
        <f t="shared" si="3018"/>
        <v/>
      </c>
      <c r="DW185" s="40" t="str">
        <f t="shared" si="3019"/>
        <v/>
      </c>
      <c r="DX185" s="40" t="str">
        <f t="shared" si="3020"/>
        <v/>
      </c>
      <c r="DY185" s="40" t="str">
        <f t="shared" si="3021"/>
        <v/>
      </c>
      <c r="DZ185" s="40" t="str">
        <f t="shared" si="3022"/>
        <v/>
      </c>
      <c r="EA185" s="40" t="str">
        <f t="shared" si="3023"/>
        <v/>
      </c>
      <c r="EB185" s="40" t="str">
        <f t="shared" si="3024"/>
        <v/>
      </c>
      <c r="EC185" s="40" t="str">
        <f t="shared" si="3025"/>
        <v/>
      </c>
      <c r="ED185" s="40" t="str">
        <f t="shared" si="3026"/>
        <v/>
      </c>
      <c r="EE185" s="40" t="str">
        <f t="shared" si="3027"/>
        <v/>
      </c>
      <c r="EF185" s="40" t="str">
        <f t="shared" si="3028"/>
        <v/>
      </c>
      <c r="EG185" s="40" t="str">
        <f t="shared" si="3029"/>
        <v/>
      </c>
      <c r="EH185" s="40" t="str">
        <f t="shared" si="3030"/>
        <v/>
      </c>
      <c r="EI185" s="40" t="str">
        <f t="shared" si="3031"/>
        <v/>
      </c>
      <c r="EJ185" s="40" t="str">
        <f t="shared" si="3032"/>
        <v/>
      </c>
      <c r="EK185" s="40" t="str">
        <f t="shared" si="3033"/>
        <v/>
      </c>
      <c r="EL185" s="40" t="str">
        <f t="shared" si="3034"/>
        <v/>
      </c>
      <c r="EM185" s="40" t="str">
        <f t="shared" si="3035"/>
        <v/>
      </c>
      <c r="EN185" s="40" t="str">
        <f t="shared" si="3036"/>
        <v/>
      </c>
      <c r="EO185" s="40" t="str">
        <f t="shared" si="3037"/>
        <v/>
      </c>
      <c r="EP185" s="40" t="str">
        <f t="shared" si="3038"/>
        <v/>
      </c>
      <c r="EQ185" s="40" t="str">
        <f t="shared" si="3039"/>
        <v/>
      </c>
      <c r="ER185" s="40" t="str">
        <f t="shared" si="3040"/>
        <v/>
      </c>
      <c r="ES185" s="40" t="str">
        <f t="shared" si="3041"/>
        <v/>
      </c>
      <c r="ET185" s="40" t="str">
        <f t="shared" si="3042"/>
        <v/>
      </c>
      <c r="EU185" s="40" t="str">
        <f t="shared" si="3043"/>
        <v/>
      </c>
      <c r="EV185" s="40" t="str">
        <f t="shared" si="3044"/>
        <v/>
      </c>
      <c r="EW185" s="40" t="str">
        <f t="shared" si="3045"/>
        <v/>
      </c>
      <c r="EX185" s="40" t="str">
        <f t="shared" si="3046"/>
        <v/>
      </c>
      <c r="EY185" s="40" t="str">
        <f t="shared" si="3047"/>
        <v/>
      </c>
      <c r="EZ185" s="40" t="str">
        <f t="shared" si="3048"/>
        <v/>
      </c>
      <c r="FA185" s="40" t="str">
        <f t="shared" si="3049"/>
        <v/>
      </c>
      <c r="FB185" s="40" t="str">
        <f t="shared" si="3050"/>
        <v/>
      </c>
      <c r="FC185" s="40" t="str">
        <f t="shared" si="3051"/>
        <v/>
      </c>
      <c r="FD185" s="40" t="str">
        <f t="shared" si="3052"/>
        <v/>
      </c>
      <c r="FE185" s="40" t="str">
        <f t="shared" si="3053"/>
        <v/>
      </c>
      <c r="FF185" s="40" t="str">
        <f t="shared" si="3054"/>
        <v/>
      </c>
      <c r="FG185" s="40" t="str">
        <f t="shared" si="3055"/>
        <v/>
      </c>
      <c r="FH185" s="40" t="str">
        <f t="shared" si="3056"/>
        <v/>
      </c>
      <c r="FI185" s="40" t="str">
        <f t="shared" si="3057"/>
        <v/>
      </c>
      <c r="FJ185" s="40" t="str">
        <f t="shared" si="3058"/>
        <v/>
      </c>
      <c r="FK185" s="40" t="str">
        <f t="shared" si="3059"/>
        <v/>
      </c>
      <c r="FL185" s="40" t="str">
        <f t="shared" si="3060"/>
        <v/>
      </c>
      <c r="FM185" s="40" t="str">
        <f t="shared" si="3061"/>
        <v/>
      </c>
      <c r="FN185" s="40" t="str">
        <f t="shared" si="3062"/>
        <v/>
      </c>
      <c r="FO185" s="40" t="str">
        <f t="shared" si="3063"/>
        <v/>
      </c>
      <c r="FP185" s="40" t="str">
        <f t="shared" si="3064"/>
        <v/>
      </c>
      <c r="FQ185" s="40" t="str">
        <f t="shared" si="3065"/>
        <v/>
      </c>
      <c r="FR185" s="40" t="str">
        <f t="shared" si="3066"/>
        <v/>
      </c>
      <c r="FS185" s="40" t="str">
        <f t="shared" si="3067"/>
        <v/>
      </c>
    </row>
    <row r="186" spans="1:175">
      <c r="A186" s="78"/>
      <c r="B186" s="5" t="s">
        <v>502</v>
      </c>
      <c r="C186" s="135" t="s">
        <v>659</v>
      </c>
      <c r="T186" s="135" t="s">
        <v>659</v>
      </c>
      <c r="U186" s="51" t="str">
        <f t="shared" si="2995"/>
        <v>ReplaceableTextures\\CommandButtons\\BTNIB03.blp</v>
      </c>
      <c r="CN186" s="10" t="str">
        <f t="shared" si="3068"/>
        <v>InitUnitState('IB03',,,,,,,,,,)</v>
      </c>
      <c r="CO186" s="10" t="str">
        <f t="shared" si="3069"/>
        <v>InitUnitNormal('IB03',,,,,,,,,,)</v>
      </c>
      <c r="CP186" s="10" t="str">
        <f t="shared" si="3070"/>
        <v>InitUnitMagic('IB03',,,,,,,,,,)</v>
      </c>
      <c r="CQ186" s="10" t="str">
        <f t="shared" si="3071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6"/>
        <v>|n</v>
      </c>
      <c r="CV186" s="3" t="str">
        <f t="shared" si="2997"/>
        <v>评价礼包</v>
      </c>
      <c r="CW186" s="4"/>
      <c r="CX186" s="4"/>
      <c r="CY186" s="4"/>
      <c r="CZ186" s="4"/>
      <c r="DA186" s="4"/>
      <c r="DB186" s="40" t="str">
        <f t="shared" si="2998"/>
        <v/>
      </c>
      <c r="DC186" s="40" t="str">
        <f t="shared" si="2999"/>
        <v/>
      </c>
      <c r="DD186" s="40" t="str">
        <f t="shared" si="3000"/>
        <v/>
      </c>
      <c r="DE186" s="40" t="str">
        <f t="shared" si="3001"/>
        <v/>
      </c>
      <c r="DF186" s="40" t="str">
        <f t="shared" si="3002"/>
        <v/>
      </c>
      <c r="DG186" s="40" t="str">
        <f t="shared" si="3003"/>
        <v/>
      </c>
      <c r="DH186" s="40" t="str">
        <f t="shared" si="3004"/>
        <v/>
      </c>
      <c r="DI186" s="40" t="str">
        <f t="shared" si="3005"/>
        <v/>
      </c>
      <c r="DJ186" s="40" t="str">
        <f t="shared" si="3006"/>
        <v/>
      </c>
      <c r="DK186" s="40" t="str">
        <f t="shared" si="3007"/>
        <v/>
      </c>
      <c r="DL186" s="40" t="str">
        <f t="shared" si="3008"/>
        <v/>
      </c>
      <c r="DM186" s="40" t="str">
        <f t="shared" si="3009"/>
        <v/>
      </c>
      <c r="DN186" s="40" t="str">
        <f t="shared" si="3010"/>
        <v/>
      </c>
      <c r="DO186" s="40" t="str">
        <f t="shared" si="3011"/>
        <v/>
      </c>
      <c r="DP186" s="40" t="str">
        <f t="shared" si="3012"/>
        <v/>
      </c>
      <c r="DQ186" s="40" t="str">
        <f t="shared" si="3013"/>
        <v/>
      </c>
      <c r="DR186" s="40" t="str">
        <f t="shared" si="3014"/>
        <v/>
      </c>
      <c r="DS186" s="40" t="str">
        <f t="shared" si="3015"/>
        <v/>
      </c>
      <c r="DT186" s="40" t="str">
        <f t="shared" si="3016"/>
        <v/>
      </c>
      <c r="DU186" s="40" t="str">
        <f t="shared" si="3017"/>
        <v/>
      </c>
      <c r="DV186" s="40" t="str">
        <f t="shared" si="3018"/>
        <v/>
      </c>
      <c r="DW186" s="40" t="str">
        <f t="shared" si="3019"/>
        <v/>
      </c>
      <c r="DX186" s="40" t="str">
        <f t="shared" si="3020"/>
        <v/>
      </c>
      <c r="DY186" s="40" t="str">
        <f t="shared" si="3021"/>
        <v/>
      </c>
      <c r="DZ186" s="40" t="str">
        <f t="shared" si="3022"/>
        <v/>
      </c>
      <c r="EA186" s="40" t="str">
        <f t="shared" si="3023"/>
        <v/>
      </c>
      <c r="EB186" s="40" t="str">
        <f t="shared" si="3024"/>
        <v/>
      </c>
      <c r="EC186" s="40" t="str">
        <f t="shared" si="3025"/>
        <v/>
      </c>
      <c r="ED186" s="40" t="str">
        <f t="shared" si="3026"/>
        <v/>
      </c>
      <c r="EE186" s="40" t="str">
        <f t="shared" si="3027"/>
        <v/>
      </c>
      <c r="EF186" s="40" t="str">
        <f t="shared" si="3028"/>
        <v/>
      </c>
      <c r="EG186" s="40" t="str">
        <f t="shared" si="3029"/>
        <v/>
      </c>
      <c r="EH186" s="40" t="str">
        <f t="shared" si="3030"/>
        <v/>
      </c>
      <c r="EI186" s="40" t="str">
        <f t="shared" si="3031"/>
        <v/>
      </c>
      <c r="EJ186" s="40" t="str">
        <f t="shared" si="3032"/>
        <v/>
      </c>
      <c r="EK186" s="40" t="str">
        <f t="shared" si="3033"/>
        <v/>
      </c>
      <c r="EL186" s="40" t="str">
        <f t="shared" si="3034"/>
        <v/>
      </c>
      <c r="EM186" s="40" t="str">
        <f t="shared" si="3035"/>
        <v/>
      </c>
      <c r="EN186" s="40" t="str">
        <f t="shared" si="3036"/>
        <v/>
      </c>
      <c r="EO186" s="40" t="str">
        <f t="shared" si="3037"/>
        <v/>
      </c>
      <c r="EP186" s="40" t="str">
        <f t="shared" si="3038"/>
        <v/>
      </c>
      <c r="EQ186" s="40" t="str">
        <f t="shared" si="3039"/>
        <v/>
      </c>
      <c r="ER186" s="40" t="str">
        <f t="shared" si="3040"/>
        <v/>
      </c>
      <c r="ES186" s="40" t="str">
        <f t="shared" si="3041"/>
        <v/>
      </c>
      <c r="ET186" s="40" t="str">
        <f t="shared" si="3042"/>
        <v/>
      </c>
      <c r="EU186" s="40" t="str">
        <f t="shared" si="3043"/>
        <v/>
      </c>
      <c r="EV186" s="40" t="str">
        <f t="shared" si="3044"/>
        <v/>
      </c>
      <c r="EW186" s="40" t="str">
        <f t="shared" si="3045"/>
        <v/>
      </c>
      <c r="EX186" s="40" t="str">
        <f t="shared" si="3046"/>
        <v/>
      </c>
      <c r="EY186" s="40" t="str">
        <f t="shared" si="3047"/>
        <v/>
      </c>
      <c r="EZ186" s="40" t="str">
        <f t="shared" si="3048"/>
        <v/>
      </c>
      <c r="FA186" s="40" t="str">
        <f t="shared" si="3049"/>
        <v/>
      </c>
      <c r="FB186" s="40" t="str">
        <f t="shared" si="3050"/>
        <v/>
      </c>
      <c r="FC186" s="40" t="str">
        <f t="shared" si="3051"/>
        <v/>
      </c>
      <c r="FD186" s="40" t="str">
        <f t="shared" si="3052"/>
        <v/>
      </c>
      <c r="FE186" s="40" t="str">
        <f t="shared" si="3053"/>
        <v/>
      </c>
      <c r="FF186" s="40" t="str">
        <f t="shared" si="3054"/>
        <v/>
      </c>
      <c r="FG186" s="40" t="str">
        <f t="shared" si="3055"/>
        <v/>
      </c>
      <c r="FH186" s="40" t="str">
        <f t="shared" si="3056"/>
        <v/>
      </c>
      <c r="FI186" s="40" t="str">
        <f t="shared" si="3057"/>
        <v/>
      </c>
      <c r="FJ186" s="40" t="str">
        <f t="shared" si="3058"/>
        <v/>
      </c>
      <c r="FK186" s="40" t="str">
        <f t="shared" si="3059"/>
        <v/>
      </c>
      <c r="FL186" s="40" t="str">
        <f t="shared" si="3060"/>
        <v/>
      </c>
      <c r="FM186" s="40" t="str">
        <f t="shared" si="3061"/>
        <v/>
      </c>
      <c r="FN186" s="40" t="str">
        <f t="shared" si="3062"/>
        <v/>
      </c>
      <c r="FO186" s="40" t="str">
        <f t="shared" si="3063"/>
        <v/>
      </c>
      <c r="FP186" s="40" t="str">
        <f t="shared" si="3064"/>
        <v/>
      </c>
      <c r="FQ186" s="40" t="str">
        <f t="shared" si="3065"/>
        <v/>
      </c>
      <c r="FR186" s="40" t="str">
        <f t="shared" si="3066"/>
        <v/>
      </c>
      <c r="FS186" s="40" t="str">
        <f t="shared" si="3067"/>
        <v/>
      </c>
    </row>
    <row r="187" spans="1:175">
      <c r="A187" s="78"/>
      <c r="B187" s="5" t="s">
        <v>503</v>
      </c>
      <c r="C187" s="135" t="s">
        <v>660</v>
      </c>
      <c r="T187" s="135" t="s">
        <v>660</v>
      </c>
      <c r="U187" s="51" t="str">
        <f t="shared" si="2995"/>
        <v>ReplaceableTextures\\CommandButtons\\BTNIB04.blp</v>
      </c>
      <c r="CN187" s="10" t="str">
        <f t="shared" si="3068"/>
        <v>InitUnitState('IB04',,,,,,,,,,)</v>
      </c>
      <c r="CO187" s="10" t="str">
        <f t="shared" si="3069"/>
        <v>InitUnitNormal('IB04',,,,,,,,,,)</v>
      </c>
      <c r="CP187" s="10" t="str">
        <f t="shared" si="3070"/>
        <v>InitUnitMagic('IB04',,,,,,,,,,)</v>
      </c>
      <c r="CQ187" s="10" t="str">
        <f t="shared" si="3071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6"/>
        <v>|n</v>
      </c>
      <c r="CV187" s="3" t="str">
        <f t="shared" si="2997"/>
        <v>收藏礼包</v>
      </c>
      <c r="CW187" s="4"/>
      <c r="CX187" s="4"/>
      <c r="CY187" s="4"/>
      <c r="CZ187" s="4"/>
      <c r="DA187" s="4"/>
      <c r="DB187" s="40" t="str">
        <f t="shared" si="2998"/>
        <v/>
      </c>
      <c r="DC187" s="40" t="str">
        <f t="shared" si="2999"/>
        <v/>
      </c>
      <c r="DD187" s="40" t="str">
        <f t="shared" si="3000"/>
        <v/>
      </c>
      <c r="DE187" s="40" t="str">
        <f t="shared" si="3001"/>
        <v/>
      </c>
      <c r="DF187" s="40" t="str">
        <f t="shared" si="3002"/>
        <v/>
      </c>
      <c r="DG187" s="40" t="str">
        <f t="shared" si="3003"/>
        <v/>
      </c>
      <c r="DH187" s="40" t="str">
        <f t="shared" si="3004"/>
        <v/>
      </c>
      <c r="DI187" s="40" t="str">
        <f t="shared" si="3005"/>
        <v/>
      </c>
      <c r="DJ187" s="40" t="str">
        <f t="shared" si="3006"/>
        <v/>
      </c>
      <c r="DK187" s="40" t="str">
        <f t="shared" si="3007"/>
        <v/>
      </c>
      <c r="DL187" s="40" t="str">
        <f t="shared" si="3008"/>
        <v/>
      </c>
      <c r="DM187" s="40" t="str">
        <f t="shared" si="3009"/>
        <v/>
      </c>
      <c r="DN187" s="40" t="str">
        <f t="shared" si="3010"/>
        <v/>
      </c>
      <c r="DO187" s="40" t="str">
        <f t="shared" si="3011"/>
        <v/>
      </c>
      <c r="DP187" s="40" t="str">
        <f t="shared" si="3012"/>
        <v/>
      </c>
      <c r="DQ187" s="40" t="str">
        <f t="shared" si="3013"/>
        <v/>
      </c>
      <c r="DR187" s="40" t="str">
        <f t="shared" si="3014"/>
        <v/>
      </c>
      <c r="DS187" s="40" t="str">
        <f t="shared" si="3015"/>
        <v/>
      </c>
      <c r="DT187" s="40" t="str">
        <f t="shared" si="3016"/>
        <v/>
      </c>
      <c r="DU187" s="40" t="str">
        <f t="shared" si="3017"/>
        <v/>
      </c>
      <c r="DV187" s="40" t="str">
        <f t="shared" si="3018"/>
        <v/>
      </c>
      <c r="DW187" s="40" t="str">
        <f t="shared" si="3019"/>
        <v/>
      </c>
      <c r="DX187" s="40" t="str">
        <f t="shared" si="3020"/>
        <v/>
      </c>
      <c r="DY187" s="40" t="str">
        <f t="shared" si="3021"/>
        <v/>
      </c>
      <c r="DZ187" s="40" t="str">
        <f t="shared" si="3022"/>
        <v/>
      </c>
      <c r="EA187" s="40" t="str">
        <f t="shared" si="3023"/>
        <v/>
      </c>
      <c r="EB187" s="40" t="str">
        <f t="shared" si="3024"/>
        <v/>
      </c>
      <c r="EC187" s="40" t="str">
        <f t="shared" si="3025"/>
        <v/>
      </c>
      <c r="ED187" s="40" t="str">
        <f t="shared" si="3026"/>
        <v/>
      </c>
      <c r="EE187" s="40" t="str">
        <f t="shared" si="3027"/>
        <v/>
      </c>
      <c r="EF187" s="40" t="str">
        <f t="shared" si="3028"/>
        <v/>
      </c>
      <c r="EG187" s="40" t="str">
        <f t="shared" si="3029"/>
        <v/>
      </c>
      <c r="EH187" s="40" t="str">
        <f t="shared" si="3030"/>
        <v/>
      </c>
      <c r="EI187" s="40" t="str">
        <f t="shared" si="3031"/>
        <v/>
      </c>
      <c r="EJ187" s="40" t="str">
        <f t="shared" si="3032"/>
        <v/>
      </c>
      <c r="EK187" s="40" t="str">
        <f t="shared" si="3033"/>
        <v/>
      </c>
      <c r="EL187" s="40" t="str">
        <f t="shared" si="3034"/>
        <v/>
      </c>
      <c r="EM187" s="40" t="str">
        <f t="shared" si="3035"/>
        <v/>
      </c>
      <c r="EN187" s="40" t="str">
        <f t="shared" si="3036"/>
        <v/>
      </c>
      <c r="EO187" s="40" t="str">
        <f t="shared" si="3037"/>
        <v/>
      </c>
      <c r="EP187" s="40" t="str">
        <f t="shared" si="3038"/>
        <v/>
      </c>
      <c r="EQ187" s="40" t="str">
        <f t="shared" si="3039"/>
        <v/>
      </c>
      <c r="ER187" s="40" t="str">
        <f t="shared" si="3040"/>
        <v/>
      </c>
      <c r="ES187" s="40" t="str">
        <f t="shared" si="3041"/>
        <v/>
      </c>
      <c r="ET187" s="40" t="str">
        <f t="shared" si="3042"/>
        <v/>
      </c>
      <c r="EU187" s="40" t="str">
        <f t="shared" si="3043"/>
        <v/>
      </c>
      <c r="EV187" s="40" t="str">
        <f t="shared" si="3044"/>
        <v/>
      </c>
      <c r="EW187" s="40" t="str">
        <f t="shared" si="3045"/>
        <v/>
      </c>
      <c r="EX187" s="40" t="str">
        <f t="shared" si="3046"/>
        <v/>
      </c>
      <c r="EY187" s="40" t="str">
        <f t="shared" si="3047"/>
        <v/>
      </c>
      <c r="EZ187" s="40" t="str">
        <f t="shared" si="3048"/>
        <v/>
      </c>
      <c r="FA187" s="40" t="str">
        <f t="shared" si="3049"/>
        <v/>
      </c>
      <c r="FB187" s="40" t="str">
        <f t="shared" si="3050"/>
        <v/>
      </c>
      <c r="FC187" s="40" t="str">
        <f t="shared" si="3051"/>
        <v/>
      </c>
      <c r="FD187" s="40" t="str">
        <f t="shared" si="3052"/>
        <v/>
      </c>
      <c r="FE187" s="40" t="str">
        <f t="shared" si="3053"/>
        <v/>
      </c>
      <c r="FF187" s="40" t="str">
        <f t="shared" si="3054"/>
        <v/>
      </c>
      <c r="FG187" s="40" t="str">
        <f t="shared" si="3055"/>
        <v/>
      </c>
      <c r="FH187" s="40" t="str">
        <f t="shared" si="3056"/>
        <v/>
      </c>
      <c r="FI187" s="40" t="str">
        <f t="shared" si="3057"/>
        <v/>
      </c>
      <c r="FJ187" s="40" t="str">
        <f t="shared" si="3058"/>
        <v/>
      </c>
      <c r="FK187" s="40" t="str">
        <f t="shared" si="3059"/>
        <v/>
      </c>
      <c r="FL187" s="40" t="str">
        <f t="shared" si="3060"/>
        <v/>
      </c>
      <c r="FM187" s="40" t="str">
        <f t="shared" si="3061"/>
        <v/>
      </c>
      <c r="FN187" s="40" t="str">
        <f t="shared" si="3062"/>
        <v/>
      </c>
      <c r="FO187" s="40" t="str">
        <f t="shared" si="3063"/>
        <v/>
      </c>
      <c r="FP187" s="40" t="str">
        <f t="shared" si="3064"/>
        <v/>
      </c>
      <c r="FQ187" s="40" t="str">
        <f t="shared" si="3065"/>
        <v/>
      </c>
      <c r="FR187" s="40" t="str">
        <f t="shared" si="3066"/>
        <v/>
      </c>
      <c r="FS187" s="40" t="str">
        <f t="shared" si="3067"/>
        <v/>
      </c>
    </row>
    <row r="188" spans="1:175">
      <c r="A188" s="78"/>
      <c r="B188" s="5" t="s">
        <v>504</v>
      </c>
      <c r="C188" s="135" t="s">
        <v>661</v>
      </c>
      <c r="T188" s="135" t="s">
        <v>661</v>
      </c>
      <c r="U188" s="51" t="str">
        <f t="shared" si="2995"/>
        <v>ReplaceableTextures\\CommandButtons\\BTNIB05.blp</v>
      </c>
      <c r="CN188" s="10" t="str">
        <f t="shared" si="3068"/>
        <v>InitUnitState('IB05',,,,,,,,,,)</v>
      </c>
      <c r="CO188" s="10" t="str">
        <f t="shared" si="3069"/>
        <v>InitUnitNormal('IB05',,,,,,,,,,)</v>
      </c>
      <c r="CP188" s="10" t="str">
        <f t="shared" si="3070"/>
        <v>InitUnitMagic('IB05',,,,,,,,,,)</v>
      </c>
      <c r="CQ188" s="10" t="str">
        <f t="shared" si="3071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197&amp;CR$1&amp;")"</f>
        <v>InitEquipData('IB05',,"",,,,,'','','','','','',"")</v>
      </c>
      <c r="CU188" s="61" t="str">
        <f t="shared" si="2996"/>
        <v>|n</v>
      </c>
      <c r="CV188" s="3" t="str">
        <f t="shared" si="2997"/>
        <v>重置版礼包</v>
      </c>
      <c r="CW188" s="4"/>
      <c r="CX188" s="4"/>
      <c r="CY188" s="4"/>
      <c r="CZ188" s="4"/>
      <c r="DA188" s="4"/>
      <c r="DB188" s="40" t="str">
        <f t="shared" si="2998"/>
        <v/>
      </c>
      <c r="DC188" s="40" t="str">
        <f t="shared" si="2999"/>
        <v/>
      </c>
      <c r="DD188" s="40" t="str">
        <f t="shared" si="3000"/>
        <v/>
      </c>
      <c r="DE188" s="40" t="str">
        <f t="shared" si="3001"/>
        <v/>
      </c>
      <c r="DF188" s="40" t="str">
        <f t="shared" si="3002"/>
        <v/>
      </c>
      <c r="DG188" s="40" t="str">
        <f t="shared" si="3003"/>
        <v/>
      </c>
      <c r="DH188" s="40" t="str">
        <f t="shared" si="3004"/>
        <v/>
      </c>
      <c r="DI188" s="40" t="str">
        <f t="shared" si="3005"/>
        <v/>
      </c>
      <c r="DJ188" s="40" t="str">
        <f t="shared" si="3006"/>
        <v/>
      </c>
      <c r="DK188" s="40" t="str">
        <f t="shared" si="3007"/>
        <v/>
      </c>
      <c r="DL188" s="40" t="str">
        <f t="shared" si="3008"/>
        <v/>
      </c>
      <c r="DM188" s="40" t="str">
        <f t="shared" si="3009"/>
        <v/>
      </c>
      <c r="DN188" s="40" t="str">
        <f t="shared" si="3010"/>
        <v/>
      </c>
      <c r="DO188" s="40" t="str">
        <f t="shared" si="3011"/>
        <v/>
      </c>
      <c r="DP188" s="40" t="str">
        <f t="shared" si="3012"/>
        <v/>
      </c>
      <c r="DQ188" s="40" t="str">
        <f t="shared" si="3013"/>
        <v/>
      </c>
      <c r="DR188" s="40" t="str">
        <f t="shared" si="3014"/>
        <v/>
      </c>
      <c r="DS188" s="40" t="str">
        <f t="shared" si="3015"/>
        <v/>
      </c>
      <c r="DT188" s="40" t="str">
        <f t="shared" si="3016"/>
        <v/>
      </c>
      <c r="DU188" s="40" t="str">
        <f t="shared" si="3017"/>
        <v/>
      </c>
      <c r="DV188" s="40" t="str">
        <f t="shared" si="3018"/>
        <v/>
      </c>
      <c r="DW188" s="40" t="str">
        <f t="shared" si="3019"/>
        <v/>
      </c>
      <c r="DX188" s="40" t="str">
        <f t="shared" si="3020"/>
        <v/>
      </c>
      <c r="DY188" s="40" t="str">
        <f t="shared" si="3021"/>
        <v/>
      </c>
      <c r="DZ188" s="40" t="str">
        <f t="shared" si="3022"/>
        <v/>
      </c>
      <c r="EA188" s="40" t="str">
        <f t="shared" si="3023"/>
        <v/>
      </c>
      <c r="EB188" s="40" t="str">
        <f t="shared" si="3024"/>
        <v/>
      </c>
      <c r="EC188" s="40" t="str">
        <f t="shared" si="3025"/>
        <v/>
      </c>
      <c r="ED188" s="40" t="str">
        <f t="shared" si="3026"/>
        <v/>
      </c>
      <c r="EE188" s="40" t="str">
        <f t="shared" si="3027"/>
        <v/>
      </c>
      <c r="EF188" s="40" t="str">
        <f t="shared" si="3028"/>
        <v/>
      </c>
      <c r="EG188" s="40" t="str">
        <f t="shared" si="3029"/>
        <v/>
      </c>
      <c r="EH188" s="40" t="str">
        <f t="shared" si="3030"/>
        <v/>
      </c>
      <c r="EI188" s="40" t="str">
        <f t="shared" si="3031"/>
        <v/>
      </c>
      <c r="EJ188" s="40" t="str">
        <f t="shared" si="3032"/>
        <v/>
      </c>
      <c r="EK188" s="40" t="str">
        <f t="shared" si="3033"/>
        <v/>
      </c>
      <c r="EL188" s="40" t="str">
        <f t="shared" si="3034"/>
        <v/>
      </c>
      <c r="EM188" s="40" t="str">
        <f t="shared" si="3035"/>
        <v/>
      </c>
      <c r="EN188" s="40" t="str">
        <f t="shared" si="3036"/>
        <v/>
      </c>
      <c r="EO188" s="40" t="str">
        <f t="shared" si="3037"/>
        <v/>
      </c>
      <c r="EP188" s="40" t="str">
        <f t="shared" si="3038"/>
        <v/>
      </c>
      <c r="EQ188" s="40" t="str">
        <f t="shared" si="3039"/>
        <v/>
      </c>
      <c r="ER188" s="40" t="str">
        <f t="shared" si="3040"/>
        <v/>
      </c>
      <c r="ES188" s="40" t="str">
        <f t="shared" si="3041"/>
        <v/>
      </c>
      <c r="ET188" s="40" t="str">
        <f t="shared" si="3042"/>
        <v/>
      </c>
      <c r="EU188" s="40" t="str">
        <f t="shared" si="3043"/>
        <v/>
      </c>
      <c r="EV188" s="40" t="str">
        <f t="shared" si="3044"/>
        <v/>
      </c>
      <c r="EW188" s="40" t="str">
        <f t="shared" si="3045"/>
        <v/>
      </c>
      <c r="EX188" s="40" t="str">
        <f t="shared" si="3046"/>
        <v/>
      </c>
      <c r="EY188" s="40" t="str">
        <f t="shared" si="3047"/>
        <v/>
      </c>
      <c r="EZ188" s="40" t="str">
        <f t="shared" si="3048"/>
        <v/>
      </c>
      <c r="FA188" s="40" t="str">
        <f t="shared" si="3049"/>
        <v/>
      </c>
      <c r="FB188" s="40" t="str">
        <f t="shared" si="3050"/>
        <v/>
      </c>
      <c r="FC188" s="40" t="str">
        <f t="shared" si="3051"/>
        <v/>
      </c>
      <c r="FD188" s="40" t="str">
        <f t="shared" si="3052"/>
        <v/>
      </c>
      <c r="FE188" s="40" t="str">
        <f t="shared" si="3053"/>
        <v/>
      </c>
      <c r="FF188" s="40" t="str">
        <f t="shared" si="3054"/>
        <v/>
      </c>
      <c r="FG188" s="40" t="str">
        <f t="shared" si="3055"/>
        <v/>
      </c>
      <c r="FH188" s="40" t="str">
        <f t="shared" si="3056"/>
        <v/>
      </c>
      <c r="FI188" s="40" t="str">
        <f t="shared" si="3057"/>
        <v/>
      </c>
      <c r="FJ188" s="40" t="str">
        <f t="shared" si="3058"/>
        <v/>
      </c>
      <c r="FK188" s="40" t="str">
        <f t="shared" si="3059"/>
        <v/>
      </c>
      <c r="FL188" s="40" t="str">
        <f t="shared" si="3060"/>
        <v/>
      </c>
      <c r="FM188" s="40" t="str">
        <f t="shared" si="3061"/>
        <v/>
      </c>
      <c r="FN188" s="40" t="str">
        <f t="shared" si="3062"/>
        <v/>
      </c>
      <c r="FO188" s="40" t="str">
        <f t="shared" si="3063"/>
        <v/>
      </c>
      <c r="FP188" s="40" t="str">
        <f t="shared" si="3064"/>
        <v/>
      </c>
      <c r="FQ188" s="40" t="str">
        <f t="shared" si="3065"/>
        <v/>
      </c>
      <c r="FR188" s="40" t="str">
        <f t="shared" si="3066"/>
        <v/>
      </c>
      <c r="FS188" s="40" t="str">
        <f t="shared" si="3067"/>
        <v/>
      </c>
    </row>
    <row r="189" spans="1:175">
      <c r="A189" s="78"/>
      <c r="B189" s="5" t="s">
        <v>651</v>
      </c>
      <c r="C189" s="135" t="s">
        <v>652</v>
      </c>
      <c r="T189" s="135" t="s">
        <v>652</v>
      </c>
      <c r="U189" s="51" t="str">
        <f t="shared" si="2995"/>
        <v>ReplaceableTextures\\CommandButtons\\BTNIB06.blp</v>
      </c>
      <c r="CN189" s="10" t="str">
        <f t="shared" si="3068"/>
        <v>InitUnitState('IB06',,,,,,,,,,)</v>
      </c>
      <c r="CO189" s="10" t="str">
        <f t="shared" si="3069"/>
        <v>InitUnitNormal('IB06',,,,,,,,,,)</v>
      </c>
      <c r="CP189" s="10" t="str">
        <f t="shared" si="3070"/>
        <v>InitUnitMagic('IB06',,,,,,,,,,)</v>
      </c>
      <c r="CQ189" s="10" t="str">
        <f t="shared" si="3071"/>
        <v>InitUnitAdd('IB06',,,,,,,,,,)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InitEquipData('IB06',,"",,,,,'','','','','','',"ReplaceableTextures\\CommandButtons\\BTNIB07.blp")</v>
      </c>
      <c r="CU189" s="61" t="str">
        <f t="shared" si="2996"/>
        <v>|n</v>
      </c>
      <c r="CV189" s="3" t="str">
        <f t="shared" si="2997"/>
        <v>工会福利</v>
      </c>
      <c r="CW189" s="4"/>
      <c r="CX189" s="4"/>
      <c r="CY189" s="4"/>
      <c r="CZ189" s="4"/>
      <c r="DA189" s="4"/>
      <c r="DB189" s="40" t="str">
        <f t="shared" si="2998"/>
        <v/>
      </c>
      <c r="DC189" s="40" t="str">
        <f t="shared" si="2999"/>
        <v/>
      </c>
      <c r="DD189" s="40" t="str">
        <f t="shared" si="3000"/>
        <v/>
      </c>
      <c r="DE189" s="40" t="str">
        <f t="shared" si="3001"/>
        <v/>
      </c>
      <c r="DF189" s="40" t="str">
        <f t="shared" si="3002"/>
        <v/>
      </c>
      <c r="DG189" s="40" t="str">
        <f t="shared" si="3003"/>
        <v/>
      </c>
      <c r="DH189" s="40" t="str">
        <f t="shared" si="3004"/>
        <v/>
      </c>
      <c r="DI189" s="40" t="str">
        <f t="shared" si="3005"/>
        <v/>
      </c>
      <c r="DJ189" s="40" t="str">
        <f t="shared" si="3006"/>
        <v/>
      </c>
      <c r="DK189" s="40" t="str">
        <f t="shared" si="3007"/>
        <v/>
      </c>
      <c r="DL189" s="40" t="str">
        <f t="shared" si="3008"/>
        <v/>
      </c>
      <c r="DM189" s="40" t="str">
        <f t="shared" si="3009"/>
        <v/>
      </c>
      <c r="DN189" s="40" t="str">
        <f t="shared" si="3010"/>
        <v/>
      </c>
      <c r="DO189" s="40" t="str">
        <f t="shared" si="3011"/>
        <v/>
      </c>
      <c r="DP189" s="40" t="str">
        <f t="shared" si="3012"/>
        <v/>
      </c>
      <c r="DQ189" s="40" t="str">
        <f t="shared" si="3013"/>
        <v/>
      </c>
      <c r="DR189" s="40" t="str">
        <f t="shared" si="3014"/>
        <v/>
      </c>
      <c r="DS189" s="40" t="str">
        <f t="shared" si="3015"/>
        <v/>
      </c>
      <c r="DT189" s="40" t="str">
        <f t="shared" si="3016"/>
        <v/>
      </c>
      <c r="DU189" s="40" t="str">
        <f t="shared" si="3017"/>
        <v/>
      </c>
      <c r="DV189" s="40" t="str">
        <f t="shared" si="3018"/>
        <v/>
      </c>
      <c r="DW189" s="40" t="str">
        <f t="shared" si="3019"/>
        <v/>
      </c>
      <c r="DX189" s="40" t="str">
        <f t="shared" si="3020"/>
        <v/>
      </c>
      <c r="DY189" s="40" t="str">
        <f t="shared" si="3021"/>
        <v/>
      </c>
      <c r="DZ189" s="40" t="str">
        <f t="shared" si="3022"/>
        <v/>
      </c>
      <c r="EA189" s="40" t="str">
        <f t="shared" si="3023"/>
        <v/>
      </c>
      <c r="EB189" s="40" t="str">
        <f t="shared" si="3024"/>
        <v/>
      </c>
      <c r="EC189" s="40" t="str">
        <f t="shared" si="3025"/>
        <v/>
      </c>
      <c r="ED189" s="40" t="str">
        <f t="shared" si="3026"/>
        <v/>
      </c>
      <c r="EE189" s="40" t="str">
        <f t="shared" si="3027"/>
        <v/>
      </c>
      <c r="EF189" s="40" t="str">
        <f t="shared" si="3028"/>
        <v/>
      </c>
      <c r="EG189" s="40" t="str">
        <f t="shared" si="3029"/>
        <v/>
      </c>
      <c r="EH189" s="40" t="str">
        <f t="shared" si="3030"/>
        <v/>
      </c>
      <c r="EI189" s="40" t="str">
        <f t="shared" si="3031"/>
        <v/>
      </c>
      <c r="EJ189" s="40" t="str">
        <f t="shared" si="3032"/>
        <v/>
      </c>
      <c r="EK189" s="40" t="str">
        <f t="shared" si="3033"/>
        <v/>
      </c>
      <c r="EL189" s="40" t="str">
        <f t="shared" si="3034"/>
        <v/>
      </c>
      <c r="EM189" s="40" t="str">
        <f t="shared" si="3035"/>
        <v/>
      </c>
      <c r="EN189" s="40" t="str">
        <f t="shared" si="3036"/>
        <v/>
      </c>
      <c r="EO189" s="40" t="str">
        <f t="shared" si="3037"/>
        <v/>
      </c>
      <c r="EP189" s="40" t="str">
        <f t="shared" si="3038"/>
        <v/>
      </c>
      <c r="EQ189" s="40" t="str">
        <f t="shared" si="3039"/>
        <v/>
      </c>
      <c r="ER189" s="40" t="str">
        <f t="shared" si="3040"/>
        <v/>
      </c>
      <c r="ES189" s="40" t="str">
        <f t="shared" si="3041"/>
        <v/>
      </c>
      <c r="ET189" s="40" t="str">
        <f t="shared" si="3042"/>
        <v/>
      </c>
      <c r="EU189" s="40" t="str">
        <f t="shared" si="3043"/>
        <v/>
      </c>
      <c r="EV189" s="40" t="str">
        <f t="shared" si="3044"/>
        <v/>
      </c>
      <c r="EW189" s="40" t="str">
        <f t="shared" si="3045"/>
        <v/>
      </c>
      <c r="EX189" s="40" t="str">
        <f t="shared" si="3046"/>
        <v/>
      </c>
      <c r="EY189" s="40" t="str">
        <f t="shared" si="3047"/>
        <v/>
      </c>
      <c r="EZ189" s="40" t="str">
        <f t="shared" si="3048"/>
        <v/>
      </c>
      <c r="FA189" s="40" t="str">
        <f t="shared" si="3049"/>
        <v/>
      </c>
      <c r="FB189" s="40" t="str">
        <f t="shared" si="3050"/>
        <v/>
      </c>
      <c r="FC189" s="40" t="str">
        <f t="shared" si="3051"/>
        <v/>
      </c>
      <c r="FD189" s="40" t="str">
        <f t="shared" si="3052"/>
        <v/>
      </c>
      <c r="FE189" s="40" t="str">
        <f t="shared" si="3053"/>
        <v/>
      </c>
      <c r="FF189" s="40" t="str">
        <f t="shared" si="3054"/>
        <v/>
      </c>
      <c r="FG189" s="40" t="str">
        <f t="shared" si="3055"/>
        <v/>
      </c>
      <c r="FH189" s="40" t="str">
        <f t="shared" si="3056"/>
        <v/>
      </c>
      <c r="FI189" s="40" t="str">
        <f t="shared" si="3057"/>
        <v/>
      </c>
      <c r="FJ189" s="40" t="str">
        <f t="shared" si="3058"/>
        <v/>
      </c>
      <c r="FK189" s="40" t="str">
        <f t="shared" si="3059"/>
        <v/>
      </c>
      <c r="FL189" s="40" t="str">
        <f t="shared" si="3060"/>
        <v/>
      </c>
      <c r="FM189" s="40" t="str">
        <f t="shared" si="3061"/>
        <v/>
      </c>
      <c r="FN189" s="40" t="str">
        <f t="shared" si="3062"/>
        <v/>
      </c>
      <c r="FO189" s="40" t="str">
        <f t="shared" si="3063"/>
        <v/>
      </c>
      <c r="FP189" s="40" t="str">
        <f t="shared" si="3064"/>
        <v/>
      </c>
      <c r="FQ189" s="40" t="str">
        <f t="shared" si="3065"/>
        <v/>
      </c>
      <c r="FR189" s="40" t="str">
        <f t="shared" si="3066"/>
        <v/>
      </c>
      <c r="FS189" s="40" t="str">
        <f t="shared" si="3067"/>
        <v/>
      </c>
    </row>
    <row r="190" spans="1:175">
      <c r="A190" s="78"/>
      <c r="B190" s="5" t="s">
        <v>653</v>
      </c>
      <c r="C190" s="135" t="s">
        <v>654</v>
      </c>
      <c r="T190" s="135" t="s">
        <v>654</v>
      </c>
      <c r="U190" s="51" t="str">
        <f t="shared" si="2995"/>
        <v>ReplaceableTextures\\CommandButtons\\BTNIB07.blp</v>
      </c>
      <c r="CN190" s="10" t="str">
        <f t="shared" si="3068"/>
        <v>InitUnitState('IB07',,,,,,,,,,)</v>
      </c>
      <c r="CO190" s="10" t="str">
        <f t="shared" si="3069"/>
        <v>InitUnitNormal('IB07',,,,,,,,,,)</v>
      </c>
      <c r="CP190" s="10" t="str">
        <f t="shared" si="3070"/>
        <v>InitUnitMagic('IB07',,,,,,,,,,)</v>
      </c>
      <c r="CQ190" s="10" t="str">
        <f t="shared" si="3071"/>
        <v>InitUnitAdd('IB07',,,,,,,,,,)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InitEquipData('IB07',,"",,,,,'','','','','','',"ReplaceableTextures\\CommandButtons\\BTNIB08.blp")</v>
      </c>
      <c r="CU190" s="61" t="str">
        <f t="shared" si="2996"/>
        <v>|n</v>
      </c>
      <c r="CV190" s="3" t="str">
        <f t="shared" si="2997"/>
        <v>星耀称号</v>
      </c>
      <c r="CW190" s="4"/>
      <c r="CX190" s="4"/>
      <c r="CY190" s="4"/>
      <c r="CZ190" s="4"/>
      <c r="DA190" s="4"/>
      <c r="DB190" s="40" t="str">
        <f t="shared" si="2998"/>
        <v/>
      </c>
      <c r="DC190" s="40" t="str">
        <f t="shared" si="2999"/>
        <v/>
      </c>
      <c r="DD190" s="40" t="str">
        <f t="shared" si="3000"/>
        <v/>
      </c>
      <c r="DE190" s="40" t="str">
        <f t="shared" si="3001"/>
        <v/>
      </c>
      <c r="DF190" s="40" t="str">
        <f t="shared" si="3002"/>
        <v/>
      </c>
      <c r="DG190" s="40" t="str">
        <f t="shared" si="3003"/>
        <v/>
      </c>
      <c r="DH190" s="40" t="str">
        <f t="shared" si="3004"/>
        <v/>
      </c>
      <c r="DI190" s="40" t="str">
        <f t="shared" si="3005"/>
        <v/>
      </c>
      <c r="DJ190" s="40" t="str">
        <f t="shared" si="3006"/>
        <v/>
      </c>
      <c r="DK190" s="40" t="str">
        <f t="shared" si="3007"/>
        <v/>
      </c>
      <c r="DL190" s="40" t="str">
        <f t="shared" si="3008"/>
        <v/>
      </c>
      <c r="DM190" s="40" t="str">
        <f t="shared" si="3009"/>
        <v/>
      </c>
      <c r="DN190" s="40" t="str">
        <f t="shared" si="3010"/>
        <v/>
      </c>
      <c r="DO190" s="40" t="str">
        <f t="shared" si="3011"/>
        <v/>
      </c>
      <c r="DP190" s="40" t="str">
        <f t="shared" si="3012"/>
        <v/>
      </c>
      <c r="DQ190" s="40" t="str">
        <f t="shared" si="3013"/>
        <v/>
      </c>
      <c r="DR190" s="40" t="str">
        <f t="shared" si="3014"/>
        <v/>
      </c>
      <c r="DS190" s="40" t="str">
        <f t="shared" si="3015"/>
        <v/>
      </c>
      <c r="DT190" s="40" t="str">
        <f t="shared" si="3016"/>
        <v/>
      </c>
      <c r="DU190" s="40" t="str">
        <f t="shared" si="3017"/>
        <v/>
      </c>
      <c r="DV190" s="40" t="str">
        <f t="shared" si="3018"/>
        <v/>
      </c>
      <c r="DW190" s="40" t="str">
        <f t="shared" si="3019"/>
        <v/>
      </c>
      <c r="DX190" s="40" t="str">
        <f t="shared" si="3020"/>
        <v/>
      </c>
      <c r="DY190" s="40" t="str">
        <f t="shared" si="3021"/>
        <v/>
      </c>
      <c r="DZ190" s="40" t="str">
        <f t="shared" si="3022"/>
        <v/>
      </c>
      <c r="EA190" s="40" t="str">
        <f t="shared" si="3023"/>
        <v/>
      </c>
      <c r="EB190" s="40" t="str">
        <f t="shared" si="3024"/>
        <v/>
      </c>
      <c r="EC190" s="40" t="str">
        <f t="shared" si="3025"/>
        <v/>
      </c>
      <c r="ED190" s="40" t="str">
        <f t="shared" si="3026"/>
        <v/>
      </c>
      <c r="EE190" s="40" t="str">
        <f t="shared" si="3027"/>
        <v/>
      </c>
      <c r="EF190" s="40" t="str">
        <f t="shared" si="3028"/>
        <v/>
      </c>
      <c r="EG190" s="40" t="str">
        <f t="shared" si="3029"/>
        <v/>
      </c>
      <c r="EH190" s="40" t="str">
        <f t="shared" si="3030"/>
        <v/>
      </c>
      <c r="EI190" s="40" t="str">
        <f t="shared" si="3031"/>
        <v/>
      </c>
      <c r="EJ190" s="40" t="str">
        <f t="shared" si="3032"/>
        <v/>
      </c>
      <c r="EK190" s="40" t="str">
        <f t="shared" si="3033"/>
        <v/>
      </c>
      <c r="EL190" s="40" t="str">
        <f t="shared" si="3034"/>
        <v/>
      </c>
      <c r="EM190" s="40" t="str">
        <f t="shared" si="3035"/>
        <v/>
      </c>
      <c r="EN190" s="40" t="str">
        <f t="shared" si="3036"/>
        <v/>
      </c>
      <c r="EO190" s="40" t="str">
        <f t="shared" si="3037"/>
        <v/>
      </c>
      <c r="EP190" s="40" t="str">
        <f t="shared" si="3038"/>
        <v/>
      </c>
      <c r="EQ190" s="40" t="str">
        <f t="shared" si="3039"/>
        <v/>
      </c>
      <c r="ER190" s="40" t="str">
        <f t="shared" si="3040"/>
        <v/>
      </c>
      <c r="ES190" s="40" t="str">
        <f t="shared" si="3041"/>
        <v/>
      </c>
      <c r="ET190" s="40" t="str">
        <f t="shared" si="3042"/>
        <v/>
      </c>
      <c r="EU190" s="40" t="str">
        <f t="shared" si="3043"/>
        <v/>
      </c>
      <c r="EV190" s="40" t="str">
        <f t="shared" si="3044"/>
        <v/>
      </c>
      <c r="EW190" s="40" t="str">
        <f t="shared" si="3045"/>
        <v/>
      </c>
      <c r="EX190" s="40" t="str">
        <f t="shared" si="3046"/>
        <v/>
      </c>
      <c r="EY190" s="40" t="str">
        <f t="shared" si="3047"/>
        <v/>
      </c>
      <c r="EZ190" s="40" t="str">
        <f t="shared" si="3048"/>
        <v/>
      </c>
      <c r="FA190" s="40" t="str">
        <f t="shared" si="3049"/>
        <v/>
      </c>
      <c r="FB190" s="40" t="str">
        <f t="shared" si="3050"/>
        <v/>
      </c>
      <c r="FC190" s="40" t="str">
        <f t="shared" si="3051"/>
        <v/>
      </c>
      <c r="FD190" s="40" t="str">
        <f t="shared" si="3052"/>
        <v/>
      </c>
      <c r="FE190" s="40" t="str">
        <f t="shared" si="3053"/>
        <v/>
      </c>
      <c r="FF190" s="40" t="str">
        <f t="shared" si="3054"/>
        <v/>
      </c>
      <c r="FG190" s="40" t="str">
        <f t="shared" si="3055"/>
        <v/>
      </c>
      <c r="FH190" s="40" t="str">
        <f t="shared" si="3056"/>
        <v/>
      </c>
      <c r="FI190" s="40" t="str">
        <f t="shared" si="3057"/>
        <v/>
      </c>
      <c r="FJ190" s="40" t="str">
        <f t="shared" si="3058"/>
        <v/>
      </c>
      <c r="FK190" s="40" t="str">
        <f t="shared" si="3059"/>
        <v/>
      </c>
      <c r="FL190" s="40" t="str">
        <f t="shared" si="3060"/>
        <v/>
      </c>
      <c r="FM190" s="40" t="str">
        <f t="shared" si="3061"/>
        <v/>
      </c>
      <c r="FN190" s="40" t="str">
        <f t="shared" si="3062"/>
        <v/>
      </c>
      <c r="FO190" s="40" t="str">
        <f t="shared" si="3063"/>
        <v/>
      </c>
      <c r="FP190" s="40" t="str">
        <f t="shared" si="3064"/>
        <v/>
      </c>
      <c r="FQ190" s="40" t="str">
        <f t="shared" si="3065"/>
        <v/>
      </c>
      <c r="FR190" s="40" t="str">
        <f t="shared" si="3066"/>
        <v/>
      </c>
      <c r="FS190" s="40" t="str">
        <f t="shared" si="3067"/>
        <v/>
      </c>
    </row>
    <row r="191" spans="1:175">
      <c r="A191" s="78"/>
      <c r="B191" s="5" t="s">
        <v>655</v>
      </c>
      <c r="C191" s="135" t="s">
        <v>656</v>
      </c>
      <c r="T191" s="135" t="s">
        <v>656</v>
      </c>
      <c r="U191" s="51" t="str">
        <f t="shared" si="2995"/>
        <v>ReplaceableTextures\\CommandButtons\\BTNIB08.blp</v>
      </c>
      <c r="CN191" s="10" t="str">
        <f t="shared" si="3068"/>
        <v>InitUnitState('IB08',,,,,,,,,,)</v>
      </c>
      <c r="CO191" s="10" t="str">
        <f t="shared" si="3069"/>
        <v>InitUnitNormal('IB08',,,,,,,,,,)</v>
      </c>
      <c r="CP191" s="10" t="str">
        <f t="shared" si="3070"/>
        <v>InitUnitMagic('IB08',,,,,,,,,,)</v>
      </c>
      <c r="CQ191" s="10" t="str">
        <f t="shared" si="3071"/>
        <v>InitUnitAdd('IB08',,,,,,,,,,)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InitEquipData('IB08',,"",,,,,'','','','','','',"")</v>
      </c>
      <c r="CU191" s="61" t="str">
        <f t="shared" si="2996"/>
        <v>|n</v>
      </c>
      <c r="CV191" s="3" t="str">
        <f t="shared" si="2997"/>
        <v>品牌礼包</v>
      </c>
      <c r="CW191" s="4"/>
      <c r="CX191" s="4"/>
      <c r="CY191" s="4"/>
      <c r="CZ191" s="4"/>
      <c r="DA191" s="4"/>
      <c r="DB191" s="40" t="str">
        <f t="shared" si="2998"/>
        <v/>
      </c>
      <c r="DC191" s="40" t="str">
        <f t="shared" si="2999"/>
        <v/>
      </c>
      <c r="DD191" s="40" t="str">
        <f t="shared" si="3000"/>
        <v/>
      </c>
      <c r="DE191" s="40" t="str">
        <f t="shared" si="3001"/>
        <v/>
      </c>
      <c r="DF191" s="40" t="str">
        <f t="shared" si="3002"/>
        <v/>
      </c>
      <c r="DG191" s="40" t="str">
        <f t="shared" si="3003"/>
        <v/>
      </c>
      <c r="DH191" s="40" t="str">
        <f t="shared" si="3004"/>
        <v/>
      </c>
      <c r="DI191" s="40" t="str">
        <f t="shared" si="3005"/>
        <v/>
      </c>
      <c r="DJ191" s="40" t="str">
        <f t="shared" si="3006"/>
        <v/>
      </c>
      <c r="DK191" s="40" t="str">
        <f t="shared" si="3007"/>
        <v/>
      </c>
      <c r="DL191" s="40" t="str">
        <f t="shared" si="3008"/>
        <v/>
      </c>
      <c r="DM191" s="40" t="str">
        <f t="shared" si="3009"/>
        <v/>
      </c>
      <c r="DN191" s="40" t="str">
        <f t="shared" si="3010"/>
        <v/>
      </c>
      <c r="DO191" s="40" t="str">
        <f t="shared" si="3011"/>
        <v/>
      </c>
      <c r="DP191" s="40" t="str">
        <f t="shared" si="3012"/>
        <v/>
      </c>
      <c r="DQ191" s="40" t="str">
        <f t="shared" si="3013"/>
        <v/>
      </c>
      <c r="DR191" s="40" t="str">
        <f t="shared" si="3014"/>
        <v/>
      </c>
      <c r="DS191" s="40" t="str">
        <f t="shared" si="3015"/>
        <v/>
      </c>
      <c r="DT191" s="40" t="str">
        <f t="shared" si="3016"/>
        <v/>
      </c>
      <c r="DU191" s="40" t="str">
        <f t="shared" si="3017"/>
        <v/>
      </c>
      <c r="DV191" s="40" t="str">
        <f t="shared" si="3018"/>
        <v/>
      </c>
      <c r="DW191" s="40" t="str">
        <f t="shared" si="3019"/>
        <v/>
      </c>
      <c r="DX191" s="40" t="str">
        <f t="shared" si="3020"/>
        <v/>
      </c>
      <c r="DY191" s="40" t="str">
        <f t="shared" si="3021"/>
        <v/>
      </c>
      <c r="DZ191" s="40" t="str">
        <f t="shared" si="3022"/>
        <v/>
      </c>
      <c r="EA191" s="40" t="str">
        <f t="shared" si="3023"/>
        <v/>
      </c>
      <c r="EB191" s="40" t="str">
        <f t="shared" si="3024"/>
        <v/>
      </c>
      <c r="EC191" s="40" t="str">
        <f t="shared" si="3025"/>
        <v/>
      </c>
      <c r="ED191" s="40" t="str">
        <f t="shared" si="3026"/>
        <v/>
      </c>
      <c r="EE191" s="40" t="str">
        <f t="shared" si="3027"/>
        <v/>
      </c>
      <c r="EF191" s="40" t="str">
        <f t="shared" si="3028"/>
        <v/>
      </c>
      <c r="EG191" s="40" t="str">
        <f t="shared" si="3029"/>
        <v/>
      </c>
      <c r="EH191" s="40" t="str">
        <f t="shared" si="3030"/>
        <v/>
      </c>
      <c r="EI191" s="40" t="str">
        <f t="shared" si="3031"/>
        <v/>
      </c>
      <c r="EJ191" s="40" t="str">
        <f t="shared" si="3032"/>
        <v/>
      </c>
      <c r="EK191" s="40" t="str">
        <f t="shared" si="3033"/>
        <v/>
      </c>
      <c r="EL191" s="40" t="str">
        <f t="shared" si="3034"/>
        <v/>
      </c>
      <c r="EM191" s="40" t="str">
        <f t="shared" si="3035"/>
        <v/>
      </c>
      <c r="EN191" s="40" t="str">
        <f t="shared" si="3036"/>
        <v/>
      </c>
      <c r="EO191" s="40" t="str">
        <f t="shared" si="3037"/>
        <v/>
      </c>
      <c r="EP191" s="40" t="str">
        <f t="shared" si="3038"/>
        <v/>
      </c>
      <c r="EQ191" s="40" t="str">
        <f t="shared" si="3039"/>
        <v/>
      </c>
      <c r="ER191" s="40" t="str">
        <f t="shared" si="3040"/>
        <v/>
      </c>
      <c r="ES191" s="40" t="str">
        <f t="shared" si="3041"/>
        <v/>
      </c>
      <c r="ET191" s="40" t="str">
        <f t="shared" si="3042"/>
        <v/>
      </c>
      <c r="EU191" s="40" t="str">
        <f t="shared" si="3043"/>
        <v/>
      </c>
      <c r="EV191" s="40" t="str">
        <f t="shared" si="3044"/>
        <v/>
      </c>
      <c r="EW191" s="40" t="str">
        <f t="shared" si="3045"/>
        <v/>
      </c>
      <c r="EX191" s="40" t="str">
        <f t="shared" si="3046"/>
        <v/>
      </c>
      <c r="EY191" s="40" t="str">
        <f t="shared" si="3047"/>
        <v/>
      </c>
      <c r="EZ191" s="40" t="str">
        <f t="shared" si="3048"/>
        <v/>
      </c>
      <c r="FA191" s="40" t="str">
        <f t="shared" si="3049"/>
        <v/>
      </c>
      <c r="FB191" s="40" t="str">
        <f t="shared" si="3050"/>
        <v/>
      </c>
      <c r="FC191" s="40" t="str">
        <f t="shared" si="3051"/>
        <v/>
      </c>
      <c r="FD191" s="40" t="str">
        <f t="shared" si="3052"/>
        <v/>
      </c>
      <c r="FE191" s="40" t="str">
        <f t="shared" si="3053"/>
        <v/>
      </c>
      <c r="FF191" s="40" t="str">
        <f t="shared" si="3054"/>
        <v/>
      </c>
      <c r="FG191" s="40" t="str">
        <f t="shared" si="3055"/>
        <v/>
      </c>
      <c r="FH191" s="40" t="str">
        <f t="shared" si="3056"/>
        <v/>
      </c>
      <c r="FI191" s="40" t="str">
        <f t="shared" si="3057"/>
        <v/>
      </c>
      <c r="FJ191" s="40" t="str">
        <f t="shared" si="3058"/>
        <v/>
      </c>
      <c r="FK191" s="40" t="str">
        <f t="shared" si="3059"/>
        <v/>
      </c>
      <c r="FL191" s="40" t="str">
        <f t="shared" si="3060"/>
        <v/>
      </c>
      <c r="FM191" s="40" t="str">
        <f t="shared" si="3061"/>
        <v/>
      </c>
      <c r="FN191" s="40" t="str">
        <f t="shared" si="3062"/>
        <v/>
      </c>
      <c r="FO191" s="40" t="str">
        <f t="shared" si="3063"/>
        <v/>
      </c>
      <c r="FP191" s="40" t="str">
        <f t="shared" si="3064"/>
        <v/>
      </c>
      <c r="FQ191" s="40" t="str">
        <f t="shared" si="3065"/>
        <v/>
      </c>
      <c r="FR191" s="40" t="str">
        <f t="shared" si="3066"/>
        <v/>
      </c>
      <c r="FS191" s="40" t="str">
        <f t="shared" si="3067"/>
        <v/>
      </c>
    </row>
    <row r="192" spans="1:175" ht="16.5">
      <c r="A192" s="79"/>
      <c r="B192" s="5" t="s">
        <v>505</v>
      </c>
      <c r="C192" s="3" t="s">
        <v>116</v>
      </c>
      <c r="T192" s="87"/>
      <c r="U192" s="51" t="str">
        <f t="shared" si="2995"/>
        <v>ReplaceableTextures\\CommandButtons\\BTNIF01.blp</v>
      </c>
      <c r="CN192" s="10" t="str">
        <f t="shared" si="3068"/>
        <v>InitUnitState('IF01',,,,,,,,,,)</v>
      </c>
      <c r="CO192" s="10" t="str">
        <f t="shared" si="3069"/>
        <v>InitUnitNormal('IF01',,,,,,,,,,)</v>
      </c>
      <c r="CP192" s="10" t="str">
        <f t="shared" si="3070"/>
        <v>InitUnitMagic('IF01',,,,,,,,,,)</v>
      </c>
      <c r="CQ192" s="10" t="str">
        <f t="shared" si="3071"/>
        <v>InitUnitAdd('IF01',,,,,,,,,,)</v>
      </c>
      <c r="CR192" s="10" t="str">
        <f t="shared" ref="CR192:CR228" si="3072"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InitEquipData('IF01',,"",,,,,'','','','','','',"")</v>
      </c>
      <c r="CU192" s="61" t="str">
        <f t="shared" ref="CU192:CU214" si="3073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W192" s="4"/>
      <c r="CX192" s="4"/>
      <c r="CY192" s="4"/>
      <c r="CZ192" s="4"/>
      <c r="DA192" s="4"/>
      <c r="DB192" s="40" t="str">
        <f t="shared" ref="DB192:DB214" si="3074">IF(V192="","","|n"&amp;DB$2&amp;"+"&amp;V192&amp;DB$1)</f>
        <v/>
      </c>
      <c r="DC192" s="40" t="str">
        <f t="shared" ref="DC192:DC214" si="3075">IF(W192="","","|n"&amp;DC$2&amp;"+"&amp;W192&amp;DC$1)</f>
        <v/>
      </c>
      <c r="DD192" s="40" t="str">
        <f t="shared" ref="DD192:DD214" si="3076">IF(X192="","","|n"&amp;DD$2&amp;"+"&amp;X192&amp;DD$1)</f>
        <v/>
      </c>
      <c r="DE192" s="40" t="str">
        <f t="shared" ref="DE192:DE214" si="3077">IF(Y192="","","|n"&amp;DE$2&amp;"+"&amp;Y192&amp;DE$1)</f>
        <v/>
      </c>
      <c r="DF192" s="40" t="str">
        <f t="shared" ref="DF192:DF214" si="3078">IF(Z192="","","|n"&amp;DF$2&amp;"+"&amp;Z192&amp;DF$1)</f>
        <v/>
      </c>
      <c r="DG192" s="40" t="str">
        <f t="shared" ref="DG192:DG214" si="3079">IF(AA192="","","|n"&amp;DG$2&amp;"+"&amp;AA192&amp;DG$1)</f>
        <v/>
      </c>
      <c r="DH192" s="40" t="str">
        <f t="shared" ref="DH192:DH214" si="3080">IF(AB192="","","|n"&amp;DH$2&amp;"+"&amp;AB192&amp;DH$1)</f>
        <v/>
      </c>
      <c r="DI192" s="40" t="str">
        <f t="shared" ref="DI192:DI214" si="3081">IF(AC192="","","|n"&amp;DI$2&amp;"+"&amp;AC192&amp;DI$1)</f>
        <v/>
      </c>
      <c r="DJ192" s="40" t="str">
        <f t="shared" ref="DJ192:DJ214" si="3082">IF(AD192="","","|n"&amp;DJ$2&amp;"+"&amp;AD192&amp;DJ$1)</f>
        <v/>
      </c>
      <c r="DK192" s="40" t="str">
        <f t="shared" ref="DK192:DK214" si="3083">IF(AE192="","","|n"&amp;DK$2&amp;"+"&amp;AE192&amp;DK$1)</f>
        <v/>
      </c>
      <c r="DL192" s="40" t="str">
        <f t="shared" ref="DL192:DL214" si="3084">IF(AF192="","","|n"&amp;DL$2&amp;"+"&amp;AF192&amp;DL$1)</f>
        <v/>
      </c>
      <c r="DM192" s="40" t="str">
        <f t="shared" ref="DM192:DM214" si="3085">IF(AG192="","","|n"&amp;DM$2&amp;"+"&amp;AG192&amp;DM$1)</f>
        <v/>
      </c>
      <c r="DN192" s="40" t="str">
        <f t="shared" ref="DN192:DN214" si="3086">IF(AH192="","","|n"&amp;DN$2&amp;"+"&amp;AH192&amp;DN$1)</f>
        <v/>
      </c>
      <c r="DO192" s="40" t="str">
        <f t="shared" ref="DO192:DO214" si="3087">IF(AI192="","","|n"&amp;DO$2&amp;"+"&amp;AI192&amp;DO$1)</f>
        <v/>
      </c>
      <c r="DP192" s="40" t="str">
        <f t="shared" ref="DP192:DP214" si="3088">IF(AJ192="","","|n"&amp;DP$2&amp;"+"&amp;AJ192&amp;DP$1)</f>
        <v/>
      </c>
      <c r="DQ192" s="40" t="str">
        <f t="shared" ref="DQ192:DQ214" si="3089">IF(AK192="","","|n"&amp;DQ$2&amp;"+"&amp;AK192&amp;DQ$1)</f>
        <v/>
      </c>
      <c r="DR192" s="40" t="str">
        <f t="shared" ref="DR192:DR214" si="3090">IF(AL192="","","|n"&amp;DR$2&amp;"+"&amp;AL192&amp;DR$1)</f>
        <v/>
      </c>
      <c r="DS192" s="40" t="str">
        <f t="shared" ref="DS192:DS214" si="3091">IF(AM192="","","|n"&amp;DS$2&amp;"+"&amp;AM192&amp;DS$1)</f>
        <v/>
      </c>
      <c r="DT192" s="40" t="str">
        <f t="shared" ref="DT192:DT214" si="3092">IF(AN192="","","|n"&amp;DT$2&amp;"+"&amp;AN192&amp;DT$1)</f>
        <v/>
      </c>
      <c r="DU192" s="40" t="str">
        <f t="shared" ref="DU192:DU214" si="3093">IF(AO192="","","|n"&amp;DU$2&amp;"+"&amp;AO192&amp;DU$1)</f>
        <v/>
      </c>
      <c r="DV192" s="40" t="str">
        <f t="shared" ref="DV192:DV214" si="3094">IF(AP192="","","|n"&amp;DV$2&amp;"+"&amp;AP192&amp;DV$1)</f>
        <v/>
      </c>
      <c r="DW192" s="40" t="str">
        <f t="shared" ref="DW192:DW214" si="3095">IF(AQ192="","","|n"&amp;DW$2&amp;"+"&amp;AQ192&amp;DW$1)</f>
        <v/>
      </c>
      <c r="DX192" s="40" t="str">
        <f t="shared" ref="DX192:DX214" si="3096">IF(AR192="","","|n"&amp;DX$2&amp;"+"&amp;AR192&amp;DX$1)</f>
        <v/>
      </c>
      <c r="DY192" s="40" t="str">
        <f t="shared" ref="DY192:DY214" si="3097">IF(AS192="","","|n"&amp;DY$2&amp;"+"&amp;AS192&amp;DY$1)</f>
        <v/>
      </c>
      <c r="DZ192" s="40" t="str">
        <f t="shared" ref="DZ192:DZ214" si="3098">IF(AT192="","","|n"&amp;DZ$2&amp;"+"&amp;AT192&amp;DZ$1)</f>
        <v/>
      </c>
      <c r="EA192" s="40" t="str">
        <f t="shared" ref="EA192:EA214" si="3099">IF(AU192="","","|n"&amp;EA$2&amp;"+"&amp;AU192&amp;EA$1)</f>
        <v/>
      </c>
      <c r="EB192" s="40" t="str">
        <f t="shared" ref="EB192:EB214" si="3100">IF(AV192="","","|n"&amp;EB$2&amp;"+"&amp;AV192&amp;EB$1)</f>
        <v/>
      </c>
      <c r="EC192" s="40" t="str">
        <f t="shared" ref="EC192:EC214" si="3101">IF(AW192="","","|n"&amp;EC$2&amp;"+"&amp;AW192&amp;EC$1)</f>
        <v/>
      </c>
      <c r="ED192" s="40" t="str">
        <f t="shared" ref="ED192:ED214" si="3102">IF(AX192="","","|n"&amp;ED$2&amp;"+"&amp;AX192&amp;ED$1)</f>
        <v/>
      </c>
      <c r="EE192" s="40" t="str">
        <f t="shared" ref="EE192:EE214" si="3103">IF(AY192="","","|n"&amp;EE$2&amp;"+"&amp;AY192&amp;EE$1)</f>
        <v/>
      </c>
      <c r="EF192" s="40" t="str">
        <f t="shared" ref="EF192:EF214" si="3104">IF(AZ192="","","|n"&amp;EF$2&amp;"+"&amp;AZ192&amp;EF$1)</f>
        <v/>
      </c>
      <c r="EG192" s="40" t="str">
        <f t="shared" ref="EG192:EG214" si="3105">IF(BA192="","","|n"&amp;EG$2&amp;"+"&amp;BA192&amp;EG$1)</f>
        <v/>
      </c>
      <c r="EH192" s="40" t="str">
        <f t="shared" ref="EH192:EH214" si="3106">IF(BB192="","","|n"&amp;EH$2&amp;"+"&amp;BB192&amp;EH$1)</f>
        <v/>
      </c>
      <c r="EI192" s="40" t="str">
        <f t="shared" ref="EI192:EI214" si="3107">IF(BC192="","","|n"&amp;EI$2&amp;"+"&amp;BC192&amp;EI$1)</f>
        <v/>
      </c>
      <c r="EJ192" s="40" t="str">
        <f t="shared" ref="EJ192:EJ214" si="3108">IF(BD192="","","|n"&amp;EJ$2&amp;"+"&amp;BD192&amp;EJ$1)</f>
        <v/>
      </c>
      <c r="EK192" s="40" t="str">
        <f t="shared" ref="EK192:EK214" si="3109">IF(BE192="","","|n"&amp;EK$2&amp;"+"&amp;BE192&amp;EK$1)</f>
        <v/>
      </c>
      <c r="EL192" s="40" t="str">
        <f t="shared" ref="EL192:EL214" si="3110">IF(BF192="","","|n"&amp;EL$2&amp;"+"&amp;BF192&amp;EL$1)</f>
        <v/>
      </c>
      <c r="EM192" s="40" t="str">
        <f t="shared" ref="EM192:EM214" si="3111">IF(BG192="","","|n"&amp;EM$2&amp;"+"&amp;BG192&amp;EM$1)</f>
        <v/>
      </c>
      <c r="EN192" s="40" t="str">
        <f t="shared" ref="EN192:EN214" si="3112">IF(BH192="","","|n"&amp;EN$2&amp;"+"&amp;BH192&amp;EN$1)</f>
        <v/>
      </c>
      <c r="EO192" s="40" t="str">
        <f t="shared" ref="EO192:EO214" si="3113">IF(BI192="","","|n"&amp;EO$2&amp;"+"&amp;BI192&amp;EO$1)</f>
        <v/>
      </c>
      <c r="EP192" s="40" t="str">
        <f t="shared" ref="EP192:EP214" si="3114">IF(BJ192="","","|n"&amp;EP$2&amp;"+"&amp;BJ192&amp;EP$1)</f>
        <v/>
      </c>
      <c r="EQ192" s="40" t="str">
        <f t="shared" ref="EQ192:EQ214" si="3115">IF(BK192="","","|n"&amp;EQ$2&amp;"+"&amp;BK192&amp;EQ$1)</f>
        <v/>
      </c>
      <c r="ER192" s="40" t="str">
        <f t="shared" ref="ER192:ER214" si="3116">IF(BL192="","","|n"&amp;ER$2&amp;"+"&amp;BL192&amp;ER$1)</f>
        <v/>
      </c>
      <c r="ES192" s="40" t="str">
        <f t="shared" ref="ES192:ES214" si="3117">IF(BM192="","","|n"&amp;ES$2&amp;"+"&amp;BM192&amp;ES$1)</f>
        <v/>
      </c>
      <c r="ET192" s="40" t="str">
        <f t="shared" ref="ET192:ET214" si="3118">IF(BN192="","","|n"&amp;ET$2&amp;"+"&amp;BN192&amp;ET$1)</f>
        <v/>
      </c>
      <c r="EU192" s="40" t="str">
        <f t="shared" ref="EU192:EU214" si="3119">IF(BO192="","","|n"&amp;EU$2&amp;"+"&amp;BO192&amp;EU$1)</f>
        <v/>
      </c>
      <c r="EV192" s="40" t="str">
        <f t="shared" ref="EV192:EV214" si="3120">IF(BP192="","","|n"&amp;EV$2&amp;"+"&amp;BP192&amp;EV$1)</f>
        <v/>
      </c>
      <c r="EW192" s="40" t="str">
        <f t="shared" ref="EW192:EW214" si="3121">IF(BQ192="","","|n"&amp;EW$2&amp;"+"&amp;BQ192&amp;EW$1)</f>
        <v/>
      </c>
      <c r="EX192" s="40" t="str">
        <f t="shared" ref="EX192:EX214" si="3122">IF(BR192="","","|n"&amp;EX$2&amp;"+"&amp;BR192&amp;EX$1)</f>
        <v/>
      </c>
      <c r="EY192" s="40" t="str">
        <f t="shared" ref="EY192:EY214" si="3123">IF(BS192="","","|n"&amp;EY$2&amp;"+"&amp;BS192&amp;EY$1)</f>
        <v/>
      </c>
      <c r="EZ192" s="40" t="str">
        <f t="shared" ref="EZ192:EZ214" si="3124">IF(BT192="","","|n"&amp;EZ$2&amp;"+"&amp;BT192&amp;EZ$1)</f>
        <v/>
      </c>
      <c r="FA192" s="40" t="str">
        <f t="shared" ref="FA192:FA214" si="3125">IF(BU192="","","|n"&amp;FA$2&amp;"+"&amp;BU192&amp;FA$1)</f>
        <v/>
      </c>
      <c r="FB192" s="40" t="str">
        <f t="shared" ref="FB192:FB214" si="3126">IF(BV192="","","|n"&amp;FB$2&amp;"+"&amp;BV192&amp;FB$1)</f>
        <v/>
      </c>
      <c r="FC192" s="40" t="str">
        <f t="shared" ref="FC192:FC214" si="3127">IF(BW192="","","|n"&amp;FC$2&amp;"+"&amp;BW192&amp;FC$1)</f>
        <v/>
      </c>
      <c r="FD192" s="40" t="str">
        <f t="shared" ref="FD192:FD214" si="3128">IF(BX192="","","|n"&amp;FD$2&amp;"+"&amp;BX192&amp;FD$1)</f>
        <v/>
      </c>
      <c r="FE192" s="40" t="str">
        <f t="shared" ref="FE192:FE214" si="3129">IF(BY192="","","|n"&amp;FE$2&amp;"+"&amp;BY192&amp;FE$1)</f>
        <v/>
      </c>
      <c r="FF192" s="40" t="str">
        <f t="shared" ref="FF192:FF214" si="3130">IF(BZ192="","","|n"&amp;FF$2&amp;"+"&amp;BZ192&amp;FF$1)</f>
        <v/>
      </c>
      <c r="FG192" s="40" t="str">
        <f t="shared" ref="FG192:FG214" si="3131">IF(CA192="","","|n"&amp;FG$2&amp;"+"&amp;CA192&amp;FG$1)</f>
        <v/>
      </c>
      <c r="FH192" s="40" t="str">
        <f t="shared" ref="FH192:FH214" si="3132">IF(CB192="","","|n"&amp;FH$2&amp;"+"&amp;CB192&amp;FH$1)</f>
        <v/>
      </c>
      <c r="FI192" s="40" t="str">
        <f t="shared" ref="FI192:FI214" si="3133">IF(CC192="","","|n"&amp;FI$2&amp;"+"&amp;CC192&amp;FI$1)</f>
        <v/>
      </c>
      <c r="FJ192" s="40" t="str">
        <f t="shared" ref="FJ192:FJ214" si="3134">IF(CD192="","","|n"&amp;FJ$2&amp;"+"&amp;CD192&amp;FJ$1)</f>
        <v/>
      </c>
      <c r="FK192" s="40" t="str">
        <f t="shared" ref="FK192:FK214" si="3135">IF(CE192="","","|n"&amp;FK$2&amp;"+"&amp;CE192&amp;FK$1)</f>
        <v/>
      </c>
      <c r="FL192" s="40" t="str">
        <f t="shared" ref="FL192:FL214" si="3136">IF(CF192="","","|n"&amp;FL$2&amp;"+"&amp;CF192&amp;FL$1)</f>
        <v/>
      </c>
      <c r="FM192" s="40" t="str">
        <f t="shared" ref="FM192:FM214" si="3137">IF(CG192="","","|n"&amp;FM$2&amp;"+"&amp;CG192&amp;FM$1)</f>
        <v/>
      </c>
      <c r="FN192" s="40" t="str">
        <f t="shared" ref="FN192:FN214" si="3138">IF(CH192="","","|n"&amp;FN$2&amp;"+"&amp;CH192&amp;FN$1)</f>
        <v/>
      </c>
      <c r="FO192" s="40" t="str">
        <f t="shared" ref="FO192:FO214" si="3139">IF(CI192="","","|n"&amp;FO$2&amp;"+"&amp;CI192&amp;FO$1)</f>
        <v/>
      </c>
      <c r="FP192" s="40" t="str">
        <f t="shared" ref="FP192:FP214" si="3140">IF(CJ192="","","|n"&amp;FP$2&amp;"+"&amp;CJ192&amp;FP$1)</f>
        <v/>
      </c>
      <c r="FQ192" s="40" t="str">
        <f t="shared" ref="FQ192:FQ214" si="3141">IF(CK192="","","|n"&amp;FQ$2&amp;"+"&amp;CK192&amp;FQ$1)</f>
        <v/>
      </c>
      <c r="FR192" s="40" t="str">
        <f t="shared" ref="FR192:FR214" si="3142">IF(CL192="","","|n"&amp;FR$2&amp;"+"&amp;CL192&amp;FR$1)</f>
        <v/>
      </c>
      <c r="FS192" s="40" t="str">
        <f t="shared" ref="FS192:FS214" si="3143">IF(CM192="","","|n"&amp;FS$2&amp;"+"&amp;CM192&amp;FS$1)</f>
        <v/>
      </c>
    </row>
    <row r="193" spans="1:175" ht="16.5">
      <c r="A193" s="79"/>
      <c r="B193" s="5" t="s">
        <v>506</v>
      </c>
      <c r="C193" s="3" t="s">
        <v>117</v>
      </c>
      <c r="T193" s="87"/>
      <c r="U193" s="51"/>
      <c r="CN193" s="10" t="str">
        <f t="shared" si="3068"/>
        <v>InitUnitState('IF02',,,,,,,,,,)</v>
      </c>
      <c r="CO193" s="10" t="str">
        <f t="shared" si="3069"/>
        <v>InitUnitNormal('IF02',,,,,,,,,,)</v>
      </c>
      <c r="CP193" s="10" t="str">
        <f t="shared" si="3070"/>
        <v>InitUnitMagic('IF02',,,,,,,,,,)</v>
      </c>
      <c r="CQ193" s="10" t="str">
        <f t="shared" si="3071"/>
        <v>InitUnitAdd('IF02',,,,,,,,,,)</v>
      </c>
      <c r="CR193" s="10" t="str">
        <f t="shared" si="3072"/>
        <v>InitEquipData('IF02',,"",,,,,'','','','','','',"")</v>
      </c>
      <c r="CU193" s="61" t="str">
        <f t="shared" si="3073"/>
        <v>|n</v>
      </c>
      <c r="CW193" s="4"/>
      <c r="CX193" s="4"/>
      <c r="CY193" s="4"/>
      <c r="CZ193" s="4"/>
      <c r="DA193" s="4"/>
      <c r="DB193" s="40" t="str">
        <f t="shared" si="3074"/>
        <v/>
      </c>
      <c r="DC193" s="40" t="str">
        <f t="shared" si="3075"/>
        <v/>
      </c>
      <c r="DD193" s="40" t="str">
        <f t="shared" si="3076"/>
        <v/>
      </c>
      <c r="DE193" s="40" t="str">
        <f t="shared" si="3077"/>
        <v/>
      </c>
      <c r="DF193" s="40" t="str">
        <f t="shared" si="3078"/>
        <v/>
      </c>
      <c r="DG193" s="40" t="str">
        <f t="shared" si="3079"/>
        <v/>
      </c>
      <c r="DH193" s="40" t="str">
        <f t="shared" si="3080"/>
        <v/>
      </c>
      <c r="DI193" s="40" t="str">
        <f t="shared" si="3081"/>
        <v/>
      </c>
      <c r="DJ193" s="40" t="str">
        <f t="shared" si="3082"/>
        <v/>
      </c>
      <c r="DK193" s="40" t="str">
        <f t="shared" si="3083"/>
        <v/>
      </c>
      <c r="DL193" s="40" t="str">
        <f t="shared" si="3084"/>
        <v/>
      </c>
      <c r="DM193" s="40" t="str">
        <f t="shared" si="3085"/>
        <v/>
      </c>
      <c r="DN193" s="40" t="str">
        <f t="shared" si="3086"/>
        <v/>
      </c>
      <c r="DO193" s="40" t="str">
        <f t="shared" si="3087"/>
        <v/>
      </c>
      <c r="DP193" s="40" t="str">
        <f t="shared" si="3088"/>
        <v/>
      </c>
      <c r="DQ193" s="40" t="str">
        <f t="shared" si="3089"/>
        <v/>
      </c>
      <c r="DR193" s="40" t="str">
        <f t="shared" si="3090"/>
        <v/>
      </c>
      <c r="DS193" s="40" t="str">
        <f t="shared" si="3091"/>
        <v/>
      </c>
      <c r="DT193" s="40" t="str">
        <f t="shared" si="3092"/>
        <v/>
      </c>
      <c r="DU193" s="40" t="str">
        <f t="shared" si="3093"/>
        <v/>
      </c>
      <c r="DV193" s="40" t="str">
        <f t="shared" si="3094"/>
        <v/>
      </c>
      <c r="DW193" s="40" t="str">
        <f t="shared" si="3095"/>
        <v/>
      </c>
      <c r="DX193" s="40" t="str">
        <f t="shared" si="3096"/>
        <v/>
      </c>
      <c r="DY193" s="40" t="str">
        <f t="shared" si="3097"/>
        <v/>
      </c>
      <c r="DZ193" s="40" t="str">
        <f t="shared" si="3098"/>
        <v/>
      </c>
      <c r="EA193" s="40" t="str">
        <f t="shared" si="3099"/>
        <v/>
      </c>
      <c r="EB193" s="40" t="str">
        <f t="shared" si="3100"/>
        <v/>
      </c>
      <c r="EC193" s="40" t="str">
        <f t="shared" si="3101"/>
        <v/>
      </c>
      <c r="ED193" s="40" t="str">
        <f t="shared" si="3102"/>
        <v/>
      </c>
      <c r="EE193" s="40" t="str">
        <f t="shared" si="3103"/>
        <v/>
      </c>
      <c r="EF193" s="40" t="str">
        <f t="shared" si="3104"/>
        <v/>
      </c>
      <c r="EG193" s="40" t="str">
        <f t="shared" si="3105"/>
        <v/>
      </c>
      <c r="EH193" s="40" t="str">
        <f t="shared" si="3106"/>
        <v/>
      </c>
      <c r="EI193" s="40" t="str">
        <f t="shared" si="3107"/>
        <v/>
      </c>
      <c r="EJ193" s="40" t="str">
        <f t="shared" si="3108"/>
        <v/>
      </c>
      <c r="EK193" s="40" t="str">
        <f t="shared" si="3109"/>
        <v/>
      </c>
      <c r="EL193" s="40" t="str">
        <f t="shared" si="3110"/>
        <v/>
      </c>
      <c r="EM193" s="40" t="str">
        <f t="shared" si="3111"/>
        <v/>
      </c>
      <c r="EN193" s="40" t="str">
        <f t="shared" si="3112"/>
        <v/>
      </c>
      <c r="EO193" s="40" t="str">
        <f t="shared" si="3113"/>
        <v/>
      </c>
      <c r="EP193" s="40" t="str">
        <f t="shared" si="3114"/>
        <v/>
      </c>
      <c r="EQ193" s="40" t="str">
        <f t="shared" si="3115"/>
        <v/>
      </c>
      <c r="ER193" s="40" t="str">
        <f t="shared" si="3116"/>
        <v/>
      </c>
      <c r="ES193" s="40" t="str">
        <f t="shared" si="3117"/>
        <v/>
      </c>
      <c r="ET193" s="40" t="str">
        <f t="shared" si="3118"/>
        <v/>
      </c>
      <c r="EU193" s="40" t="str">
        <f t="shared" si="3119"/>
        <v/>
      </c>
      <c r="EV193" s="40" t="str">
        <f t="shared" si="3120"/>
        <v/>
      </c>
      <c r="EW193" s="40" t="str">
        <f t="shared" si="3121"/>
        <v/>
      </c>
      <c r="EX193" s="40" t="str">
        <f t="shared" si="3122"/>
        <v/>
      </c>
      <c r="EY193" s="40" t="str">
        <f t="shared" si="3123"/>
        <v/>
      </c>
      <c r="EZ193" s="40" t="str">
        <f t="shared" si="3124"/>
        <v/>
      </c>
      <c r="FA193" s="40" t="str">
        <f t="shared" si="3125"/>
        <v/>
      </c>
      <c r="FB193" s="40" t="str">
        <f t="shared" si="3126"/>
        <v/>
      </c>
      <c r="FC193" s="40" t="str">
        <f t="shared" si="3127"/>
        <v/>
      </c>
      <c r="FD193" s="40" t="str">
        <f t="shared" si="3128"/>
        <v/>
      </c>
      <c r="FE193" s="40" t="str">
        <f t="shared" si="3129"/>
        <v/>
      </c>
      <c r="FF193" s="40" t="str">
        <f t="shared" si="3130"/>
        <v/>
      </c>
      <c r="FG193" s="40" t="str">
        <f t="shared" si="3131"/>
        <v/>
      </c>
      <c r="FH193" s="40" t="str">
        <f t="shared" si="3132"/>
        <v/>
      </c>
      <c r="FI193" s="40" t="str">
        <f t="shared" si="3133"/>
        <v/>
      </c>
      <c r="FJ193" s="40" t="str">
        <f t="shared" si="3134"/>
        <v/>
      </c>
      <c r="FK193" s="40" t="str">
        <f t="shared" si="3135"/>
        <v/>
      </c>
      <c r="FL193" s="40" t="str">
        <f t="shared" si="3136"/>
        <v/>
      </c>
      <c r="FM193" s="40" t="str">
        <f t="shared" si="3137"/>
        <v/>
      </c>
      <c r="FN193" s="40" t="str">
        <f t="shared" si="3138"/>
        <v/>
      </c>
      <c r="FO193" s="40" t="str">
        <f t="shared" si="3139"/>
        <v/>
      </c>
      <c r="FP193" s="40" t="str">
        <f t="shared" si="3140"/>
        <v/>
      </c>
      <c r="FQ193" s="40" t="str">
        <f t="shared" si="3141"/>
        <v/>
      </c>
      <c r="FR193" s="40" t="str">
        <f t="shared" si="3142"/>
        <v/>
      </c>
      <c r="FS193" s="40" t="str">
        <f t="shared" si="3143"/>
        <v/>
      </c>
    </row>
    <row r="194" spans="1:175" ht="16.5">
      <c r="A194" s="80"/>
      <c r="B194" s="5" t="s">
        <v>507</v>
      </c>
      <c r="C194" s="3" t="s">
        <v>116</v>
      </c>
      <c r="T194" s="88"/>
      <c r="U194" s="51"/>
      <c r="CN194" s="10" t="str">
        <f t="shared" si="3068"/>
        <v>InitUnitState('IF03',,,,,,,,,,)</v>
      </c>
      <c r="CO194" s="10" t="str">
        <f t="shared" si="3069"/>
        <v>InitUnitNormal('IF03',,,,,,,,,,)</v>
      </c>
      <c r="CP194" s="10" t="str">
        <f t="shared" si="3070"/>
        <v>InitUnitMagic('IF03',,,,,,,,,,)</v>
      </c>
      <c r="CQ194" s="10" t="str">
        <f t="shared" si="3071"/>
        <v>InitUnitAdd('IF03',,,,,,,,,,)</v>
      </c>
      <c r="CR194" s="10" t="str">
        <f t="shared" si="3072"/>
        <v>InitEquipData('IF03',,"",,,,,'','','','','','',"")</v>
      </c>
      <c r="CU194" s="61" t="str">
        <f t="shared" si="3073"/>
        <v>|n</v>
      </c>
      <c r="CW194" s="4"/>
      <c r="CX194" s="4"/>
      <c r="CY194" s="4"/>
      <c r="CZ194" s="4"/>
      <c r="DA194" s="4"/>
      <c r="DB194" s="40" t="str">
        <f t="shared" si="3074"/>
        <v/>
      </c>
      <c r="DC194" s="40" t="str">
        <f t="shared" si="3075"/>
        <v/>
      </c>
      <c r="DD194" s="40" t="str">
        <f t="shared" si="3076"/>
        <v/>
      </c>
      <c r="DE194" s="40" t="str">
        <f t="shared" si="3077"/>
        <v/>
      </c>
      <c r="DF194" s="40" t="str">
        <f t="shared" si="3078"/>
        <v/>
      </c>
      <c r="DG194" s="40" t="str">
        <f t="shared" si="3079"/>
        <v/>
      </c>
      <c r="DH194" s="40" t="str">
        <f t="shared" si="3080"/>
        <v/>
      </c>
      <c r="DI194" s="40" t="str">
        <f t="shared" si="3081"/>
        <v/>
      </c>
      <c r="DJ194" s="40" t="str">
        <f t="shared" si="3082"/>
        <v/>
      </c>
      <c r="DK194" s="40" t="str">
        <f t="shared" si="3083"/>
        <v/>
      </c>
      <c r="DL194" s="40" t="str">
        <f t="shared" si="3084"/>
        <v/>
      </c>
      <c r="DM194" s="40" t="str">
        <f t="shared" si="3085"/>
        <v/>
      </c>
      <c r="DN194" s="40" t="str">
        <f t="shared" si="3086"/>
        <v/>
      </c>
      <c r="DO194" s="40" t="str">
        <f t="shared" si="3087"/>
        <v/>
      </c>
      <c r="DP194" s="40" t="str">
        <f t="shared" si="3088"/>
        <v/>
      </c>
      <c r="DQ194" s="40" t="str">
        <f t="shared" si="3089"/>
        <v/>
      </c>
      <c r="DR194" s="40" t="str">
        <f t="shared" si="3090"/>
        <v/>
      </c>
      <c r="DS194" s="40" t="str">
        <f t="shared" si="3091"/>
        <v/>
      </c>
      <c r="DT194" s="40" t="str">
        <f t="shared" si="3092"/>
        <v/>
      </c>
      <c r="DU194" s="40" t="str">
        <f t="shared" si="3093"/>
        <v/>
      </c>
      <c r="DV194" s="40" t="str">
        <f t="shared" si="3094"/>
        <v/>
      </c>
      <c r="DW194" s="40" t="str">
        <f t="shared" si="3095"/>
        <v/>
      </c>
      <c r="DX194" s="40" t="str">
        <f t="shared" si="3096"/>
        <v/>
      </c>
      <c r="DY194" s="40" t="str">
        <f t="shared" si="3097"/>
        <v/>
      </c>
      <c r="DZ194" s="40" t="str">
        <f t="shared" si="3098"/>
        <v/>
      </c>
      <c r="EA194" s="40" t="str">
        <f t="shared" si="3099"/>
        <v/>
      </c>
      <c r="EB194" s="40" t="str">
        <f t="shared" si="3100"/>
        <v/>
      </c>
      <c r="EC194" s="40" t="str">
        <f t="shared" si="3101"/>
        <v/>
      </c>
      <c r="ED194" s="40" t="str">
        <f t="shared" si="3102"/>
        <v/>
      </c>
      <c r="EE194" s="40" t="str">
        <f t="shared" si="3103"/>
        <v/>
      </c>
      <c r="EF194" s="40" t="str">
        <f t="shared" si="3104"/>
        <v/>
      </c>
      <c r="EG194" s="40" t="str">
        <f t="shared" si="3105"/>
        <v/>
      </c>
      <c r="EH194" s="40" t="str">
        <f t="shared" si="3106"/>
        <v/>
      </c>
      <c r="EI194" s="40" t="str">
        <f t="shared" si="3107"/>
        <v/>
      </c>
      <c r="EJ194" s="40" t="str">
        <f t="shared" si="3108"/>
        <v/>
      </c>
      <c r="EK194" s="40" t="str">
        <f t="shared" si="3109"/>
        <v/>
      </c>
      <c r="EL194" s="40" t="str">
        <f t="shared" si="3110"/>
        <v/>
      </c>
      <c r="EM194" s="40" t="str">
        <f t="shared" si="3111"/>
        <v/>
      </c>
      <c r="EN194" s="40" t="str">
        <f t="shared" si="3112"/>
        <v/>
      </c>
      <c r="EO194" s="40" t="str">
        <f t="shared" si="3113"/>
        <v/>
      </c>
      <c r="EP194" s="40" t="str">
        <f t="shared" si="3114"/>
        <v/>
      </c>
      <c r="EQ194" s="40" t="str">
        <f t="shared" si="3115"/>
        <v/>
      </c>
      <c r="ER194" s="40" t="str">
        <f t="shared" si="3116"/>
        <v/>
      </c>
      <c r="ES194" s="40" t="str">
        <f t="shared" si="3117"/>
        <v/>
      </c>
      <c r="ET194" s="40" t="str">
        <f t="shared" si="3118"/>
        <v/>
      </c>
      <c r="EU194" s="40" t="str">
        <f t="shared" si="3119"/>
        <v/>
      </c>
      <c r="EV194" s="40" t="str">
        <f t="shared" si="3120"/>
        <v/>
      </c>
      <c r="EW194" s="40" t="str">
        <f t="shared" si="3121"/>
        <v/>
      </c>
      <c r="EX194" s="40" t="str">
        <f t="shared" si="3122"/>
        <v/>
      </c>
      <c r="EY194" s="40" t="str">
        <f t="shared" si="3123"/>
        <v/>
      </c>
      <c r="EZ194" s="40" t="str">
        <f t="shared" si="3124"/>
        <v/>
      </c>
      <c r="FA194" s="40" t="str">
        <f t="shared" si="3125"/>
        <v/>
      </c>
      <c r="FB194" s="40" t="str">
        <f t="shared" si="3126"/>
        <v/>
      </c>
      <c r="FC194" s="40" t="str">
        <f t="shared" si="3127"/>
        <v/>
      </c>
      <c r="FD194" s="40" t="str">
        <f t="shared" si="3128"/>
        <v/>
      </c>
      <c r="FE194" s="40" t="str">
        <f t="shared" si="3129"/>
        <v/>
      </c>
      <c r="FF194" s="40" t="str">
        <f t="shared" si="3130"/>
        <v/>
      </c>
      <c r="FG194" s="40" t="str">
        <f t="shared" si="3131"/>
        <v/>
      </c>
      <c r="FH194" s="40" t="str">
        <f t="shared" si="3132"/>
        <v/>
      </c>
      <c r="FI194" s="40" t="str">
        <f t="shared" si="3133"/>
        <v/>
      </c>
      <c r="FJ194" s="40" t="str">
        <f t="shared" si="3134"/>
        <v/>
      </c>
      <c r="FK194" s="40" t="str">
        <f t="shared" si="3135"/>
        <v/>
      </c>
      <c r="FL194" s="40" t="str">
        <f t="shared" si="3136"/>
        <v/>
      </c>
      <c r="FM194" s="40" t="str">
        <f t="shared" si="3137"/>
        <v/>
      </c>
      <c r="FN194" s="40" t="str">
        <f t="shared" si="3138"/>
        <v/>
      </c>
      <c r="FO194" s="40" t="str">
        <f t="shared" si="3139"/>
        <v/>
      </c>
      <c r="FP194" s="40" t="str">
        <f t="shared" si="3140"/>
        <v/>
      </c>
      <c r="FQ194" s="40" t="str">
        <f t="shared" si="3141"/>
        <v/>
      </c>
      <c r="FR194" s="40" t="str">
        <f t="shared" si="3142"/>
        <v/>
      </c>
      <c r="FS194" s="40" t="str">
        <f t="shared" si="3143"/>
        <v/>
      </c>
    </row>
    <row r="195" spans="1:175" ht="16.5">
      <c r="A195" s="80"/>
      <c r="B195" s="5" t="s">
        <v>508</v>
      </c>
      <c r="C195" s="3" t="s">
        <v>117</v>
      </c>
      <c r="T195" s="88"/>
      <c r="U195" s="51"/>
      <c r="CN195" s="10" t="str">
        <f t="shared" si="3068"/>
        <v>InitUnitState('IF04',,,,,,,,,,)</v>
      </c>
      <c r="CO195" s="10" t="str">
        <f t="shared" si="3069"/>
        <v>InitUnitNormal('IF04',,,,,,,,,,)</v>
      </c>
      <c r="CP195" s="10" t="str">
        <f t="shared" si="3070"/>
        <v>InitUnitMagic('IF04',,,,,,,,,,)</v>
      </c>
      <c r="CQ195" s="10" t="str">
        <f t="shared" si="3071"/>
        <v>InitUnitAdd('IF04',,,,,,,,,,)</v>
      </c>
      <c r="CR195" s="10" t="str">
        <f t="shared" si="3072"/>
        <v>InitEquipData('IF04',,"",,,,,'','','','','','',"")</v>
      </c>
      <c r="CU195" s="61" t="str">
        <f t="shared" si="3073"/>
        <v>|n</v>
      </c>
      <c r="CW195" s="4"/>
      <c r="CX195" s="4"/>
      <c r="CY195" s="4"/>
      <c r="CZ195" s="4"/>
      <c r="DA195" s="4"/>
      <c r="DB195" s="40" t="str">
        <f t="shared" si="3074"/>
        <v/>
      </c>
      <c r="DC195" s="40" t="str">
        <f t="shared" si="3075"/>
        <v/>
      </c>
      <c r="DD195" s="40" t="str">
        <f t="shared" si="3076"/>
        <v/>
      </c>
      <c r="DE195" s="40" t="str">
        <f t="shared" si="3077"/>
        <v/>
      </c>
      <c r="DF195" s="40" t="str">
        <f t="shared" si="3078"/>
        <v/>
      </c>
      <c r="DG195" s="40" t="str">
        <f t="shared" si="3079"/>
        <v/>
      </c>
      <c r="DH195" s="40" t="str">
        <f t="shared" si="3080"/>
        <v/>
      </c>
      <c r="DI195" s="40" t="str">
        <f t="shared" si="3081"/>
        <v/>
      </c>
      <c r="DJ195" s="40" t="str">
        <f t="shared" si="3082"/>
        <v/>
      </c>
      <c r="DK195" s="40" t="str">
        <f t="shared" si="3083"/>
        <v/>
      </c>
      <c r="DL195" s="40" t="str">
        <f t="shared" si="3084"/>
        <v/>
      </c>
      <c r="DM195" s="40" t="str">
        <f t="shared" si="3085"/>
        <v/>
      </c>
      <c r="DN195" s="40" t="str">
        <f t="shared" si="3086"/>
        <v/>
      </c>
      <c r="DO195" s="40" t="str">
        <f t="shared" si="3087"/>
        <v/>
      </c>
      <c r="DP195" s="40" t="str">
        <f t="shared" si="3088"/>
        <v/>
      </c>
      <c r="DQ195" s="40" t="str">
        <f t="shared" si="3089"/>
        <v/>
      </c>
      <c r="DR195" s="40" t="str">
        <f t="shared" si="3090"/>
        <v/>
      </c>
      <c r="DS195" s="40" t="str">
        <f t="shared" si="3091"/>
        <v/>
      </c>
      <c r="DT195" s="40" t="str">
        <f t="shared" si="3092"/>
        <v/>
      </c>
      <c r="DU195" s="40" t="str">
        <f t="shared" si="3093"/>
        <v/>
      </c>
      <c r="DV195" s="40" t="str">
        <f t="shared" si="3094"/>
        <v/>
      </c>
      <c r="DW195" s="40" t="str">
        <f t="shared" si="3095"/>
        <v/>
      </c>
      <c r="DX195" s="40" t="str">
        <f t="shared" si="3096"/>
        <v/>
      </c>
      <c r="DY195" s="40" t="str">
        <f t="shared" si="3097"/>
        <v/>
      </c>
      <c r="DZ195" s="40" t="str">
        <f t="shared" si="3098"/>
        <v/>
      </c>
      <c r="EA195" s="40" t="str">
        <f t="shared" si="3099"/>
        <v/>
      </c>
      <c r="EB195" s="40" t="str">
        <f t="shared" si="3100"/>
        <v/>
      </c>
      <c r="EC195" s="40" t="str">
        <f t="shared" si="3101"/>
        <v/>
      </c>
      <c r="ED195" s="40" t="str">
        <f t="shared" si="3102"/>
        <v/>
      </c>
      <c r="EE195" s="40" t="str">
        <f t="shared" si="3103"/>
        <v/>
      </c>
      <c r="EF195" s="40" t="str">
        <f t="shared" si="3104"/>
        <v/>
      </c>
      <c r="EG195" s="40" t="str">
        <f t="shared" si="3105"/>
        <v/>
      </c>
      <c r="EH195" s="40" t="str">
        <f t="shared" si="3106"/>
        <v/>
      </c>
      <c r="EI195" s="40" t="str">
        <f t="shared" si="3107"/>
        <v/>
      </c>
      <c r="EJ195" s="40" t="str">
        <f t="shared" si="3108"/>
        <v/>
      </c>
      <c r="EK195" s="40" t="str">
        <f t="shared" si="3109"/>
        <v/>
      </c>
      <c r="EL195" s="40" t="str">
        <f t="shared" si="3110"/>
        <v/>
      </c>
      <c r="EM195" s="40" t="str">
        <f t="shared" si="3111"/>
        <v/>
      </c>
      <c r="EN195" s="40" t="str">
        <f t="shared" si="3112"/>
        <v/>
      </c>
      <c r="EO195" s="40" t="str">
        <f t="shared" si="3113"/>
        <v/>
      </c>
      <c r="EP195" s="40" t="str">
        <f t="shared" si="3114"/>
        <v/>
      </c>
      <c r="EQ195" s="40" t="str">
        <f t="shared" si="3115"/>
        <v/>
      </c>
      <c r="ER195" s="40" t="str">
        <f t="shared" si="3116"/>
        <v/>
      </c>
      <c r="ES195" s="40" t="str">
        <f t="shared" si="3117"/>
        <v/>
      </c>
      <c r="ET195" s="40" t="str">
        <f t="shared" si="3118"/>
        <v/>
      </c>
      <c r="EU195" s="40" t="str">
        <f t="shared" si="3119"/>
        <v/>
      </c>
      <c r="EV195" s="40" t="str">
        <f t="shared" si="3120"/>
        <v/>
      </c>
      <c r="EW195" s="40" t="str">
        <f t="shared" si="3121"/>
        <v/>
      </c>
      <c r="EX195" s="40" t="str">
        <f t="shared" si="3122"/>
        <v/>
      </c>
      <c r="EY195" s="40" t="str">
        <f t="shared" si="3123"/>
        <v/>
      </c>
      <c r="EZ195" s="40" t="str">
        <f t="shared" si="3124"/>
        <v/>
      </c>
      <c r="FA195" s="40" t="str">
        <f t="shared" si="3125"/>
        <v/>
      </c>
      <c r="FB195" s="40" t="str">
        <f t="shared" si="3126"/>
        <v/>
      </c>
      <c r="FC195" s="40" t="str">
        <f t="shared" si="3127"/>
        <v/>
      </c>
      <c r="FD195" s="40" t="str">
        <f t="shared" si="3128"/>
        <v/>
      </c>
      <c r="FE195" s="40" t="str">
        <f t="shared" si="3129"/>
        <v/>
      </c>
      <c r="FF195" s="40" t="str">
        <f t="shared" si="3130"/>
        <v/>
      </c>
      <c r="FG195" s="40" t="str">
        <f t="shared" si="3131"/>
        <v/>
      </c>
      <c r="FH195" s="40" t="str">
        <f t="shared" si="3132"/>
        <v/>
      </c>
      <c r="FI195" s="40" t="str">
        <f t="shared" si="3133"/>
        <v/>
      </c>
      <c r="FJ195" s="40" t="str">
        <f t="shared" si="3134"/>
        <v/>
      </c>
      <c r="FK195" s="40" t="str">
        <f t="shared" si="3135"/>
        <v/>
      </c>
      <c r="FL195" s="40" t="str">
        <f t="shared" si="3136"/>
        <v/>
      </c>
      <c r="FM195" s="40" t="str">
        <f t="shared" si="3137"/>
        <v/>
      </c>
      <c r="FN195" s="40" t="str">
        <f t="shared" si="3138"/>
        <v/>
      </c>
      <c r="FO195" s="40" t="str">
        <f t="shared" si="3139"/>
        <v/>
      </c>
      <c r="FP195" s="40" t="str">
        <f t="shared" si="3140"/>
        <v/>
      </c>
      <c r="FQ195" s="40" t="str">
        <f t="shared" si="3141"/>
        <v/>
      </c>
      <c r="FR195" s="40" t="str">
        <f t="shared" si="3142"/>
        <v/>
      </c>
      <c r="FS195" s="40" t="str">
        <f t="shared" si="3143"/>
        <v/>
      </c>
    </row>
    <row r="196" spans="1:175" ht="16.5">
      <c r="A196" s="80"/>
      <c r="B196" s="5" t="s">
        <v>509</v>
      </c>
      <c r="C196" s="3" t="s">
        <v>116</v>
      </c>
      <c r="T196" s="88"/>
      <c r="U196" s="51"/>
      <c r="CN196" s="10" t="str">
        <f t="shared" si="3068"/>
        <v>InitUnitState('IF05',,,,,,,,,,)</v>
      </c>
      <c r="CO196" s="10" t="str">
        <f t="shared" si="3069"/>
        <v>InitUnitNormal('IF05',,,,,,,,,,)</v>
      </c>
      <c r="CP196" s="10" t="str">
        <f t="shared" si="3070"/>
        <v>InitUnitMagic('IF05',,,,,,,,,,)</v>
      </c>
      <c r="CQ196" s="10" t="str">
        <f t="shared" si="3071"/>
        <v>InitUnitAdd('IF05',,,,,,,,,,)</v>
      </c>
      <c r="CR196" s="10" t="str">
        <f t="shared" si="3072"/>
        <v>InitEquipData('IF05',,"",,,,,'','','','','','',"")</v>
      </c>
      <c r="CU196" s="61" t="str">
        <f t="shared" si="3073"/>
        <v>|n</v>
      </c>
      <c r="CW196" s="4"/>
      <c r="CX196" s="4"/>
      <c r="CY196" s="4"/>
      <c r="CZ196" s="4"/>
      <c r="DA196" s="4"/>
      <c r="DB196" s="40" t="str">
        <f t="shared" si="3074"/>
        <v/>
      </c>
      <c r="DC196" s="40" t="str">
        <f t="shared" si="3075"/>
        <v/>
      </c>
      <c r="DD196" s="40" t="str">
        <f t="shared" si="3076"/>
        <v/>
      </c>
      <c r="DE196" s="40" t="str">
        <f t="shared" si="3077"/>
        <v/>
      </c>
      <c r="DF196" s="40" t="str">
        <f t="shared" si="3078"/>
        <v/>
      </c>
      <c r="DG196" s="40" t="str">
        <f t="shared" si="3079"/>
        <v/>
      </c>
      <c r="DH196" s="40" t="str">
        <f t="shared" si="3080"/>
        <v/>
      </c>
      <c r="DI196" s="40" t="str">
        <f t="shared" si="3081"/>
        <v/>
      </c>
      <c r="DJ196" s="40" t="str">
        <f t="shared" si="3082"/>
        <v/>
      </c>
      <c r="DK196" s="40" t="str">
        <f t="shared" si="3083"/>
        <v/>
      </c>
      <c r="DL196" s="40" t="str">
        <f t="shared" si="3084"/>
        <v/>
      </c>
      <c r="DM196" s="40" t="str">
        <f t="shared" si="3085"/>
        <v/>
      </c>
      <c r="DN196" s="40" t="str">
        <f t="shared" si="3086"/>
        <v/>
      </c>
      <c r="DO196" s="40" t="str">
        <f t="shared" si="3087"/>
        <v/>
      </c>
      <c r="DP196" s="40" t="str">
        <f t="shared" si="3088"/>
        <v/>
      </c>
      <c r="DQ196" s="40" t="str">
        <f t="shared" si="3089"/>
        <v/>
      </c>
      <c r="DR196" s="40" t="str">
        <f t="shared" si="3090"/>
        <v/>
      </c>
      <c r="DS196" s="40" t="str">
        <f t="shared" si="3091"/>
        <v/>
      </c>
      <c r="DT196" s="40" t="str">
        <f t="shared" si="3092"/>
        <v/>
      </c>
      <c r="DU196" s="40" t="str">
        <f t="shared" si="3093"/>
        <v/>
      </c>
      <c r="DV196" s="40" t="str">
        <f t="shared" si="3094"/>
        <v/>
      </c>
      <c r="DW196" s="40" t="str">
        <f t="shared" si="3095"/>
        <v/>
      </c>
      <c r="DX196" s="40" t="str">
        <f t="shared" si="3096"/>
        <v/>
      </c>
      <c r="DY196" s="40" t="str">
        <f t="shared" si="3097"/>
        <v/>
      </c>
      <c r="DZ196" s="40" t="str">
        <f t="shared" si="3098"/>
        <v/>
      </c>
      <c r="EA196" s="40" t="str">
        <f t="shared" si="3099"/>
        <v/>
      </c>
      <c r="EB196" s="40" t="str">
        <f t="shared" si="3100"/>
        <v/>
      </c>
      <c r="EC196" s="40" t="str">
        <f t="shared" si="3101"/>
        <v/>
      </c>
      <c r="ED196" s="40" t="str">
        <f t="shared" si="3102"/>
        <v/>
      </c>
      <c r="EE196" s="40" t="str">
        <f t="shared" si="3103"/>
        <v/>
      </c>
      <c r="EF196" s="40" t="str">
        <f t="shared" si="3104"/>
        <v/>
      </c>
      <c r="EG196" s="40" t="str">
        <f t="shared" si="3105"/>
        <v/>
      </c>
      <c r="EH196" s="40" t="str">
        <f t="shared" si="3106"/>
        <v/>
      </c>
      <c r="EI196" s="40" t="str">
        <f t="shared" si="3107"/>
        <v/>
      </c>
      <c r="EJ196" s="40" t="str">
        <f t="shared" si="3108"/>
        <v/>
      </c>
      <c r="EK196" s="40" t="str">
        <f t="shared" si="3109"/>
        <v/>
      </c>
      <c r="EL196" s="40" t="str">
        <f t="shared" si="3110"/>
        <v/>
      </c>
      <c r="EM196" s="40" t="str">
        <f t="shared" si="3111"/>
        <v/>
      </c>
      <c r="EN196" s="40" t="str">
        <f t="shared" si="3112"/>
        <v/>
      </c>
      <c r="EO196" s="40" t="str">
        <f t="shared" si="3113"/>
        <v/>
      </c>
      <c r="EP196" s="40" t="str">
        <f t="shared" si="3114"/>
        <v/>
      </c>
      <c r="EQ196" s="40" t="str">
        <f t="shared" si="3115"/>
        <v/>
      </c>
      <c r="ER196" s="40" t="str">
        <f t="shared" si="3116"/>
        <v/>
      </c>
      <c r="ES196" s="40" t="str">
        <f t="shared" si="3117"/>
        <v/>
      </c>
      <c r="ET196" s="40" t="str">
        <f t="shared" si="3118"/>
        <v/>
      </c>
      <c r="EU196" s="40" t="str">
        <f t="shared" si="3119"/>
        <v/>
      </c>
      <c r="EV196" s="40" t="str">
        <f t="shared" si="3120"/>
        <v/>
      </c>
      <c r="EW196" s="40" t="str">
        <f t="shared" si="3121"/>
        <v/>
      </c>
      <c r="EX196" s="40" t="str">
        <f t="shared" si="3122"/>
        <v/>
      </c>
      <c r="EY196" s="40" t="str">
        <f t="shared" si="3123"/>
        <v/>
      </c>
      <c r="EZ196" s="40" t="str">
        <f t="shared" si="3124"/>
        <v/>
      </c>
      <c r="FA196" s="40" t="str">
        <f t="shared" si="3125"/>
        <v/>
      </c>
      <c r="FB196" s="40" t="str">
        <f t="shared" si="3126"/>
        <v/>
      </c>
      <c r="FC196" s="40" t="str">
        <f t="shared" si="3127"/>
        <v/>
      </c>
      <c r="FD196" s="40" t="str">
        <f t="shared" si="3128"/>
        <v/>
      </c>
      <c r="FE196" s="40" t="str">
        <f t="shared" si="3129"/>
        <v/>
      </c>
      <c r="FF196" s="40" t="str">
        <f t="shared" si="3130"/>
        <v/>
      </c>
      <c r="FG196" s="40" t="str">
        <f t="shared" si="3131"/>
        <v/>
      </c>
      <c r="FH196" s="40" t="str">
        <f t="shared" si="3132"/>
        <v/>
      </c>
      <c r="FI196" s="40" t="str">
        <f t="shared" si="3133"/>
        <v/>
      </c>
      <c r="FJ196" s="40" t="str">
        <f t="shared" si="3134"/>
        <v/>
      </c>
      <c r="FK196" s="40" t="str">
        <f t="shared" si="3135"/>
        <v/>
      </c>
      <c r="FL196" s="40" t="str">
        <f t="shared" si="3136"/>
        <v/>
      </c>
      <c r="FM196" s="40" t="str">
        <f t="shared" si="3137"/>
        <v/>
      </c>
      <c r="FN196" s="40" t="str">
        <f t="shared" si="3138"/>
        <v/>
      </c>
      <c r="FO196" s="40" t="str">
        <f t="shared" si="3139"/>
        <v/>
      </c>
      <c r="FP196" s="40" t="str">
        <f t="shared" si="3140"/>
        <v/>
      </c>
      <c r="FQ196" s="40" t="str">
        <f t="shared" si="3141"/>
        <v/>
      </c>
      <c r="FR196" s="40" t="str">
        <f t="shared" si="3142"/>
        <v/>
      </c>
      <c r="FS196" s="40" t="str">
        <f t="shared" si="3143"/>
        <v/>
      </c>
    </row>
    <row r="197" spans="1:175" ht="16.5">
      <c r="A197" s="80"/>
      <c r="B197" s="5" t="s">
        <v>510</v>
      </c>
      <c r="C197" s="3" t="s">
        <v>117</v>
      </c>
      <c r="T197" s="88"/>
      <c r="U197" s="51"/>
      <c r="CN197" s="10" t="str">
        <f t="shared" si="3068"/>
        <v>InitUnitState('IF06',,,,,,,,,,)</v>
      </c>
      <c r="CO197" s="10" t="str">
        <f t="shared" si="3069"/>
        <v>InitUnitNormal('IF06',,,,,,,,,,)</v>
      </c>
      <c r="CP197" s="10" t="str">
        <f t="shared" si="3070"/>
        <v>InitUnitMagic('IF06',,,,,,,,,,)</v>
      </c>
      <c r="CQ197" s="10" t="str">
        <f t="shared" si="3071"/>
        <v>InitUnitAdd('IF06',,,,,,,,,,)</v>
      </c>
      <c r="CR197" s="10" t="str">
        <f t="shared" si="3072"/>
        <v>InitEquipData('IF06',,"",,,,,'','','','','','',"")</v>
      </c>
      <c r="CU197" s="61" t="str">
        <f t="shared" si="3073"/>
        <v>|n</v>
      </c>
      <c r="CW197" s="4"/>
      <c r="CX197" s="4"/>
      <c r="CY197" s="4"/>
      <c r="CZ197" s="4"/>
      <c r="DA197" s="4"/>
      <c r="DB197" s="40" t="str">
        <f t="shared" si="3074"/>
        <v/>
      </c>
      <c r="DC197" s="40" t="str">
        <f t="shared" si="3075"/>
        <v/>
      </c>
      <c r="DD197" s="40" t="str">
        <f t="shared" si="3076"/>
        <v/>
      </c>
      <c r="DE197" s="40" t="str">
        <f t="shared" si="3077"/>
        <v/>
      </c>
      <c r="DF197" s="40" t="str">
        <f t="shared" si="3078"/>
        <v/>
      </c>
      <c r="DG197" s="40" t="str">
        <f t="shared" si="3079"/>
        <v/>
      </c>
      <c r="DH197" s="40" t="str">
        <f t="shared" si="3080"/>
        <v/>
      </c>
      <c r="DI197" s="40" t="str">
        <f t="shared" si="3081"/>
        <v/>
      </c>
      <c r="DJ197" s="40" t="str">
        <f t="shared" si="3082"/>
        <v/>
      </c>
      <c r="DK197" s="40" t="str">
        <f t="shared" si="3083"/>
        <v/>
      </c>
      <c r="DL197" s="40" t="str">
        <f t="shared" si="3084"/>
        <v/>
      </c>
      <c r="DM197" s="40" t="str">
        <f t="shared" si="3085"/>
        <v/>
      </c>
      <c r="DN197" s="40" t="str">
        <f t="shared" si="3086"/>
        <v/>
      </c>
      <c r="DO197" s="40" t="str">
        <f t="shared" si="3087"/>
        <v/>
      </c>
      <c r="DP197" s="40" t="str">
        <f t="shared" si="3088"/>
        <v/>
      </c>
      <c r="DQ197" s="40" t="str">
        <f t="shared" si="3089"/>
        <v/>
      </c>
      <c r="DR197" s="40" t="str">
        <f t="shared" si="3090"/>
        <v/>
      </c>
      <c r="DS197" s="40" t="str">
        <f t="shared" si="3091"/>
        <v/>
      </c>
      <c r="DT197" s="40" t="str">
        <f t="shared" si="3092"/>
        <v/>
      </c>
      <c r="DU197" s="40" t="str">
        <f t="shared" si="3093"/>
        <v/>
      </c>
      <c r="DV197" s="40" t="str">
        <f t="shared" si="3094"/>
        <v/>
      </c>
      <c r="DW197" s="40" t="str">
        <f t="shared" si="3095"/>
        <v/>
      </c>
      <c r="DX197" s="40" t="str">
        <f t="shared" si="3096"/>
        <v/>
      </c>
      <c r="DY197" s="40" t="str">
        <f t="shared" si="3097"/>
        <v/>
      </c>
      <c r="DZ197" s="40" t="str">
        <f t="shared" si="3098"/>
        <v/>
      </c>
      <c r="EA197" s="40" t="str">
        <f t="shared" si="3099"/>
        <v/>
      </c>
      <c r="EB197" s="40" t="str">
        <f t="shared" si="3100"/>
        <v/>
      </c>
      <c r="EC197" s="40" t="str">
        <f t="shared" si="3101"/>
        <v/>
      </c>
      <c r="ED197" s="40" t="str">
        <f t="shared" si="3102"/>
        <v/>
      </c>
      <c r="EE197" s="40" t="str">
        <f t="shared" si="3103"/>
        <v/>
      </c>
      <c r="EF197" s="40" t="str">
        <f t="shared" si="3104"/>
        <v/>
      </c>
      <c r="EG197" s="40" t="str">
        <f t="shared" si="3105"/>
        <v/>
      </c>
      <c r="EH197" s="40" t="str">
        <f t="shared" si="3106"/>
        <v/>
      </c>
      <c r="EI197" s="40" t="str">
        <f t="shared" si="3107"/>
        <v/>
      </c>
      <c r="EJ197" s="40" t="str">
        <f t="shared" si="3108"/>
        <v/>
      </c>
      <c r="EK197" s="40" t="str">
        <f t="shared" si="3109"/>
        <v/>
      </c>
      <c r="EL197" s="40" t="str">
        <f t="shared" si="3110"/>
        <v/>
      </c>
      <c r="EM197" s="40" t="str">
        <f t="shared" si="3111"/>
        <v/>
      </c>
      <c r="EN197" s="40" t="str">
        <f t="shared" si="3112"/>
        <v/>
      </c>
      <c r="EO197" s="40" t="str">
        <f t="shared" si="3113"/>
        <v/>
      </c>
      <c r="EP197" s="40" t="str">
        <f t="shared" si="3114"/>
        <v/>
      </c>
      <c r="EQ197" s="40" t="str">
        <f t="shared" si="3115"/>
        <v/>
      </c>
      <c r="ER197" s="40" t="str">
        <f t="shared" si="3116"/>
        <v/>
      </c>
      <c r="ES197" s="40" t="str">
        <f t="shared" si="3117"/>
        <v/>
      </c>
      <c r="ET197" s="40" t="str">
        <f t="shared" si="3118"/>
        <v/>
      </c>
      <c r="EU197" s="40" t="str">
        <f t="shared" si="3119"/>
        <v/>
      </c>
      <c r="EV197" s="40" t="str">
        <f t="shared" si="3120"/>
        <v/>
      </c>
      <c r="EW197" s="40" t="str">
        <f t="shared" si="3121"/>
        <v/>
      </c>
      <c r="EX197" s="40" t="str">
        <f t="shared" si="3122"/>
        <v/>
      </c>
      <c r="EY197" s="40" t="str">
        <f t="shared" si="3123"/>
        <v/>
      </c>
      <c r="EZ197" s="40" t="str">
        <f t="shared" si="3124"/>
        <v/>
      </c>
      <c r="FA197" s="40" t="str">
        <f t="shared" si="3125"/>
        <v/>
      </c>
      <c r="FB197" s="40" t="str">
        <f t="shared" si="3126"/>
        <v/>
      </c>
      <c r="FC197" s="40" t="str">
        <f t="shared" si="3127"/>
        <v/>
      </c>
      <c r="FD197" s="40" t="str">
        <f t="shared" si="3128"/>
        <v/>
      </c>
      <c r="FE197" s="40" t="str">
        <f t="shared" si="3129"/>
        <v/>
      </c>
      <c r="FF197" s="40" t="str">
        <f t="shared" si="3130"/>
        <v/>
      </c>
      <c r="FG197" s="40" t="str">
        <f t="shared" si="3131"/>
        <v/>
      </c>
      <c r="FH197" s="40" t="str">
        <f t="shared" si="3132"/>
        <v/>
      </c>
      <c r="FI197" s="40" t="str">
        <f t="shared" si="3133"/>
        <v/>
      </c>
      <c r="FJ197" s="40" t="str">
        <f t="shared" si="3134"/>
        <v/>
      </c>
      <c r="FK197" s="40" t="str">
        <f t="shared" si="3135"/>
        <v/>
      </c>
      <c r="FL197" s="40" t="str">
        <f t="shared" si="3136"/>
        <v/>
      </c>
      <c r="FM197" s="40" t="str">
        <f t="shared" si="3137"/>
        <v/>
      </c>
      <c r="FN197" s="40" t="str">
        <f t="shared" si="3138"/>
        <v/>
      </c>
      <c r="FO197" s="40" t="str">
        <f t="shared" si="3139"/>
        <v/>
      </c>
      <c r="FP197" s="40" t="str">
        <f t="shared" si="3140"/>
        <v/>
      </c>
      <c r="FQ197" s="40" t="str">
        <f t="shared" si="3141"/>
        <v/>
      </c>
      <c r="FR197" s="40" t="str">
        <f t="shared" si="3142"/>
        <v/>
      </c>
      <c r="FS197" s="40" t="str">
        <f t="shared" si="3143"/>
        <v/>
      </c>
    </row>
    <row r="198" spans="1:175" ht="16.5">
      <c r="A198" s="80"/>
      <c r="B198" s="5" t="s">
        <v>511</v>
      </c>
      <c r="C198" s="3" t="s">
        <v>116</v>
      </c>
      <c r="T198" s="88"/>
      <c r="U198" s="51"/>
      <c r="CN198" s="10" t="str">
        <f t="shared" si="3068"/>
        <v>InitUnitState('IF07',,,,,,,,,,)</v>
      </c>
      <c r="CO198" s="10" t="str">
        <f t="shared" si="3069"/>
        <v>InitUnitNormal('IF07',,,,,,,,,,)</v>
      </c>
      <c r="CP198" s="10" t="str">
        <f t="shared" si="3070"/>
        <v>InitUnitMagic('IF07',,,,,,,,,,)</v>
      </c>
      <c r="CQ198" s="10" t="str">
        <f t="shared" si="3071"/>
        <v>InitUnitAdd('IF07',,,,,,,,,,)</v>
      </c>
      <c r="CR198" s="10" t="str">
        <f t="shared" si="3072"/>
        <v>InitEquipData('IF07',,"",,,,,'','','','','','',"")</v>
      </c>
      <c r="CU198" s="61" t="str">
        <f t="shared" si="3073"/>
        <v>|n</v>
      </c>
      <c r="CW198" s="4"/>
      <c r="CX198" s="4"/>
      <c r="CY198" s="4"/>
      <c r="CZ198" s="4"/>
      <c r="DA198" s="4"/>
      <c r="DB198" s="40" t="str">
        <f t="shared" si="3074"/>
        <v/>
      </c>
      <c r="DC198" s="40" t="str">
        <f t="shared" si="3075"/>
        <v/>
      </c>
      <c r="DD198" s="40" t="str">
        <f t="shared" si="3076"/>
        <v/>
      </c>
      <c r="DE198" s="40" t="str">
        <f t="shared" si="3077"/>
        <v/>
      </c>
      <c r="DF198" s="40" t="str">
        <f t="shared" si="3078"/>
        <v/>
      </c>
      <c r="DG198" s="40" t="str">
        <f t="shared" si="3079"/>
        <v/>
      </c>
      <c r="DH198" s="40" t="str">
        <f t="shared" si="3080"/>
        <v/>
      </c>
      <c r="DI198" s="40" t="str">
        <f t="shared" si="3081"/>
        <v/>
      </c>
      <c r="DJ198" s="40" t="str">
        <f t="shared" si="3082"/>
        <v/>
      </c>
      <c r="DK198" s="40" t="str">
        <f t="shared" si="3083"/>
        <v/>
      </c>
      <c r="DL198" s="40" t="str">
        <f t="shared" si="3084"/>
        <v/>
      </c>
      <c r="DM198" s="40" t="str">
        <f t="shared" si="3085"/>
        <v/>
      </c>
      <c r="DN198" s="40" t="str">
        <f t="shared" si="3086"/>
        <v/>
      </c>
      <c r="DO198" s="40" t="str">
        <f t="shared" si="3087"/>
        <v/>
      </c>
      <c r="DP198" s="40" t="str">
        <f t="shared" si="3088"/>
        <v/>
      </c>
      <c r="DQ198" s="40" t="str">
        <f t="shared" si="3089"/>
        <v/>
      </c>
      <c r="DR198" s="40" t="str">
        <f t="shared" si="3090"/>
        <v/>
      </c>
      <c r="DS198" s="40" t="str">
        <f t="shared" si="3091"/>
        <v/>
      </c>
      <c r="DT198" s="40" t="str">
        <f t="shared" si="3092"/>
        <v/>
      </c>
      <c r="DU198" s="40" t="str">
        <f t="shared" si="3093"/>
        <v/>
      </c>
      <c r="DV198" s="40" t="str">
        <f t="shared" si="3094"/>
        <v/>
      </c>
      <c r="DW198" s="40" t="str">
        <f t="shared" si="3095"/>
        <v/>
      </c>
      <c r="DX198" s="40" t="str">
        <f t="shared" si="3096"/>
        <v/>
      </c>
      <c r="DY198" s="40" t="str">
        <f t="shared" si="3097"/>
        <v/>
      </c>
      <c r="DZ198" s="40" t="str">
        <f t="shared" si="3098"/>
        <v/>
      </c>
      <c r="EA198" s="40" t="str">
        <f t="shared" si="3099"/>
        <v/>
      </c>
      <c r="EB198" s="40" t="str">
        <f t="shared" si="3100"/>
        <v/>
      </c>
      <c r="EC198" s="40" t="str">
        <f t="shared" si="3101"/>
        <v/>
      </c>
      <c r="ED198" s="40" t="str">
        <f t="shared" si="3102"/>
        <v/>
      </c>
      <c r="EE198" s="40" t="str">
        <f t="shared" si="3103"/>
        <v/>
      </c>
      <c r="EF198" s="40" t="str">
        <f t="shared" si="3104"/>
        <v/>
      </c>
      <c r="EG198" s="40" t="str">
        <f t="shared" si="3105"/>
        <v/>
      </c>
      <c r="EH198" s="40" t="str">
        <f t="shared" si="3106"/>
        <v/>
      </c>
      <c r="EI198" s="40" t="str">
        <f t="shared" si="3107"/>
        <v/>
      </c>
      <c r="EJ198" s="40" t="str">
        <f t="shared" si="3108"/>
        <v/>
      </c>
      <c r="EK198" s="40" t="str">
        <f t="shared" si="3109"/>
        <v/>
      </c>
      <c r="EL198" s="40" t="str">
        <f t="shared" si="3110"/>
        <v/>
      </c>
      <c r="EM198" s="40" t="str">
        <f t="shared" si="3111"/>
        <v/>
      </c>
      <c r="EN198" s="40" t="str">
        <f t="shared" si="3112"/>
        <v/>
      </c>
      <c r="EO198" s="40" t="str">
        <f t="shared" si="3113"/>
        <v/>
      </c>
      <c r="EP198" s="40" t="str">
        <f t="shared" si="3114"/>
        <v/>
      </c>
      <c r="EQ198" s="40" t="str">
        <f t="shared" si="3115"/>
        <v/>
      </c>
      <c r="ER198" s="40" t="str">
        <f t="shared" si="3116"/>
        <v/>
      </c>
      <c r="ES198" s="40" t="str">
        <f t="shared" si="3117"/>
        <v/>
      </c>
      <c r="ET198" s="40" t="str">
        <f t="shared" si="3118"/>
        <v/>
      </c>
      <c r="EU198" s="40" t="str">
        <f t="shared" si="3119"/>
        <v/>
      </c>
      <c r="EV198" s="40" t="str">
        <f t="shared" si="3120"/>
        <v/>
      </c>
      <c r="EW198" s="40" t="str">
        <f t="shared" si="3121"/>
        <v/>
      </c>
      <c r="EX198" s="40" t="str">
        <f t="shared" si="3122"/>
        <v/>
      </c>
      <c r="EY198" s="40" t="str">
        <f t="shared" si="3123"/>
        <v/>
      </c>
      <c r="EZ198" s="40" t="str">
        <f t="shared" si="3124"/>
        <v/>
      </c>
      <c r="FA198" s="40" t="str">
        <f t="shared" si="3125"/>
        <v/>
      </c>
      <c r="FB198" s="40" t="str">
        <f t="shared" si="3126"/>
        <v/>
      </c>
      <c r="FC198" s="40" t="str">
        <f t="shared" si="3127"/>
        <v/>
      </c>
      <c r="FD198" s="40" t="str">
        <f t="shared" si="3128"/>
        <v/>
      </c>
      <c r="FE198" s="40" t="str">
        <f t="shared" si="3129"/>
        <v/>
      </c>
      <c r="FF198" s="40" t="str">
        <f t="shared" si="3130"/>
        <v/>
      </c>
      <c r="FG198" s="40" t="str">
        <f t="shared" si="3131"/>
        <v/>
      </c>
      <c r="FH198" s="40" t="str">
        <f t="shared" si="3132"/>
        <v/>
      </c>
      <c r="FI198" s="40" t="str">
        <f t="shared" si="3133"/>
        <v/>
      </c>
      <c r="FJ198" s="40" t="str">
        <f t="shared" si="3134"/>
        <v/>
      </c>
      <c r="FK198" s="40" t="str">
        <f t="shared" si="3135"/>
        <v/>
      </c>
      <c r="FL198" s="40" t="str">
        <f t="shared" si="3136"/>
        <v/>
      </c>
      <c r="FM198" s="40" t="str">
        <f t="shared" si="3137"/>
        <v/>
      </c>
      <c r="FN198" s="40" t="str">
        <f t="shared" si="3138"/>
        <v/>
      </c>
      <c r="FO198" s="40" t="str">
        <f t="shared" si="3139"/>
        <v/>
      </c>
      <c r="FP198" s="40" t="str">
        <f t="shared" si="3140"/>
        <v/>
      </c>
      <c r="FQ198" s="40" t="str">
        <f t="shared" si="3141"/>
        <v/>
      </c>
      <c r="FR198" s="40" t="str">
        <f t="shared" si="3142"/>
        <v/>
      </c>
      <c r="FS198" s="40" t="str">
        <f t="shared" si="3143"/>
        <v/>
      </c>
    </row>
    <row r="199" spans="1:175" ht="16.5">
      <c r="A199" s="80"/>
      <c r="B199" s="5" t="s">
        <v>512</v>
      </c>
      <c r="C199" s="3" t="s">
        <v>117</v>
      </c>
      <c r="T199" s="88"/>
      <c r="U199" s="51"/>
      <c r="CN199" s="10" t="str">
        <f t="shared" si="3068"/>
        <v>InitUnitState('IF08',,,,,,,,,,)</v>
      </c>
      <c r="CO199" s="10" t="str">
        <f t="shared" si="3069"/>
        <v>InitUnitNormal('IF08',,,,,,,,,,)</v>
      </c>
      <c r="CP199" s="10" t="str">
        <f t="shared" si="3070"/>
        <v>InitUnitMagic('IF08',,,,,,,,,,)</v>
      </c>
      <c r="CQ199" s="10" t="str">
        <f t="shared" si="3071"/>
        <v>InitUnitAdd('IF08',,,,,,,,,,)</v>
      </c>
      <c r="CR199" s="10" t="str">
        <f t="shared" si="3072"/>
        <v>InitEquipData('IF08',,"",,,,,'','','','','','',"")</v>
      </c>
      <c r="CU199" s="61" t="str">
        <f t="shared" si="3073"/>
        <v>|n</v>
      </c>
      <c r="CW199" s="4"/>
      <c r="CX199" s="4"/>
      <c r="CY199" s="4"/>
      <c r="CZ199" s="4"/>
      <c r="DA199" s="4"/>
      <c r="DB199" s="40" t="str">
        <f t="shared" si="3074"/>
        <v/>
      </c>
      <c r="DC199" s="40" t="str">
        <f t="shared" si="3075"/>
        <v/>
      </c>
      <c r="DD199" s="40" t="str">
        <f t="shared" si="3076"/>
        <v/>
      </c>
      <c r="DE199" s="40" t="str">
        <f t="shared" si="3077"/>
        <v/>
      </c>
      <c r="DF199" s="40" t="str">
        <f t="shared" si="3078"/>
        <v/>
      </c>
      <c r="DG199" s="40" t="str">
        <f t="shared" si="3079"/>
        <v/>
      </c>
      <c r="DH199" s="40" t="str">
        <f t="shared" si="3080"/>
        <v/>
      </c>
      <c r="DI199" s="40" t="str">
        <f t="shared" si="3081"/>
        <v/>
      </c>
      <c r="DJ199" s="40" t="str">
        <f t="shared" si="3082"/>
        <v/>
      </c>
      <c r="DK199" s="40" t="str">
        <f t="shared" si="3083"/>
        <v/>
      </c>
      <c r="DL199" s="40" t="str">
        <f t="shared" si="3084"/>
        <v/>
      </c>
      <c r="DM199" s="40" t="str">
        <f t="shared" si="3085"/>
        <v/>
      </c>
      <c r="DN199" s="40" t="str">
        <f t="shared" si="3086"/>
        <v/>
      </c>
      <c r="DO199" s="40" t="str">
        <f t="shared" si="3087"/>
        <v/>
      </c>
      <c r="DP199" s="40" t="str">
        <f t="shared" si="3088"/>
        <v/>
      </c>
      <c r="DQ199" s="40" t="str">
        <f t="shared" si="3089"/>
        <v/>
      </c>
      <c r="DR199" s="40" t="str">
        <f t="shared" si="3090"/>
        <v/>
      </c>
      <c r="DS199" s="40" t="str">
        <f t="shared" si="3091"/>
        <v/>
      </c>
      <c r="DT199" s="40" t="str">
        <f t="shared" si="3092"/>
        <v/>
      </c>
      <c r="DU199" s="40" t="str">
        <f t="shared" si="3093"/>
        <v/>
      </c>
      <c r="DV199" s="40" t="str">
        <f t="shared" si="3094"/>
        <v/>
      </c>
      <c r="DW199" s="40" t="str">
        <f t="shared" si="3095"/>
        <v/>
      </c>
      <c r="DX199" s="40" t="str">
        <f t="shared" si="3096"/>
        <v/>
      </c>
      <c r="DY199" s="40" t="str">
        <f t="shared" si="3097"/>
        <v/>
      </c>
      <c r="DZ199" s="40" t="str">
        <f t="shared" si="3098"/>
        <v/>
      </c>
      <c r="EA199" s="40" t="str">
        <f t="shared" si="3099"/>
        <v/>
      </c>
      <c r="EB199" s="40" t="str">
        <f t="shared" si="3100"/>
        <v/>
      </c>
      <c r="EC199" s="40" t="str">
        <f t="shared" si="3101"/>
        <v/>
      </c>
      <c r="ED199" s="40" t="str">
        <f t="shared" si="3102"/>
        <v/>
      </c>
      <c r="EE199" s="40" t="str">
        <f t="shared" si="3103"/>
        <v/>
      </c>
      <c r="EF199" s="40" t="str">
        <f t="shared" si="3104"/>
        <v/>
      </c>
      <c r="EG199" s="40" t="str">
        <f t="shared" si="3105"/>
        <v/>
      </c>
      <c r="EH199" s="40" t="str">
        <f t="shared" si="3106"/>
        <v/>
      </c>
      <c r="EI199" s="40" t="str">
        <f t="shared" si="3107"/>
        <v/>
      </c>
      <c r="EJ199" s="40" t="str">
        <f t="shared" si="3108"/>
        <v/>
      </c>
      <c r="EK199" s="40" t="str">
        <f t="shared" si="3109"/>
        <v/>
      </c>
      <c r="EL199" s="40" t="str">
        <f t="shared" si="3110"/>
        <v/>
      </c>
      <c r="EM199" s="40" t="str">
        <f t="shared" si="3111"/>
        <v/>
      </c>
      <c r="EN199" s="40" t="str">
        <f t="shared" si="3112"/>
        <v/>
      </c>
      <c r="EO199" s="40" t="str">
        <f t="shared" si="3113"/>
        <v/>
      </c>
      <c r="EP199" s="40" t="str">
        <f t="shared" si="3114"/>
        <v/>
      </c>
      <c r="EQ199" s="40" t="str">
        <f t="shared" si="3115"/>
        <v/>
      </c>
      <c r="ER199" s="40" t="str">
        <f t="shared" si="3116"/>
        <v/>
      </c>
      <c r="ES199" s="40" t="str">
        <f t="shared" si="3117"/>
        <v/>
      </c>
      <c r="ET199" s="40" t="str">
        <f t="shared" si="3118"/>
        <v/>
      </c>
      <c r="EU199" s="40" t="str">
        <f t="shared" si="3119"/>
        <v/>
      </c>
      <c r="EV199" s="40" t="str">
        <f t="shared" si="3120"/>
        <v/>
      </c>
      <c r="EW199" s="40" t="str">
        <f t="shared" si="3121"/>
        <v/>
      </c>
      <c r="EX199" s="40" t="str">
        <f t="shared" si="3122"/>
        <v/>
      </c>
      <c r="EY199" s="40" t="str">
        <f t="shared" si="3123"/>
        <v/>
      </c>
      <c r="EZ199" s="40" t="str">
        <f t="shared" si="3124"/>
        <v/>
      </c>
      <c r="FA199" s="40" t="str">
        <f t="shared" si="3125"/>
        <v/>
      </c>
      <c r="FB199" s="40" t="str">
        <f t="shared" si="3126"/>
        <v/>
      </c>
      <c r="FC199" s="40" t="str">
        <f t="shared" si="3127"/>
        <v/>
      </c>
      <c r="FD199" s="40" t="str">
        <f t="shared" si="3128"/>
        <v/>
      </c>
      <c r="FE199" s="40" t="str">
        <f t="shared" si="3129"/>
        <v/>
      </c>
      <c r="FF199" s="40" t="str">
        <f t="shared" si="3130"/>
        <v/>
      </c>
      <c r="FG199" s="40" t="str">
        <f t="shared" si="3131"/>
        <v/>
      </c>
      <c r="FH199" s="40" t="str">
        <f t="shared" si="3132"/>
        <v/>
      </c>
      <c r="FI199" s="40" t="str">
        <f t="shared" si="3133"/>
        <v/>
      </c>
      <c r="FJ199" s="40" t="str">
        <f t="shared" si="3134"/>
        <v/>
      </c>
      <c r="FK199" s="40" t="str">
        <f t="shared" si="3135"/>
        <v/>
      </c>
      <c r="FL199" s="40" t="str">
        <f t="shared" si="3136"/>
        <v/>
      </c>
      <c r="FM199" s="40" t="str">
        <f t="shared" si="3137"/>
        <v/>
      </c>
      <c r="FN199" s="40" t="str">
        <f t="shared" si="3138"/>
        <v/>
      </c>
      <c r="FO199" s="40" t="str">
        <f t="shared" si="3139"/>
        <v/>
      </c>
      <c r="FP199" s="40" t="str">
        <f t="shared" si="3140"/>
        <v/>
      </c>
      <c r="FQ199" s="40" t="str">
        <f t="shared" si="3141"/>
        <v/>
      </c>
      <c r="FR199" s="40" t="str">
        <f t="shared" si="3142"/>
        <v/>
      </c>
      <c r="FS199" s="40" t="str">
        <f t="shared" si="3143"/>
        <v/>
      </c>
    </row>
    <row r="200" spans="1:175" ht="16.5">
      <c r="A200" s="80"/>
      <c r="B200" s="5" t="s">
        <v>513</v>
      </c>
      <c r="C200" s="3" t="s">
        <v>116</v>
      </c>
      <c r="T200" s="88"/>
      <c r="U200" s="51"/>
      <c r="CN200" s="10" t="str">
        <f t="shared" si="3068"/>
        <v>InitUnitState('IF09',,,,,,,,,,)</v>
      </c>
      <c r="CO200" s="10" t="str">
        <f t="shared" si="3069"/>
        <v>InitUnitNormal('IF09',,,,,,,,,,)</v>
      </c>
      <c r="CP200" s="10" t="str">
        <f t="shared" si="3070"/>
        <v>InitUnitMagic('IF09',,,,,,,,,,)</v>
      </c>
      <c r="CQ200" s="10" t="str">
        <f t="shared" si="3071"/>
        <v>InitUnitAdd('IF09',,,,,,,,,,)</v>
      </c>
      <c r="CR200" s="10" t="str">
        <f t="shared" si="3072"/>
        <v>InitEquipData('IF09',,"",,,,,'','','','','','',"")</v>
      </c>
      <c r="CU200" s="61" t="str">
        <f t="shared" si="3073"/>
        <v>|n</v>
      </c>
      <c r="CW200" s="4"/>
      <c r="CX200" s="4"/>
      <c r="CY200" s="4"/>
      <c r="CZ200" s="4"/>
      <c r="DA200" s="4"/>
      <c r="DB200" s="40" t="str">
        <f t="shared" si="3074"/>
        <v/>
      </c>
      <c r="DC200" s="40" t="str">
        <f t="shared" si="3075"/>
        <v/>
      </c>
      <c r="DD200" s="40" t="str">
        <f t="shared" si="3076"/>
        <v/>
      </c>
      <c r="DE200" s="40" t="str">
        <f t="shared" si="3077"/>
        <v/>
      </c>
      <c r="DF200" s="40" t="str">
        <f t="shared" si="3078"/>
        <v/>
      </c>
      <c r="DG200" s="40" t="str">
        <f t="shared" si="3079"/>
        <v/>
      </c>
      <c r="DH200" s="40" t="str">
        <f t="shared" si="3080"/>
        <v/>
      </c>
      <c r="DI200" s="40" t="str">
        <f t="shared" si="3081"/>
        <v/>
      </c>
      <c r="DJ200" s="40" t="str">
        <f t="shared" si="3082"/>
        <v/>
      </c>
      <c r="DK200" s="40" t="str">
        <f t="shared" si="3083"/>
        <v/>
      </c>
      <c r="DL200" s="40" t="str">
        <f t="shared" si="3084"/>
        <v/>
      </c>
      <c r="DM200" s="40" t="str">
        <f t="shared" si="3085"/>
        <v/>
      </c>
      <c r="DN200" s="40" t="str">
        <f t="shared" si="3086"/>
        <v/>
      </c>
      <c r="DO200" s="40" t="str">
        <f t="shared" si="3087"/>
        <v/>
      </c>
      <c r="DP200" s="40" t="str">
        <f t="shared" si="3088"/>
        <v/>
      </c>
      <c r="DQ200" s="40" t="str">
        <f t="shared" si="3089"/>
        <v/>
      </c>
      <c r="DR200" s="40" t="str">
        <f t="shared" si="3090"/>
        <v/>
      </c>
      <c r="DS200" s="40" t="str">
        <f t="shared" si="3091"/>
        <v/>
      </c>
      <c r="DT200" s="40" t="str">
        <f t="shared" si="3092"/>
        <v/>
      </c>
      <c r="DU200" s="40" t="str">
        <f t="shared" si="3093"/>
        <v/>
      </c>
      <c r="DV200" s="40" t="str">
        <f t="shared" si="3094"/>
        <v/>
      </c>
      <c r="DW200" s="40" t="str">
        <f t="shared" si="3095"/>
        <v/>
      </c>
      <c r="DX200" s="40" t="str">
        <f t="shared" si="3096"/>
        <v/>
      </c>
      <c r="DY200" s="40" t="str">
        <f t="shared" si="3097"/>
        <v/>
      </c>
      <c r="DZ200" s="40" t="str">
        <f t="shared" si="3098"/>
        <v/>
      </c>
      <c r="EA200" s="40" t="str">
        <f t="shared" si="3099"/>
        <v/>
      </c>
      <c r="EB200" s="40" t="str">
        <f t="shared" si="3100"/>
        <v/>
      </c>
      <c r="EC200" s="40" t="str">
        <f t="shared" si="3101"/>
        <v/>
      </c>
      <c r="ED200" s="40" t="str">
        <f t="shared" si="3102"/>
        <v/>
      </c>
      <c r="EE200" s="40" t="str">
        <f t="shared" si="3103"/>
        <v/>
      </c>
      <c r="EF200" s="40" t="str">
        <f t="shared" si="3104"/>
        <v/>
      </c>
      <c r="EG200" s="40" t="str">
        <f t="shared" si="3105"/>
        <v/>
      </c>
      <c r="EH200" s="40" t="str">
        <f t="shared" si="3106"/>
        <v/>
      </c>
      <c r="EI200" s="40" t="str">
        <f t="shared" si="3107"/>
        <v/>
      </c>
      <c r="EJ200" s="40" t="str">
        <f t="shared" si="3108"/>
        <v/>
      </c>
      <c r="EK200" s="40" t="str">
        <f t="shared" si="3109"/>
        <v/>
      </c>
      <c r="EL200" s="40" t="str">
        <f t="shared" si="3110"/>
        <v/>
      </c>
      <c r="EM200" s="40" t="str">
        <f t="shared" si="3111"/>
        <v/>
      </c>
      <c r="EN200" s="40" t="str">
        <f t="shared" si="3112"/>
        <v/>
      </c>
      <c r="EO200" s="40" t="str">
        <f t="shared" si="3113"/>
        <v/>
      </c>
      <c r="EP200" s="40" t="str">
        <f t="shared" si="3114"/>
        <v/>
      </c>
      <c r="EQ200" s="40" t="str">
        <f t="shared" si="3115"/>
        <v/>
      </c>
      <c r="ER200" s="40" t="str">
        <f t="shared" si="3116"/>
        <v/>
      </c>
      <c r="ES200" s="40" t="str">
        <f t="shared" si="3117"/>
        <v/>
      </c>
      <c r="ET200" s="40" t="str">
        <f t="shared" si="3118"/>
        <v/>
      </c>
      <c r="EU200" s="40" t="str">
        <f t="shared" si="3119"/>
        <v/>
      </c>
      <c r="EV200" s="40" t="str">
        <f t="shared" si="3120"/>
        <v/>
      </c>
      <c r="EW200" s="40" t="str">
        <f t="shared" si="3121"/>
        <v/>
      </c>
      <c r="EX200" s="40" t="str">
        <f t="shared" si="3122"/>
        <v/>
      </c>
      <c r="EY200" s="40" t="str">
        <f t="shared" si="3123"/>
        <v/>
      </c>
      <c r="EZ200" s="40" t="str">
        <f t="shared" si="3124"/>
        <v/>
      </c>
      <c r="FA200" s="40" t="str">
        <f t="shared" si="3125"/>
        <v/>
      </c>
      <c r="FB200" s="40" t="str">
        <f t="shared" si="3126"/>
        <v/>
      </c>
      <c r="FC200" s="40" t="str">
        <f t="shared" si="3127"/>
        <v/>
      </c>
      <c r="FD200" s="40" t="str">
        <f t="shared" si="3128"/>
        <v/>
      </c>
      <c r="FE200" s="40" t="str">
        <f t="shared" si="3129"/>
        <v/>
      </c>
      <c r="FF200" s="40" t="str">
        <f t="shared" si="3130"/>
        <v/>
      </c>
      <c r="FG200" s="40" t="str">
        <f t="shared" si="3131"/>
        <v/>
      </c>
      <c r="FH200" s="40" t="str">
        <f t="shared" si="3132"/>
        <v/>
      </c>
      <c r="FI200" s="40" t="str">
        <f t="shared" si="3133"/>
        <v/>
      </c>
      <c r="FJ200" s="40" t="str">
        <f t="shared" si="3134"/>
        <v/>
      </c>
      <c r="FK200" s="40" t="str">
        <f t="shared" si="3135"/>
        <v/>
      </c>
      <c r="FL200" s="40" t="str">
        <f t="shared" si="3136"/>
        <v/>
      </c>
      <c r="FM200" s="40" t="str">
        <f t="shared" si="3137"/>
        <v/>
      </c>
      <c r="FN200" s="40" t="str">
        <f t="shared" si="3138"/>
        <v/>
      </c>
      <c r="FO200" s="40" t="str">
        <f t="shared" si="3139"/>
        <v/>
      </c>
      <c r="FP200" s="40" t="str">
        <f t="shared" si="3140"/>
        <v/>
      </c>
      <c r="FQ200" s="40" t="str">
        <f t="shared" si="3141"/>
        <v/>
      </c>
      <c r="FR200" s="40" t="str">
        <f t="shared" si="3142"/>
        <v/>
      </c>
      <c r="FS200" s="40" t="str">
        <f t="shared" si="3143"/>
        <v/>
      </c>
    </row>
    <row r="201" spans="1:175" ht="16.5">
      <c r="A201" s="80"/>
      <c r="B201" s="5" t="s">
        <v>514</v>
      </c>
      <c r="C201" s="3" t="s">
        <v>117</v>
      </c>
      <c r="T201" s="88"/>
      <c r="U201" s="51"/>
      <c r="CN201" s="10" t="str">
        <f t="shared" si="3068"/>
        <v>InitUnitState('IF10',,,,,,,,,,)</v>
      </c>
      <c r="CO201" s="10" t="str">
        <f t="shared" si="3069"/>
        <v>InitUnitNormal('IF10',,,,,,,,,,)</v>
      </c>
      <c r="CP201" s="10" t="str">
        <f t="shared" si="3070"/>
        <v>InitUnitMagic('IF10',,,,,,,,,,)</v>
      </c>
      <c r="CQ201" s="10" t="str">
        <f t="shared" si="3071"/>
        <v>InitUnitAdd('IF10',,,,,,,,,,)</v>
      </c>
      <c r="CR201" s="10" t="str">
        <f t="shared" si="3072"/>
        <v>InitEquipData('IF10',,"",,,,,'','','','','','',"")</v>
      </c>
      <c r="CU201" s="61" t="str">
        <f t="shared" si="3073"/>
        <v>|n</v>
      </c>
      <c r="CW201" s="4"/>
      <c r="CX201" s="4"/>
      <c r="CY201" s="4"/>
      <c r="CZ201" s="4"/>
      <c r="DA201" s="4"/>
      <c r="DB201" s="40" t="str">
        <f t="shared" si="3074"/>
        <v/>
      </c>
      <c r="DC201" s="40" t="str">
        <f t="shared" si="3075"/>
        <v/>
      </c>
      <c r="DD201" s="40" t="str">
        <f t="shared" si="3076"/>
        <v/>
      </c>
      <c r="DE201" s="40" t="str">
        <f t="shared" si="3077"/>
        <v/>
      </c>
      <c r="DF201" s="40" t="str">
        <f t="shared" si="3078"/>
        <v/>
      </c>
      <c r="DG201" s="40" t="str">
        <f t="shared" si="3079"/>
        <v/>
      </c>
      <c r="DH201" s="40" t="str">
        <f t="shared" si="3080"/>
        <v/>
      </c>
      <c r="DI201" s="40" t="str">
        <f t="shared" si="3081"/>
        <v/>
      </c>
      <c r="DJ201" s="40" t="str">
        <f t="shared" si="3082"/>
        <v/>
      </c>
      <c r="DK201" s="40" t="str">
        <f t="shared" si="3083"/>
        <v/>
      </c>
      <c r="DL201" s="40" t="str">
        <f t="shared" si="3084"/>
        <v/>
      </c>
      <c r="DM201" s="40" t="str">
        <f t="shared" si="3085"/>
        <v/>
      </c>
      <c r="DN201" s="40" t="str">
        <f t="shared" si="3086"/>
        <v/>
      </c>
      <c r="DO201" s="40" t="str">
        <f t="shared" si="3087"/>
        <v/>
      </c>
      <c r="DP201" s="40" t="str">
        <f t="shared" si="3088"/>
        <v/>
      </c>
      <c r="DQ201" s="40" t="str">
        <f t="shared" si="3089"/>
        <v/>
      </c>
      <c r="DR201" s="40" t="str">
        <f t="shared" si="3090"/>
        <v/>
      </c>
      <c r="DS201" s="40" t="str">
        <f t="shared" si="3091"/>
        <v/>
      </c>
      <c r="DT201" s="40" t="str">
        <f t="shared" si="3092"/>
        <v/>
      </c>
      <c r="DU201" s="40" t="str">
        <f t="shared" si="3093"/>
        <v/>
      </c>
      <c r="DV201" s="40" t="str">
        <f t="shared" si="3094"/>
        <v/>
      </c>
      <c r="DW201" s="40" t="str">
        <f t="shared" si="3095"/>
        <v/>
      </c>
      <c r="DX201" s="40" t="str">
        <f t="shared" si="3096"/>
        <v/>
      </c>
      <c r="DY201" s="40" t="str">
        <f t="shared" si="3097"/>
        <v/>
      </c>
      <c r="DZ201" s="40" t="str">
        <f t="shared" si="3098"/>
        <v/>
      </c>
      <c r="EA201" s="40" t="str">
        <f t="shared" si="3099"/>
        <v/>
      </c>
      <c r="EB201" s="40" t="str">
        <f t="shared" si="3100"/>
        <v/>
      </c>
      <c r="EC201" s="40" t="str">
        <f t="shared" si="3101"/>
        <v/>
      </c>
      <c r="ED201" s="40" t="str">
        <f t="shared" si="3102"/>
        <v/>
      </c>
      <c r="EE201" s="40" t="str">
        <f t="shared" si="3103"/>
        <v/>
      </c>
      <c r="EF201" s="40" t="str">
        <f t="shared" si="3104"/>
        <v/>
      </c>
      <c r="EG201" s="40" t="str">
        <f t="shared" si="3105"/>
        <v/>
      </c>
      <c r="EH201" s="40" t="str">
        <f t="shared" si="3106"/>
        <v/>
      </c>
      <c r="EI201" s="40" t="str">
        <f t="shared" si="3107"/>
        <v/>
      </c>
      <c r="EJ201" s="40" t="str">
        <f t="shared" si="3108"/>
        <v/>
      </c>
      <c r="EK201" s="40" t="str">
        <f t="shared" si="3109"/>
        <v/>
      </c>
      <c r="EL201" s="40" t="str">
        <f t="shared" si="3110"/>
        <v/>
      </c>
      <c r="EM201" s="40" t="str">
        <f t="shared" si="3111"/>
        <v/>
      </c>
      <c r="EN201" s="40" t="str">
        <f t="shared" si="3112"/>
        <v/>
      </c>
      <c r="EO201" s="40" t="str">
        <f t="shared" si="3113"/>
        <v/>
      </c>
      <c r="EP201" s="40" t="str">
        <f t="shared" si="3114"/>
        <v/>
      </c>
      <c r="EQ201" s="40" t="str">
        <f t="shared" si="3115"/>
        <v/>
      </c>
      <c r="ER201" s="40" t="str">
        <f t="shared" si="3116"/>
        <v/>
      </c>
      <c r="ES201" s="40" t="str">
        <f t="shared" si="3117"/>
        <v/>
      </c>
      <c r="ET201" s="40" t="str">
        <f t="shared" si="3118"/>
        <v/>
      </c>
      <c r="EU201" s="40" t="str">
        <f t="shared" si="3119"/>
        <v/>
      </c>
      <c r="EV201" s="40" t="str">
        <f t="shared" si="3120"/>
        <v/>
      </c>
      <c r="EW201" s="40" t="str">
        <f t="shared" si="3121"/>
        <v/>
      </c>
      <c r="EX201" s="40" t="str">
        <f t="shared" si="3122"/>
        <v/>
      </c>
      <c r="EY201" s="40" t="str">
        <f t="shared" si="3123"/>
        <v/>
      </c>
      <c r="EZ201" s="40" t="str">
        <f t="shared" si="3124"/>
        <v/>
      </c>
      <c r="FA201" s="40" t="str">
        <f t="shared" si="3125"/>
        <v/>
      </c>
      <c r="FB201" s="40" t="str">
        <f t="shared" si="3126"/>
        <v/>
      </c>
      <c r="FC201" s="40" t="str">
        <f t="shared" si="3127"/>
        <v/>
      </c>
      <c r="FD201" s="40" t="str">
        <f t="shared" si="3128"/>
        <v/>
      </c>
      <c r="FE201" s="40" t="str">
        <f t="shared" si="3129"/>
        <v/>
      </c>
      <c r="FF201" s="40" t="str">
        <f t="shared" si="3130"/>
        <v/>
      </c>
      <c r="FG201" s="40" t="str">
        <f t="shared" si="3131"/>
        <v/>
      </c>
      <c r="FH201" s="40" t="str">
        <f t="shared" si="3132"/>
        <v/>
      </c>
      <c r="FI201" s="40" t="str">
        <f t="shared" si="3133"/>
        <v/>
      </c>
      <c r="FJ201" s="40" t="str">
        <f t="shared" si="3134"/>
        <v/>
      </c>
      <c r="FK201" s="40" t="str">
        <f t="shared" si="3135"/>
        <v/>
      </c>
      <c r="FL201" s="40" t="str">
        <f t="shared" si="3136"/>
        <v/>
      </c>
      <c r="FM201" s="40" t="str">
        <f t="shared" si="3137"/>
        <v/>
      </c>
      <c r="FN201" s="40" t="str">
        <f t="shared" si="3138"/>
        <v/>
      </c>
      <c r="FO201" s="40" t="str">
        <f t="shared" si="3139"/>
        <v/>
      </c>
      <c r="FP201" s="40" t="str">
        <f t="shared" si="3140"/>
        <v/>
      </c>
      <c r="FQ201" s="40" t="str">
        <f t="shared" si="3141"/>
        <v/>
      </c>
      <c r="FR201" s="40" t="str">
        <f t="shared" si="3142"/>
        <v/>
      </c>
      <c r="FS201" s="40" t="str">
        <f t="shared" si="3143"/>
        <v/>
      </c>
    </row>
    <row r="202" spans="1:175" ht="16.5">
      <c r="A202" s="80"/>
      <c r="B202" s="5" t="s">
        <v>515</v>
      </c>
      <c r="C202" s="3" t="s">
        <v>516</v>
      </c>
      <c r="T202" s="88"/>
      <c r="U202" s="51"/>
      <c r="CN202" s="10" t="str">
        <f t="shared" si="3068"/>
        <v>InitUnitState('IF11',,,,,,,,,,)</v>
      </c>
      <c r="CO202" s="10" t="str">
        <f t="shared" si="3069"/>
        <v>InitUnitNormal('IF11',,,,,,,,,,)</v>
      </c>
      <c r="CP202" s="10" t="str">
        <f t="shared" si="3070"/>
        <v>InitUnitMagic('IF11',,,,,,,,,,)</v>
      </c>
      <c r="CQ202" s="10" t="str">
        <f t="shared" si="3071"/>
        <v>InitUnitAdd('IF11',,,,,,,,,,)</v>
      </c>
      <c r="CR202" s="10" t="str">
        <f t="shared" si="3072"/>
        <v>InitEquipData('IF11',,"",,,,,'','','','','','',"")</v>
      </c>
      <c r="CU202" s="61" t="str">
        <f t="shared" si="3073"/>
        <v>|n</v>
      </c>
      <c r="CW202" s="4"/>
      <c r="CX202" s="4"/>
      <c r="CY202" s="4"/>
      <c r="CZ202" s="4"/>
      <c r="DA202" s="4"/>
      <c r="DB202" s="40" t="str">
        <f t="shared" si="3074"/>
        <v/>
      </c>
      <c r="DC202" s="40" t="str">
        <f t="shared" si="3075"/>
        <v/>
      </c>
      <c r="DD202" s="40" t="str">
        <f t="shared" si="3076"/>
        <v/>
      </c>
      <c r="DE202" s="40" t="str">
        <f t="shared" si="3077"/>
        <v/>
      </c>
      <c r="DF202" s="40" t="str">
        <f t="shared" si="3078"/>
        <v/>
      </c>
      <c r="DG202" s="40" t="str">
        <f t="shared" si="3079"/>
        <v/>
      </c>
      <c r="DH202" s="40" t="str">
        <f t="shared" si="3080"/>
        <v/>
      </c>
      <c r="DI202" s="40" t="str">
        <f t="shared" si="3081"/>
        <v/>
      </c>
      <c r="DJ202" s="40" t="str">
        <f t="shared" si="3082"/>
        <v/>
      </c>
      <c r="DK202" s="40" t="str">
        <f t="shared" si="3083"/>
        <v/>
      </c>
      <c r="DL202" s="40" t="str">
        <f t="shared" si="3084"/>
        <v/>
      </c>
      <c r="DM202" s="40" t="str">
        <f t="shared" si="3085"/>
        <v/>
      </c>
      <c r="DN202" s="40" t="str">
        <f t="shared" si="3086"/>
        <v/>
      </c>
      <c r="DO202" s="40" t="str">
        <f t="shared" si="3087"/>
        <v/>
      </c>
      <c r="DP202" s="40" t="str">
        <f t="shared" si="3088"/>
        <v/>
      </c>
      <c r="DQ202" s="40" t="str">
        <f t="shared" si="3089"/>
        <v/>
      </c>
      <c r="DR202" s="40" t="str">
        <f t="shared" si="3090"/>
        <v/>
      </c>
      <c r="DS202" s="40" t="str">
        <f t="shared" si="3091"/>
        <v/>
      </c>
      <c r="DT202" s="40" t="str">
        <f t="shared" si="3092"/>
        <v/>
      </c>
      <c r="DU202" s="40" t="str">
        <f t="shared" si="3093"/>
        <v/>
      </c>
      <c r="DV202" s="40" t="str">
        <f t="shared" si="3094"/>
        <v/>
      </c>
      <c r="DW202" s="40" t="str">
        <f t="shared" si="3095"/>
        <v/>
      </c>
      <c r="DX202" s="40" t="str">
        <f t="shared" si="3096"/>
        <v/>
      </c>
      <c r="DY202" s="40" t="str">
        <f t="shared" si="3097"/>
        <v/>
      </c>
      <c r="DZ202" s="40" t="str">
        <f t="shared" si="3098"/>
        <v/>
      </c>
      <c r="EA202" s="40" t="str">
        <f t="shared" si="3099"/>
        <v/>
      </c>
      <c r="EB202" s="40" t="str">
        <f t="shared" si="3100"/>
        <v/>
      </c>
      <c r="EC202" s="40" t="str">
        <f t="shared" si="3101"/>
        <v/>
      </c>
      <c r="ED202" s="40" t="str">
        <f t="shared" si="3102"/>
        <v/>
      </c>
      <c r="EE202" s="40" t="str">
        <f t="shared" si="3103"/>
        <v/>
      </c>
      <c r="EF202" s="40" t="str">
        <f t="shared" si="3104"/>
        <v/>
      </c>
      <c r="EG202" s="40" t="str">
        <f t="shared" si="3105"/>
        <v/>
      </c>
      <c r="EH202" s="40" t="str">
        <f t="shared" si="3106"/>
        <v/>
      </c>
      <c r="EI202" s="40" t="str">
        <f t="shared" si="3107"/>
        <v/>
      </c>
      <c r="EJ202" s="40" t="str">
        <f t="shared" si="3108"/>
        <v/>
      </c>
      <c r="EK202" s="40" t="str">
        <f t="shared" si="3109"/>
        <v/>
      </c>
      <c r="EL202" s="40" t="str">
        <f t="shared" si="3110"/>
        <v/>
      </c>
      <c r="EM202" s="40" t="str">
        <f t="shared" si="3111"/>
        <v/>
      </c>
      <c r="EN202" s="40" t="str">
        <f t="shared" si="3112"/>
        <v/>
      </c>
      <c r="EO202" s="40" t="str">
        <f t="shared" si="3113"/>
        <v/>
      </c>
      <c r="EP202" s="40" t="str">
        <f t="shared" si="3114"/>
        <v/>
      </c>
      <c r="EQ202" s="40" t="str">
        <f t="shared" si="3115"/>
        <v/>
      </c>
      <c r="ER202" s="40" t="str">
        <f t="shared" si="3116"/>
        <v/>
      </c>
      <c r="ES202" s="40" t="str">
        <f t="shared" si="3117"/>
        <v/>
      </c>
      <c r="ET202" s="40" t="str">
        <f t="shared" si="3118"/>
        <v/>
      </c>
      <c r="EU202" s="40" t="str">
        <f t="shared" si="3119"/>
        <v/>
      </c>
      <c r="EV202" s="40" t="str">
        <f t="shared" si="3120"/>
        <v/>
      </c>
      <c r="EW202" s="40" t="str">
        <f t="shared" si="3121"/>
        <v/>
      </c>
      <c r="EX202" s="40" t="str">
        <f t="shared" si="3122"/>
        <v/>
      </c>
      <c r="EY202" s="40" t="str">
        <f t="shared" si="3123"/>
        <v/>
      </c>
      <c r="EZ202" s="40" t="str">
        <f t="shared" si="3124"/>
        <v/>
      </c>
      <c r="FA202" s="40" t="str">
        <f t="shared" si="3125"/>
        <v/>
      </c>
      <c r="FB202" s="40" t="str">
        <f t="shared" si="3126"/>
        <v/>
      </c>
      <c r="FC202" s="40" t="str">
        <f t="shared" si="3127"/>
        <v/>
      </c>
      <c r="FD202" s="40" t="str">
        <f t="shared" si="3128"/>
        <v/>
      </c>
      <c r="FE202" s="40" t="str">
        <f t="shared" si="3129"/>
        <v/>
      </c>
      <c r="FF202" s="40" t="str">
        <f t="shared" si="3130"/>
        <v/>
      </c>
      <c r="FG202" s="40" t="str">
        <f t="shared" si="3131"/>
        <v/>
      </c>
      <c r="FH202" s="40" t="str">
        <f t="shared" si="3132"/>
        <v/>
      </c>
      <c r="FI202" s="40" t="str">
        <f t="shared" si="3133"/>
        <v/>
      </c>
      <c r="FJ202" s="40" t="str">
        <f t="shared" si="3134"/>
        <v/>
      </c>
      <c r="FK202" s="40" t="str">
        <f t="shared" si="3135"/>
        <v/>
      </c>
      <c r="FL202" s="40" t="str">
        <f t="shared" si="3136"/>
        <v/>
      </c>
      <c r="FM202" s="40" t="str">
        <f t="shared" si="3137"/>
        <v/>
      </c>
      <c r="FN202" s="40" t="str">
        <f t="shared" si="3138"/>
        <v/>
      </c>
      <c r="FO202" s="40" t="str">
        <f t="shared" si="3139"/>
        <v/>
      </c>
      <c r="FP202" s="40" t="str">
        <f t="shared" si="3140"/>
        <v/>
      </c>
      <c r="FQ202" s="40" t="str">
        <f t="shared" si="3141"/>
        <v/>
      </c>
      <c r="FR202" s="40" t="str">
        <f t="shared" si="3142"/>
        <v/>
      </c>
      <c r="FS202" s="40" t="str">
        <f t="shared" si="3143"/>
        <v/>
      </c>
    </row>
    <row r="203" spans="1:175" ht="16.5">
      <c r="A203" s="79"/>
      <c r="B203" s="5" t="s">
        <v>517</v>
      </c>
      <c r="C203" s="3" t="s">
        <v>133</v>
      </c>
      <c r="T203" s="96"/>
      <c r="U203" s="51"/>
      <c r="CN203" s="10" t="str">
        <f t="shared" si="3068"/>
        <v>InitUnitState('IF12',,,,,,,,,,)</v>
      </c>
      <c r="CO203" s="10" t="str">
        <f t="shared" si="3069"/>
        <v>InitUnitNormal('IF12',,,,,,,,,,)</v>
      </c>
      <c r="CP203" s="10" t="str">
        <f t="shared" si="3070"/>
        <v>InitUnitMagic('IF12',,,,,,,,,,)</v>
      </c>
      <c r="CQ203" s="10" t="str">
        <f t="shared" si="3071"/>
        <v>InitUnitAdd('IF12',,,,,,,,,,)</v>
      </c>
      <c r="CR203" s="10" t="str">
        <f t="shared" si="3072"/>
        <v>InitEquipData('IF12',,"",,,,,'','','','','','',"")</v>
      </c>
      <c r="CU203" s="61" t="str">
        <f t="shared" si="3073"/>
        <v>|n</v>
      </c>
      <c r="CW203" s="4"/>
      <c r="CX203" s="4"/>
      <c r="CY203" s="4"/>
      <c r="CZ203" s="4"/>
      <c r="DA203" s="4"/>
      <c r="DB203" s="40" t="str">
        <f t="shared" si="3074"/>
        <v/>
      </c>
      <c r="DC203" s="40" t="str">
        <f t="shared" si="3075"/>
        <v/>
      </c>
      <c r="DD203" s="40" t="str">
        <f t="shared" si="3076"/>
        <v/>
      </c>
      <c r="DE203" s="40" t="str">
        <f t="shared" si="3077"/>
        <v/>
      </c>
      <c r="DF203" s="40" t="str">
        <f t="shared" si="3078"/>
        <v/>
      </c>
      <c r="DG203" s="40" t="str">
        <f t="shared" si="3079"/>
        <v/>
      </c>
      <c r="DH203" s="40" t="str">
        <f t="shared" si="3080"/>
        <v/>
      </c>
      <c r="DI203" s="40" t="str">
        <f t="shared" si="3081"/>
        <v/>
      </c>
      <c r="DJ203" s="40" t="str">
        <f t="shared" si="3082"/>
        <v/>
      </c>
      <c r="DK203" s="40" t="str">
        <f t="shared" si="3083"/>
        <v/>
      </c>
      <c r="DL203" s="40" t="str">
        <f t="shared" si="3084"/>
        <v/>
      </c>
      <c r="DM203" s="40" t="str">
        <f t="shared" si="3085"/>
        <v/>
      </c>
      <c r="DN203" s="40" t="str">
        <f t="shared" si="3086"/>
        <v/>
      </c>
      <c r="DO203" s="40" t="str">
        <f t="shared" si="3087"/>
        <v/>
      </c>
      <c r="DP203" s="40" t="str">
        <f t="shared" si="3088"/>
        <v/>
      </c>
      <c r="DQ203" s="40" t="str">
        <f t="shared" si="3089"/>
        <v/>
      </c>
      <c r="DR203" s="40" t="str">
        <f t="shared" si="3090"/>
        <v/>
      </c>
      <c r="DS203" s="40" t="str">
        <f t="shared" si="3091"/>
        <v/>
      </c>
      <c r="DT203" s="40" t="str">
        <f t="shared" si="3092"/>
        <v/>
      </c>
      <c r="DU203" s="40" t="str">
        <f t="shared" si="3093"/>
        <v/>
      </c>
      <c r="DV203" s="40" t="str">
        <f t="shared" si="3094"/>
        <v/>
      </c>
      <c r="DW203" s="40" t="str">
        <f t="shared" si="3095"/>
        <v/>
      </c>
      <c r="DX203" s="40" t="str">
        <f t="shared" si="3096"/>
        <v/>
      </c>
      <c r="DY203" s="40" t="str">
        <f t="shared" si="3097"/>
        <v/>
      </c>
      <c r="DZ203" s="40" t="str">
        <f t="shared" si="3098"/>
        <v/>
      </c>
      <c r="EA203" s="40" t="str">
        <f t="shared" si="3099"/>
        <v/>
      </c>
      <c r="EB203" s="40" t="str">
        <f t="shared" si="3100"/>
        <v/>
      </c>
      <c r="EC203" s="40" t="str">
        <f t="shared" si="3101"/>
        <v/>
      </c>
      <c r="ED203" s="40" t="str">
        <f t="shared" si="3102"/>
        <v/>
      </c>
      <c r="EE203" s="40" t="str">
        <f t="shared" si="3103"/>
        <v/>
      </c>
      <c r="EF203" s="40" t="str">
        <f t="shared" si="3104"/>
        <v/>
      </c>
      <c r="EG203" s="40" t="str">
        <f t="shared" si="3105"/>
        <v/>
      </c>
      <c r="EH203" s="40" t="str">
        <f t="shared" si="3106"/>
        <v/>
      </c>
      <c r="EI203" s="40" t="str">
        <f t="shared" si="3107"/>
        <v/>
      </c>
      <c r="EJ203" s="40" t="str">
        <f t="shared" si="3108"/>
        <v/>
      </c>
      <c r="EK203" s="40" t="str">
        <f t="shared" si="3109"/>
        <v/>
      </c>
      <c r="EL203" s="40" t="str">
        <f t="shared" si="3110"/>
        <v/>
      </c>
      <c r="EM203" s="40" t="str">
        <f t="shared" si="3111"/>
        <v/>
      </c>
      <c r="EN203" s="40" t="str">
        <f t="shared" si="3112"/>
        <v/>
      </c>
      <c r="EO203" s="40" t="str">
        <f t="shared" si="3113"/>
        <v/>
      </c>
      <c r="EP203" s="40" t="str">
        <f t="shared" si="3114"/>
        <v/>
      </c>
      <c r="EQ203" s="40" t="str">
        <f t="shared" si="3115"/>
        <v/>
      </c>
      <c r="ER203" s="40" t="str">
        <f t="shared" si="3116"/>
        <v/>
      </c>
      <c r="ES203" s="40" t="str">
        <f t="shared" si="3117"/>
        <v/>
      </c>
      <c r="ET203" s="40" t="str">
        <f t="shared" si="3118"/>
        <v/>
      </c>
      <c r="EU203" s="40" t="str">
        <f t="shared" si="3119"/>
        <v/>
      </c>
      <c r="EV203" s="40" t="str">
        <f t="shared" si="3120"/>
        <v/>
      </c>
      <c r="EW203" s="40" t="str">
        <f t="shared" si="3121"/>
        <v/>
      </c>
      <c r="EX203" s="40" t="str">
        <f t="shared" si="3122"/>
        <v/>
      </c>
      <c r="EY203" s="40" t="str">
        <f t="shared" si="3123"/>
        <v/>
      </c>
      <c r="EZ203" s="40" t="str">
        <f t="shared" si="3124"/>
        <v/>
      </c>
      <c r="FA203" s="40" t="str">
        <f t="shared" si="3125"/>
        <v/>
      </c>
      <c r="FB203" s="40" t="str">
        <f t="shared" si="3126"/>
        <v/>
      </c>
      <c r="FC203" s="40" t="str">
        <f t="shared" si="3127"/>
        <v/>
      </c>
      <c r="FD203" s="40" t="str">
        <f t="shared" si="3128"/>
        <v/>
      </c>
      <c r="FE203" s="40" t="str">
        <f t="shared" si="3129"/>
        <v/>
      </c>
      <c r="FF203" s="40" t="str">
        <f t="shared" si="3130"/>
        <v/>
      </c>
      <c r="FG203" s="40" t="str">
        <f t="shared" si="3131"/>
        <v/>
      </c>
      <c r="FH203" s="40" t="str">
        <f t="shared" si="3132"/>
        <v/>
      </c>
      <c r="FI203" s="40" t="str">
        <f t="shared" si="3133"/>
        <v/>
      </c>
      <c r="FJ203" s="40" t="str">
        <f t="shared" si="3134"/>
        <v/>
      </c>
      <c r="FK203" s="40" t="str">
        <f t="shared" si="3135"/>
        <v/>
      </c>
      <c r="FL203" s="40" t="str">
        <f t="shared" si="3136"/>
        <v/>
      </c>
      <c r="FM203" s="40" t="str">
        <f t="shared" si="3137"/>
        <v/>
      </c>
      <c r="FN203" s="40" t="str">
        <f t="shared" si="3138"/>
        <v/>
      </c>
      <c r="FO203" s="40" t="str">
        <f t="shared" si="3139"/>
        <v/>
      </c>
      <c r="FP203" s="40" t="str">
        <f t="shared" si="3140"/>
        <v/>
      </c>
      <c r="FQ203" s="40" t="str">
        <f t="shared" si="3141"/>
        <v/>
      </c>
      <c r="FR203" s="40" t="str">
        <f t="shared" si="3142"/>
        <v/>
      </c>
      <c r="FS203" s="40" t="str">
        <f t="shared" si="3143"/>
        <v/>
      </c>
    </row>
    <row r="204" spans="1:175" ht="16.5">
      <c r="A204" s="79"/>
      <c r="B204" s="5" t="s">
        <v>518</v>
      </c>
      <c r="C204" s="3" t="s">
        <v>519</v>
      </c>
      <c r="T204" s="96"/>
      <c r="U204" s="51"/>
      <c r="CN204" s="10" t="str">
        <f t="shared" si="3068"/>
        <v>InitUnitState('IF13',,,,,,,,,,)</v>
      </c>
      <c r="CO204" s="10" t="str">
        <f t="shared" si="3069"/>
        <v>InitUnitNormal('IF13',,,,,,,,,,)</v>
      </c>
      <c r="CP204" s="10" t="str">
        <f t="shared" si="3070"/>
        <v>InitUnitMagic('IF13',,,,,,,,,,)</v>
      </c>
      <c r="CQ204" s="10" t="str">
        <f t="shared" si="3071"/>
        <v>InitUnitAdd('IF13',,,,,,,,,,)</v>
      </c>
      <c r="CR204" s="10" t="str">
        <f t="shared" si="3072"/>
        <v>InitEquipData('IF13',,"",,,,,'','','','','','',"")</v>
      </c>
      <c r="CU204" s="61" t="str">
        <f t="shared" si="3073"/>
        <v>|n</v>
      </c>
      <c r="CW204" s="4"/>
      <c r="CX204" s="4"/>
      <c r="CY204" s="4"/>
      <c r="CZ204" s="4"/>
      <c r="DA204" s="4"/>
      <c r="DB204" s="40" t="str">
        <f t="shared" si="3074"/>
        <v/>
      </c>
      <c r="DC204" s="40" t="str">
        <f t="shared" si="3075"/>
        <v/>
      </c>
      <c r="DD204" s="40" t="str">
        <f t="shared" si="3076"/>
        <v/>
      </c>
      <c r="DE204" s="40" t="str">
        <f t="shared" si="3077"/>
        <v/>
      </c>
      <c r="DF204" s="40" t="str">
        <f t="shared" si="3078"/>
        <v/>
      </c>
      <c r="DG204" s="40" t="str">
        <f t="shared" si="3079"/>
        <v/>
      </c>
      <c r="DH204" s="40" t="str">
        <f t="shared" si="3080"/>
        <v/>
      </c>
      <c r="DI204" s="40" t="str">
        <f t="shared" si="3081"/>
        <v/>
      </c>
      <c r="DJ204" s="40" t="str">
        <f t="shared" si="3082"/>
        <v/>
      </c>
      <c r="DK204" s="40" t="str">
        <f t="shared" si="3083"/>
        <v/>
      </c>
      <c r="DL204" s="40" t="str">
        <f t="shared" si="3084"/>
        <v/>
      </c>
      <c r="DM204" s="40" t="str">
        <f t="shared" si="3085"/>
        <v/>
      </c>
      <c r="DN204" s="40" t="str">
        <f t="shared" si="3086"/>
        <v/>
      </c>
      <c r="DO204" s="40" t="str">
        <f t="shared" si="3087"/>
        <v/>
      </c>
      <c r="DP204" s="40" t="str">
        <f t="shared" si="3088"/>
        <v/>
      </c>
      <c r="DQ204" s="40" t="str">
        <f t="shared" si="3089"/>
        <v/>
      </c>
      <c r="DR204" s="40" t="str">
        <f t="shared" si="3090"/>
        <v/>
      </c>
      <c r="DS204" s="40" t="str">
        <f t="shared" si="3091"/>
        <v/>
      </c>
      <c r="DT204" s="40" t="str">
        <f t="shared" si="3092"/>
        <v/>
      </c>
      <c r="DU204" s="40" t="str">
        <f t="shared" si="3093"/>
        <v/>
      </c>
      <c r="DV204" s="40" t="str">
        <f t="shared" si="3094"/>
        <v/>
      </c>
      <c r="DW204" s="40" t="str">
        <f t="shared" si="3095"/>
        <v/>
      </c>
      <c r="DX204" s="40" t="str">
        <f t="shared" si="3096"/>
        <v/>
      </c>
      <c r="DY204" s="40" t="str">
        <f t="shared" si="3097"/>
        <v/>
      </c>
      <c r="DZ204" s="40" t="str">
        <f t="shared" si="3098"/>
        <v/>
      </c>
      <c r="EA204" s="40" t="str">
        <f t="shared" si="3099"/>
        <v/>
      </c>
      <c r="EB204" s="40" t="str">
        <f t="shared" si="3100"/>
        <v/>
      </c>
      <c r="EC204" s="40" t="str">
        <f t="shared" si="3101"/>
        <v/>
      </c>
      <c r="ED204" s="40" t="str">
        <f t="shared" si="3102"/>
        <v/>
      </c>
      <c r="EE204" s="40" t="str">
        <f t="shared" si="3103"/>
        <v/>
      </c>
      <c r="EF204" s="40" t="str">
        <f t="shared" si="3104"/>
        <v/>
      </c>
      <c r="EG204" s="40" t="str">
        <f t="shared" si="3105"/>
        <v/>
      </c>
      <c r="EH204" s="40" t="str">
        <f t="shared" si="3106"/>
        <v/>
      </c>
      <c r="EI204" s="40" t="str">
        <f t="shared" si="3107"/>
        <v/>
      </c>
      <c r="EJ204" s="40" t="str">
        <f t="shared" si="3108"/>
        <v/>
      </c>
      <c r="EK204" s="40" t="str">
        <f t="shared" si="3109"/>
        <v/>
      </c>
      <c r="EL204" s="40" t="str">
        <f t="shared" si="3110"/>
        <v/>
      </c>
      <c r="EM204" s="40" t="str">
        <f t="shared" si="3111"/>
        <v/>
      </c>
      <c r="EN204" s="40" t="str">
        <f t="shared" si="3112"/>
        <v/>
      </c>
      <c r="EO204" s="40" t="str">
        <f t="shared" si="3113"/>
        <v/>
      </c>
      <c r="EP204" s="40" t="str">
        <f t="shared" si="3114"/>
        <v/>
      </c>
      <c r="EQ204" s="40" t="str">
        <f t="shared" si="3115"/>
        <v/>
      </c>
      <c r="ER204" s="40" t="str">
        <f t="shared" si="3116"/>
        <v/>
      </c>
      <c r="ES204" s="40" t="str">
        <f t="shared" si="3117"/>
        <v/>
      </c>
      <c r="ET204" s="40" t="str">
        <f t="shared" si="3118"/>
        <v/>
      </c>
      <c r="EU204" s="40" t="str">
        <f t="shared" si="3119"/>
        <v/>
      </c>
      <c r="EV204" s="40" t="str">
        <f t="shared" si="3120"/>
        <v/>
      </c>
      <c r="EW204" s="40" t="str">
        <f t="shared" si="3121"/>
        <v/>
      </c>
      <c r="EX204" s="40" t="str">
        <f t="shared" si="3122"/>
        <v/>
      </c>
      <c r="EY204" s="40" t="str">
        <f t="shared" si="3123"/>
        <v/>
      </c>
      <c r="EZ204" s="40" t="str">
        <f t="shared" si="3124"/>
        <v/>
      </c>
      <c r="FA204" s="40" t="str">
        <f t="shared" si="3125"/>
        <v/>
      </c>
      <c r="FB204" s="40" t="str">
        <f t="shared" si="3126"/>
        <v/>
      </c>
      <c r="FC204" s="40" t="str">
        <f t="shared" si="3127"/>
        <v/>
      </c>
      <c r="FD204" s="40" t="str">
        <f t="shared" si="3128"/>
        <v/>
      </c>
      <c r="FE204" s="40" t="str">
        <f t="shared" si="3129"/>
        <v/>
      </c>
      <c r="FF204" s="40" t="str">
        <f t="shared" si="3130"/>
        <v/>
      </c>
      <c r="FG204" s="40" t="str">
        <f t="shared" si="3131"/>
        <v/>
      </c>
      <c r="FH204" s="40" t="str">
        <f t="shared" si="3132"/>
        <v/>
      </c>
      <c r="FI204" s="40" t="str">
        <f t="shared" si="3133"/>
        <v/>
      </c>
      <c r="FJ204" s="40" t="str">
        <f t="shared" si="3134"/>
        <v/>
      </c>
      <c r="FK204" s="40" t="str">
        <f t="shared" si="3135"/>
        <v/>
      </c>
      <c r="FL204" s="40" t="str">
        <f t="shared" si="3136"/>
        <v/>
      </c>
      <c r="FM204" s="40" t="str">
        <f t="shared" si="3137"/>
        <v/>
      </c>
      <c r="FN204" s="40" t="str">
        <f t="shared" si="3138"/>
        <v/>
      </c>
      <c r="FO204" s="40" t="str">
        <f t="shared" si="3139"/>
        <v/>
      </c>
      <c r="FP204" s="40" t="str">
        <f t="shared" si="3140"/>
        <v/>
      </c>
      <c r="FQ204" s="40" t="str">
        <f t="shared" si="3141"/>
        <v/>
      </c>
      <c r="FR204" s="40" t="str">
        <f t="shared" si="3142"/>
        <v/>
      </c>
      <c r="FS204" s="40" t="str">
        <f t="shared" si="3143"/>
        <v/>
      </c>
    </row>
    <row r="205" spans="1:175" ht="16.5">
      <c r="A205" s="79"/>
      <c r="B205" s="5" t="s">
        <v>520</v>
      </c>
      <c r="C205" s="3" t="s">
        <v>519</v>
      </c>
      <c r="T205" s="96"/>
      <c r="U205" s="51"/>
      <c r="CN205" s="10" t="str">
        <f t="shared" si="3068"/>
        <v>InitUnitState('IF14',,,,,,,,,,)</v>
      </c>
      <c r="CO205" s="10" t="str">
        <f t="shared" si="3069"/>
        <v>InitUnitNormal('IF14',,,,,,,,,,)</v>
      </c>
      <c r="CP205" s="10" t="str">
        <f t="shared" si="3070"/>
        <v>InitUnitMagic('IF14',,,,,,,,,,)</v>
      </c>
      <c r="CQ205" s="10" t="str">
        <f t="shared" si="3071"/>
        <v>InitUnitAdd('IF14',,,,,,,,,,)</v>
      </c>
      <c r="CR205" s="10" t="str">
        <f t="shared" si="3072"/>
        <v>InitEquipData('IF14',,"",,,,,'','','','','','',"")</v>
      </c>
      <c r="CU205" s="61" t="str">
        <f t="shared" si="3073"/>
        <v>|n</v>
      </c>
      <c r="CW205" s="4"/>
      <c r="CX205" s="4"/>
      <c r="CY205" s="4"/>
      <c r="CZ205" s="4"/>
      <c r="DA205" s="4"/>
      <c r="DB205" s="40" t="str">
        <f t="shared" si="3074"/>
        <v/>
      </c>
      <c r="DC205" s="40" t="str">
        <f t="shared" si="3075"/>
        <v/>
      </c>
      <c r="DD205" s="40" t="str">
        <f t="shared" si="3076"/>
        <v/>
      </c>
      <c r="DE205" s="40" t="str">
        <f t="shared" si="3077"/>
        <v/>
      </c>
      <c r="DF205" s="40" t="str">
        <f t="shared" si="3078"/>
        <v/>
      </c>
      <c r="DG205" s="40" t="str">
        <f t="shared" si="3079"/>
        <v/>
      </c>
      <c r="DH205" s="40" t="str">
        <f t="shared" si="3080"/>
        <v/>
      </c>
      <c r="DI205" s="40" t="str">
        <f t="shared" si="3081"/>
        <v/>
      </c>
      <c r="DJ205" s="40" t="str">
        <f t="shared" si="3082"/>
        <v/>
      </c>
      <c r="DK205" s="40" t="str">
        <f t="shared" si="3083"/>
        <v/>
      </c>
      <c r="DL205" s="40" t="str">
        <f t="shared" si="3084"/>
        <v/>
      </c>
      <c r="DM205" s="40" t="str">
        <f t="shared" si="3085"/>
        <v/>
      </c>
      <c r="DN205" s="40" t="str">
        <f t="shared" si="3086"/>
        <v/>
      </c>
      <c r="DO205" s="40" t="str">
        <f t="shared" si="3087"/>
        <v/>
      </c>
      <c r="DP205" s="40" t="str">
        <f t="shared" si="3088"/>
        <v/>
      </c>
      <c r="DQ205" s="40" t="str">
        <f t="shared" si="3089"/>
        <v/>
      </c>
      <c r="DR205" s="40" t="str">
        <f t="shared" si="3090"/>
        <v/>
      </c>
      <c r="DS205" s="40" t="str">
        <f t="shared" si="3091"/>
        <v/>
      </c>
      <c r="DT205" s="40" t="str">
        <f t="shared" si="3092"/>
        <v/>
      </c>
      <c r="DU205" s="40" t="str">
        <f t="shared" si="3093"/>
        <v/>
      </c>
      <c r="DV205" s="40" t="str">
        <f t="shared" si="3094"/>
        <v/>
      </c>
      <c r="DW205" s="40" t="str">
        <f t="shared" si="3095"/>
        <v/>
      </c>
      <c r="DX205" s="40" t="str">
        <f t="shared" si="3096"/>
        <v/>
      </c>
      <c r="DY205" s="40" t="str">
        <f t="shared" si="3097"/>
        <v/>
      </c>
      <c r="DZ205" s="40" t="str">
        <f t="shared" si="3098"/>
        <v/>
      </c>
      <c r="EA205" s="40" t="str">
        <f t="shared" si="3099"/>
        <v/>
      </c>
      <c r="EB205" s="40" t="str">
        <f t="shared" si="3100"/>
        <v/>
      </c>
      <c r="EC205" s="40" t="str">
        <f t="shared" si="3101"/>
        <v/>
      </c>
      <c r="ED205" s="40" t="str">
        <f t="shared" si="3102"/>
        <v/>
      </c>
      <c r="EE205" s="40" t="str">
        <f t="shared" si="3103"/>
        <v/>
      </c>
      <c r="EF205" s="40" t="str">
        <f t="shared" si="3104"/>
        <v/>
      </c>
      <c r="EG205" s="40" t="str">
        <f t="shared" si="3105"/>
        <v/>
      </c>
      <c r="EH205" s="40" t="str">
        <f t="shared" si="3106"/>
        <v/>
      </c>
      <c r="EI205" s="40" t="str">
        <f t="shared" si="3107"/>
        <v/>
      </c>
      <c r="EJ205" s="40" t="str">
        <f t="shared" si="3108"/>
        <v/>
      </c>
      <c r="EK205" s="40" t="str">
        <f t="shared" si="3109"/>
        <v/>
      </c>
      <c r="EL205" s="40" t="str">
        <f t="shared" si="3110"/>
        <v/>
      </c>
      <c r="EM205" s="40" t="str">
        <f t="shared" si="3111"/>
        <v/>
      </c>
      <c r="EN205" s="40" t="str">
        <f t="shared" si="3112"/>
        <v/>
      </c>
      <c r="EO205" s="40" t="str">
        <f t="shared" si="3113"/>
        <v/>
      </c>
      <c r="EP205" s="40" t="str">
        <f t="shared" si="3114"/>
        <v/>
      </c>
      <c r="EQ205" s="40" t="str">
        <f t="shared" si="3115"/>
        <v/>
      </c>
      <c r="ER205" s="40" t="str">
        <f t="shared" si="3116"/>
        <v/>
      </c>
      <c r="ES205" s="40" t="str">
        <f t="shared" si="3117"/>
        <v/>
      </c>
      <c r="ET205" s="40" t="str">
        <f t="shared" si="3118"/>
        <v/>
      </c>
      <c r="EU205" s="40" t="str">
        <f t="shared" si="3119"/>
        <v/>
      </c>
      <c r="EV205" s="40" t="str">
        <f t="shared" si="3120"/>
        <v/>
      </c>
      <c r="EW205" s="40" t="str">
        <f t="shared" si="3121"/>
        <v/>
      </c>
      <c r="EX205" s="40" t="str">
        <f t="shared" si="3122"/>
        <v/>
      </c>
      <c r="EY205" s="40" t="str">
        <f t="shared" si="3123"/>
        <v/>
      </c>
      <c r="EZ205" s="40" t="str">
        <f t="shared" si="3124"/>
        <v/>
      </c>
      <c r="FA205" s="40" t="str">
        <f t="shared" si="3125"/>
        <v/>
      </c>
      <c r="FB205" s="40" t="str">
        <f t="shared" si="3126"/>
        <v/>
      </c>
      <c r="FC205" s="40" t="str">
        <f t="shared" si="3127"/>
        <v/>
      </c>
      <c r="FD205" s="40" t="str">
        <f t="shared" si="3128"/>
        <v/>
      </c>
      <c r="FE205" s="40" t="str">
        <f t="shared" si="3129"/>
        <v/>
      </c>
      <c r="FF205" s="40" t="str">
        <f t="shared" si="3130"/>
        <v/>
      </c>
      <c r="FG205" s="40" t="str">
        <f t="shared" si="3131"/>
        <v/>
      </c>
      <c r="FH205" s="40" t="str">
        <f t="shared" si="3132"/>
        <v/>
      </c>
      <c r="FI205" s="40" t="str">
        <f t="shared" si="3133"/>
        <v/>
      </c>
      <c r="FJ205" s="40" t="str">
        <f t="shared" si="3134"/>
        <v/>
      </c>
      <c r="FK205" s="40" t="str">
        <f t="shared" si="3135"/>
        <v/>
      </c>
      <c r="FL205" s="40" t="str">
        <f t="shared" si="3136"/>
        <v/>
      </c>
      <c r="FM205" s="40" t="str">
        <f t="shared" si="3137"/>
        <v/>
      </c>
      <c r="FN205" s="40" t="str">
        <f t="shared" si="3138"/>
        <v/>
      </c>
      <c r="FO205" s="40" t="str">
        <f t="shared" si="3139"/>
        <v/>
      </c>
      <c r="FP205" s="40" t="str">
        <f t="shared" si="3140"/>
        <v/>
      </c>
      <c r="FQ205" s="40" t="str">
        <f t="shared" si="3141"/>
        <v/>
      </c>
      <c r="FR205" s="40" t="str">
        <f t="shared" si="3142"/>
        <v/>
      </c>
      <c r="FS205" s="40" t="str">
        <f t="shared" si="3143"/>
        <v/>
      </c>
    </row>
    <row r="206" spans="1:175" ht="16.5">
      <c r="A206" s="79"/>
      <c r="B206" s="5" t="s">
        <v>521</v>
      </c>
      <c r="C206" s="3" t="s">
        <v>519</v>
      </c>
      <c r="T206" s="96"/>
      <c r="U206" s="51"/>
      <c r="CN206" s="10" t="str">
        <f t="shared" si="3068"/>
        <v>InitUnitState('IF15',,,,,,,,,,)</v>
      </c>
      <c r="CO206" s="10" t="str">
        <f t="shared" si="3069"/>
        <v>InitUnitNormal('IF15',,,,,,,,,,)</v>
      </c>
      <c r="CP206" s="10" t="str">
        <f t="shared" si="3070"/>
        <v>InitUnitMagic('IF15',,,,,,,,,,)</v>
      </c>
      <c r="CQ206" s="10" t="str">
        <f t="shared" si="3071"/>
        <v>InitUnitAdd('IF15',,,,,,,,,,)</v>
      </c>
      <c r="CR206" s="10" t="str">
        <f t="shared" si="3072"/>
        <v>InitEquipData('IF15',,"",,,,,'','','','','','',"")</v>
      </c>
      <c r="CU206" s="61" t="str">
        <f t="shared" si="3073"/>
        <v>|n</v>
      </c>
      <c r="CW206" s="4"/>
      <c r="CX206" s="4"/>
      <c r="CY206" s="4"/>
      <c r="CZ206" s="4"/>
      <c r="DA206" s="4"/>
      <c r="DB206" s="40" t="str">
        <f t="shared" si="3074"/>
        <v/>
      </c>
      <c r="DC206" s="40" t="str">
        <f t="shared" si="3075"/>
        <v/>
      </c>
      <c r="DD206" s="40" t="str">
        <f t="shared" si="3076"/>
        <v/>
      </c>
      <c r="DE206" s="40" t="str">
        <f t="shared" si="3077"/>
        <v/>
      </c>
      <c r="DF206" s="40" t="str">
        <f t="shared" si="3078"/>
        <v/>
      </c>
      <c r="DG206" s="40" t="str">
        <f t="shared" si="3079"/>
        <v/>
      </c>
      <c r="DH206" s="40" t="str">
        <f t="shared" si="3080"/>
        <v/>
      </c>
      <c r="DI206" s="40" t="str">
        <f t="shared" si="3081"/>
        <v/>
      </c>
      <c r="DJ206" s="40" t="str">
        <f t="shared" si="3082"/>
        <v/>
      </c>
      <c r="DK206" s="40" t="str">
        <f t="shared" si="3083"/>
        <v/>
      </c>
      <c r="DL206" s="40" t="str">
        <f t="shared" si="3084"/>
        <v/>
      </c>
      <c r="DM206" s="40" t="str">
        <f t="shared" si="3085"/>
        <v/>
      </c>
      <c r="DN206" s="40" t="str">
        <f t="shared" si="3086"/>
        <v/>
      </c>
      <c r="DO206" s="40" t="str">
        <f t="shared" si="3087"/>
        <v/>
      </c>
      <c r="DP206" s="40" t="str">
        <f t="shared" si="3088"/>
        <v/>
      </c>
      <c r="DQ206" s="40" t="str">
        <f t="shared" si="3089"/>
        <v/>
      </c>
      <c r="DR206" s="40" t="str">
        <f t="shared" si="3090"/>
        <v/>
      </c>
      <c r="DS206" s="40" t="str">
        <f t="shared" si="3091"/>
        <v/>
      </c>
      <c r="DT206" s="40" t="str">
        <f t="shared" si="3092"/>
        <v/>
      </c>
      <c r="DU206" s="40" t="str">
        <f t="shared" si="3093"/>
        <v/>
      </c>
      <c r="DV206" s="40" t="str">
        <f t="shared" si="3094"/>
        <v/>
      </c>
      <c r="DW206" s="40" t="str">
        <f t="shared" si="3095"/>
        <v/>
      </c>
      <c r="DX206" s="40" t="str">
        <f t="shared" si="3096"/>
        <v/>
      </c>
      <c r="DY206" s="40" t="str">
        <f t="shared" si="3097"/>
        <v/>
      </c>
      <c r="DZ206" s="40" t="str">
        <f t="shared" si="3098"/>
        <v/>
      </c>
      <c r="EA206" s="40" t="str">
        <f t="shared" si="3099"/>
        <v/>
      </c>
      <c r="EB206" s="40" t="str">
        <f t="shared" si="3100"/>
        <v/>
      </c>
      <c r="EC206" s="40" t="str">
        <f t="shared" si="3101"/>
        <v/>
      </c>
      <c r="ED206" s="40" t="str">
        <f t="shared" si="3102"/>
        <v/>
      </c>
      <c r="EE206" s="40" t="str">
        <f t="shared" si="3103"/>
        <v/>
      </c>
      <c r="EF206" s="40" t="str">
        <f t="shared" si="3104"/>
        <v/>
      </c>
      <c r="EG206" s="40" t="str">
        <f t="shared" si="3105"/>
        <v/>
      </c>
      <c r="EH206" s="40" t="str">
        <f t="shared" si="3106"/>
        <v/>
      </c>
      <c r="EI206" s="40" t="str">
        <f t="shared" si="3107"/>
        <v/>
      </c>
      <c r="EJ206" s="40" t="str">
        <f t="shared" si="3108"/>
        <v/>
      </c>
      <c r="EK206" s="40" t="str">
        <f t="shared" si="3109"/>
        <v/>
      </c>
      <c r="EL206" s="40" t="str">
        <f t="shared" si="3110"/>
        <v/>
      </c>
      <c r="EM206" s="40" t="str">
        <f t="shared" si="3111"/>
        <v/>
      </c>
      <c r="EN206" s="40" t="str">
        <f t="shared" si="3112"/>
        <v/>
      </c>
      <c r="EO206" s="40" t="str">
        <f t="shared" si="3113"/>
        <v/>
      </c>
      <c r="EP206" s="40" t="str">
        <f t="shared" si="3114"/>
        <v/>
      </c>
      <c r="EQ206" s="40" t="str">
        <f t="shared" si="3115"/>
        <v/>
      </c>
      <c r="ER206" s="40" t="str">
        <f t="shared" si="3116"/>
        <v/>
      </c>
      <c r="ES206" s="40" t="str">
        <f t="shared" si="3117"/>
        <v/>
      </c>
      <c r="ET206" s="40" t="str">
        <f t="shared" si="3118"/>
        <v/>
      </c>
      <c r="EU206" s="40" t="str">
        <f t="shared" si="3119"/>
        <v/>
      </c>
      <c r="EV206" s="40" t="str">
        <f t="shared" si="3120"/>
        <v/>
      </c>
      <c r="EW206" s="40" t="str">
        <f t="shared" si="3121"/>
        <v/>
      </c>
      <c r="EX206" s="40" t="str">
        <f t="shared" si="3122"/>
        <v/>
      </c>
      <c r="EY206" s="40" t="str">
        <f t="shared" si="3123"/>
        <v/>
      </c>
      <c r="EZ206" s="40" t="str">
        <f t="shared" si="3124"/>
        <v/>
      </c>
      <c r="FA206" s="40" t="str">
        <f t="shared" si="3125"/>
        <v/>
      </c>
      <c r="FB206" s="40" t="str">
        <f t="shared" si="3126"/>
        <v/>
      </c>
      <c r="FC206" s="40" t="str">
        <f t="shared" si="3127"/>
        <v/>
      </c>
      <c r="FD206" s="40" t="str">
        <f t="shared" si="3128"/>
        <v/>
      </c>
      <c r="FE206" s="40" t="str">
        <f t="shared" si="3129"/>
        <v/>
      </c>
      <c r="FF206" s="40" t="str">
        <f t="shared" si="3130"/>
        <v/>
      </c>
      <c r="FG206" s="40" t="str">
        <f t="shared" si="3131"/>
        <v/>
      </c>
      <c r="FH206" s="40" t="str">
        <f t="shared" si="3132"/>
        <v/>
      </c>
      <c r="FI206" s="40" t="str">
        <f t="shared" si="3133"/>
        <v/>
      </c>
      <c r="FJ206" s="40" t="str">
        <f t="shared" si="3134"/>
        <v/>
      </c>
      <c r="FK206" s="40" t="str">
        <f t="shared" si="3135"/>
        <v/>
      </c>
      <c r="FL206" s="40" t="str">
        <f t="shared" si="3136"/>
        <v/>
      </c>
      <c r="FM206" s="40" t="str">
        <f t="shared" si="3137"/>
        <v/>
      </c>
      <c r="FN206" s="40" t="str">
        <f t="shared" si="3138"/>
        <v/>
      </c>
      <c r="FO206" s="40" t="str">
        <f t="shared" si="3139"/>
        <v/>
      </c>
      <c r="FP206" s="40" t="str">
        <f t="shared" si="3140"/>
        <v/>
      </c>
      <c r="FQ206" s="40" t="str">
        <f t="shared" si="3141"/>
        <v/>
      </c>
      <c r="FR206" s="40" t="str">
        <f t="shared" si="3142"/>
        <v/>
      </c>
      <c r="FS206" s="40" t="str">
        <f t="shared" si="3143"/>
        <v/>
      </c>
    </row>
    <row r="207" spans="1:175" ht="16.5">
      <c r="A207" s="79"/>
      <c r="B207" s="5" t="s">
        <v>522</v>
      </c>
      <c r="C207" s="3" t="s">
        <v>139</v>
      </c>
      <c r="T207" s="96"/>
      <c r="U207" s="51"/>
      <c r="CN207" s="10" t="str">
        <f t="shared" si="3068"/>
        <v>InitUnitState('IF16',,,,,,,,,,)</v>
      </c>
      <c r="CO207" s="10" t="str">
        <f t="shared" si="3069"/>
        <v>InitUnitNormal('IF16',,,,,,,,,,)</v>
      </c>
      <c r="CP207" s="10" t="str">
        <f t="shared" si="3070"/>
        <v>InitUnitMagic('IF16',,,,,,,,,,)</v>
      </c>
      <c r="CQ207" s="10" t="str">
        <f t="shared" si="3071"/>
        <v>InitUnitAdd('IF16',,,,,,,,,,)</v>
      </c>
      <c r="CR207" s="10" t="str">
        <f t="shared" si="3072"/>
        <v>InitEquipData('IF16',,"",,,,,'','','','','','',"")</v>
      </c>
      <c r="CU207" s="61" t="str">
        <f t="shared" si="3073"/>
        <v>|n</v>
      </c>
      <c r="CW207" s="4"/>
      <c r="CX207" s="4"/>
      <c r="CY207" s="4"/>
      <c r="CZ207" s="4"/>
      <c r="DA207" s="4"/>
      <c r="DB207" s="40" t="str">
        <f t="shared" si="3074"/>
        <v/>
      </c>
      <c r="DC207" s="40" t="str">
        <f t="shared" si="3075"/>
        <v/>
      </c>
      <c r="DD207" s="40" t="str">
        <f t="shared" si="3076"/>
        <v/>
      </c>
      <c r="DE207" s="40" t="str">
        <f t="shared" si="3077"/>
        <v/>
      </c>
      <c r="DF207" s="40" t="str">
        <f t="shared" si="3078"/>
        <v/>
      </c>
      <c r="DG207" s="40" t="str">
        <f t="shared" si="3079"/>
        <v/>
      </c>
      <c r="DH207" s="40" t="str">
        <f t="shared" si="3080"/>
        <v/>
      </c>
      <c r="DI207" s="40" t="str">
        <f t="shared" si="3081"/>
        <v/>
      </c>
      <c r="DJ207" s="40" t="str">
        <f t="shared" si="3082"/>
        <v/>
      </c>
      <c r="DK207" s="40" t="str">
        <f t="shared" si="3083"/>
        <v/>
      </c>
      <c r="DL207" s="40" t="str">
        <f t="shared" si="3084"/>
        <v/>
      </c>
      <c r="DM207" s="40" t="str">
        <f t="shared" si="3085"/>
        <v/>
      </c>
      <c r="DN207" s="40" t="str">
        <f t="shared" si="3086"/>
        <v/>
      </c>
      <c r="DO207" s="40" t="str">
        <f t="shared" si="3087"/>
        <v/>
      </c>
      <c r="DP207" s="40" t="str">
        <f t="shared" si="3088"/>
        <v/>
      </c>
      <c r="DQ207" s="40" t="str">
        <f t="shared" si="3089"/>
        <v/>
      </c>
      <c r="DR207" s="40" t="str">
        <f t="shared" si="3090"/>
        <v/>
      </c>
      <c r="DS207" s="40" t="str">
        <f t="shared" si="3091"/>
        <v/>
      </c>
      <c r="DT207" s="40" t="str">
        <f t="shared" si="3092"/>
        <v/>
      </c>
      <c r="DU207" s="40" t="str">
        <f t="shared" si="3093"/>
        <v/>
      </c>
      <c r="DV207" s="40" t="str">
        <f t="shared" si="3094"/>
        <v/>
      </c>
      <c r="DW207" s="40" t="str">
        <f t="shared" si="3095"/>
        <v/>
      </c>
      <c r="DX207" s="40" t="str">
        <f t="shared" si="3096"/>
        <v/>
      </c>
      <c r="DY207" s="40" t="str">
        <f t="shared" si="3097"/>
        <v/>
      </c>
      <c r="DZ207" s="40" t="str">
        <f t="shared" si="3098"/>
        <v/>
      </c>
      <c r="EA207" s="40" t="str">
        <f t="shared" si="3099"/>
        <v/>
      </c>
      <c r="EB207" s="40" t="str">
        <f t="shared" si="3100"/>
        <v/>
      </c>
      <c r="EC207" s="40" t="str">
        <f t="shared" si="3101"/>
        <v/>
      </c>
      <c r="ED207" s="40" t="str">
        <f t="shared" si="3102"/>
        <v/>
      </c>
      <c r="EE207" s="40" t="str">
        <f t="shared" si="3103"/>
        <v/>
      </c>
      <c r="EF207" s="40" t="str">
        <f t="shared" si="3104"/>
        <v/>
      </c>
      <c r="EG207" s="40" t="str">
        <f t="shared" si="3105"/>
        <v/>
      </c>
      <c r="EH207" s="40" t="str">
        <f t="shared" si="3106"/>
        <v/>
      </c>
      <c r="EI207" s="40" t="str">
        <f t="shared" si="3107"/>
        <v/>
      </c>
      <c r="EJ207" s="40" t="str">
        <f t="shared" si="3108"/>
        <v/>
      </c>
      <c r="EK207" s="40" t="str">
        <f t="shared" si="3109"/>
        <v/>
      </c>
      <c r="EL207" s="40" t="str">
        <f t="shared" si="3110"/>
        <v/>
      </c>
      <c r="EM207" s="40" t="str">
        <f t="shared" si="3111"/>
        <v/>
      </c>
      <c r="EN207" s="40" t="str">
        <f t="shared" si="3112"/>
        <v/>
      </c>
      <c r="EO207" s="40" t="str">
        <f t="shared" si="3113"/>
        <v/>
      </c>
      <c r="EP207" s="40" t="str">
        <f t="shared" si="3114"/>
        <v/>
      </c>
      <c r="EQ207" s="40" t="str">
        <f t="shared" si="3115"/>
        <v/>
      </c>
      <c r="ER207" s="40" t="str">
        <f t="shared" si="3116"/>
        <v/>
      </c>
      <c r="ES207" s="40" t="str">
        <f t="shared" si="3117"/>
        <v/>
      </c>
      <c r="ET207" s="40" t="str">
        <f t="shared" si="3118"/>
        <v/>
      </c>
      <c r="EU207" s="40" t="str">
        <f t="shared" si="3119"/>
        <v/>
      </c>
      <c r="EV207" s="40" t="str">
        <f t="shared" si="3120"/>
        <v/>
      </c>
      <c r="EW207" s="40" t="str">
        <f t="shared" si="3121"/>
        <v/>
      </c>
      <c r="EX207" s="40" t="str">
        <f t="shared" si="3122"/>
        <v/>
      </c>
      <c r="EY207" s="40" t="str">
        <f t="shared" si="3123"/>
        <v/>
      </c>
      <c r="EZ207" s="40" t="str">
        <f t="shared" si="3124"/>
        <v/>
      </c>
      <c r="FA207" s="40" t="str">
        <f t="shared" si="3125"/>
        <v/>
      </c>
      <c r="FB207" s="40" t="str">
        <f t="shared" si="3126"/>
        <v/>
      </c>
      <c r="FC207" s="40" t="str">
        <f t="shared" si="3127"/>
        <v/>
      </c>
      <c r="FD207" s="40" t="str">
        <f t="shared" si="3128"/>
        <v/>
      </c>
      <c r="FE207" s="40" t="str">
        <f t="shared" si="3129"/>
        <v/>
      </c>
      <c r="FF207" s="40" t="str">
        <f t="shared" si="3130"/>
        <v/>
      </c>
      <c r="FG207" s="40" t="str">
        <f t="shared" si="3131"/>
        <v/>
      </c>
      <c r="FH207" s="40" t="str">
        <f t="shared" si="3132"/>
        <v/>
      </c>
      <c r="FI207" s="40" t="str">
        <f t="shared" si="3133"/>
        <v/>
      </c>
      <c r="FJ207" s="40" t="str">
        <f t="shared" si="3134"/>
        <v/>
      </c>
      <c r="FK207" s="40" t="str">
        <f t="shared" si="3135"/>
        <v/>
      </c>
      <c r="FL207" s="40" t="str">
        <f t="shared" si="3136"/>
        <v/>
      </c>
      <c r="FM207" s="40" t="str">
        <f t="shared" si="3137"/>
        <v/>
      </c>
      <c r="FN207" s="40" t="str">
        <f t="shared" si="3138"/>
        <v/>
      </c>
      <c r="FO207" s="40" t="str">
        <f t="shared" si="3139"/>
        <v/>
      </c>
      <c r="FP207" s="40" t="str">
        <f t="shared" si="3140"/>
        <v/>
      </c>
      <c r="FQ207" s="40" t="str">
        <f t="shared" si="3141"/>
        <v/>
      </c>
      <c r="FR207" s="40" t="str">
        <f t="shared" si="3142"/>
        <v/>
      </c>
      <c r="FS207" s="40" t="str">
        <f t="shared" si="3143"/>
        <v/>
      </c>
    </row>
    <row r="208" spans="1:175" ht="16.5">
      <c r="A208" s="79"/>
      <c r="B208" s="5" t="s">
        <v>523</v>
      </c>
      <c r="C208" s="3" t="s">
        <v>139</v>
      </c>
      <c r="T208" s="96"/>
      <c r="U208" s="51"/>
      <c r="CN208" s="10" t="str">
        <f t="shared" si="3068"/>
        <v>InitUnitState('IF17',,,,,,,,,,)</v>
      </c>
      <c r="CO208" s="10" t="str">
        <f t="shared" si="3069"/>
        <v>InitUnitNormal('IF17',,,,,,,,,,)</v>
      </c>
      <c r="CP208" s="10" t="str">
        <f t="shared" si="3070"/>
        <v>InitUnitMagic('IF17',,,,,,,,,,)</v>
      </c>
      <c r="CQ208" s="10" t="str">
        <f t="shared" si="3071"/>
        <v>InitUnitAdd('IF17',,,,,,,,,,)</v>
      </c>
      <c r="CR208" s="10" t="str">
        <f t="shared" si="3072"/>
        <v>InitEquipData('IF17',,"",,,,,'','','','','','',"")</v>
      </c>
      <c r="CU208" s="61" t="str">
        <f t="shared" si="3073"/>
        <v>|n</v>
      </c>
      <c r="CW208" s="4"/>
      <c r="CX208" s="4"/>
      <c r="CY208" s="4"/>
      <c r="CZ208" s="4"/>
      <c r="DA208" s="4"/>
      <c r="DB208" s="40" t="str">
        <f t="shared" si="3074"/>
        <v/>
      </c>
      <c r="DC208" s="40" t="str">
        <f t="shared" si="3075"/>
        <v/>
      </c>
      <c r="DD208" s="40" t="str">
        <f t="shared" si="3076"/>
        <v/>
      </c>
      <c r="DE208" s="40" t="str">
        <f t="shared" si="3077"/>
        <v/>
      </c>
      <c r="DF208" s="40" t="str">
        <f t="shared" si="3078"/>
        <v/>
      </c>
      <c r="DG208" s="40" t="str">
        <f t="shared" si="3079"/>
        <v/>
      </c>
      <c r="DH208" s="40" t="str">
        <f t="shared" si="3080"/>
        <v/>
      </c>
      <c r="DI208" s="40" t="str">
        <f t="shared" si="3081"/>
        <v/>
      </c>
      <c r="DJ208" s="40" t="str">
        <f t="shared" si="3082"/>
        <v/>
      </c>
      <c r="DK208" s="40" t="str">
        <f t="shared" si="3083"/>
        <v/>
      </c>
      <c r="DL208" s="40" t="str">
        <f t="shared" si="3084"/>
        <v/>
      </c>
      <c r="DM208" s="40" t="str">
        <f t="shared" si="3085"/>
        <v/>
      </c>
      <c r="DN208" s="40" t="str">
        <f t="shared" si="3086"/>
        <v/>
      </c>
      <c r="DO208" s="40" t="str">
        <f t="shared" si="3087"/>
        <v/>
      </c>
      <c r="DP208" s="40" t="str">
        <f t="shared" si="3088"/>
        <v/>
      </c>
      <c r="DQ208" s="40" t="str">
        <f t="shared" si="3089"/>
        <v/>
      </c>
      <c r="DR208" s="40" t="str">
        <f t="shared" si="3090"/>
        <v/>
      </c>
      <c r="DS208" s="40" t="str">
        <f t="shared" si="3091"/>
        <v/>
      </c>
      <c r="DT208" s="40" t="str">
        <f t="shared" si="3092"/>
        <v/>
      </c>
      <c r="DU208" s="40" t="str">
        <f t="shared" si="3093"/>
        <v/>
      </c>
      <c r="DV208" s="40" t="str">
        <f t="shared" si="3094"/>
        <v/>
      </c>
      <c r="DW208" s="40" t="str">
        <f t="shared" si="3095"/>
        <v/>
      </c>
      <c r="DX208" s="40" t="str">
        <f t="shared" si="3096"/>
        <v/>
      </c>
      <c r="DY208" s="40" t="str">
        <f t="shared" si="3097"/>
        <v/>
      </c>
      <c r="DZ208" s="40" t="str">
        <f t="shared" si="3098"/>
        <v/>
      </c>
      <c r="EA208" s="40" t="str">
        <f t="shared" si="3099"/>
        <v/>
      </c>
      <c r="EB208" s="40" t="str">
        <f t="shared" si="3100"/>
        <v/>
      </c>
      <c r="EC208" s="40" t="str">
        <f t="shared" si="3101"/>
        <v/>
      </c>
      <c r="ED208" s="40" t="str">
        <f t="shared" si="3102"/>
        <v/>
      </c>
      <c r="EE208" s="40" t="str">
        <f t="shared" si="3103"/>
        <v/>
      </c>
      <c r="EF208" s="40" t="str">
        <f t="shared" si="3104"/>
        <v/>
      </c>
      <c r="EG208" s="40" t="str">
        <f t="shared" si="3105"/>
        <v/>
      </c>
      <c r="EH208" s="40" t="str">
        <f t="shared" si="3106"/>
        <v/>
      </c>
      <c r="EI208" s="40" t="str">
        <f t="shared" si="3107"/>
        <v/>
      </c>
      <c r="EJ208" s="40" t="str">
        <f t="shared" si="3108"/>
        <v/>
      </c>
      <c r="EK208" s="40" t="str">
        <f t="shared" si="3109"/>
        <v/>
      </c>
      <c r="EL208" s="40" t="str">
        <f t="shared" si="3110"/>
        <v/>
      </c>
      <c r="EM208" s="40" t="str">
        <f t="shared" si="3111"/>
        <v/>
      </c>
      <c r="EN208" s="40" t="str">
        <f t="shared" si="3112"/>
        <v/>
      </c>
      <c r="EO208" s="40" t="str">
        <f t="shared" si="3113"/>
        <v/>
      </c>
      <c r="EP208" s="40" t="str">
        <f t="shared" si="3114"/>
        <v/>
      </c>
      <c r="EQ208" s="40" t="str">
        <f t="shared" si="3115"/>
        <v/>
      </c>
      <c r="ER208" s="40" t="str">
        <f t="shared" si="3116"/>
        <v/>
      </c>
      <c r="ES208" s="40" t="str">
        <f t="shared" si="3117"/>
        <v/>
      </c>
      <c r="ET208" s="40" t="str">
        <f t="shared" si="3118"/>
        <v/>
      </c>
      <c r="EU208" s="40" t="str">
        <f t="shared" si="3119"/>
        <v/>
      </c>
      <c r="EV208" s="40" t="str">
        <f t="shared" si="3120"/>
        <v/>
      </c>
      <c r="EW208" s="40" t="str">
        <f t="shared" si="3121"/>
        <v/>
      </c>
      <c r="EX208" s="40" t="str">
        <f t="shared" si="3122"/>
        <v/>
      </c>
      <c r="EY208" s="40" t="str">
        <f t="shared" si="3123"/>
        <v/>
      </c>
      <c r="EZ208" s="40" t="str">
        <f t="shared" si="3124"/>
        <v/>
      </c>
      <c r="FA208" s="40" t="str">
        <f t="shared" si="3125"/>
        <v/>
      </c>
      <c r="FB208" s="40" t="str">
        <f t="shared" si="3126"/>
        <v/>
      </c>
      <c r="FC208" s="40" t="str">
        <f t="shared" si="3127"/>
        <v/>
      </c>
      <c r="FD208" s="40" t="str">
        <f t="shared" si="3128"/>
        <v/>
      </c>
      <c r="FE208" s="40" t="str">
        <f t="shared" si="3129"/>
        <v/>
      </c>
      <c r="FF208" s="40" t="str">
        <f t="shared" si="3130"/>
        <v/>
      </c>
      <c r="FG208" s="40" t="str">
        <f t="shared" si="3131"/>
        <v/>
      </c>
      <c r="FH208" s="40" t="str">
        <f t="shared" si="3132"/>
        <v/>
      </c>
      <c r="FI208" s="40" t="str">
        <f t="shared" si="3133"/>
        <v/>
      </c>
      <c r="FJ208" s="40" t="str">
        <f t="shared" si="3134"/>
        <v/>
      </c>
      <c r="FK208" s="40" t="str">
        <f t="shared" si="3135"/>
        <v/>
      </c>
      <c r="FL208" s="40" t="str">
        <f t="shared" si="3136"/>
        <v/>
      </c>
      <c r="FM208" s="40" t="str">
        <f t="shared" si="3137"/>
        <v/>
      </c>
      <c r="FN208" s="40" t="str">
        <f t="shared" si="3138"/>
        <v/>
      </c>
      <c r="FO208" s="40" t="str">
        <f t="shared" si="3139"/>
        <v/>
      </c>
      <c r="FP208" s="40" t="str">
        <f t="shared" si="3140"/>
        <v/>
      </c>
      <c r="FQ208" s="40" t="str">
        <f t="shared" si="3141"/>
        <v/>
      </c>
      <c r="FR208" s="40" t="str">
        <f t="shared" si="3142"/>
        <v/>
      </c>
      <c r="FS208" s="40" t="str">
        <f t="shared" si="3143"/>
        <v/>
      </c>
    </row>
    <row r="209" spans="1:175" ht="16.5">
      <c r="A209" s="79"/>
      <c r="B209" s="5" t="s">
        <v>524</v>
      </c>
      <c r="C209" s="3" t="s">
        <v>525</v>
      </c>
      <c r="T209" s="97"/>
      <c r="U209" s="51"/>
      <c r="CN209" s="10" t="str">
        <f t="shared" si="3068"/>
        <v>InitUnitState('IF18',,,,,,,,,,)</v>
      </c>
      <c r="CO209" s="10" t="str">
        <f t="shared" si="3069"/>
        <v>InitUnitNormal('IF18',,,,,,,,,,)</v>
      </c>
      <c r="CP209" s="10" t="str">
        <f t="shared" si="3070"/>
        <v>InitUnitMagic('IF18',,,,,,,,,,)</v>
      </c>
      <c r="CQ209" s="10" t="str">
        <f t="shared" si="3071"/>
        <v>InitUnitAdd('IF18',,,,,,,,,,)</v>
      </c>
      <c r="CR209" s="10" t="str">
        <f t="shared" si="3072"/>
        <v>InitEquipData('IF18',,"",,,,,'','','','','','',"")</v>
      </c>
      <c r="CU209" s="61" t="str">
        <f t="shared" si="3073"/>
        <v>|n</v>
      </c>
      <c r="CW209" s="4"/>
      <c r="CX209" s="4"/>
      <c r="CY209" s="4"/>
      <c r="CZ209" s="4"/>
      <c r="DA209" s="4"/>
      <c r="DB209" s="40" t="str">
        <f t="shared" si="3074"/>
        <v/>
      </c>
      <c r="DC209" s="40" t="str">
        <f t="shared" si="3075"/>
        <v/>
      </c>
      <c r="DD209" s="40" t="str">
        <f t="shared" si="3076"/>
        <v/>
      </c>
      <c r="DE209" s="40" t="str">
        <f t="shared" si="3077"/>
        <v/>
      </c>
      <c r="DF209" s="40" t="str">
        <f t="shared" si="3078"/>
        <v/>
      </c>
      <c r="DG209" s="40" t="str">
        <f t="shared" si="3079"/>
        <v/>
      </c>
      <c r="DH209" s="40" t="str">
        <f t="shared" si="3080"/>
        <v/>
      </c>
      <c r="DI209" s="40" t="str">
        <f t="shared" si="3081"/>
        <v/>
      </c>
      <c r="DJ209" s="40" t="str">
        <f t="shared" si="3082"/>
        <v/>
      </c>
      <c r="DK209" s="40" t="str">
        <f t="shared" si="3083"/>
        <v/>
      </c>
      <c r="DL209" s="40" t="str">
        <f t="shared" si="3084"/>
        <v/>
      </c>
      <c r="DM209" s="40" t="str">
        <f t="shared" si="3085"/>
        <v/>
      </c>
      <c r="DN209" s="40" t="str">
        <f t="shared" si="3086"/>
        <v/>
      </c>
      <c r="DO209" s="40" t="str">
        <f t="shared" si="3087"/>
        <v/>
      </c>
      <c r="DP209" s="40" t="str">
        <f t="shared" si="3088"/>
        <v/>
      </c>
      <c r="DQ209" s="40" t="str">
        <f t="shared" si="3089"/>
        <v/>
      </c>
      <c r="DR209" s="40" t="str">
        <f t="shared" si="3090"/>
        <v/>
      </c>
      <c r="DS209" s="40" t="str">
        <f t="shared" si="3091"/>
        <v/>
      </c>
      <c r="DT209" s="40" t="str">
        <f t="shared" si="3092"/>
        <v/>
      </c>
      <c r="DU209" s="40" t="str">
        <f t="shared" si="3093"/>
        <v/>
      </c>
      <c r="DV209" s="40" t="str">
        <f t="shared" si="3094"/>
        <v/>
      </c>
      <c r="DW209" s="40" t="str">
        <f t="shared" si="3095"/>
        <v/>
      </c>
      <c r="DX209" s="40" t="str">
        <f t="shared" si="3096"/>
        <v/>
      </c>
      <c r="DY209" s="40" t="str">
        <f t="shared" si="3097"/>
        <v/>
      </c>
      <c r="DZ209" s="40" t="str">
        <f t="shared" si="3098"/>
        <v/>
      </c>
      <c r="EA209" s="40" t="str">
        <f t="shared" si="3099"/>
        <v/>
      </c>
      <c r="EB209" s="40" t="str">
        <f t="shared" si="3100"/>
        <v/>
      </c>
      <c r="EC209" s="40" t="str">
        <f t="shared" si="3101"/>
        <v/>
      </c>
      <c r="ED209" s="40" t="str">
        <f t="shared" si="3102"/>
        <v/>
      </c>
      <c r="EE209" s="40" t="str">
        <f t="shared" si="3103"/>
        <v/>
      </c>
      <c r="EF209" s="40" t="str">
        <f t="shared" si="3104"/>
        <v/>
      </c>
      <c r="EG209" s="40" t="str">
        <f t="shared" si="3105"/>
        <v/>
      </c>
      <c r="EH209" s="40" t="str">
        <f t="shared" si="3106"/>
        <v/>
      </c>
      <c r="EI209" s="40" t="str">
        <f t="shared" si="3107"/>
        <v/>
      </c>
      <c r="EJ209" s="40" t="str">
        <f t="shared" si="3108"/>
        <v/>
      </c>
      <c r="EK209" s="40" t="str">
        <f t="shared" si="3109"/>
        <v/>
      </c>
      <c r="EL209" s="40" t="str">
        <f t="shared" si="3110"/>
        <v/>
      </c>
      <c r="EM209" s="40" t="str">
        <f t="shared" si="3111"/>
        <v/>
      </c>
      <c r="EN209" s="40" t="str">
        <f t="shared" si="3112"/>
        <v/>
      </c>
      <c r="EO209" s="40" t="str">
        <f t="shared" si="3113"/>
        <v/>
      </c>
      <c r="EP209" s="40" t="str">
        <f t="shared" si="3114"/>
        <v/>
      </c>
      <c r="EQ209" s="40" t="str">
        <f t="shared" si="3115"/>
        <v/>
      </c>
      <c r="ER209" s="40" t="str">
        <f t="shared" si="3116"/>
        <v/>
      </c>
      <c r="ES209" s="40" t="str">
        <f t="shared" si="3117"/>
        <v/>
      </c>
      <c r="ET209" s="40" t="str">
        <f t="shared" si="3118"/>
        <v/>
      </c>
      <c r="EU209" s="40" t="str">
        <f t="shared" si="3119"/>
        <v/>
      </c>
      <c r="EV209" s="40" t="str">
        <f t="shared" si="3120"/>
        <v/>
      </c>
      <c r="EW209" s="40" t="str">
        <f t="shared" si="3121"/>
        <v/>
      </c>
      <c r="EX209" s="40" t="str">
        <f t="shared" si="3122"/>
        <v/>
      </c>
      <c r="EY209" s="40" t="str">
        <f t="shared" si="3123"/>
        <v/>
      </c>
      <c r="EZ209" s="40" t="str">
        <f t="shared" si="3124"/>
        <v/>
      </c>
      <c r="FA209" s="40" t="str">
        <f t="shared" si="3125"/>
        <v/>
      </c>
      <c r="FB209" s="40" t="str">
        <f t="shared" si="3126"/>
        <v/>
      </c>
      <c r="FC209" s="40" t="str">
        <f t="shared" si="3127"/>
        <v/>
      </c>
      <c r="FD209" s="40" t="str">
        <f t="shared" si="3128"/>
        <v/>
      </c>
      <c r="FE209" s="40" t="str">
        <f t="shared" si="3129"/>
        <v/>
      </c>
      <c r="FF209" s="40" t="str">
        <f t="shared" si="3130"/>
        <v/>
      </c>
      <c r="FG209" s="40" t="str">
        <f t="shared" si="3131"/>
        <v/>
      </c>
      <c r="FH209" s="40" t="str">
        <f t="shared" si="3132"/>
        <v/>
      </c>
      <c r="FI209" s="40" t="str">
        <f t="shared" si="3133"/>
        <v/>
      </c>
      <c r="FJ209" s="40" t="str">
        <f t="shared" si="3134"/>
        <v/>
      </c>
      <c r="FK209" s="40" t="str">
        <f t="shared" si="3135"/>
        <v/>
      </c>
      <c r="FL209" s="40" t="str">
        <f t="shared" si="3136"/>
        <v/>
      </c>
      <c r="FM209" s="40" t="str">
        <f t="shared" si="3137"/>
        <v/>
      </c>
      <c r="FN209" s="40" t="str">
        <f t="shared" si="3138"/>
        <v/>
      </c>
      <c r="FO209" s="40" t="str">
        <f t="shared" si="3139"/>
        <v/>
      </c>
      <c r="FP209" s="40" t="str">
        <f t="shared" si="3140"/>
        <v/>
      </c>
      <c r="FQ209" s="40" t="str">
        <f t="shared" si="3141"/>
        <v/>
      </c>
      <c r="FR209" s="40" t="str">
        <f t="shared" si="3142"/>
        <v/>
      </c>
      <c r="FS209" s="40" t="str">
        <f t="shared" si="3143"/>
        <v/>
      </c>
    </row>
    <row r="210" spans="1:175" ht="16.5">
      <c r="A210" s="79"/>
      <c r="B210" s="5" t="s">
        <v>526</v>
      </c>
      <c r="C210" s="3" t="s">
        <v>525</v>
      </c>
      <c r="T210" s="97"/>
      <c r="U210" s="51"/>
      <c r="CN210" s="10" t="str">
        <f t="shared" si="3068"/>
        <v>InitUnitState('IF19',,,,,,,,,,)</v>
      </c>
      <c r="CO210" s="10" t="str">
        <f t="shared" si="3069"/>
        <v>InitUnitNormal('IF19',,,,,,,,,,)</v>
      </c>
      <c r="CP210" s="10" t="str">
        <f t="shared" si="3070"/>
        <v>InitUnitMagic('IF19',,,,,,,,,,)</v>
      </c>
      <c r="CQ210" s="10" t="str">
        <f t="shared" si="3071"/>
        <v>InitUnitAdd('IF19',,,,,,,,,,)</v>
      </c>
      <c r="CR210" s="10" t="str">
        <f t="shared" si="3072"/>
        <v>InitEquipData('IF19',,"",,,,,'','','','','','',"")</v>
      </c>
      <c r="CU210" s="61" t="str">
        <f t="shared" si="3073"/>
        <v>|n</v>
      </c>
      <c r="CW210" s="4"/>
      <c r="CX210" s="4"/>
      <c r="CY210" s="4"/>
      <c r="CZ210" s="4"/>
      <c r="DA210" s="4"/>
      <c r="DB210" s="40" t="str">
        <f t="shared" si="3074"/>
        <v/>
      </c>
      <c r="DC210" s="40" t="str">
        <f t="shared" si="3075"/>
        <v/>
      </c>
      <c r="DD210" s="40" t="str">
        <f t="shared" si="3076"/>
        <v/>
      </c>
      <c r="DE210" s="40" t="str">
        <f t="shared" si="3077"/>
        <v/>
      </c>
      <c r="DF210" s="40" t="str">
        <f t="shared" si="3078"/>
        <v/>
      </c>
      <c r="DG210" s="40" t="str">
        <f t="shared" si="3079"/>
        <v/>
      </c>
      <c r="DH210" s="40" t="str">
        <f t="shared" si="3080"/>
        <v/>
      </c>
      <c r="DI210" s="40" t="str">
        <f t="shared" si="3081"/>
        <v/>
      </c>
      <c r="DJ210" s="40" t="str">
        <f t="shared" si="3082"/>
        <v/>
      </c>
      <c r="DK210" s="40" t="str">
        <f t="shared" si="3083"/>
        <v/>
      </c>
      <c r="DL210" s="40" t="str">
        <f t="shared" si="3084"/>
        <v/>
      </c>
      <c r="DM210" s="40" t="str">
        <f t="shared" si="3085"/>
        <v/>
      </c>
      <c r="DN210" s="40" t="str">
        <f t="shared" si="3086"/>
        <v/>
      </c>
      <c r="DO210" s="40" t="str">
        <f t="shared" si="3087"/>
        <v/>
      </c>
      <c r="DP210" s="40" t="str">
        <f t="shared" si="3088"/>
        <v/>
      </c>
      <c r="DQ210" s="40" t="str">
        <f t="shared" si="3089"/>
        <v/>
      </c>
      <c r="DR210" s="40" t="str">
        <f t="shared" si="3090"/>
        <v/>
      </c>
      <c r="DS210" s="40" t="str">
        <f t="shared" si="3091"/>
        <v/>
      </c>
      <c r="DT210" s="40" t="str">
        <f t="shared" si="3092"/>
        <v/>
      </c>
      <c r="DU210" s="40" t="str">
        <f t="shared" si="3093"/>
        <v/>
      </c>
      <c r="DV210" s="40" t="str">
        <f t="shared" si="3094"/>
        <v/>
      </c>
      <c r="DW210" s="40" t="str">
        <f t="shared" si="3095"/>
        <v/>
      </c>
      <c r="DX210" s="40" t="str">
        <f t="shared" si="3096"/>
        <v/>
      </c>
      <c r="DY210" s="40" t="str">
        <f t="shared" si="3097"/>
        <v/>
      </c>
      <c r="DZ210" s="40" t="str">
        <f t="shared" si="3098"/>
        <v/>
      </c>
      <c r="EA210" s="40" t="str">
        <f t="shared" si="3099"/>
        <v/>
      </c>
      <c r="EB210" s="40" t="str">
        <f t="shared" si="3100"/>
        <v/>
      </c>
      <c r="EC210" s="40" t="str">
        <f t="shared" si="3101"/>
        <v/>
      </c>
      <c r="ED210" s="40" t="str">
        <f t="shared" si="3102"/>
        <v/>
      </c>
      <c r="EE210" s="40" t="str">
        <f t="shared" si="3103"/>
        <v/>
      </c>
      <c r="EF210" s="40" t="str">
        <f t="shared" si="3104"/>
        <v/>
      </c>
      <c r="EG210" s="40" t="str">
        <f t="shared" si="3105"/>
        <v/>
      </c>
      <c r="EH210" s="40" t="str">
        <f t="shared" si="3106"/>
        <v/>
      </c>
      <c r="EI210" s="40" t="str">
        <f t="shared" si="3107"/>
        <v/>
      </c>
      <c r="EJ210" s="40" t="str">
        <f t="shared" si="3108"/>
        <v/>
      </c>
      <c r="EK210" s="40" t="str">
        <f t="shared" si="3109"/>
        <v/>
      </c>
      <c r="EL210" s="40" t="str">
        <f t="shared" si="3110"/>
        <v/>
      </c>
      <c r="EM210" s="40" t="str">
        <f t="shared" si="3111"/>
        <v/>
      </c>
      <c r="EN210" s="40" t="str">
        <f t="shared" si="3112"/>
        <v/>
      </c>
      <c r="EO210" s="40" t="str">
        <f t="shared" si="3113"/>
        <v/>
      </c>
      <c r="EP210" s="40" t="str">
        <f t="shared" si="3114"/>
        <v/>
      </c>
      <c r="EQ210" s="40" t="str">
        <f t="shared" si="3115"/>
        <v/>
      </c>
      <c r="ER210" s="40" t="str">
        <f t="shared" si="3116"/>
        <v/>
      </c>
      <c r="ES210" s="40" t="str">
        <f t="shared" si="3117"/>
        <v/>
      </c>
      <c r="ET210" s="40" t="str">
        <f t="shared" si="3118"/>
        <v/>
      </c>
      <c r="EU210" s="40" t="str">
        <f t="shared" si="3119"/>
        <v/>
      </c>
      <c r="EV210" s="40" t="str">
        <f t="shared" si="3120"/>
        <v/>
      </c>
      <c r="EW210" s="40" t="str">
        <f t="shared" si="3121"/>
        <v/>
      </c>
      <c r="EX210" s="40" t="str">
        <f t="shared" si="3122"/>
        <v/>
      </c>
      <c r="EY210" s="40" t="str">
        <f t="shared" si="3123"/>
        <v/>
      </c>
      <c r="EZ210" s="40" t="str">
        <f t="shared" si="3124"/>
        <v/>
      </c>
      <c r="FA210" s="40" t="str">
        <f t="shared" si="3125"/>
        <v/>
      </c>
      <c r="FB210" s="40" t="str">
        <f t="shared" si="3126"/>
        <v/>
      </c>
      <c r="FC210" s="40" t="str">
        <f t="shared" si="3127"/>
        <v/>
      </c>
      <c r="FD210" s="40" t="str">
        <f t="shared" si="3128"/>
        <v/>
      </c>
      <c r="FE210" s="40" t="str">
        <f t="shared" si="3129"/>
        <v/>
      </c>
      <c r="FF210" s="40" t="str">
        <f t="shared" si="3130"/>
        <v/>
      </c>
      <c r="FG210" s="40" t="str">
        <f t="shared" si="3131"/>
        <v/>
      </c>
      <c r="FH210" s="40" t="str">
        <f t="shared" si="3132"/>
        <v/>
      </c>
      <c r="FI210" s="40" t="str">
        <f t="shared" si="3133"/>
        <v/>
      </c>
      <c r="FJ210" s="40" t="str">
        <f t="shared" si="3134"/>
        <v/>
      </c>
      <c r="FK210" s="40" t="str">
        <f t="shared" si="3135"/>
        <v/>
      </c>
      <c r="FL210" s="40" t="str">
        <f t="shared" si="3136"/>
        <v/>
      </c>
      <c r="FM210" s="40" t="str">
        <f t="shared" si="3137"/>
        <v/>
      </c>
      <c r="FN210" s="40" t="str">
        <f t="shared" si="3138"/>
        <v/>
      </c>
      <c r="FO210" s="40" t="str">
        <f t="shared" si="3139"/>
        <v/>
      </c>
      <c r="FP210" s="40" t="str">
        <f t="shared" si="3140"/>
        <v/>
      </c>
      <c r="FQ210" s="40" t="str">
        <f t="shared" si="3141"/>
        <v/>
      </c>
      <c r="FR210" s="40" t="str">
        <f t="shared" si="3142"/>
        <v/>
      </c>
      <c r="FS210" s="40" t="str">
        <f t="shared" si="3143"/>
        <v/>
      </c>
    </row>
    <row r="211" spans="1:175" ht="16.5">
      <c r="A211" s="79"/>
      <c r="B211" s="5" t="s">
        <v>527</v>
      </c>
      <c r="C211" s="3" t="s">
        <v>126</v>
      </c>
      <c r="T211" s="97"/>
      <c r="U211" s="51"/>
      <c r="CN211" s="10" t="str">
        <f t="shared" si="3068"/>
        <v>InitUnitState('IF20',,,,,,,,,,)</v>
      </c>
      <c r="CO211" s="10" t="str">
        <f t="shared" si="3069"/>
        <v>InitUnitNormal('IF20',,,,,,,,,,)</v>
      </c>
      <c r="CP211" s="10" t="str">
        <f t="shared" si="3070"/>
        <v>InitUnitMagic('IF20',,,,,,,,,,)</v>
      </c>
      <c r="CQ211" s="10" t="str">
        <f t="shared" si="3071"/>
        <v>InitUnitAdd('IF20',,,,,,,,,,)</v>
      </c>
      <c r="CR211" s="10" t="str">
        <f t="shared" si="3072"/>
        <v>InitEquipData('IF20',,"",,,,,'','','','','','',"")</v>
      </c>
      <c r="CU211" s="61" t="str">
        <f t="shared" si="3073"/>
        <v>|n</v>
      </c>
      <c r="CW211" s="4"/>
      <c r="CX211" s="4"/>
      <c r="CY211" s="4"/>
      <c r="CZ211" s="4"/>
      <c r="DA211" s="4"/>
      <c r="DB211" s="40" t="str">
        <f t="shared" si="3074"/>
        <v/>
      </c>
      <c r="DC211" s="40" t="str">
        <f t="shared" si="3075"/>
        <v/>
      </c>
      <c r="DD211" s="40" t="str">
        <f t="shared" si="3076"/>
        <v/>
      </c>
      <c r="DE211" s="40" t="str">
        <f t="shared" si="3077"/>
        <v/>
      </c>
      <c r="DF211" s="40" t="str">
        <f t="shared" si="3078"/>
        <v/>
      </c>
      <c r="DG211" s="40" t="str">
        <f t="shared" si="3079"/>
        <v/>
      </c>
      <c r="DH211" s="40" t="str">
        <f t="shared" si="3080"/>
        <v/>
      </c>
      <c r="DI211" s="40" t="str">
        <f t="shared" si="3081"/>
        <v/>
      </c>
      <c r="DJ211" s="40" t="str">
        <f t="shared" si="3082"/>
        <v/>
      </c>
      <c r="DK211" s="40" t="str">
        <f t="shared" si="3083"/>
        <v/>
      </c>
      <c r="DL211" s="40" t="str">
        <f t="shared" si="3084"/>
        <v/>
      </c>
      <c r="DM211" s="40" t="str">
        <f t="shared" si="3085"/>
        <v/>
      </c>
      <c r="DN211" s="40" t="str">
        <f t="shared" si="3086"/>
        <v/>
      </c>
      <c r="DO211" s="40" t="str">
        <f t="shared" si="3087"/>
        <v/>
      </c>
      <c r="DP211" s="40" t="str">
        <f t="shared" si="3088"/>
        <v/>
      </c>
      <c r="DQ211" s="40" t="str">
        <f t="shared" si="3089"/>
        <v/>
      </c>
      <c r="DR211" s="40" t="str">
        <f t="shared" si="3090"/>
        <v/>
      </c>
      <c r="DS211" s="40" t="str">
        <f t="shared" si="3091"/>
        <v/>
      </c>
      <c r="DT211" s="40" t="str">
        <f t="shared" si="3092"/>
        <v/>
      </c>
      <c r="DU211" s="40" t="str">
        <f t="shared" si="3093"/>
        <v/>
      </c>
      <c r="DV211" s="40" t="str">
        <f t="shared" si="3094"/>
        <v/>
      </c>
      <c r="DW211" s="40" t="str">
        <f t="shared" si="3095"/>
        <v/>
      </c>
      <c r="DX211" s="40" t="str">
        <f t="shared" si="3096"/>
        <v/>
      </c>
      <c r="DY211" s="40" t="str">
        <f t="shared" si="3097"/>
        <v/>
      </c>
      <c r="DZ211" s="40" t="str">
        <f t="shared" si="3098"/>
        <v/>
      </c>
      <c r="EA211" s="40" t="str">
        <f t="shared" si="3099"/>
        <v/>
      </c>
      <c r="EB211" s="40" t="str">
        <f t="shared" si="3100"/>
        <v/>
      </c>
      <c r="EC211" s="40" t="str">
        <f t="shared" si="3101"/>
        <v/>
      </c>
      <c r="ED211" s="40" t="str">
        <f t="shared" si="3102"/>
        <v/>
      </c>
      <c r="EE211" s="40" t="str">
        <f t="shared" si="3103"/>
        <v/>
      </c>
      <c r="EF211" s="40" t="str">
        <f t="shared" si="3104"/>
        <v/>
      </c>
      <c r="EG211" s="40" t="str">
        <f t="shared" si="3105"/>
        <v/>
      </c>
      <c r="EH211" s="40" t="str">
        <f t="shared" si="3106"/>
        <v/>
      </c>
      <c r="EI211" s="40" t="str">
        <f t="shared" si="3107"/>
        <v/>
      </c>
      <c r="EJ211" s="40" t="str">
        <f t="shared" si="3108"/>
        <v/>
      </c>
      <c r="EK211" s="40" t="str">
        <f t="shared" si="3109"/>
        <v/>
      </c>
      <c r="EL211" s="40" t="str">
        <f t="shared" si="3110"/>
        <v/>
      </c>
      <c r="EM211" s="40" t="str">
        <f t="shared" si="3111"/>
        <v/>
      </c>
      <c r="EN211" s="40" t="str">
        <f t="shared" si="3112"/>
        <v/>
      </c>
      <c r="EO211" s="40" t="str">
        <f t="shared" si="3113"/>
        <v/>
      </c>
      <c r="EP211" s="40" t="str">
        <f t="shared" si="3114"/>
        <v/>
      </c>
      <c r="EQ211" s="40" t="str">
        <f t="shared" si="3115"/>
        <v/>
      </c>
      <c r="ER211" s="40" t="str">
        <f t="shared" si="3116"/>
        <v/>
      </c>
      <c r="ES211" s="40" t="str">
        <f t="shared" si="3117"/>
        <v/>
      </c>
      <c r="ET211" s="40" t="str">
        <f t="shared" si="3118"/>
        <v/>
      </c>
      <c r="EU211" s="40" t="str">
        <f t="shared" si="3119"/>
        <v/>
      </c>
      <c r="EV211" s="40" t="str">
        <f t="shared" si="3120"/>
        <v/>
      </c>
      <c r="EW211" s="40" t="str">
        <f t="shared" si="3121"/>
        <v/>
      </c>
      <c r="EX211" s="40" t="str">
        <f t="shared" si="3122"/>
        <v/>
      </c>
      <c r="EY211" s="40" t="str">
        <f t="shared" si="3123"/>
        <v/>
      </c>
      <c r="EZ211" s="40" t="str">
        <f t="shared" si="3124"/>
        <v/>
      </c>
      <c r="FA211" s="40" t="str">
        <f t="shared" si="3125"/>
        <v/>
      </c>
      <c r="FB211" s="40" t="str">
        <f t="shared" si="3126"/>
        <v/>
      </c>
      <c r="FC211" s="40" t="str">
        <f t="shared" si="3127"/>
        <v/>
      </c>
      <c r="FD211" s="40" t="str">
        <f t="shared" si="3128"/>
        <v/>
      </c>
      <c r="FE211" s="40" t="str">
        <f t="shared" si="3129"/>
        <v/>
      </c>
      <c r="FF211" s="40" t="str">
        <f t="shared" si="3130"/>
        <v/>
      </c>
      <c r="FG211" s="40" t="str">
        <f t="shared" si="3131"/>
        <v/>
      </c>
      <c r="FH211" s="40" t="str">
        <f t="shared" si="3132"/>
        <v/>
      </c>
      <c r="FI211" s="40" t="str">
        <f t="shared" si="3133"/>
        <v/>
      </c>
      <c r="FJ211" s="40" t="str">
        <f t="shared" si="3134"/>
        <v/>
      </c>
      <c r="FK211" s="40" t="str">
        <f t="shared" si="3135"/>
        <v/>
      </c>
      <c r="FL211" s="40" t="str">
        <f t="shared" si="3136"/>
        <v/>
      </c>
      <c r="FM211" s="40" t="str">
        <f t="shared" si="3137"/>
        <v/>
      </c>
      <c r="FN211" s="40" t="str">
        <f t="shared" si="3138"/>
        <v/>
      </c>
      <c r="FO211" s="40" t="str">
        <f t="shared" si="3139"/>
        <v/>
      </c>
      <c r="FP211" s="40" t="str">
        <f t="shared" si="3140"/>
        <v/>
      </c>
      <c r="FQ211" s="40" t="str">
        <f t="shared" si="3141"/>
        <v/>
      </c>
      <c r="FR211" s="40" t="str">
        <f t="shared" si="3142"/>
        <v/>
      </c>
      <c r="FS211" s="40" t="str">
        <f t="shared" si="3143"/>
        <v/>
      </c>
    </row>
    <row r="212" spans="1:175">
      <c r="A212" s="5"/>
      <c r="B212" s="5" t="s">
        <v>528</v>
      </c>
      <c r="C212" s="3" t="s">
        <v>126</v>
      </c>
      <c r="T212" s="98"/>
      <c r="U212" s="51"/>
      <c r="CN212" s="10" t="str">
        <f t="shared" si="3068"/>
        <v>InitUnitState('IF21',,,,,,,,,,)</v>
      </c>
      <c r="CO212" s="10" t="str">
        <f t="shared" si="3069"/>
        <v>InitUnitNormal('IF21',,,,,,,,,,)</v>
      </c>
      <c r="CP212" s="10" t="str">
        <f t="shared" si="3070"/>
        <v>InitUnitMagic('IF21',,,,,,,,,,)</v>
      </c>
      <c r="CQ212" s="10" t="str">
        <f t="shared" si="3071"/>
        <v>InitUnitAdd('IF21',,,,,,,,,,)</v>
      </c>
      <c r="CR212" s="10" t="str">
        <f t="shared" si="3072"/>
        <v>InitEquipData('IF21',,"",,,,,'','','','','','',"")</v>
      </c>
      <c r="CU212" s="61" t="str">
        <f t="shared" si="3073"/>
        <v>|n</v>
      </c>
      <c r="CW212" s="4"/>
      <c r="CX212" s="4"/>
      <c r="CY212" s="4"/>
      <c r="CZ212" s="4"/>
      <c r="DA212" s="4"/>
      <c r="DB212" s="40" t="str">
        <f t="shared" si="3074"/>
        <v/>
      </c>
      <c r="DC212" s="40" t="str">
        <f t="shared" si="3075"/>
        <v/>
      </c>
      <c r="DD212" s="40" t="str">
        <f t="shared" si="3076"/>
        <v/>
      </c>
      <c r="DE212" s="40" t="str">
        <f t="shared" si="3077"/>
        <v/>
      </c>
      <c r="DF212" s="40" t="str">
        <f t="shared" si="3078"/>
        <v/>
      </c>
      <c r="DG212" s="40" t="str">
        <f t="shared" si="3079"/>
        <v/>
      </c>
      <c r="DH212" s="40" t="str">
        <f t="shared" si="3080"/>
        <v/>
      </c>
      <c r="DI212" s="40" t="str">
        <f t="shared" si="3081"/>
        <v/>
      </c>
      <c r="DJ212" s="40" t="str">
        <f t="shared" si="3082"/>
        <v/>
      </c>
      <c r="DK212" s="40" t="str">
        <f t="shared" si="3083"/>
        <v/>
      </c>
      <c r="DL212" s="40" t="str">
        <f t="shared" si="3084"/>
        <v/>
      </c>
      <c r="DM212" s="40" t="str">
        <f t="shared" si="3085"/>
        <v/>
      </c>
      <c r="DN212" s="40" t="str">
        <f t="shared" si="3086"/>
        <v/>
      </c>
      <c r="DO212" s="40" t="str">
        <f t="shared" si="3087"/>
        <v/>
      </c>
      <c r="DP212" s="40" t="str">
        <f t="shared" si="3088"/>
        <v/>
      </c>
      <c r="DQ212" s="40" t="str">
        <f t="shared" si="3089"/>
        <v/>
      </c>
      <c r="DR212" s="40" t="str">
        <f t="shared" si="3090"/>
        <v/>
      </c>
      <c r="DS212" s="40" t="str">
        <f t="shared" si="3091"/>
        <v/>
      </c>
      <c r="DT212" s="40" t="str">
        <f t="shared" si="3092"/>
        <v/>
      </c>
      <c r="DU212" s="40" t="str">
        <f t="shared" si="3093"/>
        <v/>
      </c>
      <c r="DV212" s="40" t="str">
        <f t="shared" si="3094"/>
        <v/>
      </c>
      <c r="DW212" s="40" t="str">
        <f t="shared" si="3095"/>
        <v/>
      </c>
      <c r="DX212" s="40" t="str">
        <f t="shared" si="3096"/>
        <v/>
      </c>
      <c r="DY212" s="40" t="str">
        <f t="shared" si="3097"/>
        <v/>
      </c>
      <c r="DZ212" s="40" t="str">
        <f t="shared" si="3098"/>
        <v/>
      </c>
      <c r="EA212" s="40" t="str">
        <f t="shared" si="3099"/>
        <v/>
      </c>
      <c r="EB212" s="40" t="str">
        <f t="shared" si="3100"/>
        <v/>
      </c>
      <c r="EC212" s="40" t="str">
        <f t="shared" si="3101"/>
        <v/>
      </c>
      <c r="ED212" s="40" t="str">
        <f t="shared" si="3102"/>
        <v/>
      </c>
      <c r="EE212" s="40" t="str">
        <f t="shared" si="3103"/>
        <v/>
      </c>
      <c r="EF212" s="40" t="str">
        <f t="shared" si="3104"/>
        <v/>
      </c>
      <c r="EG212" s="40" t="str">
        <f t="shared" si="3105"/>
        <v/>
      </c>
      <c r="EH212" s="40" t="str">
        <f t="shared" si="3106"/>
        <v/>
      </c>
      <c r="EI212" s="40" t="str">
        <f t="shared" si="3107"/>
        <v/>
      </c>
      <c r="EJ212" s="40" t="str">
        <f t="shared" si="3108"/>
        <v/>
      </c>
      <c r="EK212" s="40" t="str">
        <f t="shared" si="3109"/>
        <v/>
      </c>
      <c r="EL212" s="40" t="str">
        <f t="shared" si="3110"/>
        <v/>
      </c>
      <c r="EM212" s="40" t="str">
        <f t="shared" si="3111"/>
        <v/>
      </c>
      <c r="EN212" s="40" t="str">
        <f t="shared" si="3112"/>
        <v/>
      </c>
      <c r="EO212" s="40" t="str">
        <f t="shared" si="3113"/>
        <v/>
      </c>
      <c r="EP212" s="40" t="str">
        <f t="shared" si="3114"/>
        <v/>
      </c>
      <c r="EQ212" s="40" t="str">
        <f t="shared" si="3115"/>
        <v/>
      </c>
      <c r="ER212" s="40" t="str">
        <f t="shared" si="3116"/>
        <v/>
      </c>
      <c r="ES212" s="40" t="str">
        <f t="shared" si="3117"/>
        <v/>
      </c>
      <c r="ET212" s="40" t="str">
        <f t="shared" si="3118"/>
        <v/>
      </c>
      <c r="EU212" s="40" t="str">
        <f t="shared" si="3119"/>
        <v/>
      </c>
      <c r="EV212" s="40" t="str">
        <f t="shared" si="3120"/>
        <v/>
      </c>
      <c r="EW212" s="40" t="str">
        <f t="shared" si="3121"/>
        <v/>
      </c>
      <c r="EX212" s="40" t="str">
        <f t="shared" si="3122"/>
        <v/>
      </c>
      <c r="EY212" s="40" t="str">
        <f t="shared" si="3123"/>
        <v/>
      </c>
      <c r="EZ212" s="40" t="str">
        <f t="shared" si="3124"/>
        <v/>
      </c>
      <c r="FA212" s="40" t="str">
        <f t="shared" si="3125"/>
        <v/>
      </c>
      <c r="FB212" s="40" t="str">
        <f t="shared" si="3126"/>
        <v/>
      </c>
      <c r="FC212" s="40" t="str">
        <f t="shared" si="3127"/>
        <v/>
      </c>
      <c r="FD212" s="40" t="str">
        <f t="shared" si="3128"/>
        <v/>
      </c>
      <c r="FE212" s="40" t="str">
        <f t="shared" si="3129"/>
        <v/>
      </c>
      <c r="FF212" s="40" t="str">
        <f t="shared" si="3130"/>
        <v/>
      </c>
      <c r="FG212" s="40" t="str">
        <f t="shared" si="3131"/>
        <v/>
      </c>
      <c r="FH212" s="40" t="str">
        <f t="shared" si="3132"/>
        <v/>
      </c>
      <c r="FI212" s="40" t="str">
        <f t="shared" si="3133"/>
        <v/>
      </c>
      <c r="FJ212" s="40" t="str">
        <f t="shared" si="3134"/>
        <v/>
      </c>
      <c r="FK212" s="40" t="str">
        <f t="shared" si="3135"/>
        <v/>
      </c>
      <c r="FL212" s="40" t="str">
        <f t="shared" si="3136"/>
        <v/>
      </c>
      <c r="FM212" s="40" t="str">
        <f t="shared" si="3137"/>
        <v/>
      </c>
      <c r="FN212" s="40" t="str">
        <f t="shared" si="3138"/>
        <v/>
      </c>
      <c r="FO212" s="40" t="str">
        <f t="shared" si="3139"/>
        <v/>
      </c>
      <c r="FP212" s="40" t="str">
        <f t="shared" si="3140"/>
        <v/>
      </c>
      <c r="FQ212" s="40" t="str">
        <f t="shared" si="3141"/>
        <v/>
      </c>
      <c r="FR212" s="40" t="str">
        <f t="shared" si="3142"/>
        <v/>
      </c>
      <c r="FS212" s="40" t="str">
        <f t="shared" si="3143"/>
        <v/>
      </c>
    </row>
    <row r="213" spans="1:175">
      <c r="A213" s="5"/>
      <c r="B213" s="5" t="s">
        <v>529</v>
      </c>
      <c r="C213" s="3" t="s">
        <v>530</v>
      </c>
      <c r="T213" s="98"/>
      <c r="U213" s="51"/>
      <c r="CN213" s="10" t="str">
        <f t="shared" si="3068"/>
        <v>InitUnitState('IF22',,,,,,,,,,)</v>
      </c>
      <c r="CO213" s="10" t="str">
        <f t="shared" si="3069"/>
        <v>InitUnitNormal('IF22',,,,,,,,,,)</v>
      </c>
      <c r="CP213" s="10" t="str">
        <f t="shared" si="3070"/>
        <v>InitUnitMagic('IF22',,,,,,,,,,)</v>
      </c>
      <c r="CQ213" s="10" t="str">
        <f t="shared" si="3071"/>
        <v>InitUnitAdd('IF22',,,,,,,,,,)</v>
      </c>
      <c r="CR213" s="10" t="str">
        <f t="shared" si="3072"/>
        <v>InitEquipData('IF22',,"",,,,,'','','','','','',"")</v>
      </c>
      <c r="CU213" s="61" t="str">
        <f t="shared" si="3073"/>
        <v>|n</v>
      </c>
      <c r="CW213" s="4"/>
      <c r="CX213" s="4"/>
      <c r="CY213" s="4"/>
      <c r="CZ213" s="4"/>
      <c r="DA213" s="4"/>
      <c r="DB213" s="40" t="str">
        <f t="shared" si="3074"/>
        <v/>
      </c>
      <c r="DC213" s="40" t="str">
        <f t="shared" si="3075"/>
        <v/>
      </c>
      <c r="DD213" s="40" t="str">
        <f t="shared" si="3076"/>
        <v/>
      </c>
      <c r="DE213" s="40" t="str">
        <f t="shared" si="3077"/>
        <v/>
      </c>
      <c r="DF213" s="40" t="str">
        <f t="shared" si="3078"/>
        <v/>
      </c>
      <c r="DG213" s="40" t="str">
        <f t="shared" si="3079"/>
        <v/>
      </c>
      <c r="DH213" s="40" t="str">
        <f t="shared" si="3080"/>
        <v/>
      </c>
      <c r="DI213" s="40" t="str">
        <f t="shared" si="3081"/>
        <v/>
      </c>
      <c r="DJ213" s="40" t="str">
        <f t="shared" si="3082"/>
        <v/>
      </c>
      <c r="DK213" s="40" t="str">
        <f t="shared" si="3083"/>
        <v/>
      </c>
      <c r="DL213" s="40" t="str">
        <f t="shared" si="3084"/>
        <v/>
      </c>
      <c r="DM213" s="40" t="str">
        <f t="shared" si="3085"/>
        <v/>
      </c>
      <c r="DN213" s="40" t="str">
        <f t="shared" si="3086"/>
        <v/>
      </c>
      <c r="DO213" s="40" t="str">
        <f t="shared" si="3087"/>
        <v/>
      </c>
      <c r="DP213" s="40" t="str">
        <f t="shared" si="3088"/>
        <v/>
      </c>
      <c r="DQ213" s="40" t="str">
        <f t="shared" si="3089"/>
        <v/>
      </c>
      <c r="DR213" s="40" t="str">
        <f t="shared" si="3090"/>
        <v/>
      </c>
      <c r="DS213" s="40" t="str">
        <f t="shared" si="3091"/>
        <v/>
      </c>
      <c r="DT213" s="40" t="str">
        <f t="shared" si="3092"/>
        <v/>
      </c>
      <c r="DU213" s="40" t="str">
        <f t="shared" si="3093"/>
        <v/>
      </c>
      <c r="DV213" s="40" t="str">
        <f t="shared" si="3094"/>
        <v/>
      </c>
      <c r="DW213" s="40" t="str">
        <f t="shared" si="3095"/>
        <v/>
      </c>
      <c r="DX213" s="40" t="str">
        <f t="shared" si="3096"/>
        <v/>
      </c>
      <c r="DY213" s="40" t="str">
        <f t="shared" si="3097"/>
        <v/>
      </c>
      <c r="DZ213" s="40" t="str">
        <f t="shared" si="3098"/>
        <v/>
      </c>
      <c r="EA213" s="40" t="str">
        <f t="shared" si="3099"/>
        <v/>
      </c>
      <c r="EB213" s="40" t="str">
        <f t="shared" si="3100"/>
        <v/>
      </c>
      <c r="EC213" s="40" t="str">
        <f t="shared" si="3101"/>
        <v/>
      </c>
      <c r="ED213" s="40" t="str">
        <f t="shared" si="3102"/>
        <v/>
      </c>
      <c r="EE213" s="40" t="str">
        <f t="shared" si="3103"/>
        <v/>
      </c>
      <c r="EF213" s="40" t="str">
        <f t="shared" si="3104"/>
        <v/>
      </c>
      <c r="EG213" s="40" t="str">
        <f t="shared" si="3105"/>
        <v/>
      </c>
      <c r="EH213" s="40" t="str">
        <f t="shared" si="3106"/>
        <v/>
      </c>
      <c r="EI213" s="40" t="str">
        <f t="shared" si="3107"/>
        <v/>
      </c>
      <c r="EJ213" s="40" t="str">
        <f t="shared" si="3108"/>
        <v/>
      </c>
      <c r="EK213" s="40" t="str">
        <f t="shared" si="3109"/>
        <v/>
      </c>
      <c r="EL213" s="40" t="str">
        <f t="shared" si="3110"/>
        <v/>
      </c>
      <c r="EM213" s="40" t="str">
        <f t="shared" si="3111"/>
        <v/>
      </c>
      <c r="EN213" s="40" t="str">
        <f t="shared" si="3112"/>
        <v/>
      </c>
      <c r="EO213" s="40" t="str">
        <f t="shared" si="3113"/>
        <v/>
      </c>
      <c r="EP213" s="40" t="str">
        <f t="shared" si="3114"/>
        <v/>
      </c>
      <c r="EQ213" s="40" t="str">
        <f t="shared" si="3115"/>
        <v/>
      </c>
      <c r="ER213" s="40" t="str">
        <f t="shared" si="3116"/>
        <v/>
      </c>
      <c r="ES213" s="40" t="str">
        <f t="shared" si="3117"/>
        <v/>
      </c>
      <c r="ET213" s="40" t="str">
        <f t="shared" si="3118"/>
        <v/>
      </c>
      <c r="EU213" s="40" t="str">
        <f t="shared" si="3119"/>
        <v/>
      </c>
      <c r="EV213" s="40" t="str">
        <f t="shared" si="3120"/>
        <v/>
      </c>
      <c r="EW213" s="40" t="str">
        <f t="shared" si="3121"/>
        <v/>
      </c>
      <c r="EX213" s="40" t="str">
        <f t="shared" si="3122"/>
        <v/>
      </c>
      <c r="EY213" s="40" t="str">
        <f t="shared" si="3123"/>
        <v/>
      </c>
      <c r="EZ213" s="40" t="str">
        <f t="shared" si="3124"/>
        <v/>
      </c>
      <c r="FA213" s="40" t="str">
        <f t="shared" si="3125"/>
        <v/>
      </c>
      <c r="FB213" s="40" t="str">
        <f t="shared" si="3126"/>
        <v/>
      </c>
      <c r="FC213" s="40" t="str">
        <f t="shared" si="3127"/>
        <v/>
      </c>
      <c r="FD213" s="40" t="str">
        <f t="shared" si="3128"/>
        <v/>
      </c>
      <c r="FE213" s="40" t="str">
        <f t="shared" si="3129"/>
        <v/>
      </c>
      <c r="FF213" s="40" t="str">
        <f t="shared" si="3130"/>
        <v/>
      </c>
      <c r="FG213" s="40" t="str">
        <f t="shared" si="3131"/>
        <v/>
      </c>
      <c r="FH213" s="40" t="str">
        <f t="shared" si="3132"/>
        <v/>
      </c>
      <c r="FI213" s="40" t="str">
        <f t="shared" si="3133"/>
        <v/>
      </c>
      <c r="FJ213" s="40" t="str">
        <f t="shared" si="3134"/>
        <v/>
      </c>
      <c r="FK213" s="40" t="str">
        <f t="shared" si="3135"/>
        <v/>
      </c>
      <c r="FL213" s="40" t="str">
        <f t="shared" si="3136"/>
        <v/>
      </c>
      <c r="FM213" s="40" t="str">
        <f t="shared" si="3137"/>
        <v/>
      </c>
      <c r="FN213" s="40" t="str">
        <f t="shared" si="3138"/>
        <v/>
      </c>
      <c r="FO213" s="40" t="str">
        <f t="shared" si="3139"/>
        <v/>
      </c>
      <c r="FP213" s="40" t="str">
        <f t="shared" si="3140"/>
        <v/>
      </c>
      <c r="FQ213" s="40" t="str">
        <f t="shared" si="3141"/>
        <v/>
      </c>
      <c r="FR213" s="40" t="str">
        <f t="shared" si="3142"/>
        <v/>
      </c>
      <c r="FS213" s="40" t="str">
        <f t="shared" si="3143"/>
        <v/>
      </c>
    </row>
    <row r="214" spans="1:175">
      <c r="A214" s="5"/>
      <c r="B214" s="5" t="s">
        <v>531</v>
      </c>
      <c r="C214" s="3" t="s">
        <v>530</v>
      </c>
      <c r="T214" s="98"/>
      <c r="U214" s="51"/>
      <c r="CN214" s="10" t="str">
        <f t="shared" si="3068"/>
        <v>InitUnitState('IF23',,,,,,,,,,)</v>
      </c>
      <c r="CO214" s="10" t="str">
        <f t="shared" si="3069"/>
        <v>InitUnitNormal('IF23',,,,,,,,,,)</v>
      </c>
      <c r="CP214" s="10" t="str">
        <f t="shared" si="3070"/>
        <v>InitUnitMagic('IF23',,,,,,,,,,)</v>
      </c>
      <c r="CQ214" s="10" t="str">
        <f t="shared" si="3071"/>
        <v>InitUnitAdd('IF23',,,,,,,,,,)</v>
      </c>
      <c r="CR214" s="10" t="str">
        <f t="shared" si="3072"/>
        <v>InitEquipData('IF23',,"",,,,,'','','','','','',"")</v>
      </c>
      <c r="CU214" s="61" t="str">
        <f t="shared" si="3073"/>
        <v>|n</v>
      </c>
      <c r="CW214" s="4"/>
      <c r="CX214" s="4"/>
      <c r="CY214" s="4"/>
      <c r="CZ214" s="4"/>
      <c r="DA214" s="4"/>
      <c r="DB214" s="40" t="str">
        <f t="shared" si="3074"/>
        <v/>
      </c>
      <c r="DC214" s="40" t="str">
        <f t="shared" si="3075"/>
        <v/>
      </c>
      <c r="DD214" s="40" t="str">
        <f t="shared" si="3076"/>
        <v/>
      </c>
      <c r="DE214" s="40" t="str">
        <f t="shared" si="3077"/>
        <v/>
      </c>
      <c r="DF214" s="40" t="str">
        <f t="shared" si="3078"/>
        <v/>
      </c>
      <c r="DG214" s="40" t="str">
        <f t="shared" si="3079"/>
        <v/>
      </c>
      <c r="DH214" s="40" t="str">
        <f t="shared" si="3080"/>
        <v/>
      </c>
      <c r="DI214" s="40" t="str">
        <f t="shared" si="3081"/>
        <v/>
      </c>
      <c r="DJ214" s="40" t="str">
        <f t="shared" si="3082"/>
        <v/>
      </c>
      <c r="DK214" s="40" t="str">
        <f t="shared" si="3083"/>
        <v/>
      </c>
      <c r="DL214" s="40" t="str">
        <f t="shared" si="3084"/>
        <v/>
      </c>
      <c r="DM214" s="40" t="str">
        <f t="shared" si="3085"/>
        <v/>
      </c>
      <c r="DN214" s="40" t="str">
        <f t="shared" si="3086"/>
        <v/>
      </c>
      <c r="DO214" s="40" t="str">
        <f t="shared" si="3087"/>
        <v/>
      </c>
      <c r="DP214" s="40" t="str">
        <f t="shared" si="3088"/>
        <v/>
      </c>
      <c r="DQ214" s="40" t="str">
        <f t="shared" si="3089"/>
        <v/>
      </c>
      <c r="DR214" s="40" t="str">
        <f t="shared" si="3090"/>
        <v/>
      </c>
      <c r="DS214" s="40" t="str">
        <f t="shared" si="3091"/>
        <v/>
      </c>
      <c r="DT214" s="40" t="str">
        <f t="shared" si="3092"/>
        <v/>
      </c>
      <c r="DU214" s="40" t="str">
        <f t="shared" si="3093"/>
        <v/>
      </c>
      <c r="DV214" s="40" t="str">
        <f t="shared" si="3094"/>
        <v/>
      </c>
      <c r="DW214" s="40" t="str">
        <f t="shared" si="3095"/>
        <v/>
      </c>
      <c r="DX214" s="40" t="str">
        <f t="shared" si="3096"/>
        <v/>
      </c>
      <c r="DY214" s="40" t="str">
        <f t="shared" si="3097"/>
        <v/>
      </c>
      <c r="DZ214" s="40" t="str">
        <f t="shared" si="3098"/>
        <v/>
      </c>
      <c r="EA214" s="40" t="str">
        <f t="shared" si="3099"/>
        <v/>
      </c>
      <c r="EB214" s="40" t="str">
        <f t="shared" si="3100"/>
        <v/>
      </c>
      <c r="EC214" s="40" t="str">
        <f t="shared" si="3101"/>
        <v/>
      </c>
      <c r="ED214" s="40" t="str">
        <f t="shared" si="3102"/>
        <v/>
      </c>
      <c r="EE214" s="40" t="str">
        <f t="shared" si="3103"/>
        <v/>
      </c>
      <c r="EF214" s="40" t="str">
        <f t="shared" si="3104"/>
        <v/>
      </c>
      <c r="EG214" s="40" t="str">
        <f t="shared" si="3105"/>
        <v/>
      </c>
      <c r="EH214" s="40" t="str">
        <f t="shared" si="3106"/>
        <v/>
      </c>
      <c r="EI214" s="40" t="str">
        <f t="shared" si="3107"/>
        <v/>
      </c>
      <c r="EJ214" s="40" t="str">
        <f t="shared" si="3108"/>
        <v/>
      </c>
      <c r="EK214" s="40" t="str">
        <f t="shared" si="3109"/>
        <v/>
      </c>
      <c r="EL214" s="40" t="str">
        <f t="shared" si="3110"/>
        <v/>
      </c>
      <c r="EM214" s="40" t="str">
        <f t="shared" si="3111"/>
        <v/>
      </c>
      <c r="EN214" s="40" t="str">
        <f t="shared" si="3112"/>
        <v/>
      </c>
      <c r="EO214" s="40" t="str">
        <f t="shared" si="3113"/>
        <v/>
      </c>
      <c r="EP214" s="40" t="str">
        <f t="shared" si="3114"/>
        <v/>
      </c>
      <c r="EQ214" s="40" t="str">
        <f t="shared" si="3115"/>
        <v/>
      </c>
      <c r="ER214" s="40" t="str">
        <f t="shared" si="3116"/>
        <v/>
      </c>
      <c r="ES214" s="40" t="str">
        <f t="shared" si="3117"/>
        <v/>
      </c>
      <c r="ET214" s="40" t="str">
        <f t="shared" si="3118"/>
        <v/>
      </c>
      <c r="EU214" s="40" t="str">
        <f t="shared" si="3119"/>
        <v/>
      </c>
      <c r="EV214" s="40" t="str">
        <f t="shared" si="3120"/>
        <v/>
      </c>
      <c r="EW214" s="40" t="str">
        <f t="shared" si="3121"/>
        <v/>
      </c>
      <c r="EX214" s="40" t="str">
        <f t="shared" si="3122"/>
        <v/>
      </c>
      <c r="EY214" s="40" t="str">
        <f t="shared" si="3123"/>
        <v/>
      </c>
      <c r="EZ214" s="40" t="str">
        <f t="shared" si="3124"/>
        <v/>
      </c>
      <c r="FA214" s="40" t="str">
        <f t="shared" si="3125"/>
        <v/>
      </c>
      <c r="FB214" s="40" t="str">
        <f t="shared" si="3126"/>
        <v/>
      </c>
      <c r="FC214" s="40" t="str">
        <f t="shared" si="3127"/>
        <v/>
      </c>
      <c r="FD214" s="40" t="str">
        <f t="shared" si="3128"/>
        <v/>
      </c>
      <c r="FE214" s="40" t="str">
        <f t="shared" si="3129"/>
        <v/>
      </c>
      <c r="FF214" s="40" t="str">
        <f t="shared" si="3130"/>
        <v/>
      </c>
      <c r="FG214" s="40" t="str">
        <f t="shared" si="3131"/>
        <v/>
      </c>
      <c r="FH214" s="40" t="str">
        <f t="shared" si="3132"/>
        <v/>
      </c>
      <c r="FI214" s="40" t="str">
        <f t="shared" si="3133"/>
        <v/>
      </c>
      <c r="FJ214" s="40" t="str">
        <f t="shared" si="3134"/>
        <v/>
      </c>
      <c r="FK214" s="40" t="str">
        <f t="shared" si="3135"/>
        <v/>
      </c>
      <c r="FL214" s="40" t="str">
        <f t="shared" si="3136"/>
        <v/>
      </c>
      <c r="FM214" s="40" t="str">
        <f t="shared" si="3137"/>
        <v/>
      </c>
      <c r="FN214" s="40" t="str">
        <f t="shared" si="3138"/>
        <v/>
      </c>
      <c r="FO214" s="40" t="str">
        <f t="shared" si="3139"/>
        <v/>
      </c>
      <c r="FP214" s="40" t="str">
        <f t="shared" si="3140"/>
        <v/>
      </c>
      <c r="FQ214" s="40" t="str">
        <f t="shared" si="3141"/>
        <v/>
      </c>
      <c r="FR214" s="40" t="str">
        <f t="shared" si="3142"/>
        <v/>
      </c>
      <c r="FS214" s="40" t="str">
        <f t="shared" si="3143"/>
        <v/>
      </c>
    </row>
    <row r="215" spans="1:175">
      <c r="A215" s="5"/>
      <c r="B215" s="5" t="s">
        <v>532</v>
      </c>
      <c r="C215" s="3" t="s">
        <v>121</v>
      </c>
      <c r="T215" s="98"/>
      <c r="U215" s="51"/>
      <c r="CN215" s="10" t="str">
        <f t="shared" si="3068"/>
        <v>InitUnitState('IF24',,,,,,,,,,)</v>
      </c>
      <c r="CO215" s="10" t="str">
        <f t="shared" si="3069"/>
        <v>InitUnitNormal('IF24',,,,,,,,,,)</v>
      </c>
      <c r="CP215" s="10" t="str">
        <f t="shared" si="3070"/>
        <v>InitUnitMagic('IF24',,,,,,,,,,)</v>
      </c>
      <c r="CQ215" s="10" t="str">
        <f t="shared" si="3071"/>
        <v>InitUnitAdd('IF24',,,,,,,,,,)</v>
      </c>
      <c r="CR215" s="10" t="str">
        <f t="shared" si="3072"/>
        <v>InitEquipData('IF24',,"",,,,,'','','','','','',"")</v>
      </c>
      <c r="CU215" s="61" t="str">
        <f t="shared" ref="CU215:CU256" si="3144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W215" s="4"/>
      <c r="CX215" s="4"/>
      <c r="CY215" s="4"/>
      <c r="CZ215" s="4"/>
      <c r="DA215" s="4"/>
      <c r="DB215" s="40" t="str">
        <f t="shared" ref="DB215:DB256" si="3145">IF(V215="","","|n"&amp;DB$2&amp;"+"&amp;V215&amp;DB$1)</f>
        <v/>
      </c>
      <c r="DC215" s="40" t="str">
        <f t="shared" ref="DC215:DC256" si="3146">IF(W215="","","|n"&amp;DC$2&amp;"+"&amp;W215&amp;DC$1)</f>
        <v/>
      </c>
      <c r="DD215" s="40" t="str">
        <f t="shared" ref="DD215:DD256" si="3147">IF(X215="","","|n"&amp;DD$2&amp;"+"&amp;X215&amp;DD$1)</f>
        <v/>
      </c>
      <c r="DE215" s="40" t="str">
        <f t="shared" ref="DE215:DE256" si="3148">IF(Y215="","","|n"&amp;DE$2&amp;"+"&amp;Y215&amp;DE$1)</f>
        <v/>
      </c>
      <c r="DF215" s="40" t="str">
        <f t="shared" ref="DF215:DF256" si="3149">IF(Z215="","","|n"&amp;DF$2&amp;"+"&amp;Z215&amp;DF$1)</f>
        <v/>
      </c>
      <c r="DG215" s="40" t="str">
        <f t="shared" ref="DG215:DG256" si="3150">IF(AA215="","","|n"&amp;DG$2&amp;"+"&amp;AA215&amp;DG$1)</f>
        <v/>
      </c>
      <c r="DH215" s="40" t="str">
        <f t="shared" ref="DH215:DH256" si="3151">IF(AB215="","","|n"&amp;DH$2&amp;"+"&amp;AB215&amp;DH$1)</f>
        <v/>
      </c>
      <c r="DI215" s="40" t="str">
        <f t="shared" ref="DI215:DI256" si="3152">IF(AC215="","","|n"&amp;DI$2&amp;"+"&amp;AC215&amp;DI$1)</f>
        <v/>
      </c>
      <c r="DJ215" s="40" t="str">
        <f t="shared" ref="DJ215:DJ256" si="3153">IF(AD215="","","|n"&amp;DJ$2&amp;"+"&amp;AD215&amp;DJ$1)</f>
        <v/>
      </c>
      <c r="DK215" s="40" t="str">
        <f t="shared" ref="DK215:DK256" si="3154">IF(AE215="","","|n"&amp;DK$2&amp;"+"&amp;AE215&amp;DK$1)</f>
        <v/>
      </c>
      <c r="DL215" s="40" t="str">
        <f t="shared" ref="DL215:DL256" si="3155">IF(AF215="","","|n"&amp;DL$2&amp;"+"&amp;AF215&amp;DL$1)</f>
        <v/>
      </c>
      <c r="DM215" s="40" t="str">
        <f t="shared" ref="DM215:DM256" si="3156">IF(AG215="","","|n"&amp;DM$2&amp;"+"&amp;AG215&amp;DM$1)</f>
        <v/>
      </c>
      <c r="DN215" s="40" t="str">
        <f t="shared" ref="DN215:DN256" si="3157">IF(AH215="","","|n"&amp;DN$2&amp;"+"&amp;AH215&amp;DN$1)</f>
        <v/>
      </c>
      <c r="DO215" s="40" t="str">
        <f t="shared" ref="DO215:DO256" si="3158">IF(AI215="","","|n"&amp;DO$2&amp;"+"&amp;AI215&amp;DO$1)</f>
        <v/>
      </c>
      <c r="DP215" s="40" t="str">
        <f t="shared" ref="DP215:DP256" si="3159">IF(AJ215="","","|n"&amp;DP$2&amp;"+"&amp;AJ215&amp;DP$1)</f>
        <v/>
      </c>
      <c r="DQ215" s="40" t="str">
        <f t="shared" ref="DQ215:DQ256" si="3160">IF(AK215="","","|n"&amp;DQ$2&amp;"+"&amp;AK215&amp;DQ$1)</f>
        <v/>
      </c>
      <c r="DR215" s="40" t="str">
        <f t="shared" ref="DR215:DR256" si="3161">IF(AL215="","","|n"&amp;DR$2&amp;"+"&amp;AL215&amp;DR$1)</f>
        <v/>
      </c>
      <c r="DS215" s="40" t="str">
        <f t="shared" ref="DS215:DS256" si="3162">IF(AM215="","","|n"&amp;DS$2&amp;"+"&amp;AM215&amp;DS$1)</f>
        <v/>
      </c>
      <c r="DT215" s="40" t="str">
        <f t="shared" ref="DT215:DT256" si="3163">IF(AN215="","","|n"&amp;DT$2&amp;"+"&amp;AN215&amp;DT$1)</f>
        <v/>
      </c>
      <c r="DU215" s="40" t="str">
        <f t="shared" ref="DU215:DU256" si="3164">IF(AO215="","","|n"&amp;DU$2&amp;"+"&amp;AO215&amp;DU$1)</f>
        <v/>
      </c>
      <c r="DV215" s="40" t="str">
        <f t="shared" ref="DV215:DV256" si="3165">IF(AP215="","","|n"&amp;DV$2&amp;"+"&amp;AP215&amp;DV$1)</f>
        <v/>
      </c>
      <c r="DW215" s="40" t="str">
        <f t="shared" ref="DW215:DW256" si="3166">IF(AQ215="","","|n"&amp;DW$2&amp;"+"&amp;AQ215&amp;DW$1)</f>
        <v/>
      </c>
      <c r="DX215" s="40" t="str">
        <f t="shared" ref="DX215:DX256" si="3167">IF(AR215="","","|n"&amp;DX$2&amp;"+"&amp;AR215&amp;DX$1)</f>
        <v/>
      </c>
      <c r="DY215" s="40" t="str">
        <f t="shared" ref="DY215:DY256" si="3168">IF(AS215="","","|n"&amp;DY$2&amp;"+"&amp;AS215&amp;DY$1)</f>
        <v/>
      </c>
      <c r="DZ215" s="40" t="str">
        <f t="shared" ref="DZ215:DZ256" si="3169">IF(AT215="","","|n"&amp;DZ$2&amp;"+"&amp;AT215&amp;DZ$1)</f>
        <v/>
      </c>
      <c r="EA215" s="40" t="str">
        <f t="shared" ref="EA215:EA256" si="3170">IF(AU215="","","|n"&amp;EA$2&amp;"+"&amp;AU215&amp;EA$1)</f>
        <v/>
      </c>
      <c r="EB215" s="40" t="str">
        <f t="shared" ref="EB215:EB256" si="3171">IF(AV215="","","|n"&amp;EB$2&amp;"+"&amp;AV215&amp;EB$1)</f>
        <v/>
      </c>
      <c r="EC215" s="40" t="str">
        <f t="shared" ref="EC215:EC256" si="3172">IF(AW215="","","|n"&amp;EC$2&amp;"+"&amp;AW215&amp;EC$1)</f>
        <v/>
      </c>
      <c r="ED215" s="40" t="str">
        <f t="shared" ref="ED215:ED256" si="3173">IF(AX215="","","|n"&amp;ED$2&amp;"+"&amp;AX215&amp;ED$1)</f>
        <v/>
      </c>
      <c r="EE215" s="40" t="str">
        <f t="shared" ref="EE215:EE256" si="3174">IF(AY215="","","|n"&amp;EE$2&amp;"+"&amp;AY215&amp;EE$1)</f>
        <v/>
      </c>
      <c r="EF215" s="40" t="str">
        <f t="shared" ref="EF215:EF256" si="3175">IF(AZ215="","","|n"&amp;EF$2&amp;"+"&amp;AZ215&amp;EF$1)</f>
        <v/>
      </c>
      <c r="EG215" s="40" t="str">
        <f t="shared" ref="EG215:EG256" si="3176">IF(BA215="","","|n"&amp;EG$2&amp;"+"&amp;BA215&amp;EG$1)</f>
        <v/>
      </c>
      <c r="EH215" s="40" t="str">
        <f t="shared" ref="EH215:EH256" si="3177">IF(BB215="","","|n"&amp;EH$2&amp;"+"&amp;BB215&amp;EH$1)</f>
        <v/>
      </c>
      <c r="EI215" s="40" t="str">
        <f t="shared" ref="EI215:EI256" si="3178">IF(BC215="","","|n"&amp;EI$2&amp;"+"&amp;BC215&amp;EI$1)</f>
        <v/>
      </c>
      <c r="EJ215" s="40" t="str">
        <f t="shared" ref="EJ215:EJ256" si="3179">IF(BD215="","","|n"&amp;EJ$2&amp;"+"&amp;BD215&amp;EJ$1)</f>
        <v/>
      </c>
      <c r="EK215" s="40" t="str">
        <f t="shared" ref="EK215:EK256" si="3180">IF(BE215="","","|n"&amp;EK$2&amp;"+"&amp;BE215&amp;EK$1)</f>
        <v/>
      </c>
      <c r="EL215" s="40" t="str">
        <f t="shared" ref="EL215:EL256" si="3181">IF(BF215="","","|n"&amp;EL$2&amp;"+"&amp;BF215&amp;EL$1)</f>
        <v/>
      </c>
      <c r="EM215" s="40" t="str">
        <f t="shared" ref="EM215:EM256" si="3182">IF(BG215="","","|n"&amp;EM$2&amp;"+"&amp;BG215&amp;EM$1)</f>
        <v/>
      </c>
      <c r="EN215" s="40" t="str">
        <f t="shared" ref="EN215:EN256" si="3183">IF(BH215="","","|n"&amp;EN$2&amp;"+"&amp;BH215&amp;EN$1)</f>
        <v/>
      </c>
      <c r="EO215" s="40" t="str">
        <f t="shared" ref="EO215:EO256" si="3184">IF(BI215="","","|n"&amp;EO$2&amp;"+"&amp;BI215&amp;EO$1)</f>
        <v/>
      </c>
      <c r="EP215" s="40" t="str">
        <f t="shared" ref="EP215:EP256" si="3185">IF(BJ215="","","|n"&amp;EP$2&amp;"+"&amp;BJ215&amp;EP$1)</f>
        <v/>
      </c>
      <c r="EQ215" s="40" t="str">
        <f t="shared" ref="EQ215:EQ256" si="3186">IF(BK215="","","|n"&amp;EQ$2&amp;"+"&amp;BK215&amp;EQ$1)</f>
        <v/>
      </c>
      <c r="ER215" s="40" t="str">
        <f t="shared" ref="ER215:ER256" si="3187">IF(BL215="","","|n"&amp;ER$2&amp;"+"&amp;BL215&amp;ER$1)</f>
        <v/>
      </c>
      <c r="ES215" s="40" t="str">
        <f t="shared" ref="ES215:ES256" si="3188">IF(BM215="","","|n"&amp;ES$2&amp;"+"&amp;BM215&amp;ES$1)</f>
        <v/>
      </c>
      <c r="ET215" s="40" t="str">
        <f t="shared" ref="ET215:ET256" si="3189">IF(BN215="","","|n"&amp;ET$2&amp;"+"&amp;BN215&amp;ET$1)</f>
        <v/>
      </c>
      <c r="EU215" s="40" t="str">
        <f t="shared" ref="EU215:EU256" si="3190">IF(BO215="","","|n"&amp;EU$2&amp;"+"&amp;BO215&amp;EU$1)</f>
        <v/>
      </c>
      <c r="EV215" s="40" t="str">
        <f t="shared" ref="EV215:EV256" si="3191">IF(BP215="","","|n"&amp;EV$2&amp;"+"&amp;BP215&amp;EV$1)</f>
        <v/>
      </c>
      <c r="EW215" s="40" t="str">
        <f t="shared" ref="EW215:EW256" si="3192">IF(BQ215="","","|n"&amp;EW$2&amp;"+"&amp;BQ215&amp;EW$1)</f>
        <v/>
      </c>
      <c r="EX215" s="40" t="str">
        <f t="shared" ref="EX215:EX256" si="3193">IF(BR215="","","|n"&amp;EX$2&amp;"+"&amp;BR215&amp;EX$1)</f>
        <v/>
      </c>
      <c r="EY215" s="40" t="str">
        <f t="shared" ref="EY215:EY256" si="3194">IF(BS215="","","|n"&amp;EY$2&amp;"+"&amp;BS215&amp;EY$1)</f>
        <v/>
      </c>
      <c r="EZ215" s="40" t="str">
        <f t="shared" ref="EZ215:EZ256" si="3195">IF(BT215="","","|n"&amp;EZ$2&amp;"+"&amp;BT215&amp;EZ$1)</f>
        <v/>
      </c>
      <c r="FA215" s="40" t="str">
        <f t="shared" ref="FA215:FA256" si="3196">IF(BU215="","","|n"&amp;FA$2&amp;"+"&amp;BU215&amp;FA$1)</f>
        <v/>
      </c>
      <c r="FB215" s="40" t="str">
        <f t="shared" ref="FB215:FB256" si="3197">IF(BV215="","","|n"&amp;FB$2&amp;"+"&amp;BV215&amp;FB$1)</f>
        <v/>
      </c>
      <c r="FC215" s="40" t="str">
        <f t="shared" ref="FC215:FC256" si="3198">IF(BW215="","","|n"&amp;FC$2&amp;"+"&amp;BW215&amp;FC$1)</f>
        <v/>
      </c>
      <c r="FD215" s="40" t="str">
        <f t="shared" ref="FD215:FD256" si="3199">IF(BX215="","","|n"&amp;FD$2&amp;"+"&amp;BX215&amp;FD$1)</f>
        <v/>
      </c>
      <c r="FE215" s="40" t="str">
        <f t="shared" ref="FE215:FE256" si="3200">IF(BY215="","","|n"&amp;FE$2&amp;"+"&amp;BY215&amp;FE$1)</f>
        <v/>
      </c>
      <c r="FF215" s="40" t="str">
        <f t="shared" ref="FF215:FF256" si="3201">IF(BZ215="","","|n"&amp;FF$2&amp;"+"&amp;BZ215&amp;FF$1)</f>
        <v/>
      </c>
      <c r="FG215" s="40" t="str">
        <f t="shared" ref="FG215:FG256" si="3202">IF(CA215="","","|n"&amp;FG$2&amp;"+"&amp;CA215&amp;FG$1)</f>
        <v/>
      </c>
      <c r="FH215" s="40" t="str">
        <f t="shared" ref="FH215:FH256" si="3203">IF(CB215="","","|n"&amp;FH$2&amp;"+"&amp;CB215&amp;FH$1)</f>
        <v/>
      </c>
      <c r="FI215" s="40" t="str">
        <f t="shared" ref="FI215:FI256" si="3204">IF(CC215="","","|n"&amp;FI$2&amp;"+"&amp;CC215&amp;FI$1)</f>
        <v/>
      </c>
      <c r="FJ215" s="40" t="str">
        <f t="shared" ref="FJ215:FJ256" si="3205">IF(CD215="","","|n"&amp;FJ$2&amp;"+"&amp;CD215&amp;FJ$1)</f>
        <v/>
      </c>
      <c r="FK215" s="40" t="str">
        <f t="shared" ref="FK215:FK256" si="3206">IF(CE215="","","|n"&amp;FK$2&amp;"+"&amp;CE215&amp;FK$1)</f>
        <v/>
      </c>
      <c r="FL215" s="40" t="str">
        <f t="shared" ref="FL215:FL256" si="3207">IF(CF215="","","|n"&amp;FL$2&amp;"+"&amp;CF215&amp;FL$1)</f>
        <v/>
      </c>
      <c r="FM215" s="40" t="str">
        <f t="shared" ref="FM215:FM256" si="3208">IF(CG215="","","|n"&amp;FM$2&amp;"+"&amp;CG215&amp;FM$1)</f>
        <v/>
      </c>
      <c r="FN215" s="40" t="str">
        <f t="shared" ref="FN215:FN256" si="3209">IF(CH215="","","|n"&amp;FN$2&amp;"+"&amp;CH215&amp;FN$1)</f>
        <v/>
      </c>
      <c r="FO215" s="40" t="str">
        <f t="shared" ref="FO215:FO256" si="3210">IF(CI215="","","|n"&amp;FO$2&amp;"+"&amp;CI215&amp;FO$1)</f>
        <v/>
      </c>
      <c r="FP215" s="40" t="str">
        <f t="shared" ref="FP215:FP256" si="3211">IF(CJ215="","","|n"&amp;FP$2&amp;"+"&amp;CJ215&amp;FP$1)</f>
        <v/>
      </c>
      <c r="FQ215" s="40" t="str">
        <f t="shared" ref="FQ215:FQ256" si="3212">IF(CK215="","","|n"&amp;FQ$2&amp;"+"&amp;CK215&amp;FQ$1)</f>
        <v/>
      </c>
      <c r="FR215" s="40" t="str">
        <f t="shared" ref="FR215:FR256" si="3213">IF(CL215="","","|n"&amp;FR$2&amp;"+"&amp;CL215&amp;FR$1)</f>
        <v/>
      </c>
      <c r="FS215" s="40" t="str">
        <f t="shared" ref="FS215:FS256" si="3214">IF(CM215="","","|n"&amp;FS$2&amp;"+"&amp;CM215&amp;FS$1)</f>
        <v/>
      </c>
    </row>
    <row r="216" spans="1:175">
      <c r="A216" s="5"/>
      <c r="B216" s="5" t="s">
        <v>533</v>
      </c>
      <c r="C216" s="3" t="s">
        <v>534</v>
      </c>
      <c r="T216" s="98"/>
      <c r="U216" s="51"/>
      <c r="CN216" s="10" t="str">
        <f t="shared" si="3068"/>
        <v>InitUnitState('IF25',,,,,,,,,,)</v>
      </c>
      <c r="CO216" s="10" t="str">
        <f t="shared" si="3069"/>
        <v>InitUnitNormal('IF25',,,,,,,,,,)</v>
      </c>
      <c r="CP216" s="10" t="str">
        <f t="shared" si="3070"/>
        <v>InitUnitMagic('IF25',,,,,,,,,,)</v>
      </c>
      <c r="CQ216" s="10" t="str">
        <f t="shared" si="3071"/>
        <v>InitUnitAdd('IF25',,,,,,,,,,)</v>
      </c>
      <c r="CR216" s="10" t="str">
        <f t="shared" si="3072"/>
        <v>InitEquipData('IF25',,"",,,,,'','','','','','',"")</v>
      </c>
      <c r="CU216" s="61" t="str">
        <f t="shared" si="3144"/>
        <v>|n</v>
      </c>
      <c r="CW216" s="4"/>
      <c r="CX216" s="4"/>
      <c r="CY216" s="4"/>
      <c r="CZ216" s="4"/>
      <c r="DA216" s="4"/>
      <c r="DB216" s="40" t="str">
        <f t="shared" si="3145"/>
        <v/>
      </c>
      <c r="DC216" s="40" t="str">
        <f t="shared" si="3146"/>
        <v/>
      </c>
      <c r="DD216" s="40" t="str">
        <f t="shared" si="3147"/>
        <v/>
      </c>
      <c r="DE216" s="40" t="str">
        <f t="shared" si="3148"/>
        <v/>
      </c>
      <c r="DF216" s="40" t="str">
        <f t="shared" si="3149"/>
        <v/>
      </c>
      <c r="DG216" s="40" t="str">
        <f t="shared" si="3150"/>
        <v/>
      </c>
      <c r="DH216" s="40" t="str">
        <f t="shared" si="3151"/>
        <v/>
      </c>
      <c r="DI216" s="40" t="str">
        <f t="shared" si="3152"/>
        <v/>
      </c>
      <c r="DJ216" s="40" t="str">
        <f t="shared" si="3153"/>
        <v/>
      </c>
      <c r="DK216" s="40" t="str">
        <f t="shared" si="3154"/>
        <v/>
      </c>
      <c r="DL216" s="40" t="str">
        <f t="shared" si="3155"/>
        <v/>
      </c>
      <c r="DM216" s="40" t="str">
        <f t="shared" si="3156"/>
        <v/>
      </c>
      <c r="DN216" s="40" t="str">
        <f t="shared" si="3157"/>
        <v/>
      </c>
      <c r="DO216" s="40" t="str">
        <f t="shared" si="3158"/>
        <v/>
      </c>
      <c r="DP216" s="40" t="str">
        <f t="shared" si="3159"/>
        <v/>
      </c>
      <c r="DQ216" s="40" t="str">
        <f t="shared" si="3160"/>
        <v/>
      </c>
      <c r="DR216" s="40" t="str">
        <f t="shared" si="3161"/>
        <v/>
      </c>
      <c r="DS216" s="40" t="str">
        <f t="shared" si="3162"/>
        <v/>
      </c>
      <c r="DT216" s="40" t="str">
        <f t="shared" si="3163"/>
        <v/>
      </c>
      <c r="DU216" s="40" t="str">
        <f t="shared" si="3164"/>
        <v/>
      </c>
      <c r="DV216" s="40" t="str">
        <f t="shared" si="3165"/>
        <v/>
      </c>
      <c r="DW216" s="40" t="str">
        <f t="shared" si="3166"/>
        <v/>
      </c>
      <c r="DX216" s="40" t="str">
        <f t="shared" si="3167"/>
        <v/>
      </c>
      <c r="DY216" s="40" t="str">
        <f t="shared" si="3168"/>
        <v/>
      </c>
      <c r="DZ216" s="40" t="str">
        <f t="shared" si="3169"/>
        <v/>
      </c>
      <c r="EA216" s="40" t="str">
        <f t="shared" si="3170"/>
        <v/>
      </c>
      <c r="EB216" s="40" t="str">
        <f t="shared" si="3171"/>
        <v/>
      </c>
      <c r="EC216" s="40" t="str">
        <f t="shared" si="3172"/>
        <v/>
      </c>
      <c r="ED216" s="40" t="str">
        <f t="shared" si="3173"/>
        <v/>
      </c>
      <c r="EE216" s="40" t="str">
        <f t="shared" si="3174"/>
        <v/>
      </c>
      <c r="EF216" s="40" t="str">
        <f t="shared" si="3175"/>
        <v/>
      </c>
      <c r="EG216" s="40" t="str">
        <f t="shared" si="3176"/>
        <v/>
      </c>
      <c r="EH216" s="40" t="str">
        <f t="shared" si="3177"/>
        <v/>
      </c>
      <c r="EI216" s="40" t="str">
        <f t="shared" si="3178"/>
        <v/>
      </c>
      <c r="EJ216" s="40" t="str">
        <f t="shared" si="3179"/>
        <v/>
      </c>
      <c r="EK216" s="40" t="str">
        <f t="shared" si="3180"/>
        <v/>
      </c>
      <c r="EL216" s="40" t="str">
        <f t="shared" si="3181"/>
        <v/>
      </c>
      <c r="EM216" s="40" t="str">
        <f t="shared" si="3182"/>
        <v/>
      </c>
      <c r="EN216" s="40" t="str">
        <f t="shared" si="3183"/>
        <v/>
      </c>
      <c r="EO216" s="40" t="str">
        <f t="shared" si="3184"/>
        <v/>
      </c>
      <c r="EP216" s="40" t="str">
        <f t="shared" si="3185"/>
        <v/>
      </c>
      <c r="EQ216" s="40" t="str">
        <f t="shared" si="3186"/>
        <v/>
      </c>
      <c r="ER216" s="40" t="str">
        <f t="shared" si="3187"/>
        <v/>
      </c>
      <c r="ES216" s="40" t="str">
        <f t="shared" si="3188"/>
        <v/>
      </c>
      <c r="ET216" s="40" t="str">
        <f t="shared" si="3189"/>
        <v/>
      </c>
      <c r="EU216" s="40" t="str">
        <f t="shared" si="3190"/>
        <v/>
      </c>
      <c r="EV216" s="40" t="str">
        <f t="shared" si="3191"/>
        <v/>
      </c>
      <c r="EW216" s="40" t="str">
        <f t="shared" si="3192"/>
        <v/>
      </c>
      <c r="EX216" s="40" t="str">
        <f t="shared" si="3193"/>
        <v/>
      </c>
      <c r="EY216" s="40" t="str">
        <f t="shared" si="3194"/>
        <v/>
      </c>
      <c r="EZ216" s="40" t="str">
        <f t="shared" si="3195"/>
        <v/>
      </c>
      <c r="FA216" s="40" t="str">
        <f t="shared" si="3196"/>
        <v/>
      </c>
      <c r="FB216" s="40" t="str">
        <f t="shared" si="3197"/>
        <v/>
      </c>
      <c r="FC216" s="40" t="str">
        <f t="shared" si="3198"/>
        <v/>
      </c>
      <c r="FD216" s="40" t="str">
        <f t="shared" si="3199"/>
        <v/>
      </c>
      <c r="FE216" s="40" t="str">
        <f t="shared" si="3200"/>
        <v/>
      </c>
      <c r="FF216" s="40" t="str">
        <f t="shared" si="3201"/>
        <v/>
      </c>
      <c r="FG216" s="40" t="str">
        <f t="shared" si="3202"/>
        <v/>
      </c>
      <c r="FH216" s="40" t="str">
        <f t="shared" si="3203"/>
        <v/>
      </c>
      <c r="FI216" s="40" t="str">
        <f t="shared" si="3204"/>
        <v/>
      </c>
      <c r="FJ216" s="40" t="str">
        <f t="shared" si="3205"/>
        <v/>
      </c>
      <c r="FK216" s="40" t="str">
        <f t="shared" si="3206"/>
        <v/>
      </c>
      <c r="FL216" s="40" t="str">
        <f t="shared" si="3207"/>
        <v/>
      </c>
      <c r="FM216" s="40" t="str">
        <f t="shared" si="3208"/>
        <v/>
      </c>
      <c r="FN216" s="40" t="str">
        <f t="shared" si="3209"/>
        <v/>
      </c>
      <c r="FO216" s="40" t="str">
        <f t="shared" si="3210"/>
        <v/>
      </c>
      <c r="FP216" s="40" t="str">
        <f t="shared" si="3211"/>
        <v/>
      </c>
      <c r="FQ216" s="40" t="str">
        <f t="shared" si="3212"/>
        <v/>
      </c>
      <c r="FR216" s="40" t="str">
        <f t="shared" si="3213"/>
        <v/>
      </c>
      <c r="FS216" s="40" t="str">
        <f t="shared" si="3214"/>
        <v/>
      </c>
    </row>
    <row r="217" spans="1:175">
      <c r="A217" s="5"/>
      <c r="B217" s="5" t="s">
        <v>535</v>
      </c>
      <c r="C217" s="3" t="s">
        <v>124</v>
      </c>
      <c r="T217" s="98"/>
      <c r="U217" s="51"/>
      <c r="CN217" s="10" t="str">
        <f t="shared" si="3068"/>
        <v>InitUnitState('IF26',,,,,,,,,,)</v>
      </c>
      <c r="CO217" s="10" t="str">
        <f t="shared" si="3069"/>
        <v>InitUnitNormal('IF26',,,,,,,,,,)</v>
      </c>
      <c r="CP217" s="10" t="str">
        <f t="shared" si="3070"/>
        <v>InitUnitMagic('IF26',,,,,,,,,,)</v>
      </c>
      <c r="CQ217" s="10" t="str">
        <f t="shared" si="3071"/>
        <v>InitUnitAdd('IF26',,,,,,,,,,)</v>
      </c>
      <c r="CR217" s="10" t="str">
        <f t="shared" si="3072"/>
        <v>InitEquipData('IF26',,"",,,,,'','','','','','',"")</v>
      </c>
      <c r="CU217" s="61" t="str">
        <f t="shared" si="3144"/>
        <v>|n</v>
      </c>
      <c r="CW217" s="4"/>
      <c r="CX217" s="4"/>
      <c r="CY217" s="4"/>
      <c r="CZ217" s="4"/>
      <c r="DA217" s="4"/>
      <c r="DB217" s="40" t="str">
        <f t="shared" si="3145"/>
        <v/>
      </c>
      <c r="DC217" s="40" t="str">
        <f t="shared" si="3146"/>
        <v/>
      </c>
      <c r="DD217" s="40" t="str">
        <f t="shared" si="3147"/>
        <v/>
      </c>
      <c r="DE217" s="40" t="str">
        <f t="shared" si="3148"/>
        <v/>
      </c>
      <c r="DF217" s="40" t="str">
        <f t="shared" si="3149"/>
        <v/>
      </c>
      <c r="DG217" s="40" t="str">
        <f t="shared" si="3150"/>
        <v/>
      </c>
      <c r="DH217" s="40" t="str">
        <f t="shared" si="3151"/>
        <v/>
      </c>
      <c r="DI217" s="40" t="str">
        <f t="shared" si="3152"/>
        <v/>
      </c>
      <c r="DJ217" s="40" t="str">
        <f t="shared" si="3153"/>
        <v/>
      </c>
      <c r="DK217" s="40" t="str">
        <f t="shared" si="3154"/>
        <v/>
      </c>
      <c r="DL217" s="40" t="str">
        <f t="shared" si="3155"/>
        <v/>
      </c>
      <c r="DM217" s="40" t="str">
        <f t="shared" si="3156"/>
        <v/>
      </c>
      <c r="DN217" s="40" t="str">
        <f t="shared" si="3157"/>
        <v/>
      </c>
      <c r="DO217" s="40" t="str">
        <f t="shared" si="3158"/>
        <v/>
      </c>
      <c r="DP217" s="40" t="str">
        <f t="shared" si="3159"/>
        <v/>
      </c>
      <c r="DQ217" s="40" t="str">
        <f t="shared" si="3160"/>
        <v/>
      </c>
      <c r="DR217" s="40" t="str">
        <f t="shared" si="3161"/>
        <v/>
      </c>
      <c r="DS217" s="40" t="str">
        <f t="shared" si="3162"/>
        <v/>
      </c>
      <c r="DT217" s="40" t="str">
        <f t="shared" si="3163"/>
        <v/>
      </c>
      <c r="DU217" s="40" t="str">
        <f t="shared" si="3164"/>
        <v/>
      </c>
      <c r="DV217" s="40" t="str">
        <f t="shared" si="3165"/>
        <v/>
      </c>
      <c r="DW217" s="40" t="str">
        <f t="shared" si="3166"/>
        <v/>
      </c>
      <c r="DX217" s="40" t="str">
        <f t="shared" si="3167"/>
        <v/>
      </c>
      <c r="DY217" s="40" t="str">
        <f t="shared" si="3168"/>
        <v/>
      </c>
      <c r="DZ217" s="40" t="str">
        <f t="shared" si="3169"/>
        <v/>
      </c>
      <c r="EA217" s="40" t="str">
        <f t="shared" si="3170"/>
        <v/>
      </c>
      <c r="EB217" s="40" t="str">
        <f t="shared" si="3171"/>
        <v/>
      </c>
      <c r="EC217" s="40" t="str">
        <f t="shared" si="3172"/>
        <v/>
      </c>
      <c r="ED217" s="40" t="str">
        <f t="shared" si="3173"/>
        <v/>
      </c>
      <c r="EE217" s="40" t="str">
        <f t="shared" si="3174"/>
        <v/>
      </c>
      <c r="EF217" s="40" t="str">
        <f t="shared" si="3175"/>
        <v/>
      </c>
      <c r="EG217" s="40" t="str">
        <f t="shared" si="3176"/>
        <v/>
      </c>
      <c r="EH217" s="40" t="str">
        <f t="shared" si="3177"/>
        <v/>
      </c>
      <c r="EI217" s="40" t="str">
        <f t="shared" si="3178"/>
        <v/>
      </c>
      <c r="EJ217" s="40" t="str">
        <f t="shared" si="3179"/>
        <v/>
      </c>
      <c r="EK217" s="40" t="str">
        <f t="shared" si="3180"/>
        <v/>
      </c>
      <c r="EL217" s="40" t="str">
        <f t="shared" si="3181"/>
        <v/>
      </c>
      <c r="EM217" s="40" t="str">
        <f t="shared" si="3182"/>
        <v/>
      </c>
      <c r="EN217" s="40" t="str">
        <f t="shared" si="3183"/>
        <v/>
      </c>
      <c r="EO217" s="40" t="str">
        <f t="shared" si="3184"/>
        <v/>
      </c>
      <c r="EP217" s="40" t="str">
        <f t="shared" si="3185"/>
        <v/>
      </c>
      <c r="EQ217" s="40" t="str">
        <f t="shared" si="3186"/>
        <v/>
      </c>
      <c r="ER217" s="40" t="str">
        <f t="shared" si="3187"/>
        <v/>
      </c>
      <c r="ES217" s="40" t="str">
        <f t="shared" si="3188"/>
        <v/>
      </c>
      <c r="ET217" s="40" t="str">
        <f t="shared" si="3189"/>
        <v/>
      </c>
      <c r="EU217" s="40" t="str">
        <f t="shared" si="3190"/>
        <v/>
      </c>
      <c r="EV217" s="40" t="str">
        <f t="shared" si="3191"/>
        <v/>
      </c>
      <c r="EW217" s="40" t="str">
        <f t="shared" si="3192"/>
        <v/>
      </c>
      <c r="EX217" s="40" t="str">
        <f t="shared" si="3193"/>
        <v/>
      </c>
      <c r="EY217" s="40" t="str">
        <f t="shared" si="3194"/>
        <v/>
      </c>
      <c r="EZ217" s="40" t="str">
        <f t="shared" si="3195"/>
        <v/>
      </c>
      <c r="FA217" s="40" t="str">
        <f t="shared" si="3196"/>
        <v/>
      </c>
      <c r="FB217" s="40" t="str">
        <f t="shared" si="3197"/>
        <v/>
      </c>
      <c r="FC217" s="40" t="str">
        <f t="shared" si="3198"/>
        <v/>
      </c>
      <c r="FD217" s="40" t="str">
        <f t="shared" si="3199"/>
        <v/>
      </c>
      <c r="FE217" s="40" t="str">
        <f t="shared" si="3200"/>
        <v/>
      </c>
      <c r="FF217" s="40" t="str">
        <f t="shared" si="3201"/>
        <v/>
      </c>
      <c r="FG217" s="40" t="str">
        <f t="shared" si="3202"/>
        <v/>
      </c>
      <c r="FH217" s="40" t="str">
        <f t="shared" si="3203"/>
        <v/>
      </c>
      <c r="FI217" s="40" t="str">
        <f t="shared" si="3204"/>
        <v/>
      </c>
      <c r="FJ217" s="40" t="str">
        <f t="shared" si="3205"/>
        <v/>
      </c>
      <c r="FK217" s="40" t="str">
        <f t="shared" si="3206"/>
        <v/>
      </c>
      <c r="FL217" s="40" t="str">
        <f t="shared" si="3207"/>
        <v/>
      </c>
      <c r="FM217" s="40" t="str">
        <f t="shared" si="3208"/>
        <v/>
      </c>
      <c r="FN217" s="40" t="str">
        <f t="shared" si="3209"/>
        <v/>
      </c>
      <c r="FO217" s="40" t="str">
        <f t="shared" si="3210"/>
        <v/>
      </c>
      <c r="FP217" s="40" t="str">
        <f t="shared" si="3211"/>
        <v/>
      </c>
      <c r="FQ217" s="40" t="str">
        <f t="shared" si="3212"/>
        <v/>
      </c>
      <c r="FR217" s="40" t="str">
        <f t="shared" si="3213"/>
        <v/>
      </c>
      <c r="FS217" s="40" t="str">
        <f t="shared" si="3214"/>
        <v/>
      </c>
    </row>
    <row r="218" spans="1:175">
      <c r="A218" s="5"/>
      <c r="B218" s="5" t="s">
        <v>536</v>
      </c>
      <c r="C218" s="3" t="s">
        <v>132</v>
      </c>
      <c r="T218" s="98"/>
      <c r="U218" s="51"/>
      <c r="CN218" s="10" t="str">
        <f t="shared" si="3068"/>
        <v>InitUnitState('IF27',,,,,,,,,,)</v>
      </c>
      <c r="CO218" s="10" t="str">
        <f t="shared" si="3069"/>
        <v>InitUnitNormal('IF27',,,,,,,,,,)</v>
      </c>
      <c r="CP218" s="10" t="str">
        <f t="shared" si="3070"/>
        <v>InitUnitMagic('IF27',,,,,,,,,,)</v>
      </c>
      <c r="CQ218" s="10" t="str">
        <f t="shared" si="3071"/>
        <v>InitUnitAdd('IF27',,,,,,,,,,)</v>
      </c>
      <c r="CR218" s="10" t="str">
        <f t="shared" si="3072"/>
        <v>InitEquipData('IF27',,"",,,,,'','','','','','',"")</v>
      </c>
      <c r="CU218" s="61" t="str">
        <f t="shared" si="3144"/>
        <v>|n</v>
      </c>
      <c r="CW218" s="4"/>
      <c r="CX218" s="4"/>
      <c r="CY218" s="4"/>
      <c r="CZ218" s="4"/>
      <c r="DA218" s="4"/>
      <c r="DB218" s="40" t="str">
        <f t="shared" si="3145"/>
        <v/>
      </c>
      <c r="DC218" s="40" t="str">
        <f t="shared" si="3146"/>
        <v/>
      </c>
      <c r="DD218" s="40" t="str">
        <f t="shared" si="3147"/>
        <v/>
      </c>
      <c r="DE218" s="40" t="str">
        <f t="shared" si="3148"/>
        <v/>
      </c>
      <c r="DF218" s="40" t="str">
        <f t="shared" si="3149"/>
        <v/>
      </c>
      <c r="DG218" s="40" t="str">
        <f t="shared" si="3150"/>
        <v/>
      </c>
      <c r="DH218" s="40" t="str">
        <f t="shared" si="3151"/>
        <v/>
      </c>
      <c r="DI218" s="40" t="str">
        <f t="shared" si="3152"/>
        <v/>
      </c>
      <c r="DJ218" s="40" t="str">
        <f t="shared" si="3153"/>
        <v/>
      </c>
      <c r="DK218" s="40" t="str">
        <f t="shared" si="3154"/>
        <v/>
      </c>
      <c r="DL218" s="40" t="str">
        <f t="shared" si="3155"/>
        <v/>
      </c>
      <c r="DM218" s="40" t="str">
        <f t="shared" si="3156"/>
        <v/>
      </c>
      <c r="DN218" s="40" t="str">
        <f t="shared" si="3157"/>
        <v/>
      </c>
      <c r="DO218" s="40" t="str">
        <f t="shared" si="3158"/>
        <v/>
      </c>
      <c r="DP218" s="40" t="str">
        <f t="shared" si="3159"/>
        <v/>
      </c>
      <c r="DQ218" s="40" t="str">
        <f t="shared" si="3160"/>
        <v/>
      </c>
      <c r="DR218" s="40" t="str">
        <f t="shared" si="3161"/>
        <v/>
      </c>
      <c r="DS218" s="40" t="str">
        <f t="shared" si="3162"/>
        <v/>
      </c>
      <c r="DT218" s="40" t="str">
        <f t="shared" si="3163"/>
        <v/>
      </c>
      <c r="DU218" s="40" t="str">
        <f t="shared" si="3164"/>
        <v/>
      </c>
      <c r="DV218" s="40" t="str">
        <f t="shared" si="3165"/>
        <v/>
      </c>
      <c r="DW218" s="40" t="str">
        <f t="shared" si="3166"/>
        <v/>
      </c>
      <c r="DX218" s="40" t="str">
        <f t="shared" si="3167"/>
        <v/>
      </c>
      <c r="DY218" s="40" t="str">
        <f t="shared" si="3168"/>
        <v/>
      </c>
      <c r="DZ218" s="40" t="str">
        <f t="shared" si="3169"/>
        <v/>
      </c>
      <c r="EA218" s="40" t="str">
        <f t="shared" si="3170"/>
        <v/>
      </c>
      <c r="EB218" s="40" t="str">
        <f t="shared" si="3171"/>
        <v/>
      </c>
      <c r="EC218" s="40" t="str">
        <f t="shared" si="3172"/>
        <v/>
      </c>
      <c r="ED218" s="40" t="str">
        <f t="shared" si="3173"/>
        <v/>
      </c>
      <c r="EE218" s="40" t="str">
        <f t="shared" si="3174"/>
        <v/>
      </c>
      <c r="EF218" s="40" t="str">
        <f t="shared" si="3175"/>
        <v/>
      </c>
      <c r="EG218" s="40" t="str">
        <f t="shared" si="3176"/>
        <v/>
      </c>
      <c r="EH218" s="40" t="str">
        <f t="shared" si="3177"/>
        <v/>
      </c>
      <c r="EI218" s="40" t="str">
        <f t="shared" si="3178"/>
        <v/>
      </c>
      <c r="EJ218" s="40" t="str">
        <f t="shared" si="3179"/>
        <v/>
      </c>
      <c r="EK218" s="40" t="str">
        <f t="shared" si="3180"/>
        <v/>
      </c>
      <c r="EL218" s="40" t="str">
        <f t="shared" si="3181"/>
        <v/>
      </c>
      <c r="EM218" s="40" t="str">
        <f t="shared" si="3182"/>
        <v/>
      </c>
      <c r="EN218" s="40" t="str">
        <f t="shared" si="3183"/>
        <v/>
      </c>
      <c r="EO218" s="40" t="str">
        <f t="shared" si="3184"/>
        <v/>
      </c>
      <c r="EP218" s="40" t="str">
        <f t="shared" si="3185"/>
        <v/>
      </c>
      <c r="EQ218" s="40" t="str">
        <f t="shared" si="3186"/>
        <v/>
      </c>
      <c r="ER218" s="40" t="str">
        <f t="shared" si="3187"/>
        <v/>
      </c>
      <c r="ES218" s="40" t="str">
        <f t="shared" si="3188"/>
        <v/>
      </c>
      <c r="ET218" s="40" t="str">
        <f t="shared" si="3189"/>
        <v/>
      </c>
      <c r="EU218" s="40" t="str">
        <f t="shared" si="3190"/>
        <v/>
      </c>
      <c r="EV218" s="40" t="str">
        <f t="shared" si="3191"/>
        <v/>
      </c>
      <c r="EW218" s="40" t="str">
        <f t="shared" si="3192"/>
        <v/>
      </c>
      <c r="EX218" s="40" t="str">
        <f t="shared" si="3193"/>
        <v/>
      </c>
      <c r="EY218" s="40" t="str">
        <f t="shared" si="3194"/>
        <v/>
      </c>
      <c r="EZ218" s="40" t="str">
        <f t="shared" si="3195"/>
        <v/>
      </c>
      <c r="FA218" s="40" t="str">
        <f t="shared" si="3196"/>
        <v/>
      </c>
      <c r="FB218" s="40" t="str">
        <f t="shared" si="3197"/>
        <v/>
      </c>
      <c r="FC218" s="40" t="str">
        <f t="shared" si="3198"/>
        <v/>
      </c>
      <c r="FD218" s="40" t="str">
        <f t="shared" si="3199"/>
        <v/>
      </c>
      <c r="FE218" s="40" t="str">
        <f t="shared" si="3200"/>
        <v/>
      </c>
      <c r="FF218" s="40" t="str">
        <f t="shared" si="3201"/>
        <v/>
      </c>
      <c r="FG218" s="40" t="str">
        <f t="shared" si="3202"/>
        <v/>
      </c>
      <c r="FH218" s="40" t="str">
        <f t="shared" si="3203"/>
        <v/>
      </c>
      <c r="FI218" s="40" t="str">
        <f t="shared" si="3204"/>
        <v/>
      </c>
      <c r="FJ218" s="40" t="str">
        <f t="shared" si="3205"/>
        <v/>
      </c>
      <c r="FK218" s="40" t="str">
        <f t="shared" si="3206"/>
        <v/>
      </c>
      <c r="FL218" s="40" t="str">
        <f t="shared" si="3207"/>
        <v/>
      </c>
      <c r="FM218" s="40" t="str">
        <f t="shared" si="3208"/>
        <v/>
      </c>
      <c r="FN218" s="40" t="str">
        <f t="shared" si="3209"/>
        <v/>
      </c>
      <c r="FO218" s="40" t="str">
        <f t="shared" si="3210"/>
        <v/>
      </c>
      <c r="FP218" s="40" t="str">
        <f t="shared" si="3211"/>
        <v/>
      </c>
      <c r="FQ218" s="40" t="str">
        <f t="shared" si="3212"/>
        <v/>
      </c>
      <c r="FR218" s="40" t="str">
        <f t="shared" si="3213"/>
        <v/>
      </c>
      <c r="FS218" s="40" t="str">
        <f t="shared" si="3214"/>
        <v/>
      </c>
    </row>
    <row r="219" spans="1:175">
      <c r="A219" s="5"/>
      <c r="B219" s="5"/>
      <c r="C219" s="5"/>
      <c r="T219" s="98"/>
      <c r="U219" s="51"/>
      <c r="CN219" s="10" t="str">
        <f t="shared" si="3068"/>
        <v>InitUnitState('',,,,,,,,,,)</v>
      </c>
      <c r="CO219" s="10" t="str">
        <f t="shared" si="3069"/>
        <v>InitUnitNormal('',,,,,,,,,,)</v>
      </c>
      <c r="CP219" s="10" t="str">
        <f t="shared" si="3070"/>
        <v>InitUnitMagic('',,,,,,,,,,)</v>
      </c>
      <c r="CQ219" s="10" t="str">
        <f t="shared" si="3071"/>
        <v>InitUnitAdd('',,,,,,,,,,)</v>
      </c>
      <c r="CR219" s="10" t="str">
        <f t="shared" si="3072"/>
        <v>InitEquipData('',,"",,,,,'','','','','','',"")</v>
      </c>
      <c r="CU219" s="61" t="str">
        <f t="shared" si="3144"/>
        <v>|n</v>
      </c>
      <c r="CW219" s="4"/>
      <c r="CX219" s="4"/>
      <c r="CY219" s="4"/>
      <c r="CZ219" s="4"/>
      <c r="DA219" s="4"/>
      <c r="DB219" s="40" t="str">
        <f t="shared" si="3145"/>
        <v/>
      </c>
      <c r="DC219" s="40" t="str">
        <f t="shared" si="3146"/>
        <v/>
      </c>
      <c r="DD219" s="40" t="str">
        <f t="shared" si="3147"/>
        <v/>
      </c>
      <c r="DE219" s="40" t="str">
        <f t="shared" si="3148"/>
        <v/>
      </c>
      <c r="DF219" s="40" t="str">
        <f t="shared" si="3149"/>
        <v/>
      </c>
      <c r="DG219" s="40" t="str">
        <f t="shared" si="3150"/>
        <v/>
      </c>
      <c r="DH219" s="40" t="str">
        <f t="shared" si="3151"/>
        <v/>
      </c>
      <c r="DI219" s="40" t="str">
        <f t="shared" si="3152"/>
        <v/>
      </c>
      <c r="DJ219" s="40" t="str">
        <f t="shared" si="3153"/>
        <v/>
      </c>
      <c r="DK219" s="40" t="str">
        <f t="shared" si="3154"/>
        <v/>
      </c>
      <c r="DL219" s="40" t="str">
        <f t="shared" si="3155"/>
        <v/>
      </c>
      <c r="DM219" s="40" t="str">
        <f t="shared" si="3156"/>
        <v/>
      </c>
      <c r="DN219" s="40" t="str">
        <f t="shared" si="3157"/>
        <v/>
      </c>
      <c r="DO219" s="40" t="str">
        <f t="shared" si="3158"/>
        <v/>
      </c>
      <c r="DP219" s="40" t="str">
        <f t="shared" si="3159"/>
        <v/>
      </c>
      <c r="DQ219" s="40" t="str">
        <f t="shared" si="3160"/>
        <v/>
      </c>
      <c r="DR219" s="40" t="str">
        <f t="shared" si="3161"/>
        <v/>
      </c>
      <c r="DS219" s="40" t="str">
        <f t="shared" si="3162"/>
        <v/>
      </c>
      <c r="DT219" s="40" t="str">
        <f t="shared" si="3163"/>
        <v/>
      </c>
      <c r="DU219" s="40" t="str">
        <f t="shared" si="3164"/>
        <v/>
      </c>
      <c r="DV219" s="40" t="str">
        <f t="shared" si="3165"/>
        <v/>
      </c>
      <c r="DW219" s="40" t="str">
        <f t="shared" si="3166"/>
        <v/>
      </c>
      <c r="DX219" s="40" t="str">
        <f t="shared" si="3167"/>
        <v/>
      </c>
      <c r="DY219" s="40" t="str">
        <f t="shared" si="3168"/>
        <v/>
      </c>
      <c r="DZ219" s="40" t="str">
        <f t="shared" si="3169"/>
        <v/>
      </c>
      <c r="EA219" s="40" t="str">
        <f t="shared" si="3170"/>
        <v/>
      </c>
      <c r="EB219" s="40" t="str">
        <f t="shared" si="3171"/>
        <v/>
      </c>
      <c r="EC219" s="40" t="str">
        <f t="shared" si="3172"/>
        <v/>
      </c>
      <c r="ED219" s="40" t="str">
        <f t="shared" si="3173"/>
        <v/>
      </c>
      <c r="EE219" s="40" t="str">
        <f t="shared" si="3174"/>
        <v/>
      </c>
      <c r="EF219" s="40" t="str">
        <f t="shared" si="3175"/>
        <v/>
      </c>
      <c r="EG219" s="40" t="str">
        <f t="shared" si="3176"/>
        <v/>
      </c>
      <c r="EH219" s="40" t="str">
        <f t="shared" si="3177"/>
        <v/>
      </c>
      <c r="EI219" s="40" t="str">
        <f t="shared" si="3178"/>
        <v/>
      </c>
      <c r="EJ219" s="40" t="str">
        <f t="shared" si="3179"/>
        <v/>
      </c>
      <c r="EK219" s="40" t="str">
        <f t="shared" si="3180"/>
        <v/>
      </c>
      <c r="EL219" s="40" t="str">
        <f t="shared" si="3181"/>
        <v/>
      </c>
      <c r="EM219" s="40" t="str">
        <f t="shared" si="3182"/>
        <v/>
      </c>
      <c r="EN219" s="40" t="str">
        <f t="shared" si="3183"/>
        <v/>
      </c>
      <c r="EO219" s="40" t="str">
        <f t="shared" si="3184"/>
        <v/>
      </c>
      <c r="EP219" s="40" t="str">
        <f t="shared" si="3185"/>
        <v/>
      </c>
      <c r="EQ219" s="40" t="str">
        <f t="shared" si="3186"/>
        <v/>
      </c>
      <c r="ER219" s="40" t="str">
        <f t="shared" si="3187"/>
        <v/>
      </c>
      <c r="ES219" s="40" t="str">
        <f t="shared" si="3188"/>
        <v/>
      </c>
      <c r="ET219" s="40" t="str">
        <f t="shared" si="3189"/>
        <v/>
      </c>
      <c r="EU219" s="40" t="str">
        <f t="shared" si="3190"/>
        <v/>
      </c>
      <c r="EV219" s="40" t="str">
        <f t="shared" si="3191"/>
        <v/>
      </c>
      <c r="EW219" s="40" t="str">
        <f t="shared" si="3192"/>
        <v/>
      </c>
      <c r="EX219" s="40" t="str">
        <f t="shared" si="3193"/>
        <v/>
      </c>
      <c r="EY219" s="40" t="str">
        <f t="shared" si="3194"/>
        <v/>
      </c>
      <c r="EZ219" s="40" t="str">
        <f t="shared" si="3195"/>
        <v/>
      </c>
      <c r="FA219" s="40" t="str">
        <f t="shared" si="3196"/>
        <v/>
      </c>
      <c r="FB219" s="40" t="str">
        <f t="shared" si="3197"/>
        <v/>
      </c>
      <c r="FC219" s="40" t="str">
        <f t="shared" si="3198"/>
        <v/>
      </c>
      <c r="FD219" s="40" t="str">
        <f t="shared" si="3199"/>
        <v/>
      </c>
      <c r="FE219" s="40" t="str">
        <f t="shared" si="3200"/>
        <v/>
      </c>
      <c r="FF219" s="40" t="str">
        <f t="shared" si="3201"/>
        <v/>
      </c>
      <c r="FG219" s="40" t="str">
        <f t="shared" si="3202"/>
        <v/>
      </c>
      <c r="FH219" s="40" t="str">
        <f t="shared" si="3203"/>
        <v/>
      </c>
      <c r="FI219" s="40" t="str">
        <f t="shared" si="3204"/>
        <v/>
      </c>
      <c r="FJ219" s="40" t="str">
        <f t="shared" si="3205"/>
        <v/>
      </c>
      <c r="FK219" s="40" t="str">
        <f t="shared" si="3206"/>
        <v/>
      </c>
      <c r="FL219" s="40" t="str">
        <f t="shared" si="3207"/>
        <v/>
      </c>
      <c r="FM219" s="40" t="str">
        <f t="shared" si="3208"/>
        <v/>
      </c>
      <c r="FN219" s="40" t="str">
        <f t="shared" si="3209"/>
        <v/>
      </c>
      <c r="FO219" s="40" t="str">
        <f t="shared" si="3210"/>
        <v/>
      </c>
      <c r="FP219" s="40" t="str">
        <f t="shared" si="3211"/>
        <v/>
      </c>
      <c r="FQ219" s="40" t="str">
        <f t="shared" si="3212"/>
        <v/>
      </c>
      <c r="FR219" s="40" t="str">
        <f t="shared" si="3213"/>
        <v/>
      </c>
      <c r="FS219" s="40" t="str">
        <f t="shared" si="3214"/>
        <v/>
      </c>
    </row>
    <row r="220" spans="1:175">
      <c r="A220" s="5"/>
      <c r="B220" s="5"/>
      <c r="C220" s="5"/>
      <c r="T220" s="98"/>
      <c r="U220" s="51"/>
      <c r="CN220" s="10" t="str">
        <f t="shared" ref="CN220:CN228" si="3215"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10" t="str">
        <f t="shared" ref="CO220:CO228" si="3216"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10" t="str">
        <f t="shared" ref="CP220:CP228" si="3217"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10" t="str">
        <f t="shared" ref="CQ220:CQ228" si="3218"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10" t="str">
        <f t="shared" si="3072"/>
        <v>InitEquipData('',,"",,,,,'','','','','','',"")</v>
      </c>
      <c r="CU220" s="61" t="str">
        <f t="shared" si="3144"/>
        <v>|n</v>
      </c>
      <c r="CW220" s="4"/>
      <c r="CX220" s="4"/>
      <c r="CY220" s="4"/>
      <c r="CZ220" s="4"/>
      <c r="DA220" s="4"/>
      <c r="DB220" s="40" t="str">
        <f t="shared" si="3145"/>
        <v/>
      </c>
      <c r="DC220" s="40" t="str">
        <f t="shared" si="3146"/>
        <v/>
      </c>
      <c r="DD220" s="40" t="str">
        <f t="shared" si="3147"/>
        <v/>
      </c>
      <c r="DE220" s="40" t="str">
        <f t="shared" si="3148"/>
        <v/>
      </c>
      <c r="DF220" s="40" t="str">
        <f t="shared" si="3149"/>
        <v/>
      </c>
      <c r="DG220" s="40" t="str">
        <f t="shared" si="3150"/>
        <v/>
      </c>
      <c r="DH220" s="40" t="str">
        <f t="shared" si="3151"/>
        <v/>
      </c>
      <c r="DI220" s="40" t="str">
        <f t="shared" si="3152"/>
        <v/>
      </c>
      <c r="DJ220" s="40" t="str">
        <f t="shared" si="3153"/>
        <v/>
      </c>
      <c r="DK220" s="40" t="str">
        <f t="shared" si="3154"/>
        <v/>
      </c>
      <c r="DL220" s="40" t="str">
        <f t="shared" si="3155"/>
        <v/>
      </c>
      <c r="DM220" s="40" t="str">
        <f t="shared" si="3156"/>
        <v/>
      </c>
      <c r="DN220" s="40" t="str">
        <f t="shared" si="3157"/>
        <v/>
      </c>
      <c r="DO220" s="40" t="str">
        <f t="shared" si="3158"/>
        <v/>
      </c>
      <c r="DP220" s="40" t="str">
        <f t="shared" si="3159"/>
        <v/>
      </c>
      <c r="DQ220" s="40" t="str">
        <f t="shared" si="3160"/>
        <v/>
      </c>
      <c r="DR220" s="40" t="str">
        <f t="shared" si="3161"/>
        <v/>
      </c>
      <c r="DS220" s="40" t="str">
        <f t="shared" si="3162"/>
        <v/>
      </c>
      <c r="DT220" s="40" t="str">
        <f t="shared" si="3163"/>
        <v/>
      </c>
      <c r="DU220" s="40" t="str">
        <f t="shared" si="3164"/>
        <v/>
      </c>
      <c r="DV220" s="40" t="str">
        <f t="shared" si="3165"/>
        <v/>
      </c>
      <c r="DW220" s="40" t="str">
        <f t="shared" si="3166"/>
        <v/>
      </c>
      <c r="DX220" s="40" t="str">
        <f t="shared" si="3167"/>
        <v/>
      </c>
      <c r="DY220" s="40" t="str">
        <f t="shared" si="3168"/>
        <v/>
      </c>
      <c r="DZ220" s="40" t="str">
        <f t="shared" si="3169"/>
        <v/>
      </c>
      <c r="EA220" s="40" t="str">
        <f t="shared" si="3170"/>
        <v/>
      </c>
      <c r="EB220" s="40" t="str">
        <f t="shared" si="3171"/>
        <v/>
      </c>
      <c r="EC220" s="40" t="str">
        <f t="shared" si="3172"/>
        <v/>
      </c>
      <c r="ED220" s="40" t="str">
        <f t="shared" si="3173"/>
        <v/>
      </c>
      <c r="EE220" s="40" t="str">
        <f t="shared" si="3174"/>
        <v/>
      </c>
      <c r="EF220" s="40" t="str">
        <f t="shared" si="3175"/>
        <v/>
      </c>
      <c r="EG220" s="40" t="str">
        <f t="shared" si="3176"/>
        <v/>
      </c>
      <c r="EH220" s="40" t="str">
        <f t="shared" si="3177"/>
        <v/>
      </c>
      <c r="EI220" s="40" t="str">
        <f t="shared" si="3178"/>
        <v/>
      </c>
      <c r="EJ220" s="40" t="str">
        <f t="shared" si="3179"/>
        <v/>
      </c>
      <c r="EK220" s="40" t="str">
        <f t="shared" si="3180"/>
        <v/>
      </c>
      <c r="EL220" s="40" t="str">
        <f t="shared" si="3181"/>
        <v/>
      </c>
      <c r="EM220" s="40" t="str">
        <f t="shared" si="3182"/>
        <v/>
      </c>
      <c r="EN220" s="40" t="str">
        <f t="shared" si="3183"/>
        <v/>
      </c>
      <c r="EO220" s="40" t="str">
        <f t="shared" si="3184"/>
        <v/>
      </c>
      <c r="EP220" s="40" t="str">
        <f t="shared" si="3185"/>
        <v/>
      </c>
      <c r="EQ220" s="40" t="str">
        <f t="shared" si="3186"/>
        <v/>
      </c>
      <c r="ER220" s="40" t="str">
        <f t="shared" si="3187"/>
        <v/>
      </c>
      <c r="ES220" s="40" t="str">
        <f t="shared" si="3188"/>
        <v/>
      </c>
      <c r="ET220" s="40" t="str">
        <f t="shared" si="3189"/>
        <v/>
      </c>
      <c r="EU220" s="40" t="str">
        <f t="shared" si="3190"/>
        <v/>
      </c>
      <c r="EV220" s="40" t="str">
        <f t="shared" si="3191"/>
        <v/>
      </c>
      <c r="EW220" s="40" t="str">
        <f t="shared" si="3192"/>
        <v/>
      </c>
      <c r="EX220" s="40" t="str">
        <f t="shared" si="3193"/>
        <v/>
      </c>
      <c r="EY220" s="40" t="str">
        <f t="shared" si="3194"/>
        <v/>
      </c>
      <c r="EZ220" s="40" t="str">
        <f t="shared" si="3195"/>
        <v/>
      </c>
      <c r="FA220" s="40" t="str">
        <f t="shared" si="3196"/>
        <v/>
      </c>
      <c r="FB220" s="40" t="str">
        <f t="shared" si="3197"/>
        <v/>
      </c>
      <c r="FC220" s="40" t="str">
        <f t="shared" si="3198"/>
        <v/>
      </c>
      <c r="FD220" s="40" t="str">
        <f t="shared" si="3199"/>
        <v/>
      </c>
      <c r="FE220" s="40" t="str">
        <f t="shared" si="3200"/>
        <v/>
      </c>
      <c r="FF220" s="40" t="str">
        <f t="shared" si="3201"/>
        <v/>
      </c>
      <c r="FG220" s="40" t="str">
        <f t="shared" si="3202"/>
        <v/>
      </c>
      <c r="FH220" s="40" t="str">
        <f t="shared" si="3203"/>
        <v/>
      </c>
      <c r="FI220" s="40" t="str">
        <f t="shared" si="3204"/>
        <v/>
      </c>
      <c r="FJ220" s="40" t="str">
        <f t="shared" si="3205"/>
        <v/>
      </c>
      <c r="FK220" s="40" t="str">
        <f t="shared" si="3206"/>
        <v/>
      </c>
      <c r="FL220" s="40" t="str">
        <f t="shared" si="3207"/>
        <v/>
      </c>
      <c r="FM220" s="40" t="str">
        <f t="shared" si="3208"/>
        <v/>
      </c>
      <c r="FN220" s="40" t="str">
        <f t="shared" si="3209"/>
        <v/>
      </c>
      <c r="FO220" s="40" t="str">
        <f t="shared" si="3210"/>
        <v/>
      </c>
      <c r="FP220" s="40" t="str">
        <f t="shared" si="3211"/>
        <v/>
      </c>
      <c r="FQ220" s="40" t="str">
        <f t="shared" si="3212"/>
        <v/>
      </c>
      <c r="FR220" s="40" t="str">
        <f t="shared" si="3213"/>
        <v/>
      </c>
      <c r="FS220" s="40" t="str">
        <f t="shared" si="3214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15"/>
        <v>InitUnitState('',,,,,,,,,,)</v>
      </c>
      <c r="CO221" s="58" t="str">
        <f t="shared" si="3216"/>
        <v>InitUnitNormal('',,,,,,,,,,)</v>
      </c>
      <c r="CP221" s="58" t="str">
        <f t="shared" si="3217"/>
        <v>InitUnitMagic('',,,,,,,,,,)</v>
      </c>
      <c r="CQ221" s="58" t="str">
        <f t="shared" si="3218"/>
        <v>InitUnitAdd('',,,,,,,,,,)</v>
      </c>
      <c r="CR221" s="58" t="str">
        <f t="shared" si="3072"/>
        <v>InitEquipData('',,"",,,,,'','','','','','',"")</v>
      </c>
      <c r="CS221" s="58"/>
      <c r="CT221" s="58"/>
      <c r="CU221" s="61" t="str">
        <f t="shared" si="3144"/>
        <v>|n</v>
      </c>
      <c r="CV221" s="3"/>
      <c r="DB221" s="40" t="str">
        <f t="shared" si="3145"/>
        <v/>
      </c>
      <c r="DC221" s="40" t="str">
        <f t="shared" si="3146"/>
        <v/>
      </c>
      <c r="DD221" s="40" t="str">
        <f t="shared" si="3147"/>
        <v/>
      </c>
      <c r="DE221" s="40" t="str">
        <f t="shared" si="3148"/>
        <v/>
      </c>
      <c r="DF221" s="40" t="str">
        <f t="shared" si="3149"/>
        <v/>
      </c>
      <c r="DG221" s="40" t="str">
        <f t="shared" si="3150"/>
        <v/>
      </c>
      <c r="DH221" s="40" t="str">
        <f t="shared" si="3151"/>
        <v/>
      </c>
      <c r="DI221" s="40" t="str">
        <f t="shared" si="3152"/>
        <v/>
      </c>
      <c r="DJ221" s="40" t="str">
        <f t="shared" si="3153"/>
        <v/>
      </c>
      <c r="DK221" s="40" t="str">
        <f t="shared" si="3154"/>
        <v/>
      </c>
      <c r="DL221" s="40" t="str">
        <f t="shared" si="3155"/>
        <v/>
      </c>
      <c r="DM221" s="40" t="str">
        <f t="shared" si="3156"/>
        <v/>
      </c>
      <c r="DN221" s="40" t="str">
        <f t="shared" si="3157"/>
        <v/>
      </c>
      <c r="DO221" s="40" t="str">
        <f t="shared" si="3158"/>
        <v/>
      </c>
      <c r="DP221" s="40" t="str">
        <f t="shared" si="3159"/>
        <v/>
      </c>
      <c r="DQ221" s="40" t="str">
        <f t="shared" si="3160"/>
        <v/>
      </c>
      <c r="DR221" s="40" t="str">
        <f t="shared" si="3161"/>
        <v/>
      </c>
      <c r="DS221" s="40" t="str">
        <f t="shared" si="3162"/>
        <v/>
      </c>
      <c r="DT221" s="40" t="str">
        <f t="shared" si="3163"/>
        <v/>
      </c>
      <c r="DU221" s="40" t="str">
        <f t="shared" si="3164"/>
        <v/>
      </c>
      <c r="DV221" s="40" t="str">
        <f t="shared" si="3165"/>
        <v/>
      </c>
      <c r="DW221" s="40" t="str">
        <f t="shared" si="3166"/>
        <v/>
      </c>
      <c r="DX221" s="40" t="str">
        <f t="shared" si="3167"/>
        <v/>
      </c>
      <c r="DY221" s="40" t="str">
        <f t="shared" si="3168"/>
        <v/>
      </c>
      <c r="DZ221" s="40" t="str">
        <f t="shared" si="3169"/>
        <v/>
      </c>
      <c r="EA221" s="40" t="str">
        <f t="shared" si="3170"/>
        <v/>
      </c>
      <c r="EB221" s="40" t="str">
        <f t="shared" si="3171"/>
        <v/>
      </c>
      <c r="EC221" s="40" t="str">
        <f t="shared" si="3172"/>
        <v/>
      </c>
      <c r="ED221" s="40" t="str">
        <f t="shared" si="3173"/>
        <v/>
      </c>
      <c r="EE221" s="40" t="str">
        <f t="shared" si="3174"/>
        <v/>
      </c>
      <c r="EF221" s="40" t="str">
        <f t="shared" si="3175"/>
        <v/>
      </c>
      <c r="EG221" s="40" t="str">
        <f t="shared" si="3176"/>
        <v/>
      </c>
      <c r="EH221" s="40" t="str">
        <f t="shared" si="3177"/>
        <v/>
      </c>
      <c r="EI221" s="40" t="str">
        <f t="shared" si="3178"/>
        <v/>
      </c>
      <c r="EJ221" s="40" t="str">
        <f t="shared" si="3179"/>
        <v/>
      </c>
      <c r="EK221" s="40" t="str">
        <f t="shared" si="3180"/>
        <v/>
      </c>
      <c r="EL221" s="40" t="str">
        <f t="shared" si="3181"/>
        <v/>
      </c>
      <c r="EM221" s="40" t="str">
        <f t="shared" si="3182"/>
        <v/>
      </c>
      <c r="EN221" s="40" t="str">
        <f t="shared" si="3183"/>
        <v/>
      </c>
      <c r="EO221" s="40" t="str">
        <f t="shared" si="3184"/>
        <v/>
      </c>
      <c r="EP221" s="40" t="str">
        <f t="shared" si="3185"/>
        <v/>
      </c>
      <c r="EQ221" s="40" t="str">
        <f t="shared" si="3186"/>
        <v/>
      </c>
      <c r="ER221" s="40" t="str">
        <f t="shared" si="3187"/>
        <v/>
      </c>
      <c r="ES221" s="40" t="str">
        <f t="shared" si="3188"/>
        <v/>
      </c>
      <c r="ET221" s="40" t="str">
        <f t="shared" si="3189"/>
        <v/>
      </c>
      <c r="EU221" s="40" t="str">
        <f t="shared" si="3190"/>
        <v/>
      </c>
      <c r="EV221" s="40" t="str">
        <f t="shared" si="3191"/>
        <v/>
      </c>
      <c r="EW221" s="40" t="str">
        <f t="shared" si="3192"/>
        <v/>
      </c>
      <c r="EX221" s="40" t="str">
        <f t="shared" si="3193"/>
        <v/>
      </c>
      <c r="EY221" s="40" t="str">
        <f t="shared" si="3194"/>
        <v/>
      </c>
      <c r="EZ221" s="40" t="str">
        <f t="shared" si="3195"/>
        <v/>
      </c>
      <c r="FA221" s="40" t="str">
        <f t="shared" si="3196"/>
        <v/>
      </c>
      <c r="FB221" s="40" t="str">
        <f t="shared" si="3197"/>
        <v/>
      </c>
      <c r="FC221" s="40" t="str">
        <f t="shared" si="3198"/>
        <v/>
      </c>
      <c r="FD221" s="40" t="str">
        <f t="shared" si="3199"/>
        <v/>
      </c>
      <c r="FE221" s="40" t="str">
        <f t="shared" si="3200"/>
        <v/>
      </c>
      <c r="FF221" s="40" t="str">
        <f t="shared" si="3201"/>
        <v/>
      </c>
      <c r="FG221" s="40" t="str">
        <f t="shared" si="3202"/>
        <v/>
      </c>
      <c r="FH221" s="40" t="str">
        <f t="shared" si="3203"/>
        <v/>
      </c>
      <c r="FI221" s="40" t="str">
        <f t="shared" si="3204"/>
        <v/>
      </c>
      <c r="FJ221" s="40" t="str">
        <f t="shared" si="3205"/>
        <v/>
      </c>
      <c r="FK221" s="40" t="str">
        <f t="shared" si="3206"/>
        <v/>
      </c>
      <c r="FL221" s="40" t="str">
        <f t="shared" si="3207"/>
        <v/>
      </c>
      <c r="FM221" s="40" t="str">
        <f t="shared" si="3208"/>
        <v/>
      </c>
      <c r="FN221" s="40" t="str">
        <f t="shared" si="3209"/>
        <v/>
      </c>
      <c r="FO221" s="40" t="str">
        <f t="shared" si="3210"/>
        <v/>
      </c>
      <c r="FP221" s="40" t="str">
        <f t="shared" si="3211"/>
        <v/>
      </c>
      <c r="FQ221" s="40" t="str">
        <f t="shared" si="3212"/>
        <v/>
      </c>
      <c r="FR221" s="40" t="str">
        <f t="shared" si="3213"/>
        <v/>
      </c>
      <c r="FS221" s="40" t="str">
        <f t="shared" si="3214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15"/>
        <v>InitUnitState('',,,,,,,,,,)</v>
      </c>
      <c r="CO222" s="58" t="str">
        <f t="shared" si="3216"/>
        <v>InitUnitNormal('',,,,,,,,,,)</v>
      </c>
      <c r="CP222" s="58" t="str">
        <f t="shared" si="3217"/>
        <v>InitUnitMagic('',,,,,,,,,,)</v>
      </c>
      <c r="CQ222" s="58" t="str">
        <f t="shared" si="3218"/>
        <v>InitUnitAdd('',,,,,,,,,,)</v>
      </c>
      <c r="CR222" s="58" t="str">
        <f t="shared" si="3072"/>
        <v>InitEquipData('',,"",,,,,'','','','','','',"")</v>
      </c>
      <c r="CS222" s="58"/>
      <c r="CT222" s="58"/>
      <c r="CU222" s="61" t="str">
        <f t="shared" si="3144"/>
        <v>|n</v>
      </c>
      <c r="CV222" s="3"/>
      <c r="DB222" s="40" t="str">
        <f t="shared" si="3145"/>
        <v/>
      </c>
      <c r="DC222" s="40" t="str">
        <f t="shared" si="3146"/>
        <v/>
      </c>
      <c r="DD222" s="40" t="str">
        <f t="shared" si="3147"/>
        <v/>
      </c>
      <c r="DE222" s="40" t="str">
        <f t="shared" si="3148"/>
        <v/>
      </c>
      <c r="DF222" s="40" t="str">
        <f t="shared" si="3149"/>
        <v/>
      </c>
      <c r="DG222" s="40" t="str">
        <f t="shared" si="3150"/>
        <v/>
      </c>
      <c r="DH222" s="40" t="str">
        <f t="shared" si="3151"/>
        <v/>
      </c>
      <c r="DI222" s="40" t="str">
        <f t="shared" si="3152"/>
        <v/>
      </c>
      <c r="DJ222" s="40" t="str">
        <f t="shared" si="3153"/>
        <v/>
      </c>
      <c r="DK222" s="40" t="str">
        <f t="shared" si="3154"/>
        <v/>
      </c>
      <c r="DL222" s="40" t="str">
        <f t="shared" si="3155"/>
        <v/>
      </c>
      <c r="DM222" s="40" t="str">
        <f t="shared" si="3156"/>
        <v/>
      </c>
      <c r="DN222" s="40" t="str">
        <f t="shared" si="3157"/>
        <v/>
      </c>
      <c r="DO222" s="40" t="str">
        <f t="shared" si="3158"/>
        <v/>
      </c>
      <c r="DP222" s="40" t="str">
        <f t="shared" si="3159"/>
        <v/>
      </c>
      <c r="DQ222" s="40" t="str">
        <f t="shared" si="3160"/>
        <v/>
      </c>
      <c r="DR222" s="40" t="str">
        <f t="shared" si="3161"/>
        <v/>
      </c>
      <c r="DS222" s="40" t="str">
        <f t="shared" si="3162"/>
        <v/>
      </c>
      <c r="DT222" s="40" t="str">
        <f t="shared" si="3163"/>
        <v/>
      </c>
      <c r="DU222" s="40" t="str">
        <f t="shared" si="3164"/>
        <v/>
      </c>
      <c r="DV222" s="40" t="str">
        <f t="shared" si="3165"/>
        <v/>
      </c>
      <c r="DW222" s="40" t="str">
        <f t="shared" si="3166"/>
        <v/>
      </c>
      <c r="DX222" s="40" t="str">
        <f t="shared" si="3167"/>
        <v/>
      </c>
      <c r="DY222" s="40" t="str">
        <f t="shared" si="3168"/>
        <v/>
      </c>
      <c r="DZ222" s="40" t="str">
        <f t="shared" si="3169"/>
        <v/>
      </c>
      <c r="EA222" s="40" t="str">
        <f t="shared" si="3170"/>
        <v/>
      </c>
      <c r="EB222" s="40" t="str">
        <f t="shared" si="3171"/>
        <v/>
      </c>
      <c r="EC222" s="40" t="str">
        <f t="shared" si="3172"/>
        <v/>
      </c>
      <c r="ED222" s="40" t="str">
        <f t="shared" si="3173"/>
        <v/>
      </c>
      <c r="EE222" s="40" t="str">
        <f t="shared" si="3174"/>
        <v/>
      </c>
      <c r="EF222" s="40" t="str">
        <f t="shared" si="3175"/>
        <v/>
      </c>
      <c r="EG222" s="40" t="str">
        <f t="shared" si="3176"/>
        <v/>
      </c>
      <c r="EH222" s="40" t="str">
        <f t="shared" si="3177"/>
        <v/>
      </c>
      <c r="EI222" s="40" t="str">
        <f t="shared" si="3178"/>
        <v/>
      </c>
      <c r="EJ222" s="40" t="str">
        <f t="shared" si="3179"/>
        <v/>
      </c>
      <c r="EK222" s="40" t="str">
        <f t="shared" si="3180"/>
        <v/>
      </c>
      <c r="EL222" s="40" t="str">
        <f t="shared" si="3181"/>
        <v/>
      </c>
      <c r="EM222" s="40" t="str">
        <f t="shared" si="3182"/>
        <v/>
      </c>
      <c r="EN222" s="40" t="str">
        <f t="shared" si="3183"/>
        <v/>
      </c>
      <c r="EO222" s="40" t="str">
        <f t="shared" si="3184"/>
        <v/>
      </c>
      <c r="EP222" s="40" t="str">
        <f t="shared" si="3185"/>
        <v/>
      </c>
      <c r="EQ222" s="40" t="str">
        <f t="shared" si="3186"/>
        <v/>
      </c>
      <c r="ER222" s="40" t="str">
        <f t="shared" si="3187"/>
        <v/>
      </c>
      <c r="ES222" s="40" t="str">
        <f t="shared" si="3188"/>
        <v/>
      </c>
      <c r="ET222" s="40" t="str">
        <f t="shared" si="3189"/>
        <v/>
      </c>
      <c r="EU222" s="40" t="str">
        <f t="shared" si="3190"/>
        <v/>
      </c>
      <c r="EV222" s="40" t="str">
        <f t="shared" si="3191"/>
        <v/>
      </c>
      <c r="EW222" s="40" t="str">
        <f t="shared" si="3192"/>
        <v/>
      </c>
      <c r="EX222" s="40" t="str">
        <f t="shared" si="3193"/>
        <v/>
      </c>
      <c r="EY222" s="40" t="str">
        <f t="shared" si="3194"/>
        <v/>
      </c>
      <c r="EZ222" s="40" t="str">
        <f t="shared" si="3195"/>
        <v/>
      </c>
      <c r="FA222" s="40" t="str">
        <f t="shared" si="3196"/>
        <v/>
      </c>
      <c r="FB222" s="40" t="str">
        <f t="shared" si="3197"/>
        <v/>
      </c>
      <c r="FC222" s="40" t="str">
        <f t="shared" si="3198"/>
        <v/>
      </c>
      <c r="FD222" s="40" t="str">
        <f t="shared" si="3199"/>
        <v/>
      </c>
      <c r="FE222" s="40" t="str">
        <f t="shared" si="3200"/>
        <v/>
      </c>
      <c r="FF222" s="40" t="str">
        <f t="shared" si="3201"/>
        <v/>
      </c>
      <c r="FG222" s="40" t="str">
        <f t="shared" si="3202"/>
        <v/>
      </c>
      <c r="FH222" s="40" t="str">
        <f t="shared" si="3203"/>
        <v/>
      </c>
      <c r="FI222" s="40" t="str">
        <f t="shared" si="3204"/>
        <v/>
      </c>
      <c r="FJ222" s="40" t="str">
        <f t="shared" si="3205"/>
        <v/>
      </c>
      <c r="FK222" s="40" t="str">
        <f t="shared" si="3206"/>
        <v/>
      </c>
      <c r="FL222" s="40" t="str">
        <f t="shared" si="3207"/>
        <v/>
      </c>
      <c r="FM222" s="40" t="str">
        <f t="shared" si="3208"/>
        <v/>
      </c>
      <c r="FN222" s="40" t="str">
        <f t="shared" si="3209"/>
        <v/>
      </c>
      <c r="FO222" s="40" t="str">
        <f t="shared" si="3210"/>
        <v/>
      </c>
      <c r="FP222" s="40" t="str">
        <f t="shared" si="3211"/>
        <v/>
      </c>
      <c r="FQ222" s="40" t="str">
        <f t="shared" si="3212"/>
        <v/>
      </c>
      <c r="FR222" s="40" t="str">
        <f t="shared" si="3213"/>
        <v/>
      </c>
      <c r="FS222" s="40" t="str">
        <f t="shared" si="3214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5"/>
        <v>InitUnitState('',,,,,,,,,,)</v>
      </c>
      <c r="CO223" s="58" t="str">
        <f t="shared" si="3216"/>
        <v>InitUnitNormal('',,,,,,,,,,)</v>
      </c>
      <c r="CP223" s="58" t="str">
        <f t="shared" si="3217"/>
        <v>InitUnitMagic('',,,,,,,,,,)</v>
      </c>
      <c r="CQ223" s="58" t="str">
        <f t="shared" si="3218"/>
        <v>InitUnitAdd('',,,,,,,,,,)</v>
      </c>
      <c r="CR223" s="58" t="str">
        <f t="shared" si="3072"/>
        <v>InitEquipData('',,"",,,,,'','','','','','',"")</v>
      </c>
      <c r="CS223" s="58"/>
      <c r="CT223" s="58"/>
      <c r="CU223" s="61" t="str">
        <f t="shared" si="3144"/>
        <v>|n</v>
      </c>
      <c r="CV223" s="3"/>
      <c r="DB223" s="40" t="str">
        <f t="shared" si="3145"/>
        <v/>
      </c>
      <c r="DC223" s="40" t="str">
        <f t="shared" si="3146"/>
        <v/>
      </c>
      <c r="DD223" s="40" t="str">
        <f t="shared" si="3147"/>
        <v/>
      </c>
      <c r="DE223" s="40" t="str">
        <f t="shared" si="3148"/>
        <v/>
      </c>
      <c r="DF223" s="40" t="str">
        <f t="shared" si="3149"/>
        <v/>
      </c>
      <c r="DG223" s="40" t="str">
        <f t="shared" si="3150"/>
        <v/>
      </c>
      <c r="DH223" s="40" t="str">
        <f t="shared" si="3151"/>
        <v/>
      </c>
      <c r="DI223" s="40" t="str">
        <f t="shared" si="3152"/>
        <v/>
      </c>
      <c r="DJ223" s="40" t="str">
        <f t="shared" si="3153"/>
        <v/>
      </c>
      <c r="DK223" s="40" t="str">
        <f t="shared" si="3154"/>
        <v/>
      </c>
      <c r="DL223" s="40" t="str">
        <f t="shared" si="3155"/>
        <v/>
      </c>
      <c r="DM223" s="40" t="str">
        <f t="shared" si="3156"/>
        <v/>
      </c>
      <c r="DN223" s="40" t="str">
        <f t="shared" si="3157"/>
        <v/>
      </c>
      <c r="DO223" s="40" t="str">
        <f t="shared" si="3158"/>
        <v/>
      </c>
      <c r="DP223" s="40" t="str">
        <f t="shared" si="3159"/>
        <v/>
      </c>
      <c r="DQ223" s="40" t="str">
        <f t="shared" si="3160"/>
        <v/>
      </c>
      <c r="DR223" s="40" t="str">
        <f t="shared" si="3161"/>
        <v/>
      </c>
      <c r="DS223" s="40" t="str">
        <f t="shared" si="3162"/>
        <v/>
      </c>
      <c r="DT223" s="40" t="str">
        <f t="shared" si="3163"/>
        <v/>
      </c>
      <c r="DU223" s="40" t="str">
        <f t="shared" si="3164"/>
        <v/>
      </c>
      <c r="DV223" s="40" t="str">
        <f t="shared" si="3165"/>
        <v/>
      </c>
      <c r="DW223" s="40" t="str">
        <f t="shared" si="3166"/>
        <v/>
      </c>
      <c r="DX223" s="40" t="str">
        <f t="shared" si="3167"/>
        <v/>
      </c>
      <c r="DY223" s="40" t="str">
        <f t="shared" si="3168"/>
        <v/>
      </c>
      <c r="DZ223" s="40" t="str">
        <f t="shared" si="3169"/>
        <v/>
      </c>
      <c r="EA223" s="40" t="str">
        <f t="shared" si="3170"/>
        <v/>
      </c>
      <c r="EB223" s="40" t="str">
        <f t="shared" si="3171"/>
        <v/>
      </c>
      <c r="EC223" s="40" t="str">
        <f t="shared" si="3172"/>
        <v/>
      </c>
      <c r="ED223" s="40" t="str">
        <f t="shared" si="3173"/>
        <v/>
      </c>
      <c r="EE223" s="40" t="str">
        <f t="shared" si="3174"/>
        <v/>
      </c>
      <c r="EF223" s="40" t="str">
        <f t="shared" si="3175"/>
        <v/>
      </c>
      <c r="EG223" s="40" t="str">
        <f t="shared" si="3176"/>
        <v/>
      </c>
      <c r="EH223" s="40" t="str">
        <f t="shared" si="3177"/>
        <v/>
      </c>
      <c r="EI223" s="40" t="str">
        <f t="shared" si="3178"/>
        <v/>
      </c>
      <c r="EJ223" s="40" t="str">
        <f t="shared" si="3179"/>
        <v/>
      </c>
      <c r="EK223" s="40" t="str">
        <f t="shared" si="3180"/>
        <v/>
      </c>
      <c r="EL223" s="40" t="str">
        <f t="shared" si="3181"/>
        <v/>
      </c>
      <c r="EM223" s="40" t="str">
        <f t="shared" si="3182"/>
        <v/>
      </c>
      <c r="EN223" s="40" t="str">
        <f t="shared" si="3183"/>
        <v/>
      </c>
      <c r="EO223" s="40" t="str">
        <f t="shared" si="3184"/>
        <v/>
      </c>
      <c r="EP223" s="40" t="str">
        <f t="shared" si="3185"/>
        <v/>
      </c>
      <c r="EQ223" s="40" t="str">
        <f t="shared" si="3186"/>
        <v/>
      </c>
      <c r="ER223" s="40" t="str">
        <f t="shared" si="3187"/>
        <v/>
      </c>
      <c r="ES223" s="40" t="str">
        <f t="shared" si="3188"/>
        <v/>
      </c>
      <c r="ET223" s="40" t="str">
        <f t="shared" si="3189"/>
        <v/>
      </c>
      <c r="EU223" s="40" t="str">
        <f t="shared" si="3190"/>
        <v/>
      </c>
      <c r="EV223" s="40" t="str">
        <f t="shared" si="3191"/>
        <v/>
      </c>
      <c r="EW223" s="40" t="str">
        <f t="shared" si="3192"/>
        <v/>
      </c>
      <c r="EX223" s="40" t="str">
        <f t="shared" si="3193"/>
        <v/>
      </c>
      <c r="EY223" s="40" t="str">
        <f t="shared" si="3194"/>
        <v/>
      </c>
      <c r="EZ223" s="40" t="str">
        <f t="shared" si="3195"/>
        <v/>
      </c>
      <c r="FA223" s="40" t="str">
        <f t="shared" si="3196"/>
        <v/>
      </c>
      <c r="FB223" s="40" t="str">
        <f t="shared" si="3197"/>
        <v/>
      </c>
      <c r="FC223" s="40" t="str">
        <f t="shared" si="3198"/>
        <v/>
      </c>
      <c r="FD223" s="40" t="str">
        <f t="shared" si="3199"/>
        <v/>
      </c>
      <c r="FE223" s="40" t="str">
        <f t="shared" si="3200"/>
        <v/>
      </c>
      <c r="FF223" s="40" t="str">
        <f t="shared" si="3201"/>
        <v/>
      </c>
      <c r="FG223" s="40" t="str">
        <f t="shared" si="3202"/>
        <v/>
      </c>
      <c r="FH223" s="40" t="str">
        <f t="shared" si="3203"/>
        <v/>
      </c>
      <c r="FI223" s="40" t="str">
        <f t="shared" si="3204"/>
        <v/>
      </c>
      <c r="FJ223" s="40" t="str">
        <f t="shared" si="3205"/>
        <v/>
      </c>
      <c r="FK223" s="40" t="str">
        <f t="shared" si="3206"/>
        <v/>
      </c>
      <c r="FL223" s="40" t="str">
        <f t="shared" si="3207"/>
        <v/>
      </c>
      <c r="FM223" s="40" t="str">
        <f t="shared" si="3208"/>
        <v/>
      </c>
      <c r="FN223" s="40" t="str">
        <f t="shared" si="3209"/>
        <v/>
      </c>
      <c r="FO223" s="40" t="str">
        <f t="shared" si="3210"/>
        <v/>
      </c>
      <c r="FP223" s="40" t="str">
        <f t="shared" si="3211"/>
        <v/>
      </c>
      <c r="FQ223" s="40" t="str">
        <f t="shared" si="3212"/>
        <v/>
      </c>
      <c r="FR223" s="40" t="str">
        <f t="shared" si="3213"/>
        <v/>
      </c>
      <c r="FS223" s="40" t="str">
        <f t="shared" si="3214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5"/>
        <v>InitUnitState('',,,,,,,,,,)</v>
      </c>
      <c r="CO224" s="58" t="str">
        <f t="shared" si="3216"/>
        <v>InitUnitNormal('',,,,,,,,,,)</v>
      </c>
      <c r="CP224" s="58" t="str">
        <f t="shared" si="3217"/>
        <v>InitUnitMagic('',,,,,,,,,,)</v>
      </c>
      <c r="CQ224" s="58" t="str">
        <f t="shared" si="3218"/>
        <v>InitUnitAdd('',,,,,,,,,,)</v>
      </c>
      <c r="CR224" s="58" t="str">
        <f t="shared" si="3072"/>
        <v>InitEquipData('',,"",,,,,'','','','','','',"")</v>
      </c>
      <c r="CS224" s="58"/>
      <c r="CT224" s="58"/>
      <c r="CU224" s="61" t="str">
        <f t="shared" si="3144"/>
        <v>|n</v>
      </c>
      <c r="CV224" s="3"/>
      <c r="DB224" s="40" t="str">
        <f t="shared" si="3145"/>
        <v/>
      </c>
      <c r="DC224" s="40" t="str">
        <f t="shared" si="3146"/>
        <v/>
      </c>
      <c r="DD224" s="40" t="str">
        <f t="shared" si="3147"/>
        <v/>
      </c>
      <c r="DE224" s="40" t="str">
        <f t="shared" si="3148"/>
        <v/>
      </c>
      <c r="DF224" s="40" t="str">
        <f t="shared" si="3149"/>
        <v/>
      </c>
      <c r="DG224" s="40" t="str">
        <f t="shared" si="3150"/>
        <v/>
      </c>
      <c r="DH224" s="40" t="str">
        <f t="shared" si="3151"/>
        <v/>
      </c>
      <c r="DI224" s="40" t="str">
        <f t="shared" si="3152"/>
        <v/>
      </c>
      <c r="DJ224" s="40" t="str">
        <f t="shared" si="3153"/>
        <v/>
      </c>
      <c r="DK224" s="40" t="str">
        <f t="shared" si="3154"/>
        <v/>
      </c>
      <c r="DL224" s="40" t="str">
        <f t="shared" si="3155"/>
        <v/>
      </c>
      <c r="DM224" s="40" t="str">
        <f t="shared" si="3156"/>
        <v/>
      </c>
      <c r="DN224" s="40" t="str">
        <f t="shared" si="3157"/>
        <v/>
      </c>
      <c r="DO224" s="40" t="str">
        <f t="shared" si="3158"/>
        <v/>
      </c>
      <c r="DP224" s="40" t="str">
        <f t="shared" si="3159"/>
        <v/>
      </c>
      <c r="DQ224" s="40" t="str">
        <f t="shared" si="3160"/>
        <v/>
      </c>
      <c r="DR224" s="40" t="str">
        <f t="shared" si="3161"/>
        <v/>
      </c>
      <c r="DS224" s="40" t="str">
        <f t="shared" si="3162"/>
        <v/>
      </c>
      <c r="DT224" s="40" t="str">
        <f t="shared" si="3163"/>
        <v/>
      </c>
      <c r="DU224" s="40" t="str">
        <f t="shared" si="3164"/>
        <v/>
      </c>
      <c r="DV224" s="40" t="str">
        <f t="shared" si="3165"/>
        <v/>
      </c>
      <c r="DW224" s="40" t="str">
        <f t="shared" si="3166"/>
        <v/>
      </c>
      <c r="DX224" s="40" t="str">
        <f t="shared" si="3167"/>
        <v/>
      </c>
      <c r="DY224" s="40" t="str">
        <f t="shared" si="3168"/>
        <v/>
      </c>
      <c r="DZ224" s="40" t="str">
        <f t="shared" si="3169"/>
        <v/>
      </c>
      <c r="EA224" s="40" t="str">
        <f t="shared" si="3170"/>
        <v/>
      </c>
      <c r="EB224" s="40" t="str">
        <f t="shared" si="3171"/>
        <v/>
      </c>
      <c r="EC224" s="40" t="str">
        <f t="shared" si="3172"/>
        <v/>
      </c>
      <c r="ED224" s="40" t="str">
        <f t="shared" si="3173"/>
        <v/>
      </c>
      <c r="EE224" s="40" t="str">
        <f t="shared" si="3174"/>
        <v/>
      </c>
      <c r="EF224" s="40" t="str">
        <f t="shared" si="3175"/>
        <v/>
      </c>
      <c r="EG224" s="40" t="str">
        <f t="shared" si="3176"/>
        <v/>
      </c>
      <c r="EH224" s="40" t="str">
        <f t="shared" si="3177"/>
        <v/>
      </c>
      <c r="EI224" s="40" t="str">
        <f t="shared" si="3178"/>
        <v/>
      </c>
      <c r="EJ224" s="40" t="str">
        <f t="shared" si="3179"/>
        <v/>
      </c>
      <c r="EK224" s="40" t="str">
        <f t="shared" si="3180"/>
        <v/>
      </c>
      <c r="EL224" s="40" t="str">
        <f t="shared" si="3181"/>
        <v/>
      </c>
      <c r="EM224" s="40" t="str">
        <f t="shared" si="3182"/>
        <v/>
      </c>
      <c r="EN224" s="40" t="str">
        <f t="shared" si="3183"/>
        <v/>
      </c>
      <c r="EO224" s="40" t="str">
        <f t="shared" si="3184"/>
        <v/>
      </c>
      <c r="EP224" s="40" t="str">
        <f t="shared" si="3185"/>
        <v/>
      </c>
      <c r="EQ224" s="40" t="str">
        <f t="shared" si="3186"/>
        <v/>
      </c>
      <c r="ER224" s="40" t="str">
        <f t="shared" si="3187"/>
        <v/>
      </c>
      <c r="ES224" s="40" t="str">
        <f t="shared" si="3188"/>
        <v/>
      </c>
      <c r="ET224" s="40" t="str">
        <f t="shared" si="3189"/>
        <v/>
      </c>
      <c r="EU224" s="40" t="str">
        <f t="shared" si="3190"/>
        <v/>
      </c>
      <c r="EV224" s="40" t="str">
        <f t="shared" si="3191"/>
        <v/>
      </c>
      <c r="EW224" s="40" t="str">
        <f t="shared" si="3192"/>
        <v/>
      </c>
      <c r="EX224" s="40" t="str">
        <f t="shared" si="3193"/>
        <v/>
      </c>
      <c r="EY224" s="40" t="str">
        <f t="shared" si="3194"/>
        <v/>
      </c>
      <c r="EZ224" s="40" t="str">
        <f t="shared" si="3195"/>
        <v/>
      </c>
      <c r="FA224" s="40" t="str">
        <f t="shared" si="3196"/>
        <v/>
      </c>
      <c r="FB224" s="40" t="str">
        <f t="shared" si="3197"/>
        <v/>
      </c>
      <c r="FC224" s="40" t="str">
        <f t="shared" si="3198"/>
        <v/>
      </c>
      <c r="FD224" s="40" t="str">
        <f t="shared" si="3199"/>
        <v/>
      </c>
      <c r="FE224" s="40" t="str">
        <f t="shared" si="3200"/>
        <v/>
      </c>
      <c r="FF224" s="40" t="str">
        <f t="shared" si="3201"/>
        <v/>
      </c>
      <c r="FG224" s="40" t="str">
        <f t="shared" si="3202"/>
        <v/>
      </c>
      <c r="FH224" s="40" t="str">
        <f t="shared" si="3203"/>
        <v/>
      </c>
      <c r="FI224" s="40" t="str">
        <f t="shared" si="3204"/>
        <v/>
      </c>
      <c r="FJ224" s="40" t="str">
        <f t="shared" si="3205"/>
        <v/>
      </c>
      <c r="FK224" s="40" t="str">
        <f t="shared" si="3206"/>
        <v/>
      </c>
      <c r="FL224" s="40" t="str">
        <f t="shared" si="3207"/>
        <v/>
      </c>
      <c r="FM224" s="40" t="str">
        <f t="shared" si="3208"/>
        <v/>
      </c>
      <c r="FN224" s="40" t="str">
        <f t="shared" si="3209"/>
        <v/>
      </c>
      <c r="FO224" s="40" t="str">
        <f t="shared" si="3210"/>
        <v/>
      </c>
      <c r="FP224" s="40" t="str">
        <f t="shared" si="3211"/>
        <v/>
      </c>
      <c r="FQ224" s="40" t="str">
        <f t="shared" si="3212"/>
        <v/>
      </c>
      <c r="FR224" s="40" t="str">
        <f t="shared" si="3213"/>
        <v/>
      </c>
      <c r="FS224" s="40" t="str">
        <f t="shared" si="3214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5"/>
        <v>InitUnitState('',,,,,,,,,,)</v>
      </c>
      <c r="CO225" s="58" t="str">
        <f t="shared" si="3216"/>
        <v>InitUnitNormal('',,,,,,,,,,)</v>
      </c>
      <c r="CP225" s="58" t="str">
        <f t="shared" si="3217"/>
        <v>InitUnitMagic('',,,,,,,,,,)</v>
      </c>
      <c r="CQ225" s="58" t="str">
        <f t="shared" si="3218"/>
        <v>InitUnitAdd('',,,,,,,,,,)</v>
      </c>
      <c r="CR225" s="58" t="str">
        <f t="shared" si="3072"/>
        <v>InitEquipData('',,"",,,,,'','','','','','',"")</v>
      </c>
      <c r="CS225" s="58"/>
      <c r="CT225" s="58"/>
      <c r="CU225" s="61" t="str">
        <f t="shared" si="3144"/>
        <v>|n</v>
      </c>
      <c r="CV225" s="3"/>
      <c r="DB225" s="40" t="str">
        <f t="shared" si="3145"/>
        <v/>
      </c>
      <c r="DC225" s="40" t="str">
        <f t="shared" si="3146"/>
        <v/>
      </c>
      <c r="DD225" s="40" t="str">
        <f t="shared" si="3147"/>
        <v/>
      </c>
      <c r="DE225" s="40" t="str">
        <f t="shared" si="3148"/>
        <v/>
      </c>
      <c r="DF225" s="40" t="str">
        <f t="shared" si="3149"/>
        <v/>
      </c>
      <c r="DG225" s="40" t="str">
        <f t="shared" si="3150"/>
        <v/>
      </c>
      <c r="DH225" s="40" t="str">
        <f t="shared" si="3151"/>
        <v/>
      </c>
      <c r="DI225" s="40" t="str">
        <f t="shared" si="3152"/>
        <v/>
      </c>
      <c r="DJ225" s="40" t="str">
        <f t="shared" si="3153"/>
        <v/>
      </c>
      <c r="DK225" s="40" t="str">
        <f t="shared" si="3154"/>
        <v/>
      </c>
      <c r="DL225" s="40" t="str">
        <f t="shared" si="3155"/>
        <v/>
      </c>
      <c r="DM225" s="40" t="str">
        <f t="shared" si="3156"/>
        <v/>
      </c>
      <c r="DN225" s="40" t="str">
        <f t="shared" si="3157"/>
        <v/>
      </c>
      <c r="DO225" s="40" t="str">
        <f t="shared" si="3158"/>
        <v/>
      </c>
      <c r="DP225" s="40" t="str">
        <f t="shared" si="3159"/>
        <v/>
      </c>
      <c r="DQ225" s="40" t="str">
        <f t="shared" si="3160"/>
        <v/>
      </c>
      <c r="DR225" s="40" t="str">
        <f t="shared" si="3161"/>
        <v/>
      </c>
      <c r="DS225" s="40" t="str">
        <f t="shared" si="3162"/>
        <v/>
      </c>
      <c r="DT225" s="40" t="str">
        <f t="shared" si="3163"/>
        <v/>
      </c>
      <c r="DU225" s="40" t="str">
        <f t="shared" si="3164"/>
        <v/>
      </c>
      <c r="DV225" s="40" t="str">
        <f t="shared" si="3165"/>
        <v/>
      </c>
      <c r="DW225" s="40" t="str">
        <f t="shared" si="3166"/>
        <v/>
      </c>
      <c r="DX225" s="40" t="str">
        <f t="shared" si="3167"/>
        <v/>
      </c>
      <c r="DY225" s="40" t="str">
        <f t="shared" si="3168"/>
        <v/>
      </c>
      <c r="DZ225" s="40" t="str">
        <f t="shared" si="3169"/>
        <v/>
      </c>
      <c r="EA225" s="40" t="str">
        <f t="shared" si="3170"/>
        <v/>
      </c>
      <c r="EB225" s="40" t="str">
        <f t="shared" si="3171"/>
        <v/>
      </c>
      <c r="EC225" s="40" t="str">
        <f t="shared" si="3172"/>
        <v/>
      </c>
      <c r="ED225" s="40" t="str">
        <f t="shared" si="3173"/>
        <v/>
      </c>
      <c r="EE225" s="40" t="str">
        <f t="shared" si="3174"/>
        <v/>
      </c>
      <c r="EF225" s="40" t="str">
        <f t="shared" si="3175"/>
        <v/>
      </c>
      <c r="EG225" s="40" t="str">
        <f t="shared" si="3176"/>
        <v/>
      </c>
      <c r="EH225" s="40" t="str">
        <f t="shared" si="3177"/>
        <v/>
      </c>
      <c r="EI225" s="40" t="str">
        <f t="shared" si="3178"/>
        <v/>
      </c>
      <c r="EJ225" s="40" t="str">
        <f t="shared" si="3179"/>
        <v/>
      </c>
      <c r="EK225" s="40" t="str">
        <f t="shared" si="3180"/>
        <v/>
      </c>
      <c r="EL225" s="40" t="str">
        <f t="shared" si="3181"/>
        <v/>
      </c>
      <c r="EM225" s="40" t="str">
        <f t="shared" si="3182"/>
        <v/>
      </c>
      <c r="EN225" s="40" t="str">
        <f t="shared" si="3183"/>
        <v/>
      </c>
      <c r="EO225" s="40" t="str">
        <f t="shared" si="3184"/>
        <v/>
      </c>
      <c r="EP225" s="40" t="str">
        <f t="shared" si="3185"/>
        <v/>
      </c>
      <c r="EQ225" s="40" t="str">
        <f t="shared" si="3186"/>
        <v/>
      </c>
      <c r="ER225" s="40" t="str">
        <f t="shared" si="3187"/>
        <v/>
      </c>
      <c r="ES225" s="40" t="str">
        <f t="shared" si="3188"/>
        <v/>
      </c>
      <c r="ET225" s="40" t="str">
        <f t="shared" si="3189"/>
        <v/>
      </c>
      <c r="EU225" s="40" t="str">
        <f t="shared" si="3190"/>
        <v/>
      </c>
      <c r="EV225" s="40" t="str">
        <f t="shared" si="3191"/>
        <v/>
      </c>
      <c r="EW225" s="40" t="str">
        <f t="shared" si="3192"/>
        <v/>
      </c>
      <c r="EX225" s="40" t="str">
        <f t="shared" si="3193"/>
        <v/>
      </c>
      <c r="EY225" s="40" t="str">
        <f t="shared" si="3194"/>
        <v/>
      </c>
      <c r="EZ225" s="40" t="str">
        <f t="shared" si="3195"/>
        <v/>
      </c>
      <c r="FA225" s="40" t="str">
        <f t="shared" si="3196"/>
        <v/>
      </c>
      <c r="FB225" s="40" t="str">
        <f t="shared" si="3197"/>
        <v/>
      </c>
      <c r="FC225" s="40" t="str">
        <f t="shared" si="3198"/>
        <v/>
      </c>
      <c r="FD225" s="40" t="str">
        <f t="shared" si="3199"/>
        <v/>
      </c>
      <c r="FE225" s="40" t="str">
        <f t="shared" si="3200"/>
        <v/>
      </c>
      <c r="FF225" s="40" t="str">
        <f t="shared" si="3201"/>
        <v/>
      </c>
      <c r="FG225" s="40" t="str">
        <f t="shared" si="3202"/>
        <v/>
      </c>
      <c r="FH225" s="40" t="str">
        <f t="shared" si="3203"/>
        <v/>
      </c>
      <c r="FI225" s="40" t="str">
        <f t="shared" si="3204"/>
        <v/>
      </c>
      <c r="FJ225" s="40" t="str">
        <f t="shared" si="3205"/>
        <v/>
      </c>
      <c r="FK225" s="40" t="str">
        <f t="shared" si="3206"/>
        <v/>
      </c>
      <c r="FL225" s="40" t="str">
        <f t="shared" si="3207"/>
        <v/>
      </c>
      <c r="FM225" s="40" t="str">
        <f t="shared" si="3208"/>
        <v/>
      </c>
      <c r="FN225" s="40" t="str">
        <f t="shared" si="3209"/>
        <v/>
      </c>
      <c r="FO225" s="40" t="str">
        <f t="shared" si="3210"/>
        <v/>
      </c>
      <c r="FP225" s="40" t="str">
        <f t="shared" si="3211"/>
        <v/>
      </c>
      <c r="FQ225" s="40" t="str">
        <f t="shared" si="3212"/>
        <v/>
      </c>
      <c r="FR225" s="40" t="str">
        <f t="shared" si="3213"/>
        <v/>
      </c>
      <c r="FS225" s="40" t="str">
        <f t="shared" si="3214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5"/>
        <v>InitUnitState('',,,,,,,,,,)</v>
      </c>
      <c r="CO226" s="58" t="str">
        <f t="shared" si="3216"/>
        <v>InitUnitNormal('',,,,,,,,,,)</v>
      </c>
      <c r="CP226" s="58" t="str">
        <f t="shared" si="3217"/>
        <v>InitUnitMagic('',,,,,,,,,,)</v>
      </c>
      <c r="CQ226" s="58" t="str">
        <f t="shared" si="3218"/>
        <v>InitUnitAdd('',,,,,,,,,,)</v>
      </c>
      <c r="CR226" s="58" t="str">
        <f t="shared" si="3072"/>
        <v>InitEquipData('',,"",,,,,'','','','','','',"")</v>
      </c>
      <c r="CS226" s="58"/>
      <c r="CT226" s="58"/>
      <c r="CU226" s="61" t="str">
        <f t="shared" si="3144"/>
        <v>|n</v>
      </c>
      <c r="CV226" s="3"/>
      <c r="DB226" s="40" t="str">
        <f t="shared" si="3145"/>
        <v/>
      </c>
      <c r="DC226" s="40" t="str">
        <f t="shared" si="3146"/>
        <v/>
      </c>
      <c r="DD226" s="40" t="str">
        <f t="shared" si="3147"/>
        <v/>
      </c>
      <c r="DE226" s="40" t="str">
        <f t="shared" si="3148"/>
        <v/>
      </c>
      <c r="DF226" s="40" t="str">
        <f t="shared" si="3149"/>
        <v/>
      </c>
      <c r="DG226" s="40" t="str">
        <f t="shared" si="3150"/>
        <v/>
      </c>
      <c r="DH226" s="40" t="str">
        <f t="shared" si="3151"/>
        <v/>
      </c>
      <c r="DI226" s="40" t="str">
        <f t="shared" si="3152"/>
        <v/>
      </c>
      <c r="DJ226" s="40" t="str">
        <f t="shared" si="3153"/>
        <v/>
      </c>
      <c r="DK226" s="40" t="str">
        <f t="shared" si="3154"/>
        <v/>
      </c>
      <c r="DL226" s="40" t="str">
        <f t="shared" si="3155"/>
        <v/>
      </c>
      <c r="DM226" s="40" t="str">
        <f t="shared" si="3156"/>
        <v/>
      </c>
      <c r="DN226" s="40" t="str">
        <f t="shared" si="3157"/>
        <v/>
      </c>
      <c r="DO226" s="40" t="str">
        <f t="shared" si="3158"/>
        <v/>
      </c>
      <c r="DP226" s="40" t="str">
        <f t="shared" si="3159"/>
        <v/>
      </c>
      <c r="DQ226" s="40" t="str">
        <f t="shared" si="3160"/>
        <v/>
      </c>
      <c r="DR226" s="40" t="str">
        <f t="shared" si="3161"/>
        <v/>
      </c>
      <c r="DS226" s="40" t="str">
        <f t="shared" si="3162"/>
        <v/>
      </c>
      <c r="DT226" s="40" t="str">
        <f t="shared" si="3163"/>
        <v/>
      </c>
      <c r="DU226" s="40" t="str">
        <f t="shared" si="3164"/>
        <v/>
      </c>
      <c r="DV226" s="40" t="str">
        <f t="shared" si="3165"/>
        <v/>
      </c>
      <c r="DW226" s="40" t="str">
        <f t="shared" si="3166"/>
        <v/>
      </c>
      <c r="DX226" s="40" t="str">
        <f t="shared" si="3167"/>
        <v/>
      </c>
      <c r="DY226" s="40" t="str">
        <f t="shared" si="3168"/>
        <v/>
      </c>
      <c r="DZ226" s="40" t="str">
        <f t="shared" si="3169"/>
        <v/>
      </c>
      <c r="EA226" s="40" t="str">
        <f t="shared" si="3170"/>
        <v/>
      </c>
      <c r="EB226" s="40" t="str">
        <f t="shared" si="3171"/>
        <v/>
      </c>
      <c r="EC226" s="40" t="str">
        <f t="shared" si="3172"/>
        <v/>
      </c>
      <c r="ED226" s="40" t="str">
        <f t="shared" si="3173"/>
        <v/>
      </c>
      <c r="EE226" s="40" t="str">
        <f t="shared" si="3174"/>
        <v/>
      </c>
      <c r="EF226" s="40" t="str">
        <f t="shared" si="3175"/>
        <v/>
      </c>
      <c r="EG226" s="40" t="str">
        <f t="shared" si="3176"/>
        <v/>
      </c>
      <c r="EH226" s="40" t="str">
        <f t="shared" si="3177"/>
        <v/>
      </c>
      <c r="EI226" s="40" t="str">
        <f t="shared" si="3178"/>
        <v/>
      </c>
      <c r="EJ226" s="40" t="str">
        <f t="shared" si="3179"/>
        <v/>
      </c>
      <c r="EK226" s="40" t="str">
        <f t="shared" si="3180"/>
        <v/>
      </c>
      <c r="EL226" s="40" t="str">
        <f t="shared" si="3181"/>
        <v/>
      </c>
      <c r="EM226" s="40" t="str">
        <f t="shared" si="3182"/>
        <v/>
      </c>
      <c r="EN226" s="40" t="str">
        <f t="shared" si="3183"/>
        <v/>
      </c>
      <c r="EO226" s="40" t="str">
        <f t="shared" si="3184"/>
        <v/>
      </c>
      <c r="EP226" s="40" t="str">
        <f t="shared" si="3185"/>
        <v/>
      </c>
      <c r="EQ226" s="40" t="str">
        <f t="shared" si="3186"/>
        <v/>
      </c>
      <c r="ER226" s="40" t="str">
        <f t="shared" si="3187"/>
        <v/>
      </c>
      <c r="ES226" s="40" t="str">
        <f t="shared" si="3188"/>
        <v/>
      </c>
      <c r="ET226" s="40" t="str">
        <f t="shared" si="3189"/>
        <v/>
      </c>
      <c r="EU226" s="40" t="str">
        <f t="shared" si="3190"/>
        <v/>
      </c>
      <c r="EV226" s="40" t="str">
        <f t="shared" si="3191"/>
        <v/>
      </c>
      <c r="EW226" s="40" t="str">
        <f t="shared" si="3192"/>
        <v/>
      </c>
      <c r="EX226" s="40" t="str">
        <f t="shared" si="3193"/>
        <v/>
      </c>
      <c r="EY226" s="40" t="str">
        <f t="shared" si="3194"/>
        <v/>
      </c>
      <c r="EZ226" s="40" t="str">
        <f t="shared" si="3195"/>
        <v/>
      </c>
      <c r="FA226" s="40" t="str">
        <f t="shared" si="3196"/>
        <v/>
      </c>
      <c r="FB226" s="40" t="str">
        <f t="shared" si="3197"/>
        <v/>
      </c>
      <c r="FC226" s="40" t="str">
        <f t="shared" si="3198"/>
        <v/>
      </c>
      <c r="FD226" s="40" t="str">
        <f t="shared" si="3199"/>
        <v/>
      </c>
      <c r="FE226" s="40" t="str">
        <f t="shared" si="3200"/>
        <v/>
      </c>
      <c r="FF226" s="40" t="str">
        <f t="shared" si="3201"/>
        <v/>
      </c>
      <c r="FG226" s="40" t="str">
        <f t="shared" si="3202"/>
        <v/>
      </c>
      <c r="FH226" s="40" t="str">
        <f t="shared" si="3203"/>
        <v/>
      </c>
      <c r="FI226" s="40" t="str">
        <f t="shared" si="3204"/>
        <v/>
      </c>
      <c r="FJ226" s="40" t="str">
        <f t="shared" si="3205"/>
        <v/>
      </c>
      <c r="FK226" s="40" t="str">
        <f t="shared" si="3206"/>
        <v/>
      </c>
      <c r="FL226" s="40" t="str">
        <f t="shared" si="3207"/>
        <v/>
      </c>
      <c r="FM226" s="40" t="str">
        <f t="shared" si="3208"/>
        <v/>
      </c>
      <c r="FN226" s="40" t="str">
        <f t="shared" si="3209"/>
        <v/>
      </c>
      <c r="FO226" s="40" t="str">
        <f t="shared" si="3210"/>
        <v/>
      </c>
      <c r="FP226" s="40" t="str">
        <f t="shared" si="3211"/>
        <v/>
      </c>
      <c r="FQ226" s="40" t="str">
        <f t="shared" si="3212"/>
        <v/>
      </c>
      <c r="FR226" s="40" t="str">
        <f t="shared" si="3213"/>
        <v/>
      </c>
      <c r="FS226" s="40" t="str">
        <f t="shared" si="3214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5"/>
        <v>InitUnitState('',,,,,,,,,,)</v>
      </c>
      <c r="CO227" s="58" t="str">
        <f t="shared" si="3216"/>
        <v>InitUnitNormal('',,,,,,,,,,)</v>
      </c>
      <c r="CP227" s="58" t="str">
        <f t="shared" si="3217"/>
        <v>InitUnitMagic('',,,,,,,,,,)</v>
      </c>
      <c r="CQ227" s="58" t="str">
        <f t="shared" si="3218"/>
        <v>InitUnitAdd('',,,,,,,,,,)</v>
      </c>
      <c r="CR227" s="58" t="str">
        <f t="shared" si="3072"/>
        <v>InitEquipData('',,"",,,,,'','','','','','',"")</v>
      </c>
      <c r="CS227" s="58"/>
      <c r="CT227" s="58"/>
      <c r="CU227" s="61" t="str">
        <f t="shared" si="3144"/>
        <v>|n</v>
      </c>
      <c r="CV227" s="3"/>
      <c r="DB227" s="40" t="str">
        <f t="shared" si="3145"/>
        <v/>
      </c>
      <c r="DC227" s="40" t="str">
        <f t="shared" si="3146"/>
        <v/>
      </c>
      <c r="DD227" s="40" t="str">
        <f t="shared" si="3147"/>
        <v/>
      </c>
      <c r="DE227" s="40" t="str">
        <f t="shared" si="3148"/>
        <v/>
      </c>
      <c r="DF227" s="40" t="str">
        <f t="shared" si="3149"/>
        <v/>
      </c>
      <c r="DG227" s="40" t="str">
        <f t="shared" si="3150"/>
        <v/>
      </c>
      <c r="DH227" s="40" t="str">
        <f t="shared" si="3151"/>
        <v/>
      </c>
      <c r="DI227" s="40" t="str">
        <f t="shared" si="3152"/>
        <v/>
      </c>
      <c r="DJ227" s="40" t="str">
        <f t="shared" si="3153"/>
        <v/>
      </c>
      <c r="DK227" s="40" t="str">
        <f t="shared" si="3154"/>
        <v/>
      </c>
      <c r="DL227" s="40" t="str">
        <f t="shared" si="3155"/>
        <v/>
      </c>
      <c r="DM227" s="40" t="str">
        <f t="shared" si="3156"/>
        <v/>
      </c>
      <c r="DN227" s="40" t="str">
        <f t="shared" si="3157"/>
        <v/>
      </c>
      <c r="DO227" s="40" t="str">
        <f t="shared" si="3158"/>
        <v/>
      </c>
      <c r="DP227" s="40" t="str">
        <f t="shared" si="3159"/>
        <v/>
      </c>
      <c r="DQ227" s="40" t="str">
        <f t="shared" si="3160"/>
        <v/>
      </c>
      <c r="DR227" s="40" t="str">
        <f t="shared" si="3161"/>
        <v/>
      </c>
      <c r="DS227" s="40" t="str">
        <f t="shared" si="3162"/>
        <v/>
      </c>
      <c r="DT227" s="40" t="str">
        <f t="shared" si="3163"/>
        <v/>
      </c>
      <c r="DU227" s="40" t="str">
        <f t="shared" si="3164"/>
        <v/>
      </c>
      <c r="DV227" s="40" t="str">
        <f t="shared" si="3165"/>
        <v/>
      </c>
      <c r="DW227" s="40" t="str">
        <f t="shared" si="3166"/>
        <v/>
      </c>
      <c r="DX227" s="40" t="str">
        <f t="shared" si="3167"/>
        <v/>
      </c>
      <c r="DY227" s="40" t="str">
        <f t="shared" si="3168"/>
        <v/>
      </c>
      <c r="DZ227" s="40" t="str">
        <f t="shared" si="3169"/>
        <v/>
      </c>
      <c r="EA227" s="40" t="str">
        <f t="shared" si="3170"/>
        <v/>
      </c>
      <c r="EB227" s="40" t="str">
        <f t="shared" si="3171"/>
        <v/>
      </c>
      <c r="EC227" s="40" t="str">
        <f t="shared" si="3172"/>
        <v/>
      </c>
      <c r="ED227" s="40" t="str">
        <f t="shared" si="3173"/>
        <v/>
      </c>
      <c r="EE227" s="40" t="str">
        <f t="shared" si="3174"/>
        <v/>
      </c>
      <c r="EF227" s="40" t="str">
        <f t="shared" si="3175"/>
        <v/>
      </c>
      <c r="EG227" s="40" t="str">
        <f t="shared" si="3176"/>
        <v/>
      </c>
      <c r="EH227" s="40" t="str">
        <f t="shared" si="3177"/>
        <v/>
      </c>
      <c r="EI227" s="40" t="str">
        <f t="shared" si="3178"/>
        <v/>
      </c>
      <c r="EJ227" s="40" t="str">
        <f t="shared" si="3179"/>
        <v/>
      </c>
      <c r="EK227" s="40" t="str">
        <f t="shared" si="3180"/>
        <v/>
      </c>
      <c r="EL227" s="40" t="str">
        <f t="shared" si="3181"/>
        <v/>
      </c>
      <c r="EM227" s="40" t="str">
        <f t="shared" si="3182"/>
        <v/>
      </c>
      <c r="EN227" s="40" t="str">
        <f t="shared" si="3183"/>
        <v/>
      </c>
      <c r="EO227" s="40" t="str">
        <f t="shared" si="3184"/>
        <v/>
      </c>
      <c r="EP227" s="40" t="str">
        <f t="shared" si="3185"/>
        <v/>
      </c>
      <c r="EQ227" s="40" t="str">
        <f t="shared" si="3186"/>
        <v/>
      </c>
      <c r="ER227" s="40" t="str">
        <f t="shared" si="3187"/>
        <v/>
      </c>
      <c r="ES227" s="40" t="str">
        <f t="shared" si="3188"/>
        <v/>
      </c>
      <c r="ET227" s="40" t="str">
        <f t="shared" si="3189"/>
        <v/>
      </c>
      <c r="EU227" s="40" t="str">
        <f t="shared" si="3190"/>
        <v/>
      </c>
      <c r="EV227" s="40" t="str">
        <f t="shared" si="3191"/>
        <v/>
      </c>
      <c r="EW227" s="40" t="str">
        <f t="shared" si="3192"/>
        <v/>
      </c>
      <c r="EX227" s="40" t="str">
        <f t="shared" si="3193"/>
        <v/>
      </c>
      <c r="EY227" s="40" t="str">
        <f t="shared" si="3194"/>
        <v/>
      </c>
      <c r="EZ227" s="40" t="str">
        <f t="shared" si="3195"/>
        <v/>
      </c>
      <c r="FA227" s="40" t="str">
        <f t="shared" si="3196"/>
        <v/>
      </c>
      <c r="FB227" s="40" t="str">
        <f t="shared" si="3197"/>
        <v/>
      </c>
      <c r="FC227" s="40" t="str">
        <f t="shared" si="3198"/>
        <v/>
      </c>
      <c r="FD227" s="40" t="str">
        <f t="shared" si="3199"/>
        <v/>
      </c>
      <c r="FE227" s="40" t="str">
        <f t="shared" si="3200"/>
        <v/>
      </c>
      <c r="FF227" s="40" t="str">
        <f t="shared" si="3201"/>
        <v/>
      </c>
      <c r="FG227" s="40" t="str">
        <f t="shared" si="3202"/>
        <v/>
      </c>
      <c r="FH227" s="40" t="str">
        <f t="shared" si="3203"/>
        <v/>
      </c>
      <c r="FI227" s="40" t="str">
        <f t="shared" si="3204"/>
        <v/>
      </c>
      <c r="FJ227" s="40" t="str">
        <f t="shared" si="3205"/>
        <v/>
      </c>
      <c r="FK227" s="40" t="str">
        <f t="shared" si="3206"/>
        <v/>
      </c>
      <c r="FL227" s="40" t="str">
        <f t="shared" si="3207"/>
        <v/>
      </c>
      <c r="FM227" s="40" t="str">
        <f t="shared" si="3208"/>
        <v/>
      </c>
      <c r="FN227" s="40" t="str">
        <f t="shared" si="3209"/>
        <v/>
      </c>
      <c r="FO227" s="40" t="str">
        <f t="shared" si="3210"/>
        <v/>
      </c>
      <c r="FP227" s="40" t="str">
        <f t="shared" si="3211"/>
        <v/>
      </c>
      <c r="FQ227" s="40" t="str">
        <f t="shared" si="3212"/>
        <v/>
      </c>
      <c r="FR227" s="40" t="str">
        <f t="shared" si="3213"/>
        <v/>
      </c>
      <c r="FS227" s="40" t="str">
        <f t="shared" si="3214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5"/>
        <v>InitUnitState('',,,,,,,,,,)</v>
      </c>
      <c r="CO228" s="58" t="str">
        <f t="shared" si="3216"/>
        <v>InitUnitNormal('',,,,,,,,,,)</v>
      </c>
      <c r="CP228" s="58" t="str">
        <f t="shared" si="3217"/>
        <v>InitUnitMagic('',,,,,,,,,,)</v>
      </c>
      <c r="CQ228" s="58" t="str">
        <f t="shared" si="3218"/>
        <v>InitUnitAdd('',,,,,,,,,,)</v>
      </c>
      <c r="CR228" s="58" t="str">
        <f t="shared" si="3072"/>
        <v>InitEquipData('',,"",,,,,'','','','','','',"")</v>
      </c>
      <c r="CS228" s="58"/>
      <c r="CT228" s="58"/>
      <c r="CU228" s="61" t="str">
        <f t="shared" si="3144"/>
        <v>|n</v>
      </c>
      <c r="CV228" s="3"/>
      <c r="DB228" s="40" t="str">
        <f t="shared" si="3145"/>
        <v/>
      </c>
      <c r="DC228" s="40" t="str">
        <f t="shared" si="3146"/>
        <v/>
      </c>
      <c r="DD228" s="40" t="str">
        <f t="shared" si="3147"/>
        <v/>
      </c>
      <c r="DE228" s="40" t="str">
        <f t="shared" si="3148"/>
        <v/>
      </c>
      <c r="DF228" s="40" t="str">
        <f t="shared" si="3149"/>
        <v/>
      </c>
      <c r="DG228" s="40" t="str">
        <f t="shared" si="3150"/>
        <v/>
      </c>
      <c r="DH228" s="40" t="str">
        <f t="shared" si="3151"/>
        <v/>
      </c>
      <c r="DI228" s="40" t="str">
        <f t="shared" si="3152"/>
        <v/>
      </c>
      <c r="DJ228" s="40" t="str">
        <f t="shared" si="3153"/>
        <v/>
      </c>
      <c r="DK228" s="40" t="str">
        <f t="shared" si="3154"/>
        <v/>
      </c>
      <c r="DL228" s="40" t="str">
        <f t="shared" si="3155"/>
        <v/>
      </c>
      <c r="DM228" s="40" t="str">
        <f t="shared" si="3156"/>
        <v/>
      </c>
      <c r="DN228" s="40" t="str">
        <f t="shared" si="3157"/>
        <v/>
      </c>
      <c r="DO228" s="40" t="str">
        <f t="shared" si="3158"/>
        <v/>
      </c>
      <c r="DP228" s="40" t="str">
        <f t="shared" si="3159"/>
        <v/>
      </c>
      <c r="DQ228" s="40" t="str">
        <f t="shared" si="3160"/>
        <v/>
      </c>
      <c r="DR228" s="40" t="str">
        <f t="shared" si="3161"/>
        <v/>
      </c>
      <c r="DS228" s="40" t="str">
        <f t="shared" si="3162"/>
        <v/>
      </c>
      <c r="DT228" s="40" t="str">
        <f t="shared" si="3163"/>
        <v/>
      </c>
      <c r="DU228" s="40" t="str">
        <f t="shared" si="3164"/>
        <v/>
      </c>
      <c r="DV228" s="40" t="str">
        <f t="shared" si="3165"/>
        <v/>
      </c>
      <c r="DW228" s="40" t="str">
        <f t="shared" si="3166"/>
        <v/>
      </c>
      <c r="DX228" s="40" t="str">
        <f t="shared" si="3167"/>
        <v/>
      </c>
      <c r="DY228" s="40" t="str">
        <f t="shared" si="3168"/>
        <v/>
      </c>
      <c r="DZ228" s="40" t="str">
        <f t="shared" si="3169"/>
        <v/>
      </c>
      <c r="EA228" s="40" t="str">
        <f t="shared" si="3170"/>
        <v/>
      </c>
      <c r="EB228" s="40" t="str">
        <f t="shared" si="3171"/>
        <v/>
      </c>
      <c r="EC228" s="40" t="str">
        <f t="shared" si="3172"/>
        <v/>
      </c>
      <c r="ED228" s="40" t="str">
        <f t="shared" si="3173"/>
        <v/>
      </c>
      <c r="EE228" s="40" t="str">
        <f t="shared" si="3174"/>
        <v/>
      </c>
      <c r="EF228" s="40" t="str">
        <f t="shared" si="3175"/>
        <v/>
      </c>
      <c r="EG228" s="40" t="str">
        <f t="shared" si="3176"/>
        <v/>
      </c>
      <c r="EH228" s="40" t="str">
        <f t="shared" si="3177"/>
        <v/>
      </c>
      <c r="EI228" s="40" t="str">
        <f t="shared" si="3178"/>
        <v/>
      </c>
      <c r="EJ228" s="40" t="str">
        <f t="shared" si="3179"/>
        <v/>
      </c>
      <c r="EK228" s="40" t="str">
        <f t="shared" si="3180"/>
        <v/>
      </c>
      <c r="EL228" s="40" t="str">
        <f t="shared" si="3181"/>
        <v/>
      </c>
      <c r="EM228" s="40" t="str">
        <f t="shared" si="3182"/>
        <v/>
      </c>
      <c r="EN228" s="40" t="str">
        <f t="shared" si="3183"/>
        <v/>
      </c>
      <c r="EO228" s="40" t="str">
        <f t="shared" si="3184"/>
        <v/>
      </c>
      <c r="EP228" s="40" t="str">
        <f t="shared" si="3185"/>
        <v/>
      </c>
      <c r="EQ228" s="40" t="str">
        <f t="shared" si="3186"/>
        <v/>
      </c>
      <c r="ER228" s="40" t="str">
        <f t="shared" si="3187"/>
        <v/>
      </c>
      <c r="ES228" s="40" t="str">
        <f t="shared" si="3188"/>
        <v/>
      </c>
      <c r="ET228" s="40" t="str">
        <f t="shared" si="3189"/>
        <v/>
      </c>
      <c r="EU228" s="40" t="str">
        <f t="shared" si="3190"/>
        <v/>
      </c>
      <c r="EV228" s="40" t="str">
        <f t="shared" si="3191"/>
        <v/>
      </c>
      <c r="EW228" s="40" t="str">
        <f t="shared" si="3192"/>
        <v/>
      </c>
      <c r="EX228" s="40" t="str">
        <f t="shared" si="3193"/>
        <v/>
      </c>
      <c r="EY228" s="40" t="str">
        <f t="shared" si="3194"/>
        <v/>
      </c>
      <c r="EZ228" s="40" t="str">
        <f t="shared" si="3195"/>
        <v/>
      </c>
      <c r="FA228" s="40" t="str">
        <f t="shared" si="3196"/>
        <v/>
      </c>
      <c r="FB228" s="40" t="str">
        <f t="shared" si="3197"/>
        <v/>
      </c>
      <c r="FC228" s="40" t="str">
        <f t="shared" si="3198"/>
        <v/>
      </c>
      <c r="FD228" s="40" t="str">
        <f t="shared" si="3199"/>
        <v/>
      </c>
      <c r="FE228" s="40" t="str">
        <f t="shared" si="3200"/>
        <v/>
      </c>
      <c r="FF228" s="40" t="str">
        <f t="shared" si="3201"/>
        <v/>
      </c>
      <c r="FG228" s="40" t="str">
        <f t="shared" si="3202"/>
        <v/>
      </c>
      <c r="FH228" s="40" t="str">
        <f t="shared" si="3203"/>
        <v/>
      </c>
      <c r="FI228" s="40" t="str">
        <f t="shared" si="3204"/>
        <v/>
      </c>
      <c r="FJ228" s="40" t="str">
        <f t="shared" si="3205"/>
        <v/>
      </c>
      <c r="FK228" s="40" t="str">
        <f t="shared" si="3206"/>
        <v/>
      </c>
      <c r="FL228" s="40" t="str">
        <f t="shared" si="3207"/>
        <v/>
      </c>
      <c r="FM228" s="40" t="str">
        <f t="shared" si="3208"/>
        <v/>
      </c>
      <c r="FN228" s="40" t="str">
        <f t="shared" si="3209"/>
        <v/>
      </c>
      <c r="FO228" s="40" t="str">
        <f t="shared" si="3210"/>
        <v/>
      </c>
      <c r="FP228" s="40" t="str">
        <f t="shared" si="3211"/>
        <v/>
      </c>
      <c r="FQ228" s="40" t="str">
        <f t="shared" si="3212"/>
        <v/>
      </c>
      <c r="FR228" s="40" t="str">
        <f t="shared" si="3213"/>
        <v/>
      </c>
      <c r="FS228" s="40" t="str">
        <f t="shared" si="3214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44"/>
        <v>|n</v>
      </c>
      <c r="CW229" s="4"/>
      <c r="CX229" s="4"/>
      <c r="CY229" s="4"/>
      <c r="CZ229" s="4"/>
      <c r="DA229" s="4"/>
      <c r="DB229" s="40" t="str">
        <f t="shared" si="3145"/>
        <v/>
      </c>
      <c r="DC229" s="40" t="str">
        <f t="shared" si="3146"/>
        <v/>
      </c>
      <c r="DD229" s="40" t="str">
        <f t="shared" si="3147"/>
        <v/>
      </c>
      <c r="DE229" s="40" t="str">
        <f t="shared" si="3148"/>
        <v/>
      </c>
      <c r="DF229" s="40" t="str">
        <f t="shared" si="3149"/>
        <v/>
      </c>
      <c r="DG229" s="40" t="str">
        <f t="shared" si="3150"/>
        <v/>
      </c>
      <c r="DH229" s="40" t="str">
        <f t="shared" si="3151"/>
        <v/>
      </c>
      <c r="DI229" s="40" t="str">
        <f t="shared" si="3152"/>
        <v/>
      </c>
      <c r="DJ229" s="40" t="str">
        <f t="shared" si="3153"/>
        <v/>
      </c>
      <c r="DK229" s="40" t="str">
        <f t="shared" si="3154"/>
        <v/>
      </c>
      <c r="DL229" s="40" t="str">
        <f t="shared" si="3155"/>
        <v/>
      </c>
      <c r="DM229" s="40" t="str">
        <f t="shared" si="3156"/>
        <v/>
      </c>
      <c r="DN229" s="40" t="str">
        <f t="shared" si="3157"/>
        <v/>
      </c>
      <c r="DO229" s="40" t="str">
        <f t="shared" si="3158"/>
        <v/>
      </c>
      <c r="DP229" s="40" t="str">
        <f t="shared" si="3159"/>
        <v/>
      </c>
      <c r="DQ229" s="40" t="str">
        <f t="shared" si="3160"/>
        <v/>
      </c>
      <c r="DR229" s="40" t="str">
        <f t="shared" si="3161"/>
        <v/>
      </c>
      <c r="DS229" s="40" t="str">
        <f t="shared" si="3162"/>
        <v/>
      </c>
      <c r="DT229" s="40" t="str">
        <f t="shared" si="3163"/>
        <v/>
      </c>
      <c r="DU229" s="40" t="str">
        <f t="shared" si="3164"/>
        <v/>
      </c>
      <c r="DV229" s="40" t="str">
        <f t="shared" si="3165"/>
        <v/>
      </c>
      <c r="DW229" s="40" t="str">
        <f t="shared" si="3166"/>
        <v/>
      </c>
      <c r="DX229" s="40" t="str">
        <f t="shared" si="3167"/>
        <v/>
      </c>
      <c r="DY229" s="40" t="str">
        <f t="shared" si="3168"/>
        <v/>
      </c>
      <c r="DZ229" s="40" t="str">
        <f t="shared" si="3169"/>
        <v/>
      </c>
      <c r="EA229" s="40" t="str">
        <f t="shared" si="3170"/>
        <v/>
      </c>
      <c r="EB229" s="40" t="str">
        <f t="shared" si="3171"/>
        <v/>
      </c>
      <c r="EC229" s="40" t="str">
        <f t="shared" si="3172"/>
        <v/>
      </c>
      <c r="ED229" s="40" t="str">
        <f t="shared" si="3173"/>
        <v/>
      </c>
      <c r="EE229" s="40" t="str">
        <f t="shared" si="3174"/>
        <v/>
      </c>
      <c r="EF229" s="40" t="str">
        <f t="shared" si="3175"/>
        <v/>
      </c>
      <c r="EG229" s="40" t="str">
        <f t="shared" si="3176"/>
        <v/>
      </c>
      <c r="EH229" s="40" t="str">
        <f t="shared" si="3177"/>
        <v/>
      </c>
      <c r="EI229" s="40" t="str">
        <f t="shared" si="3178"/>
        <v/>
      </c>
      <c r="EJ229" s="40" t="str">
        <f t="shared" si="3179"/>
        <v/>
      </c>
      <c r="EK229" s="40" t="str">
        <f t="shared" si="3180"/>
        <v/>
      </c>
      <c r="EL229" s="40" t="str">
        <f t="shared" si="3181"/>
        <v/>
      </c>
      <c r="EM229" s="40" t="str">
        <f t="shared" si="3182"/>
        <v/>
      </c>
      <c r="EN229" s="40" t="str">
        <f t="shared" si="3183"/>
        <v/>
      </c>
      <c r="EO229" s="40" t="str">
        <f t="shared" si="3184"/>
        <v/>
      </c>
      <c r="EP229" s="40" t="str">
        <f t="shared" si="3185"/>
        <v/>
      </c>
      <c r="EQ229" s="40" t="str">
        <f t="shared" si="3186"/>
        <v/>
      </c>
      <c r="ER229" s="40" t="str">
        <f t="shared" si="3187"/>
        <v/>
      </c>
      <c r="ES229" s="40" t="str">
        <f t="shared" si="3188"/>
        <v/>
      </c>
      <c r="ET229" s="40" t="str">
        <f t="shared" si="3189"/>
        <v/>
      </c>
      <c r="EU229" s="40" t="str">
        <f t="shared" si="3190"/>
        <v/>
      </c>
      <c r="EV229" s="40" t="str">
        <f t="shared" si="3191"/>
        <v/>
      </c>
      <c r="EW229" s="40" t="str">
        <f t="shared" si="3192"/>
        <v/>
      </c>
      <c r="EX229" s="40" t="str">
        <f t="shared" si="3193"/>
        <v/>
      </c>
      <c r="EY229" s="40" t="str">
        <f t="shared" si="3194"/>
        <v/>
      </c>
      <c r="EZ229" s="40" t="str">
        <f t="shared" si="3195"/>
        <v/>
      </c>
      <c r="FA229" s="40" t="str">
        <f t="shared" si="3196"/>
        <v/>
      </c>
      <c r="FB229" s="40" t="str">
        <f t="shared" si="3197"/>
        <v/>
      </c>
      <c r="FC229" s="40" t="str">
        <f t="shared" si="3198"/>
        <v/>
      </c>
      <c r="FD229" s="40" t="str">
        <f t="shared" si="3199"/>
        <v/>
      </c>
      <c r="FE229" s="40" t="str">
        <f t="shared" si="3200"/>
        <v/>
      </c>
      <c r="FF229" s="40" t="str">
        <f t="shared" si="3201"/>
        <v/>
      </c>
      <c r="FG229" s="40" t="str">
        <f t="shared" si="3202"/>
        <v/>
      </c>
      <c r="FH229" s="40" t="str">
        <f t="shared" si="3203"/>
        <v/>
      </c>
      <c r="FI229" s="40" t="str">
        <f t="shared" si="3204"/>
        <v/>
      </c>
      <c r="FJ229" s="40" t="str">
        <f t="shared" si="3205"/>
        <v/>
      </c>
      <c r="FK229" s="40" t="str">
        <f t="shared" si="3206"/>
        <v/>
      </c>
      <c r="FL229" s="40" t="str">
        <f t="shared" si="3207"/>
        <v/>
      </c>
      <c r="FM229" s="40" t="str">
        <f t="shared" si="3208"/>
        <v/>
      </c>
      <c r="FN229" s="40" t="str">
        <f t="shared" si="3209"/>
        <v/>
      </c>
      <c r="FO229" s="40" t="str">
        <f t="shared" si="3210"/>
        <v/>
      </c>
      <c r="FP229" s="40" t="str">
        <f t="shared" si="3211"/>
        <v/>
      </c>
      <c r="FQ229" s="40" t="str">
        <f t="shared" si="3212"/>
        <v/>
      </c>
      <c r="FR229" s="40" t="str">
        <f t="shared" si="3213"/>
        <v/>
      </c>
      <c r="FS229" s="40" t="str">
        <f t="shared" si="3214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44"/>
        <v>|n</v>
      </c>
      <c r="CW230" s="4"/>
      <c r="CX230" s="4"/>
      <c r="CY230" s="4"/>
      <c r="CZ230" s="4"/>
      <c r="DA230" s="4"/>
      <c r="DB230" s="40" t="str">
        <f t="shared" si="3145"/>
        <v/>
      </c>
      <c r="DC230" s="40" t="str">
        <f t="shared" si="3146"/>
        <v/>
      </c>
      <c r="DD230" s="40" t="str">
        <f t="shared" si="3147"/>
        <v/>
      </c>
      <c r="DE230" s="40" t="str">
        <f t="shared" si="3148"/>
        <v/>
      </c>
      <c r="DF230" s="40" t="str">
        <f t="shared" si="3149"/>
        <v/>
      </c>
      <c r="DG230" s="40" t="str">
        <f t="shared" si="3150"/>
        <v/>
      </c>
      <c r="DH230" s="40" t="str">
        <f t="shared" si="3151"/>
        <v/>
      </c>
      <c r="DI230" s="40" t="str">
        <f t="shared" si="3152"/>
        <v/>
      </c>
      <c r="DJ230" s="40" t="str">
        <f t="shared" si="3153"/>
        <v/>
      </c>
      <c r="DK230" s="40" t="str">
        <f t="shared" si="3154"/>
        <v/>
      </c>
      <c r="DL230" s="40" t="str">
        <f t="shared" si="3155"/>
        <v/>
      </c>
      <c r="DM230" s="40" t="str">
        <f t="shared" si="3156"/>
        <v/>
      </c>
      <c r="DN230" s="40" t="str">
        <f t="shared" si="3157"/>
        <v/>
      </c>
      <c r="DO230" s="40" t="str">
        <f t="shared" si="3158"/>
        <v/>
      </c>
      <c r="DP230" s="40" t="str">
        <f t="shared" si="3159"/>
        <v/>
      </c>
      <c r="DQ230" s="40" t="str">
        <f t="shared" si="3160"/>
        <v/>
      </c>
      <c r="DR230" s="40" t="str">
        <f t="shared" si="3161"/>
        <v/>
      </c>
      <c r="DS230" s="40" t="str">
        <f t="shared" si="3162"/>
        <v/>
      </c>
      <c r="DT230" s="40" t="str">
        <f t="shared" si="3163"/>
        <v/>
      </c>
      <c r="DU230" s="40" t="str">
        <f t="shared" si="3164"/>
        <v/>
      </c>
      <c r="DV230" s="40" t="str">
        <f t="shared" si="3165"/>
        <v/>
      </c>
      <c r="DW230" s="40" t="str">
        <f t="shared" si="3166"/>
        <v/>
      </c>
      <c r="DX230" s="40" t="str">
        <f t="shared" si="3167"/>
        <v/>
      </c>
      <c r="DY230" s="40" t="str">
        <f t="shared" si="3168"/>
        <v/>
      </c>
      <c r="DZ230" s="40" t="str">
        <f t="shared" si="3169"/>
        <v/>
      </c>
      <c r="EA230" s="40" t="str">
        <f t="shared" si="3170"/>
        <v/>
      </c>
      <c r="EB230" s="40" t="str">
        <f t="shared" si="3171"/>
        <v/>
      </c>
      <c r="EC230" s="40" t="str">
        <f t="shared" si="3172"/>
        <v/>
      </c>
      <c r="ED230" s="40" t="str">
        <f t="shared" si="3173"/>
        <v/>
      </c>
      <c r="EE230" s="40" t="str">
        <f t="shared" si="3174"/>
        <v/>
      </c>
      <c r="EF230" s="40" t="str">
        <f t="shared" si="3175"/>
        <v/>
      </c>
      <c r="EG230" s="40" t="str">
        <f t="shared" si="3176"/>
        <v/>
      </c>
      <c r="EH230" s="40" t="str">
        <f t="shared" si="3177"/>
        <v/>
      </c>
      <c r="EI230" s="40" t="str">
        <f t="shared" si="3178"/>
        <v/>
      </c>
      <c r="EJ230" s="40" t="str">
        <f t="shared" si="3179"/>
        <v/>
      </c>
      <c r="EK230" s="40" t="str">
        <f t="shared" si="3180"/>
        <v/>
      </c>
      <c r="EL230" s="40" t="str">
        <f t="shared" si="3181"/>
        <v/>
      </c>
      <c r="EM230" s="40" t="str">
        <f t="shared" si="3182"/>
        <v/>
      </c>
      <c r="EN230" s="40" t="str">
        <f t="shared" si="3183"/>
        <v/>
      </c>
      <c r="EO230" s="40" t="str">
        <f t="shared" si="3184"/>
        <v/>
      </c>
      <c r="EP230" s="40" t="str">
        <f t="shared" si="3185"/>
        <v/>
      </c>
      <c r="EQ230" s="40" t="str">
        <f t="shared" si="3186"/>
        <v/>
      </c>
      <c r="ER230" s="40" t="str">
        <f t="shared" si="3187"/>
        <v/>
      </c>
      <c r="ES230" s="40" t="str">
        <f t="shared" si="3188"/>
        <v/>
      </c>
      <c r="ET230" s="40" t="str">
        <f t="shared" si="3189"/>
        <v/>
      </c>
      <c r="EU230" s="40" t="str">
        <f t="shared" si="3190"/>
        <v/>
      </c>
      <c r="EV230" s="40" t="str">
        <f t="shared" si="3191"/>
        <v/>
      </c>
      <c r="EW230" s="40" t="str">
        <f t="shared" si="3192"/>
        <v/>
      </c>
      <c r="EX230" s="40" t="str">
        <f t="shared" si="3193"/>
        <v/>
      </c>
      <c r="EY230" s="40" t="str">
        <f t="shared" si="3194"/>
        <v/>
      </c>
      <c r="EZ230" s="40" t="str">
        <f t="shared" si="3195"/>
        <v/>
      </c>
      <c r="FA230" s="40" t="str">
        <f t="shared" si="3196"/>
        <v/>
      </c>
      <c r="FB230" s="40" t="str">
        <f t="shared" si="3197"/>
        <v/>
      </c>
      <c r="FC230" s="40" t="str">
        <f t="shared" si="3198"/>
        <v/>
      </c>
      <c r="FD230" s="40" t="str">
        <f t="shared" si="3199"/>
        <v/>
      </c>
      <c r="FE230" s="40" t="str">
        <f t="shared" si="3200"/>
        <v/>
      </c>
      <c r="FF230" s="40" t="str">
        <f t="shared" si="3201"/>
        <v/>
      </c>
      <c r="FG230" s="40" t="str">
        <f t="shared" si="3202"/>
        <v/>
      </c>
      <c r="FH230" s="40" t="str">
        <f t="shared" si="3203"/>
        <v/>
      </c>
      <c r="FI230" s="40" t="str">
        <f t="shared" si="3204"/>
        <v/>
      </c>
      <c r="FJ230" s="40" t="str">
        <f t="shared" si="3205"/>
        <v/>
      </c>
      <c r="FK230" s="40" t="str">
        <f t="shared" si="3206"/>
        <v/>
      </c>
      <c r="FL230" s="40" t="str">
        <f t="shared" si="3207"/>
        <v/>
      </c>
      <c r="FM230" s="40" t="str">
        <f t="shared" si="3208"/>
        <v/>
      </c>
      <c r="FN230" s="40" t="str">
        <f t="shared" si="3209"/>
        <v/>
      </c>
      <c r="FO230" s="40" t="str">
        <f t="shared" si="3210"/>
        <v/>
      </c>
      <c r="FP230" s="40" t="str">
        <f t="shared" si="3211"/>
        <v/>
      </c>
      <c r="FQ230" s="40" t="str">
        <f t="shared" si="3212"/>
        <v/>
      </c>
      <c r="FR230" s="40" t="str">
        <f t="shared" si="3213"/>
        <v/>
      </c>
      <c r="FS230" s="40" t="str">
        <f t="shared" si="3214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4"/>
        <v>|n</v>
      </c>
      <c r="CW231" s="4"/>
      <c r="CX231" s="4"/>
      <c r="CY231" s="4"/>
      <c r="CZ231" s="4"/>
      <c r="DA231" s="4"/>
      <c r="DB231" s="40" t="str">
        <f t="shared" si="3145"/>
        <v/>
      </c>
      <c r="DC231" s="40" t="str">
        <f t="shared" si="3146"/>
        <v/>
      </c>
      <c r="DD231" s="40" t="str">
        <f t="shared" si="3147"/>
        <v/>
      </c>
      <c r="DE231" s="40" t="str">
        <f t="shared" si="3148"/>
        <v/>
      </c>
      <c r="DF231" s="40" t="str">
        <f t="shared" si="3149"/>
        <v/>
      </c>
      <c r="DG231" s="40" t="str">
        <f t="shared" si="3150"/>
        <v/>
      </c>
      <c r="DH231" s="40" t="str">
        <f t="shared" si="3151"/>
        <v/>
      </c>
      <c r="DI231" s="40" t="str">
        <f t="shared" si="3152"/>
        <v/>
      </c>
      <c r="DJ231" s="40" t="str">
        <f t="shared" si="3153"/>
        <v/>
      </c>
      <c r="DK231" s="40" t="str">
        <f t="shared" si="3154"/>
        <v/>
      </c>
      <c r="DL231" s="40" t="str">
        <f t="shared" si="3155"/>
        <v/>
      </c>
      <c r="DM231" s="40" t="str">
        <f t="shared" si="3156"/>
        <v/>
      </c>
      <c r="DN231" s="40" t="str">
        <f t="shared" si="3157"/>
        <v/>
      </c>
      <c r="DO231" s="40" t="str">
        <f t="shared" si="3158"/>
        <v/>
      </c>
      <c r="DP231" s="40" t="str">
        <f t="shared" si="3159"/>
        <v/>
      </c>
      <c r="DQ231" s="40" t="str">
        <f t="shared" si="3160"/>
        <v/>
      </c>
      <c r="DR231" s="40" t="str">
        <f t="shared" si="3161"/>
        <v/>
      </c>
      <c r="DS231" s="40" t="str">
        <f t="shared" si="3162"/>
        <v/>
      </c>
      <c r="DT231" s="40" t="str">
        <f t="shared" si="3163"/>
        <v/>
      </c>
      <c r="DU231" s="40" t="str">
        <f t="shared" si="3164"/>
        <v/>
      </c>
      <c r="DV231" s="40" t="str">
        <f t="shared" si="3165"/>
        <v/>
      </c>
      <c r="DW231" s="40" t="str">
        <f t="shared" si="3166"/>
        <v/>
      </c>
      <c r="DX231" s="40" t="str">
        <f t="shared" si="3167"/>
        <v/>
      </c>
      <c r="DY231" s="40" t="str">
        <f t="shared" si="3168"/>
        <v/>
      </c>
      <c r="DZ231" s="40" t="str">
        <f t="shared" si="3169"/>
        <v/>
      </c>
      <c r="EA231" s="40" t="str">
        <f t="shared" si="3170"/>
        <v/>
      </c>
      <c r="EB231" s="40" t="str">
        <f t="shared" si="3171"/>
        <v/>
      </c>
      <c r="EC231" s="40" t="str">
        <f t="shared" si="3172"/>
        <v/>
      </c>
      <c r="ED231" s="40" t="str">
        <f t="shared" si="3173"/>
        <v/>
      </c>
      <c r="EE231" s="40" t="str">
        <f t="shared" si="3174"/>
        <v/>
      </c>
      <c r="EF231" s="40" t="str">
        <f t="shared" si="3175"/>
        <v/>
      </c>
      <c r="EG231" s="40" t="str">
        <f t="shared" si="3176"/>
        <v/>
      </c>
      <c r="EH231" s="40" t="str">
        <f t="shared" si="3177"/>
        <v/>
      </c>
      <c r="EI231" s="40" t="str">
        <f t="shared" si="3178"/>
        <v/>
      </c>
      <c r="EJ231" s="40" t="str">
        <f t="shared" si="3179"/>
        <v/>
      </c>
      <c r="EK231" s="40" t="str">
        <f t="shared" si="3180"/>
        <v/>
      </c>
      <c r="EL231" s="40" t="str">
        <f t="shared" si="3181"/>
        <v/>
      </c>
      <c r="EM231" s="40" t="str">
        <f t="shared" si="3182"/>
        <v/>
      </c>
      <c r="EN231" s="40" t="str">
        <f t="shared" si="3183"/>
        <v/>
      </c>
      <c r="EO231" s="40" t="str">
        <f t="shared" si="3184"/>
        <v/>
      </c>
      <c r="EP231" s="40" t="str">
        <f t="shared" si="3185"/>
        <v/>
      </c>
      <c r="EQ231" s="40" t="str">
        <f t="shared" si="3186"/>
        <v/>
      </c>
      <c r="ER231" s="40" t="str">
        <f t="shared" si="3187"/>
        <v/>
      </c>
      <c r="ES231" s="40" t="str">
        <f t="shared" si="3188"/>
        <v/>
      </c>
      <c r="ET231" s="40" t="str">
        <f t="shared" si="3189"/>
        <v/>
      </c>
      <c r="EU231" s="40" t="str">
        <f t="shared" si="3190"/>
        <v/>
      </c>
      <c r="EV231" s="40" t="str">
        <f t="shared" si="3191"/>
        <v/>
      </c>
      <c r="EW231" s="40" t="str">
        <f t="shared" si="3192"/>
        <v/>
      </c>
      <c r="EX231" s="40" t="str">
        <f t="shared" si="3193"/>
        <v/>
      </c>
      <c r="EY231" s="40" t="str">
        <f t="shared" si="3194"/>
        <v/>
      </c>
      <c r="EZ231" s="40" t="str">
        <f t="shared" si="3195"/>
        <v/>
      </c>
      <c r="FA231" s="40" t="str">
        <f t="shared" si="3196"/>
        <v/>
      </c>
      <c r="FB231" s="40" t="str">
        <f t="shared" si="3197"/>
        <v/>
      </c>
      <c r="FC231" s="40" t="str">
        <f t="shared" si="3198"/>
        <v/>
      </c>
      <c r="FD231" s="40" t="str">
        <f t="shared" si="3199"/>
        <v/>
      </c>
      <c r="FE231" s="40" t="str">
        <f t="shared" si="3200"/>
        <v/>
      </c>
      <c r="FF231" s="40" t="str">
        <f t="shared" si="3201"/>
        <v/>
      </c>
      <c r="FG231" s="40" t="str">
        <f t="shared" si="3202"/>
        <v/>
      </c>
      <c r="FH231" s="40" t="str">
        <f t="shared" si="3203"/>
        <v/>
      </c>
      <c r="FI231" s="40" t="str">
        <f t="shared" si="3204"/>
        <v/>
      </c>
      <c r="FJ231" s="40" t="str">
        <f t="shared" si="3205"/>
        <v/>
      </c>
      <c r="FK231" s="40" t="str">
        <f t="shared" si="3206"/>
        <v/>
      </c>
      <c r="FL231" s="40" t="str">
        <f t="shared" si="3207"/>
        <v/>
      </c>
      <c r="FM231" s="40" t="str">
        <f t="shared" si="3208"/>
        <v/>
      </c>
      <c r="FN231" s="40" t="str">
        <f t="shared" si="3209"/>
        <v/>
      </c>
      <c r="FO231" s="40" t="str">
        <f t="shared" si="3210"/>
        <v/>
      </c>
      <c r="FP231" s="40" t="str">
        <f t="shared" si="3211"/>
        <v/>
      </c>
      <c r="FQ231" s="40" t="str">
        <f t="shared" si="3212"/>
        <v/>
      </c>
      <c r="FR231" s="40" t="str">
        <f t="shared" si="3213"/>
        <v/>
      </c>
      <c r="FS231" s="40" t="str">
        <f t="shared" si="3214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4"/>
        <v>|n</v>
      </c>
      <c r="CW232" s="4"/>
      <c r="CX232" s="4"/>
      <c r="CY232" s="4"/>
      <c r="CZ232" s="4"/>
      <c r="DA232" s="4"/>
      <c r="DB232" s="40" t="str">
        <f t="shared" si="3145"/>
        <v/>
      </c>
      <c r="DC232" s="40" t="str">
        <f t="shared" si="3146"/>
        <v/>
      </c>
      <c r="DD232" s="40" t="str">
        <f t="shared" si="3147"/>
        <v/>
      </c>
      <c r="DE232" s="40" t="str">
        <f t="shared" si="3148"/>
        <v/>
      </c>
      <c r="DF232" s="40" t="str">
        <f t="shared" si="3149"/>
        <v/>
      </c>
      <c r="DG232" s="40" t="str">
        <f t="shared" si="3150"/>
        <v/>
      </c>
      <c r="DH232" s="40" t="str">
        <f t="shared" si="3151"/>
        <v/>
      </c>
      <c r="DI232" s="40" t="str">
        <f t="shared" si="3152"/>
        <v/>
      </c>
      <c r="DJ232" s="40" t="str">
        <f t="shared" si="3153"/>
        <v/>
      </c>
      <c r="DK232" s="40" t="str">
        <f t="shared" si="3154"/>
        <v/>
      </c>
      <c r="DL232" s="40" t="str">
        <f t="shared" si="3155"/>
        <v/>
      </c>
      <c r="DM232" s="40" t="str">
        <f t="shared" si="3156"/>
        <v/>
      </c>
      <c r="DN232" s="40" t="str">
        <f t="shared" si="3157"/>
        <v/>
      </c>
      <c r="DO232" s="40" t="str">
        <f t="shared" si="3158"/>
        <v/>
      </c>
      <c r="DP232" s="40" t="str">
        <f t="shared" si="3159"/>
        <v/>
      </c>
      <c r="DQ232" s="40" t="str">
        <f t="shared" si="3160"/>
        <v/>
      </c>
      <c r="DR232" s="40" t="str">
        <f t="shared" si="3161"/>
        <v/>
      </c>
      <c r="DS232" s="40" t="str">
        <f t="shared" si="3162"/>
        <v/>
      </c>
      <c r="DT232" s="40" t="str">
        <f t="shared" si="3163"/>
        <v/>
      </c>
      <c r="DU232" s="40" t="str">
        <f t="shared" si="3164"/>
        <v/>
      </c>
      <c r="DV232" s="40" t="str">
        <f t="shared" si="3165"/>
        <v/>
      </c>
      <c r="DW232" s="40" t="str">
        <f t="shared" si="3166"/>
        <v/>
      </c>
      <c r="DX232" s="40" t="str">
        <f t="shared" si="3167"/>
        <v/>
      </c>
      <c r="DY232" s="40" t="str">
        <f t="shared" si="3168"/>
        <v/>
      </c>
      <c r="DZ232" s="40" t="str">
        <f t="shared" si="3169"/>
        <v/>
      </c>
      <c r="EA232" s="40" t="str">
        <f t="shared" si="3170"/>
        <v/>
      </c>
      <c r="EB232" s="40" t="str">
        <f t="shared" si="3171"/>
        <v/>
      </c>
      <c r="EC232" s="40" t="str">
        <f t="shared" si="3172"/>
        <v/>
      </c>
      <c r="ED232" s="40" t="str">
        <f t="shared" si="3173"/>
        <v/>
      </c>
      <c r="EE232" s="40" t="str">
        <f t="shared" si="3174"/>
        <v/>
      </c>
      <c r="EF232" s="40" t="str">
        <f t="shared" si="3175"/>
        <v/>
      </c>
      <c r="EG232" s="40" t="str">
        <f t="shared" si="3176"/>
        <v/>
      </c>
      <c r="EH232" s="40" t="str">
        <f t="shared" si="3177"/>
        <v/>
      </c>
      <c r="EI232" s="40" t="str">
        <f t="shared" si="3178"/>
        <v/>
      </c>
      <c r="EJ232" s="40" t="str">
        <f t="shared" si="3179"/>
        <v/>
      </c>
      <c r="EK232" s="40" t="str">
        <f t="shared" si="3180"/>
        <v/>
      </c>
      <c r="EL232" s="40" t="str">
        <f t="shared" si="3181"/>
        <v/>
      </c>
      <c r="EM232" s="40" t="str">
        <f t="shared" si="3182"/>
        <v/>
      </c>
      <c r="EN232" s="40" t="str">
        <f t="shared" si="3183"/>
        <v/>
      </c>
      <c r="EO232" s="40" t="str">
        <f t="shared" si="3184"/>
        <v/>
      </c>
      <c r="EP232" s="40" t="str">
        <f t="shared" si="3185"/>
        <v/>
      </c>
      <c r="EQ232" s="40" t="str">
        <f t="shared" si="3186"/>
        <v/>
      </c>
      <c r="ER232" s="40" t="str">
        <f t="shared" si="3187"/>
        <v/>
      </c>
      <c r="ES232" s="40" t="str">
        <f t="shared" si="3188"/>
        <v/>
      </c>
      <c r="ET232" s="40" t="str">
        <f t="shared" si="3189"/>
        <v/>
      </c>
      <c r="EU232" s="40" t="str">
        <f t="shared" si="3190"/>
        <v/>
      </c>
      <c r="EV232" s="40" t="str">
        <f t="shared" si="3191"/>
        <v/>
      </c>
      <c r="EW232" s="40" t="str">
        <f t="shared" si="3192"/>
        <v/>
      </c>
      <c r="EX232" s="40" t="str">
        <f t="shared" si="3193"/>
        <v/>
      </c>
      <c r="EY232" s="40" t="str">
        <f t="shared" si="3194"/>
        <v/>
      </c>
      <c r="EZ232" s="40" t="str">
        <f t="shared" si="3195"/>
        <v/>
      </c>
      <c r="FA232" s="40" t="str">
        <f t="shared" si="3196"/>
        <v/>
      </c>
      <c r="FB232" s="40" t="str">
        <f t="shared" si="3197"/>
        <v/>
      </c>
      <c r="FC232" s="40" t="str">
        <f t="shared" si="3198"/>
        <v/>
      </c>
      <c r="FD232" s="40" t="str">
        <f t="shared" si="3199"/>
        <v/>
      </c>
      <c r="FE232" s="40" t="str">
        <f t="shared" si="3200"/>
        <v/>
      </c>
      <c r="FF232" s="40" t="str">
        <f t="shared" si="3201"/>
        <v/>
      </c>
      <c r="FG232" s="40" t="str">
        <f t="shared" si="3202"/>
        <v/>
      </c>
      <c r="FH232" s="40" t="str">
        <f t="shared" si="3203"/>
        <v/>
      </c>
      <c r="FI232" s="40" t="str">
        <f t="shared" si="3204"/>
        <v/>
      </c>
      <c r="FJ232" s="40" t="str">
        <f t="shared" si="3205"/>
        <v/>
      </c>
      <c r="FK232" s="40" t="str">
        <f t="shared" si="3206"/>
        <v/>
      </c>
      <c r="FL232" s="40" t="str">
        <f t="shared" si="3207"/>
        <v/>
      </c>
      <c r="FM232" s="40" t="str">
        <f t="shared" si="3208"/>
        <v/>
      </c>
      <c r="FN232" s="40" t="str">
        <f t="shared" si="3209"/>
        <v/>
      </c>
      <c r="FO232" s="40" t="str">
        <f t="shared" si="3210"/>
        <v/>
      </c>
      <c r="FP232" s="40" t="str">
        <f t="shared" si="3211"/>
        <v/>
      </c>
      <c r="FQ232" s="40" t="str">
        <f t="shared" si="3212"/>
        <v/>
      </c>
      <c r="FR232" s="40" t="str">
        <f t="shared" si="3213"/>
        <v/>
      </c>
      <c r="FS232" s="40" t="str">
        <f t="shared" si="3214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4"/>
        <v>|n</v>
      </c>
      <c r="CW233" s="4"/>
      <c r="CX233" s="4"/>
      <c r="CY233" s="4"/>
      <c r="CZ233" s="4"/>
      <c r="DA233" s="4"/>
      <c r="DB233" s="40" t="str">
        <f t="shared" si="3145"/>
        <v/>
      </c>
      <c r="DC233" s="40" t="str">
        <f t="shared" si="3146"/>
        <v/>
      </c>
      <c r="DD233" s="40" t="str">
        <f t="shared" si="3147"/>
        <v/>
      </c>
      <c r="DE233" s="40" t="str">
        <f t="shared" si="3148"/>
        <v/>
      </c>
      <c r="DF233" s="40" t="str">
        <f t="shared" si="3149"/>
        <v/>
      </c>
      <c r="DG233" s="40" t="str">
        <f t="shared" si="3150"/>
        <v/>
      </c>
      <c r="DH233" s="40" t="str">
        <f t="shared" si="3151"/>
        <v/>
      </c>
      <c r="DI233" s="40" t="str">
        <f t="shared" si="3152"/>
        <v/>
      </c>
      <c r="DJ233" s="40" t="str">
        <f t="shared" si="3153"/>
        <v/>
      </c>
      <c r="DK233" s="40" t="str">
        <f t="shared" si="3154"/>
        <v/>
      </c>
      <c r="DL233" s="40" t="str">
        <f t="shared" si="3155"/>
        <v/>
      </c>
      <c r="DM233" s="40" t="str">
        <f t="shared" si="3156"/>
        <v/>
      </c>
      <c r="DN233" s="40" t="str">
        <f t="shared" si="3157"/>
        <v/>
      </c>
      <c r="DO233" s="40" t="str">
        <f t="shared" si="3158"/>
        <v/>
      </c>
      <c r="DP233" s="40" t="str">
        <f t="shared" si="3159"/>
        <v/>
      </c>
      <c r="DQ233" s="40" t="str">
        <f t="shared" si="3160"/>
        <v/>
      </c>
      <c r="DR233" s="40" t="str">
        <f t="shared" si="3161"/>
        <v/>
      </c>
      <c r="DS233" s="40" t="str">
        <f t="shared" si="3162"/>
        <v/>
      </c>
      <c r="DT233" s="40" t="str">
        <f t="shared" si="3163"/>
        <v/>
      </c>
      <c r="DU233" s="40" t="str">
        <f t="shared" si="3164"/>
        <v/>
      </c>
      <c r="DV233" s="40" t="str">
        <f t="shared" si="3165"/>
        <v/>
      </c>
      <c r="DW233" s="40" t="str">
        <f t="shared" si="3166"/>
        <v/>
      </c>
      <c r="DX233" s="40" t="str">
        <f t="shared" si="3167"/>
        <v/>
      </c>
      <c r="DY233" s="40" t="str">
        <f t="shared" si="3168"/>
        <v/>
      </c>
      <c r="DZ233" s="40" t="str">
        <f t="shared" si="3169"/>
        <v/>
      </c>
      <c r="EA233" s="40" t="str">
        <f t="shared" si="3170"/>
        <v/>
      </c>
      <c r="EB233" s="40" t="str">
        <f t="shared" si="3171"/>
        <v/>
      </c>
      <c r="EC233" s="40" t="str">
        <f t="shared" si="3172"/>
        <v/>
      </c>
      <c r="ED233" s="40" t="str">
        <f t="shared" si="3173"/>
        <v/>
      </c>
      <c r="EE233" s="40" t="str">
        <f t="shared" si="3174"/>
        <v/>
      </c>
      <c r="EF233" s="40" t="str">
        <f t="shared" si="3175"/>
        <v/>
      </c>
      <c r="EG233" s="40" t="str">
        <f t="shared" si="3176"/>
        <v/>
      </c>
      <c r="EH233" s="40" t="str">
        <f t="shared" si="3177"/>
        <v/>
      </c>
      <c r="EI233" s="40" t="str">
        <f t="shared" si="3178"/>
        <v/>
      </c>
      <c r="EJ233" s="40" t="str">
        <f t="shared" si="3179"/>
        <v/>
      </c>
      <c r="EK233" s="40" t="str">
        <f t="shared" si="3180"/>
        <v/>
      </c>
      <c r="EL233" s="40" t="str">
        <f t="shared" si="3181"/>
        <v/>
      </c>
      <c r="EM233" s="40" t="str">
        <f t="shared" si="3182"/>
        <v/>
      </c>
      <c r="EN233" s="40" t="str">
        <f t="shared" si="3183"/>
        <v/>
      </c>
      <c r="EO233" s="40" t="str">
        <f t="shared" si="3184"/>
        <v/>
      </c>
      <c r="EP233" s="40" t="str">
        <f t="shared" si="3185"/>
        <v/>
      </c>
      <c r="EQ233" s="40" t="str">
        <f t="shared" si="3186"/>
        <v/>
      </c>
      <c r="ER233" s="40" t="str">
        <f t="shared" si="3187"/>
        <v/>
      </c>
      <c r="ES233" s="40" t="str">
        <f t="shared" si="3188"/>
        <v/>
      </c>
      <c r="ET233" s="40" t="str">
        <f t="shared" si="3189"/>
        <v/>
      </c>
      <c r="EU233" s="40" t="str">
        <f t="shared" si="3190"/>
        <v/>
      </c>
      <c r="EV233" s="40" t="str">
        <f t="shared" si="3191"/>
        <v/>
      </c>
      <c r="EW233" s="40" t="str">
        <f t="shared" si="3192"/>
        <v/>
      </c>
      <c r="EX233" s="40" t="str">
        <f t="shared" si="3193"/>
        <v/>
      </c>
      <c r="EY233" s="40" t="str">
        <f t="shared" si="3194"/>
        <v/>
      </c>
      <c r="EZ233" s="40" t="str">
        <f t="shared" si="3195"/>
        <v/>
      </c>
      <c r="FA233" s="40" t="str">
        <f t="shared" si="3196"/>
        <v/>
      </c>
      <c r="FB233" s="40" t="str">
        <f t="shared" si="3197"/>
        <v/>
      </c>
      <c r="FC233" s="40" t="str">
        <f t="shared" si="3198"/>
        <v/>
      </c>
      <c r="FD233" s="40" t="str">
        <f t="shared" si="3199"/>
        <v/>
      </c>
      <c r="FE233" s="40" t="str">
        <f t="shared" si="3200"/>
        <v/>
      </c>
      <c r="FF233" s="40" t="str">
        <f t="shared" si="3201"/>
        <v/>
      </c>
      <c r="FG233" s="40" t="str">
        <f t="shared" si="3202"/>
        <v/>
      </c>
      <c r="FH233" s="40" t="str">
        <f t="shared" si="3203"/>
        <v/>
      </c>
      <c r="FI233" s="40" t="str">
        <f t="shared" si="3204"/>
        <v/>
      </c>
      <c r="FJ233" s="40" t="str">
        <f t="shared" si="3205"/>
        <v/>
      </c>
      <c r="FK233" s="40" t="str">
        <f t="shared" si="3206"/>
        <v/>
      </c>
      <c r="FL233" s="40" t="str">
        <f t="shared" si="3207"/>
        <v/>
      </c>
      <c r="FM233" s="40" t="str">
        <f t="shared" si="3208"/>
        <v/>
      </c>
      <c r="FN233" s="40" t="str">
        <f t="shared" si="3209"/>
        <v/>
      </c>
      <c r="FO233" s="40" t="str">
        <f t="shared" si="3210"/>
        <v/>
      </c>
      <c r="FP233" s="40" t="str">
        <f t="shared" si="3211"/>
        <v/>
      </c>
      <c r="FQ233" s="40" t="str">
        <f t="shared" si="3212"/>
        <v/>
      </c>
      <c r="FR233" s="40" t="str">
        <f t="shared" si="3213"/>
        <v/>
      </c>
      <c r="FS233" s="40" t="str">
        <f t="shared" si="3214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4"/>
        <v>|n</v>
      </c>
      <c r="CW234" s="4"/>
      <c r="CX234" s="4"/>
      <c r="CY234" s="4"/>
      <c r="CZ234" s="4"/>
      <c r="DA234" s="4"/>
      <c r="DB234" s="40" t="str">
        <f t="shared" si="3145"/>
        <v/>
      </c>
      <c r="DC234" s="40" t="str">
        <f t="shared" si="3146"/>
        <v/>
      </c>
      <c r="DD234" s="40" t="str">
        <f t="shared" si="3147"/>
        <v/>
      </c>
      <c r="DE234" s="40" t="str">
        <f t="shared" si="3148"/>
        <v/>
      </c>
      <c r="DF234" s="40" t="str">
        <f t="shared" si="3149"/>
        <v/>
      </c>
      <c r="DG234" s="40" t="str">
        <f t="shared" si="3150"/>
        <v/>
      </c>
      <c r="DH234" s="40" t="str">
        <f t="shared" si="3151"/>
        <v/>
      </c>
      <c r="DI234" s="40" t="str">
        <f t="shared" si="3152"/>
        <v/>
      </c>
      <c r="DJ234" s="40" t="str">
        <f t="shared" si="3153"/>
        <v/>
      </c>
      <c r="DK234" s="40" t="str">
        <f t="shared" si="3154"/>
        <v/>
      </c>
      <c r="DL234" s="40" t="str">
        <f t="shared" si="3155"/>
        <v/>
      </c>
      <c r="DM234" s="40" t="str">
        <f t="shared" si="3156"/>
        <v/>
      </c>
      <c r="DN234" s="40" t="str">
        <f t="shared" si="3157"/>
        <v/>
      </c>
      <c r="DO234" s="40" t="str">
        <f t="shared" si="3158"/>
        <v/>
      </c>
      <c r="DP234" s="40" t="str">
        <f t="shared" si="3159"/>
        <v/>
      </c>
      <c r="DQ234" s="40" t="str">
        <f t="shared" si="3160"/>
        <v/>
      </c>
      <c r="DR234" s="40" t="str">
        <f t="shared" si="3161"/>
        <v/>
      </c>
      <c r="DS234" s="40" t="str">
        <f t="shared" si="3162"/>
        <v/>
      </c>
      <c r="DT234" s="40" t="str">
        <f t="shared" si="3163"/>
        <v/>
      </c>
      <c r="DU234" s="40" t="str">
        <f t="shared" si="3164"/>
        <v/>
      </c>
      <c r="DV234" s="40" t="str">
        <f t="shared" si="3165"/>
        <v/>
      </c>
      <c r="DW234" s="40" t="str">
        <f t="shared" si="3166"/>
        <v/>
      </c>
      <c r="DX234" s="40" t="str">
        <f t="shared" si="3167"/>
        <v/>
      </c>
      <c r="DY234" s="40" t="str">
        <f t="shared" si="3168"/>
        <v/>
      </c>
      <c r="DZ234" s="40" t="str">
        <f t="shared" si="3169"/>
        <v/>
      </c>
      <c r="EA234" s="40" t="str">
        <f t="shared" si="3170"/>
        <v/>
      </c>
      <c r="EB234" s="40" t="str">
        <f t="shared" si="3171"/>
        <v/>
      </c>
      <c r="EC234" s="40" t="str">
        <f t="shared" si="3172"/>
        <v/>
      </c>
      <c r="ED234" s="40" t="str">
        <f t="shared" si="3173"/>
        <v/>
      </c>
      <c r="EE234" s="40" t="str">
        <f t="shared" si="3174"/>
        <v/>
      </c>
      <c r="EF234" s="40" t="str">
        <f t="shared" si="3175"/>
        <v/>
      </c>
      <c r="EG234" s="40" t="str">
        <f t="shared" si="3176"/>
        <v/>
      </c>
      <c r="EH234" s="40" t="str">
        <f t="shared" si="3177"/>
        <v/>
      </c>
      <c r="EI234" s="40" t="str">
        <f t="shared" si="3178"/>
        <v/>
      </c>
      <c r="EJ234" s="40" t="str">
        <f t="shared" si="3179"/>
        <v/>
      </c>
      <c r="EK234" s="40" t="str">
        <f t="shared" si="3180"/>
        <v/>
      </c>
      <c r="EL234" s="40" t="str">
        <f t="shared" si="3181"/>
        <v/>
      </c>
      <c r="EM234" s="40" t="str">
        <f t="shared" si="3182"/>
        <v/>
      </c>
      <c r="EN234" s="40" t="str">
        <f t="shared" si="3183"/>
        <v/>
      </c>
      <c r="EO234" s="40" t="str">
        <f t="shared" si="3184"/>
        <v/>
      </c>
      <c r="EP234" s="40" t="str">
        <f t="shared" si="3185"/>
        <v/>
      </c>
      <c r="EQ234" s="40" t="str">
        <f t="shared" si="3186"/>
        <v/>
      </c>
      <c r="ER234" s="40" t="str">
        <f t="shared" si="3187"/>
        <v/>
      </c>
      <c r="ES234" s="40" t="str">
        <f t="shared" si="3188"/>
        <v/>
      </c>
      <c r="ET234" s="40" t="str">
        <f t="shared" si="3189"/>
        <v/>
      </c>
      <c r="EU234" s="40" t="str">
        <f t="shared" si="3190"/>
        <v/>
      </c>
      <c r="EV234" s="40" t="str">
        <f t="shared" si="3191"/>
        <v/>
      </c>
      <c r="EW234" s="40" t="str">
        <f t="shared" si="3192"/>
        <v/>
      </c>
      <c r="EX234" s="40" t="str">
        <f t="shared" si="3193"/>
        <v/>
      </c>
      <c r="EY234" s="40" t="str">
        <f t="shared" si="3194"/>
        <v/>
      </c>
      <c r="EZ234" s="40" t="str">
        <f t="shared" si="3195"/>
        <v/>
      </c>
      <c r="FA234" s="40" t="str">
        <f t="shared" si="3196"/>
        <v/>
      </c>
      <c r="FB234" s="40" t="str">
        <f t="shared" si="3197"/>
        <v/>
      </c>
      <c r="FC234" s="40" t="str">
        <f t="shared" si="3198"/>
        <v/>
      </c>
      <c r="FD234" s="40" t="str">
        <f t="shared" si="3199"/>
        <v/>
      </c>
      <c r="FE234" s="40" t="str">
        <f t="shared" si="3200"/>
        <v/>
      </c>
      <c r="FF234" s="40" t="str">
        <f t="shared" si="3201"/>
        <v/>
      </c>
      <c r="FG234" s="40" t="str">
        <f t="shared" si="3202"/>
        <v/>
      </c>
      <c r="FH234" s="40" t="str">
        <f t="shared" si="3203"/>
        <v/>
      </c>
      <c r="FI234" s="40" t="str">
        <f t="shared" si="3204"/>
        <v/>
      </c>
      <c r="FJ234" s="40" t="str">
        <f t="shared" si="3205"/>
        <v/>
      </c>
      <c r="FK234" s="40" t="str">
        <f t="shared" si="3206"/>
        <v/>
      </c>
      <c r="FL234" s="40" t="str">
        <f t="shared" si="3207"/>
        <v/>
      </c>
      <c r="FM234" s="40" t="str">
        <f t="shared" si="3208"/>
        <v/>
      </c>
      <c r="FN234" s="40" t="str">
        <f t="shared" si="3209"/>
        <v/>
      </c>
      <c r="FO234" s="40" t="str">
        <f t="shared" si="3210"/>
        <v/>
      </c>
      <c r="FP234" s="40" t="str">
        <f t="shared" si="3211"/>
        <v/>
      </c>
      <c r="FQ234" s="40" t="str">
        <f t="shared" si="3212"/>
        <v/>
      </c>
      <c r="FR234" s="40" t="str">
        <f t="shared" si="3213"/>
        <v/>
      </c>
      <c r="FS234" s="40" t="str">
        <f t="shared" si="3214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4"/>
        <v>|n</v>
      </c>
      <c r="CW235" s="4"/>
      <c r="CX235" s="4"/>
      <c r="CY235" s="4"/>
      <c r="CZ235" s="4"/>
      <c r="DA235" s="4"/>
      <c r="DB235" s="40" t="str">
        <f t="shared" si="3145"/>
        <v/>
      </c>
      <c r="DC235" s="40" t="str">
        <f t="shared" si="3146"/>
        <v/>
      </c>
      <c r="DD235" s="40" t="str">
        <f t="shared" si="3147"/>
        <v/>
      </c>
      <c r="DE235" s="40" t="str">
        <f t="shared" si="3148"/>
        <v/>
      </c>
      <c r="DF235" s="40" t="str">
        <f t="shared" si="3149"/>
        <v/>
      </c>
      <c r="DG235" s="40" t="str">
        <f t="shared" si="3150"/>
        <v/>
      </c>
      <c r="DH235" s="40" t="str">
        <f t="shared" si="3151"/>
        <v/>
      </c>
      <c r="DI235" s="40" t="str">
        <f t="shared" si="3152"/>
        <v/>
      </c>
      <c r="DJ235" s="40" t="str">
        <f t="shared" si="3153"/>
        <v/>
      </c>
      <c r="DK235" s="40" t="str">
        <f t="shared" si="3154"/>
        <v/>
      </c>
      <c r="DL235" s="40" t="str">
        <f t="shared" si="3155"/>
        <v/>
      </c>
      <c r="DM235" s="40" t="str">
        <f t="shared" si="3156"/>
        <v/>
      </c>
      <c r="DN235" s="40" t="str">
        <f t="shared" si="3157"/>
        <v/>
      </c>
      <c r="DO235" s="40" t="str">
        <f t="shared" si="3158"/>
        <v/>
      </c>
      <c r="DP235" s="40" t="str">
        <f t="shared" si="3159"/>
        <v/>
      </c>
      <c r="DQ235" s="40" t="str">
        <f t="shared" si="3160"/>
        <v/>
      </c>
      <c r="DR235" s="40" t="str">
        <f t="shared" si="3161"/>
        <v/>
      </c>
      <c r="DS235" s="40" t="str">
        <f t="shared" si="3162"/>
        <v/>
      </c>
      <c r="DT235" s="40" t="str">
        <f t="shared" si="3163"/>
        <v/>
      </c>
      <c r="DU235" s="40" t="str">
        <f t="shared" si="3164"/>
        <v/>
      </c>
      <c r="DV235" s="40" t="str">
        <f t="shared" si="3165"/>
        <v/>
      </c>
      <c r="DW235" s="40" t="str">
        <f t="shared" si="3166"/>
        <v/>
      </c>
      <c r="DX235" s="40" t="str">
        <f t="shared" si="3167"/>
        <v/>
      </c>
      <c r="DY235" s="40" t="str">
        <f t="shared" si="3168"/>
        <v/>
      </c>
      <c r="DZ235" s="40" t="str">
        <f t="shared" si="3169"/>
        <v/>
      </c>
      <c r="EA235" s="40" t="str">
        <f t="shared" si="3170"/>
        <v/>
      </c>
      <c r="EB235" s="40" t="str">
        <f t="shared" si="3171"/>
        <v/>
      </c>
      <c r="EC235" s="40" t="str">
        <f t="shared" si="3172"/>
        <v/>
      </c>
      <c r="ED235" s="40" t="str">
        <f t="shared" si="3173"/>
        <v/>
      </c>
      <c r="EE235" s="40" t="str">
        <f t="shared" si="3174"/>
        <v/>
      </c>
      <c r="EF235" s="40" t="str">
        <f t="shared" si="3175"/>
        <v/>
      </c>
      <c r="EG235" s="40" t="str">
        <f t="shared" si="3176"/>
        <v/>
      </c>
      <c r="EH235" s="40" t="str">
        <f t="shared" si="3177"/>
        <v/>
      </c>
      <c r="EI235" s="40" t="str">
        <f t="shared" si="3178"/>
        <v/>
      </c>
      <c r="EJ235" s="40" t="str">
        <f t="shared" si="3179"/>
        <v/>
      </c>
      <c r="EK235" s="40" t="str">
        <f t="shared" si="3180"/>
        <v/>
      </c>
      <c r="EL235" s="40" t="str">
        <f t="shared" si="3181"/>
        <v/>
      </c>
      <c r="EM235" s="40" t="str">
        <f t="shared" si="3182"/>
        <v/>
      </c>
      <c r="EN235" s="40" t="str">
        <f t="shared" si="3183"/>
        <v/>
      </c>
      <c r="EO235" s="40" t="str">
        <f t="shared" si="3184"/>
        <v/>
      </c>
      <c r="EP235" s="40" t="str">
        <f t="shared" si="3185"/>
        <v/>
      </c>
      <c r="EQ235" s="40" t="str">
        <f t="shared" si="3186"/>
        <v/>
      </c>
      <c r="ER235" s="40" t="str">
        <f t="shared" si="3187"/>
        <v/>
      </c>
      <c r="ES235" s="40" t="str">
        <f t="shared" si="3188"/>
        <v/>
      </c>
      <c r="ET235" s="40" t="str">
        <f t="shared" si="3189"/>
        <v/>
      </c>
      <c r="EU235" s="40" t="str">
        <f t="shared" si="3190"/>
        <v/>
      </c>
      <c r="EV235" s="40" t="str">
        <f t="shared" si="3191"/>
        <v/>
      </c>
      <c r="EW235" s="40" t="str">
        <f t="shared" si="3192"/>
        <v/>
      </c>
      <c r="EX235" s="40" t="str">
        <f t="shared" si="3193"/>
        <v/>
      </c>
      <c r="EY235" s="40" t="str">
        <f t="shared" si="3194"/>
        <v/>
      </c>
      <c r="EZ235" s="40" t="str">
        <f t="shared" si="3195"/>
        <v/>
      </c>
      <c r="FA235" s="40" t="str">
        <f t="shared" si="3196"/>
        <v/>
      </c>
      <c r="FB235" s="40" t="str">
        <f t="shared" si="3197"/>
        <v/>
      </c>
      <c r="FC235" s="40" t="str">
        <f t="shared" si="3198"/>
        <v/>
      </c>
      <c r="FD235" s="40" t="str">
        <f t="shared" si="3199"/>
        <v/>
      </c>
      <c r="FE235" s="40" t="str">
        <f t="shared" si="3200"/>
        <v/>
      </c>
      <c r="FF235" s="40" t="str">
        <f t="shared" si="3201"/>
        <v/>
      </c>
      <c r="FG235" s="40" t="str">
        <f t="shared" si="3202"/>
        <v/>
      </c>
      <c r="FH235" s="40" t="str">
        <f t="shared" si="3203"/>
        <v/>
      </c>
      <c r="FI235" s="40" t="str">
        <f t="shared" si="3204"/>
        <v/>
      </c>
      <c r="FJ235" s="40" t="str">
        <f t="shared" si="3205"/>
        <v/>
      </c>
      <c r="FK235" s="40" t="str">
        <f t="shared" si="3206"/>
        <v/>
      </c>
      <c r="FL235" s="40" t="str">
        <f t="shared" si="3207"/>
        <v/>
      </c>
      <c r="FM235" s="40" t="str">
        <f t="shared" si="3208"/>
        <v/>
      </c>
      <c r="FN235" s="40" t="str">
        <f t="shared" si="3209"/>
        <v/>
      </c>
      <c r="FO235" s="40" t="str">
        <f t="shared" si="3210"/>
        <v/>
      </c>
      <c r="FP235" s="40" t="str">
        <f t="shared" si="3211"/>
        <v/>
      </c>
      <c r="FQ235" s="40" t="str">
        <f t="shared" si="3212"/>
        <v/>
      </c>
      <c r="FR235" s="40" t="str">
        <f t="shared" si="3213"/>
        <v/>
      </c>
      <c r="FS235" s="40" t="str">
        <f t="shared" si="3214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4"/>
        <v>|n</v>
      </c>
      <c r="CW236" s="4"/>
      <c r="CX236" s="4"/>
      <c r="CY236" s="4"/>
      <c r="CZ236" s="4"/>
      <c r="DA236" s="4"/>
      <c r="DB236" s="40" t="str">
        <f t="shared" si="3145"/>
        <v/>
      </c>
      <c r="DC236" s="40" t="str">
        <f t="shared" si="3146"/>
        <v/>
      </c>
      <c r="DD236" s="40" t="str">
        <f t="shared" si="3147"/>
        <v/>
      </c>
      <c r="DE236" s="40" t="str">
        <f t="shared" si="3148"/>
        <v/>
      </c>
      <c r="DF236" s="40" t="str">
        <f t="shared" si="3149"/>
        <v/>
      </c>
      <c r="DG236" s="40" t="str">
        <f t="shared" si="3150"/>
        <v/>
      </c>
      <c r="DH236" s="40" t="str">
        <f t="shared" si="3151"/>
        <v/>
      </c>
      <c r="DI236" s="40" t="str">
        <f t="shared" si="3152"/>
        <v/>
      </c>
      <c r="DJ236" s="40" t="str">
        <f t="shared" si="3153"/>
        <v/>
      </c>
      <c r="DK236" s="40" t="str">
        <f t="shared" si="3154"/>
        <v/>
      </c>
      <c r="DL236" s="40" t="str">
        <f t="shared" si="3155"/>
        <v/>
      </c>
      <c r="DM236" s="40" t="str">
        <f t="shared" si="3156"/>
        <v/>
      </c>
      <c r="DN236" s="40" t="str">
        <f t="shared" si="3157"/>
        <v/>
      </c>
      <c r="DO236" s="40" t="str">
        <f t="shared" si="3158"/>
        <v/>
      </c>
      <c r="DP236" s="40" t="str">
        <f t="shared" si="3159"/>
        <v/>
      </c>
      <c r="DQ236" s="40" t="str">
        <f t="shared" si="3160"/>
        <v/>
      </c>
      <c r="DR236" s="40" t="str">
        <f t="shared" si="3161"/>
        <v/>
      </c>
      <c r="DS236" s="40" t="str">
        <f t="shared" si="3162"/>
        <v/>
      </c>
      <c r="DT236" s="40" t="str">
        <f t="shared" si="3163"/>
        <v/>
      </c>
      <c r="DU236" s="40" t="str">
        <f t="shared" si="3164"/>
        <v/>
      </c>
      <c r="DV236" s="40" t="str">
        <f t="shared" si="3165"/>
        <v/>
      </c>
      <c r="DW236" s="40" t="str">
        <f t="shared" si="3166"/>
        <v/>
      </c>
      <c r="DX236" s="40" t="str">
        <f t="shared" si="3167"/>
        <v/>
      </c>
      <c r="DY236" s="40" t="str">
        <f t="shared" si="3168"/>
        <v/>
      </c>
      <c r="DZ236" s="40" t="str">
        <f t="shared" si="3169"/>
        <v/>
      </c>
      <c r="EA236" s="40" t="str">
        <f t="shared" si="3170"/>
        <v/>
      </c>
      <c r="EB236" s="40" t="str">
        <f t="shared" si="3171"/>
        <v/>
      </c>
      <c r="EC236" s="40" t="str">
        <f t="shared" si="3172"/>
        <v/>
      </c>
      <c r="ED236" s="40" t="str">
        <f t="shared" si="3173"/>
        <v/>
      </c>
      <c r="EE236" s="40" t="str">
        <f t="shared" si="3174"/>
        <v/>
      </c>
      <c r="EF236" s="40" t="str">
        <f t="shared" si="3175"/>
        <v/>
      </c>
      <c r="EG236" s="40" t="str">
        <f t="shared" si="3176"/>
        <v/>
      </c>
      <c r="EH236" s="40" t="str">
        <f t="shared" si="3177"/>
        <v/>
      </c>
      <c r="EI236" s="40" t="str">
        <f t="shared" si="3178"/>
        <v/>
      </c>
      <c r="EJ236" s="40" t="str">
        <f t="shared" si="3179"/>
        <v/>
      </c>
      <c r="EK236" s="40" t="str">
        <f t="shared" si="3180"/>
        <v/>
      </c>
      <c r="EL236" s="40" t="str">
        <f t="shared" si="3181"/>
        <v/>
      </c>
      <c r="EM236" s="40" t="str">
        <f t="shared" si="3182"/>
        <v/>
      </c>
      <c r="EN236" s="40" t="str">
        <f t="shared" si="3183"/>
        <v/>
      </c>
      <c r="EO236" s="40" t="str">
        <f t="shared" si="3184"/>
        <v/>
      </c>
      <c r="EP236" s="40" t="str">
        <f t="shared" si="3185"/>
        <v/>
      </c>
      <c r="EQ236" s="40" t="str">
        <f t="shared" si="3186"/>
        <v/>
      </c>
      <c r="ER236" s="40" t="str">
        <f t="shared" si="3187"/>
        <v/>
      </c>
      <c r="ES236" s="40" t="str">
        <f t="shared" si="3188"/>
        <v/>
      </c>
      <c r="ET236" s="40" t="str">
        <f t="shared" si="3189"/>
        <v/>
      </c>
      <c r="EU236" s="40" t="str">
        <f t="shared" si="3190"/>
        <v/>
      </c>
      <c r="EV236" s="40" t="str">
        <f t="shared" si="3191"/>
        <v/>
      </c>
      <c r="EW236" s="40" t="str">
        <f t="shared" si="3192"/>
        <v/>
      </c>
      <c r="EX236" s="40" t="str">
        <f t="shared" si="3193"/>
        <v/>
      </c>
      <c r="EY236" s="40" t="str">
        <f t="shared" si="3194"/>
        <v/>
      </c>
      <c r="EZ236" s="40" t="str">
        <f t="shared" si="3195"/>
        <v/>
      </c>
      <c r="FA236" s="40" t="str">
        <f t="shared" si="3196"/>
        <v/>
      </c>
      <c r="FB236" s="40" t="str">
        <f t="shared" si="3197"/>
        <v/>
      </c>
      <c r="FC236" s="40" t="str">
        <f t="shared" si="3198"/>
        <v/>
      </c>
      <c r="FD236" s="40" t="str">
        <f t="shared" si="3199"/>
        <v/>
      </c>
      <c r="FE236" s="40" t="str">
        <f t="shared" si="3200"/>
        <v/>
      </c>
      <c r="FF236" s="40" t="str">
        <f t="shared" si="3201"/>
        <v/>
      </c>
      <c r="FG236" s="40" t="str">
        <f t="shared" si="3202"/>
        <v/>
      </c>
      <c r="FH236" s="40" t="str">
        <f t="shared" si="3203"/>
        <v/>
      </c>
      <c r="FI236" s="40" t="str">
        <f t="shared" si="3204"/>
        <v/>
      </c>
      <c r="FJ236" s="40" t="str">
        <f t="shared" si="3205"/>
        <v/>
      </c>
      <c r="FK236" s="40" t="str">
        <f t="shared" si="3206"/>
        <v/>
      </c>
      <c r="FL236" s="40" t="str">
        <f t="shared" si="3207"/>
        <v/>
      </c>
      <c r="FM236" s="40" t="str">
        <f t="shared" si="3208"/>
        <v/>
      </c>
      <c r="FN236" s="40" t="str">
        <f t="shared" si="3209"/>
        <v/>
      </c>
      <c r="FO236" s="40" t="str">
        <f t="shared" si="3210"/>
        <v/>
      </c>
      <c r="FP236" s="40" t="str">
        <f t="shared" si="3211"/>
        <v/>
      </c>
      <c r="FQ236" s="40" t="str">
        <f t="shared" si="3212"/>
        <v/>
      </c>
      <c r="FR236" s="40" t="str">
        <f t="shared" si="3213"/>
        <v/>
      </c>
      <c r="FS236" s="40" t="str">
        <f t="shared" si="3214"/>
        <v/>
      </c>
    </row>
    <row r="237" spans="1:175">
      <c r="A237" s="5"/>
      <c r="B237" s="5"/>
      <c r="C237" s="5"/>
      <c r="E237" s="95"/>
      <c r="T237" s="98"/>
      <c r="U237" s="51"/>
      <c r="CU237" s="61" t="str">
        <f t="shared" si="3144"/>
        <v>|n</v>
      </c>
      <c r="CW237" s="4"/>
      <c r="CX237" s="4"/>
      <c r="CY237" s="4"/>
      <c r="CZ237" s="4"/>
      <c r="DA237" s="4"/>
      <c r="DB237" s="40" t="str">
        <f t="shared" si="3145"/>
        <v/>
      </c>
      <c r="DC237" s="40" t="str">
        <f t="shared" si="3146"/>
        <v/>
      </c>
      <c r="DD237" s="40" t="str">
        <f t="shared" si="3147"/>
        <v/>
      </c>
      <c r="DE237" s="40" t="str">
        <f t="shared" si="3148"/>
        <v/>
      </c>
      <c r="DF237" s="40" t="str">
        <f t="shared" si="3149"/>
        <v/>
      </c>
      <c r="DG237" s="40" t="str">
        <f t="shared" si="3150"/>
        <v/>
      </c>
      <c r="DH237" s="40" t="str">
        <f t="shared" si="3151"/>
        <v/>
      </c>
      <c r="DI237" s="40" t="str">
        <f t="shared" si="3152"/>
        <v/>
      </c>
      <c r="DJ237" s="40" t="str">
        <f t="shared" si="3153"/>
        <v/>
      </c>
      <c r="DK237" s="40" t="str">
        <f t="shared" si="3154"/>
        <v/>
      </c>
      <c r="DL237" s="40" t="str">
        <f t="shared" si="3155"/>
        <v/>
      </c>
      <c r="DM237" s="40" t="str">
        <f t="shared" si="3156"/>
        <v/>
      </c>
      <c r="DN237" s="40" t="str">
        <f t="shared" si="3157"/>
        <v/>
      </c>
      <c r="DO237" s="40" t="str">
        <f t="shared" si="3158"/>
        <v/>
      </c>
      <c r="DP237" s="40" t="str">
        <f t="shared" si="3159"/>
        <v/>
      </c>
      <c r="DQ237" s="40" t="str">
        <f t="shared" si="3160"/>
        <v/>
      </c>
      <c r="DR237" s="40" t="str">
        <f t="shared" si="3161"/>
        <v/>
      </c>
      <c r="DS237" s="40" t="str">
        <f t="shared" si="3162"/>
        <v/>
      </c>
      <c r="DT237" s="40" t="str">
        <f t="shared" si="3163"/>
        <v/>
      </c>
      <c r="DU237" s="40" t="str">
        <f t="shared" si="3164"/>
        <v/>
      </c>
      <c r="DV237" s="40" t="str">
        <f t="shared" si="3165"/>
        <v/>
      </c>
      <c r="DW237" s="40" t="str">
        <f t="shared" si="3166"/>
        <v/>
      </c>
      <c r="DX237" s="40" t="str">
        <f t="shared" si="3167"/>
        <v/>
      </c>
      <c r="DY237" s="40" t="str">
        <f t="shared" si="3168"/>
        <v/>
      </c>
      <c r="DZ237" s="40" t="str">
        <f t="shared" si="3169"/>
        <v/>
      </c>
      <c r="EA237" s="40" t="str">
        <f t="shared" si="3170"/>
        <v/>
      </c>
      <c r="EB237" s="40" t="str">
        <f t="shared" si="3171"/>
        <v/>
      </c>
      <c r="EC237" s="40" t="str">
        <f t="shared" si="3172"/>
        <v/>
      </c>
      <c r="ED237" s="40" t="str">
        <f t="shared" si="3173"/>
        <v/>
      </c>
      <c r="EE237" s="40" t="str">
        <f t="shared" si="3174"/>
        <v/>
      </c>
      <c r="EF237" s="40" t="str">
        <f t="shared" si="3175"/>
        <v/>
      </c>
      <c r="EG237" s="40" t="str">
        <f t="shared" si="3176"/>
        <v/>
      </c>
      <c r="EH237" s="40" t="str">
        <f t="shared" si="3177"/>
        <v/>
      </c>
      <c r="EI237" s="40" t="str">
        <f t="shared" si="3178"/>
        <v/>
      </c>
      <c r="EJ237" s="40" t="str">
        <f t="shared" si="3179"/>
        <v/>
      </c>
      <c r="EK237" s="40" t="str">
        <f t="shared" si="3180"/>
        <v/>
      </c>
      <c r="EL237" s="40" t="str">
        <f t="shared" si="3181"/>
        <v/>
      </c>
      <c r="EM237" s="40" t="str">
        <f t="shared" si="3182"/>
        <v/>
      </c>
      <c r="EN237" s="40" t="str">
        <f t="shared" si="3183"/>
        <v/>
      </c>
      <c r="EO237" s="40" t="str">
        <f t="shared" si="3184"/>
        <v/>
      </c>
      <c r="EP237" s="40" t="str">
        <f t="shared" si="3185"/>
        <v/>
      </c>
      <c r="EQ237" s="40" t="str">
        <f t="shared" si="3186"/>
        <v/>
      </c>
      <c r="ER237" s="40" t="str">
        <f t="shared" si="3187"/>
        <v/>
      </c>
      <c r="ES237" s="40" t="str">
        <f t="shared" si="3188"/>
        <v/>
      </c>
      <c r="ET237" s="40" t="str">
        <f t="shared" si="3189"/>
        <v/>
      </c>
      <c r="EU237" s="40" t="str">
        <f t="shared" si="3190"/>
        <v/>
      </c>
      <c r="EV237" s="40" t="str">
        <f t="shared" si="3191"/>
        <v/>
      </c>
      <c r="EW237" s="40" t="str">
        <f t="shared" si="3192"/>
        <v/>
      </c>
      <c r="EX237" s="40" t="str">
        <f t="shared" si="3193"/>
        <v/>
      </c>
      <c r="EY237" s="40" t="str">
        <f t="shared" si="3194"/>
        <v/>
      </c>
      <c r="EZ237" s="40" t="str">
        <f t="shared" si="3195"/>
        <v/>
      </c>
      <c r="FA237" s="40" t="str">
        <f t="shared" si="3196"/>
        <v/>
      </c>
      <c r="FB237" s="40" t="str">
        <f t="shared" si="3197"/>
        <v/>
      </c>
      <c r="FC237" s="40" t="str">
        <f t="shared" si="3198"/>
        <v/>
      </c>
      <c r="FD237" s="40" t="str">
        <f t="shared" si="3199"/>
        <v/>
      </c>
      <c r="FE237" s="40" t="str">
        <f t="shared" si="3200"/>
        <v/>
      </c>
      <c r="FF237" s="40" t="str">
        <f t="shared" si="3201"/>
        <v/>
      </c>
      <c r="FG237" s="40" t="str">
        <f t="shared" si="3202"/>
        <v/>
      </c>
      <c r="FH237" s="40" t="str">
        <f t="shared" si="3203"/>
        <v/>
      </c>
      <c r="FI237" s="40" t="str">
        <f t="shared" si="3204"/>
        <v/>
      </c>
      <c r="FJ237" s="40" t="str">
        <f t="shared" si="3205"/>
        <v/>
      </c>
      <c r="FK237" s="40" t="str">
        <f t="shared" si="3206"/>
        <v/>
      </c>
      <c r="FL237" s="40" t="str">
        <f t="shared" si="3207"/>
        <v/>
      </c>
      <c r="FM237" s="40" t="str">
        <f t="shared" si="3208"/>
        <v/>
      </c>
      <c r="FN237" s="40" t="str">
        <f t="shared" si="3209"/>
        <v/>
      </c>
      <c r="FO237" s="40" t="str">
        <f t="shared" si="3210"/>
        <v/>
      </c>
      <c r="FP237" s="40" t="str">
        <f t="shared" si="3211"/>
        <v/>
      </c>
      <c r="FQ237" s="40" t="str">
        <f t="shared" si="3212"/>
        <v/>
      </c>
      <c r="FR237" s="40" t="str">
        <f t="shared" si="3213"/>
        <v/>
      </c>
      <c r="FS237" s="40" t="str">
        <f t="shared" si="3214"/>
        <v/>
      </c>
    </row>
    <row r="238" spans="1:175">
      <c r="A238" s="5"/>
      <c r="B238" s="5"/>
      <c r="C238" s="5"/>
      <c r="E238" s="95"/>
      <c r="T238" s="98"/>
      <c r="U238" s="51"/>
      <c r="CU238" s="61" t="str">
        <f t="shared" si="3144"/>
        <v>|n</v>
      </c>
      <c r="CW238" s="4"/>
      <c r="CX238" s="4"/>
      <c r="CY238" s="4"/>
      <c r="CZ238" s="4"/>
      <c r="DA238" s="4"/>
      <c r="DB238" s="40" t="str">
        <f t="shared" si="3145"/>
        <v/>
      </c>
      <c r="DC238" s="40" t="str">
        <f t="shared" si="3146"/>
        <v/>
      </c>
      <c r="DD238" s="40" t="str">
        <f t="shared" si="3147"/>
        <v/>
      </c>
      <c r="DE238" s="40" t="str">
        <f t="shared" si="3148"/>
        <v/>
      </c>
      <c r="DF238" s="40" t="str">
        <f t="shared" si="3149"/>
        <v/>
      </c>
      <c r="DG238" s="40" t="str">
        <f t="shared" si="3150"/>
        <v/>
      </c>
      <c r="DH238" s="40" t="str">
        <f t="shared" si="3151"/>
        <v/>
      </c>
      <c r="DI238" s="40" t="str">
        <f t="shared" si="3152"/>
        <v/>
      </c>
      <c r="DJ238" s="40" t="str">
        <f t="shared" si="3153"/>
        <v/>
      </c>
      <c r="DK238" s="40" t="str">
        <f t="shared" si="3154"/>
        <v/>
      </c>
      <c r="DL238" s="40" t="str">
        <f t="shared" si="3155"/>
        <v/>
      </c>
      <c r="DM238" s="40" t="str">
        <f t="shared" si="3156"/>
        <v/>
      </c>
      <c r="DN238" s="40" t="str">
        <f t="shared" si="3157"/>
        <v/>
      </c>
      <c r="DO238" s="40" t="str">
        <f t="shared" si="3158"/>
        <v/>
      </c>
      <c r="DP238" s="40" t="str">
        <f t="shared" si="3159"/>
        <v/>
      </c>
      <c r="DQ238" s="40" t="str">
        <f t="shared" si="3160"/>
        <v/>
      </c>
      <c r="DR238" s="40" t="str">
        <f t="shared" si="3161"/>
        <v/>
      </c>
      <c r="DS238" s="40" t="str">
        <f t="shared" si="3162"/>
        <v/>
      </c>
      <c r="DT238" s="40" t="str">
        <f t="shared" si="3163"/>
        <v/>
      </c>
      <c r="DU238" s="40" t="str">
        <f t="shared" si="3164"/>
        <v/>
      </c>
      <c r="DV238" s="40" t="str">
        <f t="shared" si="3165"/>
        <v/>
      </c>
      <c r="DW238" s="40" t="str">
        <f t="shared" si="3166"/>
        <v/>
      </c>
      <c r="DX238" s="40" t="str">
        <f t="shared" si="3167"/>
        <v/>
      </c>
      <c r="DY238" s="40" t="str">
        <f t="shared" si="3168"/>
        <v/>
      </c>
      <c r="DZ238" s="40" t="str">
        <f t="shared" si="3169"/>
        <v/>
      </c>
      <c r="EA238" s="40" t="str">
        <f t="shared" si="3170"/>
        <v/>
      </c>
      <c r="EB238" s="40" t="str">
        <f t="shared" si="3171"/>
        <v/>
      </c>
      <c r="EC238" s="40" t="str">
        <f t="shared" si="3172"/>
        <v/>
      </c>
      <c r="ED238" s="40" t="str">
        <f t="shared" si="3173"/>
        <v/>
      </c>
      <c r="EE238" s="40" t="str">
        <f t="shared" si="3174"/>
        <v/>
      </c>
      <c r="EF238" s="40" t="str">
        <f t="shared" si="3175"/>
        <v/>
      </c>
      <c r="EG238" s="40" t="str">
        <f t="shared" si="3176"/>
        <v/>
      </c>
      <c r="EH238" s="40" t="str">
        <f t="shared" si="3177"/>
        <v/>
      </c>
      <c r="EI238" s="40" t="str">
        <f t="shared" si="3178"/>
        <v/>
      </c>
      <c r="EJ238" s="40" t="str">
        <f t="shared" si="3179"/>
        <v/>
      </c>
      <c r="EK238" s="40" t="str">
        <f t="shared" si="3180"/>
        <v/>
      </c>
      <c r="EL238" s="40" t="str">
        <f t="shared" si="3181"/>
        <v/>
      </c>
      <c r="EM238" s="40" t="str">
        <f t="shared" si="3182"/>
        <v/>
      </c>
      <c r="EN238" s="40" t="str">
        <f t="shared" si="3183"/>
        <v/>
      </c>
      <c r="EO238" s="40" t="str">
        <f t="shared" si="3184"/>
        <v/>
      </c>
      <c r="EP238" s="40" t="str">
        <f t="shared" si="3185"/>
        <v/>
      </c>
      <c r="EQ238" s="40" t="str">
        <f t="shared" si="3186"/>
        <v/>
      </c>
      <c r="ER238" s="40" t="str">
        <f t="shared" si="3187"/>
        <v/>
      </c>
      <c r="ES238" s="40" t="str">
        <f t="shared" si="3188"/>
        <v/>
      </c>
      <c r="ET238" s="40" t="str">
        <f t="shared" si="3189"/>
        <v/>
      </c>
      <c r="EU238" s="40" t="str">
        <f t="shared" si="3190"/>
        <v/>
      </c>
      <c r="EV238" s="40" t="str">
        <f t="shared" si="3191"/>
        <v/>
      </c>
      <c r="EW238" s="40" t="str">
        <f t="shared" si="3192"/>
        <v/>
      </c>
      <c r="EX238" s="40" t="str">
        <f t="shared" si="3193"/>
        <v/>
      </c>
      <c r="EY238" s="40" t="str">
        <f t="shared" si="3194"/>
        <v/>
      </c>
      <c r="EZ238" s="40" t="str">
        <f t="shared" si="3195"/>
        <v/>
      </c>
      <c r="FA238" s="40" t="str">
        <f t="shared" si="3196"/>
        <v/>
      </c>
      <c r="FB238" s="40" t="str">
        <f t="shared" si="3197"/>
        <v/>
      </c>
      <c r="FC238" s="40" t="str">
        <f t="shared" si="3198"/>
        <v/>
      </c>
      <c r="FD238" s="40" t="str">
        <f t="shared" si="3199"/>
        <v/>
      </c>
      <c r="FE238" s="40" t="str">
        <f t="shared" si="3200"/>
        <v/>
      </c>
      <c r="FF238" s="40" t="str">
        <f t="shared" si="3201"/>
        <v/>
      </c>
      <c r="FG238" s="40" t="str">
        <f t="shared" si="3202"/>
        <v/>
      </c>
      <c r="FH238" s="40" t="str">
        <f t="shared" si="3203"/>
        <v/>
      </c>
      <c r="FI238" s="40" t="str">
        <f t="shared" si="3204"/>
        <v/>
      </c>
      <c r="FJ238" s="40" t="str">
        <f t="shared" si="3205"/>
        <v/>
      </c>
      <c r="FK238" s="40" t="str">
        <f t="shared" si="3206"/>
        <v/>
      </c>
      <c r="FL238" s="40" t="str">
        <f t="shared" si="3207"/>
        <v/>
      </c>
      <c r="FM238" s="40" t="str">
        <f t="shared" si="3208"/>
        <v/>
      </c>
      <c r="FN238" s="40" t="str">
        <f t="shared" si="3209"/>
        <v/>
      </c>
      <c r="FO238" s="40" t="str">
        <f t="shared" si="3210"/>
        <v/>
      </c>
      <c r="FP238" s="40" t="str">
        <f t="shared" si="3211"/>
        <v/>
      </c>
      <c r="FQ238" s="40" t="str">
        <f t="shared" si="3212"/>
        <v/>
      </c>
      <c r="FR238" s="40" t="str">
        <f t="shared" si="3213"/>
        <v/>
      </c>
      <c r="FS238" s="40" t="str">
        <f t="shared" si="3214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InitEquipData('',,"",,,,,'','','','','','',"")</v>
      </c>
      <c r="CS239" s="58"/>
      <c r="CT239" s="58"/>
      <c r="CU239" s="61" t="str">
        <f t="shared" si="3144"/>
        <v>|n</v>
      </c>
      <c r="CV239" s="3"/>
      <c r="DB239" s="40" t="str">
        <f t="shared" si="3145"/>
        <v/>
      </c>
      <c r="DC239" s="40" t="str">
        <f t="shared" si="3146"/>
        <v/>
      </c>
      <c r="DD239" s="40" t="str">
        <f t="shared" si="3147"/>
        <v/>
      </c>
      <c r="DE239" s="40" t="str">
        <f t="shared" si="3148"/>
        <v/>
      </c>
      <c r="DF239" s="40" t="str">
        <f t="shared" si="3149"/>
        <v/>
      </c>
      <c r="DG239" s="40" t="str">
        <f t="shared" si="3150"/>
        <v/>
      </c>
      <c r="DH239" s="40" t="str">
        <f t="shared" si="3151"/>
        <v/>
      </c>
      <c r="DI239" s="40" t="str">
        <f t="shared" si="3152"/>
        <v/>
      </c>
      <c r="DJ239" s="40" t="str">
        <f t="shared" si="3153"/>
        <v/>
      </c>
      <c r="DK239" s="40" t="str">
        <f t="shared" si="3154"/>
        <v/>
      </c>
      <c r="DL239" s="40" t="str">
        <f t="shared" si="3155"/>
        <v/>
      </c>
      <c r="DM239" s="40" t="str">
        <f t="shared" si="3156"/>
        <v/>
      </c>
      <c r="DN239" s="40" t="str">
        <f t="shared" si="3157"/>
        <v/>
      </c>
      <c r="DO239" s="40" t="str">
        <f t="shared" si="3158"/>
        <v/>
      </c>
      <c r="DP239" s="40" t="str">
        <f t="shared" si="3159"/>
        <v/>
      </c>
      <c r="DQ239" s="40" t="str">
        <f t="shared" si="3160"/>
        <v/>
      </c>
      <c r="DR239" s="40" t="str">
        <f t="shared" si="3161"/>
        <v/>
      </c>
      <c r="DS239" s="40" t="str">
        <f t="shared" si="3162"/>
        <v/>
      </c>
      <c r="DT239" s="40" t="str">
        <f t="shared" si="3163"/>
        <v/>
      </c>
      <c r="DU239" s="40" t="str">
        <f t="shared" si="3164"/>
        <v/>
      </c>
      <c r="DV239" s="40" t="str">
        <f t="shared" si="3165"/>
        <v/>
      </c>
      <c r="DW239" s="40" t="str">
        <f t="shared" si="3166"/>
        <v/>
      </c>
      <c r="DX239" s="40" t="str">
        <f t="shared" si="3167"/>
        <v/>
      </c>
      <c r="DY239" s="40" t="str">
        <f t="shared" si="3168"/>
        <v/>
      </c>
      <c r="DZ239" s="40" t="str">
        <f t="shared" si="3169"/>
        <v/>
      </c>
      <c r="EA239" s="40" t="str">
        <f t="shared" si="3170"/>
        <v/>
      </c>
      <c r="EB239" s="40" t="str">
        <f t="shared" si="3171"/>
        <v/>
      </c>
      <c r="EC239" s="40" t="str">
        <f t="shared" si="3172"/>
        <v/>
      </c>
      <c r="ED239" s="40" t="str">
        <f t="shared" si="3173"/>
        <v/>
      </c>
      <c r="EE239" s="40" t="str">
        <f t="shared" si="3174"/>
        <v/>
      </c>
      <c r="EF239" s="40" t="str">
        <f t="shared" si="3175"/>
        <v/>
      </c>
      <c r="EG239" s="40" t="str">
        <f t="shared" si="3176"/>
        <v/>
      </c>
      <c r="EH239" s="40" t="str">
        <f t="shared" si="3177"/>
        <v/>
      </c>
      <c r="EI239" s="40" t="str">
        <f t="shared" si="3178"/>
        <v/>
      </c>
      <c r="EJ239" s="40" t="str">
        <f t="shared" si="3179"/>
        <v/>
      </c>
      <c r="EK239" s="40" t="str">
        <f t="shared" si="3180"/>
        <v/>
      </c>
      <c r="EL239" s="40" t="str">
        <f t="shared" si="3181"/>
        <v/>
      </c>
      <c r="EM239" s="40" t="str">
        <f t="shared" si="3182"/>
        <v/>
      </c>
      <c r="EN239" s="40" t="str">
        <f t="shared" si="3183"/>
        <v/>
      </c>
      <c r="EO239" s="40" t="str">
        <f t="shared" si="3184"/>
        <v/>
      </c>
      <c r="EP239" s="40" t="str">
        <f t="shared" si="3185"/>
        <v/>
      </c>
      <c r="EQ239" s="40" t="str">
        <f t="shared" si="3186"/>
        <v/>
      </c>
      <c r="ER239" s="40" t="str">
        <f t="shared" si="3187"/>
        <v/>
      </c>
      <c r="ES239" s="40" t="str">
        <f t="shared" si="3188"/>
        <v/>
      </c>
      <c r="ET239" s="40" t="str">
        <f t="shared" si="3189"/>
        <v/>
      </c>
      <c r="EU239" s="40" t="str">
        <f t="shared" si="3190"/>
        <v/>
      </c>
      <c r="EV239" s="40" t="str">
        <f t="shared" si="3191"/>
        <v/>
      </c>
      <c r="EW239" s="40" t="str">
        <f t="shared" si="3192"/>
        <v/>
      </c>
      <c r="EX239" s="40" t="str">
        <f t="shared" si="3193"/>
        <v/>
      </c>
      <c r="EY239" s="40" t="str">
        <f t="shared" si="3194"/>
        <v/>
      </c>
      <c r="EZ239" s="40" t="str">
        <f t="shared" si="3195"/>
        <v/>
      </c>
      <c r="FA239" s="40" t="str">
        <f t="shared" si="3196"/>
        <v/>
      </c>
      <c r="FB239" s="40" t="str">
        <f t="shared" si="3197"/>
        <v/>
      </c>
      <c r="FC239" s="40" t="str">
        <f t="shared" si="3198"/>
        <v/>
      </c>
      <c r="FD239" s="40" t="str">
        <f t="shared" si="3199"/>
        <v/>
      </c>
      <c r="FE239" s="40" t="str">
        <f t="shared" si="3200"/>
        <v/>
      </c>
      <c r="FF239" s="40" t="str">
        <f t="shared" si="3201"/>
        <v/>
      </c>
      <c r="FG239" s="40" t="str">
        <f t="shared" si="3202"/>
        <v/>
      </c>
      <c r="FH239" s="40" t="str">
        <f t="shared" si="3203"/>
        <v/>
      </c>
      <c r="FI239" s="40" t="str">
        <f t="shared" si="3204"/>
        <v/>
      </c>
      <c r="FJ239" s="40" t="str">
        <f t="shared" si="3205"/>
        <v/>
      </c>
      <c r="FK239" s="40" t="str">
        <f t="shared" si="3206"/>
        <v/>
      </c>
      <c r="FL239" s="40" t="str">
        <f t="shared" si="3207"/>
        <v/>
      </c>
      <c r="FM239" s="40" t="str">
        <f t="shared" si="3208"/>
        <v/>
      </c>
      <c r="FN239" s="40" t="str">
        <f t="shared" si="3209"/>
        <v/>
      </c>
      <c r="FO239" s="40" t="str">
        <f t="shared" si="3210"/>
        <v/>
      </c>
      <c r="FP239" s="40" t="str">
        <f t="shared" si="3211"/>
        <v/>
      </c>
      <c r="FQ239" s="40" t="str">
        <f t="shared" si="3212"/>
        <v/>
      </c>
      <c r="FR239" s="40" t="str">
        <f t="shared" si="3213"/>
        <v/>
      </c>
      <c r="FS239" s="40" t="str">
        <f t="shared" si="3214"/>
        <v/>
      </c>
    </row>
    <row r="240" spans="1:175" s="4" customFormat="1" ht="16.5">
      <c r="A240" s="91"/>
      <c r="B240" s="41"/>
      <c r="C240" s="91"/>
      <c r="D240" s="42"/>
      <c r="E240" s="43"/>
      <c r="F240" s="92"/>
      <c r="G240" s="93"/>
      <c r="H240" s="93"/>
      <c r="I240" s="93"/>
      <c r="J240" s="93"/>
      <c r="K240" s="93"/>
      <c r="L240" s="93"/>
      <c r="M240" s="93"/>
      <c r="N240" s="93"/>
      <c r="O240" s="93"/>
      <c r="P240" s="49"/>
      <c r="Q240" s="49"/>
      <c r="R240" s="49"/>
      <c r="S240" s="49"/>
      <c r="T240" s="55"/>
      <c r="U240" s="51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131"/>
      <c r="AS240" s="131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8" t="str">
        <f>"InitUnitState('"&amp;B240&amp;"',"&amp;V240&amp;","&amp;W240&amp;","&amp;X240&amp;","&amp;Y240&amp;","&amp;Z240&amp;","&amp;AA240&amp;","&amp;AB240&amp;","&amp;AC240&amp;","&amp;AD240&amp;","&amp;AE240&amp;")"</f>
        <v>InitUnitState('',,,,,,,,,,)</v>
      </c>
      <c r="CO240" s="58" t="str">
        <f>"InitUnitNormal('"&amp;B240&amp;"',"&amp;AF240&amp;","&amp;AG240&amp;","&amp;AH240&amp;","&amp;AI240&amp;","&amp;AJ240&amp;","&amp;AK240&amp;","&amp;AL240&amp;","&amp;AM240&amp;","&amp;AN240&amp;","&amp;AO240&amp;")"</f>
        <v>InitUnitNormal('',,,,,,,,,,)</v>
      </c>
      <c r="CP240" s="58" t="str">
        <f>"InitUnitMagic('"&amp;B240&amp;"',"&amp;AP240&amp;","&amp;AQ240&amp;","&amp;AR240&amp;","&amp;AS240&amp;","&amp;AT240&amp;","&amp;AU240&amp;","&amp;AV240&amp;","&amp;AW240&amp;","&amp;BI240&amp;","&amp;BJ240&amp;")"</f>
        <v>InitUnitMagic('',,,,,,,,,,)</v>
      </c>
      <c r="CQ240" s="58" t="str">
        <f>"InitUnitAdd('"&amp;B240&amp;"',"&amp;BK240&amp;","&amp;BL240&amp;","&amp;BM240&amp;","&amp;BN240&amp;","&amp;BO240&amp;","&amp;BP240&amp;","&amp;BQ240&amp;","&amp;BR240&amp;","&amp;BS240&amp;","&amp;BT240&amp;")"</f>
        <v>InitUnitAdd('',,,,,,,,,,)</v>
      </c>
      <c r="CR240" s="58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InitEquipData('',,"",,,,,'','','','','','',"")</v>
      </c>
      <c r="CS240" s="58"/>
      <c r="CT240" s="58"/>
      <c r="CU240" s="61" t="str">
        <f t="shared" si="3144"/>
        <v>|n</v>
      </c>
      <c r="CV240" s="3"/>
      <c r="DB240" s="40" t="str">
        <f t="shared" si="3145"/>
        <v/>
      </c>
      <c r="DC240" s="40" t="str">
        <f t="shared" si="3146"/>
        <v/>
      </c>
      <c r="DD240" s="40" t="str">
        <f t="shared" si="3147"/>
        <v/>
      </c>
      <c r="DE240" s="40" t="str">
        <f t="shared" si="3148"/>
        <v/>
      </c>
      <c r="DF240" s="40" t="str">
        <f t="shared" si="3149"/>
        <v/>
      </c>
      <c r="DG240" s="40" t="str">
        <f t="shared" si="3150"/>
        <v/>
      </c>
      <c r="DH240" s="40" t="str">
        <f t="shared" si="3151"/>
        <v/>
      </c>
      <c r="DI240" s="40" t="str">
        <f t="shared" si="3152"/>
        <v/>
      </c>
      <c r="DJ240" s="40" t="str">
        <f t="shared" si="3153"/>
        <v/>
      </c>
      <c r="DK240" s="40" t="str">
        <f t="shared" si="3154"/>
        <v/>
      </c>
      <c r="DL240" s="40" t="str">
        <f t="shared" si="3155"/>
        <v/>
      </c>
      <c r="DM240" s="40" t="str">
        <f t="shared" si="3156"/>
        <v/>
      </c>
      <c r="DN240" s="40" t="str">
        <f t="shared" si="3157"/>
        <v/>
      </c>
      <c r="DO240" s="40" t="str">
        <f t="shared" si="3158"/>
        <v/>
      </c>
      <c r="DP240" s="40" t="str">
        <f t="shared" si="3159"/>
        <v/>
      </c>
      <c r="DQ240" s="40" t="str">
        <f t="shared" si="3160"/>
        <v/>
      </c>
      <c r="DR240" s="40" t="str">
        <f t="shared" si="3161"/>
        <v/>
      </c>
      <c r="DS240" s="40" t="str">
        <f t="shared" si="3162"/>
        <v/>
      </c>
      <c r="DT240" s="40" t="str">
        <f t="shared" si="3163"/>
        <v/>
      </c>
      <c r="DU240" s="40" t="str">
        <f t="shared" si="3164"/>
        <v/>
      </c>
      <c r="DV240" s="40" t="str">
        <f t="shared" si="3165"/>
        <v/>
      </c>
      <c r="DW240" s="40" t="str">
        <f t="shared" si="3166"/>
        <v/>
      </c>
      <c r="DX240" s="40" t="str">
        <f t="shared" si="3167"/>
        <v/>
      </c>
      <c r="DY240" s="40" t="str">
        <f t="shared" si="3168"/>
        <v/>
      </c>
      <c r="DZ240" s="40" t="str">
        <f t="shared" si="3169"/>
        <v/>
      </c>
      <c r="EA240" s="40" t="str">
        <f t="shared" si="3170"/>
        <v/>
      </c>
      <c r="EB240" s="40" t="str">
        <f t="shared" si="3171"/>
        <v/>
      </c>
      <c r="EC240" s="40" t="str">
        <f t="shared" si="3172"/>
        <v/>
      </c>
      <c r="ED240" s="40" t="str">
        <f t="shared" si="3173"/>
        <v/>
      </c>
      <c r="EE240" s="40" t="str">
        <f t="shared" si="3174"/>
        <v/>
      </c>
      <c r="EF240" s="40" t="str">
        <f t="shared" si="3175"/>
        <v/>
      </c>
      <c r="EG240" s="40" t="str">
        <f t="shared" si="3176"/>
        <v/>
      </c>
      <c r="EH240" s="40" t="str">
        <f t="shared" si="3177"/>
        <v/>
      </c>
      <c r="EI240" s="40" t="str">
        <f t="shared" si="3178"/>
        <v/>
      </c>
      <c r="EJ240" s="40" t="str">
        <f t="shared" si="3179"/>
        <v/>
      </c>
      <c r="EK240" s="40" t="str">
        <f t="shared" si="3180"/>
        <v/>
      </c>
      <c r="EL240" s="40" t="str">
        <f t="shared" si="3181"/>
        <v/>
      </c>
      <c r="EM240" s="40" t="str">
        <f t="shared" si="3182"/>
        <v/>
      </c>
      <c r="EN240" s="40" t="str">
        <f t="shared" si="3183"/>
        <v/>
      </c>
      <c r="EO240" s="40" t="str">
        <f t="shared" si="3184"/>
        <v/>
      </c>
      <c r="EP240" s="40" t="str">
        <f t="shared" si="3185"/>
        <v/>
      </c>
      <c r="EQ240" s="40" t="str">
        <f t="shared" si="3186"/>
        <v/>
      </c>
      <c r="ER240" s="40" t="str">
        <f t="shared" si="3187"/>
        <v/>
      </c>
      <c r="ES240" s="40" t="str">
        <f t="shared" si="3188"/>
        <v/>
      </c>
      <c r="ET240" s="40" t="str">
        <f t="shared" si="3189"/>
        <v/>
      </c>
      <c r="EU240" s="40" t="str">
        <f t="shared" si="3190"/>
        <v/>
      </c>
      <c r="EV240" s="40" t="str">
        <f t="shared" si="3191"/>
        <v/>
      </c>
      <c r="EW240" s="40" t="str">
        <f t="shared" si="3192"/>
        <v/>
      </c>
      <c r="EX240" s="40" t="str">
        <f t="shared" si="3193"/>
        <v/>
      </c>
      <c r="EY240" s="40" t="str">
        <f t="shared" si="3194"/>
        <v/>
      </c>
      <c r="EZ240" s="40" t="str">
        <f t="shared" si="3195"/>
        <v/>
      </c>
      <c r="FA240" s="40" t="str">
        <f t="shared" si="3196"/>
        <v/>
      </c>
      <c r="FB240" s="40" t="str">
        <f t="shared" si="3197"/>
        <v/>
      </c>
      <c r="FC240" s="40" t="str">
        <f t="shared" si="3198"/>
        <v/>
      </c>
      <c r="FD240" s="40" t="str">
        <f t="shared" si="3199"/>
        <v/>
      </c>
      <c r="FE240" s="40" t="str">
        <f t="shared" si="3200"/>
        <v/>
      </c>
      <c r="FF240" s="40" t="str">
        <f t="shared" si="3201"/>
        <v/>
      </c>
      <c r="FG240" s="40" t="str">
        <f t="shared" si="3202"/>
        <v/>
      </c>
      <c r="FH240" s="40" t="str">
        <f t="shared" si="3203"/>
        <v/>
      </c>
      <c r="FI240" s="40" t="str">
        <f t="shared" si="3204"/>
        <v/>
      </c>
      <c r="FJ240" s="40" t="str">
        <f t="shared" si="3205"/>
        <v/>
      </c>
      <c r="FK240" s="40" t="str">
        <f t="shared" si="3206"/>
        <v/>
      </c>
      <c r="FL240" s="40" t="str">
        <f t="shared" si="3207"/>
        <v/>
      </c>
      <c r="FM240" s="40" t="str">
        <f t="shared" si="3208"/>
        <v/>
      </c>
      <c r="FN240" s="40" t="str">
        <f t="shared" si="3209"/>
        <v/>
      </c>
      <c r="FO240" s="40" t="str">
        <f t="shared" si="3210"/>
        <v/>
      </c>
      <c r="FP240" s="40" t="str">
        <f t="shared" si="3211"/>
        <v/>
      </c>
      <c r="FQ240" s="40" t="str">
        <f t="shared" si="3212"/>
        <v/>
      </c>
      <c r="FR240" s="40" t="str">
        <f t="shared" si="3213"/>
        <v/>
      </c>
      <c r="FS240" s="40" t="str">
        <f t="shared" si="3214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243&amp;CR$1&amp;")"</f>
        <v>InitEquipData('',,"",,,,,'','','','','','',"")</v>
      </c>
      <c r="CS241" s="58"/>
      <c r="CT241" s="58"/>
      <c r="CU241" s="61" t="str">
        <f t="shared" si="3144"/>
        <v>|n</v>
      </c>
      <c r="CV241" s="3"/>
      <c r="DB241" s="40" t="str">
        <f t="shared" si="3145"/>
        <v/>
      </c>
      <c r="DC241" s="40" t="str">
        <f t="shared" si="3146"/>
        <v/>
      </c>
      <c r="DD241" s="40" t="str">
        <f t="shared" si="3147"/>
        <v/>
      </c>
      <c r="DE241" s="40" t="str">
        <f t="shared" si="3148"/>
        <v/>
      </c>
      <c r="DF241" s="40" t="str">
        <f t="shared" si="3149"/>
        <v/>
      </c>
      <c r="DG241" s="40" t="str">
        <f t="shared" si="3150"/>
        <v/>
      </c>
      <c r="DH241" s="40" t="str">
        <f t="shared" si="3151"/>
        <v/>
      </c>
      <c r="DI241" s="40" t="str">
        <f t="shared" si="3152"/>
        <v/>
      </c>
      <c r="DJ241" s="40" t="str">
        <f t="shared" si="3153"/>
        <v/>
      </c>
      <c r="DK241" s="40" t="str">
        <f t="shared" si="3154"/>
        <v/>
      </c>
      <c r="DL241" s="40" t="str">
        <f t="shared" si="3155"/>
        <v/>
      </c>
      <c r="DM241" s="40" t="str">
        <f t="shared" si="3156"/>
        <v/>
      </c>
      <c r="DN241" s="40" t="str">
        <f t="shared" si="3157"/>
        <v/>
      </c>
      <c r="DO241" s="40" t="str">
        <f t="shared" si="3158"/>
        <v/>
      </c>
      <c r="DP241" s="40" t="str">
        <f t="shared" si="3159"/>
        <v/>
      </c>
      <c r="DQ241" s="40" t="str">
        <f t="shared" si="3160"/>
        <v/>
      </c>
      <c r="DR241" s="40" t="str">
        <f t="shared" si="3161"/>
        <v/>
      </c>
      <c r="DS241" s="40" t="str">
        <f t="shared" si="3162"/>
        <v/>
      </c>
      <c r="DT241" s="40" t="str">
        <f t="shared" si="3163"/>
        <v/>
      </c>
      <c r="DU241" s="40" t="str">
        <f t="shared" si="3164"/>
        <v/>
      </c>
      <c r="DV241" s="40" t="str">
        <f t="shared" si="3165"/>
        <v/>
      </c>
      <c r="DW241" s="40" t="str">
        <f t="shared" si="3166"/>
        <v/>
      </c>
      <c r="DX241" s="40" t="str">
        <f t="shared" si="3167"/>
        <v/>
      </c>
      <c r="DY241" s="40" t="str">
        <f t="shared" si="3168"/>
        <v/>
      </c>
      <c r="DZ241" s="40" t="str">
        <f t="shared" si="3169"/>
        <v/>
      </c>
      <c r="EA241" s="40" t="str">
        <f t="shared" si="3170"/>
        <v/>
      </c>
      <c r="EB241" s="40" t="str">
        <f t="shared" si="3171"/>
        <v/>
      </c>
      <c r="EC241" s="40" t="str">
        <f t="shared" si="3172"/>
        <v/>
      </c>
      <c r="ED241" s="40" t="str">
        <f t="shared" si="3173"/>
        <v/>
      </c>
      <c r="EE241" s="40" t="str">
        <f t="shared" si="3174"/>
        <v/>
      </c>
      <c r="EF241" s="40" t="str">
        <f t="shared" si="3175"/>
        <v/>
      </c>
      <c r="EG241" s="40" t="str">
        <f t="shared" si="3176"/>
        <v/>
      </c>
      <c r="EH241" s="40" t="str">
        <f t="shared" si="3177"/>
        <v/>
      </c>
      <c r="EI241" s="40" t="str">
        <f t="shared" si="3178"/>
        <v/>
      </c>
      <c r="EJ241" s="40" t="str">
        <f t="shared" si="3179"/>
        <v/>
      </c>
      <c r="EK241" s="40" t="str">
        <f t="shared" si="3180"/>
        <v/>
      </c>
      <c r="EL241" s="40" t="str">
        <f t="shared" si="3181"/>
        <v/>
      </c>
      <c r="EM241" s="40" t="str">
        <f t="shared" si="3182"/>
        <v/>
      </c>
      <c r="EN241" s="40" t="str">
        <f t="shared" si="3183"/>
        <v/>
      </c>
      <c r="EO241" s="40" t="str">
        <f t="shared" si="3184"/>
        <v/>
      </c>
      <c r="EP241" s="40" t="str">
        <f t="shared" si="3185"/>
        <v/>
      </c>
      <c r="EQ241" s="40" t="str">
        <f t="shared" si="3186"/>
        <v/>
      </c>
      <c r="ER241" s="40" t="str">
        <f t="shared" si="3187"/>
        <v/>
      </c>
      <c r="ES241" s="40" t="str">
        <f t="shared" si="3188"/>
        <v/>
      </c>
      <c r="ET241" s="40" t="str">
        <f t="shared" si="3189"/>
        <v/>
      </c>
      <c r="EU241" s="40" t="str">
        <f t="shared" si="3190"/>
        <v/>
      </c>
      <c r="EV241" s="40" t="str">
        <f t="shared" si="3191"/>
        <v/>
      </c>
      <c r="EW241" s="40" t="str">
        <f t="shared" si="3192"/>
        <v/>
      </c>
      <c r="EX241" s="40" t="str">
        <f t="shared" si="3193"/>
        <v/>
      </c>
      <c r="EY241" s="40" t="str">
        <f t="shared" si="3194"/>
        <v/>
      </c>
      <c r="EZ241" s="40" t="str">
        <f t="shared" si="3195"/>
        <v/>
      </c>
      <c r="FA241" s="40" t="str">
        <f t="shared" si="3196"/>
        <v/>
      </c>
      <c r="FB241" s="40" t="str">
        <f t="shared" si="3197"/>
        <v/>
      </c>
      <c r="FC241" s="40" t="str">
        <f t="shared" si="3198"/>
        <v/>
      </c>
      <c r="FD241" s="40" t="str">
        <f t="shared" si="3199"/>
        <v/>
      </c>
      <c r="FE241" s="40" t="str">
        <f t="shared" si="3200"/>
        <v/>
      </c>
      <c r="FF241" s="40" t="str">
        <f t="shared" si="3201"/>
        <v/>
      </c>
      <c r="FG241" s="40" t="str">
        <f t="shared" si="3202"/>
        <v/>
      </c>
      <c r="FH241" s="40" t="str">
        <f t="shared" si="3203"/>
        <v/>
      </c>
      <c r="FI241" s="40" t="str">
        <f t="shared" si="3204"/>
        <v/>
      </c>
      <c r="FJ241" s="40" t="str">
        <f t="shared" si="3205"/>
        <v/>
      </c>
      <c r="FK241" s="40" t="str">
        <f t="shared" si="3206"/>
        <v/>
      </c>
      <c r="FL241" s="40" t="str">
        <f t="shared" si="3207"/>
        <v/>
      </c>
      <c r="FM241" s="40" t="str">
        <f t="shared" si="3208"/>
        <v/>
      </c>
      <c r="FN241" s="40" t="str">
        <f t="shared" si="3209"/>
        <v/>
      </c>
      <c r="FO241" s="40" t="str">
        <f t="shared" si="3210"/>
        <v/>
      </c>
      <c r="FP241" s="40" t="str">
        <f t="shared" si="3211"/>
        <v/>
      </c>
      <c r="FQ241" s="40" t="str">
        <f t="shared" si="3212"/>
        <v/>
      </c>
      <c r="FR241" s="40" t="str">
        <f t="shared" si="3213"/>
        <v/>
      </c>
      <c r="FS241" s="40" t="str">
        <f t="shared" si="3214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InitEquipData('',,"",,,,,'','','','','','',"")</v>
      </c>
      <c r="CS242" s="58"/>
      <c r="CT242" s="58"/>
      <c r="CU242" s="61" t="str">
        <f t="shared" si="3144"/>
        <v>|n</v>
      </c>
      <c r="CV242" s="3"/>
      <c r="DB242" s="40" t="str">
        <f t="shared" si="3145"/>
        <v/>
      </c>
      <c r="DC242" s="40" t="str">
        <f t="shared" si="3146"/>
        <v/>
      </c>
      <c r="DD242" s="40" t="str">
        <f t="shared" si="3147"/>
        <v/>
      </c>
      <c r="DE242" s="40" t="str">
        <f t="shared" si="3148"/>
        <v/>
      </c>
      <c r="DF242" s="40" t="str">
        <f t="shared" si="3149"/>
        <v/>
      </c>
      <c r="DG242" s="40" t="str">
        <f t="shared" si="3150"/>
        <v/>
      </c>
      <c r="DH242" s="40" t="str">
        <f t="shared" si="3151"/>
        <v/>
      </c>
      <c r="DI242" s="40" t="str">
        <f t="shared" si="3152"/>
        <v/>
      </c>
      <c r="DJ242" s="40" t="str">
        <f t="shared" si="3153"/>
        <v/>
      </c>
      <c r="DK242" s="40" t="str">
        <f t="shared" si="3154"/>
        <v/>
      </c>
      <c r="DL242" s="40" t="str">
        <f t="shared" si="3155"/>
        <v/>
      </c>
      <c r="DM242" s="40" t="str">
        <f t="shared" si="3156"/>
        <v/>
      </c>
      <c r="DN242" s="40" t="str">
        <f t="shared" si="3157"/>
        <v/>
      </c>
      <c r="DO242" s="40" t="str">
        <f t="shared" si="3158"/>
        <v/>
      </c>
      <c r="DP242" s="40" t="str">
        <f t="shared" si="3159"/>
        <v/>
      </c>
      <c r="DQ242" s="40" t="str">
        <f t="shared" si="3160"/>
        <v/>
      </c>
      <c r="DR242" s="40" t="str">
        <f t="shared" si="3161"/>
        <v/>
      </c>
      <c r="DS242" s="40" t="str">
        <f t="shared" si="3162"/>
        <v/>
      </c>
      <c r="DT242" s="40" t="str">
        <f t="shared" si="3163"/>
        <v/>
      </c>
      <c r="DU242" s="40" t="str">
        <f t="shared" si="3164"/>
        <v/>
      </c>
      <c r="DV242" s="40" t="str">
        <f t="shared" si="3165"/>
        <v/>
      </c>
      <c r="DW242" s="40" t="str">
        <f t="shared" si="3166"/>
        <v/>
      </c>
      <c r="DX242" s="40" t="str">
        <f t="shared" si="3167"/>
        <v/>
      </c>
      <c r="DY242" s="40" t="str">
        <f t="shared" si="3168"/>
        <v/>
      </c>
      <c r="DZ242" s="40" t="str">
        <f t="shared" si="3169"/>
        <v/>
      </c>
      <c r="EA242" s="40" t="str">
        <f t="shared" si="3170"/>
        <v/>
      </c>
      <c r="EB242" s="40" t="str">
        <f t="shared" si="3171"/>
        <v/>
      </c>
      <c r="EC242" s="40" t="str">
        <f t="shared" si="3172"/>
        <v/>
      </c>
      <c r="ED242" s="40" t="str">
        <f t="shared" si="3173"/>
        <v/>
      </c>
      <c r="EE242" s="40" t="str">
        <f t="shared" si="3174"/>
        <v/>
      </c>
      <c r="EF242" s="40" t="str">
        <f t="shared" si="3175"/>
        <v/>
      </c>
      <c r="EG242" s="40" t="str">
        <f t="shared" si="3176"/>
        <v/>
      </c>
      <c r="EH242" s="40" t="str">
        <f t="shared" si="3177"/>
        <v/>
      </c>
      <c r="EI242" s="40" t="str">
        <f t="shared" si="3178"/>
        <v/>
      </c>
      <c r="EJ242" s="40" t="str">
        <f t="shared" si="3179"/>
        <v/>
      </c>
      <c r="EK242" s="40" t="str">
        <f t="shared" si="3180"/>
        <v/>
      </c>
      <c r="EL242" s="40" t="str">
        <f t="shared" si="3181"/>
        <v/>
      </c>
      <c r="EM242" s="40" t="str">
        <f t="shared" si="3182"/>
        <v/>
      </c>
      <c r="EN242" s="40" t="str">
        <f t="shared" si="3183"/>
        <v/>
      </c>
      <c r="EO242" s="40" t="str">
        <f t="shared" si="3184"/>
        <v/>
      </c>
      <c r="EP242" s="40" t="str">
        <f t="shared" si="3185"/>
        <v/>
      </c>
      <c r="EQ242" s="40" t="str">
        <f t="shared" si="3186"/>
        <v/>
      </c>
      <c r="ER242" s="40" t="str">
        <f t="shared" si="3187"/>
        <v/>
      </c>
      <c r="ES242" s="40" t="str">
        <f t="shared" si="3188"/>
        <v/>
      </c>
      <c r="ET242" s="40" t="str">
        <f t="shared" si="3189"/>
        <v/>
      </c>
      <c r="EU242" s="40" t="str">
        <f t="shared" si="3190"/>
        <v/>
      </c>
      <c r="EV242" s="40" t="str">
        <f t="shared" si="3191"/>
        <v/>
      </c>
      <c r="EW242" s="40" t="str">
        <f t="shared" si="3192"/>
        <v/>
      </c>
      <c r="EX242" s="40" t="str">
        <f t="shared" si="3193"/>
        <v/>
      </c>
      <c r="EY242" s="40" t="str">
        <f t="shared" si="3194"/>
        <v/>
      </c>
      <c r="EZ242" s="40" t="str">
        <f t="shared" si="3195"/>
        <v/>
      </c>
      <c r="FA242" s="40" t="str">
        <f t="shared" si="3196"/>
        <v/>
      </c>
      <c r="FB242" s="40" t="str">
        <f t="shared" si="3197"/>
        <v/>
      </c>
      <c r="FC242" s="40" t="str">
        <f t="shared" si="3198"/>
        <v/>
      </c>
      <c r="FD242" s="40" t="str">
        <f t="shared" si="3199"/>
        <v/>
      </c>
      <c r="FE242" s="40" t="str">
        <f t="shared" si="3200"/>
        <v/>
      </c>
      <c r="FF242" s="40" t="str">
        <f t="shared" si="3201"/>
        <v/>
      </c>
      <c r="FG242" s="40" t="str">
        <f t="shared" si="3202"/>
        <v/>
      </c>
      <c r="FH242" s="40" t="str">
        <f t="shared" si="3203"/>
        <v/>
      </c>
      <c r="FI242" s="40" t="str">
        <f t="shared" si="3204"/>
        <v/>
      </c>
      <c r="FJ242" s="40" t="str">
        <f t="shared" si="3205"/>
        <v/>
      </c>
      <c r="FK242" s="40" t="str">
        <f t="shared" si="3206"/>
        <v/>
      </c>
      <c r="FL242" s="40" t="str">
        <f t="shared" si="3207"/>
        <v/>
      </c>
      <c r="FM242" s="40" t="str">
        <f t="shared" si="3208"/>
        <v/>
      </c>
      <c r="FN242" s="40" t="str">
        <f t="shared" si="3209"/>
        <v/>
      </c>
      <c r="FO242" s="40" t="str">
        <f t="shared" si="3210"/>
        <v/>
      </c>
      <c r="FP242" s="40" t="str">
        <f t="shared" si="3211"/>
        <v/>
      </c>
      <c r="FQ242" s="40" t="str">
        <f t="shared" si="3212"/>
        <v/>
      </c>
      <c r="FR242" s="40" t="str">
        <f t="shared" si="3213"/>
        <v/>
      </c>
      <c r="FS242" s="40" t="str">
        <f t="shared" si="3214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44"/>
        <v>|n</v>
      </c>
      <c r="CW243" s="4"/>
      <c r="CX243" s="4"/>
      <c r="CY243" s="4"/>
      <c r="CZ243" s="4"/>
      <c r="DA243" s="4"/>
      <c r="DB243" s="40" t="str">
        <f t="shared" si="3145"/>
        <v/>
      </c>
      <c r="DC243" s="40" t="str">
        <f t="shared" si="3146"/>
        <v/>
      </c>
      <c r="DD243" s="40" t="str">
        <f t="shared" si="3147"/>
        <v/>
      </c>
      <c r="DE243" s="40" t="str">
        <f t="shared" si="3148"/>
        <v/>
      </c>
      <c r="DF243" s="40" t="str">
        <f t="shared" si="3149"/>
        <v/>
      </c>
      <c r="DG243" s="40" t="str">
        <f t="shared" si="3150"/>
        <v/>
      </c>
      <c r="DH243" s="40" t="str">
        <f t="shared" si="3151"/>
        <v/>
      </c>
      <c r="DI243" s="40" t="str">
        <f t="shared" si="3152"/>
        <v/>
      </c>
      <c r="DJ243" s="40" t="str">
        <f t="shared" si="3153"/>
        <v/>
      </c>
      <c r="DK243" s="40" t="str">
        <f t="shared" si="3154"/>
        <v/>
      </c>
      <c r="DL243" s="40" t="str">
        <f t="shared" si="3155"/>
        <v/>
      </c>
      <c r="DM243" s="40" t="str">
        <f t="shared" si="3156"/>
        <v/>
      </c>
      <c r="DN243" s="40" t="str">
        <f t="shared" si="3157"/>
        <v/>
      </c>
      <c r="DO243" s="40" t="str">
        <f t="shared" si="3158"/>
        <v/>
      </c>
      <c r="DP243" s="40" t="str">
        <f t="shared" si="3159"/>
        <v/>
      </c>
      <c r="DQ243" s="40" t="str">
        <f t="shared" si="3160"/>
        <v/>
      </c>
      <c r="DR243" s="40" t="str">
        <f t="shared" si="3161"/>
        <v/>
      </c>
      <c r="DS243" s="40" t="str">
        <f t="shared" si="3162"/>
        <v/>
      </c>
      <c r="DT243" s="40" t="str">
        <f t="shared" si="3163"/>
        <v/>
      </c>
      <c r="DU243" s="40" t="str">
        <f t="shared" si="3164"/>
        <v/>
      </c>
      <c r="DV243" s="40" t="str">
        <f t="shared" si="3165"/>
        <v/>
      </c>
      <c r="DW243" s="40" t="str">
        <f t="shared" si="3166"/>
        <v/>
      </c>
      <c r="DX243" s="40" t="str">
        <f t="shared" si="3167"/>
        <v/>
      </c>
      <c r="DY243" s="40" t="str">
        <f t="shared" si="3168"/>
        <v/>
      </c>
      <c r="DZ243" s="40" t="str">
        <f t="shared" si="3169"/>
        <v/>
      </c>
      <c r="EA243" s="40" t="str">
        <f t="shared" si="3170"/>
        <v/>
      </c>
      <c r="EB243" s="40" t="str">
        <f t="shared" si="3171"/>
        <v/>
      </c>
      <c r="EC243" s="40" t="str">
        <f t="shared" si="3172"/>
        <v/>
      </c>
      <c r="ED243" s="40" t="str">
        <f t="shared" si="3173"/>
        <v/>
      </c>
      <c r="EE243" s="40" t="str">
        <f t="shared" si="3174"/>
        <v/>
      </c>
      <c r="EF243" s="40" t="str">
        <f t="shared" si="3175"/>
        <v/>
      </c>
      <c r="EG243" s="40" t="str">
        <f t="shared" si="3176"/>
        <v/>
      </c>
      <c r="EH243" s="40" t="str">
        <f t="shared" si="3177"/>
        <v/>
      </c>
      <c r="EI243" s="40" t="str">
        <f t="shared" si="3178"/>
        <v/>
      </c>
      <c r="EJ243" s="40" t="str">
        <f t="shared" si="3179"/>
        <v/>
      </c>
      <c r="EK243" s="40" t="str">
        <f t="shared" si="3180"/>
        <v/>
      </c>
      <c r="EL243" s="40" t="str">
        <f t="shared" si="3181"/>
        <v/>
      </c>
      <c r="EM243" s="40" t="str">
        <f t="shared" si="3182"/>
        <v/>
      </c>
      <c r="EN243" s="40" t="str">
        <f t="shared" si="3183"/>
        <v/>
      </c>
      <c r="EO243" s="40" t="str">
        <f t="shared" si="3184"/>
        <v/>
      </c>
      <c r="EP243" s="40" t="str">
        <f t="shared" si="3185"/>
        <v/>
      </c>
      <c r="EQ243" s="40" t="str">
        <f t="shared" si="3186"/>
        <v/>
      </c>
      <c r="ER243" s="40" t="str">
        <f t="shared" si="3187"/>
        <v/>
      </c>
      <c r="ES243" s="40" t="str">
        <f t="shared" si="3188"/>
        <v/>
      </c>
      <c r="ET243" s="40" t="str">
        <f t="shared" si="3189"/>
        <v/>
      </c>
      <c r="EU243" s="40" t="str">
        <f t="shared" si="3190"/>
        <v/>
      </c>
      <c r="EV243" s="40" t="str">
        <f t="shared" si="3191"/>
        <v/>
      </c>
      <c r="EW243" s="40" t="str">
        <f t="shared" si="3192"/>
        <v/>
      </c>
      <c r="EX243" s="40" t="str">
        <f t="shared" si="3193"/>
        <v/>
      </c>
      <c r="EY243" s="40" t="str">
        <f t="shared" si="3194"/>
        <v/>
      </c>
      <c r="EZ243" s="40" t="str">
        <f t="shared" si="3195"/>
        <v/>
      </c>
      <c r="FA243" s="40" t="str">
        <f t="shared" si="3196"/>
        <v/>
      </c>
      <c r="FB243" s="40" t="str">
        <f t="shared" si="3197"/>
        <v/>
      </c>
      <c r="FC243" s="40" t="str">
        <f t="shared" si="3198"/>
        <v/>
      </c>
      <c r="FD243" s="40" t="str">
        <f t="shared" si="3199"/>
        <v/>
      </c>
      <c r="FE243" s="40" t="str">
        <f t="shared" si="3200"/>
        <v/>
      </c>
      <c r="FF243" s="40" t="str">
        <f t="shared" si="3201"/>
        <v/>
      </c>
      <c r="FG243" s="40" t="str">
        <f t="shared" si="3202"/>
        <v/>
      </c>
      <c r="FH243" s="40" t="str">
        <f t="shared" si="3203"/>
        <v/>
      </c>
      <c r="FI243" s="40" t="str">
        <f t="shared" si="3204"/>
        <v/>
      </c>
      <c r="FJ243" s="40" t="str">
        <f t="shared" si="3205"/>
        <v/>
      </c>
      <c r="FK243" s="40" t="str">
        <f t="shared" si="3206"/>
        <v/>
      </c>
      <c r="FL243" s="40" t="str">
        <f t="shared" si="3207"/>
        <v/>
      </c>
      <c r="FM243" s="40" t="str">
        <f t="shared" si="3208"/>
        <v/>
      </c>
      <c r="FN243" s="40" t="str">
        <f t="shared" si="3209"/>
        <v/>
      </c>
      <c r="FO243" s="40" t="str">
        <f t="shared" si="3210"/>
        <v/>
      </c>
      <c r="FP243" s="40" t="str">
        <f t="shared" si="3211"/>
        <v/>
      </c>
      <c r="FQ243" s="40" t="str">
        <f t="shared" si="3212"/>
        <v/>
      </c>
      <c r="FR243" s="40" t="str">
        <f t="shared" si="3213"/>
        <v/>
      </c>
      <c r="FS243" s="40" t="str">
        <f t="shared" si="3214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44"/>
        <v>|n</v>
      </c>
      <c r="CW244" s="4"/>
      <c r="CX244" s="4"/>
      <c r="CY244" s="4"/>
      <c r="CZ244" s="4"/>
      <c r="DA244" s="4"/>
      <c r="DB244" s="40" t="str">
        <f t="shared" si="3145"/>
        <v/>
      </c>
      <c r="DC244" s="40" t="str">
        <f t="shared" si="3146"/>
        <v/>
      </c>
      <c r="DD244" s="40" t="str">
        <f t="shared" si="3147"/>
        <v/>
      </c>
      <c r="DE244" s="40" t="str">
        <f t="shared" si="3148"/>
        <v/>
      </c>
      <c r="DF244" s="40" t="str">
        <f t="shared" si="3149"/>
        <v/>
      </c>
      <c r="DG244" s="40" t="str">
        <f t="shared" si="3150"/>
        <v/>
      </c>
      <c r="DH244" s="40" t="str">
        <f t="shared" si="3151"/>
        <v/>
      </c>
      <c r="DI244" s="40" t="str">
        <f t="shared" si="3152"/>
        <v/>
      </c>
      <c r="DJ244" s="40" t="str">
        <f t="shared" si="3153"/>
        <v/>
      </c>
      <c r="DK244" s="40" t="str">
        <f t="shared" si="3154"/>
        <v/>
      </c>
      <c r="DL244" s="40" t="str">
        <f t="shared" si="3155"/>
        <v/>
      </c>
      <c r="DM244" s="40" t="str">
        <f t="shared" si="3156"/>
        <v/>
      </c>
      <c r="DN244" s="40" t="str">
        <f t="shared" si="3157"/>
        <v/>
      </c>
      <c r="DO244" s="40" t="str">
        <f t="shared" si="3158"/>
        <v/>
      </c>
      <c r="DP244" s="40" t="str">
        <f t="shared" si="3159"/>
        <v/>
      </c>
      <c r="DQ244" s="40" t="str">
        <f t="shared" si="3160"/>
        <v/>
      </c>
      <c r="DR244" s="40" t="str">
        <f t="shared" si="3161"/>
        <v/>
      </c>
      <c r="DS244" s="40" t="str">
        <f t="shared" si="3162"/>
        <v/>
      </c>
      <c r="DT244" s="40" t="str">
        <f t="shared" si="3163"/>
        <v/>
      </c>
      <c r="DU244" s="40" t="str">
        <f t="shared" si="3164"/>
        <v/>
      </c>
      <c r="DV244" s="40" t="str">
        <f t="shared" si="3165"/>
        <v/>
      </c>
      <c r="DW244" s="40" t="str">
        <f t="shared" si="3166"/>
        <v/>
      </c>
      <c r="DX244" s="40" t="str">
        <f t="shared" si="3167"/>
        <v/>
      </c>
      <c r="DY244" s="40" t="str">
        <f t="shared" si="3168"/>
        <v/>
      </c>
      <c r="DZ244" s="40" t="str">
        <f t="shared" si="3169"/>
        <v/>
      </c>
      <c r="EA244" s="40" t="str">
        <f t="shared" si="3170"/>
        <v/>
      </c>
      <c r="EB244" s="40" t="str">
        <f t="shared" si="3171"/>
        <v/>
      </c>
      <c r="EC244" s="40" t="str">
        <f t="shared" si="3172"/>
        <v/>
      </c>
      <c r="ED244" s="40" t="str">
        <f t="shared" si="3173"/>
        <v/>
      </c>
      <c r="EE244" s="40" t="str">
        <f t="shared" si="3174"/>
        <v/>
      </c>
      <c r="EF244" s="40" t="str">
        <f t="shared" si="3175"/>
        <v/>
      </c>
      <c r="EG244" s="40" t="str">
        <f t="shared" si="3176"/>
        <v/>
      </c>
      <c r="EH244" s="40" t="str">
        <f t="shared" si="3177"/>
        <v/>
      </c>
      <c r="EI244" s="40" t="str">
        <f t="shared" si="3178"/>
        <v/>
      </c>
      <c r="EJ244" s="40" t="str">
        <f t="shared" si="3179"/>
        <v/>
      </c>
      <c r="EK244" s="40" t="str">
        <f t="shared" si="3180"/>
        <v/>
      </c>
      <c r="EL244" s="40" t="str">
        <f t="shared" si="3181"/>
        <v/>
      </c>
      <c r="EM244" s="40" t="str">
        <f t="shared" si="3182"/>
        <v/>
      </c>
      <c r="EN244" s="40" t="str">
        <f t="shared" si="3183"/>
        <v/>
      </c>
      <c r="EO244" s="40" t="str">
        <f t="shared" si="3184"/>
        <v/>
      </c>
      <c r="EP244" s="40" t="str">
        <f t="shared" si="3185"/>
        <v/>
      </c>
      <c r="EQ244" s="40" t="str">
        <f t="shared" si="3186"/>
        <v/>
      </c>
      <c r="ER244" s="40" t="str">
        <f t="shared" si="3187"/>
        <v/>
      </c>
      <c r="ES244" s="40" t="str">
        <f t="shared" si="3188"/>
        <v/>
      </c>
      <c r="ET244" s="40" t="str">
        <f t="shared" si="3189"/>
        <v/>
      </c>
      <c r="EU244" s="40" t="str">
        <f t="shared" si="3190"/>
        <v/>
      </c>
      <c r="EV244" s="40" t="str">
        <f t="shared" si="3191"/>
        <v/>
      </c>
      <c r="EW244" s="40" t="str">
        <f t="shared" si="3192"/>
        <v/>
      </c>
      <c r="EX244" s="40" t="str">
        <f t="shared" si="3193"/>
        <v/>
      </c>
      <c r="EY244" s="40" t="str">
        <f t="shared" si="3194"/>
        <v/>
      </c>
      <c r="EZ244" s="40" t="str">
        <f t="shared" si="3195"/>
        <v/>
      </c>
      <c r="FA244" s="40" t="str">
        <f t="shared" si="3196"/>
        <v/>
      </c>
      <c r="FB244" s="40" t="str">
        <f t="shared" si="3197"/>
        <v/>
      </c>
      <c r="FC244" s="40" t="str">
        <f t="shared" si="3198"/>
        <v/>
      </c>
      <c r="FD244" s="40" t="str">
        <f t="shared" si="3199"/>
        <v/>
      </c>
      <c r="FE244" s="40" t="str">
        <f t="shared" si="3200"/>
        <v/>
      </c>
      <c r="FF244" s="40" t="str">
        <f t="shared" si="3201"/>
        <v/>
      </c>
      <c r="FG244" s="40" t="str">
        <f t="shared" si="3202"/>
        <v/>
      </c>
      <c r="FH244" s="40" t="str">
        <f t="shared" si="3203"/>
        <v/>
      </c>
      <c r="FI244" s="40" t="str">
        <f t="shared" si="3204"/>
        <v/>
      </c>
      <c r="FJ244" s="40" t="str">
        <f t="shared" si="3205"/>
        <v/>
      </c>
      <c r="FK244" s="40" t="str">
        <f t="shared" si="3206"/>
        <v/>
      </c>
      <c r="FL244" s="40" t="str">
        <f t="shared" si="3207"/>
        <v/>
      </c>
      <c r="FM244" s="40" t="str">
        <f t="shared" si="3208"/>
        <v/>
      </c>
      <c r="FN244" s="40" t="str">
        <f t="shared" si="3209"/>
        <v/>
      </c>
      <c r="FO244" s="40" t="str">
        <f t="shared" si="3210"/>
        <v/>
      </c>
      <c r="FP244" s="40" t="str">
        <f t="shared" si="3211"/>
        <v/>
      </c>
      <c r="FQ244" s="40" t="str">
        <f t="shared" si="3212"/>
        <v/>
      </c>
      <c r="FR244" s="40" t="str">
        <f t="shared" si="3213"/>
        <v/>
      </c>
      <c r="FS244" s="40" t="str">
        <f t="shared" si="3214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4"/>
        <v>|n</v>
      </c>
      <c r="CW245" s="4"/>
      <c r="CX245" s="4"/>
      <c r="CY245" s="4"/>
      <c r="CZ245" s="4"/>
      <c r="DA245" s="4"/>
      <c r="DB245" s="40" t="str">
        <f t="shared" si="3145"/>
        <v/>
      </c>
      <c r="DC245" s="40" t="str">
        <f t="shared" si="3146"/>
        <v/>
      </c>
      <c r="DD245" s="40" t="str">
        <f t="shared" si="3147"/>
        <v/>
      </c>
      <c r="DE245" s="40" t="str">
        <f t="shared" si="3148"/>
        <v/>
      </c>
      <c r="DF245" s="40" t="str">
        <f t="shared" si="3149"/>
        <v/>
      </c>
      <c r="DG245" s="40" t="str">
        <f t="shared" si="3150"/>
        <v/>
      </c>
      <c r="DH245" s="40" t="str">
        <f t="shared" si="3151"/>
        <v/>
      </c>
      <c r="DI245" s="40" t="str">
        <f t="shared" si="3152"/>
        <v/>
      </c>
      <c r="DJ245" s="40" t="str">
        <f t="shared" si="3153"/>
        <v/>
      </c>
      <c r="DK245" s="40" t="str">
        <f t="shared" si="3154"/>
        <v/>
      </c>
      <c r="DL245" s="40" t="str">
        <f t="shared" si="3155"/>
        <v/>
      </c>
      <c r="DM245" s="40" t="str">
        <f t="shared" si="3156"/>
        <v/>
      </c>
      <c r="DN245" s="40" t="str">
        <f t="shared" si="3157"/>
        <v/>
      </c>
      <c r="DO245" s="40" t="str">
        <f t="shared" si="3158"/>
        <v/>
      </c>
      <c r="DP245" s="40" t="str">
        <f t="shared" si="3159"/>
        <v/>
      </c>
      <c r="DQ245" s="40" t="str">
        <f t="shared" si="3160"/>
        <v/>
      </c>
      <c r="DR245" s="40" t="str">
        <f t="shared" si="3161"/>
        <v/>
      </c>
      <c r="DS245" s="40" t="str">
        <f t="shared" si="3162"/>
        <v/>
      </c>
      <c r="DT245" s="40" t="str">
        <f t="shared" si="3163"/>
        <v/>
      </c>
      <c r="DU245" s="40" t="str">
        <f t="shared" si="3164"/>
        <v/>
      </c>
      <c r="DV245" s="40" t="str">
        <f t="shared" si="3165"/>
        <v/>
      </c>
      <c r="DW245" s="40" t="str">
        <f t="shared" si="3166"/>
        <v/>
      </c>
      <c r="DX245" s="40" t="str">
        <f t="shared" si="3167"/>
        <v/>
      </c>
      <c r="DY245" s="40" t="str">
        <f t="shared" si="3168"/>
        <v/>
      </c>
      <c r="DZ245" s="40" t="str">
        <f t="shared" si="3169"/>
        <v/>
      </c>
      <c r="EA245" s="40" t="str">
        <f t="shared" si="3170"/>
        <v/>
      </c>
      <c r="EB245" s="40" t="str">
        <f t="shared" si="3171"/>
        <v/>
      </c>
      <c r="EC245" s="40" t="str">
        <f t="shared" si="3172"/>
        <v/>
      </c>
      <c r="ED245" s="40" t="str">
        <f t="shared" si="3173"/>
        <v/>
      </c>
      <c r="EE245" s="40" t="str">
        <f t="shared" si="3174"/>
        <v/>
      </c>
      <c r="EF245" s="40" t="str">
        <f t="shared" si="3175"/>
        <v/>
      </c>
      <c r="EG245" s="40" t="str">
        <f t="shared" si="3176"/>
        <v/>
      </c>
      <c r="EH245" s="40" t="str">
        <f t="shared" si="3177"/>
        <v/>
      </c>
      <c r="EI245" s="40" t="str">
        <f t="shared" si="3178"/>
        <v/>
      </c>
      <c r="EJ245" s="40" t="str">
        <f t="shared" si="3179"/>
        <v/>
      </c>
      <c r="EK245" s="40" t="str">
        <f t="shared" si="3180"/>
        <v/>
      </c>
      <c r="EL245" s="40" t="str">
        <f t="shared" si="3181"/>
        <v/>
      </c>
      <c r="EM245" s="40" t="str">
        <f t="shared" si="3182"/>
        <v/>
      </c>
      <c r="EN245" s="40" t="str">
        <f t="shared" si="3183"/>
        <v/>
      </c>
      <c r="EO245" s="40" t="str">
        <f t="shared" si="3184"/>
        <v/>
      </c>
      <c r="EP245" s="40" t="str">
        <f t="shared" si="3185"/>
        <v/>
      </c>
      <c r="EQ245" s="40" t="str">
        <f t="shared" si="3186"/>
        <v/>
      </c>
      <c r="ER245" s="40" t="str">
        <f t="shared" si="3187"/>
        <v/>
      </c>
      <c r="ES245" s="40" t="str">
        <f t="shared" si="3188"/>
        <v/>
      </c>
      <c r="ET245" s="40" t="str">
        <f t="shared" si="3189"/>
        <v/>
      </c>
      <c r="EU245" s="40" t="str">
        <f t="shared" si="3190"/>
        <v/>
      </c>
      <c r="EV245" s="40" t="str">
        <f t="shared" si="3191"/>
        <v/>
      </c>
      <c r="EW245" s="40" t="str">
        <f t="shared" si="3192"/>
        <v/>
      </c>
      <c r="EX245" s="40" t="str">
        <f t="shared" si="3193"/>
        <v/>
      </c>
      <c r="EY245" s="40" t="str">
        <f t="shared" si="3194"/>
        <v/>
      </c>
      <c r="EZ245" s="40" t="str">
        <f t="shared" si="3195"/>
        <v/>
      </c>
      <c r="FA245" s="40" t="str">
        <f t="shared" si="3196"/>
        <v/>
      </c>
      <c r="FB245" s="40" t="str">
        <f t="shared" si="3197"/>
        <v/>
      </c>
      <c r="FC245" s="40" t="str">
        <f t="shared" si="3198"/>
        <v/>
      </c>
      <c r="FD245" s="40" t="str">
        <f t="shared" si="3199"/>
        <v/>
      </c>
      <c r="FE245" s="40" t="str">
        <f t="shared" si="3200"/>
        <v/>
      </c>
      <c r="FF245" s="40" t="str">
        <f t="shared" si="3201"/>
        <v/>
      </c>
      <c r="FG245" s="40" t="str">
        <f t="shared" si="3202"/>
        <v/>
      </c>
      <c r="FH245" s="40" t="str">
        <f t="shared" si="3203"/>
        <v/>
      </c>
      <c r="FI245" s="40" t="str">
        <f t="shared" si="3204"/>
        <v/>
      </c>
      <c r="FJ245" s="40" t="str">
        <f t="shared" si="3205"/>
        <v/>
      </c>
      <c r="FK245" s="40" t="str">
        <f t="shared" si="3206"/>
        <v/>
      </c>
      <c r="FL245" s="40" t="str">
        <f t="shared" si="3207"/>
        <v/>
      </c>
      <c r="FM245" s="40" t="str">
        <f t="shared" si="3208"/>
        <v/>
      </c>
      <c r="FN245" s="40" t="str">
        <f t="shared" si="3209"/>
        <v/>
      </c>
      <c r="FO245" s="40" t="str">
        <f t="shared" si="3210"/>
        <v/>
      </c>
      <c r="FP245" s="40" t="str">
        <f t="shared" si="3211"/>
        <v/>
      </c>
      <c r="FQ245" s="40" t="str">
        <f t="shared" si="3212"/>
        <v/>
      </c>
      <c r="FR245" s="40" t="str">
        <f t="shared" si="3213"/>
        <v/>
      </c>
      <c r="FS245" s="40" t="str">
        <f t="shared" si="3214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4"/>
        <v>|n</v>
      </c>
      <c r="CW246" s="4"/>
      <c r="CX246" s="4"/>
      <c r="CY246" s="4"/>
      <c r="CZ246" s="4"/>
      <c r="DA246" s="4"/>
      <c r="DB246" s="40" t="str">
        <f t="shared" si="3145"/>
        <v/>
      </c>
      <c r="DC246" s="40" t="str">
        <f t="shared" si="3146"/>
        <v/>
      </c>
      <c r="DD246" s="40" t="str">
        <f t="shared" si="3147"/>
        <v/>
      </c>
      <c r="DE246" s="40" t="str">
        <f t="shared" si="3148"/>
        <v/>
      </c>
      <c r="DF246" s="40" t="str">
        <f t="shared" si="3149"/>
        <v/>
      </c>
      <c r="DG246" s="40" t="str">
        <f t="shared" si="3150"/>
        <v/>
      </c>
      <c r="DH246" s="40" t="str">
        <f t="shared" si="3151"/>
        <v/>
      </c>
      <c r="DI246" s="40" t="str">
        <f t="shared" si="3152"/>
        <v/>
      </c>
      <c r="DJ246" s="40" t="str">
        <f t="shared" si="3153"/>
        <v/>
      </c>
      <c r="DK246" s="40" t="str">
        <f t="shared" si="3154"/>
        <v/>
      </c>
      <c r="DL246" s="40" t="str">
        <f t="shared" si="3155"/>
        <v/>
      </c>
      <c r="DM246" s="40" t="str">
        <f t="shared" si="3156"/>
        <v/>
      </c>
      <c r="DN246" s="40" t="str">
        <f t="shared" si="3157"/>
        <v/>
      </c>
      <c r="DO246" s="40" t="str">
        <f t="shared" si="3158"/>
        <v/>
      </c>
      <c r="DP246" s="40" t="str">
        <f t="shared" si="3159"/>
        <v/>
      </c>
      <c r="DQ246" s="40" t="str">
        <f t="shared" si="3160"/>
        <v/>
      </c>
      <c r="DR246" s="40" t="str">
        <f t="shared" si="3161"/>
        <v/>
      </c>
      <c r="DS246" s="40" t="str">
        <f t="shared" si="3162"/>
        <v/>
      </c>
      <c r="DT246" s="40" t="str">
        <f t="shared" si="3163"/>
        <v/>
      </c>
      <c r="DU246" s="40" t="str">
        <f t="shared" si="3164"/>
        <v/>
      </c>
      <c r="DV246" s="40" t="str">
        <f t="shared" si="3165"/>
        <v/>
      </c>
      <c r="DW246" s="40" t="str">
        <f t="shared" si="3166"/>
        <v/>
      </c>
      <c r="DX246" s="40" t="str">
        <f t="shared" si="3167"/>
        <v/>
      </c>
      <c r="DY246" s="40" t="str">
        <f t="shared" si="3168"/>
        <v/>
      </c>
      <c r="DZ246" s="40" t="str">
        <f t="shared" si="3169"/>
        <v/>
      </c>
      <c r="EA246" s="40" t="str">
        <f t="shared" si="3170"/>
        <v/>
      </c>
      <c r="EB246" s="40" t="str">
        <f t="shared" si="3171"/>
        <v/>
      </c>
      <c r="EC246" s="40" t="str">
        <f t="shared" si="3172"/>
        <v/>
      </c>
      <c r="ED246" s="40" t="str">
        <f t="shared" si="3173"/>
        <v/>
      </c>
      <c r="EE246" s="40" t="str">
        <f t="shared" si="3174"/>
        <v/>
      </c>
      <c r="EF246" s="40" t="str">
        <f t="shared" si="3175"/>
        <v/>
      </c>
      <c r="EG246" s="40" t="str">
        <f t="shared" si="3176"/>
        <v/>
      </c>
      <c r="EH246" s="40" t="str">
        <f t="shared" si="3177"/>
        <v/>
      </c>
      <c r="EI246" s="40" t="str">
        <f t="shared" si="3178"/>
        <v/>
      </c>
      <c r="EJ246" s="40" t="str">
        <f t="shared" si="3179"/>
        <v/>
      </c>
      <c r="EK246" s="40" t="str">
        <f t="shared" si="3180"/>
        <v/>
      </c>
      <c r="EL246" s="40" t="str">
        <f t="shared" si="3181"/>
        <v/>
      </c>
      <c r="EM246" s="40" t="str">
        <f t="shared" si="3182"/>
        <v/>
      </c>
      <c r="EN246" s="40" t="str">
        <f t="shared" si="3183"/>
        <v/>
      </c>
      <c r="EO246" s="40" t="str">
        <f t="shared" si="3184"/>
        <v/>
      </c>
      <c r="EP246" s="40" t="str">
        <f t="shared" si="3185"/>
        <v/>
      </c>
      <c r="EQ246" s="40" t="str">
        <f t="shared" si="3186"/>
        <v/>
      </c>
      <c r="ER246" s="40" t="str">
        <f t="shared" si="3187"/>
        <v/>
      </c>
      <c r="ES246" s="40" t="str">
        <f t="shared" si="3188"/>
        <v/>
      </c>
      <c r="ET246" s="40" t="str">
        <f t="shared" si="3189"/>
        <v/>
      </c>
      <c r="EU246" s="40" t="str">
        <f t="shared" si="3190"/>
        <v/>
      </c>
      <c r="EV246" s="40" t="str">
        <f t="shared" si="3191"/>
        <v/>
      </c>
      <c r="EW246" s="40" t="str">
        <f t="shared" si="3192"/>
        <v/>
      </c>
      <c r="EX246" s="40" t="str">
        <f t="shared" si="3193"/>
        <v/>
      </c>
      <c r="EY246" s="40" t="str">
        <f t="shared" si="3194"/>
        <v/>
      </c>
      <c r="EZ246" s="40" t="str">
        <f t="shared" si="3195"/>
        <v/>
      </c>
      <c r="FA246" s="40" t="str">
        <f t="shared" si="3196"/>
        <v/>
      </c>
      <c r="FB246" s="40" t="str">
        <f t="shared" si="3197"/>
        <v/>
      </c>
      <c r="FC246" s="40" t="str">
        <f t="shared" si="3198"/>
        <v/>
      </c>
      <c r="FD246" s="40" t="str">
        <f t="shared" si="3199"/>
        <v/>
      </c>
      <c r="FE246" s="40" t="str">
        <f t="shared" si="3200"/>
        <v/>
      </c>
      <c r="FF246" s="40" t="str">
        <f t="shared" si="3201"/>
        <v/>
      </c>
      <c r="FG246" s="40" t="str">
        <f t="shared" si="3202"/>
        <v/>
      </c>
      <c r="FH246" s="40" t="str">
        <f t="shared" si="3203"/>
        <v/>
      </c>
      <c r="FI246" s="40" t="str">
        <f t="shared" si="3204"/>
        <v/>
      </c>
      <c r="FJ246" s="40" t="str">
        <f t="shared" si="3205"/>
        <v/>
      </c>
      <c r="FK246" s="40" t="str">
        <f t="shared" si="3206"/>
        <v/>
      </c>
      <c r="FL246" s="40" t="str">
        <f t="shared" si="3207"/>
        <v/>
      </c>
      <c r="FM246" s="40" t="str">
        <f t="shared" si="3208"/>
        <v/>
      </c>
      <c r="FN246" s="40" t="str">
        <f t="shared" si="3209"/>
        <v/>
      </c>
      <c r="FO246" s="40" t="str">
        <f t="shared" si="3210"/>
        <v/>
      </c>
      <c r="FP246" s="40" t="str">
        <f t="shared" si="3211"/>
        <v/>
      </c>
      <c r="FQ246" s="40" t="str">
        <f t="shared" si="3212"/>
        <v/>
      </c>
      <c r="FR246" s="40" t="str">
        <f t="shared" si="3213"/>
        <v/>
      </c>
      <c r="FS246" s="40" t="str">
        <f t="shared" si="3214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4"/>
        <v>|n</v>
      </c>
      <c r="CW247" s="4"/>
      <c r="CX247" s="4"/>
      <c r="CY247" s="4"/>
      <c r="CZ247" s="4"/>
      <c r="DA247" s="4"/>
      <c r="DB247" s="40" t="str">
        <f t="shared" si="3145"/>
        <v/>
      </c>
      <c r="DC247" s="40" t="str">
        <f t="shared" si="3146"/>
        <v/>
      </c>
      <c r="DD247" s="40" t="str">
        <f t="shared" si="3147"/>
        <v/>
      </c>
      <c r="DE247" s="40" t="str">
        <f t="shared" si="3148"/>
        <v/>
      </c>
      <c r="DF247" s="40" t="str">
        <f t="shared" si="3149"/>
        <v/>
      </c>
      <c r="DG247" s="40" t="str">
        <f t="shared" si="3150"/>
        <v/>
      </c>
      <c r="DH247" s="40" t="str">
        <f t="shared" si="3151"/>
        <v/>
      </c>
      <c r="DI247" s="40" t="str">
        <f t="shared" si="3152"/>
        <v/>
      </c>
      <c r="DJ247" s="40" t="str">
        <f t="shared" si="3153"/>
        <v/>
      </c>
      <c r="DK247" s="40" t="str">
        <f t="shared" si="3154"/>
        <v/>
      </c>
      <c r="DL247" s="40" t="str">
        <f t="shared" si="3155"/>
        <v/>
      </c>
      <c r="DM247" s="40" t="str">
        <f t="shared" si="3156"/>
        <v/>
      </c>
      <c r="DN247" s="40" t="str">
        <f t="shared" si="3157"/>
        <v/>
      </c>
      <c r="DO247" s="40" t="str">
        <f t="shared" si="3158"/>
        <v/>
      </c>
      <c r="DP247" s="40" t="str">
        <f t="shared" si="3159"/>
        <v/>
      </c>
      <c r="DQ247" s="40" t="str">
        <f t="shared" si="3160"/>
        <v/>
      </c>
      <c r="DR247" s="40" t="str">
        <f t="shared" si="3161"/>
        <v/>
      </c>
      <c r="DS247" s="40" t="str">
        <f t="shared" si="3162"/>
        <v/>
      </c>
      <c r="DT247" s="40" t="str">
        <f t="shared" si="3163"/>
        <v/>
      </c>
      <c r="DU247" s="40" t="str">
        <f t="shared" si="3164"/>
        <v/>
      </c>
      <c r="DV247" s="40" t="str">
        <f t="shared" si="3165"/>
        <v/>
      </c>
      <c r="DW247" s="40" t="str">
        <f t="shared" si="3166"/>
        <v/>
      </c>
      <c r="DX247" s="40" t="str">
        <f t="shared" si="3167"/>
        <v/>
      </c>
      <c r="DY247" s="40" t="str">
        <f t="shared" si="3168"/>
        <v/>
      </c>
      <c r="DZ247" s="40" t="str">
        <f t="shared" si="3169"/>
        <v/>
      </c>
      <c r="EA247" s="40" t="str">
        <f t="shared" si="3170"/>
        <v/>
      </c>
      <c r="EB247" s="40" t="str">
        <f t="shared" si="3171"/>
        <v/>
      </c>
      <c r="EC247" s="40" t="str">
        <f t="shared" si="3172"/>
        <v/>
      </c>
      <c r="ED247" s="40" t="str">
        <f t="shared" si="3173"/>
        <v/>
      </c>
      <c r="EE247" s="40" t="str">
        <f t="shared" si="3174"/>
        <v/>
      </c>
      <c r="EF247" s="40" t="str">
        <f t="shared" si="3175"/>
        <v/>
      </c>
      <c r="EG247" s="40" t="str">
        <f t="shared" si="3176"/>
        <v/>
      </c>
      <c r="EH247" s="40" t="str">
        <f t="shared" si="3177"/>
        <v/>
      </c>
      <c r="EI247" s="40" t="str">
        <f t="shared" si="3178"/>
        <v/>
      </c>
      <c r="EJ247" s="40" t="str">
        <f t="shared" si="3179"/>
        <v/>
      </c>
      <c r="EK247" s="40" t="str">
        <f t="shared" si="3180"/>
        <v/>
      </c>
      <c r="EL247" s="40" t="str">
        <f t="shared" si="3181"/>
        <v/>
      </c>
      <c r="EM247" s="40" t="str">
        <f t="shared" si="3182"/>
        <v/>
      </c>
      <c r="EN247" s="40" t="str">
        <f t="shared" si="3183"/>
        <v/>
      </c>
      <c r="EO247" s="40" t="str">
        <f t="shared" si="3184"/>
        <v/>
      </c>
      <c r="EP247" s="40" t="str">
        <f t="shared" si="3185"/>
        <v/>
      </c>
      <c r="EQ247" s="40" t="str">
        <f t="shared" si="3186"/>
        <v/>
      </c>
      <c r="ER247" s="40" t="str">
        <f t="shared" si="3187"/>
        <v/>
      </c>
      <c r="ES247" s="40" t="str">
        <f t="shared" si="3188"/>
        <v/>
      </c>
      <c r="ET247" s="40" t="str">
        <f t="shared" si="3189"/>
        <v/>
      </c>
      <c r="EU247" s="40" t="str">
        <f t="shared" si="3190"/>
        <v/>
      </c>
      <c r="EV247" s="40" t="str">
        <f t="shared" si="3191"/>
        <v/>
      </c>
      <c r="EW247" s="40" t="str">
        <f t="shared" si="3192"/>
        <v/>
      </c>
      <c r="EX247" s="40" t="str">
        <f t="shared" si="3193"/>
        <v/>
      </c>
      <c r="EY247" s="40" t="str">
        <f t="shared" si="3194"/>
        <v/>
      </c>
      <c r="EZ247" s="40" t="str">
        <f t="shared" si="3195"/>
        <v/>
      </c>
      <c r="FA247" s="40" t="str">
        <f t="shared" si="3196"/>
        <v/>
      </c>
      <c r="FB247" s="40" t="str">
        <f t="shared" si="3197"/>
        <v/>
      </c>
      <c r="FC247" s="40" t="str">
        <f t="shared" si="3198"/>
        <v/>
      </c>
      <c r="FD247" s="40" t="str">
        <f t="shared" si="3199"/>
        <v/>
      </c>
      <c r="FE247" s="40" t="str">
        <f t="shared" si="3200"/>
        <v/>
      </c>
      <c r="FF247" s="40" t="str">
        <f t="shared" si="3201"/>
        <v/>
      </c>
      <c r="FG247" s="40" t="str">
        <f t="shared" si="3202"/>
        <v/>
      </c>
      <c r="FH247" s="40" t="str">
        <f t="shared" si="3203"/>
        <v/>
      </c>
      <c r="FI247" s="40" t="str">
        <f t="shared" si="3204"/>
        <v/>
      </c>
      <c r="FJ247" s="40" t="str">
        <f t="shared" si="3205"/>
        <v/>
      </c>
      <c r="FK247" s="40" t="str">
        <f t="shared" si="3206"/>
        <v/>
      </c>
      <c r="FL247" s="40" t="str">
        <f t="shared" si="3207"/>
        <v/>
      </c>
      <c r="FM247" s="40" t="str">
        <f t="shared" si="3208"/>
        <v/>
      </c>
      <c r="FN247" s="40" t="str">
        <f t="shared" si="3209"/>
        <v/>
      </c>
      <c r="FO247" s="40" t="str">
        <f t="shared" si="3210"/>
        <v/>
      </c>
      <c r="FP247" s="40" t="str">
        <f t="shared" si="3211"/>
        <v/>
      </c>
      <c r="FQ247" s="40" t="str">
        <f t="shared" si="3212"/>
        <v/>
      </c>
      <c r="FR247" s="40" t="str">
        <f t="shared" si="3213"/>
        <v/>
      </c>
      <c r="FS247" s="40" t="str">
        <f t="shared" si="3214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4"/>
        <v>|n</v>
      </c>
      <c r="CW248" s="4"/>
      <c r="CX248" s="4"/>
      <c r="CY248" s="4"/>
      <c r="CZ248" s="4"/>
      <c r="DA248" s="4"/>
      <c r="DB248" s="40" t="str">
        <f t="shared" si="3145"/>
        <v/>
      </c>
      <c r="DC248" s="40" t="str">
        <f t="shared" si="3146"/>
        <v/>
      </c>
      <c r="DD248" s="40" t="str">
        <f t="shared" si="3147"/>
        <v/>
      </c>
      <c r="DE248" s="40" t="str">
        <f t="shared" si="3148"/>
        <v/>
      </c>
      <c r="DF248" s="40" t="str">
        <f t="shared" si="3149"/>
        <v/>
      </c>
      <c r="DG248" s="40" t="str">
        <f t="shared" si="3150"/>
        <v/>
      </c>
      <c r="DH248" s="40" t="str">
        <f t="shared" si="3151"/>
        <v/>
      </c>
      <c r="DI248" s="40" t="str">
        <f t="shared" si="3152"/>
        <v/>
      </c>
      <c r="DJ248" s="40" t="str">
        <f t="shared" si="3153"/>
        <v/>
      </c>
      <c r="DK248" s="40" t="str">
        <f t="shared" si="3154"/>
        <v/>
      </c>
      <c r="DL248" s="40" t="str">
        <f t="shared" si="3155"/>
        <v/>
      </c>
      <c r="DM248" s="40" t="str">
        <f t="shared" si="3156"/>
        <v/>
      </c>
      <c r="DN248" s="40" t="str">
        <f t="shared" si="3157"/>
        <v/>
      </c>
      <c r="DO248" s="40" t="str">
        <f t="shared" si="3158"/>
        <v/>
      </c>
      <c r="DP248" s="40" t="str">
        <f t="shared" si="3159"/>
        <v/>
      </c>
      <c r="DQ248" s="40" t="str">
        <f t="shared" si="3160"/>
        <v/>
      </c>
      <c r="DR248" s="40" t="str">
        <f t="shared" si="3161"/>
        <v/>
      </c>
      <c r="DS248" s="40" t="str">
        <f t="shared" si="3162"/>
        <v/>
      </c>
      <c r="DT248" s="40" t="str">
        <f t="shared" si="3163"/>
        <v/>
      </c>
      <c r="DU248" s="40" t="str">
        <f t="shared" si="3164"/>
        <v/>
      </c>
      <c r="DV248" s="40" t="str">
        <f t="shared" si="3165"/>
        <v/>
      </c>
      <c r="DW248" s="40" t="str">
        <f t="shared" si="3166"/>
        <v/>
      </c>
      <c r="DX248" s="40" t="str">
        <f t="shared" si="3167"/>
        <v/>
      </c>
      <c r="DY248" s="40" t="str">
        <f t="shared" si="3168"/>
        <v/>
      </c>
      <c r="DZ248" s="40" t="str">
        <f t="shared" si="3169"/>
        <v/>
      </c>
      <c r="EA248" s="40" t="str">
        <f t="shared" si="3170"/>
        <v/>
      </c>
      <c r="EB248" s="40" t="str">
        <f t="shared" si="3171"/>
        <v/>
      </c>
      <c r="EC248" s="40" t="str">
        <f t="shared" si="3172"/>
        <v/>
      </c>
      <c r="ED248" s="40" t="str">
        <f t="shared" si="3173"/>
        <v/>
      </c>
      <c r="EE248" s="40" t="str">
        <f t="shared" si="3174"/>
        <v/>
      </c>
      <c r="EF248" s="40" t="str">
        <f t="shared" si="3175"/>
        <v/>
      </c>
      <c r="EG248" s="40" t="str">
        <f t="shared" si="3176"/>
        <v/>
      </c>
      <c r="EH248" s="40" t="str">
        <f t="shared" si="3177"/>
        <v/>
      </c>
      <c r="EI248" s="40" t="str">
        <f t="shared" si="3178"/>
        <v/>
      </c>
      <c r="EJ248" s="40" t="str">
        <f t="shared" si="3179"/>
        <v/>
      </c>
      <c r="EK248" s="40" t="str">
        <f t="shared" si="3180"/>
        <v/>
      </c>
      <c r="EL248" s="40" t="str">
        <f t="shared" si="3181"/>
        <v/>
      </c>
      <c r="EM248" s="40" t="str">
        <f t="shared" si="3182"/>
        <v/>
      </c>
      <c r="EN248" s="40" t="str">
        <f t="shared" si="3183"/>
        <v/>
      </c>
      <c r="EO248" s="40" t="str">
        <f t="shared" si="3184"/>
        <v/>
      </c>
      <c r="EP248" s="40" t="str">
        <f t="shared" si="3185"/>
        <v/>
      </c>
      <c r="EQ248" s="40" t="str">
        <f t="shared" si="3186"/>
        <v/>
      </c>
      <c r="ER248" s="40" t="str">
        <f t="shared" si="3187"/>
        <v/>
      </c>
      <c r="ES248" s="40" t="str">
        <f t="shared" si="3188"/>
        <v/>
      </c>
      <c r="ET248" s="40" t="str">
        <f t="shared" si="3189"/>
        <v/>
      </c>
      <c r="EU248" s="40" t="str">
        <f t="shared" si="3190"/>
        <v/>
      </c>
      <c r="EV248" s="40" t="str">
        <f t="shared" si="3191"/>
        <v/>
      </c>
      <c r="EW248" s="40" t="str">
        <f t="shared" si="3192"/>
        <v/>
      </c>
      <c r="EX248" s="40" t="str">
        <f t="shared" si="3193"/>
        <v/>
      </c>
      <c r="EY248" s="40" t="str">
        <f t="shared" si="3194"/>
        <v/>
      </c>
      <c r="EZ248" s="40" t="str">
        <f t="shared" si="3195"/>
        <v/>
      </c>
      <c r="FA248" s="40" t="str">
        <f t="shared" si="3196"/>
        <v/>
      </c>
      <c r="FB248" s="40" t="str">
        <f t="shared" si="3197"/>
        <v/>
      </c>
      <c r="FC248" s="40" t="str">
        <f t="shared" si="3198"/>
        <v/>
      </c>
      <c r="FD248" s="40" t="str">
        <f t="shared" si="3199"/>
        <v/>
      </c>
      <c r="FE248" s="40" t="str">
        <f t="shared" si="3200"/>
        <v/>
      </c>
      <c r="FF248" s="40" t="str">
        <f t="shared" si="3201"/>
        <v/>
      </c>
      <c r="FG248" s="40" t="str">
        <f t="shared" si="3202"/>
        <v/>
      </c>
      <c r="FH248" s="40" t="str">
        <f t="shared" si="3203"/>
        <v/>
      </c>
      <c r="FI248" s="40" t="str">
        <f t="shared" si="3204"/>
        <v/>
      </c>
      <c r="FJ248" s="40" t="str">
        <f t="shared" si="3205"/>
        <v/>
      </c>
      <c r="FK248" s="40" t="str">
        <f t="shared" si="3206"/>
        <v/>
      </c>
      <c r="FL248" s="40" t="str">
        <f t="shared" si="3207"/>
        <v/>
      </c>
      <c r="FM248" s="40" t="str">
        <f t="shared" si="3208"/>
        <v/>
      </c>
      <c r="FN248" s="40" t="str">
        <f t="shared" si="3209"/>
        <v/>
      </c>
      <c r="FO248" s="40" t="str">
        <f t="shared" si="3210"/>
        <v/>
      </c>
      <c r="FP248" s="40" t="str">
        <f t="shared" si="3211"/>
        <v/>
      </c>
      <c r="FQ248" s="40" t="str">
        <f t="shared" si="3212"/>
        <v/>
      </c>
      <c r="FR248" s="40" t="str">
        <f t="shared" si="3213"/>
        <v/>
      </c>
      <c r="FS248" s="40" t="str">
        <f t="shared" si="3214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4"/>
        <v>|n</v>
      </c>
      <c r="CW249" s="4"/>
      <c r="CX249" s="4"/>
      <c r="CY249" s="4"/>
      <c r="CZ249" s="4"/>
      <c r="DA249" s="4"/>
      <c r="DB249" s="40" t="str">
        <f t="shared" si="3145"/>
        <v/>
      </c>
      <c r="DC249" s="40" t="str">
        <f t="shared" si="3146"/>
        <v/>
      </c>
      <c r="DD249" s="40" t="str">
        <f t="shared" si="3147"/>
        <v/>
      </c>
      <c r="DE249" s="40" t="str">
        <f t="shared" si="3148"/>
        <v/>
      </c>
      <c r="DF249" s="40" t="str">
        <f t="shared" si="3149"/>
        <v/>
      </c>
      <c r="DG249" s="40" t="str">
        <f t="shared" si="3150"/>
        <v/>
      </c>
      <c r="DH249" s="40" t="str">
        <f t="shared" si="3151"/>
        <v/>
      </c>
      <c r="DI249" s="40" t="str">
        <f t="shared" si="3152"/>
        <v/>
      </c>
      <c r="DJ249" s="40" t="str">
        <f t="shared" si="3153"/>
        <v/>
      </c>
      <c r="DK249" s="40" t="str">
        <f t="shared" si="3154"/>
        <v/>
      </c>
      <c r="DL249" s="40" t="str">
        <f t="shared" si="3155"/>
        <v/>
      </c>
      <c r="DM249" s="40" t="str">
        <f t="shared" si="3156"/>
        <v/>
      </c>
      <c r="DN249" s="40" t="str">
        <f t="shared" si="3157"/>
        <v/>
      </c>
      <c r="DO249" s="40" t="str">
        <f t="shared" si="3158"/>
        <v/>
      </c>
      <c r="DP249" s="40" t="str">
        <f t="shared" si="3159"/>
        <v/>
      </c>
      <c r="DQ249" s="40" t="str">
        <f t="shared" si="3160"/>
        <v/>
      </c>
      <c r="DR249" s="40" t="str">
        <f t="shared" si="3161"/>
        <v/>
      </c>
      <c r="DS249" s="40" t="str">
        <f t="shared" si="3162"/>
        <v/>
      </c>
      <c r="DT249" s="40" t="str">
        <f t="shared" si="3163"/>
        <v/>
      </c>
      <c r="DU249" s="40" t="str">
        <f t="shared" si="3164"/>
        <v/>
      </c>
      <c r="DV249" s="40" t="str">
        <f t="shared" si="3165"/>
        <v/>
      </c>
      <c r="DW249" s="40" t="str">
        <f t="shared" si="3166"/>
        <v/>
      </c>
      <c r="DX249" s="40" t="str">
        <f t="shared" si="3167"/>
        <v/>
      </c>
      <c r="DY249" s="40" t="str">
        <f t="shared" si="3168"/>
        <v/>
      </c>
      <c r="DZ249" s="40" t="str">
        <f t="shared" si="3169"/>
        <v/>
      </c>
      <c r="EA249" s="40" t="str">
        <f t="shared" si="3170"/>
        <v/>
      </c>
      <c r="EB249" s="40" t="str">
        <f t="shared" si="3171"/>
        <v/>
      </c>
      <c r="EC249" s="40" t="str">
        <f t="shared" si="3172"/>
        <v/>
      </c>
      <c r="ED249" s="40" t="str">
        <f t="shared" si="3173"/>
        <v/>
      </c>
      <c r="EE249" s="40" t="str">
        <f t="shared" si="3174"/>
        <v/>
      </c>
      <c r="EF249" s="40" t="str">
        <f t="shared" si="3175"/>
        <v/>
      </c>
      <c r="EG249" s="40" t="str">
        <f t="shared" si="3176"/>
        <v/>
      </c>
      <c r="EH249" s="40" t="str">
        <f t="shared" si="3177"/>
        <v/>
      </c>
      <c r="EI249" s="40" t="str">
        <f t="shared" si="3178"/>
        <v/>
      </c>
      <c r="EJ249" s="40" t="str">
        <f t="shared" si="3179"/>
        <v/>
      </c>
      <c r="EK249" s="40" t="str">
        <f t="shared" si="3180"/>
        <v/>
      </c>
      <c r="EL249" s="40" t="str">
        <f t="shared" si="3181"/>
        <v/>
      </c>
      <c r="EM249" s="40" t="str">
        <f t="shared" si="3182"/>
        <v/>
      </c>
      <c r="EN249" s="40" t="str">
        <f t="shared" si="3183"/>
        <v/>
      </c>
      <c r="EO249" s="40" t="str">
        <f t="shared" si="3184"/>
        <v/>
      </c>
      <c r="EP249" s="40" t="str">
        <f t="shared" si="3185"/>
        <v/>
      </c>
      <c r="EQ249" s="40" t="str">
        <f t="shared" si="3186"/>
        <v/>
      </c>
      <c r="ER249" s="40" t="str">
        <f t="shared" si="3187"/>
        <v/>
      </c>
      <c r="ES249" s="40" t="str">
        <f t="shared" si="3188"/>
        <v/>
      </c>
      <c r="ET249" s="40" t="str">
        <f t="shared" si="3189"/>
        <v/>
      </c>
      <c r="EU249" s="40" t="str">
        <f t="shared" si="3190"/>
        <v/>
      </c>
      <c r="EV249" s="40" t="str">
        <f t="shared" si="3191"/>
        <v/>
      </c>
      <c r="EW249" s="40" t="str">
        <f t="shared" si="3192"/>
        <v/>
      </c>
      <c r="EX249" s="40" t="str">
        <f t="shared" si="3193"/>
        <v/>
      </c>
      <c r="EY249" s="40" t="str">
        <f t="shared" si="3194"/>
        <v/>
      </c>
      <c r="EZ249" s="40" t="str">
        <f t="shared" si="3195"/>
        <v/>
      </c>
      <c r="FA249" s="40" t="str">
        <f t="shared" si="3196"/>
        <v/>
      </c>
      <c r="FB249" s="40" t="str">
        <f t="shared" si="3197"/>
        <v/>
      </c>
      <c r="FC249" s="40" t="str">
        <f t="shared" si="3198"/>
        <v/>
      </c>
      <c r="FD249" s="40" t="str">
        <f t="shared" si="3199"/>
        <v/>
      </c>
      <c r="FE249" s="40" t="str">
        <f t="shared" si="3200"/>
        <v/>
      </c>
      <c r="FF249" s="40" t="str">
        <f t="shared" si="3201"/>
        <v/>
      </c>
      <c r="FG249" s="40" t="str">
        <f t="shared" si="3202"/>
        <v/>
      </c>
      <c r="FH249" s="40" t="str">
        <f t="shared" si="3203"/>
        <v/>
      </c>
      <c r="FI249" s="40" t="str">
        <f t="shared" si="3204"/>
        <v/>
      </c>
      <c r="FJ249" s="40" t="str">
        <f t="shared" si="3205"/>
        <v/>
      </c>
      <c r="FK249" s="40" t="str">
        <f t="shared" si="3206"/>
        <v/>
      </c>
      <c r="FL249" s="40" t="str">
        <f t="shared" si="3207"/>
        <v/>
      </c>
      <c r="FM249" s="40" t="str">
        <f t="shared" si="3208"/>
        <v/>
      </c>
      <c r="FN249" s="40" t="str">
        <f t="shared" si="3209"/>
        <v/>
      </c>
      <c r="FO249" s="40" t="str">
        <f t="shared" si="3210"/>
        <v/>
      </c>
      <c r="FP249" s="40" t="str">
        <f t="shared" si="3211"/>
        <v/>
      </c>
      <c r="FQ249" s="40" t="str">
        <f t="shared" si="3212"/>
        <v/>
      </c>
      <c r="FR249" s="40" t="str">
        <f t="shared" si="3213"/>
        <v/>
      </c>
      <c r="FS249" s="40" t="str">
        <f t="shared" si="3214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4"/>
        <v>|n</v>
      </c>
      <c r="CW250" s="4"/>
      <c r="CX250" s="4"/>
      <c r="CY250" s="4"/>
      <c r="CZ250" s="4"/>
      <c r="DA250" s="4"/>
      <c r="DB250" s="40" t="str">
        <f t="shared" si="3145"/>
        <v/>
      </c>
      <c r="DC250" s="40" t="str">
        <f t="shared" si="3146"/>
        <v/>
      </c>
      <c r="DD250" s="40" t="str">
        <f t="shared" si="3147"/>
        <v/>
      </c>
      <c r="DE250" s="40" t="str">
        <f t="shared" si="3148"/>
        <v/>
      </c>
      <c r="DF250" s="40" t="str">
        <f t="shared" si="3149"/>
        <v/>
      </c>
      <c r="DG250" s="40" t="str">
        <f t="shared" si="3150"/>
        <v/>
      </c>
      <c r="DH250" s="40" t="str">
        <f t="shared" si="3151"/>
        <v/>
      </c>
      <c r="DI250" s="40" t="str">
        <f t="shared" si="3152"/>
        <v/>
      </c>
      <c r="DJ250" s="40" t="str">
        <f t="shared" si="3153"/>
        <v/>
      </c>
      <c r="DK250" s="40" t="str">
        <f t="shared" si="3154"/>
        <v/>
      </c>
      <c r="DL250" s="40" t="str">
        <f t="shared" si="3155"/>
        <v/>
      </c>
      <c r="DM250" s="40" t="str">
        <f t="shared" si="3156"/>
        <v/>
      </c>
      <c r="DN250" s="40" t="str">
        <f t="shared" si="3157"/>
        <v/>
      </c>
      <c r="DO250" s="40" t="str">
        <f t="shared" si="3158"/>
        <v/>
      </c>
      <c r="DP250" s="40" t="str">
        <f t="shared" si="3159"/>
        <v/>
      </c>
      <c r="DQ250" s="40" t="str">
        <f t="shared" si="3160"/>
        <v/>
      </c>
      <c r="DR250" s="40" t="str">
        <f t="shared" si="3161"/>
        <v/>
      </c>
      <c r="DS250" s="40" t="str">
        <f t="shared" si="3162"/>
        <v/>
      </c>
      <c r="DT250" s="40" t="str">
        <f t="shared" si="3163"/>
        <v/>
      </c>
      <c r="DU250" s="40" t="str">
        <f t="shared" si="3164"/>
        <v/>
      </c>
      <c r="DV250" s="40" t="str">
        <f t="shared" si="3165"/>
        <v/>
      </c>
      <c r="DW250" s="40" t="str">
        <f t="shared" si="3166"/>
        <v/>
      </c>
      <c r="DX250" s="40" t="str">
        <f t="shared" si="3167"/>
        <v/>
      </c>
      <c r="DY250" s="40" t="str">
        <f t="shared" si="3168"/>
        <v/>
      </c>
      <c r="DZ250" s="40" t="str">
        <f t="shared" si="3169"/>
        <v/>
      </c>
      <c r="EA250" s="40" t="str">
        <f t="shared" si="3170"/>
        <v/>
      </c>
      <c r="EB250" s="40" t="str">
        <f t="shared" si="3171"/>
        <v/>
      </c>
      <c r="EC250" s="40" t="str">
        <f t="shared" si="3172"/>
        <v/>
      </c>
      <c r="ED250" s="40" t="str">
        <f t="shared" si="3173"/>
        <v/>
      </c>
      <c r="EE250" s="40" t="str">
        <f t="shared" si="3174"/>
        <v/>
      </c>
      <c r="EF250" s="40" t="str">
        <f t="shared" si="3175"/>
        <v/>
      </c>
      <c r="EG250" s="40" t="str">
        <f t="shared" si="3176"/>
        <v/>
      </c>
      <c r="EH250" s="40" t="str">
        <f t="shared" si="3177"/>
        <v/>
      </c>
      <c r="EI250" s="40" t="str">
        <f t="shared" si="3178"/>
        <v/>
      </c>
      <c r="EJ250" s="40" t="str">
        <f t="shared" si="3179"/>
        <v/>
      </c>
      <c r="EK250" s="40" t="str">
        <f t="shared" si="3180"/>
        <v/>
      </c>
      <c r="EL250" s="40" t="str">
        <f t="shared" si="3181"/>
        <v/>
      </c>
      <c r="EM250" s="40" t="str">
        <f t="shared" si="3182"/>
        <v/>
      </c>
      <c r="EN250" s="40" t="str">
        <f t="shared" si="3183"/>
        <v/>
      </c>
      <c r="EO250" s="40" t="str">
        <f t="shared" si="3184"/>
        <v/>
      </c>
      <c r="EP250" s="40" t="str">
        <f t="shared" si="3185"/>
        <v/>
      </c>
      <c r="EQ250" s="40" t="str">
        <f t="shared" si="3186"/>
        <v/>
      </c>
      <c r="ER250" s="40" t="str">
        <f t="shared" si="3187"/>
        <v/>
      </c>
      <c r="ES250" s="40" t="str">
        <f t="shared" si="3188"/>
        <v/>
      </c>
      <c r="ET250" s="40" t="str">
        <f t="shared" si="3189"/>
        <v/>
      </c>
      <c r="EU250" s="40" t="str">
        <f t="shared" si="3190"/>
        <v/>
      </c>
      <c r="EV250" s="40" t="str">
        <f t="shared" si="3191"/>
        <v/>
      </c>
      <c r="EW250" s="40" t="str">
        <f t="shared" si="3192"/>
        <v/>
      </c>
      <c r="EX250" s="40" t="str">
        <f t="shared" si="3193"/>
        <v/>
      </c>
      <c r="EY250" s="40" t="str">
        <f t="shared" si="3194"/>
        <v/>
      </c>
      <c r="EZ250" s="40" t="str">
        <f t="shared" si="3195"/>
        <v/>
      </c>
      <c r="FA250" s="40" t="str">
        <f t="shared" si="3196"/>
        <v/>
      </c>
      <c r="FB250" s="40" t="str">
        <f t="shared" si="3197"/>
        <v/>
      </c>
      <c r="FC250" s="40" t="str">
        <f t="shared" si="3198"/>
        <v/>
      </c>
      <c r="FD250" s="40" t="str">
        <f t="shared" si="3199"/>
        <v/>
      </c>
      <c r="FE250" s="40" t="str">
        <f t="shared" si="3200"/>
        <v/>
      </c>
      <c r="FF250" s="40" t="str">
        <f t="shared" si="3201"/>
        <v/>
      </c>
      <c r="FG250" s="40" t="str">
        <f t="shared" si="3202"/>
        <v/>
      </c>
      <c r="FH250" s="40" t="str">
        <f t="shared" si="3203"/>
        <v/>
      </c>
      <c r="FI250" s="40" t="str">
        <f t="shared" si="3204"/>
        <v/>
      </c>
      <c r="FJ250" s="40" t="str">
        <f t="shared" si="3205"/>
        <v/>
      </c>
      <c r="FK250" s="40" t="str">
        <f t="shared" si="3206"/>
        <v/>
      </c>
      <c r="FL250" s="40" t="str">
        <f t="shared" si="3207"/>
        <v/>
      </c>
      <c r="FM250" s="40" t="str">
        <f t="shared" si="3208"/>
        <v/>
      </c>
      <c r="FN250" s="40" t="str">
        <f t="shared" si="3209"/>
        <v/>
      </c>
      <c r="FO250" s="40" t="str">
        <f t="shared" si="3210"/>
        <v/>
      </c>
      <c r="FP250" s="40" t="str">
        <f t="shared" si="3211"/>
        <v/>
      </c>
      <c r="FQ250" s="40" t="str">
        <f t="shared" si="3212"/>
        <v/>
      </c>
      <c r="FR250" s="40" t="str">
        <f t="shared" si="3213"/>
        <v/>
      </c>
      <c r="FS250" s="40" t="str">
        <f t="shared" si="3214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4"/>
        <v>|n</v>
      </c>
      <c r="CW251" s="4"/>
      <c r="CX251" s="4"/>
      <c r="CY251" s="4"/>
      <c r="CZ251" s="4"/>
      <c r="DA251" s="4"/>
      <c r="DB251" s="40" t="str">
        <f t="shared" si="3145"/>
        <v/>
      </c>
      <c r="DC251" s="40" t="str">
        <f t="shared" si="3146"/>
        <v/>
      </c>
      <c r="DD251" s="40" t="str">
        <f t="shared" si="3147"/>
        <v/>
      </c>
      <c r="DE251" s="40" t="str">
        <f t="shared" si="3148"/>
        <v/>
      </c>
      <c r="DF251" s="40" t="str">
        <f t="shared" si="3149"/>
        <v/>
      </c>
      <c r="DG251" s="40" t="str">
        <f t="shared" si="3150"/>
        <v/>
      </c>
      <c r="DH251" s="40" t="str">
        <f t="shared" si="3151"/>
        <v/>
      </c>
      <c r="DI251" s="40" t="str">
        <f t="shared" si="3152"/>
        <v/>
      </c>
      <c r="DJ251" s="40" t="str">
        <f t="shared" si="3153"/>
        <v/>
      </c>
      <c r="DK251" s="40" t="str">
        <f t="shared" si="3154"/>
        <v/>
      </c>
      <c r="DL251" s="40" t="str">
        <f t="shared" si="3155"/>
        <v/>
      </c>
      <c r="DM251" s="40" t="str">
        <f t="shared" si="3156"/>
        <v/>
      </c>
      <c r="DN251" s="40" t="str">
        <f t="shared" si="3157"/>
        <v/>
      </c>
      <c r="DO251" s="40" t="str">
        <f t="shared" si="3158"/>
        <v/>
      </c>
      <c r="DP251" s="40" t="str">
        <f t="shared" si="3159"/>
        <v/>
      </c>
      <c r="DQ251" s="40" t="str">
        <f t="shared" si="3160"/>
        <v/>
      </c>
      <c r="DR251" s="40" t="str">
        <f t="shared" si="3161"/>
        <v/>
      </c>
      <c r="DS251" s="40" t="str">
        <f t="shared" si="3162"/>
        <v/>
      </c>
      <c r="DT251" s="40" t="str">
        <f t="shared" si="3163"/>
        <v/>
      </c>
      <c r="DU251" s="40" t="str">
        <f t="shared" si="3164"/>
        <v/>
      </c>
      <c r="DV251" s="40" t="str">
        <f t="shared" si="3165"/>
        <v/>
      </c>
      <c r="DW251" s="40" t="str">
        <f t="shared" si="3166"/>
        <v/>
      </c>
      <c r="DX251" s="40" t="str">
        <f t="shared" si="3167"/>
        <v/>
      </c>
      <c r="DY251" s="40" t="str">
        <f t="shared" si="3168"/>
        <v/>
      </c>
      <c r="DZ251" s="40" t="str">
        <f t="shared" si="3169"/>
        <v/>
      </c>
      <c r="EA251" s="40" t="str">
        <f t="shared" si="3170"/>
        <v/>
      </c>
      <c r="EB251" s="40" t="str">
        <f t="shared" si="3171"/>
        <v/>
      </c>
      <c r="EC251" s="40" t="str">
        <f t="shared" si="3172"/>
        <v/>
      </c>
      <c r="ED251" s="40" t="str">
        <f t="shared" si="3173"/>
        <v/>
      </c>
      <c r="EE251" s="40" t="str">
        <f t="shared" si="3174"/>
        <v/>
      </c>
      <c r="EF251" s="40" t="str">
        <f t="shared" si="3175"/>
        <v/>
      </c>
      <c r="EG251" s="40" t="str">
        <f t="shared" si="3176"/>
        <v/>
      </c>
      <c r="EH251" s="40" t="str">
        <f t="shared" si="3177"/>
        <v/>
      </c>
      <c r="EI251" s="40" t="str">
        <f t="shared" si="3178"/>
        <v/>
      </c>
      <c r="EJ251" s="40" t="str">
        <f t="shared" si="3179"/>
        <v/>
      </c>
      <c r="EK251" s="40" t="str">
        <f t="shared" si="3180"/>
        <v/>
      </c>
      <c r="EL251" s="40" t="str">
        <f t="shared" si="3181"/>
        <v/>
      </c>
      <c r="EM251" s="40" t="str">
        <f t="shared" si="3182"/>
        <v/>
      </c>
      <c r="EN251" s="40" t="str">
        <f t="shared" si="3183"/>
        <v/>
      </c>
      <c r="EO251" s="40" t="str">
        <f t="shared" si="3184"/>
        <v/>
      </c>
      <c r="EP251" s="40" t="str">
        <f t="shared" si="3185"/>
        <v/>
      </c>
      <c r="EQ251" s="40" t="str">
        <f t="shared" si="3186"/>
        <v/>
      </c>
      <c r="ER251" s="40" t="str">
        <f t="shared" si="3187"/>
        <v/>
      </c>
      <c r="ES251" s="40" t="str">
        <f t="shared" si="3188"/>
        <v/>
      </c>
      <c r="ET251" s="40" t="str">
        <f t="shared" si="3189"/>
        <v/>
      </c>
      <c r="EU251" s="40" t="str">
        <f t="shared" si="3190"/>
        <v/>
      </c>
      <c r="EV251" s="40" t="str">
        <f t="shared" si="3191"/>
        <v/>
      </c>
      <c r="EW251" s="40" t="str">
        <f t="shared" si="3192"/>
        <v/>
      </c>
      <c r="EX251" s="40" t="str">
        <f t="shared" si="3193"/>
        <v/>
      </c>
      <c r="EY251" s="40" t="str">
        <f t="shared" si="3194"/>
        <v/>
      </c>
      <c r="EZ251" s="40" t="str">
        <f t="shared" si="3195"/>
        <v/>
      </c>
      <c r="FA251" s="40" t="str">
        <f t="shared" si="3196"/>
        <v/>
      </c>
      <c r="FB251" s="40" t="str">
        <f t="shared" si="3197"/>
        <v/>
      </c>
      <c r="FC251" s="40" t="str">
        <f t="shared" si="3198"/>
        <v/>
      </c>
      <c r="FD251" s="40" t="str">
        <f t="shared" si="3199"/>
        <v/>
      </c>
      <c r="FE251" s="40" t="str">
        <f t="shared" si="3200"/>
        <v/>
      </c>
      <c r="FF251" s="40" t="str">
        <f t="shared" si="3201"/>
        <v/>
      </c>
      <c r="FG251" s="40" t="str">
        <f t="shared" si="3202"/>
        <v/>
      </c>
      <c r="FH251" s="40" t="str">
        <f t="shared" si="3203"/>
        <v/>
      </c>
      <c r="FI251" s="40" t="str">
        <f t="shared" si="3204"/>
        <v/>
      </c>
      <c r="FJ251" s="40" t="str">
        <f t="shared" si="3205"/>
        <v/>
      </c>
      <c r="FK251" s="40" t="str">
        <f t="shared" si="3206"/>
        <v/>
      </c>
      <c r="FL251" s="40" t="str">
        <f t="shared" si="3207"/>
        <v/>
      </c>
      <c r="FM251" s="40" t="str">
        <f t="shared" si="3208"/>
        <v/>
      </c>
      <c r="FN251" s="40" t="str">
        <f t="shared" si="3209"/>
        <v/>
      </c>
      <c r="FO251" s="40" t="str">
        <f t="shared" si="3210"/>
        <v/>
      </c>
      <c r="FP251" s="40" t="str">
        <f t="shared" si="3211"/>
        <v/>
      </c>
      <c r="FQ251" s="40" t="str">
        <f t="shared" si="3212"/>
        <v/>
      </c>
      <c r="FR251" s="40" t="str">
        <f t="shared" si="3213"/>
        <v/>
      </c>
      <c r="FS251" s="40" t="str">
        <f t="shared" si="3214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4"/>
        <v>|n</v>
      </c>
      <c r="CW252" s="4"/>
      <c r="CX252" s="4"/>
      <c r="CY252" s="4"/>
      <c r="CZ252" s="4"/>
      <c r="DA252" s="4"/>
      <c r="DB252" s="40" t="str">
        <f t="shared" si="3145"/>
        <v/>
      </c>
      <c r="DC252" s="40" t="str">
        <f t="shared" si="3146"/>
        <v/>
      </c>
      <c r="DD252" s="40" t="str">
        <f t="shared" si="3147"/>
        <v/>
      </c>
      <c r="DE252" s="40" t="str">
        <f t="shared" si="3148"/>
        <v/>
      </c>
      <c r="DF252" s="40" t="str">
        <f t="shared" si="3149"/>
        <v/>
      </c>
      <c r="DG252" s="40" t="str">
        <f t="shared" si="3150"/>
        <v/>
      </c>
      <c r="DH252" s="40" t="str">
        <f t="shared" si="3151"/>
        <v/>
      </c>
      <c r="DI252" s="40" t="str">
        <f t="shared" si="3152"/>
        <v/>
      </c>
      <c r="DJ252" s="40" t="str">
        <f t="shared" si="3153"/>
        <v/>
      </c>
      <c r="DK252" s="40" t="str">
        <f t="shared" si="3154"/>
        <v/>
      </c>
      <c r="DL252" s="40" t="str">
        <f t="shared" si="3155"/>
        <v/>
      </c>
      <c r="DM252" s="40" t="str">
        <f t="shared" si="3156"/>
        <v/>
      </c>
      <c r="DN252" s="40" t="str">
        <f t="shared" si="3157"/>
        <v/>
      </c>
      <c r="DO252" s="40" t="str">
        <f t="shared" si="3158"/>
        <v/>
      </c>
      <c r="DP252" s="40" t="str">
        <f t="shared" si="3159"/>
        <v/>
      </c>
      <c r="DQ252" s="40" t="str">
        <f t="shared" si="3160"/>
        <v/>
      </c>
      <c r="DR252" s="40" t="str">
        <f t="shared" si="3161"/>
        <v/>
      </c>
      <c r="DS252" s="40" t="str">
        <f t="shared" si="3162"/>
        <v/>
      </c>
      <c r="DT252" s="40" t="str">
        <f t="shared" si="3163"/>
        <v/>
      </c>
      <c r="DU252" s="40" t="str">
        <f t="shared" si="3164"/>
        <v/>
      </c>
      <c r="DV252" s="40" t="str">
        <f t="shared" si="3165"/>
        <v/>
      </c>
      <c r="DW252" s="40" t="str">
        <f t="shared" si="3166"/>
        <v/>
      </c>
      <c r="DX252" s="40" t="str">
        <f t="shared" si="3167"/>
        <v/>
      </c>
      <c r="DY252" s="40" t="str">
        <f t="shared" si="3168"/>
        <v/>
      </c>
      <c r="DZ252" s="40" t="str">
        <f t="shared" si="3169"/>
        <v/>
      </c>
      <c r="EA252" s="40" t="str">
        <f t="shared" si="3170"/>
        <v/>
      </c>
      <c r="EB252" s="40" t="str">
        <f t="shared" si="3171"/>
        <v/>
      </c>
      <c r="EC252" s="40" t="str">
        <f t="shared" si="3172"/>
        <v/>
      </c>
      <c r="ED252" s="40" t="str">
        <f t="shared" si="3173"/>
        <v/>
      </c>
      <c r="EE252" s="40" t="str">
        <f t="shared" si="3174"/>
        <v/>
      </c>
      <c r="EF252" s="40" t="str">
        <f t="shared" si="3175"/>
        <v/>
      </c>
      <c r="EG252" s="40" t="str">
        <f t="shared" si="3176"/>
        <v/>
      </c>
      <c r="EH252" s="40" t="str">
        <f t="shared" si="3177"/>
        <v/>
      </c>
      <c r="EI252" s="40" t="str">
        <f t="shared" si="3178"/>
        <v/>
      </c>
      <c r="EJ252" s="40" t="str">
        <f t="shared" si="3179"/>
        <v/>
      </c>
      <c r="EK252" s="40" t="str">
        <f t="shared" si="3180"/>
        <v/>
      </c>
      <c r="EL252" s="40" t="str">
        <f t="shared" si="3181"/>
        <v/>
      </c>
      <c r="EM252" s="40" t="str">
        <f t="shared" si="3182"/>
        <v/>
      </c>
      <c r="EN252" s="40" t="str">
        <f t="shared" si="3183"/>
        <v/>
      </c>
      <c r="EO252" s="40" t="str">
        <f t="shared" si="3184"/>
        <v/>
      </c>
      <c r="EP252" s="40" t="str">
        <f t="shared" si="3185"/>
        <v/>
      </c>
      <c r="EQ252" s="40" t="str">
        <f t="shared" si="3186"/>
        <v/>
      </c>
      <c r="ER252" s="40" t="str">
        <f t="shared" si="3187"/>
        <v/>
      </c>
      <c r="ES252" s="40" t="str">
        <f t="shared" si="3188"/>
        <v/>
      </c>
      <c r="ET252" s="40" t="str">
        <f t="shared" si="3189"/>
        <v/>
      </c>
      <c r="EU252" s="40" t="str">
        <f t="shared" si="3190"/>
        <v/>
      </c>
      <c r="EV252" s="40" t="str">
        <f t="shared" si="3191"/>
        <v/>
      </c>
      <c r="EW252" s="40" t="str">
        <f t="shared" si="3192"/>
        <v/>
      </c>
      <c r="EX252" s="40" t="str">
        <f t="shared" si="3193"/>
        <v/>
      </c>
      <c r="EY252" s="40" t="str">
        <f t="shared" si="3194"/>
        <v/>
      </c>
      <c r="EZ252" s="40" t="str">
        <f t="shared" si="3195"/>
        <v/>
      </c>
      <c r="FA252" s="40" t="str">
        <f t="shared" si="3196"/>
        <v/>
      </c>
      <c r="FB252" s="40" t="str">
        <f t="shared" si="3197"/>
        <v/>
      </c>
      <c r="FC252" s="40" t="str">
        <f t="shared" si="3198"/>
        <v/>
      </c>
      <c r="FD252" s="40" t="str">
        <f t="shared" si="3199"/>
        <v/>
      </c>
      <c r="FE252" s="40" t="str">
        <f t="shared" si="3200"/>
        <v/>
      </c>
      <c r="FF252" s="40" t="str">
        <f t="shared" si="3201"/>
        <v/>
      </c>
      <c r="FG252" s="40" t="str">
        <f t="shared" si="3202"/>
        <v/>
      </c>
      <c r="FH252" s="40" t="str">
        <f t="shared" si="3203"/>
        <v/>
      </c>
      <c r="FI252" s="40" t="str">
        <f t="shared" si="3204"/>
        <v/>
      </c>
      <c r="FJ252" s="40" t="str">
        <f t="shared" si="3205"/>
        <v/>
      </c>
      <c r="FK252" s="40" t="str">
        <f t="shared" si="3206"/>
        <v/>
      </c>
      <c r="FL252" s="40" t="str">
        <f t="shared" si="3207"/>
        <v/>
      </c>
      <c r="FM252" s="40" t="str">
        <f t="shared" si="3208"/>
        <v/>
      </c>
      <c r="FN252" s="40" t="str">
        <f t="shared" si="3209"/>
        <v/>
      </c>
      <c r="FO252" s="40" t="str">
        <f t="shared" si="3210"/>
        <v/>
      </c>
      <c r="FP252" s="40" t="str">
        <f t="shared" si="3211"/>
        <v/>
      </c>
      <c r="FQ252" s="40" t="str">
        <f t="shared" si="3212"/>
        <v/>
      </c>
      <c r="FR252" s="40" t="str">
        <f t="shared" si="3213"/>
        <v/>
      </c>
      <c r="FS252" s="40" t="str">
        <f t="shared" si="3214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4"/>
        <v>|n</v>
      </c>
      <c r="CW253" s="4"/>
      <c r="CX253" s="4"/>
      <c r="CY253" s="4"/>
      <c r="CZ253" s="4"/>
      <c r="DA253" s="4"/>
      <c r="DB253" s="40" t="str">
        <f t="shared" si="3145"/>
        <v/>
      </c>
      <c r="DC253" s="40" t="str">
        <f t="shared" si="3146"/>
        <v/>
      </c>
      <c r="DD253" s="40" t="str">
        <f t="shared" si="3147"/>
        <v/>
      </c>
      <c r="DE253" s="40" t="str">
        <f t="shared" si="3148"/>
        <v/>
      </c>
      <c r="DF253" s="40" t="str">
        <f t="shared" si="3149"/>
        <v/>
      </c>
      <c r="DG253" s="40" t="str">
        <f t="shared" si="3150"/>
        <v/>
      </c>
      <c r="DH253" s="40" t="str">
        <f t="shared" si="3151"/>
        <v/>
      </c>
      <c r="DI253" s="40" t="str">
        <f t="shared" si="3152"/>
        <v/>
      </c>
      <c r="DJ253" s="40" t="str">
        <f t="shared" si="3153"/>
        <v/>
      </c>
      <c r="DK253" s="40" t="str">
        <f t="shared" si="3154"/>
        <v/>
      </c>
      <c r="DL253" s="40" t="str">
        <f t="shared" si="3155"/>
        <v/>
      </c>
      <c r="DM253" s="40" t="str">
        <f t="shared" si="3156"/>
        <v/>
      </c>
      <c r="DN253" s="40" t="str">
        <f t="shared" si="3157"/>
        <v/>
      </c>
      <c r="DO253" s="40" t="str">
        <f t="shared" si="3158"/>
        <v/>
      </c>
      <c r="DP253" s="40" t="str">
        <f t="shared" si="3159"/>
        <v/>
      </c>
      <c r="DQ253" s="40" t="str">
        <f t="shared" si="3160"/>
        <v/>
      </c>
      <c r="DR253" s="40" t="str">
        <f t="shared" si="3161"/>
        <v/>
      </c>
      <c r="DS253" s="40" t="str">
        <f t="shared" si="3162"/>
        <v/>
      </c>
      <c r="DT253" s="40" t="str">
        <f t="shared" si="3163"/>
        <v/>
      </c>
      <c r="DU253" s="40" t="str">
        <f t="shared" si="3164"/>
        <v/>
      </c>
      <c r="DV253" s="40" t="str">
        <f t="shared" si="3165"/>
        <v/>
      </c>
      <c r="DW253" s="40" t="str">
        <f t="shared" si="3166"/>
        <v/>
      </c>
      <c r="DX253" s="40" t="str">
        <f t="shared" si="3167"/>
        <v/>
      </c>
      <c r="DY253" s="40" t="str">
        <f t="shared" si="3168"/>
        <v/>
      </c>
      <c r="DZ253" s="40" t="str">
        <f t="shared" si="3169"/>
        <v/>
      </c>
      <c r="EA253" s="40" t="str">
        <f t="shared" si="3170"/>
        <v/>
      </c>
      <c r="EB253" s="40" t="str">
        <f t="shared" si="3171"/>
        <v/>
      </c>
      <c r="EC253" s="40" t="str">
        <f t="shared" si="3172"/>
        <v/>
      </c>
      <c r="ED253" s="40" t="str">
        <f t="shared" si="3173"/>
        <v/>
      </c>
      <c r="EE253" s="40" t="str">
        <f t="shared" si="3174"/>
        <v/>
      </c>
      <c r="EF253" s="40" t="str">
        <f t="shared" si="3175"/>
        <v/>
      </c>
      <c r="EG253" s="40" t="str">
        <f t="shared" si="3176"/>
        <v/>
      </c>
      <c r="EH253" s="40" t="str">
        <f t="shared" si="3177"/>
        <v/>
      </c>
      <c r="EI253" s="40" t="str">
        <f t="shared" si="3178"/>
        <v/>
      </c>
      <c r="EJ253" s="40" t="str">
        <f t="shared" si="3179"/>
        <v/>
      </c>
      <c r="EK253" s="40" t="str">
        <f t="shared" si="3180"/>
        <v/>
      </c>
      <c r="EL253" s="40" t="str">
        <f t="shared" si="3181"/>
        <v/>
      </c>
      <c r="EM253" s="40" t="str">
        <f t="shared" si="3182"/>
        <v/>
      </c>
      <c r="EN253" s="40" t="str">
        <f t="shared" si="3183"/>
        <v/>
      </c>
      <c r="EO253" s="40" t="str">
        <f t="shared" si="3184"/>
        <v/>
      </c>
      <c r="EP253" s="40" t="str">
        <f t="shared" si="3185"/>
        <v/>
      </c>
      <c r="EQ253" s="40" t="str">
        <f t="shared" si="3186"/>
        <v/>
      </c>
      <c r="ER253" s="40" t="str">
        <f t="shared" si="3187"/>
        <v/>
      </c>
      <c r="ES253" s="40" t="str">
        <f t="shared" si="3188"/>
        <v/>
      </c>
      <c r="ET253" s="40" t="str">
        <f t="shared" si="3189"/>
        <v/>
      </c>
      <c r="EU253" s="40" t="str">
        <f t="shared" si="3190"/>
        <v/>
      </c>
      <c r="EV253" s="40" t="str">
        <f t="shared" si="3191"/>
        <v/>
      </c>
      <c r="EW253" s="40" t="str">
        <f t="shared" si="3192"/>
        <v/>
      </c>
      <c r="EX253" s="40" t="str">
        <f t="shared" si="3193"/>
        <v/>
      </c>
      <c r="EY253" s="40" t="str">
        <f t="shared" si="3194"/>
        <v/>
      </c>
      <c r="EZ253" s="40" t="str">
        <f t="shared" si="3195"/>
        <v/>
      </c>
      <c r="FA253" s="40" t="str">
        <f t="shared" si="3196"/>
        <v/>
      </c>
      <c r="FB253" s="40" t="str">
        <f t="shared" si="3197"/>
        <v/>
      </c>
      <c r="FC253" s="40" t="str">
        <f t="shared" si="3198"/>
        <v/>
      </c>
      <c r="FD253" s="40" t="str">
        <f t="shared" si="3199"/>
        <v/>
      </c>
      <c r="FE253" s="40" t="str">
        <f t="shared" si="3200"/>
        <v/>
      </c>
      <c r="FF253" s="40" t="str">
        <f t="shared" si="3201"/>
        <v/>
      </c>
      <c r="FG253" s="40" t="str">
        <f t="shared" si="3202"/>
        <v/>
      </c>
      <c r="FH253" s="40" t="str">
        <f t="shared" si="3203"/>
        <v/>
      </c>
      <c r="FI253" s="40" t="str">
        <f t="shared" si="3204"/>
        <v/>
      </c>
      <c r="FJ253" s="40" t="str">
        <f t="shared" si="3205"/>
        <v/>
      </c>
      <c r="FK253" s="40" t="str">
        <f t="shared" si="3206"/>
        <v/>
      </c>
      <c r="FL253" s="40" t="str">
        <f t="shared" si="3207"/>
        <v/>
      </c>
      <c r="FM253" s="40" t="str">
        <f t="shared" si="3208"/>
        <v/>
      </c>
      <c r="FN253" s="40" t="str">
        <f t="shared" si="3209"/>
        <v/>
      </c>
      <c r="FO253" s="40" t="str">
        <f t="shared" si="3210"/>
        <v/>
      </c>
      <c r="FP253" s="40" t="str">
        <f t="shared" si="3211"/>
        <v/>
      </c>
      <c r="FQ253" s="40" t="str">
        <f t="shared" si="3212"/>
        <v/>
      </c>
      <c r="FR253" s="40" t="str">
        <f t="shared" si="3213"/>
        <v/>
      </c>
      <c r="FS253" s="40" t="str">
        <f t="shared" si="3214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4"/>
        <v>|n</v>
      </c>
      <c r="CW254" s="4"/>
      <c r="CX254" s="4"/>
      <c r="CY254" s="4"/>
      <c r="CZ254" s="4"/>
      <c r="DA254" s="4"/>
      <c r="DB254" s="40" t="str">
        <f t="shared" si="3145"/>
        <v/>
      </c>
      <c r="DC254" s="40" t="str">
        <f t="shared" si="3146"/>
        <v/>
      </c>
      <c r="DD254" s="40" t="str">
        <f t="shared" si="3147"/>
        <v/>
      </c>
      <c r="DE254" s="40" t="str">
        <f t="shared" si="3148"/>
        <v/>
      </c>
      <c r="DF254" s="40" t="str">
        <f t="shared" si="3149"/>
        <v/>
      </c>
      <c r="DG254" s="40" t="str">
        <f t="shared" si="3150"/>
        <v/>
      </c>
      <c r="DH254" s="40" t="str">
        <f t="shared" si="3151"/>
        <v/>
      </c>
      <c r="DI254" s="40" t="str">
        <f t="shared" si="3152"/>
        <v/>
      </c>
      <c r="DJ254" s="40" t="str">
        <f t="shared" si="3153"/>
        <v/>
      </c>
      <c r="DK254" s="40" t="str">
        <f t="shared" si="3154"/>
        <v/>
      </c>
      <c r="DL254" s="40" t="str">
        <f t="shared" si="3155"/>
        <v/>
      </c>
      <c r="DM254" s="40" t="str">
        <f t="shared" si="3156"/>
        <v/>
      </c>
      <c r="DN254" s="40" t="str">
        <f t="shared" si="3157"/>
        <v/>
      </c>
      <c r="DO254" s="40" t="str">
        <f t="shared" si="3158"/>
        <v/>
      </c>
      <c r="DP254" s="40" t="str">
        <f t="shared" si="3159"/>
        <v/>
      </c>
      <c r="DQ254" s="40" t="str">
        <f t="shared" si="3160"/>
        <v/>
      </c>
      <c r="DR254" s="40" t="str">
        <f t="shared" si="3161"/>
        <v/>
      </c>
      <c r="DS254" s="40" t="str">
        <f t="shared" si="3162"/>
        <v/>
      </c>
      <c r="DT254" s="40" t="str">
        <f t="shared" si="3163"/>
        <v/>
      </c>
      <c r="DU254" s="40" t="str">
        <f t="shared" si="3164"/>
        <v/>
      </c>
      <c r="DV254" s="40" t="str">
        <f t="shared" si="3165"/>
        <v/>
      </c>
      <c r="DW254" s="40" t="str">
        <f t="shared" si="3166"/>
        <v/>
      </c>
      <c r="DX254" s="40" t="str">
        <f t="shared" si="3167"/>
        <v/>
      </c>
      <c r="DY254" s="40" t="str">
        <f t="shared" si="3168"/>
        <v/>
      </c>
      <c r="DZ254" s="40" t="str">
        <f t="shared" si="3169"/>
        <v/>
      </c>
      <c r="EA254" s="40" t="str">
        <f t="shared" si="3170"/>
        <v/>
      </c>
      <c r="EB254" s="40" t="str">
        <f t="shared" si="3171"/>
        <v/>
      </c>
      <c r="EC254" s="40" t="str">
        <f t="shared" si="3172"/>
        <v/>
      </c>
      <c r="ED254" s="40" t="str">
        <f t="shared" si="3173"/>
        <v/>
      </c>
      <c r="EE254" s="40" t="str">
        <f t="shared" si="3174"/>
        <v/>
      </c>
      <c r="EF254" s="40" t="str">
        <f t="shared" si="3175"/>
        <v/>
      </c>
      <c r="EG254" s="40" t="str">
        <f t="shared" si="3176"/>
        <v/>
      </c>
      <c r="EH254" s="40" t="str">
        <f t="shared" si="3177"/>
        <v/>
      </c>
      <c r="EI254" s="40" t="str">
        <f t="shared" si="3178"/>
        <v/>
      </c>
      <c r="EJ254" s="40" t="str">
        <f t="shared" si="3179"/>
        <v/>
      </c>
      <c r="EK254" s="40" t="str">
        <f t="shared" si="3180"/>
        <v/>
      </c>
      <c r="EL254" s="40" t="str">
        <f t="shared" si="3181"/>
        <v/>
      </c>
      <c r="EM254" s="40" t="str">
        <f t="shared" si="3182"/>
        <v/>
      </c>
      <c r="EN254" s="40" t="str">
        <f t="shared" si="3183"/>
        <v/>
      </c>
      <c r="EO254" s="40" t="str">
        <f t="shared" si="3184"/>
        <v/>
      </c>
      <c r="EP254" s="40" t="str">
        <f t="shared" si="3185"/>
        <v/>
      </c>
      <c r="EQ254" s="40" t="str">
        <f t="shared" si="3186"/>
        <v/>
      </c>
      <c r="ER254" s="40" t="str">
        <f t="shared" si="3187"/>
        <v/>
      </c>
      <c r="ES254" s="40" t="str">
        <f t="shared" si="3188"/>
        <v/>
      </c>
      <c r="ET254" s="40" t="str">
        <f t="shared" si="3189"/>
        <v/>
      </c>
      <c r="EU254" s="40" t="str">
        <f t="shared" si="3190"/>
        <v/>
      </c>
      <c r="EV254" s="40" t="str">
        <f t="shared" si="3191"/>
        <v/>
      </c>
      <c r="EW254" s="40" t="str">
        <f t="shared" si="3192"/>
        <v/>
      </c>
      <c r="EX254" s="40" t="str">
        <f t="shared" si="3193"/>
        <v/>
      </c>
      <c r="EY254" s="40" t="str">
        <f t="shared" si="3194"/>
        <v/>
      </c>
      <c r="EZ254" s="40" t="str">
        <f t="shared" si="3195"/>
        <v/>
      </c>
      <c r="FA254" s="40" t="str">
        <f t="shared" si="3196"/>
        <v/>
      </c>
      <c r="FB254" s="40" t="str">
        <f t="shared" si="3197"/>
        <v/>
      </c>
      <c r="FC254" s="40" t="str">
        <f t="shared" si="3198"/>
        <v/>
      </c>
      <c r="FD254" s="40" t="str">
        <f t="shared" si="3199"/>
        <v/>
      </c>
      <c r="FE254" s="40" t="str">
        <f t="shared" si="3200"/>
        <v/>
      </c>
      <c r="FF254" s="40" t="str">
        <f t="shared" si="3201"/>
        <v/>
      </c>
      <c r="FG254" s="40" t="str">
        <f t="shared" si="3202"/>
        <v/>
      </c>
      <c r="FH254" s="40" t="str">
        <f t="shared" si="3203"/>
        <v/>
      </c>
      <c r="FI254" s="40" t="str">
        <f t="shared" si="3204"/>
        <v/>
      </c>
      <c r="FJ254" s="40" t="str">
        <f t="shared" si="3205"/>
        <v/>
      </c>
      <c r="FK254" s="40" t="str">
        <f t="shared" si="3206"/>
        <v/>
      </c>
      <c r="FL254" s="40" t="str">
        <f t="shared" si="3207"/>
        <v/>
      </c>
      <c r="FM254" s="40" t="str">
        <f t="shared" si="3208"/>
        <v/>
      </c>
      <c r="FN254" s="40" t="str">
        <f t="shared" si="3209"/>
        <v/>
      </c>
      <c r="FO254" s="40" t="str">
        <f t="shared" si="3210"/>
        <v/>
      </c>
      <c r="FP254" s="40" t="str">
        <f t="shared" si="3211"/>
        <v/>
      </c>
      <c r="FQ254" s="40" t="str">
        <f t="shared" si="3212"/>
        <v/>
      </c>
      <c r="FR254" s="40" t="str">
        <f t="shared" si="3213"/>
        <v/>
      </c>
      <c r="FS254" s="40" t="str">
        <f t="shared" si="3214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4"/>
        <v>|n</v>
      </c>
      <c r="CW255" s="4"/>
      <c r="CX255" s="4"/>
      <c r="CY255" s="4"/>
      <c r="CZ255" s="4"/>
      <c r="DA255" s="4"/>
      <c r="DB255" s="40" t="str">
        <f t="shared" si="3145"/>
        <v/>
      </c>
      <c r="DC255" s="40" t="str">
        <f t="shared" si="3146"/>
        <v/>
      </c>
      <c r="DD255" s="40" t="str">
        <f t="shared" si="3147"/>
        <v/>
      </c>
      <c r="DE255" s="40" t="str">
        <f t="shared" si="3148"/>
        <v/>
      </c>
      <c r="DF255" s="40" t="str">
        <f t="shared" si="3149"/>
        <v/>
      </c>
      <c r="DG255" s="40" t="str">
        <f t="shared" si="3150"/>
        <v/>
      </c>
      <c r="DH255" s="40" t="str">
        <f t="shared" si="3151"/>
        <v/>
      </c>
      <c r="DI255" s="40" t="str">
        <f t="shared" si="3152"/>
        <v/>
      </c>
      <c r="DJ255" s="40" t="str">
        <f t="shared" si="3153"/>
        <v/>
      </c>
      <c r="DK255" s="40" t="str">
        <f t="shared" si="3154"/>
        <v/>
      </c>
      <c r="DL255" s="40" t="str">
        <f t="shared" si="3155"/>
        <v/>
      </c>
      <c r="DM255" s="40" t="str">
        <f t="shared" si="3156"/>
        <v/>
      </c>
      <c r="DN255" s="40" t="str">
        <f t="shared" si="3157"/>
        <v/>
      </c>
      <c r="DO255" s="40" t="str">
        <f t="shared" si="3158"/>
        <v/>
      </c>
      <c r="DP255" s="40" t="str">
        <f t="shared" si="3159"/>
        <v/>
      </c>
      <c r="DQ255" s="40" t="str">
        <f t="shared" si="3160"/>
        <v/>
      </c>
      <c r="DR255" s="40" t="str">
        <f t="shared" si="3161"/>
        <v/>
      </c>
      <c r="DS255" s="40" t="str">
        <f t="shared" si="3162"/>
        <v/>
      </c>
      <c r="DT255" s="40" t="str">
        <f t="shared" si="3163"/>
        <v/>
      </c>
      <c r="DU255" s="40" t="str">
        <f t="shared" si="3164"/>
        <v/>
      </c>
      <c r="DV255" s="40" t="str">
        <f t="shared" si="3165"/>
        <v/>
      </c>
      <c r="DW255" s="40" t="str">
        <f t="shared" si="3166"/>
        <v/>
      </c>
      <c r="DX255" s="40" t="str">
        <f t="shared" si="3167"/>
        <v/>
      </c>
      <c r="DY255" s="40" t="str">
        <f t="shared" si="3168"/>
        <v/>
      </c>
      <c r="DZ255" s="40" t="str">
        <f t="shared" si="3169"/>
        <v/>
      </c>
      <c r="EA255" s="40" t="str">
        <f t="shared" si="3170"/>
        <v/>
      </c>
      <c r="EB255" s="40" t="str">
        <f t="shared" si="3171"/>
        <v/>
      </c>
      <c r="EC255" s="40" t="str">
        <f t="shared" si="3172"/>
        <v/>
      </c>
      <c r="ED255" s="40" t="str">
        <f t="shared" si="3173"/>
        <v/>
      </c>
      <c r="EE255" s="40" t="str">
        <f t="shared" si="3174"/>
        <v/>
      </c>
      <c r="EF255" s="40" t="str">
        <f t="shared" si="3175"/>
        <v/>
      </c>
      <c r="EG255" s="40" t="str">
        <f t="shared" si="3176"/>
        <v/>
      </c>
      <c r="EH255" s="40" t="str">
        <f t="shared" si="3177"/>
        <v/>
      </c>
      <c r="EI255" s="40" t="str">
        <f t="shared" si="3178"/>
        <v/>
      </c>
      <c r="EJ255" s="40" t="str">
        <f t="shared" si="3179"/>
        <v/>
      </c>
      <c r="EK255" s="40" t="str">
        <f t="shared" si="3180"/>
        <v/>
      </c>
      <c r="EL255" s="40" t="str">
        <f t="shared" si="3181"/>
        <v/>
      </c>
      <c r="EM255" s="40" t="str">
        <f t="shared" si="3182"/>
        <v/>
      </c>
      <c r="EN255" s="40" t="str">
        <f t="shared" si="3183"/>
        <v/>
      </c>
      <c r="EO255" s="40" t="str">
        <f t="shared" si="3184"/>
        <v/>
      </c>
      <c r="EP255" s="40" t="str">
        <f t="shared" si="3185"/>
        <v/>
      </c>
      <c r="EQ255" s="40" t="str">
        <f t="shared" si="3186"/>
        <v/>
      </c>
      <c r="ER255" s="40" t="str">
        <f t="shared" si="3187"/>
        <v/>
      </c>
      <c r="ES255" s="40" t="str">
        <f t="shared" si="3188"/>
        <v/>
      </c>
      <c r="ET255" s="40" t="str">
        <f t="shared" si="3189"/>
        <v/>
      </c>
      <c r="EU255" s="40" t="str">
        <f t="shared" si="3190"/>
        <v/>
      </c>
      <c r="EV255" s="40" t="str">
        <f t="shared" si="3191"/>
        <v/>
      </c>
      <c r="EW255" s="40" t="str">
        <f t="shared" si="3192"/>
        <v/>
      </c>
      <c r="EX255" s="40" t="str">
        <f t="shared" si="3193"/>
        <v/>
      </c>
      <c r="EY255" s="40" t="str">
        <f t="shared" si="3194"/>
        <v/>
      </c>
      <c r="EZ255" s="40" t="str">
        <f t="shared" si="3195"/>
        <v/>
      </c>
      <c r="FA255" s="40" t="str">
        <f t="shared" si="3196"/>
        <v/>
      </c>
      <c r="FB255" s="40" t="str">
        <f t="shared" si="3197"/>
        <v/>
      </c>
      <c r="FC255" s="40" t="str">
        <f t="shared" si="3198"/>
        <v/>
      </c>
      <c r="FD255" s="40" t="str">
        <f t="shared" si="3199"/>
        <v/>
      </c>
      <c r="FE255" s="40" t="str">
        <f t="shared" si="3200"/>
        <v/>
      </c>
      <c r="FF255" s="40" t="str">
        <f t="shared" si="3201"/>
        <v/>
      </c>
      <c r="FG255" s="40" t="str">
        <f t="shared" si="3202"/>
        <v/>
      </c>
      <c r="FH255" s="40" t="str">
        <f t="shared" si="3203"/>
        <v/>
      </c>
      <c r="FI255" s="40" t="str">
        <f t="shared" si="3204"/>
        <v/>
      </c>
      <c r="FJ255" s="40" t="str">
        <f t="shared" si="3205"/>
        <v/>
      </c>
      <c r="FK255" s="40" t="str">
        <f t="shared" si="3206"/>
        <v/>
      </c>
      <c r="FL255" s="40" t="str">
        <f t="shared" si="3207"/>
        <v/>
      </c>
      <c r="FM255" s="40" t="str">
        <f t="shared" si="3208"/>
        <v/>
      </c>
      <c r="FN255" s="40" t="str">
        <f t="shared" si="3209"/>
        <v/>
      </c>
      <c r="FO255" s="40" t="str">
        <f t="shared" si="3210"/>
        <v/>
      </c>
      <c r="FP255" s="40" t="str">
        <f t="shared" si="3211"/>
        <v/>
      </c>
      <c r="FQ255" s="40" t="str">
        <f t="shared" si="3212"/>
        <v/>
      </c>
      <c r="FR255" s="40" t="str">
        <f t="shared" si="3213"/>
        <v/>
      </c>
      <c r="FS255" s="40" t="str">
        <f t="shared" si="3214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4"/>
        <v>|n</v>
      </c>
      <c r="CW256" s="4"/>
      <c r="CX256" s="4"/>
      <c r="CY256" s="4"/>
      <c r="CZ256" s="4"/>
      <c r="DA256" s="4"/>
      <c r="DB256" s="40" t="str">
        <f t="shared" si="3145"/>
        <v/>
      </c>
      <c r="DC256" s="40" t="str">
        <f t="shared" si="3146"/>
        <v/>
      </c>
      <c r="DD256" s="40" t="str">
        <f t="shared" si="3147"/>
        <v/>
      </c>
      <c r="DE256" s="40" t="str">
        <f t="shared" si="3148"/>
        <v/>
      </c>
      <c r="DF256" s="40" t="str">
        <f t="shared" si="3149"/>
        <v/>
      </c>
      <c r="DG256" s="40" t="str">
        <f t="shared" si="3150"/>
        <v/>
      </c>
      <c r="DH256" s="40" t="str">
        <f t="shared" si="3151"/>
        <v/>
      </c>
      <c r="DI256" s="40" t="str">
        <f t="shared" si="3152"/>
        <v/>
      </c>
      <c r="DJ256" s="40" t="str">
        <f t="shared" si="3153"/>
        <v/>
      </c>
      <c r="DK256" s="40" t="str">
        <f t="shared" si="3154"/>
        <v/>
      </c>
      <c r="DL256" s="40" t="str">
        <f t="shared" si="3155"/>
        <v/>
      </c>
      <c r="DM256" s="40" t="str">
        <f t="shared" si="3156"/>
        <v/>
      </c>
      <c r="DN256" s="40" t="str">
        <f t="shared" si="3157"/>
        <v/>
      </c>
      <c r="DO256" s="40" t="str">
        <f t="shared" si="3158"/>
        <v/>
      </c>
      <c r="DP256" s="40" t="str">
        <f t="shared" si="3159"/>
        <v/>
      </c>
      <c r="DQ256" s="40" t="str">
        <f t="shared" si="3160"/>
        <v/>
      </c>
      <c r="DR256" s="40" t="str">
        <f t="shared" si="3161"/>
        <v/>
      </c>
      <c r="DS256" s="40" t="str">
        <f t="shared" si="3162"/>
        <v/>
      </c>
      <c r="DT256" s="40" t="str">
        <f t="shared" si="3163"/>
        <v/>
      </c>
      <c r="DU256" s="40" t="str">
        <f t="shared" si="3164"/>
        <v/>
      </c>
      <c r="DV256" s="40" t="str">
        <f t="shared" si="3165"/>
        <v/>
      </c>
      <c r="DW256" s="40" t="str">
        <f t="shared" si="3166"/>
        <v/>
      </c>
      <c r="DX256" s="40" t="str">
        <f t="shared" si="3167"/>
        <v/>
      </c>
      <c r="DY256" s="40" t="str">
        <f t="shared" si="3168"/>
        <v/>
      </c>
      <c r="DZ256" s="40" t="str">
        <f t="shared" si="3169"/>
        <v/>
      </c>
      <c r="EA256" s="40" t="str">
        <f t="shared" si="3170"/>
        <v/>
      </c>
      <c r="EB256" s="40" t="str">
        <f t="shared" si="3171"/>
        <v/>
      </c>
      <c r="EC256" s="40" t="str">
        <f t="shared" si="3172"/>
        <v/>
      </c>
      <c r="ED256" s="40" t="str">
        <f t="shared" si="3173"/>
        <v/>
      </c>
      <c r="EE256" s="40" t="str">
        <f t="shared" si="3174"/>
        <v/>
      </c>
      <c r="EF256" s="40" t="str">
        <f t="shared" si="3175"/>
        <v/>
      </c>
      <c r="EG256" s="40" t="str">
        <f t="shared" si="3176"/>
        <v/>
      </c>
      <c r="EH256" s="40" t="str">
        <f t="shared" si="3177"/>
        <v/>
      </c>
      <c r="EI256" s="40" t="str">
        <f t="shared" si="3178"/>
        <v/>
      </c>
      <c r="EJ256" s="40" t="str">
        <f t="shared" si="3179"/>
        <v/>
      </c>
      <c r="EK256" s="40" t="str">
        <f t="shared" si="3180"/>
        <v/>
      </c>
      <c r="EL256" s="40" t="str">
        <f t="shared" si="3181"/>
        <v/>
      </c>
      <c r="EM256" s="40" t="str">
        <f t="shared" si="3182"/>
        <v/>
      </c>
      <c r="EN256" s="40" t="str">
        <f t="shared" si="3183"/>
        <v/>
      </c>
      <c r="EO256" s="40" t="str">
        <f t="shared" si="3184"/>
        <v/>
      </c>
      <c r="EP256" s="40" t="str">
        <f t="shared" si="3185"/>
        <v/>
      </c>
      <c r="EQ256" s="40" t="str">
        <f t="shared" si="3186"/>
        <v/>
      </c>
      <c r="ER256" s="40" t="str">
        <f t="shared" si="3187"/>
        <v/>
      </c>
      <c r="ES256" s="40" t="str">
        <f t="shared" si="3188"/>
        <v/>
      </c>
      <c r="ET256" s="40" t="str">
        <f t="shared" si="3189"/>
        <v/>
      </c>
      <c r="EU256" s="40" t="str">
        <f t="shared" si="3190"/>
        <v/>
      </c>
      <c r="EV256" s="40" t="str">
        <f t="shared" si="3191"/>
        <v/>
      </c>
      <c r="EW256" s="40" t="str">
        <f t="shared" si="3192"/>
        <v/>
      </c>
      <c r="EX256" s="40" t="str">
        <f t="shared" si="3193"/>
        <v/>
      </c>
      <c r="EY256" s="40" t="str">
        <f t="shared" si="3194"/>
        <v/>
      </c>
      <c r="EZ256" s="40" t="str">
        <f t="shared" si="3195"/>
        <v/>
      </c>
      <c r="FA256" s="40" t="str">
        <f t="shared" si="3196"/>
        <v/>
      </c>
      <c r="FB256" s="40" t="str">
        <f t="shared" si="3197"/>
        <v/>
      </c>
      <c r="FC256" s="40" t="str">
        <f t="shared" si="3198"/>
        <v/>
      </c>
      <c r="FD256" s="40" t="str">
        <f t="shared" si="3199"/>
        <v/>
      </c>
      <c r="FE256" s="40" t="str">
        <f t="shared" si="3200"/>
        <v/>
      </c>
      <c r="FF256" s="40" t="str">
        <f t="shared" si="3201"/>
        <v/>
      </c>
      <c r="FG256" s="40" t="str">
        <f t="shared" si="3202"/>
        <v/>
      </c>
      <c r="FH256" s="40" t="str">
        <f t="shared" si="3203"/>
        <v/>
      </c>
      <c r="FI256" s="40" t="str">
        <f t="shared" si="3204"/>
        <v/>
      </c>
      <c r="FJ256" s="40" t="str">
        <f t="shared" si="3205"/>
        <v/>
      </c>
      <c r="FK256" s="40" t="str">
        <f t="shared" si="3206"/>
        <v/>
      </c>
      <c r="FL256" s="40" t="str">
        <f t="shared" si="3207"/>
        <v/>
      </c>
      <c r="FM256" s="40" t="str">
        <f t="shared" si="3208"/>
        <v/>
      </c>
      <c r="FN256" s="40" t="str">
        <f t="shared" si="3209"/>
        <v/>
      </c>
      <c r="FO256" s="40" t="str">
        <f t="shared" si="3210"/>
        <v/>
      </c>
      <c r="FP256" s="40" t="str">
        <f t="shared" si="3211"/>
        <v/>
      </c>
      <c r="FQ256" s="40" t="str">
        <f t="shared" si="3212"/>
        <v/>
      </c>
      <c r="FR256" s="40" t="str">
        <f t="shared" si="3213"/>
        <v/>
      </c>
      <c r="FS256" s="40" t="str">
        <f t="shared" si="3214"/>
        <v/>
      </c>
    </row>
    <row r="257" spans="92:175">
      <c r="CN257" s="10" t="str">
        <f t="shared" ref="CN257:CN288" si="3219"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 t="shared" ref="CO257:CO288" si="3220"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 t="shared" ref="CP257:CP288" si="3221"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 t="shared" ref="CQ257:CQ288" si="3222"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 t="shared" ref="CR257:CR288" si="3223"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ref="CU257:CU269" si="3224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4"/>
      <c r="CX257" s="4"/>
      <c r="CY257" s="4"/>
      <c r="CZ257" s="4"/>
      <c r="DA257" s="4"/>
      <c r="DB257" s="40" t="str">
        <f t="shared" ref="DB257:DB277" si="3225">IF(V257="","","|n"&amp;DB$2&amp;"+"&amp;V257&amp;DB$1)</f>
        <v/>
      </c>
      <c r="DC257" s="40" t="str">
        <f t="shared" ref="DC257:DC277" si="3226">IF(W257="","","|n"&amp;DC$2&amp;"+"&amp;W257&amp;DC$1)</f>
        <v/>
      </c>
      <c r="DD257" s="40" t="str">
        <f t="shared" ref="DD257:DD277" si="3227">IF(X257="","","|n"&amp;DD$2&amp;"+"&amp;X257&amp;DD$1)</f>
        <v/>
      </c>
      <c r="DE257" s="40" t="str">
        <f t="shared" ref="DE257:DE277" si="3228">IF(Y257="","","|n"&amp;DE$2&amp;"+"&amp;Y257&amp;DE$1)</f>
        <v/>
      </c>
      <c r="DF257" s="40" t="str">
        <f t="shared" ref="DF257:DF277" si="3229">IF(Z257="","","|n"&amp;DF$2&amp;"+"&amp;Z257&amp;DF$1)</f>
        <v/>
      </c>
      <c r="DG257" s="40" t="str">
        <f t="shared" ref="DG257:DG277" si="3230">IF(AA257="","","|n"&amp;DG$2&amp;"+"&amp;AA257&amp;DG$1)</f>
        <v/>
      </c>
      <c r="DH257" s="40" t="str">
        <f t="shared" ref="DH257:DH277" si="3231">IF(AB257="","","|n"&amp;DH$2&amp;"+"&amp;AB257&amp;DH$1)</f>
        <v/>
      </c>
      <c r="DI257" s="40" t="str">
        <f t="shared" ref="DI257:DI277" si="3232">IF(AC257="","","|n"&amp;DI$2&amp;"+"&amp;AC257&amp;DI$1)</f>
        <v/>
      </c>
      <c r="DJ257" s="40" t="str">
        <f t="shared" ref="DJ257:DJ277" si="3233">IF(AD257="","","|n"&amp;DJ$2&amp;"+"&amp;AD257&amp;DJ$1)</f>
        <v/>
      </c>
      <c r="DK257" s="40" t="str">
        <f t="shared" ref="DK257:DK277" si="3234">IF(AE257="","","|n"&amp;DK$2&amp;"+"&amp;AE257&amp;DK$1)</f>
        <v/>
      </c>
      <c r="DL257" s="40" t="str">
        <f t="shared" ref="DL257:DL277" si="3235">IF(AF257="","","|n"&amp;DL$2&amp;"+"&amp;AF257&amp;DL$1)</f>
        <v/>
      </c>
      <c r="DM257" s="40" t="str">
        <f t="shared" ref="DM257:DM277" si="3236">IF(AG257="","","|n"&amp;DM$2&amp;"+"&amp;AG257&amp;DM$1)</f>
        <v/>
      </c>
      <c r="DN257" s="40" t="str">
        <f t="shared" ref="DN257:DN277" si="3237">IF(AH257="","","|n"&amp;DN$2&amp;"+"&amp;AH257&amp;DN$1)</f>
        <v/>
      </c>
      <c r="DO257" s="40" t="str">
        <f t="shared" ref="DO257:DO277" si="3238">IF(AI257="","","|n"&amp;DO$2&amp;"+"&amp;AI257&amp;DO$1)</f>
        <v/>
      </c>
      <c r="DP257" s="40" t="str">
        <f t="shared" ref="DP257:DP277" si="3239">IF(AJ257="","","|n"&amp;DP$2&amp;"+"&amp;AJ257&amp;DP$1)</f>
        <v/>
      </c>
      <c r="DQ257" s="40" t="str">
        <f t="shared" ref="DQ257:DQ277" si="3240">IF(AK257="","","|n"&amp;DQ$2&amp;"+"&amp;AK257&amp;DQ$1)</f>
        <v/>
      </c>
      <c r="DR257" s="40" t="str">
        <f t="shared" ref="DR257:DR277" si="3241">IF(AL257="","","|n"&amp;DR$2&amp;"+"&amp;AL257&amp;DR$1)</f>
        <v/>
      </c>
      <c r="DS257" s="40" t="str">
        <f t="shared" ref="DS257:DS277" si="3242">IF(AM257="","","|n"&amp;DS$2&amp;"+"&amp;AM257&amp;DS$1)</f>
        <v/>
      </c>
      <c r="DT257" s="40" t="str">
        <f t="shared" ref="DT257:DT277" si="3243">IF(AN257="","","|n"&amp;DT$2&amp;"+"&amp;AN257&amp;DT$1)</f>
        <v/>
      </c>
      <c r="DU257" s="40" t="str">
        <f t="shared" ref="DU257:DU277" si="3244">IF(AO257="","","|n"&amp;DU$2&amp;"+"&amp;AO257&amp;DU$1)</f>
        <v/>
      </c>
      <c r="DV257" s="40" t="str">
        <f t="shared" ref="DV257:DV277" si="3245">IF(AP257="","","|n"&amp;DV$2&amp;"+"&amp;AP257&amp;DV$1)</f>
        <v/>
      </c>
      <c r="DW257" s="40" t="str">
        <f t="shared" ref="DW257:DW277" si="3246">IF(AQ257="","","|n"&amp;DW$2&amp;"+"&amp;AQ257&amp;DW$1)</f>
        <v/>
      </c>
      <c r="DX257" s="40" t="str">
        <f t="shared" ref="DX257:DX277" si="3247">IF(AR257="","","|n"&amp;DX$2&amp;"+"&amp;AR257&amp;DX$1)</f>
        <v/>
      </c>
      <c r="DY257" s="40" t="str">
        <f t="shared" ref="DY257:DY277" si="3248">IF(AS257="","","|n"&amp;DY$2&amp;"+"&amp;AS257&amp;DY$1)</f>
        <v/>
      </c>
      <c r="DZ257" s="40" t="str">
        <f t="shared" ref="DZ257:DZ277" si="3249">IF(AT257="","","|n"&amp;DZ$2&amp;"+"&amp;AT257&amp;DZ$1)</f>
        <v/>
      </c>
      <c r="EA257" s="40" t="str">
        <f t="shared" ref="EA257:EA277" si="3250">IF(AU257="","","|n"&amp;EA$2&amp;"+"&amp;AU257&amp;EA$1)</f>
        <v/>
      </c>
      <c r="EB257" s="40" t="str">
        <f t="shared" ref="EB257:EB277" si="3251">IF(AV257="","","|n"&amp;EB$2&amp;"+"&amp;AV257&amp;EB$1)</f>
        <v/>
      </c>
      <c r="EC257" s="40" t="str">
        <f t="shared" ref="EC257:EC277" si="3252">IF(AW257="","","|n"&amp;EC$2&amp;"+"&amp;AW257&amp;EC$1)</f>
        <v/>
      </c>
      <c r="ED257" s="40" t="str">
        <f t="shared" ref="ED257:ED277" si="3253">IF(AX257="","","|n"&amp;ED$2&amp;"+"&amp;AX257&amp;ED$1)</f>
        <v/>
      </c>
      <c r="EE257" s="40" t="str">
        <f t="shared" ref="EE257:EE277" si="3254">IF(AY257="","","|n"&amp;EE$2&amp;"+"&amp;AY257&amp;EE$1)</f>
        <v/>
      </c>
      <c r="EF257" s="40" t="str">
        <f t="shared" ref="EF257:EF277" si="3255">IF(AZ257="","","|n"&amp;EF$2&amp;"+"&amp;AZ257&amp;EF$1)</f>
        <v/>
      </c>
      <c r="EG257" s="40" t="str">
        <f t="shared" ref="EG257:EG277" si="3256">IF(BA257="","","|n"&amp;EG$2&amp;"+"&amp;BA257&amp;EG$1)</f>
        <v/>
      </c>
      <c r="EH257" s="40" t="str">
        <f t="shared" ref="EH257:EH277" si="3257">IF(BB257="","","|n"&amp;EH$2&amp;"+"&amp;BB257&amp;EH$1)</f>
        <v/>
      </c>
      <c r="EI257" s="40" t="str">
        <f t="shared" ref="EI257:EI277" si="3258">IF(BC257="","","|n"&amp;EI$2&amp;"+"&amp;BC257&amp;EI$1)</f>
        <v/>
      </c>
      <c r="EJ257" s="40" t="str">
        <f t="shared" ref="EJ257:EJ277" si="3259">IF(BD257="","","|n"&amp;EJ$2&amp;"+"&amp;BD257&amp;EJ$1)</f>
        <v/>
      </c>
      <c r="EK257" s="40" t="str">
        <f t="shared" ref="EK257:EK277" si="3260">IF(BE257="","","|n"&amp;EK$2&amp;"+"&amp;BE257&amp;EK$1)</f>
        <v/>
      </c>
      <c r="EL257" s="40" t="str">
        <f t="shared" ref="EL257:EL277" si="3261">IF(BF257="","","|n"&amp;EL$2&amp;"+"&amp;BF257&amp;EL$1)</f>
        <v/>
      </c>
      <c r="EM257" s="40" t="str">
        <f t="shared" ref="EM257:EM277" si="3262">IF(BG257="","","|n"&amp;EM$2&amp;"+"&amp;BG257&amp;EM$1)</f>
        <v/>
      </c>
      <c r="EN257" s="40" t="str">
        <f t="shared" ref="EN257:EN277" si="3263">IF(BH257="","","|n"&amp;EN$2&amp;"+"&amp;BH257&amp;EN$1)</f>
        <v/>
      </c>
      <c r="EO257" s="40" t="str">
        <f t="shared" ref="EO257:EO277" si="3264">IF(BI257="","","|n"&amp;EO$2&amp;"+"&amp;BI257&amp;EO$1)</f>
        <v/>
      </c>
      <c r="EP257" s="40" t="str">
        <f t="shared" ref="EP257:EP277" si="3265">IF(BJ257="","","|n"&amp;EP$2&amp;"+"&amp;BJ257&amp;EP$1)</f>
        <v/>
      </c>
      <c r="EQ257" s="40" t="str">
        <f t="shared" ref="EQ257:EQ277" si="3266">IF(BK257="","","|n"&amp;EQ$2&amp;"+"&amp;BK257&amp;EQ$1)</f>
        <v/>
      </c>
      <c r="ER257" s="40" t="str">
        <f t="shared" ref="ER257:ER277" si="3267">IF(BL257="","","|n"&amp;ER$2&amp;"+"&amp;BL257&amp;ER$1)</f>
        <v/>
      </c>
      <c r="ES257" s="40" t="str">
        <f t="shared" ref="ES257:ES277" si="3268">IF(BM257="","","|n"&amp;ES$2&amp;"+"&amp;BM257&amp;ES$1)</f>
        <v/>
      </c>
      <c r="ET257" s="40" t="str">
        <f t="shared" ref="ET257:ET277" si="3269">IF(BN257="","","|n"&amp;ET$2&amp;"+"&amp;BN257&amp;ET$1)</f>
        <v/>
      </c>
      <c r="EU257" s="40" t="str">
        <f t="shared" ref="EU257:EU277" si="3270">IF(BO257="","","|n"&amp;EU$2&amp;"+"&amp;BO257&amp;EU$1)</f>
        <v/>
      </c>
      <c r="EV257" s="40" t="str">
        <f t="shared" ref="EV257:EV277" si="3271">IF(BP257="","","|n"&amp;EV$2&amp;"+"&amp;BP257&amp;EV$1)</f>
        <v/>
      </c>
      <c r="EW257" s="40" t="str">
        <f t="shared" ref="EW257:EW277" si="3272">IF(BQ257="","","|n"&amp;EW$2&amp;"+"&amp;BQ257&amp;EW$1)</f>
        <v/>
      </c>
      <c r="EX257" s="40" t="str">
        <f t="shared" ref="EX257:EX277" si="3273">IF(BR257="","","|n"&amp;EX$2&amp;"+"&amp;BR257&amp;EX$1)</f>
        <v/>
      </c>
      <c r="EY257" s="40" t="str">
        <f t="shared" ref="EY257:EY277" si="3274">IF(BS257="","","|n"&amp;EY$2&amp;"+"&amp;BS257&amp;EY$1)</f>
        <v/>
      </c>
      <c r="EZ257" s="40" t="str">
        <f t="shared" ref="EZ257:EZ277" si="3275">IF(BT257="","","|n"&amp;EZ$2&amp;"+"&amp;BT257&amp;EZ$1)</f>
        <v/>
      </c>
      <c r="FA257" s="40" t="str">
        <f t="shared" ref="FA257:FA277" si="3276">IF(BU257="","","|n"&amp;FA$2&amp;"+"&amp;BU257&amp;FA$1)</f>
        <v/>
      </c>
      <c r="FB257" s="40" t="str">
        <f t="shared" ref="FB257:FB277" si="3277">IF(BV257="","","|n"&amp;FB$2&amp;"+"&amp;BV257&amp;FB$1)</f>
        <v/>
      </c>
      <c r="FC257" s="40" t="str">
        <f t="shared" ref="FC257:FC277" si="3278">IF(BW257="","","|n"&amp;FC$2&amp;"+"&amp;BW257&amp;FC$1)</f>
        <v/>
      </c>
      <c r="FD257" s="40" t="str">
        <f t="shared" ref="FD257:FD277" si="3279">IF(BX257="","","|n"&amp;FD$2&amp;"+"&amp;BX257&amp;FD$1)</f>
        <v/>
      </c>
      <c r="FE257" s="40" t="str">
        <f t="shared" ref="FE257:FE277" si="3280">IF(BY257="","","|n"&amp;FE$2&amp;"+"&amp;BY257&amp;FE$1)</f>
        <v/>
      </c>
      <c r="FF257" s="40" t="str">
        <f t="shared" ref="FF257:FF277" si="3281">IF(BZ257="","","|n"&amp;FF$2&amp;"+"&amp;BZ257&amp;FF$1)</f>
        <v/>
      </c>
      <c r="FG257" s="40" t="str">
        <f t="shared" ref="FG257:FG277" si="3282">IF(CA257="","","|n"&amp;FG$2&amp;"+"&amp;CA257&amp;FG$1)</f>
        <v/>
      </c>
      <c r="FH257" s="40" t="str">
        <f t="shared" ref="FH257:FH277" si="3283">IF(CB257="","","|n"&amp;FH$2&amp;"+"&amp;CB257&amp;FH$1)</f>
        <v/>
      </c>
      <c r="FI257" s="40" t="str">
        <f t="shared" ref="FI257:FI277" si="3284">IF(CC257="","","|n"&amp;FI$2&amp;"+"&amp;CC257&amp;FI$1)</f>
        <v/>
      </c>
      <c r="FJ257" s="40" t="str">
        <f t="shared" ref="FJ257:FJ277" si="3285">IF(CD257="","","|n"&amp;FJ$2&amp;"+"&amp;CD257&amp;FJ$1)</f>
        <v/>
      </c>
      <c r="FK257" s="40" t="str">
        <f t="shared" ref="FK257:FK277" si="3286">IF(CE257="","","|n"&amp;FK$2&amp;"+"&amp;CE257&amp;FK$1)</f>
        <v/>
      </c>
      <c r="FL257" s="40" t="str">
        <f t="shared" ref="FL257:FL277" si="3287">IF(CF257="","","|n"&amp;FL$2&amp;"+"&amp;CF257&amp;FL$1)</f>
        <v/>
      </c>
      <c r="FM257" s="40" t="str">
        <f t="shared" ref="FM257:FM277" si="3288">IF(CG257="","","|n"&amp;FM$2&amp;"+"&amp;CG257&amp;FM$1)</f>
        <v/>
      </c>
      <c r="FN257" s="40" t="str">
        <f t="shared" ref="FN257:FN277" si="3289">IF(CH257="","","|n"&amp;FN$2&amp;"+"&amp;CH257&amp;FN$1)</f>
        <v/>
      </c>
      <c r="FO257" s="40" t="str">
        <f t="shared" ref="FO257:FO277" si="3290">IF(CI257="","","|n"&amp;FO$2&amp;"+"&amp;CI257&amp;FO$1)</f>
        <v/>
      </c>
      <c r="FP257" s="40" t="str">
        <f t="shared" ref="FP257:FP277" si="3291">IF(CJ257="","","|n"&amp;FP$2&amp;"+"&amp;CJ257&amp;FP$1)</f>
        <v/>
      </c>
      <c r="FQ257" s="40" t="str">
        <f t="shared" ref="FQ257:FQ277" si="3292">IF(CK257="","","|n"&amp;FQ$2&amp;"+"&amp;CK257&amp;FQ$1)</f>
        <v/>
      </c>
      <c r="FR257" s="40" t="str">
        <f t="shared" ref="FR257:FR277" si="3293">IF(CL257="","","|n"&amp;FR$2&amp;"+"&amp;CL257&amp;FR$1)</f>
        <v/>
      </c>
      <c r="FS257" s="40" t="str">
        <f t="shared" ref="FS257:FS277" si="3294">IF(CM257="","","|n"&amp;FS$2&amp;"+"&amp;CM257&amp;FS$1)</f>
        <v/>
      </c>
    </row>
    <row r="258" spans="92:175">
      <c r="CN258" s="10" t="str">
        <f t="shared" si="3219"/>
        <v>InitUnitState('',,,,,,,,,,)</v>
      </c>
      <c r="CO258" s="10" t="str">
        <f t="shared" si="3220"/>
        <v>InitUnitNormal('',,,,,,,,,,)</v>
      </c>
      <c r="CP258" s="10" t="str">
        <f t="shared" si="3221"/>
        <v>InitUnitMagic('',,,,,,,,,,)</v>
      </c>
      <c r="CQ258" s="10" t="str">
        <f t="shared" si="3222"/>
        <v>InitUnitAdd('',,,,,,,,,,)</v>
      </c>
      <c r="CR258" s="10" t="str">
        <f t="shared" si="3223"/>
        <v>InitEquipData('',,"",,,,,'','','','','','',"")</v>
      </c>
      <c r="CU258" s="3" t="str">
        <f t="shared" si="3224"/>
        <v>|n</v>
      </c>
      <c r="CW258" s="4"/>
      <c r="CX258" s="4"/>
      <c r="CY258" s="4"/>
      <c r="CZ258" s="4"/>
      <c r="DA258" s="4"/>
      <c r="DB258" s="40" t="str">
        <f t="shared" si="3225"/>
        <v/>
      </c>
      <c r="DC258" s="40" t="str">
        <f t="shared" si="3226"/>
        <v/>
      </c>
      <c r="DD258" s="40" t="str">
        <f t="shared" si="3227"/>
        <v/>
      </c>
      <c r="DE258" s="40" t="str">
        <f t="shared" si="3228"/>
        <v/>
      </c>
      <c r="DF258" s="40" t="str">
        <f t="shared" si="3229"/>
        <v/>
      </c>
      <c r="DG258" s="40" t="str">
        <f t="shared" si="3230"/>
        <v/>
      </c>
      <c r="DH258" s="40" t="str">
        <f t="shared" si="3231"/>
        <v/>
      </c>
      <c r="DI258" s="40" t="str">
        <f t="shared" si="3232"/>
        <v/>
      </c>
      <c r="DJ258" s="40" t="str">
        <f t="shared" si="3233"/>
        <v/>
      </c>
      <c r="DK258" s="40" t="str">
        <f t="shared" si="3234"/>
        <v/>
      </c>
      <c r="DL258" s="40" t="str">
        <f t="shared" si="3235"/>
        <v/>
      </c>
      <c r="DM258" s="40" t="str">
        <f t="shared" si="3236"/>
        <v/>
      </c>
      <c r="DN258" s="40" t="str">
        <f t="shared" si="3237"/>
        <v/>
      </c>
      <c r="DO258" s="40" t="str">
        <f t="shared" si="3238"/>
        <v/>
      </c>
      <c r="DP258" s="40" t="str">
        <f t="shared" si="3239"/>
        <v/>
      </c>
      <c r="DQ258" s="40" t="str">
        <f t="shared" si="3240"/>
        <v/>
      </c>
      <c r="DR258" s="40" t="str">
        <f t="shared" si="3241"/>
        <v/>
      </c>
      <c r="DS258" s="40" t="str">
        <f t="shared" si="3242"/>
        <v/>
      </c>
      <c r="DT258" s="40" t="str">
        <f t="shared" si="3243"/>
        <v/>
      </c>
      <c r="DU258" s="40" t="str">
        <f t="shared" si="3244"/>
        <v/>
      </c>
      <c r="DV258" s="40" t="str">
        <f t="shared" si="3245"/>
        <v/>
      </c>
      <c r="DW258" s="40" t="str">
        <f t="shared" si="3246"/>
        <v/>
      </c>
      <c r="DX258" s="40" t="str">
        <f t="shared" si="3247"/>
        <v/>
      </c>
      <c r="DY258" s="40" t="str">
        <f t="shared" si="3248"/>
        <v/>
      </c>
      <c r="DZ258" s="40" t="str">
        <f t="shared" si="3249"/>
        <v/>
      </c>
      <c r="EA258" s="40" t="str">
        <f t="shared" si="3250"/>
        <v/>
      </c>
      <c r="EB258" s="40" t="str">
        <f t="shared" si="3251"/>
        <v/>
      </c>
      <c r="EC258" s="40" t="str">
        <f t="shared" si="3252"/>
        <v/>
      </c>
      <c r="ED258" s="40" t="str">
        <f t="shared" si="3253"/>
        <v/>
      </c>
      <c r="EE258" s="40" t="str">
        <f t="shared" si="3254"/>
        <v/>
      </c>
      <c r="EF258" s="40" t="str">
        <f t="shared" si="3255"/>
        <v/>
      </c>
      <c r="EG258" s="40" t="str">
        <f t="shared" si="3256"/>
        <v/>
      </c>
      <c r="EH258" s="40" t="str">
        <f t="shared" si="3257"/>
        <v/>
      </c>
      <c r="EI258" s="40" t="str">
        <f t="shared" si="3258"/>
        <v/>
      </c>
      <c r="EJ258" s="40" t="str">
        <f t="shared" si="3259"/>
        <v/>
      </c>
      <c r="EK258" s="40" t="str">
        <f t="shared" si="3260"/>
        <v/>
      </c>
      <c r="EL258" s="40" t="str">
        <f t="shared" si="3261"/>
        <v/>
      </c>
      <c r="EM258" s="40" t="str">
        <f t="shared" si="3262"/>
        <v/>
      </c>
      <c r="EN258" s="40" t="str">
        <f t="shared" si="3263"/>
        <v/>
      </c>
      <c r="EO258" s="40" t="str">
        <f t="shared" si="3264"/>
        <v/>
      </c>
      <c r="EP258" s="40" t="str">
        <f t="shared" si="3265"/>
        <v/>
      </c>
      <c r="EQ258" s="40" t="str">
        <f t="shared" si="3266"/>
        <v/>
      </c>
      <c r="ER258" s="40" t="str">
        <f t="shared" si="3267"/>
        <v/>
      </c>
      <c r="ES258" s="40" t="str">
        <f t="shared" si="3268"/>
        <v/>
      </c>
      <c r="ET258" s="40" t="str">
        <f t="shared" si="3269"/>
        <v/>
      </c>
      <c r="EU258" s="40" t="str">
        <f t="shared" si="3270"/>
        <v/>
      </c>
      <c r="EV258" s="40" t="str">
        <f t="shared" si="3271"/>
        <v/>
      </c>
      <c r="EW258" s="40" t="str">
        <f t="shared" si="3272"/>
        <v/>
      </c>
      <c r="EX258" s="40" t="str">
        <f t="shared" si="3273"/>
        <v/>
      </c>
      <c r="EY258" s="40" t="str">
        <f t="shared" si="3274"/>
        <v/>
      </c>
      <c r="EZ258" s="40" t="str">
        <f t="shared" si="3275"/>
        <v/>
      </c>
      <c r="FA258" s="40" t="str">
        <f t="shared" si="3276"/>
        <v/>
      </c>
      <c r="FB258" s="40" t="str">
        <f t="shared" si="3277"/>
        <v/>
      </c>
      <c r="FC258" s="40" t="str">
        <f t="shared" si="3278"/>
        <v/>
      </c>
      <c r="FD258" s="40" t="str">
        <f t="shared" si="3279"/>
        <v/>
      </c>
      <c r="FE258" s="40" t="str">
        <f t="shared" si="3280"/>
        <v/>
      </c>
      <c r="FF258" s="40" t="str">
        <f t="shared" si="3281"/>
        <v/>
      </c>
      <c r="FG258" s="40" t="str">
        <f t="shared" si="3282"/>
        <v/>
      </c>
      <c r="FH258" s="40" t="str">
        <f t="shared" si="3283"/>
        <v/>
      </c>
      <c r="FI258" s="40" t="str">
        <f t="shared" si="3284"/>
        <v/>
      </c>
      <c r="FJ258" s="40" t="str">
        <f t="shared" si="3285"/>
        <v/>
      </c>
      <c r="FK258" s="40" t="str">
        <f t="shared" si="3286"/>
        <v/>
      </c>
      <c r="FL258" s="40" t="str">
        <f t="shared" si="3287"/>
        <v/>
      </c>
      <c r="FM258" s="40" t="str">
        <f t="shared" si="3288"/>
        <v/>
      </c>
      <c r="FN258" s="40" t="str">
        <f t="shared" si="3289"/>
        <v/>
      </c>
      <c r="FO258" s="40" t="str">
        <f t="shared" si="3290"/>
        <v/>
      </c>
      <c r="FP258" s="40" t="str">
        <f t="shared" si="3291"/>
        <v/>
      </c>
      <c r="FQ258" s="40" t="str">
        <f t="shared" si="3292"/>
        <v/>
      </c>
      <c r="FR258" s="40" t="str">
        <f t="shared" si="3293"/>
        <v/>
      </c>
      <c r="FS258" s="40" t="str">
        <f t="shared" si="3294"/>
        <v/>
      </c>
    </row>
    <row r="259" spans="92:175">
      <c r="CN259" s="10" t="str">
        <f t="shared" si="3219"/>
        <v>InitUnitState('',,,,,,,,,,)</v>
      </c>
      <c r="CO259" s="10" t="str">
        <f t="shared" si="3220"/>
        <v>InitUnitNormal('',,,,,,,,,,)</v>
      </c>
      <c r="CP259" s="10" t="str">
        <f t="shared" si="3221"/>
        <v>InitUnitMagic('',,,,,,,,,,)</v>
      </c>
      <c r="CQ259" s="10" t="str">
        <f t="shared" si="3222"/>
        <v>InitUnitAdd('',,,,,,,,,,)</v>
      </c>
      <c r="CR259" s="10" t="str">
        <f t="shared" si="3223"/>
        <v>InitEquipData('',,"",,,,,'','','','','','',"")</v>
      </c>
      <c r="CU259" s="3" t="str">
        <f t="shared" si="3224"/>
        <v>|n</v>
      </c>
      <c r="CW259" s="4"/>
      <c r="CX259" s="4"/>
      <c r="CY259" s="4"/>
      <c r="CZ259" s="4"/>
      <c r="DA259" s="4"/>
      <c r="DB259" s="40" t="str">
        <f t="shared" si="3225"/>
        <v/>
      </c>
      <c r="DC259" s="40" t="str">
        <f t="shared" si="3226"/>
        <v/>
      </c>
      <c r="DD259" s="40" t="str">
        <f t="shared" si="3227"/>
        <v/>
      </c>
      <c r="DE259" s="40" t="str">
        <f t="shared" si="3228"/>
        <v/>
      </c>
      <c r="DF259" s="40" t="str">
        <f t="shared" si="3229"/>
        <v/>
      </c>
      <c r="DG259" s="40" t="str">
        <f t="shared" si="3230"/>
        <v/>
      </c>
      <c r="DH259" s="40" t="str">
        <f t="shared" si="3231"/>
        <v/>
      </c>
      <c r="DI259" s="40" t="str">
        <f t="shared" si="3232"/>
        <v/>
      </c>
      <c r="DJ259" s="40" t="str">
        <f t="shared" si="3233"/>
        <v/>
      </c>
      <c r="DK259" s="40" t="str">
        <f t="shared" si="3234"/>
        <v/>
      </c>
      <c r="DL259" s="40" t="str">
        <f t="shared" si="3235"/>
        <v/>
      </c>
      <c r="DM259" s="40" t="str">
        <f t="shared" si="3236"/>
        <v/>
      </c>
      <c r="DN259" s="40" t="str">
        <f t="shared" si="3237"/>
        <v/>
      </c>
      <c r="DO259" s="40" t="str">
        <f t="shared" si="3238"/>
        <v/>
      </c>
      <c r="DP259" s="40" t="str">
        <f t="shared" si="3239"/>
        <v/>
      </c>
      <c r="DQ259" s="40" t="str">
        <f t="shared" si="3240"/>
        <v/>
      </c>
      <c r="DR259" s="40" t="str">
        <f t="shared" si="3241"/>
        <v/>
      </c>
      <c r="DS259" s="40" t="str">
        <f t="shared" si="3242"/>
        <v/>
      </c>
      <c r="DT259" s="40" t="str">
        <f t="shared" si="3243"/>
        <v/>
      </c>
      <c r="DU259" s="40" t="str">
        <f t="shared" si="3244"/>
        <v/>
      </c>
      <c r="DV259" s="40" t="str">
        <f t="shared" si="3245"/>
        <v/>
      </c>
      <c r="DW259" s="40" t="str">
        <f t="shared" si="3246"/>
        <v/>
      </c>
      <c r="DX259" s="40" t="str">
        <f t="shared" si="3247"/>
        <v/>
      </c>
      <c r="DY259" s="40" t="str">
        <f t="shared" si="3248"/>
        <v/>
      </c>
      <c r="DZ259" s="40" t="str">
        <f t="shared" si="3249"/>
        <v/>
      </c>
      <c r="EA259" s="40" t="str">
        <f t="shared" si="3250"/>
        <v/>
      </c>
      <c r="EB259" s="40" t="str">
        <f t="shared" si="3251"/>
        <v/>
      </c>
      <c r="EC259" s="40" t="str">
        <f t="shared" si="3252"/>
        <v/>
      </c>
      <c r="ED259" s="40" t="str">
        <f t="shared" si="3253"/>
        <v/>
      </c>
      <c r="EE259" s="40" t="str">
        <f t="shared" si="3254"/>
        <v/>
      </c>
      <c r="EF259" s="40" t="str">
        <f t="shared" si="3255"/>
        <v/>
      </c>
      <c r="EG259" s="40" t="str">
        <f t="shared" si="3256"/>
        <v/>
      </c>
      <c r="EH259" s="40" t="str">
        <f t="shared" si="3257"/>
        <v/>
      </c>
      <c r="EI259" s="40" t="str">
        <f t="shared" si="3258"/>
        <v/>
      </c>
      <c r="EJ259" s="40" t="str">
        <f t="shared" si="3259"/>
        <v/>
      </c>
      <c r="EK259" s="40" t="str">
        <f t="shared" si="3260"/>
        <v/>
      </c>
      <c r="EL259" s="40" t="str">
        <f t="shared" si="3261"/>
        <v/>
      </c>
      <c r="EM259" s="40" t="str">
        <f t="shared" si="3262"/>
        <v/>
      </c>
      <c r="EN259" s="40" t="str">
        <f t="shared" si="3263"/>
        <v/>
      </c>
      <c r="EO259" s="40" t="str">
        <f t="shared" si="3264"/>
        <v/>
      </c>
      <c r="EP259" s="40" t="str">
        <f t="shared" si="3265"/>
        <v/>
      </c>
      <c r="EQ259" s="40" t="str">
        <f t="shared" si="3266"/>
        <v/>
      </c>
      <c r="ER259" s="40" t="str">
        <f t="shared" si="3267"/>
        <v/>
      </c>
      <c r="ES259" s="40" t="str">
        <f t="shared" si="3268"/>
        <v/>
      </c>
      <c r="ET259" s="40" t="str">
        <f t="shared" si="3269"/>
        <v/>
      </c>
      <c r="EU259" s="40" t="str">
        <f t="shared" si="3270"/>
        <v/>
      </c>
      <c r="EV259" s="40" t="str">
        <f t="shared" si="3271"/>
        <v/>
      </c>
      <c r="EW259" s="40" t="str">
        <f t="shared" si="3272"/>
        <v/>
      </c>
      <c r="EX259" s="40" t="str">
        <f t="shared" si="3273"/>
        <v/>
      </c>
      <c r="EY259" s="40" t="str">
        <f t="shared" si="3274"/>
        <v/>
      </c>
      <c r="EZ259" s="40" t="str">
        <f t="shared" si="3275"/>
        <v/>
      </c>
      <c r="FA259" s="40" t="str">
        <f t="shared" si="3276"/>
        <v/>
      </c>
      <c r="FB259" s="40" t="str">
        <f t="shared" si="3277"/>
        <v/>
      </c>
      <c r="FC259" s="40" t="str">
        <f t="shared" si="3278"/>
        <v/>
      </c>
      <c r="FD259" s="40" t="str">
        <f t="shared" si="3279"/>
        <v/>
      </c>
      <c r="FE259" s="40" t="str">
        <f t="shared" si="3280"/>
        <v/>
      </c>
      <c r="FF259" s="40" t="str">
        <f t="shared" si="3281"/>
        <v/>
      </c>
      <c r="FG259" s="40" t="str">
        <f t="shared" si="3282"/>
        <v/>
      </c>
      <c r="FH259" s="40" t="str">
        <f t="shared" si="3283"/>
        <v/>
      </c>
      <c r="FI259" s="40" t="str">
        <f t="shared" si="3284"/>
        <v/>
      </c>
      <c r="FJ259" s="40" t="str">
        <f t="shared" si="3285"/>
        <v/>
      </c>
      <c r="FK259" s="40" t="str">
        <f t="shared" si="3286"/>
        <v/>
      </c>
      <c r="FL259" s="40" t="str">
        <f t="shared" si="3287"/>
        <v/>
      </c>
      <c r="FM259" s="40" t="str">
        <f t="shared" si="3288"/>
        <v/>
      </c>
      <c r="FN259" s="40" t="str">
        <f t="shared" si="3289"/>
        <v/>
      </c>
      <c r="FO259" s="40" t="str">
        <f t="shared" si="3290"/>
        <v/>
      </c>
      <c r="FP259" s="40" t="str">
        <f t="shared" si="3291"/>
        <v/>
      </c>
      <c r="FQ259" s="40" t="str">
        <f t="shared" si="3292"/>
        <v/>
      </c>
      <c r="FR259" s="40" t="str">
        <f t="shared" si="3293"/>
        <v/>
      </c>
      <c r="FS259" s="40" t="str">
        <f t="shared" si="3294"/>
        <v/>
      </c>
    </row>
    <row r="260" spans="92:175">
      <c r="CN260" s="10" t="str">
        <f t="shared" si="3219"/>
        <v>InitUnitState('',,,,,,,,,,)</v>
      </c>
      <c r="CO260" s="10" t="str">
        <f t="shared" si="3220"/>
        <v>InitUnitNormal('',,,,,,,,,,)</v>
      </c>
      <c r="CP260" s="10" t="str">
        <f t="shared" si="3221"/>
        <v>InitUnitMagic('',,,,,,,,,,)</v>
      </c>
      <c r="CQ260" s="10" t="str">
        <f t="shared" si="3222"/>
        <v>InitUnitAdd('',,,,,,,,,,)</v>
      </c>
      <c r="CR260" s="10" t="str">
        <f t="shared" si="3223"/>
        <v>InitEquipData('',,"",,,,,'','','','','','',"")</v>
      </c>
      <c r="CU260" s="3" t="str">
        <f t="shared" si="3224"/>
        <v>|n</v>
      </c>
      <c r="CW260" s="4"/>
      <c r="CX260" s="4"/>
      <c r="CY260" s="4"/>
      <c r="CZ260" s="4"/>
      <c r="DA260" s="4"/>
      <c r="DB260" s="40" t="str">
        <f t="shared" si="3225"/>
        <v/>
      </c>
      <c r="DC260" s="40" t="str">
        <f t="shared" si="3226"/>
        <v/>
      </c>
      <c r="DD260" s="40" t="str">
        <f t="shared" si="3227"/>
        <v/>
      </c>
      <c r="DE260" s="40" t="str">
        <f t="shared" si="3228"/>
        <v/>
      </c>
      <c r="DF260" s="40" t="str">
        <f t="shared" si="3229"/>
        <v/>
      </c>
      <c r="DG260" s="40" t="str">
        <f t="shared" si="3230"/>
        <v/>
      </c>
      <c r="DH260" s="40" t="str">
        <f t="shared" si="3231"/>
        <v/>
      </c>
      <c r="DI260" s="40" t="str">
        <f t="shared" si="3232"/>
        <v/>
      </c>
      <c r="DJ260" s="40" t="str">
        <f t="shared" si="3233"/>
        <v/>
      </c>
      <c r="DK260" s="40" t="str">
        <f t="shared" si="3234"/>
        <v/>
      </c>
      <c r="DL260" s="40" t="str">
        <f t="shared" si="3235"/>
        <v/>
      </c>
      <c r="DM260" s="40" t="str">
        <f t="shared" si="3236"/>
        <v/>
      </c>
      <c r="DN260" s="40" t="str">
        <f t="shared" si="3237"/>
        <v/>
      </c>
      <c r="DO260" s="40" t="str">
        <f t="shared" si="3238"/>
        <v/>
      </c>
      <c r="DP260" s="40" t="str">
        <f t="shared" si="3239"/>
        <v/>
      </c>
      <c r="DQ260" s="40" t="str">
        <f t="shared" si="3240"/>
        <v/>
      </c>
      <c r="DR260" s="40" t="str">
        <f t="shared" si="3241"/>
        <v/>
      </c>
      <c r="DS260" s="40" t="str">
        <f t="shared" si="3242"/>
        <v/>
      </c>
      <c r="DT260" s="40" t="str">
        <f t="shared" si="3243"/>
        <v/>
      </c>
      <c r="DU260" s="40" t="str">
        <f t="shared" si="3244"/>
        <v/>
      </c>
      <c r="DV260" s="40" t="str">
        <f t="shared" si="3245"/>
        <v/>
      </c>
      <c r="DW260" s="40" t="str">
        <f t="shared" si="3246"/>
        <v/>
      </c>
      <c r="DX260" s="40" t="str">
        <f t="shared" si="3247"/>
        <v/>
      </c>
      <c r="DY260" s="40" t="str">
        <f t="shared" si="3248"/>
        <v/>
      </c>
      <c r="DZ260" s="40" t="str">
        <f t="shared" si="3249"/>
        <v/>
      </c>
      <c r="EA260" s="40" t="str">
        <f t="shared" si="3250"/>
        <v/>
      </c>
      <c r="EB260" s="40" t="str">
        <f t="shared" si="3251"/>
        <v/>
      </c>
      <c r="EC260" s="40" t="str">
        <f t="shared" si="3252"/>
        <v/>
      </c>
      <c r="ED260" s="40" t="str">
        <f t="shared" si="3253"/>
        <v/>
      </c>
      <c r="EE260" s="40" t="str">
        <f t="shared" si="3254"/>
        <v/>
      </c>
      <c r="EF260" s="40" t="str">
        <f t="shared" si="3255"/>
        <v/>
      </c>
      <c r="EG260" s="40" t="str">
        <f t="shared" si="3256"/>
        <v/>
      </c>
      <c r="EH260" s="40" t="str">
        <f t="shared" si="3257"/>
        <v/>
      </c>
      <c r="EI260" s="40" t="str">
        <f t="shared" si="3258"/>
        <v/>
      </c>
      <c r="EJ260" s="40" t="str">
        <f t="shared" si="3259"/>
        <v/>
      </c>
      <c r="EK260" s="40" t="str">
        <f t="shared" si="3260"/>
        <v/>
      </c>
      <c r="EL260" s="40" t="str">
        <f t="shared" si="3261"/>
        <v/>
      </c>
      <c r="EM260" s="40" t="str">
        <f t="shared" si="3262"/>
        <v/>
      </c>
      <c r="EN260" s="40" t="str">
        <f t="shared" si="3263"/>
        <v/>
      </c>
      <c r="EO260" s="40" t="str">
        <f t="shared" si="3264"/>
        <v/>
      </c>
      <c r="EP260" s="40" t="str">
        <f t="shared" si="3265"/>
        <v/>
      </c>
      <c r="EQ260" s="40" t="str">
        <f t="shared" si="3266"/>
        <v/>
      </c>
      <c r="ER260" s="40" t="str">
        <f t="shared" si="3267"/>
        <v/>
      </c>
      <c r="ES260" s="40" t="str">
        <f t="shared" si="3268"/>
        <v/>
      </c>
      <c r="ET260" s="40" t="str">
        <f t="shared" si="3269"/>
        <v/>
      </c>
      <c r="EU260" s="40" t="str">
        <f t="shared" si="3270"/>
        <v/>
      </c>
      <c r="EV260" s="40" t="str">
        <f t="shared" si="3271"/>
        <v/>
      </c>
      <c r="EW260" s="40" t="str">
        <f t="shared" si="3272"/>
        <v/>
      </c>
      <c r="EX260" s="40" t="str">
        <f t="shared" si="3273"/>
        <v/>
      </c>
      <c r="EY260" s="40" t="str">
        <f t="shared" si="3274"/>
        <v/>
      </c>
      <c r="EZ260" s="40" t="str">
        <f t="shared" si="3275"/>
        <v/>
      </c>
      <c r="FA260" s="40" t="str">
        <f t="shared" si="3276"/>
        <v/>
      </c>
      <c r="FB260" s="40" t="str">
        <f t="shared" si="3277"/>
        <v/>
      </c>
      <c r="FC260" s="40" t="str">
        <f t="shared" si="3278"/>
        <v/>
      </c>
      <c r="FD260" s="40" t="str">
        <f t="shared" si="3279"/>
        <v/>
      </c>
      <c r="FE260" s="40" t="str">
        <f t="shared" si="3280"/>
        <v/>
      </c>
      <c r="FF260" s="40" t="str">
        <f t="shared" si="3281"/>
        <v/>
      </c>
      <c r="FG260" s="40" t="str">
        <f t="shared" si="3282"/>
        <v/>
      </c>
      <c r="FH260" s="40" t="str">
        <f t="shared" si="3283"/>
        <v/>
      </c>
      <c r="FI260" s="40" t="str">
        <f t="shared" si="3284"/>
        <v/>
      </c>
      <c r="FJ260" s="40" t="str">
        <f t="shared" si="3285"/>
        <v/>
      </c>
      <c r="FK260" s="40" t="str">
        <f t="shared" si="3286"/>
        <v/>
      </c>
      <c r="FL260" s="40" t="str">
        <f t="shared" si="3287"/>
        <v/>
      </c>
      <c r="FM260" s="40" t="str">
        <f t="shared" si="3288"/>
        <v/>
      </c>
      <c r="FN260" s="40" t="str">
        <f t="shared" si="3289"/>
        <v/>
      </c>
      <c r="FO260" s="40" t="str">
        <f t="shared" si="3290"/>
        <v/>
      </c>
      <c r="FP260" s="40" t="str">
        <f t="shared" si="3291"/>
        <v/>
      </c>
      <c r="FQ260" s="40" t="str">
        <f t="shared" si="3292"/>
        <v/>
      </c>
      <c r="FR260" s="40" t="str">
        <f t="shared" si="3293"/>
        <v/>
      </c>
      <c r="FS260" s="40" t="str">
        <f t="shared" si="3294"/>
        <v/>
      </c>
    </row>
    <row r="261" spans="92:175">
      <c r="CN261" s="10" t="str">
        <f t="shared" si="3219"/>
        <v>InitUnitState('',,,,,,,,,,)</v>
      </c>
      <c r="CO261" s="10" t="str">
        <f t="shared" si="3220"/>
        <v>InitUnitNormal('',,,,,,,,,,)</v>
      </c>
      <c r="CP261" s="10" t="str">
        <f t="shared" si="3221"/>
        <v>InitUnitMagic('',,,,,,,,,,)</v>
      </c>
      <c r="CQ261" s="10" t="str">
        <f t="shared" si="3222"/>
        <v>InitUnitAdd('',,,,,,,,,,)</v>
      </c>
      <c r="CR261" s="10" t="str">
        <f t="shared" si="3223"/>
        <v>InitEquipData('',,"",,,,,'','','','','','',"")</v>
      </c>
      <c r="CU261" s="3" t="str">
        <f t="shared" si="3224"/>
        <v>|n</v>
      </c>
      <c r="CW261" s="4"/>
      <c r="CX261" s="4"/>
      <c r="CY261" s="4"/>
      <c r="CZ261" s="4"/>
      <c r="DA261" s="4"/>
      <c r="DB261" s="40" t="str">
        <f t="shared" si="3225"/>
        <v/>
      </c>
      <c r="DC261" s="40" t="str">
        <f t="shared" si="3226"/>
        <v/>
      </c>
      <c r="DD261" s="40" t="str">
        <f t="shared" si="3227"/>
        <v/>
      </c>
      <c r="DE261" s="40" t="str">
        <f t="shared" si="3228"/>
        <v/>
      </c>
      <c r="DF261" s="40" t="str">
        <f t="shared" si="3229"/>
        <v/>
      </c>
      <c r="DG261" s="40" t="str">
        <f t="shared" si="3230"/>
        <v/>
      </c>
      <c r="DH261" s="40" t="str">
        <f t="shared" si="3231"/>
        <v/>
      </c>
      <c r="DI261" s="40" t="str">
        <f t="shared" si="3232"/>
        <v/>
      </c>
      <c r="DJ261" s="40" t="str">
        <f t="shared" si="3233"/>
        <v/>
      </c>
      <c r="DK261" s="40" t="str">
        <f t="shared" si="3234"/>
        <v/>
      </c>
      <c r="DL261" s="40" t="str">
        <f t="shared" si="3235"/>
        <v/>
      </c>
      <c r="DM261" s="40" t="str">
        <f t="shared" si="3236"/>
        <v/>
      </c>
      <c r="DN261" s="40" t="str">
        <f t="shared" si="3237"/>
        <v/>
      </c>
      <c r="DO261" s="40" t="str">
        <f t="shared" si="3238"/>
        <v/>
      </c>
      <c r="DP261" s="40" t="str">
        <f t="shared" si="3239"/>
        <v/>
      </c>
      <c r="DQ261" s="40" t="str">
        <f t="shared" si="3240"/>
        <v/>
      </c>
      <c r="DR261" s="40" t="str">
        <f t="shared" si="3241"/>
        <v/>
      </c>
      <c r="DS261" s="40" t="str">
        <f t="shared" si="3242"/>
        <v/>
      </c>
      <c r="DT261" s="40" t="str">
        <f t="shared" si="3243"/>
        <v/>
      </c>
      <c r="DU261" s="40" t="str">
        <f t="shared" si="3244"/>
        <v/>
      </c>
      <c r="DV261" s="40" t="str">
        <f t="shared" si="3245"/>
        <v/>
      </c>
      <c r="DW261" s="40" t="str">
        <f t="shared" si="3246"/>
        <v/>
      </c>
      <c r="DX261" s="40" t="str">
        <f t="shared" si="3247"/>
        <v/>
      </c>
      <c r="DY261" s="40" t="str">
        <f t="shared" si="3248"/>
        <v/>
      </c>
      <c r="DZ261" s="40" t="str">
        <f t="shared" si="3249"/>
        <v/>
      </c>
      <c r="EA261" s="40" t="str">
        <f t="shared" si="3250"/>
        <v/>
      </c>
      <c r="EB261" s="40" t="str">
        <f t="shared" si="3251"/>
        <v/>
      </c>
      <c r="EC261" s="40" t="str">
        <f t="shared" si="3252"/>
        <v/>
      </c>
      <c r="ED261" s="40" t="str">
        <f t="shared" si="3253"/>
        <v/>
      </c>
      <c r="EE261" s="40" t="str">
        <f t="shared" si="3254"/>
        <v/>
      </c>
      <c r="EF261" s="40" t="str">
        <f t="shared" si="3255"/>
        <v/>
      </c>
      <c r="EG261" s="40" t="str">
        <f t="shared" si="3256"/>
        <v/>
      </c>
      <c r="EH261" s="40" t="str">
        <f t="shared" si="3257"/>
        <v/>
      </c>
      <c r="EI261" s="40" t="str">
        <f t="shared" si="3258"/>
        <v/>
      </c>
      <c r="EJ261" s="40" t="str">
        <f t="shared" si="3259"/>
        <v/>
      </c>
      <c r="EK261" s="40" t="str">
        <f t="shared" si="3260"/>
        <v/>
      </c>
      <c r="EL261" s="40" t="str">
        <f t="shared" si="3261"/>
        <v/>
      </c>
      <c r="EM261" s="40" t="str">
        <f t="shared" si="3262"/>
        <v/>
      </c>
      <c r="EN261" s="40" t="str">
        <f t="shared" si="3263"/>
        <v/>
      </c>
      <c r="EO261" s="40" t="str">
        <f t="shared" si="3264"/>
        <v/>
      </c>
      <c r="EP261" s="40" t="str">
        <f t="shared" si="3265"/>
        <v/>
      </c>
      <c r="EQ261" s="40" t="str">
        <f t="shared" si="3266"/>
        <v/>
      </c>
      <c r="ER261" s="40" t="str">
        <f t="shared" si="3267"/>
        <v/>
      </c>
      <c r="ES261" s="40" t="str">
        <f t="shared" si="3268"/>
        <v/>
      </c>
      <c r="ET261" s="40" t="str">
        <f t="shared" si="3269"/>
        <v/>
      </c>
      <c r="EU261" s="40" t="str">
        <f t="shared" si="3270"/>
        <v/>
      </c>
      <c r="EV261" s="40" t="str">
        <f t="shared" si="3271"/>
        <v/>
      </c>
      <c r="EW261" s="40" t="str">
        <f t="shared" si="3272"/>
        <v/>
      </c>
      <c r="EX261" s="40" t="str">
        <f t="shared" si="3273"/>
        <v/>
      </c>
      <c r="EY261" s="40" t="str">
        <f t="shared" si="3274"/>
        <v/>
      </c>
      <c r="EZ261" s="40" t="str">
        <f t="shared" si="3275"/>
        <v/>
      </c>
      <c r="FA261" s="40" t="str">
        <f t="shared" si="3276"/>
        <v/>
      </c>
      <c r="FB261" s="40" t="str">
        <f t="shared" si="3277"/>
        <v/>
      </c>
      <c r="FC261" s="40" t="str">
        <f t="shared" si="3278"/>
        <v/>
      </c>
      <c r="FD261" s="40" t="str">
        <f t="shared" si="3279"/>
        <v/>
      </c>
      <c r="FE261" s="40" t="str">
        <f t="shared" si="3280"/>
        <v/>
      </c>
      <c r="FF261" s="40" t="str">
        <f t="shared" si="3281"/>
        <v/>
      </c>
      <c r="FG261" s="40" t="str">
        <f t="shared" si="3282"/>
        <v/>
      </c>
      <c r="FH261" s="40" t="str">
        <f t="shared" si="3283"/>
        <v/>
      </c>
      <c r="FI261" s="40" t="str">
        <f t="shared" si="3284"/>
        <v/>
      </c>
      <c r="FJ261" s="40" t="str">
        <f t="shared" si="3285"/>
        <v/>
      </c>
      <c r="FK261" s="40" t="str">
        <f t="shared" si="3286"/>
        <v/>
      </c>
      <c r="FL261" s="40" t="str">
        <f t="shared" si="3287"/>
        <v/>
      </c>
      <c r="FM261" s="40" t="str">
        <f t="shared" si="3288"/>
        <v/>
      </c>
      <c r="FN261" s="40" t="str">
        <f t="shared" si="3289"/>
        <v/>
      </c>
      <c r="FO261" s="40" t="str">
        <f t="shared" si="3290"/>
        <v/>
      </c>
      <c r="FP261" s="40" t="str">
        <f t="shared" si="3291"/>
        <v/>
      </c>
      <c r="FQ261" s="40" t="str">
        <f t="shared" si="3292"/>
        <v/>
      </c>
      <c r="FR261" s="40" t="str">
        <f t="shared" si="3293"/>
        <v/>
      </c>
      <c r="FS261" s="40" t="str">
        <f t="shared" si="3294"/>
        <v/>
      </c>
    </row>
    <row r="262" spans="92:175">
      <c r="CN262" s="10" t="str">
        <f t="shared" si="3219"/>
        <v>InitUnitState('',,,,,,,,,,)</v>
      </c>
      <c r="CO262" s="10" t="str">
        <f t="shared" si="3220"/>
        <v>InitUnitNormal('',,,,,,,,,,)</v>
      </c>
      <c r="CP262" s="10" t="str">
        <f t="shared" si="3221"/>
        <v>InitUnitMagic('',,,,,,,,,,)</v>
      </c>
      <c r="CQ262" s="10" t="str">
        <f t="shared" si="3222"/>
        <v>InitUnitAdd('',,,,,,,,,,)</v>
      </c>
      <c r="CR262" s="10" t="str">
        <f t="shared" si="3223"/>
        <v>InitEquipData('',,"",,,,,'','','','','','',"")</v>
      </c>
      <c r="CU262" s="3" t="str">
        <f t="shared" si="3224"/>
        <v>|n</v>
      </c>
      <c r="CW262" s="4"/>
      <c r="CX262" s="4"/>
      <c r="CY262" s="4"/>
      <c r="CZ262" s="4"/>
      <c r="DA262" s="4"/>
      <c r="DB262" s="40" t="str">
        <f t="shared" si="3225"/>
        <v/>
      </c>
      <c r="DC262" s="40" t="str">
        <f t="shared" si="3226"/>
        <v/>
      </c>
      <c r="DD262" s="40" t="str">
        <f t="shared" si="3227"/>
        <v/>
      </c>
      <c r="DE262" s="40" t="str">
        <f t="shared" si="3228"/>
        <v/>
      </c>
      <c r="DF262" s="40" t="str">
        <f t="shared" si="3229"/>
        <v/>
      </c>
      <c r="DG262" s="40" t="str">
        <f t="shared" si="3230"/>
        <v/>
      </c>
      <c r="DH262" s="40" t="str">
        <f t="shared" si="3231"/>
        <v/>
      </c>
      <c r="DI262" s="40" t="str">
        <f t="shared" si="3232"/>
        <v/>
      </c>
      <c r="DJ262" s="40" t="str">
        <f t="shared" si="3233"/>
        <v/>
      </c>
      <c r="DK262" s="40" t="str">
        <f t="shared" si="3234"/>
        <v/>
      </c>
      <c r="DL262" s="40" t="str">
        <f t="shared" si="3235"/>
        <v/>
      </c>
      <c r="DM262" s="40" t="str">
        <f t="shared" si="3236"/>
        <v/>
      </c>
      <c r="DN262" s="40" t="str">
        <f t="shared" si="3237"/>
        <v/>
      </c>
      <c r="DO262" s="40" t="str">
        <f t="shared" si="3238"/>
        <v/>
      </c>
      <c r="DP262" s="40" t="str">
        <f t="shared" si="3239"/>
        <v/>
      </c>
      <c r="DQ262" s="40" t="str">
        <f t="shared" si="3240"/>
        <v/>
      </c>
      <c r="DR262" s="40" t="str">
        <f t="shared" si="3241"/>
        <v/>
      </c>
      <c r="DS262" s="40" t="str">
        <f t="shared" si="3242"/>
        <v/>
      </c>
      <c r="DT262" s="40" t="str">
        <f t="shared" si="3243"/>
        <v/>
      </c>
      <c r="DU262" s="40" t="str">
        <f t="shared" si="3244"/>
        <v/>
      </c>
      <c r="DV262" s="40" t="str">
        <f t="shared" si="3245"/>
        <v/>
      </c>
      <c r="DW262" s="40" t="str">
        <f t="shared" si="3246"/>
        <v/>
      </c>
      <c r="DX262" s="40" t="str">
        <f t="shared" si="3247"/>
        <v/>
      </c>
      <c r="DY262" s="40" t="str">
        <f t="shared" si="3248"/>
        <v/>
      </c>
      <c r="DZ262" s="40" t="str">
        <f t="shared" si="3249"/>
        <v/>
      </c>
      <c r="EA262" s="40" t="str">
        <f t="shared" si="3250"/>
        <v/>
      </c>
      <c r="EB262" s="40" t="str">
        <f t="shared" si="3251"/>
        <v/>
      </c>
      <c r="EC262" s="40" t="str">
        <f t="shared" si="3252"/>
        <v/>
      </c>
      <c r="ED262" s="40" t="str">
        <f t="shared" si="3253"/>
        <v/>
      </c>
      <c r="EE262" s="40" t="str">
        <f t="shared" si="3254"/>
        <v/>
      </c>
      <c r="EF262" s="40" t="str">
        <f t="shared" si="3255"/>
        <v/>
      </c>
      <c r="EG262" s="40" t="str">
        <f t="shared" si="3256"/>
        <v/>
      </c>
      <c r="EH262" s="40" t="str">
        <f t="shared" si="3257"/>
        <v/>
      </c>
      <c r="EI262" s="40" t="str">
        <f t="shared" si="3258"/>
        <v/>
      </c>
      <c r="EJ262" s="40" t="str">
        <f t="shared" si="3259"/>
        <v/>
      </c>
      <c r="EK262" s="40" t="str">
        <f t="shared" si="3260"/>
        <v/>
      </c>
      <c r="EL262" s="40" t="str">
        <f t="shared" si="3261"/>
        <v/>
      </c>
      <c r="EM262" s="40" t="str">
        <f t="shared" si="3262"/>
        <v/>
      </c>
      <c r="EN262" s="40" t="str">
        <f t="shared" si="3263"/>
        <v/>
      </c>
      <c r="EO262" s="40" t="str">
        <f t="shared" si="3264"/>
        <v/>
      </c>
      <c r="EP262" s="40" t="str">
        <f t="shared" si="3265"/>
        <v/>
      </c>
      <c r="EQ262" s="40" t="str">
        <f t="shared" si="3266"/>
        <v/>
      </c>
      <c r="ER262" s="40" t="str">
        <f t="shared" si="3267"/>
        <v/>
      </c>
      <c r="ES262" s="40" t="str">
        <f t="shared" si="3268"/>
        <v/>
      </c>
      <c r="ET262" s="40" t="str">
        <f t="shared" si="3269"/>
        <v/>
      </c>
      <c r="EU262" s="40" t="str">
        <f t="shared" si="3270"/>
        <v/>
      </c>
      <c r="EV262" s="40" t="str">
        <f t="shared" si="3271"/>
        <v/>
      </c>
      <c r="EW262" s="40" t="str">
        <f t="shared" si="3272"/>
        <v/>
      </c>
      <c r="EX262" s="40" t="str">
        <f t="shared" si="3273"/>
        <v/>
      </c>
      <c r="EY262" s="40" t="str">
        <f t="shared" si="3274"/>
        <v/>
      </c>
      <c r="EZ262" s="40" t="str">
        <f t="shared" si="3275"/>
        <v/>
      </c>
      <c r="FA262" s="40" t="str">
        <f t="shared" si="3276"/>
        <v/>
      </c>
      <c r="FB262" s="40" t="str">
        <f t="shared" si="3277"/>
        <v/>
      </c>
      <c r="FC262" s="40" t="str">
        <f t="shared" si="3278"/>
        <v/>
      </c>
      <c r="FD262" s="40" t="str">
        <f t="shared" si="3279"/>
        <v/>
      </c>
      <c r="FE262" s="40" t="str">
        <f t="shared" si="3280"/>
        <v/>
      </c>
      <c r="FF262" s="40" t="str">
        <f t="shared" si="3281"/>
        <v/>
      </c>
      <c r="FG262" s="40" t="str">
        <f t="shared" si="3282"/>
        <v/>
      </c>
      <c r="FH262" s="40" t="str">
        <f t="shared" si="3283"/>
        <v/>
      </c>
      <c r="FI262" s="40" t="str">
        <f t="shared" si="3284"/>
        <v/>
      </c>
      <c r="FJ262" s="40" t="str">
        <f t="shared" si="3285"/>
        <v/>
      </c>
      <c r="FK262" s="40" t="str">
        <f t="shared" si="3286"/>
        <v/>
      </c>
      <c r="FL262" s="40" t="str">
        <f t="shared" si="3287"/>
        <v/>
      </c>
      <c r="FM262" s="40" t="str">
        <f t="shared" si="3288"/>
        <v/>
      </c>
      <c r="FN262" s="40" t="str">
        <f t="shared" si="3289"/>
        <v/>
      </c>
      <c r="FO262" s="40" t="str">
        <f t="shared" si="3290"/>
        <v/>
      </c>
      <c r="FP262" s="40" t="str">
        <f t="shared" si="3291"/>
        <v/>
      </c>
      <c r="FQ262" s="40" t="str">
        <f t="shared" si="3292"/>
        <v/>
      </c>
      <c r="FR262" s="40" t="str">
        <f t="shared" si="3293"/>
        <v/>
      </c>
      <c r="FS262" s="40" t="str">
        <f t="shared" si="3294"/>
        <v/>
      </c>
    </row>
    <row r="263" spans="92:175">
      <c r="CN263" s="10" t="str">
        <f t="shared" si="3219"/>
        <v>InitUnitState('',,,,,,,,,,)</v>
      </c>
      <c r="CO263" s="10" t="str">
        <f t="shared" si="3220"/>
        <v>InitUnitNormal('',,,,,,,,,,)</v>
      </c>
      <c r="CP263" s="10" t="str">
        <f t="shared" si="3221"/>
        <v>InitUnitMagic('',,,,,,,,,,)</v>
      </c>
      <c r="CQ263" s="10" t="str">
        <f t="shared" si="3222"/>
        <v>InitUnitAdd('',,,,,,,,,,)</v>
      </c>
      <c r="CR263" s="10" t="str">
        <f t="shared" si="3223"/>
        <v>InitEquipData('',,"",,,,,'','','','','','',"")</v>
      </c>
      <c r="CU263" s="3" t="str">
        <f t="shared" si="3224"/>
        <v>|n</v>
      </c>
      <c r="CW263" s="4"/>
      <c r="CX263" s="4"/>
      <c r="CY263" s="4"/>
      <c r="CZ263" s="4"/>
      <c r="DA263" s="4"/>
      <c r="DB263" s="40" t="str">
        <f t="shared" si="3225"/>
        <v/>
      </c>
      <c r="DC263" s="40" t="str">
        <f t="shared" si="3226"/>
        <v/>
      </c>
      <c r="DD263" s="40" t="str">
        <f t="shared" si="3227"/>
        <v/>
      </c>
      <c r="DE263" s="40" t="str">
        <f t="shared" si="3228"/>
        <v/>
      </c>
      <c r="DF263" s="40" t="str">
        <f t="shared" si="3229"/>
        <v/>
      </c>
      <c r="DG263" s="40" t="str">
        <f t="shared" si="3230"/>
        <v/>
      </c>
      <c r="DH263" s="40" t="str">
        <f t="shared" si="3231"/>
        <v/>
      </c>
      <c r="DI263" s="40" t="str">
        <f t="shared" si="3232"/>
        <v/>
      </c>
      <c r="DJ263" s="40" t="str">
        <f t="shared" si="3233"/>
        <v/>
      </c>
      <c r="DK263" s="40" t="str">
        <f t="shared" si="3234"/>
        <v/>
      </c>
      <c r="DL263" s="40" t="str">
        <f t="shared" si="3235"/>
        <v/>
      </c>
      <c r="DM263" s="40" t="str">
        <f t="shared" si="3236"/>
        <v/>
      </c>
      <c r="DN263" s="40" t="str">
        <f t="shared" si="3237"/>
        <v/>
      </c>
      <c r="DO263" s="40" t="str">
        <f t="shared" si="3238"/>
        <v/>
      </c>
      <c r="DP263" s="40" t="str">
        <f t="shared" si="3239"/>
        <v/>
      </c>
      <c r="DQ263" s="40" t="str">
        <f t="shared" si="3240"/>
        <v/>
      </c>
      <c r="DR263" s="40" t="str">
        <f t="shared" si="3241"/>
        <v/>
      </c>
      <c r="DS263" s="40" t="str">
        <f t="shared" si="3242"/>
        <v/>
      </c>
      <c r="DT263" s="40" t="str">
        <f t="shared" si="3243"/>
        <v/>
      </c>
      <c r="DU263" s="40" t="str">
        <f t="shared" si="3244"/>
        <v/>
      </c>
      <c r="DV263" s="40" t="str">
        <f t="shared" si="3245"/>
        <v/>
      </c>
      <c r="DW263" s="40" t="str">
        <f t="shared" si="3246"/>
        <v/>
      </c>
      <c r="DX263" s="40" t="str">
        <f t="shared" si="3247"/>
        <v/>
      </c>
      <c r="DY263" s="40" t="str">
        <f t="shared" si="3248"/>
        <v/>
      </c>
      <c r="DZ263" s="40" t="str">
        <f t="shared" si="3249"/>
        <v/>
      </c>
      <c r="EA263" s="40" t="str">
        <f t="shared" si="3250"/>
        <v/>
      </c>
      <c r="EB263" s="40" t="str">
        <f t="shared" si="3251"/>
        <v/>
      </c>
      <c r="EC263" s="40" t="str">
        <f t="shared" si="3252"/>
        <v/>
      </c>
      <c r="ED263" s="40" t="str">
        <f t="shared" si="3253"/>
        <v/>
      </c>
      <c r="EE263" s="40" t="str">
        <f t="shared" si="3254"/>
        <v/>
      </c>
      <c r="EF263" s="40" t="str">
        <f t="shared" si="3255"/>
        <v/>
      </c>
      <c r="EG263" s="40" t="str">
        <f t="shared" si="3256"/>
        <v/>
      </c>
      <c r="EH263" s="40" t="str">
        <f t="shared" si="3257"/>
        <v/>
      </c>
      <c r="EI263" s="40" t="str">
        <f t="shared" si="3258"/>
        <v/>
      </c>
      <c r="EJ263" s="40" t="str">
        <f t="shared" si="3259"/>
        <v/>
      </c>
      <c r="EK263" s="40" t="str">
        <f t="shared" si="3260"/>
        <v/>
      </c>
      <c r="EL263" s="40" t="str">
        <f t="shared" si="3261"/>
        <v/>
      </c>
      <c r="EM263" s="40" t="str">
        <f t="shared" si="3262"/>
        <v/>
      </c>
      <c r="EN263" s="40" t="str">
        <f t="shared" si="3263"/>
        <v/>
      </c>
      <c r="EO263" s="40" t="str">
        <f t="shared" si="3264"/>
        <v/>
      </c>
      <c r="EP263" s="40" t="str">
        <f t="shared" si="3265"/>
        <v/>
      </c>
      <c r="EQ263" s="40" t="str">
        <f t="shared" si="3266"/>
        <v/>
      </c>
      <c r="ER263" s="40" t="str">
        <f t="shared" si="3267"/>
        <v/>
      </c>
      <c r="ES263" s="40" t="str">
        <f t="shared" si="3268"/>
        <v/>
      </c>
      <c r="ET263" s="40" t="str">
        <f t="shared" si="3269"/>
        <v/>
      </c>
      <c r="EU263" s="40" t="str">
        <f t="shared" si="3270"/>
        <v/>
      </c>
      <c r="EV263" s="40" t="str">
        <f t="shared" si="3271"/>
        <v/>
      </c>
      <c r="EW263" s="40" t="str">
        <f t="shared" si="3272"/>
        <v/>
      </c>
      <c r="EX263" s="40" t="str">
        <f t="shared" si="3273"/>
        <v/>
      </c>
      <c r="EY263" s="40" t="str">
        <f t="shared" si="3274"/>
        <v/>
      </c>
      <c r="EZ263" s="40" t="str">
        <f t="shared" si="3275"/>
        <v/>
      </c>
      <c r="FA263" s="40" t="str">
        <f t="shared" si="3276"/>
        <v/>
      </c>
      <c r="FB263" s="40" t="str">
        <f t="shared" si="3277"/>
        <v/>
      </c>
      <c r="FC263" s="40" t="str">
        <f t="shared" si="3278"/>
        <v/>
      </c>
      <c r="FD263" s="40" t="str">
        <f t="shared" si="3279"/>
        <v/>
      </c>
      <c r="FE263" s="40" t="str">
        <f t="shared" si="3280"/>
        <v/>
      </c>
      <c r="FF263" s="40" t="str">
        <f t="shared" si="3281"/>
        <v/>
      </c>
      <c r="FG263" s="40" t="str">
        <f t="shared" si="3282"/>
        <v/>
      </c>
      <c r="FH263" s="40" t="str">
        <f t="shared" si="3283"/>
        <v/>
      </c>
      <c r="FI263" s="40" t="str">
        <f t="shared" si="3284"/>
        <v/>
      </c>
      <c r="FJ263" s="40" t="str">
        <f t="shared" si="3285"/>
        <v/>
      </c>
      <c r="FK263" s="40" t="str">
        <f t="shared" si="3286"/>
        <v/>
      </c>
      <c r="FL263" s="40" t="str">
        <f t="shared" si="3287"/>
        <v/>
      </c>
      <c r="FM263" s="40" t="str">
        <f t="shared" si="3288"/>
        <v/>
      </c>
      <c r="FN263" s="40" t="str">
        <f t="shared" si="3289"/>
        <v/>
      </c>
      <c r="FO263" s="40" t="str">
        <f t="shared" si="3290"/>
        <v/>
      </c>
      <c r="FP263" s="40" t="str">
        <f t="shared" si="3291"/>
        <v/>
      </c>
      <c r="FQ263" s="40" t="str">
        <f t="shared" si="3292"/>
        <v/>
      </c>
      <c r="FR263" s="40" t="str">
        <f t="shared" si="3293"/>
        <v/>
      </c>
      <c r="FS263" s="40" t="str">
        <f t="shared" si="3294"/>
        <v/>
      </c>
    </row>
    <row r="264" spans="92:175">
      <c r="CN264" s="10" t="str">
        <f t="shared" si="3219"/>
        <v>InitUnitState('',,,,,,,,,,)</v>
      </c>
      <c r="CO264" s="10" t="str">
        <f t="shared" si="3220"/>
        <v>InitUnitNormal('',,,,,,,,,,)</v>
      </c>
      <c r="CP264" s="10" t="str">
        <f t="shared" si="3221"/>
        <v>InitUnitMagic('',,,,,,,,,,)</v>
      </c>
      <c r="CQ264" s="10" t="str">
        <f t="shared" si="3222"/>
        <v>InitUnitAdd('',,,,,,,,,,)</v>
      </c>
      <c r="CR264" s="10" t="str">
        <f t="shared" si="3223"/>
        <v>InitEquipData('',,"",,,,,'','','','','','',"")</v>
      </c>
      <c r="CU264" s="3" t="str">
        <f t="shared" si="3224"/>
        <v>|n</v>
      </c>
      <c r="CW264" s="4"/>
      <c r="CX264" s="4"/>
      <c r="CY264" s="4"/>
      <c r="CZ264" s="4"/>
      <c r="DA264" s="4"/>
      <c r="DB264" s="40" t="str">
        <f t="shared" si="3225"/>
        <v/>
      </c>
      <c r="DC264" s="40" t="str">
        <f t="shared" si="3226"/>
        <v/>
      </c>
      <c r="DD264" s="40" t="str">
        <f t="shared" si="3227"/>
        <v/>
      </c>
      <c r="DE264" s="40" t="str">
        <f t="shared" si="3228"/>
        <v/>
      </c>
      <c r="DF264" s="40" t="str">
        <f t="shared" si="3229"/>
        <v/>
      </c>
      <c r="DG264" s="40" t="str">
        <f t="shared" si="3230"/>
        <v/>
      </c>
      <c r="DH264" s="40" t="str">
        <f t="shared" si="3231"/>
        <v/>
      </c>
      <c r="DI264" s="40" t="str">
        <f t="shared" si="3232"/>
        <v/>
      </c>
      <c r="DJ264" s="40" t="str">
        <f t="shared" si="3233"/>
        <v/>
      </c>
      <c r="DK264" s="40" t="str">
        <f t="shared" si="3234"/>
        <v/>
      </c>
      <c r="DL264" s="40" t="str">
        <f t="shared" si="3235"/>
        <v/>
      </c>
      <c r="DM264" s="40" t="str">
        <f t="shared" si="3236"/>
        <v/>
      </c>
      <c r="DN264" s="40" t="str">
        <f t="shared" si="3237"/>
        <v/>
      </c>
      <c r="DO264" s="40" t="str">
        <f t="shared" si="3238"/>
        <v/>
      </c>
      <c r="DP264" s="40" t="str">
        <f t="shared" si="3239"/>
        <v/>
      </c>
      <c r="DQ264" s="40" t="str">
        <f t="shared" si="3240"/>
        <v/>
      </c>
      <c r="DR264" s="40" t="str">
        <f t="shared" si="3241"/>
        <v/>
      </c>
      <c r="DS264" s="40" t="str">
        <f t="shared" si="3242"/>
        <v/>
      </c>
      <c r="DT264" s="40" t="str">
        <f t="shared" si="3243"/>
        <v/>
      </c>
      <c r="DU264" s="40" t="str">
        <f t="shared" si="3244"/>
        <v/>
      </c>
      <c r="DV264" s="40" t="str">
        <f t="shared" si="3245"/>
        <v/>
      </c>
      <c r="DW264" s="40" t="str">
        <f t="shared" si="3246"/>
        <v/>
      </c>
      <c r="DX264" s="40" t="str">
        <f t="shared" si="3247"/>
        <v/>
      </c>
      <c r="DY264" s="40" t="str">
        <f t="shared" si="3248"/>
        <v/>
      </c>
      <c r="DZ264" s="40" t="str">
        <f t="shared" si="3249"/>
        <v/>
      </c>
      <c r="EA264" s="40" t="str">
        <f t="shared" si="3250"/>
        <v/>
      </c>
      <c r="EB264" s="40" t="str">
        <f t="shared" si="3251"/>
        <v/>
      </c>
      <c r="EC264" s="40" t="str">
        <f t="shared" si="3252"/>
        <v/>
      </c>
      <c r="ED264" s="40" t="str">
        <f t="shared" si="3253"/>
        <v/>
      </c>
      <c r="EE264" s="40" t="str">
        <f t="shared" si="3254"/>
        <v/>
      </c>
      <c r="EF264" s="40" t="str">
        <f t="shared" si="3255"/>
        <v/>
      </c>
      <c r="EG264" s="40" t="str">
        <f t="shared" si="3256"/>
        <v/>
      </c>
      <c r="EH264" s="40" t="str">
        <f t="shared" si="3257"/>
        <v/>
      </c>
      <c r="EI264" s="40" t="str">
        <f t="shared" si="3258"/>
        <v/>
      </c>
      <c r="EJ264" s="40" t="str">
        <f t="shared" si="3259"/>
        <v/>
      </c>
      <c r="EK264" s="40" t="str">
        <f t="shared" si="3260"/>
        <v/>
      </c>
      <c r="EL264" s="40" t="str">
        <f t="shared" si="3261"/>
        <v/>
      </c>
      <c r="EM264" s="40" t="str">
        <f t="shared" si="3262"/>
        <v/>
      </c>
      <c r="EN264" s="40" t="str">
        <f t="shared" si="3263"/>
        <v/>
      </c>
      <c r="EO264" s="40" t="str">
        <f t="shared" si="3264"/>
        <v/>
      </c>
      <c r="EP264" s="40" t="str">
        <f t="shared" si="3265"/>
        <v/>
      </c>
      <c r="EQ264" s="40" t="str">
        <f t="shared" si="3266"/>
        <v/>
      </c>
      <c r="ER264" s="40" t="str">
        <f t="shared" si="3267"/>
        <v/>
      </c>
      <c r="ES264" s="40" t="str">
        <f t="shared" si="3268"/>
        <v/>
      </c>
      <c r="ET264" s="40" t="str">
        <f t="shared" si="3269"/>
        <v/>
      </c>
      <c r="EU264" s="40" t="str">
        <f t="shared" si="3270"/>
        <v/>
      </c>
      <c r="EV264" s="40" t="str">
        <f t="shared" si="3271"/>
        <v/>
      </c>
      <c r="EW264" s="40" t="str">
        <f t="shared" si="3272"/>
        <v/>
      </c>
      <c r="EX264" s="40" t="str">
        <f t="shared" si="3273"/>
        <v/>
      </c>
      <c r="EY264" s="40" t="str">
        <f t="shared" si="3274"/>
        <v/>
      </c>
      <c r="EZ264" s="40" t="str">
        <f t="shared" si="3275"/>
        <v/>
      </c>
      <c r="FA264" s="40" t="str">
        <f t="shared" si="3276"/>
        <v/>
      </c>
      <c r="FB264" s="40" t="str">
        <f t="shared" si="3277"/>
        <v/>
      </c>
      <c r="FC264" s="40" t="str">
        <f t="shared" si="3278"/>
        <v/>
      </c>
      <c r="FD264" s="40" t="str">
        <f t="shared" si="3279"/>
        <v/>
      </c>
      <c r="FE264" s="40" t="str">
        <f t="shared" si="3280"/>
        <v/>
      </c>
      <c r="FF264" s="40" t="str">
        <f t="shared" si="3281"/>
        <v/>
      </c>
      <c r="FG264" s="40" t="str">
        <f t="shared" si="3282"/>
        <v/>
      </c>
      <c r="FH264" s="40" t="str">
        <f t="shared" si="3283"/>
        <v/>
      </c>
      <c r="FI264" s="40" t="str">
        <f t="shared" si="3284"/>
        <v/>
      </c>
      <c r="FJ264" s="40" t="str">
        <f t="shared" si="3285"/>
        <v/>
      </c>
      <c r="FK264" s="40" t="str">
        <f t="shared" si="3286"/>
        <v/>
      </c>
      <c r="FL264" s="40" t="str">
        <f t="shared" si="3287"/>
        <v/>
      </c>
      <c r="FM264" s="40" t="str">
        <f t="shared" si="3288"/>
        <v/>
      </c>
      <c r="FN264" s="40" t="str">
        <f t="shared" si="3289"/>
        <v/>
      </c>
      <c r="FO264" s="40" t="str">
        <f t="shared" si="3290"/>
        <v/>
      </c>
      <c r="FP264" s="40" t="str">
        <f t="shared" si="3291"/>
        <v/>
      </c>
      <c r="FQ264" s="40" t="str">
        <f t="shared" si="3292"/>
        <v/>
      </c>
      <c r="FR264" s="40" t="str">
        <f t="shared" si="3293"/>
        <v/>
      </c>
      <c r="FS264" s="40" t="str">
        <f t="shared" si="3294"/>
        <v/>
      </c>
    </row>
    <row r="265" spans="92:175">
      <c r="CN265" s="10" t="str">
        <f t="shared" si="3219"/>
        <v>InitUnitState('',,,,,,,,,,)</v>
      </c>
      <c r="CO265" s="10" t="str">
        <f t="shared" si="3220"/>
        <v>InitUnitNormal('',,,,,,,,,,)</v>
      </c>
      <c r="CP265" s="10" t="str">
        <f t="shared" si="3221"/>
        <v>InitUnitMagic('',,,,,,,,,,)</v>
      </c>
      <c r="CQ265" s="10" t="str">
        <f t="shared" si="3222"/>
        <v>InitUnitAdd('',,,,,,,,,,)</v>
      </c>
      <c r="CR265" s="10" t="str">
        <f t="shared" si="3223"/>
        <v>InitEquipData('',,"",,,,,'','','','','','',"")</v>
      </c>
      <c r="CU265" s="3" t="str">
        <f t="shared" si="3224"/>
        <v>|n</v>
      </c>
      <c r="CW265" s="4"/>
      <c r="CX265" s="4"/>
      <c r="CY265" s="4"/>
      <c r="CZ265" s="4"/>
      <c r="DA265" s="4"/>
      <c r="DB265" s="40" t="str">
        <f t="shared" si="3225"/>
        <v/>
      </c>
      <c r="DC265" s="40" t="str">
        <f t="shared" si="3226"/>
        <v/>
      </c>
      <c r="DD265" s="40" t="str">
        <f t="shared" si="3227"/>
        <v/>
      </c>
      <c r="DE265" s="40" t="str">
        <f t="shared" si="3228"/>
        <v/>
      </c>
      <c r="DF265" s="40" t="str">
        <f t="shared" si="3229"/>
        <v/>
      </c>
      <c r="DG265" s="40" t="str">
        <f t="shared" si="3230"/>
        <v/>
      </c>
      <c r="DH265" s="40" t="str">
        <f t="shared" si="3231"/>
        <v/>
      </c>
      <c r="DI265" s="40" t="str">
        <f t="shared" si="3232"/>
        <v/>
      </c>
      <c r="DJ265" s="40" t="str">
        <f t="shared" si="3233"/>
        <v/>
      </c>
      <c r="DK265" s="40" t="str">
        <f t="shared" si="3234"/>
        <v/>
      </c>
      <c r="DL265" s="40" t="str">
        <f t="shared" si="3235"/>
        <v/>
      </c>
      <c r="DM265" s="40" t="str">
        <f t="shared" si="3236"/>
        <v/>
      </c>
      <c r="DN265" s="40" t="str">
        <f t="shared" si="3237"/>
        <v/>
      </c>
      <c r="DO265" s="40" t="str">
        <f t="shared" si="3238"/>
        <v/>
      </c>
      <c r="DP265" s="40" t="str">
        <f t="shared" si="3239"/>
        <v/>
      </c>
      <c r="DQ265" s="40" t="str">
        <f t="shared" si="3240"/>
        <v/>
      </c>
      <c r="DR265" s="40" t="str">
        <f t="shared" si="3241"/>
        <v/>
      </c>
      <c r="DS265" s="40" t="str">
        <f t="shared" si="3242"/>
        <v/>
      </c>
      <c r="DT265" s="40" t="str">
        <f t="shared" si="3243"/>
        <v/>
      </c>
      <c r="DU265" s="40" t="str">
        <f t="shared" si="3244"/>
        <v/>
      </c>
      <c r="DV265" s="40" t="str">
        <f t="shared" si="3245"/>
        <v/>
      </c>
      <c r="DW265" s="40" t="str">
        <f t="shared" si="3246"/>
        <v/>
      </c>
      <c r="DX265" s="40" t="str">
        <f t="shared" si="3247"/>
        <v/>
      </c>
      <c r="DY265" s="40" t="str">
        <f t="shared" si="3248"/>
        <v/>
      </c>
      <c r="DZ265" s="40" t="str">
        <f t="shared" si="3249"/>
        <v/>
      </c>
      <c r="EA265" s="40" t="str">
        <f t="shared" si="3250"/>
        <v/>
      </c>
      <c r="EB265" s="40" t="str">
        <f t="shared" si="3251"/>
        <v/>
      </c>
      <c r="EC265" s="40" t="str">
        <f t="shared" si="3252"/>
        <v/>
      </c>
      <c r="ED265" s="40" t="str">
        <f t="shared" si="3253"/>
        <v/>
      </c>
      <c r="EE265" s="40" t="str">
        <f t="shared" si="3254"/>
        <v/>
      </c>
      <c r="EF265" s="40" t="str">
        <f t="shared" si="3255"/>
        <v/>
      </c>
      <c r="EG265" s="40" t="str">
        <f t="shared" si="3256"/>
        <v/>
      </c>
      <c r="EH265" s="40" t="str">
        <f t="shared" si="3257"/>
        <v/>
      </c>
      <c r="EI265" s="40" t="str">
        <f t="shared" si="3258"/>
        <v/>
      </c>
      <c r="EJ265" s="40" t="str">
        <f t="shared" si="3259"/>
        <v/>
      </c>
      <c r="EK265" s="40" t="str">
        <f t="shared" si="3260"/>
        <v/>
      </c>
      <c r="EL265" s="40" t="str">
        <f t="shared" si="3261"/>
        <v/>
      </c>
      <c r="EM265" s="40" t="str">
        <f t="shared" si="3262"/>
        <v/>
      </c>
      <c r="EN265" s="40" t="str">
        <f t="shared" si="3263"/>
        <v/>
      </c>
      <c r="EO265" s="40" t="str">
        <f t="shared" si="3264"/>
        <v/>
      </c>
      <c r="EP265" s="40" t="str">
        <f t="shared" si="3265"/>
        <v/>
      </c>
      <c r="EQ265" s="40" t="str">
        <f t="shared" si="3266"/>
        <v/>
      </c>
      <c r="ER265" s="40" t="str">
        <f t="shared" si="3267"/>
        <v/>
      </c>
      <c r="ES265" s="40" t="str">
        <f t="shared" si="3268"/>
        <v/>
      </c>
      <c r="ET265" s="40" t="str">
        <f t="shared" si="3269"/>
        <v/>
      </c>
      <c r="EU265" s="40" t="str">
        <f t="shared" si="3270"/>
        <v/>
      </c>
      <c r="EV265" s="40" t="str">
        <f t="shared" si="3271"/>
        <v/>
      </c>
      <c r="EW265" s="40" t="str">
        <f t="shared" si="3272"/>
        <v/>
      </c>
      <c r="EX265" s="40" t="str">
        <f t="shared" si="3273"/>
        <v/>
      </c>
      <c r="EY265" s="40" t="str">
        <f t="shared" si="3274"/>
        <v/>
      </c>
      <c r="EZ265" s="40" t="str">
        <f t="shared" si="3275"/>
        <v/>
      </c>
      <c r="FA265" s="40" t="str">
        <f t="shared" si="3276"/>
        <v/>
      </c>
      <c r="FB265" s="40" t="str">
        <f t="shared" si="3277"/>
        <v/>
      </c>
      <c r="FC265" s="40" t="str">
        <f t="shared" si="3278"/>
        <v/>
      </c>
      <c r="FD265" s="40" t="str">
        <f t="shared" si="3279"/>
        <v/>
      </c>
      <c r="FE265" s="40" t="str">
        <f t="shared" si="3280"/>
        <v/>
      </c>
      <c r="FF265" s="40" t="str">
        <f t="shared" si="3281"/>
        <v/>
      </c>
      <c r="FG265" s="40" t="str">
        <f t="shared" si="3282"/>
        <v/>
      </c>
      <c r="FH265" s="40" t="str">
        <f t="shared" si="3283"/>
        <v/>
      </c>
      <c r="FI265" s="40" t="str">
        <f t="shared" si="3284"/>
        <v/>
      </c>
      <c r="FJ265" s="40" t="str">
        <f t="shared" si="3285"/>
        <v/>
      </c>
      <c r="FK265" s="40" t="str">
        <f t="shared" si="3286"/>
        <v/>
      </c>
      <c r="FL265" s="40" t="str">
        <f t="shared" si="3287"/>
        <v/>
      </c>
      <c r="FM265" s="40" t="str">
        <f t="shared" si="3288"/>
        <v/>
      </c>
      <c r="FN265" s="40" t="str">
        <f t="shared" si="3289"/>
        <v/>
      </c>
      <c r="FO265" s="40" t="str">
        <f t="shared" si="3290"/>
        <v/>
      </c>
      <c r="FP265" s="40" t="str">
        <f t="shared" si="3291"/>
        <v/>
      </c>
      <c r="FQ265" s="40" t="str">
        <f t="shared" si="3292"/>
        <v/>
      </c>
      <c r="FR265" s="40" t="str">
        <f t="shared" si="3293"/>
        <v/>
      </c>
      <c r="FS265" s="40" t="str">
        <f t="shared" si="3294"/>
        <v/>
      </c>
    </row>
    <row r="266" spans="92:175">
      <c r="CN266" s="10" t="str">
        <f t="shared" si="3219"/>
        <v>InitUnitState('',,,,,,,,,,)</v>
      </c>
      <c r="CO266" s="10" t="str">
        <f t="shared" si="3220"/>
        <v>InitUnitNormal('',,,,,,,,,,)</v>
      </c>
      <c r="CP266" s="10" t="str">
        <f t="shared" si="3221"/>
        <v>InitUnitMagic('',,,,,,,,,,)</v>
      </c>
      <c r="CQ266" s="10" t="str">
        <f t="shared" si="3222"/>
        <v>InitUnitAdd('',,,,,,,,,,)</v>
      </c>
      <c r="CR266" s="10" t="str">
        <f t="shared" si="3223"/>
        <v>InitEquipData('',,"",,,,,'','','','','','',"")</v>
      </c>
      <c r="CU266" s="3" t="str">
        <f t="shared" si="3224"/>
        <v>|n</v>
      </c>
      <c r="CW266" s="4"/>
      <c r="CX266" s="4"/>
      <c r="CY266" s="4"/>
      <c r="CZ266" s="4"/>
      <c r="DA266" s="4"/>
      <c r="DB266" s="40" t="str">
        <f t="shared" si="3225"/>
        <v/>
      </c>
      <c r="DC266" s="40" t="str">
        <f t="shared" si="3226"/>
        <v/>
      </c>
      <c r="DD266" s="40" t="str">
        <f t="shared" si="3227"/>
        <v/>
      </c>
      <c r="DE266" s="40" t="str">
        <f t="shared" si="3228"/>
        <v/>
      </c>
      <c r="DF266" s="40" t="str">
        <f t="shared" si="3229"/>
        <v/>
      </c>
      <c r="DG266" s="40" t="str">
        <f t="shared" si="3230"/>
        <v/>
      </c>
      <c r="DH266" s="40" t="str">
        <f t="shared" si="3231"/>
        <v/>
      </c>
      <c r="DI266" s="40" t="str">
        <f t="shared" si="3232"/>
        <v/>
      </c>
      <c r="DJ266" s="40" t="str">
        <f t="shared" si="3233"/>
        <v/>
      </c>
      <c r="DK266" s="40" t="str">
        <f t="shared" si="3234"/>
        <v/>
      </c>
      <c r="DL266" s="40" t="str">
        <f t="shared" si="3235"/>
        <v/>
      </c>
      <c r="DM266" s="40" t="str">
        <f t="shared" si="3236"/>
        <v/>
      </c>
      <c r="DN266" s="40" t="str">
        <f t="shared" si="3237"/>
        <v/>
      </c>
      <c r="DO266" s="40" t="str">
        <f t="shared" si="3238"/>
        <v/>
      </c>
      <c r="DP266" s="40" t="str">
        <f t="shared" si="3239"/>
        <v/>
      </c>
      <c r="DQ266" s="40" t="str">
        <f t="shared" si="3240"/>
        <v/>
      </c>
      <c r="DR266" s="40" t="str">
        <f t="shared" si="3241"/>
        <v/>
      </c>
      <c r="DS266" s="40" t="str">
        <f t="shared" si="3242"/>
        <v/>
      </c>
      <c r="DT266" s="40" t="str">
        <f t="shared" si="3243"/>
        <v/>
      </c>
      <c r="DU266" s="40" t="str">
        <f t="shared" si="3244"/>
        <v/>
      </c>
      <c r="DV266" s="40" t="str">
        <f t="shared" si="3245"/>
        <v/>
      </c>
      <c r="DW266" s="40" t="str">
        <f t="shared" si="3246"/>
        <v/>
      </c>
      <c r="DX266" s="40" t="str">
        <f t="shared" si="3247"/>
        <v/>
      </c>
      <c r="DY266" s="40" t="str">
        <f t="shared" si="3248"/>
        <v/>
      </c>
      <c r="DZ266" s="40" t="str">
        <f t="shared" si="3249"/>
        <v/>
      </c>
      <c r="EA266" s="40" t="str">
        <f t="shared" si="3250"/>
        <v/>
      </c>
      <c r="EB266" s="40" t="str">
        <f t="shared" si="3251"/>
        <v/>
      </c>
      <c r="EC266" s="40" t="str">
        <f t="shared" si="3252"/>
        <v/>
      </c>
      <c r="ED266" s="40" t="str">
        <f t="shared" si="3253"/>
        <v/>
      </c>
      <c r="EE266" s="40" t="str">
        <f t="shared" si="3254"/>
        <v/>
      </c>
      <c r="EF266" s="40" t="str">
        <f t="shared" si="3255"/>
        <v/>
      </c>
      <c r="EG266" s="40" t="str">
        <f t="shared" si="3256"/>
        <v/>
      </c>
      <c r="EH266" s="40" t="str">
        <f t="shared" si="3257"/>
        <v/>
      </c>
      <c r="EI266" s="40" t="str">
        <f t="shared" si="3258"/>
        <v/>
      </c>
      <c r="EJ266" s="40" t="str">
        <f t="shared" si="3259"/>
        <v/>
      </c>
      <c r="EK266" s="40" t="str">
        <f t="shared" si="3260"/>
        <v/>
      </c>
      <c r="EL266" s="40" t="str">
        <f t="shared" si="3261"/>
        <v/>
      </c>
      <c r="EM266" s="40" t="str">
        <f t="shared" si="3262"/>
        <v/>
      </c>
      <c r="EN266" s="40" t="str">
        <f t="shared" si="3263"/>
        <v/>
      </c>
      <c r="EO266" s="40" t="str">
        <f t="shared" si="3264"/>
        <v/>
      </c>
      <c r="EP266" s="40" t="str">
        <f t="shared" si="3265"/>
        <v/>
      </c>
      <c r="EQ266" s="40" t="str">
        <f t="shared" si="3266"/>
        <v/>
      </c>
      <c r="ER266" s="40" t="str">
        <f t="shared" si="3267"/>
        <v/>
      </c>
      <c r="ES266" s="40" t="str">
        <f t="shared" si="3268"/>
        <v/>
      </c>
      <c r="ET266" s="40" t="str">
        <f t="shared" si="3269"/>
        <v/>
      </c>
      <c r="EU266" s="40" t="str">
        <f t="shared" si="3270"/>
        <v/>
      </c>
      <c r="EV266" s="40" t="str">
        <f t="shared" si="3271"/>
        <v/>
      </c>
      <c r="EW266" s="40" t="str">
        <f t="shared" si="3272"/>
        <v/>
      </c>
      <c r="EX266" s="40" t="str">
        <f t="shared" si="3273"/>
        <v/>
      </c>
      <c r="EY266" s="40" t="str">
        <f t="shared" si="3274"/>
        <v/>
      </c>
      <c r="EZ266" s="40" t="str">
        <f t="shared" si="3275"/>
        <v/>
      </c>
      <c r="FA266" s="40" t="str">
        <f t="shared" si="3276"/>
        <v/>
      </c>
      <c r="FB266" s="40" t="str">
        <f t="shared" si="3277"/>
        <v/>
      </c>
      <c r="FC266" s="40" t="str">
        <f t="shared" si="3278"/>
        <v/>
      </c>
      <c r="FD266" s="40" t="str">
        <f t="shared" si="3279"/>
        <v/>
      </c>
      <c r="FE266" s="40" t="str">
        <f t="shared" si="3280"/>
        <v/>
      </c>
      <c r="FF266" s="40" t="str">
        <f t="shared" si="3281"/>
        <v/>
      </c>
      <c r="FG266" s="40" t="str">
        <f t="shared" si="3282"/>
        <v/>
      </c>
      <c r="FH266" s="40" t="str">
        <f t="shared" si="3283"/>
        <v/>
      </c>
      <c r="FI266" s="40" t="str">
        <f t="shared" si="3284"/>
        <v/>
      </c>
      <c r="FJ266" s="40" t="str">
        <f t="shared" si="3285"/>
        <v/>
      </c>
      <c r="FK266" s="40" t="str">
        <f t="shared" si="3286"/>
        <v/>
      </c>
      <c r="FL266" s="40" t="str">
        <f t="shared" si="3287"/>
        <v/>
      </c>
      <c r="FM266" s="40" t="str">
        <f t="shared" si="3288"/>
        <v/>
      </c>
      <c r="FN266" s="40" t="str">
        <f t="shared" si="3289"/>
        <v/>
      </c>
      <c r="FO266" s="40" t="str">
        <f t="shared" si="3290"/>
        <v/>
      </c>
      <c r="FP266" s="40" t="str">
        <f t="shared" si="3291"/>
        <v/>
      </c>
      <c r="FQ266" s="40" t="str">
        <f t="shared" si="3292"/>
        <v/>
      </c>
      <c r="FR266" s="40" t="str">
        <f t="shared" si="3293"/>
        <v/>
      </c>
      <c r="FS266" s="40" t="str">
        <f t="shared" si="3294"/>
        <v/>
      </c>
    </row>
    <row r="267" spans="92:175">
      <c r="CN267" s="10" t="str">
        <f t="shared" si="3219"/>
        <v>InitUnitState('',,,,,,,,,,)</v>
      </c>
      <c r="CO267" s="10" t="str">
        <f t="shared" si="3220"/>
        <v>InitUnitNormal('',,,,,,,,,,)</v>
      </c>
      <c r="CP267" s="10" t="str">
        <f t="shared" si="3221"/>
        <v>InitUnitMagic('',,,,,,,,,,)</v>
      </c>
      <c r="CQ267" s="10" t="str">
        <f t="shared" si="3222"/>
        <v>InitUnitAdd('',,,,,,,,,,)</v>
      </c>
      <c r="CR267" s="10" t="str">
        <f t="shared" si="3223"/>
        <v>InitEquipData('',,"",,,,,'','','','','','',"")</v>
      </c>
      <c r="CU267" s="3" t="str">
        <f t="shared" si="3224"/>
        <v>|n</v>
      </c>
      <c r="CW267" s="4"/>
      <c r="CX267" s="4"/>
      <c r="CY267" s="4"/>
      <c r="CZ267" s="4"/>
      <c r="DA267" s="4"/>
      <c r="DB267" s="40" t="str">
        <f t="shared" si="3225"/>
        <v/>
      </c>
      <c r="DC267" s="40" t="str">
        <f t="shared" si="3226"/>
        <v/>
      </c>
      <c r="DD267" s="40" t="str">
        <f t="shared" si="3227"/>
        <v/>
      </c>
      <c r="DE267" s="40" t="str">
        <f t="shared" si="3228"/>
        <v/>
      </c>
      <c r="DF267" s="40" t="str">
        <f t="shared" si="3229"/>
        <v/>
      </c>
      <c r="DG267" s="40" t="str">
        <f t="shared" si="3230"/>
        <v/>
      </c>
      <c r="DH267" s="40" t="str">
        <f t="shared" si="3231"/>
        <v/>
      </c>
      <c r="DI267" s="40" t="str">
        <f t="shared" si="3232"/>
        <v/>
      </c>
      <c r="DJ267" s="40" t="str">
        <f t="shared" si="3233"/>
        <v/>
      </c>
      <c r="DK267" s="40" t="str">
        <f t="shared" si="3234"/>
        <v/>
      </c>
      <c r="DL267" s="40" t="str">
        <f t="shared" si="3235"/>
        <v/>
      </c>
      <c r="DM267" s="40" t="str">
        <f t="shared" si="3236"/>
        <v/>
      </c>
      <c r="DN267" s="40" t="str">
        <f t="shared" si="3237"/>
        <v/>
      </c>
      <c r="DO267" s="40" t="str">
        <f t="shared" si="3238"/>
        <v/>
      </c>
      <c r="DP267" s="40" t="str">
        <f t="shared" si="3239"/>
        <v/>
      </c>
      <c r="DQ267" s="40" t="str">
        <f t="shared" si="3240"/>
        <v/>
      </c>
      <c r="DR267" s="40" t="str">
        <f t="shared" si="3241"/>
        <v/>
      </c>
      <c r="DS267" s="40" t="str">
        <f t="shared" si="3242"/>
        <v/>
      </c>
      <c r="DT267" s="40" t="str">
        <f t="shared" si="3243"/>
        <v/>
      </c>
      <c r="DU267" s="40" t="str">
        <f t="shared" si="3244"/>
        <v/>
      </c>
      <c r="DV267" s="40" t="str">
        <f t="shared" si="3245"/>
        <v/>
      </c>
      <c r="DW267" s="40" t="str">
        <f t="shared" si="3246"/>
        <v/>
      </c>
      <c r="DX267" s="40" t="str">
        <f t="shared" si="3247"/>
        <v/>
      </c>
      <c r="DY267" s="40" t="str">
        <f t="shared" si="3248"/>
        <v/>
      </c>
      <c r="DZ267" s="40" t="str">
        <f t="shared" si="3249"/>
        <v/>
      </c>
      <c r="EA267" s="40" t="str">
        <f t="shared" si="3250"/>
        <v/>
      </c>
      <c r="EB267" s="40" t="str">
        <f t="shared" si="3251"/>
        <v/>
      </c>
      <c r="EC267" s="40" t="str">
        <f t="shared" si="3252"/>
        <v/>
      </c>
      <c r="ED267" s="40" t="str">
        <f t="shared" si="3253"/>
        <v/>
      </c>
      <c r="EE267" s="40" t="str">
        <f t="shared" si="3254"/>
        <v/>
      </c>
      <c r="EF267" s="40" t="str">
        <f t="shared" si="3255"/>
        <v/>
      </c>
      <c r="EG267" s="40" t="str">
        <f t="shared" si="3256"/>
        <v/>
      </c>
      <c r="EH267" s="40" t="str">
        <f t="shared" si="3257"/>
        <v/>
      </c>
      <c r="EI267" s="40" t="str">
        <f t="shared" si="3258"/>
        <v/>
      </c>
      <c r="EJ267" s="40" t="str">
        <f t="shared" si="3259"/>
        <v/>
      </c>
      <c r="EK267" s="40" t="str">
        <f t="shared" si="3260"/>
        <v/>
      </c>
      <c r="EL267" s="40" t="str">
        <f t="shared" si="3261"/>
        <v/>
      </c>
      <c r="EM267" s="40" t="str">
        <f t="shared" si="3262"/>
        <v/>
      </c>
      <c r="EN267" s="40" t="str">
        <f t="shared" si="3263"/>
        <v/>
      </c>
      <c r="EO267" s="40" t="str">
        <f t="shared" si="3264"/>
        <v/>
      </c>
      <c r="EP267" s="40" t="str">
        <f t="shared" si="3265"/>
        <v/>
      </c>
      <c r="EQ267" s="40" t="str">
        <f t="shared" si="3266"/>
        <v/>
      </c>
      <c r="ER267" s="40" t="str">
        <f t="shared" si="3267"/>
        <v/>
      </c>
      <c r="ES267" s="40" t="str">
        <f t="shared" si="3268"/>
        <v/>
      </c>
      <c r="ET267" s="40" t="str">
        <f t="shared" si="3269"/>
        <v/>
      </c>
      <c r="EU267" s="40" t="str">
        <f t="shared" si="3270"/>
        <v/>
      </c>
      <c r="EV267" s="40" t="str">
        <f t="shared" si="3271"/>
        <v/>
      </c>
      <c r="EW267" s="40" t="str">
        <f t="shared" si="3272"/>
        <v/>
      </c>
      <c r="EX267" s="40" t="str">
        <f t="shared" si="3273"/>
        <v/>
      </c>
      <c r="EY267" s="40" t="str">
        <f t="shared" si="3274"/>
        <v/>
      </c>
      <c r="EZ267" s="40" t="str">
        <f t="shared" si="3275"/>
        <v/>
      </c>
      <c r="FA267" s="40" t="str">
        <f t="shared" si="3276"/>
        <v/>
      </c>
      <c r="FB267" s="40" t="str">
        <f t="shared" si="3277"/>
        <v/>
      </c>
      <c r="FC267" s="40" t="str">
        <f t="shared" si="3278"/>
        <v/>
      </c>
      <c r="FD267" s="40" t="str">
        <f t="shared" si="3279"/>
        <v/>
      </c>
      <c r="FE267" s="40" t="str">
        <f t="shared" si="3280"/>
        <v/>
      </c>
      <c r="FF267" s="40" t="str">
        <f t="shared" si="3281"/>
        <v/>
      </c>
      <c r="FG267" s="40" t="str">
        <f t="shared" si="3282"/>
        <v/>
      </c>
      <c r="FH267" s="40" t="str">
        <f t="shared" si="3283"/>
        <v/>
      </c>
      <c r="FI267" s="40" t="str">
        <f t="shared" si="3284"/>
        <v/>
      </c>
      <c r="FJ267" s="40" t="str">
        <f t="shared" si="3285"/>
        <v/>
      </c>
      <c r="FK267" s="40" t="str">
        <f t="shared" si="3286"/>
        <v/>
      </c>
      <c r="FL267" s="40" t="str">
        <f t="shared" si="3287"/>
        <v/>
      </c>
      <c r="FM267" s="40" t="str">
        <f t="shared" si="3288"/>
        <v/>
      </c>
      <c r="FN267" s="40" t="str">
        <f t="shared" si="3289"/>
        <v/>
      </c>
      <c r="FO267" s="40" t="str">
        <f t="shared" si="3290"/>
        <v/>
      </c>
      <c r="FP267" s="40" t="str">
        <f t="shared" si="3291"/>
        <v/>
      </c>
      <c r="FQ267" s="40" t="str">
        <f t="shared" si="3292"/>
        <v/>
      </c>
      <c r="FR267" s="40" t="str">
        <f t="shared" si="3293"/>
        <v/>
      </c>
      <c r="FS267" s="40" t="str">
        <f t="shared" si="3294"/>
        <v/>
      </c>
    </row>
    <row r="268" spans="92:175">
      <c r="CN268" s="10" t="str">
        <f t="shared" si="3219"/>
        <v>InitUnitState('',,,,,,,,,,)</v>
      </c>
      <c r="CO268" s="10" t="str">
        <f t="shared" si="3220"/>
        <v>InitUnitNormal('',,,,,,,,,,)</v>
      </c>
      <c r="CP268" s="10" t="str">
        <f t="shared" si="3221"/>
        <v>InitUnitMagic('',,,,,,,,,,)</v>
      </c>
      <c r="CQ268" s="10" t="str">
        <f t="shared" si="3222"/>
        <v>InitUnitAdd('',,,,,,,,,,)</v>
      </c>
      <c r="CR268" s="10" t="str">
        <f t="shared" si="3223"/>
        <v>InitEquipData('',,"",,,,,'','','','','','',"")</v>
      </c>
      <c r="CU268" s="3" t="str">
        <f t="shared" si="3224"/>
        <v>|n</v>
      </c>
      <c r="CW268" s="4"/>
      <c r="CX268" s="4"/>
      <c r="CY268" s="4"/>
      <c r="CZ268" s="4"/>
      <c r="DA268" s="4"/>
      <c r="DB268" s="40" t="str">
        <f t="shared" si="3225"/>
        <v/>
      </c>
      <c r="DC268" s="40" t="str">
        <f t="shared" si="3226"/>
        <v/>
      </c>
      <c r="DD268" s="40" t="str">
        <f t="shared" si="3227"/>
        <v/>
      </c>
      <c r="DE268" s="40" t="str">
        <f t="shared" si="3228"/>
        <v/>
      </c>
      <c r="DF268" s="40" t="str">
        <f t="shared" si="3229"/>
        <v/>
      </c>
      <c r="DG268" s="40" t="str">
        <f t="shared" si="3230"/>
        <v/>
      </c>
      <c r="DH268" s="40" t="str">
        <f t="shared" si="3231"/>
        <v/>
      </c>
      <c r="DI268" s="40" t="str">
        <f t="shared" si="3232"/>
        <v/>
      </c>
      <c r="DJ268" s="40" t="str">
        <f t="shared" si="3233"/>
        <v/>
      </c>
      <c r="DK268" s="40" t="str">
        <f t="shared" si="3234"/>
        <v/>
      </c>
      <c r="DL268" s="40" t="str">
        <f t="shared" si="3235"/>
        <v/>
      </c>
      <c r="DM268" s="40" t="str">
        <f t="shared" si="3236"/>
        <v/>
      </c>
      <c r="DN268" s="40" t="str">
        <f t="shared" si="3237"/>
        <v/>
      </c>
      <c r="DO268" s="40" t="str">
        <f t="shared" si="3238"/>
        <v/>
      </c>
      <c r="DP268" s="40" t="str">
        <f t="shared" si="3239"/>
        <v/>
      </c>
      <c r="DQ268" s="40" t="str">
        <f t="shared" si="3240"/>
        <v/>
      </c>
      <c r="DR268" s="40" t="str">
        <f t="shared" si="3241"/>
        <v/>
      </c>
      <c r="DS268" s="40" t="str">
        <f t="shared" si="3242"/>
        <v/>
      </c>
      <c r="DT268" s="40" t="str">
        <f t="shared" si="3243"/>
        <v/>
      </c>
      <c r="DU268" s="40" t="str">
        <f t="shared" si="3244"/>
        <v/>
      </c>
      <c r="DV268" s="40" t="str">
        <f t="shared" si="3245"/>
        <v/>
      </c>
      <c r="DW268" s="40" t="str">
        <f t="shared" si="3246"/>
        <v/>
      </c>
      <c r="DX268" s="40" t="str">
        <f t="shared" si="3247"/>
        <v/>
      </c>
      <c r="DY268" s="40" t="str">
        <f t="shared" si="3248"/>
        <v/>
      </c>
      <c r="DZ268" s="40" t="str">
        <f t="shared" si="3249"/>
        <v/>
      </c>
      <c r="EA268" s="40" t="str">
        <f t="shared" si="3250"/>
        <v/>
      </c>
      <c r="EB268" s="40" t="str">
        <f t="shared" si="3251"/>
        <v/>
      </c>
      <c r="EC268" s="40" t="str">
        <f t="shared" si="3252"/>
        <v/>
      </c>
      <c r="ED268" s="40" t="str">
        <f t="shared" si="3253"/>
        <v/>
      </c>
      <c r="EE268" s="40" t="str">
        <f t="shared" si="3254"/>
        <v/>
      </c>
      <c r="EF268" s="40" t="str">
        <f t="shared" si="3255"/>
        <v/>
      </c>
      <c r="EG268" s="40" t="str">
        <f t="shared" si="3256"/>
        <v/>
      </c>
      <c r="EH268" s="40" t="str">
        <f t="shared" si="3257"/>
        <v/>
      </c>
      <c r="EI268" s="40" t="str">
        <f t="shared" si="3258"/>
        <v/>
      </c>
      <c r="EJ268" s="40" t="str">
        <f t="shared" si="3259"/>
        <v/>
      </c>
      <c r="EK268" s="40" t="str">
        <f t="shared" si="3260"/>
        <v/>
      </c>
      <c r="EL268" s="40" t="str">
        <f t="shared" si="3261"/>
        <v/>
      </c>
      <c r="EM268" s="40" t="str">
        <f t="shared" si="3262"/>
        <v/>
      </c>
      <c r="EN268" s="40" t="str">
        <f t="shared" si="3263"/>
        <v/>
      </c>
      <c r="EO268" s="40" t="str">
        <f t="shared" si="3264"/>
        <v/>
      </c>
      <c r="EP268" s="40" t="str">
        <f t="shared" si="3265"/>
        <v/>
      </c>
      <c r="EQ268" s="40" t="str">
        <f t="shared" si="3266"/>
        <v/>
      </c>
      <c r="ER268" s="40" t="str">
        <f t="shared" si="3267"/>
        <v/>
      </c>
      <c r="ES268" s="40" t="str">
        <f t="shared" si="3268"/>
        <v/>
      </c>
      <c r="ET268" s="40" t="str">
        <f t="shared" si="3269"/>
        <v/>
      </c>
      <c r="EU268" s="40" t="str">
        <f t="shared" si="3270"/>
        <v/>
      </c>
      <c r="EV268" s="40" t="str">
        <f t="shared" si="3271"/>
        <v/>
      </c>
      <c r="EW268" s="40" t="str">
        <f t="shared" si="3272"/>
        <v/>
      </c>
      <c r="EX268" s="40" t="str">
        <f t="shared" si="3273"/>
        <v/>
      </c>
      <c r="EY268" s="40" t="str">
        <f t="shared" si="3274"/>
        <v/>
      </c>
      <c r="EZ268" s="40" t="str">
        <f t="shared" si="3275"/>
        <v/>
      </c>
      <c r="FA268" s="40" t="str">
        <f t="shared" si="3276"/>
        <v/>
      </c>
      <c r="FB268" s="40" t="str">
        <f t="shared" si="3277"/>
        <v/>
      </c>
      <c r="FC268" s="40" t="str">
        <f t="shared" si="3278"/>
        <v/>
      </c>
      <c r="FD268" s="40" t="str">
        <f t="shared" si="3279"/>
        <v/>
      </c>
      <c r="FE268" s="40" t="str">
        <f t="shared" si="3280"/>
        <v/>
      </c>
      <c r="FF268" s="40" t="str">
        <f t="shared" si="3281"/>
        <v/>
      </c>
      <c r="FG268" s="40" t="str">
        <f t="shared" si="3282"/>
        <v/>
      </c>
      <c r="FH268" s="40" t="str">
        <f t="shared" si="3283"/>
        <v/>
      </c>
      <c r="FI268" s="40" t="str">
        <f t="shared" si="3284"/>
        <v/>
      </c>
      <c r="FJ268" s="40" t="str">
        <f t="shared" si="3285"/>
        <v/>
      </c>
      <c r="FK268" s="40" t="str">
        <f t="shared" si="3286"/>
        <v/>
      </c>
      <c r="FL268" s="40" t="str">
        <f t="shared" si="3287"/>
        <v/>
      </c>
      <c r="FM268" s="40" t="str">
        <f t="shared" si="3288"/>
        <v/>
      </c>
      <c r="FN268" s="40" t="str">
        <f t="shared" si="3289"/>
        <v/>
      </c>
      <c r="FO268" s="40" t="str">
        <f t="shared" si="3290"/>
        <v/>
      </c>
      <c r="FP268" s="40" t="str">
        <f t="shared" si="3291"/>
        <v/>
      </c>
      <c r="FQ268" s="40" t="str">
        <f t="shared" si="3292"/>
        <v/>
      </c>
      <c r="FR268" s="40" t="str">
        <f t="shared" si="3293"/>
        <v/>
      </c>
      <c r="FS268" s="40" t="str">
        <f t="shared" si="3294"/>
        <v/>
      </c>
    </row>
    <row r="269" spans="92:175">
      <c r="CN269" s="10" t="str">
        <f t="shared" si="3219"/>
        <v>InitUnitState('',,,,,,,,,,)</v>
      </c>
      <c r="CO269" s="10" t="str">
        <f t="shared" si="3220"/>
        <v>InitUnitNormal('',,,,,,,,,,)</v>
      </c>
      <c r="CP269" s="10" t="str">
        <f t="shared" si="3221"/>
        <v>InitUnitMagic('',,,,,,,,,,)</v>
      </c>
      <c r="CQ269" s="10" t="str">
        <f t="shared" si="3222"/>
        <v>InitUnitAdd('',,,,,,,,,,)</v>
      </c>
      <c r="CR269" s="10" t="str">
        <f t="shared" si="3223"/>
        <v>InitEquipData('',,"",,,,,'','','','','','',"")</v>
      </c>
      <c r="CU269" s="3" t="str">
        <f t="shared" si="3224"/>
        <v>|n</v>
      </c>
      <c r="CW269" s="4"/>
      <c r="CX269" s="4"/>
      <c r="CY269" s="4"/>
      <c r="CZ269" s="4"/>
      <c r="DA269" s="4"/>
      <c r="DB269" s="40" t="str">
        <f t="shared" si="3225"/>
        <v/>
      </c>
      <c r="DC269" s="40" t="str">
        <f t="shared" si="3226"/>
        <v/>
      </c>
      <c r="DD269" s="40" t="str">
        <f t="shared" si="3227"/>
        <v/>
      </c>
      <c r="DE269" s="40" t="str">
        <f t="shared" si="3228"/>
        <v/>
      </c>
      <c r="DF269" s="40" t="str">
        <f t="shared" si="3229"/>
        <v/>
      </c>
      <c r="DG269" s="40" t="str">
        <f t="shared" si="3230"/>
        <v/>
      </c>
      <c r="DH269" s="40" t="str">
        <f t="shared" si="3231"/>
        <v/>
      </c>
      <c r="DI269" s="40" t="str">
        <f t="shared" si="3232"/>
        <v/>
      </c>
      <c r="DJ269" s="40" t="str">
        <f t="shared" si="3233"/>
        <v/>
      </c>
      <c r="DK269" s="40" t="str">
        <f t="shared" si="3234"/>
        <v/>
      </c>
      <c r="DL269" s="40" t="str">
        <f t="shared" si="3235"/>
        <v/>
      </c>
      <c r="DM269" s="40" t="str">
        <f t="shared" si="3236"/>
        <v/>
      </c>
      <c r="DN269" s="40" t="str">
        <f t="shared" si="3237"/>
        <v/>
      </c>
      <c r="DO269" s="40" t="str">
        <f t="shared" si="3238"/>
        <v/>
      </c>
      <c r="DP269" s="40" t="str">
        <f t="shared" si="3239"/>
        <v/>
      </c>
      <c r="DQ269" s="40" t="str">
        <f t="shared" si="3240"/>
        <v/>
      </c>
      <c r="DR269" s="40" t="str">
        <f t="shared" si="3241"/>
        <v/>
      </c>
      <c r="DS269" s="40" t="str">
        <f t="shared" si="3242"/>
        <v/>
      </c>
      <c r="DT269" s="40" t="str">
        <f t="shared" si="3243"/>
        <v/>
      </c>
      <c r="DU269" s="40" t="str">
        <f t="shared" si="3244"/>
        <v/>
      </c>
      <c r="DV269" s="40" t="str">
        <f t="shared" si="3245"/>
        <v/>
      </c>
      <c r="DW269" s="40" t="str">
        <f t="shared" si="3246"/>
        <v/>
      </c>
      <c r="DX269" s="40" t="str">
        <f t="shared" si="3247"/>
        <v/>
      </c>
      <c r="DY269" s="40" t="str">
        <f t="shared" si="3248"/>
        <v/>
      </c>
      <c r="DZ269" s="40" t="str">
        <f t="shared" si="3249"/>
        <v/>
      </c>
      <c r="EA269" s="40" t="str">
        <f t="shared" si="3250"/>
        <v/>
      </c>
      <c r="EB269" s="40" t="str">
        <f t="shared" si="3251"/>
        <v/>
      </c>
      <c r="EC269" s="40" t="str">
        <f t="shared" si="3252"/>
        <v/>
      </c>
      <c r="ED269" s="40" t="str">
        <f t="shared" si="3253"/>
        <v/>
      </c>
      <c r="EE269" s="40" t="str">
        <f t="shared" si="3254"/>
        <v/>
      </c>
      <c r="EF269" s="40" t="str">
        <f t="shared" si="3255"/>
        <v/>
      </c>
      <c r="EG269" s="40" t="str">
        <f t="shared" si="3256"/>
        <v/>
      </c>
      <c r="EH269" s="40" t="str">
        <f t="shared" si="3257"/>
        <v/>
      </c>
      <c r="EI269" s="40" t="str">
        <f t="shared" si="3258"/>
        <v/>
      </c>
      <c r="EJ269" s="40" t="str">
        <f t="shared" si="3259"/>
        <v/>
      </c>
      <c r="EK269" s="40" t="str">
        <f t="shared" si="3260"/>
        <v/>
      </c>
      <c r="EL269" s="40" t="str">
        <f t="shared" si="3261"/>
        <v/>
      </c>
      <c r="EM269" s="40" t="str">
        <f t="shared" si="3262"/>
        <v/>
      </c>
      <c r="EN269" s="40" t="str">
        <f t="shared" si="3263"/>
        <v/>
      </c>
      <c r="EO269" s="40" t="str">
        <f t="shared" si="3264"/>
        <v/>
      </c>
      <c r="EP269" s="40" t="str">
        <f t="shared" si="3265"/>
        <v/>
      </c>
      <c r="EQ269" s="40" t="str">
        <f t="shared" si="3266"/>
        <v/>
      </c>
      <c r="ER269" s="40" t="str">
        <f t="shared" si="3267"/>
        <v/>
      </c>
      <c r="ES269" s="40" t="str">
        <f t="shared" si="3268"/>
        <v/>
      </c>
      <c r="ET269" s="40" t="str">
        <f t="shared" si="3269"/>
        <v/>
      </c>
      <c r="EU269" s="40" t="str">
        <f t="shared" si="3270"/>
        <v/>
      </c>
      <c r="EV269" s="40" t="str">
        <f t="shared" si="3271"/>
        <v/>
      </c>
      <c r="EW269" s="40" t="str">
        <f t="shared" si="3272"/>
        <v/>
      </c>
      <c r="EX269" s="40" t="str">
        <f t="shared" si="3273"/>
        <v/>
      </c>
      <c r="EY269" s="40" t="str">
        <f t="shared" si="3274"/>
        <v/>
      </c>
      <c r="EZ269" s="40" t="str">
        <f t="shared" si="3275"/>
        <v/>
      </c>
      <c r="FA269" s="40" t="str">
        <f t="shared" si="3276"/>
        <v/>
      </c>
      <c r="FB269" s="40" t="str">
        <f t="shared" si="3277"/>
        <v/>
      </c>
      <c r="FC269" s="40" t="str">
        <f t="shared" si="3278"/>
        <v/>
      </c>
      <c r="FD269" s="40" t="str">
        <f t="shared" si="3279"/>
        <v/>
      </c>
      <c r="FE269" s="40" t="str">
        <f t="shared" si="3280"/>
        <v/>
      </c>
      <c r="FF269" s="40" t="str">
        <f t="shared" si="3281"/>
        <v/>
      </c>
      <c r="FG269" s="40" t="str">
        <f t="shared" si="3282"/>
        <v/>
      </c>
      <c r="FH269" s="40" t="str">
        <f t="shared" si="3283"/>
        <v/>
      </c>
      <c r="FI269" s="40" t="str">
        <f t="shared" si="3284"/>
        <v/>
      </c>
      <c r="FJ269" s="40" t="str">
        <f t="shared" si="3285"/>
        <v/>
      </c>
      <c r="FK269" s="40" t="str">
        <f t="shared" si="3286"/>
        <v/>
      </c>
      <c r="FL269" s="40" t="str">
        <f t="shared" si="3287"/>
        <v/>
      </c>
      <c r="FM269" s="40" t="str">
        <f t="shared" si="3288"/>
        <v/>
      </c>
      <c r="FN269" s="40" t="str">
        <f t="shared" si="3289"/>
        <v/>
      </c>
      <c r="FO269" s="40" t="str">
        <f t="shared" si="3290"/>
        <v/>
      </c>
      <c r="FP269" s="40" t="str">
        <f t="shared" si="3291"/>
        <v/>
      </c>
      <c r="FQ269" s="40" t="str">
        <f t="shared" si="3292"/>
        <v/>
      </c>
      <c r="FR269" s="40" t="str">
        <f t="shared" si="3293"/>
        <v/>
      </c>
      <c r="FS269" s="40" t="str">
        <f t="shared" si="3294"/>
        <v/>
      </c>
    </row>
    <row r="270" spans="92:175">
      <c r="CN270" s="10" t="str">
        <f t="shared" si="3219"/>
        <v>InitUnitState('',,,,,,,,,,)</v>
      </c>
      <c r="CO270" s="10" t="str">
        <f t="shared" si="3220"/>
        <v>InitUnitNormal('',,,,,,,,,,)</v>
      </c>
      <c r="CP270" s="10" t="str">
        <f t="shared" si="3221"/>
        <v>InitUnitMagic('',,,,,,,,,,)</v>
      </c>
      <c r="CQ270" s="10" t="str">
        <f t="shared" si="3222"/>
        <v>InitUnitAdd('',,,,,,,,,,)</v>
      </c>
      <c r="CR270" s="10" t="str">
        <f t="shared" si="3223"/>
        <v>InitEquipData('',,"",,,,,'','','','','','',"")</v>
      </c>
      <c r="CU270" s="3" t="str">
        <f t="shared" ref="CU270:CU308" si="3295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W270" s="4"/>
      <c r="CX270" s="4"/>
      <c r="CY270" s="4"/>
      <c r="CZ270" s="4"/>
      <c r="DA270" s="4"/>
      <c r="DB270" s="40" t="str">
        <f t="shared" si="3225"/>
        <v/>
      </c>
      <c r="DC270" s="40" t="str">
        <f t="shared" si="3226"/>
        <v/>
      </c>
      <c r="DD270" s="40" t="str">
        <f t="shared" si="3227"/>
        <v/>
      </c>
      <c r="DE270" s="40" t="str">
        <f t="shared" si="3228"/>
        <v/>
      </c>
      <c r="DF270" s="40" t="str">
        <f t="shared" si="3229"/>
        <v/>
      </c>
      <c r="DG270" s="40" t="str">
        <f t="shared" si="3230"/>
        <v/>
      </c>
      <c r="DH270" s="40" t="str">
        <f t="shared" si="3231"/>
        <v/>
      </c>
      <c r="DI270" s="40" t="str">
        <f t="shared" si="3232"/>
        <v/>
      </c>
      <c r="DJ270" s="40" t="str">
        <f t="shared" si="3233"/>
        <v/>
      </c>
      <c r="DK270" s="40" t="str">
        <f t="shared" si="3234"/>
        <v/>
      </c>
      <c r="DL270" s="40" t="str">
        <f t="shared" si="3235"/>
        <v/>
      </c>
      <c r="DM270" s="40" t="str">
        <f t="shared" si="3236"/>
        <v/>
      </c>
      <c r="DN270" s="40" t="str">
        <f t="shared" si="3237"/>
        <v/>
      </c>
      <c r="DO270" s="40" t="str">
        <f t="shared" si="3238"/>
        <v/>
      </c>
      <c r="DP270" s="40" t="str">
        <f t="shared" si="3239"/>
        <v/>
      </c>
      <c r="DQ270" s="40" t="str">
        <f t="shared" si="3240"/>
        <v/>
      </c>
      <c r="DR270" s="40" t="str">
        <f t="shared" si="3241"/>
        <v/>
      </c>
      <c r="DS270" s="40" t="str">
        <f t="shared" si="3242"/>
        <v/>
      </c>
      <c r="DT270" s="40" t="str">
        <f t="shared" si="3243"/>
        <v/>
      </c>
      <c r="DU270" s="40" t="str">
        <f t="shared" si="3244"/>
        <v/>
      </c>
      <c r="DV270" s="40" t="str">
        <f t="shared" si="3245"/>
        <v/>
      </c>
      <c r="DW270" s="40" t="str">
        <f t="shared" si="3246"/>
        <v/>
      </c>
      <c r="DX270" s="40" t="str">
        <f t="shared" si="3247"/>
        <v/>
      </c>
      <c r="DY270" s="40" t="str">
        <f t="shared" si="3248"/>
        <v/>
      </c>
      <c r="DZ270" s="40" t="str">
        <f t="shared" si="3249"/>
        <v/>
      </c>
      <c r="EA270" s="40" t="str">
        <f t="shared" si="3250"/>
        <v/>
      </c>
      <c r="EB270" s="40" t="str">
        <f t="shared" si="3251"/>
        <v/>
      </c>
      <c r="EC270" s="40" t="str">
        <f t="shared" si="3252"/>
        <v/>
      </c>
      <c r="ED270" s="40" t="str">
        <f t="shared" si="3253"/>
        <v/>
      </c>
      <c r="EE270" s="40" t="str">
        <f t="shared" si="3254"/>
        <v/>
      </c>
      <c r="EF270" s="40" t="str">
        <f t="shared" si="3255"/>
        <v/>
      </c>
      <c r="EG270" s="40" t="str">
        <f t="shared" si="3256"/>
        <v/>
      </c>
      <c r="EH270" s="40" t="str">
        <f t="shared" si="3257"/>
        <v/>
      </c>
      <c r="EI270" s="40" t="str">
        <f t="shared" si="3258"/>
        <v/>
      </c>
      <c r="EJ270" s="40" t="str">
        <f t="shared" si="3259"/>
        <v/>
      </c>
      <c r="EK270" s="40" t="str">
        <f t="shared" si="3260"/>
        <v/>
      </c>
      <c r="EL270" s="40" t="str">
        <f t="shared" si="3261"/>
        <v/>
      </c>
      <c r="EM270" s="40" t="str">
        <f t="shared" si="3262"/>
        <v/>
      </c>
      <c r="EN270" s="40" t="str">
        <f t="shared" si="3263"/>
        <v/>
      </c>
      <c r="EO270" s="40" t="str">
        <f t="shared" si="3264"/>
        <v/>
      </c>
      <c r="EP270" s="40" t="str">
        <f t="shared" si="3265"/>
        <v/>
      </c>
      <c r="EQ270" s="40" t="str">
        <f t="shared" si="3266"/>
        <v/>
      </c>
      <c r="ER270" s="40" t="str">
        <f t="shared" si="3267"/>
        <v/>
      </c>
      <c r="ES270" s="40" t="str">
        <f t="shared" si="3268"/>
        <v/>
      </c>
      <c r="ET270" s="40" t="str">
        <f t="shared" si="3269"/>
        <v/>
      </c>
      <c r="EU270" s="40" t="str">
        <f t="shared" si="3270"/>
        <v/>
      </c>
      <c r="EV270" s="40" t="str">
        <f t="shared" si="3271"/>
        <v/>
      </c>
      <c r="EW270" s="40" t="str">
        <f t="shared" si="3272"/>
        <v/>
      </c>
      <c r="EX270" s="40" t="str">
        <f t="shared" si="3273"/>
        <v/>
      </c>
      <c r="EY270" s="40" t="str">
        <f t="shared" si="3274"/>
        <v/>
      </c>
      <c r="EZ270" s="40" t="str">
        <f t="shared" si="3275"/>
        <v/>
      </c>
      <c r="FA270" s="40" t="str">
        <f t="shared" si="3276"/>
        <v/>
      </c>
      <c r="FB270" s="40" t="str">
        <f t="shared" si="3277"/>
        <v/>
      </c>
      <c r="FC270" s="40" t="str">
        <f t="shared" si="3278"/>
        <v/>
      </c>
      <c r="FD270" s="40" t="str">
        <f t="shared" si="3279"/>
        <v/>
      </c>
      <c r="FE270" s="40" t="str">
        <f t="shared" si="3280"/>
        <v/>
      </c>
      <c r="FF270" s="40" t="str">
        <f t="shared" si="3281"/>
        <v/>
      </c>
      <c r="FG270" s="40" t="str">
        <f t="shared" si="3282"/>
        <v/>
      </c>
      <c r="FH270" s="40" t="str">
        <f t="shared" si="3283"/>
        <v/>
      </c>
      <c r="FI270" s="40" t="str">
        <f t="shared" si="3284"/>
        <v/>
      </c>
      <c r="FJ270" s="40" t="str">
        <f t="shared" si="3285"/>
        <v/>
      </c>
      <c r="FK270" s="40" t="str">
        <f t="shared" si="3286"/>
        <v/>
      </c>
      <c r="FL270" s="40" t="str">
        <f t="shared" si="3287"/>
        <v/>
      </c>
      <c r="FM270" s="40" t="str">
        <f t="shared" si="3288"/>
        <v/>
      </c>
      <c r="FN270" s="40" t="str">
        <f t="shared" si="3289"/>
        <v/>
      </c>
      <c r="FO270" s="40" t="str">
        <f t="shared" si="3290"/>
        <v/>
      </c>
      <c r="FP270" s="40" t="str">
        <f t="shared" si="3291"/>
        <v/>
      </c>
      <c r="FQ270" s="40" t="str">
        <f t="shared" si="3292"/>
        <v/>
      </c>
      <c r="FR270" s="40" t="str">
        <f t="shared" si="3293"/>
        <v/>
      </c>
      <c r="FS270" s="40" t="str">
        <f t="shared" si="3294"/>
        <v/>
      </c>
    </row>
    <row r="271" spans="92:175">
      <c r="CN271" s="10" t="str">
        <f t="shared" si="3219"/>
        <v>InitUnitState('',,,,,,,,,,)</v>
      </c>
      <c r="CO271" s="10" t="str">
        <f t="shared" si="3220"/>
        <v>InitUnitNormal('',,,,,,,,,,)</v>
      </c>
      <c r="CP271" s="10" t="str">
        <f t="shared" si="3221"/>
        <v>InitUnitMagic('',,,,,,,,,,)</v>
      </c>
      <c r="CQ271" s="10" t="str">
        <f t="shared" si="3222"/>
        <v>InitUnitAdd('',,,,,,,,,,)</v>
      </c>
      <c r="CR271" s="10" t="str">
        <f t="shared" si="3223"/>
        <v>InitEquipData('',,"",,,,,'','','','','','',"")</v>
      </c>
      <c r="CU271" s="3" t="str">
        <f t="shared" si="3295"/>
        <v>|n</v>
      </c>
      <c r="CW271" s="4"/>
      <c r="CX271" s="4"/>
      <c r="CY271" s="4"/>
      <c r="CZ271" s="4"/>
      <c r="DA271" s="4"/>
      <c r="DB271" s="40" t="str">
        <f t="shared" si="3225"/>
        <v/>
      </c>
      <c r="DC271" s="40" t="str">
        <f t="shared" si="3226"/>
        <v/>
      </c>
      <c r="DD271" s="40" t="str">
        <f t="shared" si="3227"/>
        <v/>
      </c>
      <c r="DE271" s="40" t="str">
        <f t="shared" si="3228"/>
        <v/>
      </c>
      <c r="DF271" s="40" t="str">
        <f t="shared" si="3229"/>
        <v/>
      </c>
      <c r="DG271" s="40" t="str">
        <f t="shared" si="3230"/>
        <v/>
      </c>
      <c r="DH271" s="40" t="str">
        <f t="shared" si="3231"/>
        <v/>
      </c>
      <c r="DI271" s="40" t="str">
        <f t="shared" si="3232"/>
        <v/>
      </c>
      <c r="DJ271" s="40" t="str">
        <f t="shared" si="3233"/>
        <v/>
      </c>
      <c r="DK271" s="40" t="str">
        <f t="shared" si="3234"/>
        <v/>
      </c>
      <c r="DL271" s="40" t="str">
        <f t="shared" si="3235"/>
        <v/>
      </c>
      <c r="DM271" s="40" t="str">
        <f t="shared" si="3236"/>
        <v/>
      </c>
      <c r="DN271" s="40" t="str">
        <f t="shared" si="3237"/>
        <v/>
      </c>
      <c r="DO271" s="40" t="str">
        <f t="shared" si="3238"/>
        <v/>
      </c>
      <c r="DP271" s="40" t="str">
        <f t="shared" si="3239"/>
        <v/>
      </c>
      <c r="DQ271" s="40" t="str">
        <f t="shared" si="3240"/>
        <v/>
      </c>
      <c r="DR271" s="40" t="str">
        <f t="shared" si="3241"/>
        <v/>
      </c>
      <c r="DS271" s="40" t="str">
        <f t="shared" si="3242"/>
        <v/>
      </c>
      <c r="DT271" s="40" t="str">
        <f t="shared" si="3243"/>
        <v/>
      </c>
      <c r="DU271" s="40" t="str">
        <f t="shared" si="3244"/>
        <v/>
      </c>
      <c r="DV271" s="40" t="str">
        <f t="shared" si="3245"/>
        <v/>
      </c>
      <c r="DW271" s="40" t="str">
        <f t="shared" si="3246"/>
        <v/>
      </c>
      <c r="DX271" s="40" t="str">
        <f t="shared" si="3247"/>
        <v/>
      </c>
      <c r="DY271" s="40" t="str">
        <f t="shared" si="3248"/>
        <v/>
      </c>
      <c r="DZ271" s="40" t="str">
        <f t="shared" si="3249"/>
        <v/>
      </c>
      <c r="EA271" s="40" t="str">
        <f t="shared" si="3250"/>
        <v/>
      </c>
      <c r="EB271" s="40" t="str">
        <f t="shared" si="3251"/>
        <v/>
      </c>
      <c r="EC271" s="40" t="str">
        <f t="shared" si="3252"/>
        <v/>
      </c>
      <c r="ED271" s="40" t="str">
        <f t="shared" si="3253"/>
        <v/>
      </c>
      <c r="EE271" s="40" t="str">
        <f t="shared" si="3254"/>
        <v/>
      </c>
      <c r="EF271" s="40" t="str">
        <f t="shared" si="3255"/>
        <v/>
      </c>
      <c r="EG271" s="40" t="str">
        <f t="shared" si="3256"/>
        <v/>
      </c>
      <c r="EH271" s="40" t="str">
        <f t="shared" si="3257"/>
        <v/>
      </c>
      <c r="EI271" s="40" t="str">
        <f t="shared" si="3258"/>
        <v/>
      </c>
      <c r="EJ271" s="40" t="str">
        <f t="shared" si="3259"/>
        <v/>
      </c>
      <c r="EK271" s="40" t="str">
        <f t="shared" si="3260"/>
        <v/>
      </c>
      <c r="EL271" s="40" t="str">
        <f t="shared" si="3261"/>
        <v/>
      </c>
      <c r="EM271" s="40" t="str">
        <f t="shared" si="3262"/>
        <v/>
      </c>
      <c r="EN271" s="40" t="str">
        <f t="shared" si="3263"/>
        <v/>
      </c>
      <c r="EO271" s="40" t="str">
        <f t="shared" si="3264"/>
        <v/>
      </c>
      <c r="EP271" s="40" t="str">
        <f t="shared" si="3265"/>
        <v/>
      </c>
      <c r="EQ271" s="40" t="str">
        <f t="shared" si="3266"/>
        <v/>
      </c>
      <c r="ER271" s="40" t="str">
        <f t="shared" si="3267"/>
        <v/>
      </c>
      <c r="ES271" s="40" t="str">
        <f t="shared" si="3268"/>
        <v/>
      </c>
      <c r="ET271" s="40" t="str">
        <f t="shared" si="3269"/>
        <v/>
      </c>
      <c r="EU271" s="40" t="str">
        <f t="shared" si="3270"/>
        <v/>
      </c>
      <c r="EV271" s="40" t="str">
        <f t="shared" si="3271"/>
        <v/>
      </c>
      <c r="EW271" s="40" t="str">
        <f t="shared" si="3272"/>
        <v/>
      </c>
      <c r="EX271" s="40" t="str">
        <f t="shared" si="3273"/>
        <v/>
      </c>
      <c r="EY271" s="40" t="str">
        <f t="shared" si="3274"/>
        <v/>
      </c>
      <c r="EZ271" s="40" t="str">
        <f t="shared" si="3275"/>
        <v/>
      </c>
      <c r="FA271" s="40" t="str">
        <f t="shared" si="3276"/>
        <v/>
      </c>
      <c r="FB271" s="40" t="str">
        <f t="shared" si="3277"/>
        <v/>
      </c>
      <c r="FC271" s="40" t="str">
        <f t="shared" si="3278"/>
        <v/>
      </c>
      <c r="FD271" s="40" t="str">
        <f t="shared" si="3279"/>
        <v/>
      </c>
      <c r="FE271" s="40" t="str">
        <f t="shared" si="3280"/>
        <v/>
      </c>
      <c r="FF271" s="40" t="str">
        <f t="shared" si="3281"/>
        <v/>
      </c>
      <c r="FG271" s="40" t="str">
        <f t="shared" si="3282"/>
        <v/>
      </c>
      <c r="FH271" s="40" t="str">
        <f t="shared" si="3283"/>
        <v/>
      </c>
      <c r="FI271" s="40" t="str">
        <f t="shared" si="3284"/>
        <v/>
      </c>
      <c r="FJ271" s="40" t="str">
        <f t="shared" si="3285"/>
        <v/>
      </c>
      <c r="FK271" s="40" t="str">
        <f t="shared" si="3286"/>
        <v/>
      </c>
      <c r="FL271" s="40" t="str">
        <f t="shared" si="3287"/>
        <v/>
      </c>
      <c r="FM271" s="40" t="str">
        <f t="shared" si="3288"/>
        <v/>
      </c>
      <c r="FN271" s="40" t="str">
        <f t="shared" si="3289"/>
        <v/>
      </c>
      <c r="FO271" s="40" t="str">
        <f t="shared" si="3290"/>
        <v/>
      </c>
      <c r="FP271" s="40" t="str">
        <f t="shared" si="3291"/>
        <v/>
      </c>
      <c r="FQ271" s="40" t="str">
        <f t="shared" si="3292"/>
        <v/>
      </c>
      <c r="FR271" s="40" t="str">
        <f t="shared" si="3293"/>
        <v/>
      </c>
      <c r="FS271" s="40" t="str">
        <f t="shared" si="3294"/>
        <v/>
      </c>
    </row>
    <row r="272" spans="92:175">
      <c r="CN272" s="10" t="str">
        <f t="shared" si="3219"/>
        <v>InitUnitState('',,,,,,,,,,)</v>
      </c>
      <c r="CO272" s="10" t="str">
        <f t="shared" si="3220"/>
        <v>InitUnitNormal('',,,,,,,,,,)</v>
      </c>
      <c r="CP272" s="10" t="str">
        <f t="shared" si="3221"/>
        <v>InitUnitMagic('',,,,,,,,,,)</v>
      </c>
      <c r="CQ272" s="10" t="str">
        <f t="shared" si="3222"/>
        <v>InitUnitAdd('',,,,,,,,,,)</v>
      </c>
      <c r="CR272" s="10" t="str">
        <f t="shared" si="3223"/>
        <v>InitEquipData('',,"",,,,,'','','','','','',"")</v>
      </c>
      <c r="CU272" s="3" t="str">
        <f t="shared" si="3295"/>
        <v>|n</v>
      </c>
      <c r="CW272" s="4"/>
      <c r="CX272" s="4"/>
      <c r="CY272" s="4"/>
      <c r="CZ272" s="4"/>
      <c r="DA272" s="4"/>
      <c r="DB272" s="40" t="str">
        <f t="shared" si="3225"/>
        <v/>
      </c>
      <c r="DC272" s="40" t="str">
        <f t="shared" si="3226"/>
        <v/>
      </c>
      <c r="DD272" s="40" t="str">
        <f t="shared" si="3227"/>
        <v/>
      </c>
      <c r="DE272" s="40" t="str">
        <f t="shared" si="3228"/>
        <v/>
      </c>
      <c r="DF272" s="40" t="str">
        <f t="shared" si="3229"/>
        <v/>
      </c>
      <c r="DG272" s="40" t="str">
        <f t="shared" si="3230"/>
        <v/>
      </c>
      <c r="DH272" s="40" t="str">
        <f t="shared" si="3231"/>
        <v/>
      </c>
      <c r="DI272" s="40" t="str">
        <f t="shared" si="3232"/>
        <v/>
      </c>
      <c r="DJ272" s="40" t="str">
        <f t="shared" si="3233"/>
        <v/>
      </c>
      <c r="DK272" s="40" t="str">
        <f t="shared" si="3234"/>
        <v/>
      </c>
      <c r="DL272" s="40" t="str">
        <f t="shared" si="3235"/>
        <v/>
      </c>
      <c r="DM272" s="40" t="str">
        <f t="shared" si="3236"/>
        <v/>
      </c>
      <c r="DN272" s="40" t="str">
        <f t="shared" si="3237"/>
        <v/>
      </c>
      <c r="DO272" s="40" t="str">
        <f t="shared" si="3238"/>
        <v/>
      </c>
      <c r="DP272" s="40" t="str">
        <f t="shared" si="3239"/>
        <v/>
      </c>
      <c r="DQ272" s="40" t="str">
        <f t="shared" si="3240"/>
        <v/>
      </c>
      <c r="DR272" s="40" t="str">
        <f t="shared" si="3241"/>
        <v/>
      </c>
      <c r="DS272" s="40" t="str">
        <f t="shared" si="3242"/>
        <v/>
      </c>
      <c r="DT272" s="40" t="str">
        <f t="shared" si="3243"/>
        <v/>
      </c>
      <c r="DU272" s="40" t="str">
        <f t="shared" si="3244"/>
        <v/>
      </c>
      <c r="DV272" s="40" t="str">
        <f t="shared" si="3245"/>
        <v/>
      </c>
      <c r="DW272" s="40" t="str">
        <f t="shared" si="3246"/>
        <v/>
      </c>
      <c r="DX272" s="40" t="str">
        <f t="shared" si="3247"/>
        <v/>
      </c>
      <c r="DY272" s="40" t="str">
        <f t="shared" si="3248"/>
        <v/>
      </c>
      <c r="DZ272" s="40" t="str">
        <f t="shared" si="3249"/>
        <v/>
      </c>
      <c r="EA272" s="40" t="str">
        <f t="shared" si="3250"/>
        <v/>
      </c>
      <c r="EB272" s="40" t="str">
        <f t="shared" si="3251"/>
        <v/>
      </c>
      <c r="EC272" s="40" t="str">
        <f t="shared" si="3252"/>
        <v/>
      </c>
      <c r="ED272" s="40" t="str">
        <f t="shared" si="3253"/>
        <v/>
      </c>
      <c r="EE272" s="40" t="str">
        <f t="shared" si="3254"/>
        <v/>
      </c>
      <c r="EF272" s="40" t="str">
        <f t="shared" si="3255"/>
        <v/>
      </c>
      <c r="EG272" s="40" t="str">
        <f t="shared" si="3256"/>
        <v/>
      </c>
      <c r="EH272" s="40" t="str">
        <f t="shared" si="3257"/>
        <v/>
      </c>
      <c r="EI272" s="40" t="str">
        <f t="shared" si="3258"/>
        <v/>
      </c>
      <c r="EJ272" s="40" t="str">
        <f t="shared" si="3259"/>
        <v/>
      </c>
      <c r="EK272" s="40" t="str">
        <f t="shared" si="3260"/>
        <v/>
      </c>
      <c r="EL272" s="40" t="str">
        <f t="shared" si="3261"/>
        <v/>
      </c>
      <c r="EM272" s="40" t="str">
        <f t="shared" si="3262"/>
        <v/>
      </c>
      <c r="EN272" s="40" t="str">
        <f t="shared" si="3263"/>
        <v/>
      </c>
      <c r="EO272" s="40" t="str">
        <f t="shared" si="3264"/>
        <v/>
      </c>
      <c r="EP272" s="40" t="str">
        <f t="shared" si="3265"/>
        <v/>
      </c>
      <c r="EQ272" s="40" t="str">
        <f t="shared" si="3266"/>
        <v/>
      </c>
      <c r="ER272" s="40" t="str">
        <f t="shared" si="3267"/>
        <v/>
      </c>
      <c r="ES272" s="40" t="str">
        <f t="shared" si="3268"/>
        <v/>
      </c>
      <c r="ET272" s="40" t="str">
        <f t="shared" si="3269"/>
        <v/>
      </c>
      <c r="EU272" s="40" t="str">
        <f t="shared" si="3270"/>
        <v/>
      </c>
      <c r="EV272" s="40" t="str">
        <f t="shared" si="3271"/>
        <v/>
      </c>
      <c r="EW272" s="40" t="str">
        <f t="shared" si="3272"/>
        <v/>
      </c>
      <c r="EX272" s="40" t="str">
        <f t="shared" si="3273"/>
        <v/>
      </c>
      <c r="EY272" s="40" t="str">
        <f t="shared" si="3274"/>
        <v/>
      </c>
      <c r="EZ272" s="40" t="str">
        <f t="shared" si="3275"/>
        <v/>
      </c>
      <c r="FA272" s="40" t="str">
        <f t="shared" si="3276"/>
        <v/>
      </c>
      <c r="FB272" s="40" t="str">
        <f t="shared" si="3277"/>
        <v/>
      </c>
      <c r="FC272" s="40" t="str">
        <f t="shared" si="3278"/>
        <v/>
      </c>
      <c r="FD272" s="40" t="str">
        <f t="shared" si="3279"/>
        <v/>
      </c>
      <c r="FE272" s="40" t="str">
        <f t="shared" si="3280"/>
        <v/>
      </c>
      <c r="FF272" s="40" t="str">
        <f t="shared" si="3281"/>
        <v/>
      </c>
      <c r="FG272" s="40" t="str">
        <f t="shared" si="3282"/>
        <v/>
      </c>
      <c r="FH272" s="40" t="str">
        <f t="shared" si="3283"/>
        <v/>
      </c>
      <c r="FI272" s="40" t="str">
        <f t="shared" si="3284"/>
        <v/>
      </c>
      <c r="FJ272" s="40" t="str">
        <f t="shared" si="3285"/>
        <v/>
      </c>
      <c r="FK272" s="40" t="str">
        <f t="shared" si="3286"/>
        <v/>
      </c>
      <c r="FL272" s="40" t="str">
        <f t="shared" si="3287"/>
        <v/>
      </c>
      <c r="FM272" s="40" t="str">
        <f t="shared" si="3288"/>
        <v/>
      </c>
      <c r="FN272" s="40" t="str">
        <f t="shared" si="3289"/>
        <v/>
      </c>
      <c r="FO272" s="40" t="str">
        <f t="shared" si="3290"/>
        <v/>
      </c>
      <c r="FP272" s="40" t="str">
        <f t="shared" si="3291"/>
        <v/>
      </c>
      <c r="FQ272" s="40" t="str">
        <f t="shared" si="3292"/>
        <v/>
      </c>
      <c r="FR272" s="40" t="str">
        <f t="shared" si="3293"/>
        <v/>
      </c>
      <c r="FS272" s="40" t="str">
        <f t="shared" si="3294"/>
        <v/>
      </c>
    </row>
    <row r="273" spans="92:175">
      <c r="CN273" s="10" t="str">
        <f t="shared" si="3219"/>
        <v>InitUnitState('',,,,,,,,,,)</v>
      </c>
      <c r="CO273" s="10" t="str">
        <f t="shared" si="3220"/>
        <v>InitUnitNormal('',,,,,,,,,,)</v>
      </c>
      <c r="CP273" s="10" t="str">
        <f t="shared" si="3221"/>
        <v>InitUnitMagic('',,,,,,,,,,)</v>
      </c>
      <c r="CQ273" s="10" t="str">
        <f t="shared" si="3222"/>
        <v>InitUnitAdd('',,,,,,,,,,)</v>
      </c>
      <c r="CR273" s="10" t="str">
        <f t="shared" si="3223"/>
        <v>InitEquipData('',,"",,,,,'','','','','','',"")</v>
      </c>
      <c r="CU273" s="3" t="str">
        <f t="shared" si="3295"/>
        <v>|n</v>
      </c>
      <c r="CW273" s="4"/>
      <c r="CX273" s="4"/>
      <c r="CY273" s="4"/>
      <c r="CZ273" s="4"/>
      <c r="DA273" s="4"/>
      <c r="DB273" s="40" t="str">
        <f t="shared" si="3225"/>
        <v/>
      </c>
      <c r="DC273" s="40" t="str">
        <f t="shared" si="3226"/>
        <v/>
      </c>
      <c r="DD273" s="40" t="str">
        <f t="shared" si="3227"/>
        <v/>
      </c>
      <c r="DE273" s="40" t="str">
        <f t="shared" si="3228"/>
        <v/>
      </c>
      <c r="DF273" s="40" t="str">
        <f t="shared" si="3229"/>
        <v/>
      </c>
      <c r="DG273" s="40" t="str">
        <f t="shared" si="3230"/>
        <v/>
      </c>
      <c r="DH273" s="40" t="str">
        <f t="shared" si="3231"/>
        <v/>
      </c>
      <c r="DI273" s="40" t="str">
        <f t="shared" si="3232"/>
        <v/>
      </c>
      <c r="DJ273" s="40" t="str">
        <f t="shared" si="3233"/>
        <v/>
      </c>
      <c r="DK273" s="40" t="str">
        <f t="shared" si="3234"/>
        <v/>
      </c>
      <c r="DL273" s="40" t="str">
        <f t="shared" si="3235"/>
        <v/>
      </c>
      <c r="DM273" s="40" t="str">
        <f t="shared" si="3236"/>
        <v/>
      </c>
      <c r="DN273" s="40" t="str">
        <f t="shared" si="3237"/>
        <v/>
      </c>
      <c r="DO273" s="40" t="str">
        <f t="shared" si="3238"/>
        <v/>
      </c>
      <c r="DP273" s="40" t="str">
        <f t="shared" si="3239"/>
        <v/>
      </c>
      <c r="DQ273" s="40" t="str">
        <f t="shared" si="3240"/>
        <v/>
      </c>
      <c r="DR273" s="40" t="str">
        <f t="shared" si="3241"/>
        <v/>
      </c>
      <c r="DS273" s="40" t="str">
        <f t="shared" si="3242"/>
        <v/>
      </c>
      <c r="DT273" s="40" t="str">
        <f t="shared" si="3243"/>
        <v/>
      </c>
      <c r="DU273" s="40" t="str">
        <f t="shared" si="3244"/>
        <v/>
      </c>
      <c r="DV273" s="40" t="str">
        <f t="shared" si="3245"/>
        <v/>
      </c>
      <c r="DW273" s="40" t="str">
        <f t="shared" si="3246"/>
        <v/>
      </c>
      <c r="DX273" s="40" t="str">
        <f t="shared" si="3247"/>
        <v/>
      </c>
      <c r="DY273" s="40" t="str">
        <f t="shared" si="3248"/>
        <v/>
      </c>
      <c r="DZ273" s="40" t="str">
        <f t="shared" si="3249"/>
        <v/>
      </c>
      <c r="EA273" s="40" t="str">
        <f t="shared" si="3250"/>
        <v/>
      </c>
      <c r="EB273" s="40" t="str">
        <f t="shared" si="3251"/>
        <v/>
      </c>
      <c r="EC273" s="40" t="str">
        <f t="shared" si="3252"/>
        <v/>
      </c>
      <c r="ED273" s="40" t="str">
        <f t="shared" si="3253"/>
        <v/>
      </c>
      <c r="EE273" s="40" t="str">
        <f t="shared" si="3254"/>
        <v/>
      </c>
      <c r="EF273" s="40" t="str">
        <f t="shared" si="3255"/>
        <v/>
      </c>
      <c r="EG273" s="40" t="str">
        <f t="shared" si="3256"/>
        <v/>
      </c>
      <c r="EH273" s="40" t="str">
        <f t="shared" si="3257"/>
        <v/>
      </c>
      <c r="EI273" s="40" t="str">
        <f t="shared" si="3258"/>
        <v/>
      </c>
      <c r="EJ273" s="40" t="str">
        <f t="shared" si="3259"/>
        <v/>
      </c>
      <c r="EK273" s="40" t="str">
        <f t="shared" si="3260"/>
        <v/>
      </c>
      <c r="EL273" s="40" t="str">
        <f t="shared" si="3261"/>
        <v/>
      </c>
      <c r="EM273" s="40" t="str">
        <f t="shared" si="3262"/>
        <v/>
      </c>
      <c r="EN273" s="40" t="str">
        <f t="shared" si="3263"/>
        <v/>
      </c>
      <c r="EO273" s="40" t="str">
        <f t="shared" si="3264"/>
        <v/>
      </c>
      <c r="EP273" s="40" t="str">
        <f t="shared" si="3265"/>
        <v/>
      </c>
      <c r="EQ273" s="40" t="str">
        <f t="shared" si="3266"/>
        <v/>
      </c>
      <c r="ER273" s="40" t="str">
        <f t="shared" si="3267"/>
        <v/>
      </c>
      <c r="ES273" s="40" t="str">
        <f t="shared" si="3268"/>
        <v/>
      </c>
      <c r="ET273" s="40" t="str">
        <f t="shared" si="3269"/>
        <v/>
      </c>
      <c r="EU273" s="40" t="str">
        <f t="shared" si="3270"/>
        <v/>
      </c>
      <c r="EV273" s="40" t="str">
        <f t="shared" si="3271"/>
        <v/>
      </c>
      <c r="EW273" s="40" t="str">
        <f t="shared" si="3272"/>
        <v/>
      </c>
      <c r="EX273" s="40" t="str">
        <f t="shared" si="3273"/>
        <v/>
      </c>
      <c r="EY273" s="40" t="str">
        <f t="shared" si="3274"/>
        <v/>
      </c>
      <c r="EZ273" s="40" t="str">
        <f t="shared" si="3275"/>
        <v/>
      </c>
      <c r="FA273" s="40" t="str">
        <f t="shared" si="3276"/>
        <v/>
      </c>
      <c r="FB273" s="40" t="str">
        <f t="shared" si="3277"/>
        <v/>
      </c>
      <c r="FC273" s="40" t="str">
        <f t="shared" si="3278"/>
        <v/>
      </c>
      <c r="FD273" s="40" t="str">
        <f t="shared" si="3279"/>
        <v/>
      </c>
      <c r="FE273" s="40" t="str">
        <f t="shared" si="3280"/>
        <v/>
      </c>
      <c r="FF273" s="40" t="str">
        <f t="shared" si="3281"/>
        <v/>
      </c>
      <c r="FG273" s="40" t="str">
        <f t="shared" si="3282"/>
        <v/>
      </c>
      <c r="FH273" s="40" t="str">
        <f t="shared" si="3283"/>
        <v/>
      </c>
      <c r="FI273" s="40" t="str">
        <f t="shared" si="3284"/>
        <v/>
      </c>
      <c r="FJ273" s="40" t="str">
        <f t="shared" si="3285"/>
        <v/>
      </c>
      <c r="FK273" s="40" t="str">
        <f t="shared" si="3286"/>
        <v/>
      </c>
      <c r="FL273" s="40" t="str">
        <f t="shared" si="3287"/>
        <v/>
      </c>
      <c r="FM273" s="40" t="str">
        <f t="shared" si="3288"/>
        <v/>
      </c>
      <c r="FN273" s="40" t="str">
        <f t="shared" si="3289"/>
        <v/>
      </c>
      <c r="FO273" s="40" t="str">
        <f t="shared" si="3290"/>
        <v/>
      </c>
      <c r="FP273" s="40" t="str">
        <f t="shared" si="3291"/>
        <v/>
      </c>
      <c r="FQ273" s="40" t="str">
        <f t="shared" si="3292"/>
        <v/>
      </c>
      <c r="FR273" s="40" t="str">
        <f t="shared" si="3293"/>
        <v/>
      </c>
      <c r="FS273" s="40" t="str">
        <f t="shared" si="3294"/>
        <v/>
      </c>
    </row>
    <row r="274" spans="92:175">
      <c r="CN274" s="10" t="str">
        <f t="shared" si="3219"/>
        <v>InitUnitState('',,,,,,,,,,)</v>
      </c>
      <c r="CO274" s="10" t="str">
        <f t="shared" si="3220"/>
        <v>InitUnitNormal('',,,,,,,,,,)</v>
      </c>
      <c r="CP274" s="10" t="str">
        <f t="shared" si="3221"/>
        <v>InitUnitMagic('',,,,,,,,,,)</v>
      </c>
      <c r="CQ274" s="10" t="str">
        <f t="shared" si="3222"/>
        <v>InitUnitAdd('',,,,,,,,,,)</v>
      </c>
      <c r="CR274" s="10" t="str">
        <f t="shared" si="3223"/>
        <v>InitEquipData('',,"",,,,,'','','','','','',"")</v>
      </c>
      <c r="CU274" s="3" t="str">
        <f t="shared" si="3295"/>
        <v>|n</v>
      </c>
      <c r="CW274" s="4"/>
      <c r="CX274" s="4"/>
      <c r="CY274" s="4"/>
      <c r="CZ274" s="4"/>
      <c r="DA274" s="4"/>
      <c r="DB274" s="40" t="str">
        <f t="shared" si="3225"/>
        <v/>
      </c>
      <c r="DC274" s="40" t="str">
        <f t="shared" si="3226"/>
        <v/>
      </c>
      <c r="DD274" s="40" t="str">
        <f t="shared" si="3227"/>
        <v/>
      </c>
      <c r="DE274" s="40" t="str">
        <f t="shared" si="3228"/>
        <v/>
      </c>
      <c r="DF274" s="40" t="str">
        <f t="shared" si="3229"/>
        <v/>
      </c>
      <c r="DG274" s="40" t="str">
        <f t="shared" si="3230"/>
        <v/>
      </c>
      <c r="DH274" s="40" t="str">
        <f t="shared" si="3231"/>
        <v/>
      </c>
      <c r="DI274" s="40" t="str">
        <f t="shared" si="3232"/>
        <v/>
      </c>
      <c r="DJ274" s="40" t="str">
        <f t="shared" si="3233"/>
        <v/>
      </c>
      <c r="DK274" s="40" t="str">
        <f t="shared" si="3234"/>
        <v/>
      </c>
      <c r="DL274" s="40" t="str">
        <f t="shared" si="3235"/>
        <v/>
      </c>
      <c r="DM274" s="40" t="str">
        <f t="shared" si="3236"/>
        <v/>
      </c>
      <c r="DN274" s="40" t="str">
        <f t="shared" si="3237"/>
        <v/>
      </c>
      <c r="DO274" s="40" t="str">
        <f t="shared" si="3238"/>
        <v/>
      </c>
      <c r="DP274" s="40" t="str">
        <f t="shared" si="3239"/>
        <v/>
      </c>
      <c r="DQ274" s="40" t="str">
        <f t="shared" si="3240"/>
        <v/>
      </c>
      <c r="DR274" s="40" t="str">
        <f t="shared" si="3241"/>
        <v/>
      </c>
      <c r="DS274" s="40" t="str">
        <f t="shared" si="3242"/>
        <v/>
      </c>
      <c r="DT274" s="40" t="str">
        <f t="shared" si="3243"/>
        <v/>
      </c>
      <c r="DU274" s="40" t="str">
        <f t="shared" si="3244"/>
        <v/>
      </c>
      <c r="DV274" s="40" t="str">
        <f t="shared" si="3245"/>
        <v/>
      </c>
      <c r="DW274" s="40" t="str">
        <f t="shared" si="3246"/>
        <v/>
      </c>
      <c r="DX274" s="40" t="str">
        <f t="shared" si="3247"/>
        <v/>
      </c>
      <c r="DY274" s="40" t="str">
        <f t="shared" si="3248"/>
        <v/>
      </c>
      <c r="DZ274" s="40" t="str">
        <f t="shared" si="3249"/>
        <v/>
      </c>
      <c r="EA274" s="40" t="str">
        <f t="shared" si="3250"/>
        <v/>
      </c>
      <c r="EB274" s="40" t="str">
        <f t="shared" si="3251"/>
        <v/>
      </c>
      <c r="EC274" s="40" t="str">
        <f t="shared" si="3252"/>
        <v/>
      </c>
      <c r="ED274" s="40" t="str">
        <f t="shared" si="3253"/>
        <v/>
      </c>
      <c r="EE274" s="40" t="str">
        <f t="shared" si="3254"/>
        <v/>
      </c>
      <c r="EF274" s="40" t="str">
        <f t="shared" si="3255"/>
        <v/>
      </c>
      <c r="EG274" s="40" t="str">
        <f t="shared" si="3256"/>
        <v/>
      </c>
      <c r="EH274" s="40" t="str">
        <f t="shared" si="3257"/>
        <v/>
      </c>
      <c r="EI274" s="40" t="str">
        <f t="shared" si="3258"/>
        <v/>
      </c>
      <c r="EJ274" s="40" t="str">
        <f t="shared" si="3259"/>
        <v/>
      </c>
      <c r="EK274" s="40" t="str">
        <f t="shared" si="3260"/>
        <v/>
      </c>
      <c r="EL274" s="40" t="str">
        <f t="shared" si="3261"/>
        <v/>
      </c>
      <c r="EM274" s="40" t="str">
        <f t="shared" si="3262"/>
        <v/>
      </c>
      <c r="EN274" s="40" t="str">
        <f t="shared" si="3263"/>
        <v/>
      </c>
      <c r="EO274" s="40" t="str">
        <f t="shared" si="3264"/>
        <v/>
      </c>
      <c r="EP274" s="40" t="str">
        <f t="shared" si="3265"/>
        <v/>
      </c>
      <c r="EQ274" s="40" t="str">
        <f t="shared" si="3266"/>
        <v/>
      </c>
      <c r="ER274" s="40" t="str">
        <f t="shared" si="3267"/>
        <v/>
      </c>
      <c r="ES274" s="40" t="str">
        <f t="shared" si="3268"/>
        <v/>
      </c>
      <c r="ET274" s="40" t="str">
        <f t="shared" si="3269"/>
        <v/>
      </c>
      <c r="EU274" s="40" t="str">
        <f t="shared" si="3270"/>
        <v/>
      </c>
      <c r="EV274" s="40" t="str">
        <f t="shared" si="3271"/>
        <v/>
      </c>
      <c r="EW274" s="40" t="str">
        <f t="shared" si="3272"/>
        <v/>
      </c>
      <c r="EX274" s="40" t="str">
        <f t="shared" si="3273"/>
        <v/>
      </c>
      <c r="EY274" s="40" t="str">
        <f t="shared" si="3274"/>
        <v/>
      </c>
      <c r="EZ274" s="40" t="str">
        <f t="shared" si="3275"/>
        <v/>
      </c>
      <c r="FA274" s="40" t="str">
        <f t="shared" si="3276"/>
        <v/>
      </c>
      <c r="FB274" s="40" t="str">
        <f t="shared" si="3277"/>
        <v/>
      </c>
      <c r="FC274" s="40" t="str">
        <f t="shared" si="3278"/>
        <v/>
      </c>
      <c r="FD274" s="40" t="str">
        <f t="shared" si="3279"/>
        <v/>
      </c>
      <c r="FE274" s="40" t="str">
        <f t="shared" si="3280"/>
        <v/>
      </c>
      <c r="FF274" s="40" t="str">
        <f t="shared" si="3281"/>
        <v/>
      </c>
      <c r="FG274" s="40" t="str">
        <f t="shared" si="3282"/>
        <v/>
      </c>
      <c r="FH274" s="40" t="str">
        <f t="shared" si="3283"/>
        <v/>
      </c>
      <c r="FI274" s="40" t="str">
        <f t="shared" si="3284"/>
        <v/>
      </c>
      <c r="FJ274" s="40" t="str">
        <f t="shared" si="3285"/>
        <v/>
      </c>
      <c r="FK274" s="40" t="str">
        <f t="shared" si="3286"/>
        <v/>
      </c>
      <c r="FL274" s="40" t="str">
        <f t="shared" si="3287"/>
        <v/>
      </c>
      <c r="FM274" s="40" t="str">
        <f t="shared" si="3288"/>
        <v/>
      </c>
      <c r="FN274" s="40" t="str">
        <f t="shared" si="3289"/>
        <v/>
      </c>
      <c r="FO274" s="40" t="str">
        <f t="shared" si="3290"/>
        <v/>
      </c>
      <c r="FP274" s="40" t="str">
        <f t="shared" si="3291"/>
        <v/>
      </c>
      <c r="FQ274" s="40" t="str">
        <f t="shared" si="3292"/>
        <v/>
      </c>
      <c r="FR274" s="40" t="str">
        <f t="shared" si="3293"/>
        <v/>
      </c>
      <c r="FS274" s="40" t="str">
        <f t="shared" si="3294"/>
        <v/>
      </c>
    </row>
    <row r="275" spans="92:175">
      <c r="CN275" s="10" t="str">
        <f t="shared" si="3219"/>
        <v>InitUnitState('',,,,,,,,,,)</v>
      </c>
      <c r="CO275" s="10" t="str">
        <f t="shared" si="3220"/>
        <v>InitUnitNormal('',,,,,,,,,,)</v>
      </c>
      <c r="CP275" s="10" t="str">
        <f t="shared" si="3221"/>
        <v>InitUnitMagic('',,,,,,,,,,)</v>
      </c>
      <c r="CQ275" s="10" t="str">
        <f t="shared" si="3222"/>
        <v>InitUnitAdd('',,,,,,,,,,)</v>
      </c>
      <c r="CR275" s="10" t="str">
        <f t="shared" si="3223"/>
        <v>InitEquipData('',,"",,,,,'','','','','','',"")</v>
      </c>
      <c r="CU275" s="3" t="str">
        <f t="shared" si="3295"/>
        <v>|n</v>
      </c>
      <c r="CW275" s="4"/>
      <c r="CX275" s="4"/>
      <c r="CY275" s="4"/>
      <c r="CZ275" s="4"/>
      <c r="DA275" s="4"/>
      <c r="DB275" s="40" t="str">
        <f t="shared" si="3225"/>
        <v/>
      </c>
      <c r="DC275" s="40" t="str">
        <f t="shared" si="3226"/>
        <v/>
      </c>
      <c r="DD275" s="40" t="str">
        <f t="shared" si="3227"/>
        <v/>
      </c>
      <c r="DE275" s="40" t="str">
        <f t="shared" si="3228"/>
        <v/>
      </c>
      <c r="DF275" s="40" t="str">
        <f t="shared" si="3229"/>
        <v/>
      </c>
      <c r="DG275" s="40" t="str">
        <f t="shared" si="3230"/>
        <v/>
      </c>
      <c r="DH275" s="40" t="str">
        <f t="shared" si="3231"/>
        <v/>
      </c>
      <c r="DI275" s="40" t="str">
        <f t="shared" si="3232"/>
        <v/>
      </c>
      <c r="DJ275" s="40" t="str">
        <f t="shared" si="3233"/>
        <v/>
      </c>
      <c r="DK275" s="40" t="str">
        <f t="shared" si="3234"/>
        <v/>
      </c>
      <c r="DL275" s="40" t="str">
        <f t="shared" si="3235"/>
        <v/>
      </c>
      <c r="DM275" s="40" t="str">
        <f t="shared" si="3236"/>
        <v/>
      </c>
      <c r="DN275" s="40" t="str">
        <f t="shared" si="3237"/>
        <v/>
      </c>
      <c r="DO275" s="40" t="str">
        <f t="shared" si="3238"/>
        <v/>
      </c>
      <c r="DP275" s="40" t="str">
        <f t="shared" si="3239"/>
        <v/>
      </c>
      <c r="DQ275" s="40" t="str">
        <f t="shared" si="3240"/>
        <v/>
      </c>
      <c r="DR275" s="40" t="str">
        <f t="shared" si="3241"/>
        <v/>
      </c>
      <c r="DS275" s="40" t="str">
        <f t="shared" si="3242"/>
        <v/>
      </c>
      <c r="DT275" s="40" t="str">
        <f t="shared" si="3243"/>
        <v/>
      </c>
      <c r="DU275" s="40" t="str">
        <f t="shared" si="3244"/>
        <v/>
      </c>
      <c r="DV275" s="40" t="str">
        <f t="shared" si="3245"/>
        <v/>
      </c>
      <c r="DW275" s="40" t="str">
        <f t="shared" si="3246"/>
        <v/>
      </c>
      <c r="DX275" s="40" t="str">
        <f t="shared" si="3247"/>
        <v/>
      </c>
      <c r="DY275" s="40" t="str">
        <f t="shared" si="3248"/>
        <v/>
      </c>
      <c r="DZ275" s="40" t="str">
        <f t="shared" si="3249"/>
        <v/>
      </c>
      <c r="EA275" s="40" t="str">
        <f t="shared" si="3250"/>
        <v/>
      </c>
      <c r="EB275" s="40" t="str">
        <f t="shared" si="3251"/>
        <v/>
      </c>
      <c r="EC275" s="40" t="str">
        <f t="shared" si="3252"/>
        <v/>
      </c>
      <c r="ED275" s="40" t="str">
        <f t="shared" si="3253"/>
        <v/>
      </c>
      <c r="EE275" s="40" t="str">
        <f t="shared" si="3254"/>
        <v/>
      </c>
      <c r="EF275" s="40" t="str">
        <f t="shared" si="3255"/>
        <v/>
      </c>
      <c r="EG275" s="40" t="str">
        <f t="shared" si="3256"/>
        <v/>
      </c>
      <c r="EH275" s="40" t="str">
        <f t="shared" si="3257"/>
        <v/>
      </c>
      <c r="EI275" s="40" t="str">
        <f t="shared" si="3258"/>
        <v/>
      </c>
      <c r="EJ275" s="40" t="str">
        <f t="shared" si="3259"/>
        <v/>
      </c>
      <c r="EK275" s="40" t="str">
        <f t="shared" si="3260"/>
        <v/>
      </c>
      <c r="EL275" s="40" t="str">
        <f t="shared" si="3261"/>
        <v/>
      </c>
      <c r="EM275" s="40" t="str">
        <f t="shared" si="3262"/>
        <v/>
      </c>
      <c r="EN275" s="40" t="str">
        <f t="shared" si="3263"/>
        <v/>
      </c>
      <c r="EO275" s="40" t="str">
        <f t="shared" si="3264"/>
        <v/>
      </c>
      <c r="EP275" s="40" t="str">
        <f t="shared" si="3265"/>
        <v/>
      </c>
      <c r="EQ275" s="40" t="str">
        <f t="shared" si="3266"/>
        <v/>
      </c>
      <c r="ER275" s="40" t="str">
        <f t="shared" si="3267"/>
        <v/>
      </c>
      <c r="ES275" s="40" t="str">
        <f t="shared" si="3268"/>
        <v/>
      </c>
      <c r="ET275" s="40" t="str">
        <f t="shared" si="3269"/>
        <v/>
      </c>
      <c r="EU275" s="40" t="str">
        <f t="shared" si="3270"/>
        <v/>
      </c>
      <c r="EV275" s="40" t="str">
        <f t="shared" si="3271"/>
        <v/>
      </c>
      <c r="EW275" s="40" t="str">
        <f t="shared" si="3272"/>
        <v/>
      </c>
      <c r="EX275" s="40" t="str">
        <f t="shared" si="3273"/>
        <v/>
      </c>
      <c r="EY275" s="40" t="str">
        <f t="shared" si="3274"/>
        <v/>
      </c>
      <c r="EZ275" s="40" t="str">
        <f t="shared" si="3275"/>
        <v/>
      </c>
      <c r="FA275" s="40" t="str">
        <f t="shared" si="3276"/>
        <v/>
      </c>
      <c r="FB275" s="40" t="str">
        <f t="shared" si="3277"/>
        <v/>
      </c>
      <c r="FC275" s="40" t="str">
        <f t="shared" si="3278"/>
        <v/>
      </c>
      <c r="FD275" s="40" t="str">
        <f t="shared" si="3279"/>
        <v/>
      </c>
      <c r="FE275" s="40" t="str">
        <f t="shared" si="3280"/>
        <v/>
      </c>
      <c r="FF275" s="40" t="str">
        <f t="shared" si="3281"/>
        <v/>
      </c>
      <c r="FG275" s="40" t="str">
        <f t="shared" si="3282"/>
        <v/>
      </c>
      <c r="FH275" s="40" t="str">
        <f t="shared" si="3283"/>
        <v/>
      </c>
      <c r="FI275" s="40" t="str">
        <f t="shared" si="3284"/>
        <v/>
      </c>
      <c r="FJ275" s="40" t="str">
        <f t="shared" si="3285"/>
        <v/>
      </c>
      <c r="FK275" s="40" t="str">
        <f t="shared" si="3286"/>
        <v/>
      </c>
      <c r="FL275" s="40" t="str">
        <f t="shared" si="3287"/>
        <v/>
      </c>
      <c r="FM275" s="40" t="str">
        <f t="shared" si="3288"/>
        <v/>
      </c>
      <c r="FN275" s="40" t="str">
        <f t="shared" si="3289"/>
        <v/>
      </c>
      <c r="FO275" s="40" t="str">
        <f t="shared" si="3290"/>
        <v/>
      </c>
      <c r="FP275" s="40" t="str">
        <f t="shared" si="3291"/>
        <v/>
      </c>
      <c r="FQ275" s="40" t="str">
        <f t="shared" si="3292"/>
        <v/>
      </c>
      <c r="FR275" s="40" t="str">
        <f t="shared" si="3293"/>
        <v/>
      </c>
      <c r="FS275" s="40" t="str">
        <f t="shared" si="3294"/>
        <v/>
      </c>
    </row>
    <row r="276" spans="92:175">
      <c r="CN276" s="10" t="str">
        <f t="shared" si="3219"/>
        <v>InitUnitState('',,,,,,,,,,)</v>
      </c>
      <c r="CO276" s="10" t="str">
        <f t="shared" si="3220"/>
        <v>InitUnitNormal('',,,,,,,,,,)</v>
      </c>
      <c r="CP276" s="10" t="str">
        <f t="shared" si="3221"/>
        <v>InitUnitMagic('',,,,,,,,,,)</v>
      </c>
      <c r="CQ276" s="10" t="str">
        <f t="shared" si="3222"/>
        <v>InitUnitAdd('',,,,,,,,,,)</v>
      </c>
      <c r="CR276" s="10" t="str">
        <f t="shared" si="3223"/>
        <v>InitEquipData('',,"",,,,,'','','','','','',"")</v>
      </c>
      <c r="CU276" s="3" t="str">
        <f t="shared" si="3295"/>
        <v>|n</v>
      </c>
      <c r="CW276" s="4"/>
      <c r="CX276" s="4"/>
      <c r="CY276" s="4"/>
      <c r="CZ276" s="4"/>
      <c r="DA276" s="4"/>
      <c r="DB276" s="40" t="str">
        <f t="shared" si="3225"/>
        <v/>
      </c>
      <c r="DC276" s="40" t="str">
        <f t="shared" si="3226"/>
        <v/>
      </c>
      <c r="DD276" s="40" t="str">
        <f t="shared" si="3227"/>
        <v/>
      </c>
      <c r="DE276" s="40" t="str">
        <f t="shared" si="3228"/>
        <v/>
      </c>
      <c r="DF276" s="40" t="str">
        <f t="shared" si="3229"/>
        <v/>
      </c>
      <c r="DG276" s="40" t="str">
        <f t="shared" si="3230"/>
        <v/>
      </c>
      <c r="DH276" s="40" t="str">
        <f t="shared" si="3231"/>
        <v/>
      </c>
      <c r="DI276" s="40" t="str">
        <f t="shared" si="3232"/>
        <v/>
      </c>
      <c r="DJ276" s="40" t="str">
        <f t="shared" si="3233"/>
        <v/>
      </c>
      <c r="DK276" s="40" t="str">
        <f t="shared" si="3234"/>
        <v/>
      </c>
      <c r="DL276" s="40" t="str">
        <f t="shared" si="3235"/>
        <v/>
      </c>
      <c r="DM276" s="40" t="str">
        <f t="shared" si="3236"/>
        <v/>
      </c>
      <c r="DN276" s="40" t="str">
        <f t="shared" si="3237"/>
        <v/>
      </c>
      <c r="DO276" s="40" t="str">
        <f t="shared" si="3238"/>
        <v/>
      </c>
      <c r="DP276" s="40" t="str">
        <f t="shared" si="3239"/>
        <v/>
      </c>
      <c r="DQ276" s="40" t="str">
        <f t="shared" si="3240"/>
        <v/>
      </c>
      <c r="DR276" s="40" t="str">
        <f t="shared" si="3241"/>
        <v/>
      </c>
      <c r="DS276" s="40" t="str">
        <f t="shared" si="3242"/>
        <v/>
      </c>
      <c r="DT276" s="40" t="str">
        <f t="shared" si="3243"/>
        <v/>
      </c>
      <c r="DU276" s="40" t="str">
        <f t="shared" si="3244"/>
        <v/>
      </c>
      <c r="DV276" s="40" t="str">
        <f t="shared" si="3245"/>
        <v/>
      </c>
      <c r="DW276" s="40" t="str">
        <f t="shared" si="3246"/>
        <v/>
      </c>
      <c r="DX276" s="40" t="str">
        <f t="shared" si="3247"/>
        <v/>
      </c>
      <c r="DY276" s="40" t="str">
        <f t="shared" si="3248"/>
        <v/>
      </c>
      <c r="DZ276" s="40" t="str">
        <f t="shared" si="3249"/>
        <v/>
      </c>
      <c r="EA276" s="40" t="str">
        <f t="shared" si="3250"/>
        <v/>
      </c>
      <c r="EB276" s="40" t="str">
        <f t="shared" si="3251"/>
        <v/>
      </c>
      <c r="EC276" s="40" t="str">
        <f t="shared" si="3252"/>
        <v/>
      </c>
      <c r="ED276" s="40" t="str">
        <f t="shared" si="3253"/>
        <v/>
      </c>
      <c r="EE276" s="40" t="str">
        <f t="shared" si="3254"/>
        <v/>
      </c>
      <c r="EF276" s="40" t="str">
        <f t="shared" si="3255"/>
        <v/>
      </c>
      <c r="EG276" s="40" t="str">
        <f t="shared" si="3256"/>
        <v/>
      </c>
      <c r="EH276" s="40" t="str">
        <f t="shared" si="3257"/>
        <v/>
      </c>
      <c r="EI276" s="40" t="str">
        <f t="shared" si="3258"/>
        <v/>
      </c>
      <c r="EJ276" s="40" t="str">
        <f t="shared" si="3259"/>
        <v/>
      </c>
      <c r="EK276" s="40" t="str">
        <f t="shared" si="3260"/>
        <v/>
      </c>
      <c r="EL276" s="40" t="str">
        <f t="shared" si="3261"/>
        <v/>
      </c>
      <c r="EM276" s="40" t="str">
        <f t="shared" si="3262"/>
        <v/>
      </c>
      <c r="EN276" s="40" t="str">
        <f t="shared" si="3263"/>
        <v/>
      </c>
      <c r="EO276" s="40" t="str">
        <f t="shared" si="3264"/>
        <v/>
      </c>
      <c r="EP276" s="40" t="str">
        <f t="shared" si="3265"/>
        <v/>
      </c>
      <c r="EQ276" s="40" t="str">
        <f t="shared" si="3266"/>
        <v/>
      </c>
      <c r="ER276" s="40" t="str">
        <f t="shared" si="3267"/>
        <v/>
      </c>
      <c r="ES276" s="40" t="str">
        <f t="shared" si="3268"/>
        <v/>
      </c>
      <c r="ET276" s="40" t="str">
        <f t="shared" si="3269"/>
        <v/>
      </c>
      <c r="EU276" s="40" t="str">
        <f t="shared" si="3270"/>
        <v/>
      </c>
      <c r="EV276" s="40" t="str">
        <f t="shared" si="3271"/>
        <v/>
      </c>
      <c r="EW276" s="40" t="str">
        <f t="shared" si="3272"/>
        <v/>
      </c>
      <c r="EX276" s="40" t="str">
        <f t="shared" si="3273"/>
        <v/>
      </c>
      <c r="EY276" s="40" t="str">
        <f t="shared" si="3274"/>
        <v/>
      </c>
      <c r="EZ276" s="40" t="str">
        <f t="shared" si="3275"/>
        <v/>
      </c>
      <c r="FA276" s="40" t="str">
        <f t="shared" si="3276"/>
        <v/>
      </c>
      <c r="FB276" s="40" t="str">
        <f t="shared" si="3277"/>
        <v/>
      </c>
      <c r="FC276" s="40" t="str">
        <f t="shared" si="3278"/>
        <v/>
      </c>
      <c r="FD276" s="40" t="str">
        <f t="shared" si="3279"/>
        <v/>
      </c>
      <c r="FE276" s="40" t="str">
        <f t="shared" si="3280"/>
        <v/>
      </c>
      <c r="FF276" s="40" t="str">
        <f t="shared" si="3281"/>
        <v/>
      </c>
      <c r="FG276" s="40" t="str">
        <f t="shared" si="3282"/>
        <v/>
      </c>
      <c r="FH276" s="40" t="str">
        <f t="shared" si="3283"/>
        <v/>
      </c>
      <c r="FI276" s="40" t="str">
        <f t="shared" si="3284"/>
        <v/>
      </c>
      <c r="FJ276" s="40" t="str">
        <f t="shared" si="3285"/>
        <v/>
      </c>
      <c r="FK276" s="40" t="str">
        <f t="shared" si="3286"/>
        <v/>
      </c>
      <c r="FL276" s="40" t="str">
        <f t="shared" si="3287"/>
        <v/>
      </c>
      <c r="FM276" s="40" t="str">
        <f t="shared" si="3288"/>
        <v/>
      </c>
      <c r="FN276" s="40" t="str">
        <f t="shared" si="3289"/>
        <v/>
      </c>
      <c r="FO276" s="40" t="str">
        <f t="shared" si="3290"/>
        <v/>
      </c>
      <c r="FP276" s="40" t="str">
        <f t="shared" si="3291"/>
        <v/>
      </c>
      <c r="FQ276" s="40" t="str">
        <f t="shared" si="3292"/>
        <v/>
      </c>
      <c r="FR276" s="40" t="str">
        <f t="shared" si="3293"/>
        <v/>
      </c>
      <c r="FS276" s="40" t="str">
        <f t="shared" si="3294"/>
        <v/>
      </c>
    </row>
    <row r="277" spans="92:175">
      <c r="CN277" s="10" t="str">
        <f t="shared" si="3219"/>
        <v>InitUnitState('',,,,,,,,,,)</v>
      </c>
      <c r="CO277" s="10" t="str">
        <f t="shared" si="3220"/>
        <v>InitUnitNormal('',,,,,,,,,,)</v>
      </c>
      <c r="CP277" s="10" t="str">
        <f t="shared" si="3221"/>
        <v>InitUnitMagic('',,,,,,,,,,)</v>
      </c>
      <c r="CQ277" s="10" t="str">
        <f t="shared" si="3222"/>
        <v>InitUnitAdd('',,,,,,,,,,)</v>
      </c>
      <c r="CR277" s="10" t="str">
        <f t="shared" si="3223"/>
        <v>InitEquipData('',,"",,,,,'','','','','','',"")</v>
      </c>
      <c r="CU277" s="3" t="str">
        <f t="shared" si="3295"/>
        <v>|n</v>
      </c>
      <c r="CW277" s="4"/>
      <c r="CX277" s="4"/>
      <c r="CY277" s="4"/>
      <c r="CZ277" s="4"/>
      <c r="DA277" s="4"/>
      <c r="DB277" s="40" t="str">
        <f t="shared" si="3225"/>
        <v/>
      </c>
      <c r="DC277" s="40" t="str">
        <f t="shared" si="3226"/>
        <v/>
      </c>
      <c r="DD277" s="40" t="str">
        <f t="shared" si="3227"/>
        <v/>
      </c>
      <c r="DE277" s="40" t="str">
        <f t="shared" si="3228"/>
        <v/>
      </c>
      <c r="DF277" s="40" t="str">
        <f t="shared" si="3229"/>
        <v/>
      </c>
      <c r="DG277" s="40" t="str">
        <f t="shared" si="3230"/>
        <v/>
      </c>
      <c r="DH277" s="40" t="str">
        <f t="shared" si="3231"/>
        <v/>
      </c>
      <c r="DI277" s="40" t="str">
        <f t="shared" si="3232"/>
        <v/>
      </c>
      <c r="DJ277" s="40" t="str">
        <f t="shared" si="3233"/>
        <v/>
      </c>
      <c r="DK277" s="40" t="str">
        <f t="shared" si="3234"/>
        <v/>
      </c>
      <c r="DL277" s="40" t="str">
        <f t="shared" si="3235"/>
        <v/>
      </c>
      <c r="DM277" s="40" t="str">
        <f t="shared" si="3236"/>
        <v/>
      </c>
      <c r="DN277" s="40" t="str">
        <f t="shared" si="3237"/>
        <v/>
      </c>
      <c r="DO277" s="40" t="str">
        <f t="shared" si="3238"/>
        <v/>
      </c>
      <c r="DP277" s="40" t="str">
        <f t="shared" si="3239"/>
        <v/>
      </c>
      <c r="DQ277" s="40" t="str">
        <f t="shared" si="3240"/>
        <v/>
      </c>
      <c r="DR277" s="40" t="str">
        <f t="shared" si="3241"/>
        <v/>
      </c>
      <c r="DS277" s="40" t="str">
        <f t="shared" si="3242"/>
        <v/>
      </c>
      <c r="DT277" s="40" t="str">
        <f t="shared" si="3243"/>
        <v/>
      </c>
      <c r="DU277" s="40" t="str">
        <f t="shared" si="3244"/>
        <v/>
      </c>
      <c r="DV277" s="40" t="str">
        <f t="shared" si="3245"/>
        <v/>
      </c>
      <c r="DW277" s="40" t="str">
        <f t="shared" si="3246"/>
        <v/>
      </c>
      <c r="DX277" s="40" t="str">
        <f t="shared" si="3247"/>
        <v/>
      </c>
      <c r="DY277" s="40" t="str">
        <f t="shared" si="3248"/>
        <v/>
      </c>
      <c r="DZ277" s="40" t="str">
        <f t="shared" si="3249"/>
        <v/>
      </c>
      <c r="EA277" s="40" t="str">
        <f t="shared" si="3250"/>
        <v/>
      </c>
      <c r="EB277" s="40" t="str">
        <f t="shared" si="3251"/>
        <v/>
      </c>
      <c r="EC277" s="40" t="str">
        <f t="shared" si="3252"/>
        <v/>
      </c>
      <c r="ED277" s="40" t="str">
        <f t="shared" si="3253"/>
        <v/>
      </c>
      <c r="EE277" s="40" t="str">
        <f t="shared" si="3254"/>
        <v/>
      </c>
      <c r="EF277" s="40" t="str">
        <f t="shared" si="3255"/>
        <v/>
      </c>
      <c r="EG277" s="40" t="str">
        <f t="shared" si="3256"/>
        <v/>
      </c>
      <c r="EH277" s="40" t="str">
        <f t="shared" si="3257"/>
        <v/>
      </c>
      <c r="EI277" s="40" t="str">
        <f t="shared" si="3258"/>
        <v/>
      </c>
      <c r="EJ277" s="40" t="str">
        <f t="shared" si="3259"/>
        <v/>
      </c>
      <c r="EK277" s="40" t="str">
        <f t="shared" si="3260"/>
        <v/>
      </c>
      <c r="EL277" s="40" t="str">
        <f t="shared" si="3261"/>
        <v/>
      </c>
      <c r="EM277" s="40" t="str">
        <f t="shared" si="3262"/>
        <v/>
      </c>
      <c r="EN277" s="40" t="str">
        <f t="shared" si="3263"/>
        <v/>
      </c>
      <c r="EO277" s="40" t="str">
        <f t="shared" si="3264"/>
        <v/>
      </c>
      <c r="EP277" s="40" t="str">
        <f t="shared" si="3265"/>
        <v/>
      </c>
      <c r="EQ277" s="40" t="str">
        <f t="shared" si="3266"/>
        <v/>
      </c>
      <c r="ER277" s="40" t="str">
        <f t="shared" si="3267"/>
        <v/>
      </c>
      <c r="ES277" s="40" t="str">
        <f t="shared" si="3268"/>
        <v/>
      </c>
      <c r="ET277" s="40" t="str">
        <f t="shared" si="3269"/>
        <v/>
      </c>
      <c r="EU277" s="40" t="str">
        <f t="shared" si="3270"/>
        <v/>
      </c>
      <c r="EV277" s="40" t="str">
        <f t="shared" si="3271"/>
        <v/>
      </c>
      <c r="EW277" s="40" t="str">
        <f t="shared" si="3272"/>
        <v/>
      </c>
      <c r="EX277" s="40" t="str">
        <f t="shared" si="3273"/>
        <v/>
      </c>
      <c r="EY277" s="40" t="str">
        <f t="shared" si="3274"/>
        <v/>
      </c>
      <c r="EZ277" s="40" t="str">
        <f t="shared" si="3275"/>
        <v/>
      </c>
      <c r="FA277" s="40" t="str">
        <f t="shared" si="3276"/>
        <v/>
      </c>
      <c r="FB277" s="40" t="str">
        <f t="shared" si="3277"/>
        <v/>
      </c>
      <c r="FC277" s="40" t="str">
        <f t="shared" si="3278"/>
        <v/>
      </c>
      <c r="FD277" s="40" t="str">
        <f t="shared" si="3279"/>
        <v/>
      </c>
      <c r="FE277" s="40" t="str">
        <f t="shared" si="3280"/>
        <v/>
      </c>
      <c r="FF277" s="40" t="str">
        <f t="shared" si="3281"/>
        <v/>
      </c>
      <c r="FG277" s="40" t="str">
        <f t="shared" si="3282"/>
        <v/>
      </c>
      <c r="FH277" s="40" t="str">
        <f t="shared" si="3283"/>
        <v/>
      </c>
      <c r="FI277" s="40" t="str">
        <f t="shared" si="3284"/>
        <v/>
      </c>
      <c r="FJ277" s="40" t="str">
        <f t="shared" si="3285"/>
        <v/>
      </c>
      <c r="FK277" s="40" t="str">
        <f t="shared" si="3286"/>
        <v/>
      </c>
      <c r="FL277" s="40" t="str">
        <f t="shared" si="3287"/>
        <v/>
      </c>
      <c r="FM277" s="40" t="str">
        <f t="shared" si="3288"/>
        <v/>
      </c>
      <c r="FN277" s="40" t="str">
        <f t="shared" si="3289"/>
        <v/>
      </c>
      <c r="FO277" s="40" t="str">
        <f t="shared" si="3290"/>
        <v/>
      </c>
      <c r="FP277" s="40" t="str">
        <f t="shared" si="3291"/>
        <v/>
      </c>
      <c r="FQ277" s="40" t="str">
        <f t="shared" si="3292"/>
        <v/>
      </c>
      <c r="FR277" s="40" t="str">
        <f t="shared" si="3293"/>
        <v/>
      </c>
      <c r="FS277" s="40" t="str">
        <f t="shared" si="3294"/>
        <v/>
      </c>
    </row>
    <row r="278" spans="92:175">
      <c r="CN278" s="10" t="str">
        <f t="shared" si="3219"/>
        <v>InitUnitState('',,,,,,,,,,)</v>
      </c>
      <c r="CO278" s="10" t="str">
        <f t="shared" si="3220"/>
        <v>InitUnitNormal('',,,,,,,,,,)</v>
      </c>
      <c r="CP278" s="10" t="str">
        <f t="shared" si="3221"/>
        <v>InitUnitMagic('',,,,,,,,,,)</v>
      </c>
      <c r="CQ278" s="10" t="str">
        <f t="shared" si="3222"/>
        <v>InitUnitAdd('',,,,,,,,,,)</v>
      </c>
      <c r="CR278" s="10" t="str">
        <f t="shared" si="3223"/>
        <v>InitEquipData('',,"",,,,,'','','','','','',"")</v>
      </c>
      <c r="CU278" s="3" t="str">
        <f t="shared" si="3295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19"/>
        <v>InitUnitState('',,,,,,,,,,)</v>
      </c>
      <c r="CO279" s="10" t="str">
        <f t="shared" si="3220"/>
        <v>InitUnitNormal('',,,,,,,,,,)</v>
      </c>
      <c r="CP279" s="10" t="str">
        <f t="shared" si="3221"/>
        <v>InitUnitMagic('',,,,,,,,,,)</v>
      </c>
      <c r="CQ279" s="10" t="str">
        <f t="shared" si="3222"/>
        <v>InitUnitAdd('',,,,,,,,,,)</v>
      </c>
      <c r="CR279" s="10" t="str">
        <f t="shared" si="3223"/>
        <v>InitEquipData('',,"",,,,,'','','','','','',"")</v>
      </c>
      <c r="CU279" s="3" t="str">
        <f t="shared" si="3295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19"/>
        <v>InitUnitState('',,,,,,,,,,)</v>
      </c>
      <c r="CO280" s="10" t="str">
        <f t="shared" si="3220"/>
        <v>InitUnitNormal('',,,,,,,,,,)</v>
      </c>
      <c r="CP280" s="10" t="str">
        <f t="shared" si="3221"/>
        <v>InitUnitMagic('',,,,,,,,,,)</v>
      </c>
      <c r="CQ280" s="10" t="str">
        <f t="shared" si="3222"/>
        <v>InitUnitAdd('',,,,,,,,,,)</v>
      </c>
      <c r="CR280" s="10" t="str">
        <f t="shared" si="3223"/>
        <v>InitEquipData('',,"",,,,,'','','','','','',"")</v>
      </c>
      <c r="CU280" s="3" t="str">
        <f t="shared" si="3295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9"/>
        <v>InitUnitState('',,,,,,,,,,)</v>
      </c>
      <c r="CO281" s="10" t="str">
        <f t="shared" si="3220"/>
        <v>InitUnitNormal('',,,,,,,,,,)</v>
      </c>
      <c r="CP281" s="10" t="str">
        <f t="shared" si="3221"/>
        <v>InitUnitMagic('',,,,,,,,,,)</v>
      </c>
      <c r="CQ281" s="10" t="str">
        <f t="shared" si="3222"/>
        <v>InitUnitAdd('',,,,,,,,,,)</v>
      </c>
      <c r="CR281" s="10" t="str">
        <f t="shared" si="3223"/>
        <v>InitEquipData('',,"",,,,,'','','','','','',"")</v>
      </c>
      <c r="CU281" s="3" t="str">
        <f t="shared" si="3295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9"/>
        <v>InitUnitState('',,,,,,,,,,)</v>
      </c>
      <c r="CO282" s="10" t="str">
        <f t="shared" si="3220"/>
        <v>InitUnitNormal('',,,,,,,,,,)</v>
      </c>
      <c r="CP282" s="10" t="str">
        <f t="shared" si="3221"/>
        <v>InitUnitMagic('',,,,,,,,,,)</v>
      </c>
      <c r="CQ282" s="10" t="str">
        <f t="shared" si="3222"/>
        <v>InitUnitAdd('',,,,,,,,,,)</v>
      </c>
      <c r="CR282" s="10" t="str">
        <f t="shared" si="3223"/>
        <v>InitEquipData('',,"",,,,,'','','','','','',"")</v>
      </c>
      <c r="CU282" s="3" t="str">
        <f t="shared" si="3295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9"/>
        <v>InitUnitState('',,,,,,,,,,)</v>
      </c>
      <c r="CO283" s="10" t="str">
        <f t="shared" si="3220"/>
        <v>InitUnitNormal('',,,,,,,,,,)</v>
      </c>
      <c r="CP283" s="10" t="str">
        <f t="shared" si="3221"/>
        <v>InitUnitMagic('',,,,,,,,,,)</v>
      </c>
      <c r="CQ283" s="10" t="str">
        <f t="shared" si="3222"/>
        <v>InitUnitAdd('',,,,,,,,,,)</v>
      </c>
      <c r="CR283" s="10" t="str">
        <f t="shared" si="3223"/>
        <v>InitEquipData('',,"",,,,,'','','','','','',"")</v>
      </c>
      <c r="CU283" s="3" t="str">
        <f t="shared" si="3295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9"/>
        <v>InitUnitState('',,,,,,,,,,)</v>
      </c>
      <c r="CO284" s="10" t="str">
        <f t="shared" si="3220"/>
        <v>InitUnitNormal('',,,,,,,,,,)</v>
      </c>
      <c r="CP284" s="10" t="str">
        <f t="shared" si="3221"/>
        <v>InitUnitMagic('',,,,,,,,,,)</v>
      </c>
      <c r="CQ284" s="10" t="str">
        <f t="shared" si="3222"/>
        <v>InitUnitAdd('',,,,,,,,,,)</v>
      </c>
      <c r="CR284" s="10" t="str">
        <f t="shared" si="3223"/>
        <v>InitEquipData('',,"",,,,,'','','','','','',"")</v>
      </c>
      <c r="CU284" s="3" t="str">
        <f t="shared" si="3295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9"/>
        <v>InitUnitState('',,,,,,,,,,)</v>
      </c>
      <c r="CO285" s="10" t="str">
        <f t="shared" si="3220"/>
        <v>InitUnitNormal('',,,,,,,,,,)</v>
      </c>
      <c r="CP285" s="10" t="str">
        <f t="shared" si="3221"/>
        <v>InitUnitMagic('',,,,,,,,,,)</v>
      </c>
      <c r="CQ285" s="10" t="str">
        <f t="shared" si="3222"/>
        <v>InitUnitAdd('',,,,,,,,,,)</v>
      </c>
      <c r="CR285" s="10" t="str">
        <f t="shared" si="3223"/>
        <v>InitEquipData('',,"",,,,,'','','','','','',"")</v>
      </c>
      <c r="CU285" s="3" t="str">
        <f t="shared" si="3295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19"/>
        <v>InitUnitState('',,,,,,,,,,)</v>
      </c>
      <c r="CO286" s="10" t="str">
        <f t="shared" si="3220"/>
        <v>InitUnitNormal('',,,,,,,,,,)</v>
      </c>
      <c r="CP286" s="10" t="str">
        <f t="shared" si="3221"/>
        <v>InitUnitMagic('',,,,,,,,,,)</v>
      </c>
      <c r="CQ286" s="10" t="str">
        <f t="shared" si="3222"/>
        <v>InitUnitAdd('',,,,,,,,,,)</v>
      </c>
      <c r="CR286" s="10" t="str">
        <f t="shared" si="3223"/>
        <v>InitEquipData('',,"",,,,,'','','','','','',"")</v>
      </c>
      <c r="CU286" s="3" t="str">
        <f t="shared" si="3295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19"/>
        <v>InitUnitState('',,,,,,,,,,)</v>
      </c>
      <c r="CO287" s="10" t="str">
        <f t="shared" si="3220"/>
        <v>InitUnitNormal('',,,,,,,,,,)</v>
      </c>
      <c r="CP287" s="10" t="str">
        <f t="shared" si="3221"/>
        <v>InitUnitMagic('',,,,,,,,,,)</v>
      </c>
      <c r="CQ287" s="10" t="str">
        <f t="shared" si="3222"/>
        <v>InitUnitAdd('',,,,,,,,,,)</v>
      </c>
      <c r="CR287" s="10" t="str">
        <f t="shared" si="3223"/>
        <v>InitEquipData('',,"",,,,,'','','','','','',"")</v>
      </c>
      <c r="CU287" s="3" t="str">
        <f t="shared" si="3295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19"/>
        <v>InitUnitState('',,,,,,,,,,)</v>
      </c>
      <c r="CO288" s="10" t="str">
        <f t="shared" si="3220"/>
        <v>InitUnitNormal('',,,,,,,,,,)</v>
      </c>
      <c r="CP288" s="10" t="str">
        <f t="shared" si="3221"/>
        <v>InitUnitMagic('',,,,,,,,,,)</v>
      </c>
      <c r="CQ288" s="10" t="str">
        <f t="shared" si="3222"/>
        <v>InitUnitAdd('',,,,,,,,,,)</v>
      </c>
      <c r="CR288" s="10" t="str">
        <f t="shared" si="3223"/>
        <v>InitEquipData('',,"",,,,,'','','','','','',"")</v>
      </c>
      <c r="CU288" s="3" t="str">
        <f t="shared" si="3295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ref="CN289:CN308" si="3296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 t="shared" ref="CO289:CO308" si="3297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 t="shared" ref="CP289:CP308" si="3298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 t="shared" ref="CQ289:CQ308" si="3299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 t="shared" ref="CR289:CR308" si="3300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295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6"/>
        <v>InitUnitState('',,,,,,,,,,)</v>
      </c>
      <c r="CO290" s="10" t="str">
        <f t="shared" si="3297"/>
        <v>InitUnitNormal('',,,,,,,,,,)</v>
      </c>
      <c r="CP290" s="10" t="str">
        <f t="shared" si="3298"/>
        <v>InitUnitMagic('',,,,,,,,,,)</v>
      </c>
      <c r="CQ290" s="10" t="str">
        <f t="shared" si="3299"/>
        <v>InitUnitAdd('',,,,,,,,,,)</v>
      </c>
      <c r="CR290" s="10" t="str">
        <f t="shared" si="3300"/>
        <v>InitEquipData('',,"",,,,,'','','','','','',"")</v>
      </c>
      <c r="CU290" s="3" t="str">
        <f t="shared" si="3295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6"/>
        <v>InitUnitState('',,,,,,,,,,)</v>
      </c>
      <c r="CO291" s="10" t="str">
        <f t="shared" si="3297"/>
        <v>InitUnitNormal('',,,,,,,,,,)</v>
      </c>
      <c r="CP291" s="10" t="str">
        <f t="shared" si="3298"/>
        <v>InitUnitMagic('',,,,,,,,,,)</v>
      </c>
      <c r="CQ291" s="10" t="str">
        <f t="shared" si="3299"/>
        <v>InitUnitAdd('',,,,,,,,,,)</v>
      </c>
      <c r="CR291" s="10" t="str">
        <f t="shared" si="3300"/>
        <v>InitEquipData('',,"",,,,,'','','','','','',"")</v>
      </c>
      <c r="CU291" s="3" t="str">
        <f t="shared" si="3295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6"/>
        <v>InitUnitState('',,,,,,,,,,)</v>
      </c>
      <c r="CO292" s="10" t="str">
        <f t="shared" si="3297"/>
        <v>InitUnitNormal('',,,,,,,,,,)</v>
      </c>
      <c r="CP292" s="10" t="str">
        <f t="shared" si="3298"/>
        <v>InitUnitMagic('',,,,,,,,,,)</v>
      </c>
      <c r="CQ292" s="10" t="str">
        <f t="shared" si="3299"/>
        <v>InitUnitAdd('',,,,,,,,,,)</v>
      </c>
      <c r="CR292" s="10" t="str">
        <f t="shared" si="3300"/>
        <v>InitEquipData('',,"",,,,,'','','','','','',"")</v>
      </c>
      <c r="CU292" s="3" t="str">
        <f t="shared" si="3295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6"/>
        <v>InitUnitState('',,,,,,,,,,)</v>
      </c>
      <c r="CO293" s="10" t="str">
        <f t="shared" si="3297"/>
        <v>InitUnitNormal('',,,,,,,,,,)</v>
      </c>
      <c r="CP293" s="10" t="str">
        <f t="shared" si="3298"/>
        <v>InitUnitMagic('',,,,,,,,,,)</v>
      </c>
      <c r="CQ293" s="10" t="str">
        <f t="shared" si="3299"/>
        <v>InitUnitAdd('',,,,,,,,,,)</v>
      </c>
      <c r="CR293" s="10" t="str">
        <f t="shared" si="3300"/>
        <v>InitEquipData('',,"",,,,,'','','','','','',"")</v>
      </c>
      <c r="CU293" s="3" t="str">
        <f t="shared" si="3295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6"/>
        <v>InitUnitState('',,,,,,,,,,)</v>
      </c>
      <c r="CO294" s="10" t="str">
        <f t="shared" si="3297"/>
        <v>InitUnitNormal('',,,,,,,,,,)</v>
      </c>
      <c r="CP294" s="10" t="str">
        <f t="shared" si="3298"/>
        <v>InitUnitMagic('',,,,,,,,,,)</v>
      </c>
      <c r="CQ294" s="10" t="str">
        <f t="shared" si="3299"/>
        <v>InitUnitAdd('',,,,,,,,,,)</v>
      </c>
      <c r="CR294" s="10" t="str">
        <f t="shared" si="3300"/>
        <v>InitEquipData('',,"",,,,,'','','','','','',"")</v>
      </c>
      <c r="CU294" s="3" t="str">
        <f t="shared" si="3295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6"/>
        <v>InitUnitState('',,,,,,,,,,)</v>
      </c>
      <c r="CO295" s="10" t="str">
        <f t="shared" si="3297"/>
        <v>InitUnitNormal('',,,,,,,,,,)</v>
      </c>
      <c r="CP295" s="10" t="str">
        <f t="shared" si="3298"/>
        <v>InitUnitMagic('',,,,,,,,,,)</v>
      </c>
      <c r="CQ295" s="10" t="str">
        <f t="shared" si="3299"/>
        <v>InitUnitAdd('',,,,,,,,,,)</v>
      </c>
      <c r="CR295" s="10" t="str">
        <f t="shared" si="3300"/>
        <v>InitEquipData('',,"",,,,,'','','','','','',"")</v>
      </c>
      <c r="CU295" s="3" t="str">
        <f t="shared" si="3295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6"/>
        <v>InitUnitState('',,,,,,,,,,)</v>
      </c>
      <c r="CO296" s="10" t="str">
        <f t="shared" si="3297"/>
        <v>InitUnitNormal('',,,,,,,,,,)</v>
      </c>
      <c r="CP296" s="10" t="str">
        <f t="shared" si="3298"/>
        <v>InitUnitMagic('',,,,,,,,,,)</v>
      </c>
      <c r="CQ296" s="10" t="str">
        <f t="shared" si="3299"/>
        <v>InitUnitAdd('',,,,,,,,,,)</v>
      </c>
      <c r="CR296" s="10" t="str">
        <f t="shared" si="3300"/>
        <v>InitEquipData('',,"",,,,,'','','','','','',"")</v>
      </c>
      <c r="CU296" s="3" t="str">
        <f t="shared" si="3295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6"/>
        <v>InitUnitState('',,,,,,,,,,)</v>
      </c>
      <c r="CO297" s="10" t="str">
        <f t="shared" si="3297"/>
        <v>InitUnitNormal('',,,,,,,,,,)</v>
      </c>
      <c r="CP297" s="10" t="str">
        <f t="shared" si="3298"/>
        <v>InitUnitMagic('',,,,,,,,,,)</v>
      </c>
      <c r="CQ297" s="10" t="str">
        <f t="shared" si="3299"/>
        <v>InitUnitAdd('',,,,,,,,,,)</v>
      </c>
      <c r="CR297" s="10" t="str">
        <f t="shared" si="3300"/>
        <v>InitEquipData('',,"",,,,,'','','','','','',"")</v>
      </c>
      <c r="CU297" s="3" t="str">
        <f t="shared" si="3295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6"/>
        <v>InitUnitState('',,,,,,,,,,)</v>
      </c>
      <c r="CO298" s="10" t="str">
        <f t="shared" si="3297"/>
        <v>InitUnitNormal('',,,,,,,,,,)</v>
      </c>
      <c r="CP298" s="10" t="str">
        <f t="shared" si="3298"/>
        <v>InitUnitMagic('',,,,,,,,,,)</v>
      </c>
      <c r="CQ298" s="10" t="str">
        <f t="shared" si="3299"/>
        <v>InitUnitAdd('',,,,,,,,,,)</v>
      </c>
      <c r="CR298" s="10" t="str">
        <f t="shared" si="3300"/>
        <v>InitEquipData('',,"",,,,,'','','','','','',"")</v>
      </c>
      <c r="CU298" s="3" t="str">
        <f t="shared" si="3295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6"/>
        <v>InitUnitState('',,,,,,,,,,)</v>
      </c>
      <c r="CO299" s="10" t="str">
        <f t="shared" si="3297"/>
        <v>InitUnitNormal('',,,,,,,,,,)</v>
      </c>
      <c r="CP299" s="10" t="str">
        <f t="shared" si="3298"/>
        <v>InitUnitMagic('',,,,,,,,,,)</v>
      </c>
      <c r="CQ299" s="10" t="str">
        <f t="shared" si="3299"/>
        <v>InitUnitAdd('',,,,,,,,,,)</v>
      </c>
      <c r="CR299" s="10" t="str">
        <f t="shared" si="3300"/>
        <v>InitEquipData('',,"",,,,,'','','','','','',"")</v>
      </c>
      <c r="CU299" s="3" t="str">
        <f t="shared" si="3295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6"/>
        <v>InitUnitState('',,,,,,,,,,)</v>
      </c>
      <c r="CO300" s="10" t="str">
        <f t="shared" si="3297"/>
        <v>InitUnitNormal('',,,,,,,,,,)</v>
      </c>
      <c r="CP300" s="10" t="str">
        <f t="shared" si="3298"/>
        <v>InitUnitMagic('',,,,,,,,,,)</v>
      </c>
      <c r="CQ300" s="10" t="str">
        <f t="shared" si="3299"/>
        <v>InitUnitAdd('',,,,,,,,,,)</v>
      </c>
      <c r="CR300" s="10" t="str">
        <f t="shared" si="3300"/>
        <v>InitEquipData('',,"",,,,,'','','','','','',"")</v>
      </c>
      <c r="CU300" s="3" t="str">
        <f t="shared" si="3295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6"/>
        <v>InitUnitState('',,,,,,,,,,)</v>
      </c>
      <c r="CO301" s="10" t="str">
        <f t="shared" si="3297"/>
        <v>InitUnitNormal('',,,,,,,,,,)</v>
      </c>
      <c r="CP301" s="10" t="str">
        <f t="shared" si="3298"/>
        <v>InitUnitMagic('',,,,,,,,,,)</v>
      </c>
      <c r="CQ301" s="10" t="str">
        <f t="shared" si="3299"/>
        <v>InitUnitAdd('',,,,,,,,,,)</v>
      </c>
      <c r="CR301" s="10" t="str">
        <f t="shared" si="3300"/>
        <v>InitEquipData('',,"",,,,,'','','','','','',"")</v>
      </c>
      <c r="CU301" s="3" t="str">
        <f t="shared" si="3295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6"/>
        <v>InitUnitState('',,,,,,,,,,)</v>
      </c>
      <c r="CO302" s="10" t="str">
        <f t="shared" si="3297"/>
        <v>InitUnitNormal('',,,,,,,,,,)</v>
      </c>
      <c r="CP302" s="10" t="str">
        <f t="shared" si="3298"/>
        <v>InitUnitMagic('',,,,,,,,,,)</v>
      </c>
      <c r="CQ302" s="10" t="str">
        <f t="shared" si="3299"/>
        <v>InitUnitAdd('',,,,,,,,,,)</v>
      </c>
      <c r="CR302" s="10" t="str">
        <f t="shared" si="3300"/>
        <v>InitEquipData('',,"",,,,,'','','','','','',"")</v>
      </c>
      <c r="CU302" s="3" t="str">
        <f t="shared" si="3295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6"/>
        <v>InitUnitState('',,,,,,,,,,)</v>
      </c>
      <c r="CO303" s="10" t="str">
        <f t="shared" si="3297"/>
        <v>InitUnitNormal('',,,,,,,,,,)</v>
      </c>
      <c r="CP303" s="10" t="str">
        <f t="shared" si="3298"/>
        <v>InitUnitMagic('',,,,,,,,,,)</v>
      </c>
      <c r="CQ303" s="10" t="str">
        <f t="shared" si="3299"/>
        <v>InitUnitAdd('',,,,,,,,,,)</v>
      </c>
      <c r="CR303" s="10" t="str">
        <f t="shared" si="3300"/>
        <v>InitEquipData('',,"",,,,,'','','','','','',"")</v>
      </c>
      <c r="CU303" s="3" t="str">
        <f t="shared" si="3295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6"/>
        <v>InitUnitState('',,,,,,,,,,)</v>
      </c>
      <c r="CO304" s="10" t="str">
        <f t="shared" si="3297"/>
        <v>InitUnitNormal('',,,,,,,,,,)</v>
      </c>
      <c r="CP304" s="10" t="str">
        <f t="shared" si="3298"/>
        <v>InitUnitMagic('',,,,,,,,,,)</v>
      </c>
      <c r="CQ304" s="10" t="str">
        <f t="shared" si="3299"/>
        <v>InitUnitAdd('',,,,,,,,,,)</v>
      </c>
      <c r="CR304" s="10" t="str">
        <f t="shared" si="3300"/>
        <v>InitEquipData('',,"",,,,,'','','','','','',"")</v>
      </c>
      <c r="CU304" s="3" t="str">
        <f t="shared" si="3295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6"/>
        <v>InitUnitState('',,,,,,,,,,)</v>
      </c>
      <c r="CO305" s="10" t="str">
        <f t="shared" si="3297"/>
        <v>InitUnitNormal('',,,,,,,,,,)</v>
      </c>
      <c r="CP305" s="10" t="str">
        <f t="shared" si="3298"/>
        <v>InitUnitMagic('',,,,,,,,,,)</v>
      </c>
      <c r="CQ305" s="10" t="str">
        <f t="shared" si="3299"/>
        <v>InitUnitAdd('',,,,,,,,,,)</v>
      </c>
      <c r="CR305" s="10" t="str">
        <f t="shared" si="3300"/>
        <v>InitEquipData('',,"",,,,,'','','','','','',"")</v>
      </c>
      <c r="CU305" s="3" t="str">
        <f t="shared" si="3295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6"/>
        <v>InitUnitState('',,,,,,,,,,)</v>
      </c>
      <c r="CO306" s="10" t="str">
        <f t="shared" si="3297"/>
        <v>InitUnitNormal('',,,,,,,,,,)</v>
      </c>
      <c r="CP306" s="10" t="str">
        <f t="shared" si="3298"/>
        <v>InitUnitMagic('',,,,,,,,,,)</v>
      </c>
      <c r="CQ306" s="10" t="str">
        <f t="shared" si="3299"/>
        <v>InitUnitAdd('',,,,,,,,,,)</v>
      </c>
      <c r="CR306" s="10" t="str">
        <f t="shared" si="3300"/>
        <v>InitEquipData('',,"",,,,,'','','','','','',"")</v>
      </c>
      <c r="CU306" s="3" t="str">
        <f t="shared" si="3295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6"/>
        <v>InitUnitState('',,,,,,,,,,)</v>
      </c>
      <c r="CO307" s="10" t="str">
        <f t="shared" si="3297"/>
        <v>InitUnitNormal('',,,,,,,,,,)</v>
      </c>
      <c r="CP307" s="10" t="str">
        <f t="shared" si="3298"/>
        <v>InitUnitMagic('',,,,,,,,,,)</v>
      </c>
      <c r="CQ307" s="10" t="str">
        <f t="shared" si="3299"/>
        <v>InitUnitAdd('',,,,,,,,,,)</v>
      </c>
      <c r="CR307" s="10" t="str">
        <f t="shared" si="3300"/>
        <v>InitEquipData('',,"",,,,,'','','','','','',"")</v>
      </c>
      <c r="CU307" s="3" t="str">
        <f t="shared" si="3295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6"/>
        <v>InitUnitState('',,,,,,,,,,)</v>
      </c>
      <c r="CO308" s="10" t="str">
        <f t="shared" si="3297"/>
        <v>InitUnitNormal('',,,,,,,,,,)</v>
      </c>
      <c r="CP308" s="10" t="str">
        <f t="shared" si="3298"/>
        <v>InitUnitMagic('',,,,,,,,,,)</v>
      </c>
      <c r="CQ308" s="10" t="str">
        <f t="shared" si="3299"/>
        <v>InitUnitAdd('',,,,,,,,,,)</v>
      </c>
      <c r="CR308" s="10" t="str">
        <f t="shared" si="3300"/>
        <v>InitEquipData('',,"",,,,,'','','','','','',"")</v>
      </c>
      <c r="CU308" s="3" t="str">
        <f t="shared" si="3295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537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538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装备!A192</f>
        <v>0</v>
      </c>
      <c r="B199" s="29" t="str">
        <f>"'"&amp;装备!B192&amp;"'"</f>
        <v>'IF01'</v>
      </c>
      <c r="C199" s="29">
        <f>装备!J192</f>
        <v>0</v>
      </c>
      <c r="D199" s="29">
        <f>装备!K192</f>
        <v>0</v>
      </c>
      <c r="E199" s="29">
        <f>装备!L192</f>
        <v>0</v>
      </c>
      <c r="F199" s="29">
        <f>装备!M192</f>
        <v>0</v>
      </c>
      <c r="G199" s="29">
        <f>装备!N192</f>
        <v>0</v>
      </c>
      <c r="H199" s="29">
        <f>装备!O192</f>
        <v>0</v>
      </c>
      <c r="I199" s="29">
        <f>IF(装备!J192=0,0,"'"&amp;装备!J192&amp;"'")</f>
        <v>0</v>
      </c>
      <c r="J199" s="29">
        <f>IF(装备!K192=0,0,"'"&amp;装备!K192&amp;"'")</f>
        <v>0</v>
      </c>
      <c r="K199" s="29">
        <f>IF(装备!L192=0,0,"'"&amp;装备!L192&amp;"'")</f>
        <v>0</v>
      </c>
      <c r="L199" s="29">
        <f>IF(装备!M192=0,0,"'"&amp;装备!M192&amp;"'")</f>
        <v>0</v>
      </c>
      <c r="M199" s="29">
        <f>IF(装备!N192=0,0,"'"&amp;装备!N192&amp;"'")</f>
        <v>0</v>
      </c>
      <c r="N199" s="29">
        <f>IF(装备!O192=0,0,"'"&amp;装备!O192&amp;"'")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装备!A193</f>
        <v>0</v>
      </c>
      <c r="B200" s="29" t="str">
        <f>"'"&amp;装备!B193&amp;"'"</f>
        <v>'IF02'</v>
      </c>
      <c r="C200" s="29">
        <f>装备!J193</f>
        <v>0</v>
      </c>
      <c r="D200" s="29">
        <f>装备!K193</f>
        <v>0</v>
      </c>
      <c r="E200" s="29">
        <f>装备!L193</f>
        <v>0</v>
      </c>
      <c r="F200" s="29">
        <f>装备!M193</f>
        <v>0</v>
      </c>
      <c r="G200" s="29">
        <f>装备!N193</f>
        <v>0</v>
      </c>
      <c r="H200" s="29">
        <f>装备!O193</f>
        <v>0</v>
      </c>
      <c r="I200" s="29">
        <f>IF(装备!J193=0,0,"'"&amp;装备!J193&amp;"'")</f>
        <v>0</v>
      </c>
      <c r="J200" s="29">
        <f>IF(装备!K193=0,0,"'"&amp;装备!K193&amp;"'")</f>
        <v>0</v>
      </c>
      <c r="K200" s="29">
        <f>IF(装备!L193=0,0,"'"&amp;装备!L193&amp;"'")</f>
        <v>0</v>
      </c>
      <c r="L200" s="29">
        <f>IF(装备!M193=0,0,"'"&amp;装备!M193&amp;"'")</f>
        <v>0</v>
      </c>
      <c r="M200" s="29">
        <f>IF(装备!N193=0,0,"'"&amp;装备!N193&amp;"'")</f>
        <v>0</v>
      </c>
      <c r="N200" s="29">
        <f>IF(装备!O193=0,0,"'"&amp;装备!O193&amp;"'")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装备!A194</f>
        <v>0</v>
      </c>
      <c r="B201" s="29" t="str">
        <f>"'"&amp;装备!B194&amp;"'"</f>
        <v>'IF03'</v>
      </c>
      <c r="C201" s="29">
        <f>装备!J194</f>
        <v>0</v>
      </c>
      <c r="D201" s="29">
        <f>装备!K194</f>
        <v>0</v>
      </c>
      <c r="E201" s="29">
        <f>装备!L194</f>
        <v>0</v>
      </c>
      <c r="F201" s="29">
        <f>装备!M194</f>
        <v>0</v>
      </c>
      <c r="G201" s="29">
        <f>装备!N194</f>
        <v>0</v>
      </c>
      <c r="H201" s="29">
        <f>装备!O194</f>
        <v>0</v>
      </c>
      <c r="I201" s="29">
        <f>IF(装备!J194=0,0,"'"&amp;装备!J194&amp;"'")</f>
        <v>0</v>
      </c>
      <c r="J201" s="29">
        <f>IF(装备!K194=0,0,"'"&amp;装备!K194&amp;"'")</f>
        <v>0</v>
      </c>
      <c r="K201" s="29">
        <f>IF(装备!L194=0,0,"'"&amp;装备!L194&amp;"'")</f>
        <v>0</v>
      </c>
      <c r="L201" s="29">
        <f>IF(装备!M194=0,0,"'"&amp;装备!M194&amp;"'")</f>
        <v>0</v>
      </c>
      <c r="M201" s="29">
        <f>IF(装备!N194=0,0,"'"&amp;装备!N194&amp;"'")</f>
        <v>0</v>
      </c>
      <c r="N201" s="29">
        <f>IF(装备!O194=0,0,"'"&amp;装备!O194&amp;"'")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装备!A195</f>
        <v>0</v>
      </c>
      <c r="B202" s="29" t="str">
        <f>"'"&amp;装备!B195&amp;"'"</f>
        <v>'IF04'</v>
      </c>
      <c r="C202" s="29">
        <f>装备!J195</f>
        <v>0</v>
      </c>
      <c r="D202" s="29">
        <f>装备!K195</f>
        <v>0</v>
      </c>
      <c r="E202" s="29">
        <f>装备!L195</f>
        <v>0</v>
      </c>
      <c r="F202" s="29">
        <f>装备!M195</f>
        <v>0</v>
      </c>
      <c r="G202" s="29">
        <f>装备!N195</f>
        <v>0</v>
      </c>
      <c r="H202" s="29">
        <f>装备!O195</f>
        <v>0</v>
      </c>
      <c r="I202" s="29">
        <f>IF(装备!J195=0,0,"'"&amp;装备!J195&amp;"'")</f>
        <v>0</v>
      </c>
      <c r="J202" s="29">
        <f>IF(装备!K195=0,0,"'"&amp;装备!K195&amp;"'")</f>
        <v>0</v>
      </c>
      <c r="K202" s="29">
        <f>IF(装备!L195=0,0,"'"&amp;装备!L195&amp;"'")</f>
        <v>0</v>
      </c>
      <c r="L202" s="29">
        <f>IF(装备!M195=0,0,"'"&amp;装备!M195&amp;"'")</f>
        <v>0</v>
      </c>
      <c r="M202" s="29">
        <f>IF(装备!N195=0,0,"'"&amp;装备!N195&amp;"'")</f>
        <v>0</v>
      </c>
      <c r="N202" s="29">
        <f>IF(装备!O195=0,0,"'"&amp;装备!O195&amp;"'")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装备!A196</f>
        <v>0</v>
      </c>
      <c r="B203" s="29" t="str">
        <f>"'"&amp;装备!B196&amp;"'"</f>
        <v>'IF05'</v>
      </c>
      <c r="C203" s="29">
        <f>装备!J196</f>
        <v>0</v>
      </c>
      <c r="D203" s="29">
        <f>装备!K196</f>
        <v>0</v>
      </c>
      <c r="E203" s="29">
        <f>装备!L196</f>
        <v>0</v>
      </c>
      <c r="F203" s="29">
        <f>装备!M196</f>
        <v>0</v>
      </c>
      <c r="G203" s="29">
        <f>装备!N196</f>
        <v>0</v>
      </c>
      <c r="H203" s="29">
        <f>装备!O196</f>
        <v>0</v>
      </c>
      <c r="I203" s="29">
        <f>IF(装备!J196=0,0,"'"&amp;装备!J196&amp;"'")</f>
        <v>0</v>
      </c>
      <c r="J203" s="29">
        <f>IF(装备!K196=0,0,"'"&amp;装备!K196&amp;"'")</f>
        <v>0</v>
      </c>
      <c r="K203" s="29">
        <f>IF(装备!L196=0,0,"'"&amp;装备!L196&amp;"'")</f>
        <v>0</v>
      </c>
      <c r="L203" s="29">
        <f>IF(装备!M196=0,0,"'"&amp;装备!M196&amp;"'")</f>
        <v>0</v>
      </c>
      <c r="M203" s="29">
        <f>IF(装备!N196=0,0,"'"&amp;装备!N196&amp;"'")</f>
        <v>0</v>
      </c>
      <c r="N203" s="29">
        <f>IF(装备!O196=0,0,"'"&amp;装备!O196&amp;"'")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装备!A197</f>
        <v>0</v>
      </c>
      <c r="B204" s="29" t="str">
        <f>"'"&amp;装备!B197&amp;"'"</f>
        <v>'IF06'</v>
      </c>
      <c r="C204" s="29">
        <f>装备!J197</f>
        <v>0</v>
      </c>
      <c r="D204" s="29">
        <f>装备!K197</f>
        <v>0</v>
      </c>
      <c r="E204" s="29">
        <f>装备!L197</f>
        <v>0</v>
      </c>
      <c r="F204" s="29">
        <f>装备!M197</f>
        <v>0</v>
      </c>
      <c r="G204" s="29">
        <f>装备!N197</f>
        <v>0</v>
      </c>
      <c r="H204" s="29">
        <f>装备!O197</f>
        <v>0</v>
      </c>
      <c r="I204" s="29">
        <f>IF(装备!J197=0,0,"'"&amp;装备!J197&amp;"'")</f>
        <v>0</v>
      </c>
      <c r="J204" s="29">
        <f>IF(装备!K197=0,0,"'"&amp;装备!K197&amp;"'")</f>
        <v>0</v>
      </c>
      <c r="K204" s="29">
        <f>IF(装备!L197=0,0,"'"&amp;装备!L197&amp;"'")</f>
        <v>0</v>
      </c>
      <c r="L204" s="29">
        <f>IF(装备!M197=0,0,"'"&amp;装备!M197&amp;"'")</f>
        <v>0</v>
      </c>
      <c r="M204" s="29">
        <f>IF(装备!N197=0,0,"'"&amp;装备!N197&amp;"'")</f>
        <v>0</v>
      </c>
      <c r="N204" s="29">
        <f>IF(装备!O197=0,0,"'"&amp;装备!O197&amp;"'")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装备!A198</f>
        <v>0</v>
      </c>
      <c r="B205" s="29" t="str">
        <f>"'"&amp;装备!B198&amp;"'"</f>
        <v>'IF07'</v>
      </c>
      <c r="C205" s="29">
        <f>装备!J198</f>
        <v>0</v>
      </c>
      <c r="D205" s="29">
        <f>装备!K198</f>
        <v>0</v>
      </c>
      <c r="E205" s="29">
        <f>装备!L198</f>
        <v>0</v>
      </c>
      <c r="F205" s="29">
        <f>装备!M198</f>
        <v>0</v>
      </c>
      <c r="G205" s="29">
        <f>装备!N198</f>
        <v>0</v>
      </c>
      <c r="H205" s="29">
        <f>装备!O198</f>
        <v>0</v>
      </c>
      <c r="I205" s="29">
        <f>IF(装备!J198=0,0,"'"&amp;装备!J198&amp;"'")</f>
        <v>0</v>
      </c>
      <c r="J205" s="29">
        <f>IF(装备!K198=0,0,"'"&amp;装备!K198&amp;"'")</f>
        <v>0</v>
      </c>
      <c r="K205" s="29">
        <f>IF(装备!L198=0,0,"'"&amp;装备!L198&amp;"'")</f>
        <v>0</v>
      </c>
      <c r="L205" s="29">
        <f>IF(装备!M198=0,0,"'"&amp;装备!M198&amp;"'")</f>
        <v>0</v>
      </c>
      <c r="M205" s="29">
        <f>IF(装备!N198=0,0,"'"&amp;装备!N198&amp;"'")</f>
        <v>0</v>
      </c>
      <c r="N205" s="29">
        <f>IF(装备!O198=0,0,"'"&amp;装备!O198&amp;"'")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装备!A199</f>
        <v>0</v>
      </c>
      <c r="B206" s="29" t="str">
        <f>"'"&amp;装备!B199&amp;"'"</f>
        <v>'IF08'</v>
      </c>
      <c r="C206" s="29">
        <f>装备!J199</f>
        <v>0</v>
      </c>
      <c r="D206" s="29">
        <f>装备!K199</f>
        <v>0</v>
      </c>
      <c r="E206" s="29">
        <f>装备!L199</f>
        <v>0</v>
      </c>
      <c r="F206" s="29">
        <f>装备!M199</f>
        <v>0</v>
      </c>
      <c r="G206" s="29">
        <f>装备!N199</f>
        <v>0</v>
      </c>
      <c r="H206" s="29">
        <f>装备!O199</f>
        <v>0</v>
      </c>
      <c r="I206" s="29">
        <f>IF(装备!J199=0,0,"'"&amp;装备!J199&amp;"'")</f>
        <v>0</v>
      </c>
      <c r="J206" s="29">
        <f>IF(装备!K199=0,0,"'"&amp;装备!K199&amp;"'")</f>
        <v>0</v>
      </c>
      <c r="K206" s="29">
        <f>IF(装备!L199=0,0,"'"&amp;装备!L199&amp;"'")</f>
        <v>0</v>
      </c>
      <c r="L206" s="29">
        <f>IF(装备!M199=0,0,"'"&amp;装备!M199&amp;"'")</f>
        <v>0</v>
      </c>
      <c r="M206" s="29">
        <f>IF(装备!N199=0,0,"'"&amp;装备!N199&amp;"'")</f>
        <v>0</v>
      </c>
      <c r="N206" s="29">
        <f>IF(装备!O199=0,0,"'"&amp;装备!O199&amp;"'")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装备!A200</f>
        <v>0</v>
      </c>
      <c r="B207" s="29" t="str">
        <f>"'"&amp;装备!B200&amp;"'"</f>
        <v>'IF09'</v>
      </c>
      <c r="C207" s="29">
        <f>装备!J200</f>
        <v>0</v>
      </c>
      <c r="D207" s="29">
        <f>装备!K200</f>
        <v>0</v>
      </c>
      <c r="E207" s="29">
        <f>装备!L200</f>
        <v>0</v>
      </c>
      <c r="F207" s="29">
        <f>装备!M200</f>
        <v>0</v>
      </c>
      <c r="G207" s="29">
        <f>装备!N200</f>
        <v>0</v>
      </c>
      <c r="H207" s="29">
        <f>装备!O200</f>
        <v>0</v>
      </c>
      <c r="I207" s="29">
        <f>IF(装备!J200=0,0,"'"&amp;装备!J200&amp;"'")</f>
        <v>0</v>
      </c>
      <c r="J207" s="29">
        <f>IF(装备!K200=0,0,"'"&amp;装备!K200&amp;"'")</f>
        <v>0</v>
      </c>
      <c r="K207" s="29">
        <f>IF(装备!L200=0,0,"'"&amp;装备!L200&amp;"'")</f>
        <v>0</v>
      </c>
      <c r="L207" s="29">
        <f>IF(装备!M200=0,0,"'"&amp;装备!M200&amp;"'")</f>
        <v>0</v>
      </c>
      <c r="M207" s="29">
        <f>IF(装备!N200=0,0,"'"&amp;装备!N200&amp;"'")</f>
        <v>0</v>
      </c>
      <c r="N207" s="29">
        <f>IF(装备!O200=0,0,"'"&amp;装备!O200&amp;"'")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装备!A201</f>
        <v>0</v>
      </c>
      <c r="B208" s="29" t="str">
        <f>"'"&amp;装备!B201&amp;"'"</f>
        <v>'IF10'</v>
      </c>
      <c r="C208" s="29">
        <f>装备!J201</f>
        <v>0</v>
      </c>
      <c r="D208" s="29">
        <f>装备!K201</f>
        <v>0</v>
      </c>
      <c r="E208" s="29">
        <f>装备!L201</f>
        <v>0</v>
      </c>
      <c r="F208" s="29">
        <f>装备!M201</f>
        <v>0</v>
      </c>
      <c r="G208" s="29">
        <f>装备!N201</f>
        <v>0</v>
      </c>
      <c r="H208" s="29">
        <f>装备!O201</f>
        <v>0</v>
      </c>
      <c r="I208" s="29">
        <f>IF(装备!J201=0,0,"'"&amp;装备!J201&amp;"'")</f>
        <v>0</v>
      </c>
      <c r="J208" s="29">
        <f>IF(装备!K201=0,0,"'"&amp;装备!K201&amp;"'")</f>
        <v>0</v>
      </c>
      <c r="K208" s="29">
        <f>IF(装备!L201=0,0,"'"&amp;装备!L201&amp;"'")</f>
        <v>0</v>
      </c>
      <c r="L208" s="29">
        <f>IF(装备!M201=0,0,"'"&amp;装备!M201&amp;"'")</f>
        <v>0</v>
      </c>
      <c r="M208" s="29">
        <f>IF(装备!N201=0,0,"'"&amp;装备!N201&amp;"'")</f>
        <v>0</v>
      </c>
      <c r="N208" s="29">
        <f>IF(装备!O201=0,0,"'"&amp;装备!O201&amp;"'")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装备!A202</f>
        <v>0</v>
      </c>
      <c r="B209" s="29" t="str">
        <f>"'"&amp;装备!B202&amp;"'"</f>
        <v>'IF11'</v>
      </c>
      <c r="C209" s="29">
        <f>装备!J202</f>
        <v>0</v>
      </c>
      <c r="D209" s="29">
        <f>装备!K202</f>
        <v>0</v>
      </c>
      <c r="E209" s="29">
        <f>装备!L202</f>
        <v>0</v>
      </c>
      <c r="F209" s="29">
        <f>装备!M202</f>
        <v>0</v>
      </c>
      <c r="G209" s="29">
        <f>装备!N202</f>
        <v>0</v>
      </c>
      <c r="H209" s="29">
        <f>装备!O202</f>
        <v>0</v>
      </c>
      <c r="I209" s="29">
        <f>IF(装备!J202=0,0,"'"&amp;装备!J202&amp;"'")</f>
        <v>0</v>
      </c>
      <c r="J209" s="29">
        <f>IF(装备!K202=0,0,"'"&amp;装备!K202&amp;"'")</f>
        <v>0</v>
      </c>
      <c r="K209" s="29">
        <f>IF(装备!L202=0,0,"'"&amp;装备!L202&amp;"'")</f>
        <v>0</v>
      </c>
      <c r="L209" s="29">
        <f>IF(装备!M202=0,0,"'"&amp;装备!M202&amp;"'")</f>
        <v>0</v>
      </c>
      <c r="M209" s="29">
        <f>IF(装备!N202=0,0,"'"&amp;装备!N202&amp;"'")</f>
        <v>0</v>
      </c>
      <c r="N209" s="29">
        <f>IF(装备!O202=0,0,"'"&amp;装备!O202&amp;"'")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装备!A203</f>
        <v>0</v>
      </c>
      <c r="B210" s="29" t="str">
        <f>"'"&amp;装备!B203&amp;"'"</f>
        <v>'IF12'</v>
      </c>
      <c r="C210" s="29">
        <f>装备!J203</f>
        <v>0</v>
      </c>
      <c r="D210" s="29">
        <f>装备!K203</f>
        <v>0</v>
      </c>
      <c r="E210" s="29">
        <f>装备!L203</f>
        <v>0</v>
      </c>
      <c r="F210" s="29">
        <f>装备!M203</f>
        <v>0</v>
      </c>
      <c r="G210" s="29">
        <f>装备!N203</f>
        <v>0</v>
      </c>
      <c r="H210" s="29">
        <f>装备!O203</f>
        <v>0</v>
      </c>
      <c r="I210" s="29">
        <f>IF(装备!J203=0,0,"'"&amp;装备!J203&amp;"'")</f>
        <v>0</v>
      </c>
      <c r="J210" s="29">
        <f>IF(装备!K203=0,0,"'"&amp;装备!K203&amp;"'")</f>
        <v>0</v>
      </c>
      <c r="K210" s="29">
        <f>IF(装备!L203=0,0,"'"&amp;装备!L203&amp;"'")</f>
        <v>0</v>
      </c>
      <c r="L210" s="29">
        <f>IF(装备!M203=0,0,"'"&amp;装备!M203&amp;"'")</f>
        <v>0</v>
      </c>
      <c r="M210" s="29">
        <f>IF(装备!N203=0,0,"'"&amp;装备!N203&amp;"'")</f>
        <v>0</v>
      </c>
      <c r="N210" s="29">
        <f>IF(装备!O203=0,0,"'"&amp;装备!O203&amp;"'")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装备!A204</f>
        <v>0</v>
      </c>
      <c r="B211" s="29" t="str">
        <f>"'"&amp;装备!B204&amp;"'"</f>
        <v>'IF13'</v>
      </c>
      <c r="C211" s="29">
        <f>装备!J204</f>
        <v>0</v>
      </c>
      <c r="D211" s="29">
        <f>装备!K204</f>
        <v>0</v>
      </c>
      <c r="E211" s="29">
        <f>装备!L204</f>
        <v>0</v>
      </c>
      <c r="F211" s="29">
        <f>装备!M204</f>
        <v>0</v>
      </c>
      <c r="G211" s="29">
        <f>装备!N204</f>
        <v>0</v>
      </c>
      <c r="H211" s="29">
        <f>装备!O204</f>
        <v>0</v>
      </c>
      <c r="I211" s="29">
        <f>IF(装备!J204=0,0,"'"&amp;装备!J204&amp;"'")</f>
        <v>0</v>
      </c>
      <c r="J211" s="29">
        <f>IF(装备!K204=0,0,"'"&amp;装备!K204&amp;"'")</f>
        <v>0</v>
      </c>
      <c r="K211" s="29">
        <f>IF(装备!L204=0,0,"'"&amp;装备!L204&amp;"'")</f>
        <v>0</v>
      </c>
      <c r="L211" s="29">
        <f>IF(装备!M204=0,0,"'"&amp;装备!M204&amp;"'")</f>
        <v>0</v>
      </c>
      <c r="M211" s="29">
        <f>IF(装备!N204=0,0,"'"&amp;装备!N204&amp;"'")</f>
        <v>0</v>
      </c>
      <c r="N211" s="29">
        <f>IF(装备!O204=0,0,"'"&amp;装备!O204&amp;"'")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装备!A205</f>
        <v>0</v>
      </c>
      <c r="B212" s="29" t="str">
        <f>"'"&amp;装备!B205&amp;"'"</f>
        <v>'IF14'</v>
      </c>
      <c r="C212" s="29">
        <f>装备!J205</f>
        <v>0</v>
      </c>
      <c r="D212" s="29">
        <f>装备!K205</f>
        <v>0</v>
      </c>
      <c r="E212" s="29">
        <f>装备!L205</f>
        <v>0</v>
      </c>
      <c r="F212" s="29">
        <f>装备!M205</f>
        <v>0</v>
      </c>
      <c r="G212" s="29">
        <f>装备!N205</f>
        <v>0</v>
      </c>
      <c r="H212" s="29">
        <f>装备!O205</f>
        <v>0</v>
      </c>
      <c r="I212" s="29">
        <f>IF(装备!J205=0,0,"'"&amp;装备!J205&amp;"'")</f>
        <v>0</v>
      </c>
      <c r="J212" s="29">
        <f>IF(装备!K205=0,0,"'"&amp;装备!K205&amp;"'")</f>
        <v>0</v>
      </c>
      <c r="K212" s="29">
        <f>IF(装备!L205=0,0,"'"&amp;装备!L205&amp;"'")</f>
        <v>0</v>
      </c>
      <c r="L212" s="29">
        <f>IF(装备!M205=0,0,"'"&amp;装备!M205&amp;"'")</f>
        <v>0</v>
      </c>
      <c r="M212" s="29">
        <f>IF(装备!N205=0,0,"'"&amp;装备!N205&amp;"'")</f>
        <v>0</v>
      </c>
      <c r="N212" s="29">
        <f>IF(装备!O205=0,0,"'"&amp;装备!O205&amp;"'")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装备!A206</f>
        <v>0</v>
      </c>
      <c r="B213" s="29" t="str">
        <f>"'"&amp;装备!B206&amp;"'"</f>
        <v>'IF15'</v>
      </c>
      <c r="C213" s="29">
        <f>装备!J206</f>
        <v>0</v>
      </c>
      <c r="D213" s="29">
        <f>装备!K206</f>
        <v>0</v>
      </c>
      <c r="E213" s="29">
        <f>装备!L206</f>
        <v>0</v>
      </c>
      <c r="F213" s="29">
        <f>装备!M206</f>
        <v>0</v>
      </c>
      <c r="G213" s="29">
        <f>装备!N206</f>
        <v>0</v>
      </c>
      <c r="H213" s="29">
        <f>装备!O206</f>
        <v>0</v>
      </c>
      <c r="I213" s="29">
        <f>IF(装备!J206=0,0,"'"&amp;装备!J206&amp;"'")</f>
        <v>0</v>
      </c>
      <c r="J213" s="29">
        <f>IF(装备!K206=0,0,"'"&amp;装备!K206&amp;"'")</f>
        <v>0</v>
      </c>
      <c r="K213" s="29">
        <f>IF(装备!L206=0,0,"'"&amp;装备!L206&amp;"'")</f>
        <v>0</v>
      </c>
      <c r="L213" s="29">
        <f>IF(装备!M206=0,0,"'"&amp;装备!M206&amp;"'")</f>
        <v>0</v>
      </c>
      <c r="M213" s="29">
        <f>IF(装备!N206=0,0,"'"&amp;装备!N206&amp;"'")</f>
        <v>0</v>
      </c>
      <c r="N213" s="29">
        <f>IF(装备!O206=0,0,"'"&amp;装备!O206&amp;"'")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装备!A207</f>
        <v>0</v>
      </c>
      <c r="B214" s="29" t="str">
        <f>"'"&amp;装备!B207&amp;"'"</f>
        <v>'IF16'</v>
      </c>
      <c r="C214" s="29">
        <f>装备!J207</f>
        <v>0</v>
      </c>
      <c r="D214" s="29">
        <f>装备!K207</f>
        <v>0</v>
      </c>
      <c r="E214" s="29">
        <f>装备!L207</f>
        <v>0</v>
      </c>
      <c r="F214" s="29">
        <f>装备!M207</f>
        <v>0</v>
      </c>
      <c r="G214" s="29">
        <f>装备!N207</f>
        <v>0</v>
      </c>
      <c r="H214" s="29">
        <f>装备!O207</f>
        <v>0</v>
      </c>
      <c r="I214" s="29">
        <f>IF(装备!J207=0,0,"'"&amp;装备!J207&amp;"'")</f>
        <v>0</v>
      </c>
      <c r="J214" s="29">
        <f>IF(装备!K207=0,0,"'"&amp;装备!K207&amp;"'")</f>
        <v>0</v>
      </c>
      <c r="K214" s="29">
        <f>IF(装备!L207=0,0,"'"&amp;装备!L207&amp;"'")</f>
        <v>0</v>
      </c>
      <c r="L214" s="29">
        <f>IF(装备!M207=0,0,"'"&amp;装备!M207&amp;"'")</f>
        <v>0</v>
      </c>
      <c r="M214" s="29">
        <f>IF(装备!N207=0,0,"'"&amp;装备!N207&amp;"'")</f>
        <v>0</v>
      </c>
      <c r="N214" s="29">
        <f>IF(装备!O207=0,0,"'"&amp;装备!O207&amp;"'")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装备!A208</f>
        <v>0</v>
      </c>
      <c r="B215" s="29" t="str">
        <f>"'"&amp;装备!B208&amp;"'"</f>
        <v>'IF17'</v>
      </c>
      <c r="C215" s="29">
        <f>装备!J208</f>
        <v>0</v>
      </c>
      <c r="D215" s="29">
        <f>装备!K208</f>
        <v>0</v>
      </c>
      <c r="E215" s="29">
        <f>装备!L208</f>
        <v>0</v>
      </c>
      <c r="F215" s="29">
        <f>装备!M208</f>
        <v>0</v>
      </c>
      <c r="G215" s="29">
        <f>装备!N208</f>
        <v>0</v>
      </c>
      <c r="H215" s="29">
        <f>装备!O208</f>
        <v>0</v>
      </c>
      <c r="I215" s="29">
        <f>IF(装备!J208=0,0,"'"&amp;装备!J208&amp;"'")</f>
        <v>0</v>
      </c>
      <c r="J215" s="29">
        <f>IF(装备!K208=0,0,"'"&amp;装备!K208&amp;"'")</f>
        <v>0</v>
      </c>
      <c r="K215" s="29">
        <f>IF(装备!L208=0,0,"'"&amp;装备!L208&amp;"'")</f>
        <v>0</v>
      </c>
      <c r="L215" s="29">
        <f>IF(装备!M208=0,0,"'"&amp;装备!M208&amp;"'")</f>
        <v>0</v>
      </c>
      <c r="M215" s="29">
        <f>IF(装备!N208=0,0,"'"&amp;装备!N208&amp;"'")</f>
        <v>0</v>
      </c>
      <c r="N215" s="29">
        <f>IF(装备!O208=0,0,"'"&amp;装备!O208&amp;"'")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装备!A209</f>
        <v>0</v>
      </c>
      <c r="B216" s="29" t="str">
        <f>"'"&amp;装备!B209&amp;"'"</f>
        <v>'IF18'</v>
      </c>
      <c r="C216" s="29">
        <f>装备!J209</f>
        <v>0</v>
      </c>
      <c r="D216" s="29">
        <f>装备!K209</f>
        <v>0</v>
      </c>
      <c r="E216" s="29">
        <f>装备!L209</f>
        <v>0</v>
      </c>
      <c r="F216" s="29">
        <f>装备!M209</f>
        <v>0</v>
      </c>
      <c r="G216" s="29">
        <f>装备!N209</f>
        <v>0</v>
      </c>
      <c r="H216" s="29">
        <f>装备!O209</f>
        <v>0</v>
      </c>
      <c r="I216" s="29">
        <f>IF(装备!J209=0,0,"'"&amp;装备!J209&amp;"'")</f>
        <v>0</v>
      </c>
      <c r="J216" s="29">
        <f>IF(装备!K209=0,0,"'"&amp;装备!K209&amp;"'")</f>
        <v>0</v>
      </c>
      <c r="K216" s="29">
        <f>IF(装备!L209=0,0,"'"&amp;装备!L209&amp;"'")</f>
        <v>0</v>
      </c>
      <c r="L216" s="29">
        <f>IF(装备!M209=0,0,"'"&amp;装备!M209&amp;"'")</f>
        <v>0</v>
      </c>
      <c r="M216" s="29">
        <f>IF(装备!N209=0,0,"'"&amp;装备!N209&amp;"'")</f>
        <v>0</v>
      </c>
      <c r="N216" s="29">
        <f>IF(装备!O209=0,0,"'"&amp;装备!O209&amp;"'")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装备!A210</f>
        <v>0</v>
      </c>
      <c r="B217" s="29" t="str">
        <f>"'"&amp;装备!B210&amp;"'"</f>
        <v>'IF19'</v>
      </c>
      <c r="C217" s="29">
        <f>装备!J210</f>
        <v>0</v>
      </c>
      <c r="D217" s="29">
        <f>装备!K210</f>
        <v>0</v>
      </c>
      <c r="E217" s="29">
        <f>装备!L210</f>
        <v>0</v>
      </c>
      <c r="F217" s="29">
        <f>装备!M210</f>
        <v>0</v>
      </c>
      <c r="G217" s="29">
        <f>装备!N210</f>
        <v>0</v>
      </c>
      <c r="H217" s="29">
        <f>装备!O210</f>
        <v>0</v>
      </c>
      <c r="I217" s="29">
        <f>IF(装备!J210=0,0,"'"&amp;装备!J210&amp;"'")</f>
        <v>0</v>
      </c>
      <c r="J217" s="29">
        <f>IF(装备!K210=0,0,"'"&amp;装备!K210&amp;"'")</f>
        <v>0</v>
      </c>
      <c r="K217" s="29">
        <f>IF(装备!L210=0,0,"'"&amp;装备!L210&amp;"'")</f>
        <v>0</v>
      </c>
      <c r="L217" s="29">
        <f>IF(装备!M210=0,0,"'"&amp;装备!M210&amp;"'")</f>
        <v>0</v>
      </c>
      <c r="M217" s="29">
        <f>IF(装备!N210=0,0,"'"&amp;装备!N210&amp;"'")</f>
        <v>0</v>
      </c>
      <c r="N217" s="29">
        <f>IF(装备!O210=0,0,"'"&amp;装备!O210&amp;"'")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装备!A211</f>
        <v>0</v>
      </c>
      <c r="B218" s="29" t="str">
        <f>"'"&amp;装备!B211&amp;"'"</f>
        <v>'IF20'</v>
      </c>
      <c r="C218" s="29">
        <f>装备!J211</f>
        <v>0</v>
      </c>
      <c r="D218" s="29">
        <f>装备!K211</f>
        <v>0</v>
      </c>
      <c r="E218" s="29">
        <f>装备!L211</f>
        <v>0</v>
      </c>
      <c r="F218" s="29">
        <f>装备!M211</f>
        <v>0</v>
      </c>
      <c r="G218" s="29">
        <f>装备!N211</f>
        <v>0</v>
      </c>
      <c r="H218" s="29">
        <f>装备!O211</f>
        <v>0</v>
      </c>
      <c r="I218" s="29">
        <f>IF(装备!J211=0,0,"'"&amp;装备!J211&amp;"'")</f>
        <v>0</v>
      </c>
      <c r="J218" s="29">
        <f>IF(装备!K211=0,0,"'"&amp;装备!K211&amp;"'")</f>
        <v>0</v>
      </c>
      <c r="K218" s="29">
        <f>IF(装备!L211=0,0,"'"&amp;装备!L211&amp;"'")</f>
        <v>0</v>
      </c>
      <c r="L218" s="29">
        <f>IF(装备!M211=0,0,"'"&amp;装备!M211&amp;"'")</f>
        <v>0</v>
      </c>
      <c r="M218" s="29">
        <f>IF(装备!N211=0,0,"'"&amp;装备!N211&amp;"'")</f>
        <v>0</v>
      </c>
      <c r="N218" s="29">
        <f>IF(装备!O211=0,0,"'"&amp;装备!O211&amp;"'")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装备!A212</f>
        <v>0</v>
      </c>
      <c r="B219" s="29" t="str">
        <f>"'"&amp;装备!B212&amp;"'"</f>
        <v>'IF21'</v>
      </c>
      <c r="C219" s="29">
        <f>装备!J212</f>
        <v>0</v>
      </c>
      <c r="D219" s="29">
        <f>装备!K212</f>
        <v>0</v>
      </c>
      <c r="E219" s="29">
        <f>装备!L212</f>
        <v>0</v>
      </c>
      <c r="F219" s="29">
        <f>装备!M212</f>
        <v>0</v>
      </c>
      <c r="G219" s="29">
        <f>装备!N212</f>
        <v>0</v>
      </c>
      <c r="H219" s="29">
        <f>装备!O212</f>
        <v>0</v>
      </c>
      <c r="I219" s="29">
        <f>IF(装备!J212=0,0,"'"&amp;装备!J212&amp;"'")</f>
        <v>0</v>
      </c>
      <c r="J219" s="29">
        <f>IF(装备!K212=0,0,"'"&amp;装备!K212&amp;"'")</f>
        <v>0</v>
      </c>
      <c r="K219" s="29">
        <f>IF(装备!L212=0,0,"'"&amp;装备!L212&amp;"'")</f>
        <v>0</v>
      </c>
      <c r="L219" s="29">
        <f>IF(装备!M212=0,0,"'"&amp;装备!M212&amp;"'")</f>
        <v>0</v>
      </c>
      <c r="M219" s="29">
        <f>IF(装备!N212=0,0,"'"&amp;装备!N212&amp;"'")</f>
        <v>0</v>
      </c>
      <c r="N219" s="29">
        <f>IF(装备!O212=0,0,"'"&amp;装备!O212&amp;"'")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装备!A213</f>
        <v>0</v>
      </c>
      <c r="B220" s="29" t="str">
        <f>"'"&amp;装备!B213&amp;"'"</f>
        <v>'IF22'</v>
      </c>
      <c r="C220" s="29">
        <f>装备!J213</f>
        <v>0</v>
      </c>
      <c r="D220" s="29">
        <f>装备!K213</f>
        <v>0</v>
      </c>
      <c r="E220" s="29">
        <f>装备!L213</f>
        <v>0</v>
      </c>
      <c r="F220" s="29">
        <f>装备!M213</f>
        <v>0</v>
      </c>
      <c r="G220" s="29">
        <f>装备!N213</f>
        <v>0</v>
      </c>
      <c r="H220" s="29">
        <f>装备!O213</f>
        <v>0</v>
      </c>
      <c r="I220" s="29">
        <f>IF(装备!J213=0,0,"'"&amp;装备!J213&amp;"'")</f>
        <v>0</v>
      </c>
      <c r="J220" s="29">
        <f>IF(装备!K213=0,0,"'"&amp;装备!K213&amp;"'")</f>
        <v>0</v>
      </c>
      <c r="K220" s="29">
        <f>IF(装备!L213=0,0,"'"&amp;装备!L213&amp;"'")</f>
        <v>0</v>
      </c>
      <c r="L220" s="29">
        <f>IF(装备!M213=0,0,"'"&amp;装备!M213&amp;"'")</f>
        <v>0</v>
      </c>
      <c r="M220" s="29">
        <f>IF(装备!N213=0,0,"'"&amp;装备!N213&amp;"'")</f>
        <v>0</v>
      </c>
      <c r="N220" s="29">
        <f>IF(装备!O213=0,0,"'"&amp;装备!O213&amp;"'")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装备!A214</f>
        <v>0</v>
      </c>
      <c r="B221" s="29" t="str">
        <f>"'"&amp;装备!B214&amp;"'"</f>
        <v>'IF23'</v>
      </c>
      <c r="C221" s="29">
        <f>装备!J214</f>
        <v>0</v>
      </c>
      <c r="D221" s="29">
        <f>装备!K214</f>
        <v>0</v>
      </c>
      <c r="E221" s="29">
        <f>装备!L214</f>
        <v>0</v>
      </c>
      <c r="F221" s="29">
        <f>装备!M214</f>
        <v>0</v>
      </c>
      <c r="G221" s="29">
        <f>装备!N214</f>
        <v>0</v>
      </c>
      <c r="H221" s="29">
        <f>装备!O214</f>
        <v>0</v>
      </c>
      <c r="I221" s="29">
        <f>IF(装备!J214=0,0,"'"&amp;装备!J214&amp;"'")</f>
        <v>0</v>
      </c>
      <c r="J221" s="29">
        <f>IF(装备!K214=0,0,"'"&amp;装备!K214&amp;"'")</f>
        <v>0</v>
      </c>
      <c r="K221" s="29">
        <f>IF(装备!L214=0,0,"'"&amp;装备!L214&amp;"'")</f>
        <v>0</v>
      </c>
      <c r="L221" s="29">
        <f>IF(装备!M214=0,0,"'"&amp;装备!M214&amp;"'")</f>
        <v>0</v>
      </c>
      <c r="M221" s="29">
        <f>IF(装备!N214=0,0,"'"&amp;装备!N214&amp;"'")</f>
        <v>0</v>
      </c>
      <c r="N221" s="29">
        <f>IF(装备!O214=0,0,"'"&amp;装备!O214&amp;"'")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装备!A215</f>
        <v>0</v>
      </c>
      <c r="B222" s="29" t="str">
        <f>"'"&amp;装备!B215&amp;"'"</f>
        <v>'IF24'</v>
      </c>
      <c r="C222" s="29">
        <f>装备!J215</f>
        <v>0</v>
      </c>
      <c r="D222" s="29">
        <f>装备!K215</f>
        <v>0</v>
      </c>
      <c r="E222" s="29">
        <f>装备!L215</f>
        <v>0</v>
      </c>
      <c r="F222" s="29">
        <f>装备!M215</f>
        <v>0</v>
      </c>
      <c r="G222" s="29">
        <f>装备!N215</f>
        <v>0</v>
      </c>
      <c r="H222" s="29">
        <f>装备!O215</f>
        <v>0</v>
      </c>
      <c r="I222" s="29">
        <f>IF(装备!J215=0,0,"'"&amp;装备!J215&amp;"'")</f>
        <v>0</v>
      </c>
      <c r="J222" s="29">
        <f>IF(装备!K215=0,0,"'"&amp;装备!K215&amp;"'")</f>
        <v>0</v>
      </c>
      <c r="K222" s="29">
        <f>IF(装备!L215=0,0,"'"&amp;装备!L215&amp;"'")</f>
        <v>0</v>
      </c>
      <c r="L222" s="29">
        <f>IF(装备!M215=0,0,"'"&amp;装备!M215&amp;"'")</f>
        <v>0</v>
      </c>
      <c r="M222" s="29">
        <f>IF(装备!N215=0,0,"'"&amp;装备!N215&amp;"'")</f>
        <v>0</v>
      </c>
      <c r="N222" s="29">
        <f>IF(装备!O215=0,0,"'"&amp;装备!O215&amp;"'")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装备!A216</f>
        <v>0</v>
      </c>
      <c r="B223" s="29" t="str">
        <f>"'"&amp;装备!B216&amp;"'"</f>
        <v>'IF25'</v>
      </c>
      <c r="C223" s="29">
        <f>装备!J216</f>
        <v>0</v>
      </c>
      <c r="D223" s="29">
        <f>装备!K216</f>
        <v>0</v>
      </c>
      <c r="E223" s="29">
        <f>装备!L216</f>
        <v>0</v>
      </c>
      <c r="F223" s="29">
        <f>装备!M216</f>
        <v>0</v>
      </c>
      <c r="G223" s="29">
        <f>装备!N216</f>
        <v>0</v>
      </c>
      <c r="H223" s="29">
        <f>装备!O216</f>
        <v>0</v>
      </c>
      <c r="I223" s="29">
        <f>IF(装备!J216=0,0,"'"&amp;装备!J216&amp;"'")</f>
        <v>0</v>
      </c>
      <c r="J223" s="29">
        <f>IF(装备!K216=0,0,"'"&amp;装备!K216&amp;"'")</f>
        <v>0</v>
      </c>
      <c r="K223" s="29">
        <f>IF(装备!L216=0,0,"'"&amp;装备!L216&amp;"'")</f>
        <v>0</v>
      </c>
      <c r="L223" s="29">
        <f>IF(装备!M216=0,0,"'"&amp;装备!M216&amp;"'")</f>
        <v>0</v>
      </c>
      <c r="M223" s="29">
        <f>IF(装备!N216=0,0,"'"&amp;装备!N216&amp;"'")</f>
        <v>0</v>
      </c>
      <c r="N223" s="29">
        <f>IF(装备!O216=0,0,"'"&amp;装备!O216&amp;"'")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装备!A217</f>
        <v>0</v>
      </c>
      <c r="B224" s="29" t="str">
        <f>"'"&amp;装备!B217&amp;"'"</f>
        <v>'IF26'</v>
      </c>
      <c r="C224" s="29">
        <f>装备!J217</f>
        <v>0</v>
      </c>
      <c r="D224" s="29">
        <f>装备!K217</f>
        <v>0</v>
      </c>
      <c r="E224" s="29">
        <f>装备!L217</f>
        <v>0</v>
      </c>
      <c r="F224" s="29">
        <f>装备!M217</f>
        <v>0</v>
      </c>
      <c r="G224" s="29">
        <f>装备!N217</f>
        <v>0</v>
      </c>
      <c r="H224" s="29">
        <f>装备!O217</f>
        <v>0</v>
      </c>
      <c r="I224" s="29">
        <f>IF(装备!J217=0,0,"'"&amp;装备!J217&amp;"'")</f>
        <v>0</v>
      </c>
      <c r="J224" s="29">
        <f>IF(装备!K217=0,0,"'"&amp;装备!K217&amp;"'")</f>
        <v>0</v>
      </c>
      <c r="K224" s="29">
        <f>IF(装备!L217=0,0,"'"&amp;装备!L217&amp;"'")</f>
        <v>0</v>
      </c>
      <c r="L224" s="29">
        <f>IF(装备!M217=0,0,"'"&amp;装备!M217&amp;"'")</f>
        <v>0</v>
      </c>
      <c r="M224" s="29">
        <f>IF(装备!N217=0,0,"'"&amp;装备!N217&amp;"'")</f>
        <v>0</v>
      </c>
      <c r="N224" s="29">
        <f>IF(装备!O217=0,0,"'"&amp;装备!O217&amp;"'")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装备!A218</f>
        <v>0</v>
      </c>
      <c r="B225" s="29" t="str">
        <f>"'"&amp;装备!B218&amp;"'"</f>
        <v>'IF27'</v>
      </c>
      <c r="C225" s="29">
        <f>装备!J218</f>
        <v>0</v>
      </c>
      <c r="D225" s="29">
        <f>装备!K218</f>
        <v>0</v>
      </c>
      <c r="E225" s="29">
        <f>装备!L218</f>
        <v>0</v>
      </c>
      <c r="F225" s="29">
        <f>装备!M218</f>
        <v>0</v>
      </c>
      <c r="G225" s="29">
        <f>装备!N218</f>
        <v>0</v>
      </c>
      <c r="H225" s="29">
        <f>装备!O218</f>
        <v>0</v>
      </c>
      <c r="I225" s="29">
        <f>IF(装备!J218=0,0,"'"&amp;装备!J218&amp;"'")</f>
        <v>0</v>
      </c>
      <c r="J225" s="29">
        <f>IF(装备!K218=0,0,"'"&amp;装备!K218&amp;"'")</f>
        <v>0</v>
      </c>
      <c r="K225" s="29">
        <f>IF(装备!L218=0,0,"'"&amp;装备!L218&amp;"'")</f>
        <v>0</v>
      </c>
      <c r="L225" s="29">
        <f>IF(装备!M218=0,0,"'"&amp;装备!M218&amp;"'")</f>
        <v>0</v>
      </c>
      <c r="M225" s="29">
        <f>IF(装备!N218=0,0,"'"&amp;装备!N218&amp;"'")</f>
        <v>0</v>
      </c>
      <c r="N225" s="29">
        <f>IF(装备!O218=0,0,"'"&amp;装备!O218&amp;"'")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装备!A219</f>
        <v>0</v>
      </c>
      <c r="B226" s="29" t="str">
        <f>"'"&amp;装备!B219&amp;"'"</f>
        <v>''</v>
      </c>
      <c r="C226" s="29">
        <f>装备!J219</f>
        <v>0</v>
      </c>
      <c r="D226" s="29">
        <f>装备!K219</f>
        <v>0</v>
      </c>
      <c r="E226" s="29">
        <f>装备!L219</f>
        <v>0</v>
      </c>
      <c r="F226" s="29">
        <f>装备!M219</f>
        <v>0</v>
      </c>
      <c r="G226" s="29">
        <f>装备!N219</f>
        <v>0</v>
      </c>
      <c r="H226" s="29">
        <f>装备!O219</f>
        <v>0</v>
      </c>
      <c r="I226" s="29">
        <f>IF(装备!J219=0,0,"'"&amp;装备!J219&amp;"'")</f>
        <v>0</v>
      </c>
      <c r="J226" s="29">
        <f>IF(装备!K219=0,0,"'"&amp;装备!K219&amp;"'")</f>
        <v>0</v>
      </c>
      <c r="K226" s="29">
        <f>IF(装备!L219=0,0,"'"&amp;装备!L219&amp;"'")</f>
        <v>0</v>
      </c>
      <c r="L226" s="29">
        <f>IF(装备!M219=0,0,"'"&amp;装备!M219&amp;"'")</f>
        <v>0</v>
      </c>
      <c r="M226" s="29">
        <f>IF(装备!N219=0,0,"'"&amp;装备!N219&amp;"'")</f>
        <v>0</v>
      </c>
      <c r="N226" s="29">
        <f>IF(装备!O219=0,0,"'"&amp;装备!O219&amp;"'")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装备!A220</f>
        <v>0</v>
      </c>
      <c r="B227" s="29" t="str">
        <f>"'"&amp;装备!B220&amp;"'"</f>
        <v>''</v>
      </c>
      <c r="C227" s="29">
        <f>装备!J220</f>
        <v>0</v>
      </c>
      <c r="D227" s="29">
        <f>装备!K220</f>
        <v>0</v>
      </c>
      <c r="E227" s="29">
        <f>装备!L220</f>
        <v>0</v>
      </c>
      <c r="F227" s="29">
        <f>装备!M220</f>
        <v>0</v>
      </c>
      <c r="G227" s="29">
        <f>装备!N220</f>
        <v>0</v>
      </c>
      <c r="H227" s="29">
        <f>装备!O220</f>
        <v>0</v>
      </c>
      <c r="I227" s="29">
        <f>IF(装备!J220=0,0,"'"&amp;装备!J220&amp;"'")</f>
        <v>0</v>
      </c>
      <c r="J227" s="29">
        <f>IF(装备!K220=0,0,"'"&amp;装备!K220&amp;"'")</f>
        <v>0</v>
      </c>
      <c r="K227" s="29">
        <f>IF(装备!L220=0,0,"'"&amp;装备!L220&amp;"'")</f>
        <v>0</v>
      </c>
      <c r="L227" s="29">
        <f>IF(装备!M220=0,0,"'"&amp;装备!M220&amp;"'")</f>
        <v>0</v>
      </c>
      <c r="M227" s="29">
        <f>IF(装备!N220=0,0,"'"&amp;装备!N220&amp;"'")</f>
        <v>0</v>
      </c>
      <c r="N227" s="29">
        <f>IF(装备!O220=0,0,"'"&amp;装备!O220&amp;"'")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装备!A221</f>
        <v>0</v>
      </c>
      <c r="B228" s="29" t="str">
        <f>"'"&amp;装备!B221&amp;"'"</f>
        <v>''</v>
      </c>
      <c r="C228" s="29">
        <f>装备!J221</f>
        <v>0</v>
      </c>
      <c r="D228" s="29">
        <f>装备!K221</f>
        <v>0</v>
      </c>
      <c r="E228" s="29">
        <f>装备!L221</f>
        <v>0</v>
      </c>
      <c r="F228" s="29">
        <f>装备!M221</f>
        <v>0</v>
      </c>
      <c r="G228" s="29">
        <f>装备!N221</f>
        <v>0</v>
      </c>
      <c r="H228" s="29">
        <f>装备!O221</f>
        <v>0</v>
      </c>
      <c r="I228" s="29">
        <f>IF(装备!J221=0,0,"'"&amp;装备!J221&amp;"'")</f>
        <v>0</v>
      </c>
      <c r="J228" s="29">
        <f>IF(装备!K221=0,0,"'"&amp;装备!K221&amp;"'")</f>
        <v>0</v>
      </c>
      <c r="K228" s="29">
        <f>IF(装备!L221=0,0,"'"&amp;装备!L221&amp;"'")</f>
        <v>0</v>
      </c>
      <c r="L228" s="29">
        <f>IF(装备!M221=0,0,"'"&amp;装备!M221&amp;"'")</f>
        <v>0</v>
      </c>
      <c r="M228" s="29">
        <f>IF(装备!N221=0,0,"'"&amp;装备!N221&amp;"'")</f>
        <v>0</v>
      </c>
      <c r="N228" s="29">
        <f>IF(装备!O221=0,0,"'"&amp;装备!O221&amp;"'")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装备!A222</f>
        <v>0</v>
      </c>
      <c r="B229" s="29" t="str">
        <f>"'"&amp;装备!B222&amp;"'"</f>
        <v>''</v>
      </c>
      <c r="C229" s="29">
        <f>装备!J222</f>
        <v>0</v>
      </c>
      <c r="D229" s="29">
        <f>装备!K222</f>
        <v>0</v>
      </c>
      <c r="E229" s="29">
        <f>装备!L222</f>
        <v>0</v>
      </c>
      <c r="F229" s="29">
        <f>装备!M222</f>
        <v>0</v>
      </c>
      <c r="G229" s="29">
        <f>装备!N222</f>
        <v>0</v>
      </c>
      <c r="H229" s="29">
        <f>装备!O222</f>
        <v>0</v>
      </c>
      <c r="I229" s="29">
        <f>IF(装备!J222=0,0,"'"&amp;装备!J222&amp;"'")</f>
        <v>0</v>
      </c>
      <c r="J229" s="29">
        <f>IF(装备!K222=0,0,"'"&amp;装备!K222&amp;"'")</f>
        <v>0</v>
      </c>
      <c r="K229" s="29">
        <f>IF(装备!L222=0,0,"'"&amp;装备!L222&amp;"'")</f>
        <v>0</v>
      </c>
      <c r="L229" s="29">
        <f>IF(装备!M222=0,0,"'"&amp;装备!M222&amp;"'")</f>
        <v>0</v>
      </c>
      <c r="M229" s="29">
        <f>IF(装备!N222=0,0,"'"&amp;装备!N222&amp;"'")</f>
        <v>0</v>
      </c>
      <c r="N229" s="29">
        <f>IF(装备!O222=0,0,"'"&amp;装备!O222&amp;"'")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装备!A223</f>
        <v>0</v>
      </c>
      <c r="B230" s="29" t="str">
        <f>"'"&amp;装备!B223&amp;"'"</f>
        <v>''</v>
      </c>
      <c r="C230" s="29">
        <f>装备!J223</f>
        <v>0</v>
      </c>
      <c r="D230" s="29">
        <f>装备!K223</f>
        <v>0</v>
      </c>
      <c r="E230" s="29">
        <f>装备!L223</f>
        <v>0</v>
      </c>
      <c r="F230" s="29">
        <f>装备!M223</f>
        <v>0</v>
      </c>
      <c r="G230" s="29">
        <f>装备!N223</f>
        <v>0</v>
      </c>
      <c r="H230" s="29">
        <f>装备!O223</f>
        <v>0</v>
      </c>
      <c r="I230" s="29">
        <f>IF(装备!J223=0,0,"'"&amp;装备!J223&amp;"'")</f>
        <v>0</v>
      </c>
      <c r="J230" s="29">
        <f>IF(装备!K223=0,0,"'"&amp;装备!K223&amp;"'")</f>
        <v>0</v>
      </c>
      <c r="K230" s="29">
        <f>IF(装备!L223=0,0,"'"&amp;装备!L223&amp;"'")</f>
        <v>0</v>
      </c>
      <c r="L230" s="29">
        <f>IF(装备!M223=0,0,"'"&amp;装备!M223&amp;"'")</f>
        <v>0</v>
      </c>
      <c r="M230" s="29">
        <f>IF(装备!N223=0,0,"'"&amp;装备!N223&amp;"'")</f>
        <v>0</v>
      </c>
      <c r="N230" s="29">
        <f>IF(装备!O223=0,0,"'"&amp;装备!O223&amp;"'")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装备!A224</f>
        <v>0</v>
      </c>
      <c r="B231" s="29" t="str">
        <f>"'"&amp;装备!B224&amp;"'"</f>
        <v>''</v>
      </c>
      <c r="C231" s="29">
        <f>装备!J224</f>
        <v>0</v>
      </c>
      <c r="D231" s="29">
        <f>装备!K224</f>
        <v>0</v>
      </c>
      <c r="E231" s="29">
        <f>装备!L224</f>
        <v>0</v>
      </c>
      <c r="F231" s="29">
        <f>装备!M224</f>
        <v>0</v>
      </c>
      <c r="G231" s="29">
        <f>装备!N224</f>
        <v>0</v>
      </c>
      <c r="H231" s="29">
        <f>装备!O224</f>
        <v>0</v>
      </c>
      <c r="I231" s="29">
        <f>IF(装备!J224=0,0,"'"&amp;装备!J224&amp;"'")</f>
        <v>0</v>
      </c>
      <c r="J231" s="29">
        <f>IF(装备!K224=0,0,"'"&amp;装备!K224&amp;"'")</f>
        <v>0</v>
      </c>
      <c r="K231" s="29">
        <f>IF(装备!L224=0,0,"'"&amp;装备!L224&amp;"'")</f>
        <v>0</v>
      </c>
      <c r="L231" s="29">
        <f>IF(装备!M224=0,0,"'"&amp;装备!M224&amp;"'")</f>
        <v>0</v>
      </c>
      <c r="M231" s="29">
        <f>IF(装备!N224=0,0,"'"&amp;装备!N224&amp;"'")</f>
        <v>0</v>
      </c>
      <c r="N231" s="29">
        <f>IF(装备!O224=0,0,"'"&amp;装备!O224&amp;"'")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装备!A225</f>
        <v>0</v>
      </c>
      <c r="B232" s="29" t="str">
        <f>"'"&amp;装备!B225&amp;"'"</f>
        <v>''</v>
      </c>
      <c r="C232" s="29">
        <f>装备!J225</f>
        <v>0</v>
      </c>
      <c r="D232" s="29">
        <f>装备!K225</f>
        <v>0</v>
      </c>
      <c r="E232" s="29">
        <f>装备!L225</f>
        <v>0</v>
      </c>
      <c r="F232" s="29">
        <f>装备!M225</f>
        <v>0</v>
      </c>
      <c r="G232" s="29">
        <f>装备!N225</f>
        <v>0</v>
      </c>
      <c r="H232" s="29">
        <f>装备!O225</f>
        <v>0</v>
      </c>
      <c r="I232" s="29">
        <f>IF(装备!J225=0,0,"'"&amp;装备!J225&amp;"'")</f>
        <v>0</v>
      </c>
      <c r="J232" s="29">
        <f>IF(装备!K225=0,0,"'"&amp;装备!K225&amp;"'")</f>
        <v>0</v>
      </c>
      <c r="K232" s="29">
        <f>IF(装备!L225=0,0,"'"&amp;装备!L225&amp;"'")</f>
        <v>0</v>
      </c>
      <c r="L232" s="29">
        <f>IF(装备!M225=0,0,"'"&amp;装备!M225&amp;"'")</f>
        <v>0</v>
      </c>
      <c r="M232" s="29">
        <f>IF(装备!N225=0,0,"'"&amp;装备!N225&amp;"'")</f>
        <v>0</v>
      </c>
      <c r="N232" s="29">
        <f>IF(装备!O225=0,0,"'"&amp;装备!O225&amp;"'")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装备!A226</f>
        <v>0</v>
      </c>
      <c r="B233" s="29" t="str">
        <f>"'"&amp;装备!B226&amp;"'"</f>
        <v>''</v>
      </c>
      <c r="C233" s="29">
        <f>装备!J226</f>
        <v>0</v>
      </c>
      <c r="D233" s="29">
        <f>装备!K226</f>
        <v>0</v>
      </c>
      <c r="E233" s="29">
        <f>装备!L226</f>
        <v>0</v>
      </c>
      <c r="F233" s="29">
        <f>装备!M226</f>
        <v>0</v>
      </c>
      <c r="G233" s="29">
        <f>装备!N226</f>
        <v>0</v>
      </c>
      <c r="H233" s="29">
        <f>装备!O226</f>
        <v>0</v>
      </c>
      <c r="I233" s="29">
        <f>IF(装备!J226=0,0,"'"&amp;装备!J226&amp;"'")</f>
        <v>0</v>
      </c>
      <c r="J233" s="29">
        <f>IF(装备!K226=0,0,"'"&amp;装备!K226&amp;"'")</f>
        <v>0</v>
      </c>
      <c r="K233" s="29">
        <f>IF(装备!L226=0,0,"'"&amp;装备!L226&amp;"'")</f>
        <v>0</v>
      </c>
      <c r="L233" s="29">
        <f>IF(装备!M226=0,0,"'"&amp;装备!M226&amp;"'")</f>
        <v>0</v>
      </c>
      <c r="M233" s="29">
        <f>IF(装备!N226=0,0,"'"&amp;装备!N226&amp;"'")</f>
        <v>0</v>
      </c>
      <c r="N233" s="29">
        <f>IF(装备!O226=0,0,"'"&amp;装备!O226&amp;"'")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装备!A227</f>
        <v>0</v>
      </c>
      <c r="B234" s="29" t="str">
        <f>"'"&amp;装备!B227&amp;"'"</f>
        <v>''</v>
      </c>
      <c r="C234" s="29">
        <f>装备!J227</f>
        <v>0</v>
      </c>
      <c r="D234" s="29">
        <f>装备!K227</f>
        <v>0</v>
      </c>
      <c r="E234" s="29">
        <f>装备!L227</f>
        <v>0</v>
      </c>
      <c r="F234" s="29">
        <f>装备!M227</f>
        <v>0</v>
      </c>
      <c r="G234" s="29">
        <f>装备!N227</f>
        <v>0</v>
      </c>
      <c r="H234" s="29">
        <f>装备!O227</f>
        <v>0</v>
      </c>
      <c r="I234" s="29">
        <f>IF(装备!J227=0,0,"'"&amp;装备!J227&amp;"'")</f>
        <v>0</v>
      </c>
      <c r="J234" s="29">
        <f>IF(装备!K227=0,0,"'"&amp;装备!K227&amp;"'")</f>
        <v>0</v>
      </c>
      <c r="K234" s="29">
        <f>IF(装备!L227=0,0,"'"&amp;装备!L227&amp;"'")</f>
        <v>0</v>
      </c>
      <c r="L234" s="29">
        <f>IF(装备!M227=0,0,"'"&amp;装备!M227&amp;"'")</f>
        <v>0</v>
      </c>
      <c r="M234" s="29">
        <f>IF(装备!N227=0,0,"'"&amp;装备!N227&amp;"'")</f>
        <v>0</v>
      </c>
      <c r="N234" s="29">
        <f>IF(装备!O227=0,0,"'"&amp;装备!O227&amp;"'")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装备!A228</f>
        <v>0</v>
      </c>
      <c r="B235" s="29" t="str">
        <f>"'"&amp;装备!B228&amp;"'"</f>
        <v>''</v>
      </c>
      <c r="C235" s="29">
        <f>装备!J228</f>
        <v>0</v>
      </c>
      <c r="D235" s="29">
        <f>装备!K228</f>
        <v>0</v>
      </c>
      <c r="E235" s="29">
        <f>装备!L228</f>
        <v>0</v>
      </c>
      <c r="F235" s="29">
        <f>装备!M228</f>
        <v>0</v>
      </c>
      <c r="G235" s="29">
        <f>装备!N228</f>
        <v>0</v>
      </c>
      <c r="H235" s="29">
        <f>装备!O228</f>
        <v>0</v>
      </c>
      <c r="I235" s="29">
        <f>IF(装备!J228=0,0,"'"&amp;装备!J228&amp;"'")</f>
        <v>0</v>
      </c>
      <c r="J235" s="29">
        <f>IF(装备!K228=0,0,"'"&amp;装备!K228&amp;"'")</f>
        <v>0</v>
      </c>
      <c r="K235" s="29">
        <f>IF(装备!L228=0,0,"'"&amp;装备!L228&amp;"'")</f>
        <v>0</v>
      </c>
      <c r="L235" s="29">
        <f>IF(装备!M228=0,0,"'"&amp;装备!M228&amp;"'")</f>
        <v>0</v>
      </c>
      <c r="M235" s="29">
        <f>IF(装备!N228=0,0,"'"&amp;装备!N228&amp;"'")</f>
        <v>0</v>
      </c>
      <c r="N235" s="29">
        <f>IF(装备!O228=0,0,"'"&amp;装备!O228&amp;"'")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装备!A229</f>
        <v>0</v>
      </c>
      <c r="B236" s="29" t="str">
        <f>"'"&amp;装备!B229&amp;"'"</f>
        <v>''</v>
      </c>
      <c r="C236" s="29">
        <f>装备!J229</f>
        <v>0</v>
      </c>
      <c r="D236" s="29">
        <f>装备!K229</f>
        <v>0</v>
      </c>
      <c r="E236" s="29">
        <f>装备!L229</f>
        <v>0</v>
      </c>
      <c r="F236" s="29">
        <f>装备!M229</f>
        <v>0</v>
      </c>
      <c r="G236" s="29">
        <f>装备!N229</f>
        <v>0</v>
      </c>
      <c r="H236" s="29">
        <f>装备!O229</f>
        <v>0</v>
      </c>
      <c r="I236" s="29">
        <f>IF(装备!J229=0,0,"'"&amp;装备!J229&amp;"'")</f>
        <v>0</v>
      </c>
      <c r="J236" s="29">
        <f>IF(装备!K229=0,0,"'"&amp;装备!K229&amp;"'")</f>
        <v>0</v>
      </c>
      <c r="K236" s="29">
        <f>IF(装备!L229=0,0,"'"&amp;装备!L229&amp;"'")</f>
        <v>0</v>
      </c>
      <c r="L236" s="29">
        <f>IF(装备!M229=0,0,"'"&amp;装备!M229&amp;"'")</f>
        <v>0</v>
      </c>
      <c r="M236" s="29">
        <f>IF(装备!N229=0,0,"'"&amp;装备!N229&amp;"'")</f>
        <v>0</v>
      </c>
      <c r="N236" s="29">
        <f>IF(装备!O229=0,0,"'"&amp;装备!O229&amp;"'")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装备!A230</f>
        <v>0</v>
      </c>
      <c r="B237" s="29" t="str">
        <f>"'"&amp;装备!B230&amp;"'"</f>
        <v>''</v>
      </c>
      <c r="C237" s="29">
        <f>装备!J230</f>
        <v>0</v>
      </c>
      <c r="D237" s="29">
        <f>装备!K230</f>
        <v>0</v>
      </c>
      <c r="E237" s="29">
        <f>装备!L230</f>
        <v>0</v>
      </c>
      <c r="F237" s="29">
        <f>装备!M230</f>
        <v>0</v>
      </c>
      <c r="G237" s="29">
        <f>装备!N230</f>
        <v>0</v>
      </c>
      <c r="H237" s="29">
        <f>装备!O230</f>
        <v>0</v>
      </c>
      <c r="I237" s="29">
        <f>IF(装备!J230=0,0,"'"&amp;装备!J230&amp;"'")</f>
        <v>0</v>
      </c>
      <c r="J237" s="29">
        <f>IF(装备!K230=0,0,"'"&amp;装备!K230&amp;"'")</f>
        <v>0</v>
      </c>
      <c r="K237" s="29">
        <f>IF(装备!L230=0,0,"'"&amp;装备!L230&amp;"'")</f>
        <v>0</v>
      </c>
      <c r="L237" s="29">
        <f>IF(装备!M230=0,0,"'"&amp;装备!M230&amp;"'")</f>
        <v>0</v>
      </c>
      <c r="M237" s="29">
        <f>IF(装备!N230=0,0,"'"&amp;装备!N230&amp;"'")</f>
        <v>0</v>
      </c>
      <c r="N237" s="29">
        <f>IF(装备!O230=0,0,"'"&amp;装备!O230&amp;"'")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装备!A231</f>
        <v>0</v>
      </c>
      <c r="B238" s="29" t="str">
        <f>"'"&amp;装备!B231&amp;"'"</f>
        <v>''</v>
      </c>
      <c r="C238" s="29">
        <f>装备!J231</f>
        <v>0</v>
      </c>
      <c r="D238" s="29">
        <f>装备!K231</f>
        <v>0</v>
      </c>
      <c r="E238" s="29">
        <f>装备!L231</f>
        <v>0</v>
      </c>
      <c r="F238" s="29">
        <f>装备!M231</f>
        <v>0</v>
      </c>
      <c r="G238" s="29">
        <f>装备!N231</f>
        <v>0</v>
      </c>
      <c r="H238" s="29">
        <f>装备!O231</f>
        <v>0</v>
      </c>
      <c r="I238" s="29">
        <f>IF(装备!J231=0,0,"'"&amp;装备!J231&amp;"'")</f>
        <v>0</v>
      </c>
      <c r="J238" s="29">
        <f>IF(装备!K231=0,0,"'"&amp;装备!K231&amp;"'")</f>
        <v>0</v>
      </c>
      <c r="K238" s="29">
        <f>IF(装备!L231=0,0,"'"&amp;装备!L231&amp;"'")</f>
        <v>0</v>
      </c>
      <c r="L238" s="29">
        <f>IF(装备!M231=0,0,"'"&amp;装备!M231&amp;"'")</f>
        <v>0</v>
      </c>
      <c r="M238" s="29">
        <f>IF(装备!N231=0,0,"'"&amp;装备!N231&amp;"'")</f>
        <v>0</v>
      </c>
      <c r="N238" s="29">
        <f>IF(装备!O231=0,0,"'"&amp;装备!O231&amp;"'")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装备!A232</f>
        <v>0</v>
      </c>
      <c r="B239" s="29" t="str">
        <f>"'"&amp;装备!B232&amp;"'"</f>
        <v>''</v>
      </c>
      <c r="C239" s="29">
        <f>装备!J232</f>
        <v>0</v>
      </c>
      <c r="D239" s="29">
        <f>装备!K232</f>
        <v>0</v>
      </c>
      <c r="E239" s="29">
        <f>装备!L232</f>
        <v>0</v>
      </c>
      <c r="F239" s="29">
        <f>装备!M232</f>
        <v>0</v>
      </c>
      <c r="G239" s="29">
        <f>装备!N232</f>
        <v>0</v>
      </c>
      <c r="H239" s="29">
        <f>装备!O232</f>
        <v>0</v>
      </c>
      <c r="I239" s="29">
        <f>IF(装备!J232=0,0,"'"&amp;装备!J232&amp;"'")</f>
        <v>0</v>
      </c>
      <c r="J239" s="29">
        <f>IF(装备!K232=0,0,"'"&amp;装备!K232&amp;"'")</f>
        <v>0</v>
      </c>
      <c r="K239" s="29">
        <f>IF(装备!L232=0,0,"'"&amp;装备!L232&amp;"'")</f>
        <v>0</v>
      </c>
      <c r="L239" s="29">
        <f>IF(装备!M232=0,0,"'"&amp;装备!M232&amp;"'")</f>
        <v>0</v>
      </c>
      <c r="M239" s="29">
        <f>IF(装备!N232=0,0,"'"&amp;装备!N232&amp;"'")</f>
        <v>0</v>
      </c>
      <c r="N239" s="29">
        <f>IF(装备!O232=0,0,"'"&amp;装备!O232&amp;"'")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装备!A233</f>
        <v>0</v>
      </c>
      <c r="B240" s="29" t="str">
        <f>"'"&amp;装备!B233&amp;"'"</f>
        <v>''</v>
      </c>
      <c r="C240" s="29">
        <f>装备!J233</f>
        <v>0</v>
      </c>
      <c r="D240" s="29">
        <f>装备!K233</f>
        <v>0</v>
      </c>
      <c r="E240" s="29">
        <f>装备!L233</f>
        <v>0</v>
      </c>
      <c r="F240" s="29">
        <f>装备!M233</f>
        <v>0</v>
      </c>
      <c r="G240" s="29">
        <f>装备!N233</f>
        <v>0</v>
      </c>
      <c r="H240" s="29">
        <f>装备!O233</f>
        <v>0</v>
      </c>
      <c r="I240" s="29">
        <f>IF(装备!J233=0,0,"'"&amp;装备!J233&amp;"'")</f>
        <v>0</v>
      </c>
      <c r="J240" s="29">
        <f>IF(装备!K233=0,0,"'"&amp;装备!K233&amp;"'")</f>
        <v>0</v>
      </c>
      <c r="K240" s="29">
        <f>IF(装备!L233=0,0,"'"&amp;装备!L233&amp;"'")</f>
        <v>0</v>
      </c>
      <c r="L240" s="29">
        <f>IF(装备!M233=0,0,"'"&amp;装备!M233&amp;"'")</f>
        <v>0</v>
      </c>
      <c r="M240" s="29">
        <f>IF(装备!N233=0,0,"'"&amp;装备!N233&amp;"'")</f>
        <v>0</v>
      </c>
      <c r="N240" s="29">
        <f>IF(装备!O233=0,0,"'"&amp;装备!O233&amp;"'")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装备!A234</f>
        <v>0</v>
      </c>
      <c r="B241" s="29" t="str">
        <f>"'"&amp;装备!B234&amp;"'"</f>
        <v>''</v>
      </c>
      <c r="C241" s="29">
        <f>装备!J234</f>
        <v>0</v>
      </c>
      <c r="D241" s="29">
        <f>装备!K234</f>
        <v>0</v>
      </c>
      <c r="E241" s="29">
        <f>装备!L234</f>
        <v>0</v>
      </c>
      <c r="F241" s="29">
        <f>装备!M234</f>
        <v>0</v>
      </c>
      <c r="G241" s="29">
        <f>装备!N234</f>
        <v>0</v>
      </c>
      <c r="H241" s="29">
        <f>装备!O234</f>
        <v>0</v>
      </c>
      <c r="I241" s="29">
        <f>IF(装备!J234=0,0,"'"&amp;装备!J234&amp;"'")</f>
        <v>0</v>
      </c>
      <c r="J241" s="29">
        <f>IF(装备!K234=0,0,"'"&amp;装备!K234&amp;"'")</f>
        <v>0</v>
      </c>
      <c r="K241" s="29">
        <f>IF(装备!L234=0,0,"'"&amp;装备!L234&amp;"'")</f>
        <v>0</v>
      </c>
      <c r="L241" s="29">
        <f>IF(装备!M234=0,0,"'"&amp;装备!M234&amp;"'")</f>
        <v>0</v>
      </c>
      <c r="M241" s="29">
        <f>IF(装备!N234=0,0,"'"&amp;装备!N234&amp;"'")</f>
        <v>0</v>
      </c>
      <c r="N241" s="29">
        <f>IF(装备!O234=0,0,"'"&amp;装备!O234&amp;"'")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装备!A235</f>
        <v>0</v>
      </c>
      <c r="B242" s="29" t="str">
        <f>"'"&amp;装备!B235&amp;"'"</f>
        <v>''</v>
      </c>
      <c r="C242" s="29">
        <f>装备!J235</f>
        <v>0</v>
      </c>
      <c r="D242" s="29">
        <f>装备!K235</f>
        <v>0</v>
      </c>
      <c r="E242" s="29">
        <f>装备!L235</f>
        <v>0</v>
      </c>
      <c r="F242" s="29">
        <f>装备!M235</f>
        <v>0</v>
      </c>
      <c r="G242" s="29">
        <f>装备!N235</f>
        <v>0</v>
      </c>
      <c r="H242" s="29">
        <f>装备!O235</f>
        <v>0</v>
      </c>
      <c r="I242" s="29">
        <f>IF(装备!J235=0,0,"'"&amp;装备!J235&amp;"'")</f>
        <v>0</v>
      </c>
      <c r="J242" s="29">
        <f>IF(装备!K235=0,0,"'"&amp;装备!K235&amp;"'")</f>
        <v>0</v>
      </c>
      <c r="K242" s="29">
        <f>IF(装备!L235=0,0,"'"&amp;装备!L235&amp;"'")</f>
        <v>0</v>
      </c>
      <c r="L242" s="29">
        <f>IF(装备!M235=0,0,"'"&amp;装备!M235&amp;"'")</f>
        <v>0</v>
      </c>
      <c r="M242" s="29">
        <f>IF(装备!N235=0,0,"'"&amp;装备!N235&amp;"'")</f>
        <v>0</v>
      </c>
      <c r="N242" s="29">
        <f>IF(装备!O235=0,0,"'"&amp;装备!O235&amp;"'")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装备!A236</f>
        <v>0</v>
      </c>
      <c r="B243" s="29" t="str">
        <f>"'"&amp;装备!B236&amp;"'"</f>
        <v>''</v>
      </c>
      <c r="C243" s="29">
        <f>装备!J236</f>
        <v>0</v>
      </c>
      <c r="D243" s="29">
        <f>装备!K236</f>
        <v>0</v>
      </c>
      <c r="E243" s="29">
        <f>装备!L236</f>
        <v>0</v>
      </c>
      <c r="F243" s="29">
        <f>装备!M236</f>
        <v>0</v>
      </c>
      <c r="G243" s="29">
        <f>装备!N236</f>
        <v>0</v>
      </c>
      <c r="H243" s="29">
        <f>装备!O236</f>
        <v>0</v>
      </c>
      <c r="I243" s="29">
        <f>IF(装备!J236=0,0,"'"&amp;装备!J236&amp;"'")</f>
        <v>0</v>
      </c>
      <c r="J243" s="29">
        <f>IF(装备!K236=0,0,"'"&amp;装备!K236&amp;"'")</f>
        <v>0</v>
      </c>
      <c r="K243" s="29">
        <f>IF(装备!L236=0,0,"'"&amp;装备!L236&amp;"'")</f>
        <v>0</v>
      </c>
      <c r="L243" s="29">
        <f>IF(装备!M236=0,0,"'"&amp;装备!M236&amp;"'")</f>
        <v>0</v>
      </c>
      <c r="M243" s="29">
        <f>IF(装备!N236=0,0,"'"&amp;装备!N236&amp;"'")</f>
        <v>0</v>
      </c>
      <c r="N243" s="29">
        <f>IF(装备!O236=0,0,"'"&amp;装备!O236&amp;"'")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装备!A237</f>
        <v>0</v>
      </c>
      <c r="B244" s="29" t="str">
        <f>"'"&amp;装备!B237&amp;"'"</f>
        <v>''</v>
      </c>
      <c r="C244" s="29">
        <f>装备!J237</f>
        <v>0</v>
      </c>
      <c r="D244" s="29">
        <f>装备!K237</f>
        <v>0</v>
      </c>
      <c r="E244" s="29">
        <f>装备!L237</f>
        <v>0</v>
      </c>
      <c r="F244" s="29">
        <f>装备!M237</f>
        <v>0</v>
      </c>
      <c r="G244" s="29">
        <f>装备!N237</f>
        <v>0</v>
      </c>
      <c r="H244" s="29">
        <f>装备!O237</f>
        <v>0</v>
      </c>
      <c r="I244" s="29">
        <f>IF(装备!J237=0,0,"'"&amp;装备!J237&amp;"'")</f>
        <v>0</v>
      </c>
      <c r="J244" s="29">
        <f>IF(装备!K237=0,0,"'"&amp;装备!K237&amp;"'")</f>
        <v>0</v>
      </c>
      <c r="K244" s="29">
        <f>IF(装备!L237=0,0,"'"&amp;装备!L237&amp;"'")</f>
        <v>0</v>
      </c>
      <c r="L244" s="29">
        <f>IF(装备!M237=0,0,"'"&amp;装备!M237&amp;"'")</f>
        <v>0</v>
      </c>
      <c r="M244" s="29">
        <f>IF(装备!N237=0,0,"'"&amp;装备!N237&amp;"'")</f>
        <v>0</v>
      </c>
      <c r="N244" s="29">
        <f>IF(装备!O237=0,0,"'"&amp;装备!O237&amp;"'")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装备!A238</f>
        <v>0</v>
      </c>
      <c r="B245" s="29" t="str">
        <f>"'"&amp;装备!B238&amp;"'"</f>
        <v>''</v>
      </c>
      <c r="C245" s="29">
        <f>装备!J238</f>
        <v>0</v>
      </c>
      <c r="D245" s="29">
        <f>装备!K238</f>
        <v>0</v>
      </c>
      <c r="E245" s="29">
        <f>装备!L238</f>
        <v>0</v>
      </c>
      <c r="F245" s="29">
        <f>装备!M238</f>
        <v>0</v>
      </c>
      <c r="G245" s="29">
        <f>装备!N238</f>
        <v>0</v>
      </c>
      <c r="H245" s="29">
        <f>装备!O238</f>
        <v>0</v>
      </c>
      <c r="I245" s="29">
        <f>IF(装备!J238=0,0,"'"&amp;装备!J238&amp;"'")</f>
        <v>0</v>
      </c>
      <c r="J245" s="29">
        <f>IF(装备!K238=0,0,"'"&amp;装备!K238&amp;"'")</f>
        <v>0</v>
      </c>
      <c r="K245" s="29">
        <f>IF(装备!L238=0,0,"'"&amp;装备!L238&amp;"'")</f>
        <v>0</v>
      </c>
      <c r="L245" s="29">
        <f>IF(装备!M238=0,0,"'"&amp;装备!M238&amp;"'")</f>
        <v>0</v>
      </c>
      <c r="M245" s="29">
        <f>IF(装备!N238=0,0,"'"&amp;装备!N238&amp;"'")</f>
        <v>0</v>
      </c>
      <c r="N245" s="29">
        <f>IF(装备!O238=0,0,"'"&amp;装备!O238&amp;"'")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装备!A239</f>
        <v>0</v>
      </c>
      <c r="B246" s="29" t="str">
        <f>"'"&amp;装备!B239&amp;"'"</f>
        <v>''</v>
      </c>
      <c r="C246" s="29">
        <f>装备!J239</f>
        <v>0</v>
      </c>
      <c r="D246" s="29">
        <f>装备!K239</f>
        <v>0</v>
      </c>
      <c r="E246" s="29">
        <f>装备!L239</f>
        <v>0</v>
      </c>
      <c r="F246" s="29">
        <f>装备!M239</f>
        <v>0</v>
      </c>
      <c r="G246" s="29">
        <f>装备!N239</f>
        <v>0</v>
      </c>
      <c r="H246" s="29">
        <f>装备!O239</f>
        <v>0</v>
      </c>
      <c r="I246" s="29">
        <f>IF(装备!J239=0,0,"'"&amp;装备!J239&amp;"'")</f>
        <v>0</v>
      </c>
      <c r="J246" s="29">
        <f>IF(装备!K239=0,0,"'"&amp;装备!K239&amp;"'")</f>
        <v>0</v>
      </c>
      <c r="K246" s="29">
        <f>IF(装备!L239=0,0,"'"&amp;装备!L239&amp;"'")</f>
        <v>0</v>
      </c>
      <c r="L246" s="29">
        <f>IF(装备!M239=0,0,"'"&amp;装备!M239&amp;"'")</f>
        <v>0</v>
      </c>
      <c r="M246" s="29">
        <f>IF(装备!N239=0,0,"'"&amp;装备!N239&amp;"'")</f>
        <v>0</v>
      </c>
      <c r="N246" s="29">
        <f>IF(装备!O239=0,0,"'"&amp;装备!O239&amp;"'")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装备!A240</f>
        <v>0</v>
      </c>
      <c r="B247" s="29" t="str">
        <f>"'"&amp;装备!B240&amp;"'"</f>
        <v>''</v>
      </c>
      <c r="C247" s="29">
        <f>装备!J240</f>
        <v>0</v>
      </c>
      <c r="D247" s="29">
        <f>装备!K240</f>
        <v>0</v>
      </c>
      <c r="E247" s="29">
        <f>装备!L240</f>
        <v>0</v>
      </c>
      <c r="F247" s="29">
        <f>装备!M240</f>
        <v>0</v>
      </c>
      <c r="G247" s="29">
        <f>装备!N240</f>
        <v>0</v>
      </c>
      <c r="H247" s="29">
        <f>装备!O240</f>
        <v>0</v>
      </c>
      <c r="I247" s="29">
        <f>IF(装备!J240=0,0,"'"&amp;装备!J240&amp;"'")</f>
        <v>0</v>
      </c>
      <c r="J247" s="29">
        <f>IF(装备!K240=0,0,"'"&amp;装备!K240&amp;"'")</f>
        <v>0</v>
      </c>
      <c r="K247" s="29">
        <f>IF(装备!L240=0,0,"'"&amp;装备!L240&amp;"'")</f>
        <v>0</v>
      </c>
      <c r="L247" s="29">
        <f>IF(装备!M240=0,0,"'"&amp;装备!M240&amp;"'")</f>
        <v>0</v>
      </c>
      <c r="M247" s="29">
        <f>IF(装备!N240=0,0,"'"&amp;装备!N240&amp;"'")</f>
        <v>0</v>
      </c>
      <c r="N247" s="29">
        <f>IF(装备!O240=0,0,"'"&amp;装备!O240&amp;"'")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装备!A241</f>
        <v>0</v>
      </c>
      <c r="B248" s="29" t="str">
        <f>"'"&amp;装备!B241&amp;"'"</f>
        <v>''</v>
      </c>
      <c r="C248" s="29">
        <f>装备!J241</f>
        <v>0</v>
      </c>
      <c r="D248" s="29">
        <f>装备!K241</f>
        <v>0</v>
      </c>
      <c r="E248" s="29">
        <f>装备!L241</f>
        <v>0</v>
      </c>
      <c r="F248" s="29">
        <f>装备!M241</f>
        <v>0</v>
      </c>
      <c r="G248" s="29">
        <f>装备!N241</f>
        <v>0</v>
      </c>
      <c r="H248" s="29">
        <f>装备!O241</f>
        <v>0</v>
      </c>
      <c r="I248" s="29">
        <f>IF(装备!J241=0,0,"'"&amp;装备!J241&amp;"'")</f>
        <v>0</v>
      </c>
      <c r="J248" s="29">
        <f>IF(装备!K241=0,0,"'"&amp;装备!K241&amp;"'")</f>
        <v>0</v>
      </c>
      <c r="K248" s="29">
        <f>IF(装备!L241=0,0,"'"&amp;装备!L241&amp;"'")</f>
        <v>0</v>
      </c>
      <c r="L248" s="29">
        <f>IF(装备!M241=0,0,"'"&amp;装备!M241&amp;"'")</f>
        <v>0</v>
      </c>
      <c r="M248" s="29">
        <f>IF(装备!N241=0,0,"'"&amp;装备!N241&amp;"'")</f>
        <v>0</v>
      </c>
      <c r="N248" s="29">
        <f>IF(装备!O241=0,0,"'"&amp;装备!O241&amp;"'")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装备!A242</f>
        <v>0</v>
      </c>
      <c r="B249" s="29" t="str">
        <f>"'"&amp;装备!B242&amp;"'"</f>
        <v>''</v>
      </c>
      <c r="C249" s="29">
        <f>装备!J242</f>
        <v>0</v>
      </c>
      <c r="D249" s="29">
        <f>装备!K242</f>
        <v>0</v>
      </c>
      <c r="E249" s="29">
        <f>装备!L242</f>
        <v>0</v>
      </c>
      <c r="F249" s="29">
        <f>装备!M242</f>
        <v>0</v>
      </c>
      <c r="G249" s="29">
        <f>装备!N242</f>
        <v>0</v>
      </c>
      <c r="H249" s="29">
        <f>装备!O242</f>
        <v>0</v>
      </c>
      <c r="I249" s="29">
        <f>IF(装备!J242=0,0,"'"&amp;装备!J242&amp;"'")</f>
        <v>0</v>
      </c>
      <c r="J249" s="29">
        <f>IF(装备!K242=0,0,"'"&amp;装备!K242&amp;"'")</f>
        <v>0</v>
      </c>
      <c r="K249" s="29">
        <f>IF(装备!L242=0,0,"'"&amp;装备!L242&amp;"'")</f>
        <v>0</v>
      </c>
      <c r="L249" s="29">
        <f>IF(装备!M242=0,0,"'"&amp;装备!M242&amp;"'")</f>
        <v>0</v>
      </c>
      <c r="M249" s="29">
        <f>IF(装备!N242=0,0,"'"&amp;装备!N242&amp;"'")</f>
        <v>0</v>
      </c>
      <c r="N249" s="29">
        <f>IF(装备!O242=0,0,"'"&amp;装备!O242&amp;"'")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装备!A243</f>
        <v>0</v>
      </c>
      <c r="B250" s="29" t="str">
        <f>"'"&amp;装备!B243&amp;"'"</f>
        <v>''</v>
      </c>
      <c r="C250" s="29">
        <f>装备!J243</f>
        <v>0</v>
      </c>
      <c r="D250" s="29">
        <f>装备!K243</f>
        <v>0</v>
      </c>
      <c r="E250" s="29">
        <f>装备!L243</f>
        <v>0</v>
      </c>
      <c r="F250" s="29">
        <f>装备!M243</f>
        <v>0</v>
      </c>
      <c r="G250" s="29">
        <f>装备!N243</f>
        <v>0</v>
      </c>
      <c r="H250" s="29">
        <f>装备!O243</f>
        <v>0</v>
      </c>
      <c r="I250" s="29">
        <f>IF(装备!J243=0,0,"'"&amp;装备!J243&amp;"'")</f>
        <v>0</v>
      </c>
      <c r="J250" s="29">
        <f>IF(装备!K243=0,0,"'"&amp;装备!K243&amp;"'")</f>
        <v>0</v>
      </c>
      <c r="K250" s="29">
        <f>IF(装备!L243=0,0,"'"&amp;装备!L243&amp;"'")</f>
        <v>0</v>
      </c>
      <c r="L250" s="29">
        <f>IF(装备!M243=0,0,"'"&amp;装备!M243&amp;"'")</f>
        <v>0</v>
      </c>
      <c r="M250" s="29">
        <f>IF(装备!N243=0,0,"'"&amp;装备!N243&amp;"'")</f>
        <v>0</v>
      </c>
      <c r="N250" s="29">
        <f>IF(装备!O243=0,0,"'"&amp;装备!O243&amp;"'")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装备!A244</f>
        <v>0</v>
      </c>
      <c r="B251" s="29" t="str">
        <f>"'"&amp;装备!B244&amp;"'"</f>
        <v>''</v>
      </c>
      <c r="C251" s="29">
        <f>装备!J244</f>
        <v>0</v>
      </c>
      <c r="D251" s="29">
        <f>装备!K244</f>
        <v>0</v>
      </c>
      <c r="E251" s="29">
        <f>装备!L244</f>
        <v>0</v>
      </c>
      <c r="F251" s="29">
        <f>装备!M244</f>
        <v>0</v>
      </c>
      <c r="G251" s="29">
        <f>装备!N244</f>
        <v>0</v>
      </c>
      <c r="H251" s="29">
        <f>装备!O244</f>
        <v>0</v>
      </c>
      <c r="I251" s="29">
        <f>IF(装备!J244=0,0,"'"&amp;装备!J244&amp;"'")</f>
        <v>0</v>
      </c>
      <c r="J251" s="29">
        <f>IF(装备!K244=0,0,"'"&amp;装备!K244&amp;"'")</f>
        <v>0</v>
      </c>
      <c r="K251" s="29">
        <f>IF(装备!L244=0,0,"'"&amp;装备!L244&amp;"'")</f>
        <v>0</v>
      </c>
      <c r="L251" s="29">
        <f>IF(装备!M244=0,0,"'"&amp;装备!M244&amp;"'")</f>
        <v>0</v>
      </c>
      <c r="M251" s="29">
        <f>IF(装备!N244=0,0,"'"&amp;装备!N244&amp;"'")</f>
        <v>0</v>
      </c>
      <c r="N251" s="29">
        <f>IF(装备!O244=0,0,"'"&amp;装备!O244&amp;"'")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装备!A245</f>
        <v>0</v>
      </c>
      <c r="B252" s="29" t="str">
        <f>"'"&amp;装备!B245&amp;"'"</f>
        <v>''</v>
      </c>
      <c r="C252" s="29">
        <f>装备!J245</f>
        <v>0</v>
      </c>
      <c r="D252" s="29">
        <f>装备!K245</f>
        <v>0</v>
      </c>
      <c r="E252" s="29">
        <f>装备!L245</f>
        <v>0</v>
      </c>
      <c r="F252" s="29">
        <f>装备!M245</f>
        <v>0</v>
      </c>
      <c r="G252" s="29">
        <f>装备!N245</f>
        <v>0</v>
      </c>
      <c r="H252" s="29">
        <f>装备!O245</f>
        <v>0</v>
      </c>
      <c r="I252" s="29">
        <f>IF(装备!J245=0,0,"'"&amp;装备!J245&amp;"'")</f>
        <v>0</v>
      </c>
      <c r="J252" s="29">
        <f>IF(装备!K245=0,0,"'"&amp;装备!K245&amp;"'")</f>
        <v>0</v>
      </c>
      <c r="K252" s="29">
        <f>IF(装备!L245=0,0,"'"&amp;装备!L245&amp;"'")</f>
        <v>0</v>
      </c>
      <c r="L252" s="29">
        <f>IF(装备!M245=0,0,"'"&amp;装备!M245&amp;"'")</f>
        <v>0</v>
      </c>
      <c r="M252" s="29">
        <f>IF(装备!N245=0,0,"'"&amp;装备!N245&amp;"'")</f>
        <v>0</v>
      </c>
      <c r="N252" s="29">
        <f>IF(装备!O245=0,0,"'"&amp;装备!O245&amp;"'")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装备!A246</f>
        <v>0</v>
      </c>
      <c r="B253" s="29" t="str">
        <f>"'"&amp;装备!B246&amp;"'"</f>
        <v>''</v>
      </c>
      <c r="C253" s="29">
        <f>装备!J246</f>
        <v>0</v>
      </c>
      <c r="D253" s="29">
        <f>装备!K246</f>
        <v>0</v>
      </c>
      <c r="E253" s="29">
        <f>装备!L246</f>
        <v>0</v>
      </c>
      <c r="F253" s="29">
        <f>装备!M246</f>
        <v>0</v>
      </c>
      <c r="G253" s="29">
        <f>装备!N246</f>
        <v>0</v>
      </c>
      <c r="H253" s="29">
        <f>装备!O246</f>
        <v>0</v>
      </c>
      <c r="I253" s="29">
        <f>IF(装备!J246=0,0,"'"&amp;装备!J246&amp;"'")</f>
        <v>0</v>
      </c>
      <c r="J253" s="29">
        <f>IF(装备!K246=0,0,"'"&amp;装备!K246&amp;"'")</f>
        <v>0</v>
      </c>
      <c r="K253" s="29">
        <f>IF(装备!L246=0,0,"'"&amp;装备!L246&amp;"'")</f>
        <v>0</v>
      </c>
      <c r="L253" s="29">
        <f>IF(装备!M246=0,0,"'"&amp;装备!M246&amp;"'")</f>
        <v>0</v>
      </c>
      <c r="M253" s="29">
        <f>IF(装备!N246=0,0,"'"&amp;装备!N246&amp;"'")</f>
        <v>0</v>
      </c>
      <c r="N253" s="29">
        <f>IF(装备!O246=0,0,"'"&amp;装备!O246&amp;"'")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装备!A247</f>
        <v>0</v>
      </c>
      <c r="B254" s="29" t="str">
        <f>"'"&amp;装备!B247&amp;"'"</f>
        <v>''</v>
      </c>
      <c r="C254" s="29">
        <f>装备!J247</f>
        <v>0</v>
      </c>
      <c r="D254" s="29">
        <f>装备!K247</f>
        <v>0</v>
      </c>
      <c r="E254" s="29">
        <f>装备!L247</f>
        <v>0</v>
      </c>
      <c r="F254" s="29">
        <f>装备!M247</f>
        <v>0</v>
      </c>
      <c r="G254" s="29">
        <f>装备!N247</f>
        <v>0</v>
      </c>
      <c r="H254" s="29">
        <f>装备!O247</f>
        <v>0</v>
      </c>
      <c r="I254" s="29">
        <f>IF(装备!J247=0,0,"'"&amp;装备!J247&amp;"'")</f>
        <v>0</v>
      </c>
      <c r="J254" s="29">
        <f>IF(装备!K247=0,0,"'"&amp;装备!K247&amp;"'")</f>
        <v>0</v>
      </c>
      <c r="K254" s="29">
        <f>IF(装备!L247=0,0,"'"&amp;装备!L247&amp;"'")</f>
        <v>0</v>
      </c>
      <c r="L254" s="29">
        <f>IF(装备!M247=0,0,"'"&amp;装备!M247&amp;"'")</f>
        <v>0</v>
      </c>
      <c r="M254" s="29">
        <f>IF(装备!N247=0,0,"'"&amp;装备!N247&amp;"'")</f>
        <v>0</v>
      </c>
      <c r="N254" s="29">
        <f>IF(装备!O247=0,0,"'"&amp;装备!O247&amp;"'")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装备!A248</f>
        <v>0</v>
      </c>
      <c r="B255" s="29" t="str">
        <f>"'"&amp;装备!B248&amp;"'"</f>
        <v>''</v>
      </c>
      <c r="C255" s="29">
        <f>装备!J248</f>
        <v>0</v>
      </c>
      <c r="D255" s="29">
        <f>装备!K248</f>
        <v>0</v>
      </c>
      <c r="E255" s="29">
        <f>装备!L248</f>
        <v>0</v>
      </c>
      <c r="F255" s="29">
        <f>装备!M248</f>
        <v>0</v>
      </c>
      <c r="G255" s="29">
        <f>装备!N248</f>
        <v>0</v>
      </c>
      <c r="H255" s="29">
        <f>装备!O248</f>
        <v>0</v>
      </c>
      <c r="I255" s="29">
        <f>IF(装备!J248=0,0,"'"&amp;装备!J248&amp;"'")</f>
        <v>0</v>
      </c>
      <c r="J255" s="29">
        <f>IF(装备!K248=0,0,"'"&amp;装备!K248&amp;"'")</f>
        <v>0</v>
      </c>
      <c r="K255" s="29">
        <f>IF(装备!L248=0,0,"'"&amp;装备!L248&amp;"'")</f>
        <v>0</v>
      </c>
      <c r="L255" s="29">
        <f>IF(装备!M248=0,0,"'"&amp;装备!M248&amp;"'")</f>
        <v>0</v>
      </c>
      <c r="M255" s="29">
        <f>IF(装备!N248=0,0,"'"&amp;装备!N248&amp;"'")</f>
        <v>0</v>
      </c>
      <c r="N255" s="29">
        <f>IF(装备!O248=0,0,"'"&amp;装备!O248&amp;"'")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装备!A249</f>
        <v>0</v>
      </c>
      <c r="B256" s="29" t="str">
        <f>"'"&amp;装备!B249&amp;"'"</f>
        <v>''</v>
      </c>
      <c r="C256" s="29">
        <f>装备!J249</f>
        <v>0</v>
      </c>
      <c r="D256" s="29">
        <f>装备!K249</f>
        <v>0</v>
      </c>
      <c r="E256" s="29">
        <f>装备!L249</f>
        <v>0</v>
      </c>
      <c r="F256" s="29">
        <f>装备!M249</f>
        <v>0</v>
      </c>
      <c r="G256" s="29">
        <f>装备!N249</f>
        <v>0</v>
      </c>
      <c r="H256" s="29">
        <f>装备!O249</f>
        <v>0</v>
      </c>
      <c r="I256" s="29">
        <f>IF(装备!J249=0,0,"'"&amp;装备!J249&amp;"'")</f>
        <v>0</v>
      </c>
      <c r="J256" s="29">
        <f>IF(装备!K249=0,0,"'"&amp;装备!K249&amp;"'")</f>
        <v>0</v>
      </c>
      <c r="K256" s="29">
        <f>IF(装备!L249=0,0,"'"&amp;装备!L249&amp;"'")</f>
        <v>0</v>
      </c>
      <c r="L256" s="29">
        <f>IF(装备!M249=0,0,"'"&amp;装备!M249&amp;"'")</f>
        <v>0</v>
      </c>
      <c r="M256" s="29">
        <f>IF(装备!N249=0,0,"'"&amp;装备!N249&amp;"'")</f>
        <v>0</v>
      </c>
      <c r="N256" s="29">
        <f>IF(装备!O249=0,0,"'"&amp;装备!O249&amp;"'")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装备!A250</f>
        <v>0</v>
      </c>
      <c r="B257" s="29" t="str">
        <f>"'"&amp;装备!B250&amp;"'"</f>
        <v>''</v>
      </c>
      <c r="C257" s="29">
        <f>装备!J250</f>
        <v>0</v>
      </c>
      <c r="D257" s="29">
        <f>装备!K250</f>
        <v>0</v>
      </c>
      <c r="E257" s="29">
        <f>装备!L250</f>
        <v>0</v>
      </c>
      <c r="F257" s="29">
        <f>装备!M250</f>
        <v>0</v>
      </c>
      <c r="G257" s="29">
        <f>装备!N250</f>
        <v>0</v>
      </c>
      <c r="H257" s="29">
        <f>装备!O250</f>
        <v>0</v>
      </c>
      <c r="I257" s="29">
        <f>IF(装备!J250=0,0,"'"&amp;装备!J250&amp;"'")</f>
        <v>0</v>
      </c>
      <c r="J257" s="29">
        <f>IF(装备!K250=0,0,"'"&amp;装备!K250&amp;"'")</f>
        <v>0</v>
      </c>
      <c r="K257" s="29">
        <f>IF(装备!L250=0,0,"'"&amp;装备!L250&amp;"'")</f>
        <v>0</v>
      </c>
      <c r="L257" s="29">
        <f>IF(装备!M250=0,0,"'"&amp;装备!M250&amp;"'")</f>
        <v>0</v>
      </c>
      <c r="M257" s="29">
        <f>IF(装备!N250=0,0,"'"&amp;装备!N250&amp;"'")</f>
        <v>0</v>
      </c>
      <c r="N257" s="29">
        <f>IF(装备!O250=0,0,"'"&amp;装备!O250&amp;"'")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装备!A251</f>
        <v>0</v>
      </c>
      <c r="B258" s="29" t="str">
        <f>"'"&amp;装备!B251&amp;"'"</f>
        <v>''</v>
      </c>
      <c r="C258" s="29">
        <f>装备!J251</f>
        <v>0</v>
      </c>
      <c r="D258" s="29">
        <f>装备!K251</f>
        <v>0</v>
      </c>
      <c r="E258" s="29">
        <f>装备!L251</f>
        <v>0</v>
      </c>
      <c r="F258" s="29">
        <f>装备!M251</f>
        <v>0</v>
      </c>
      <c r="G258" s="29">
        <f>装备!N251</f>
        <v>0</v>
      </c>
      <c r="H258" s="29">
        <f>装备!O251</f>
        <v>0</v>
      </c>
      <c r="I258" s="29">
        <f>IF(装备!J251=0,0,"'"&amp;装备!J251&amp;"'")</f>
        <v>0</v>
      </c>
      <c r="J258" s="29">
        <f>IF(装备!K251=0,0,"'"&amp;装备!K251&amp;"'")</f>
        <v>0</v>
      </c>
      <c r="K258" s="29">
        <f>IF(装备!L251=0,0,"'"&amp;装备!L251&amp;"'")</f>
        <v>0</v>
      </c>
      <c r="L258" s="29">
        <f>IF(装备!M251=0,0,"'"&amp;装备!M251&amp;"'")</f>
        <v>0</v>
      </c>
      <c r="M258" s="29">
        <f>IF(装备!N251=0,0,"'"&amp;装备!N251&amp;"'")</f>
        <v>0</v>
      </c>
      <c r="N258" s="29">
        <f>IF(装备!O251=0,0,"'"&amp;装备!O251&amp;"'")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装备!A252</f>
        <v>0</v>
      </c>
      <c r="B259" s="29" t="str">
        <f>"'"&amp;装备!B252&amp;"'"</f>
        <v>''</v>
      </c>
      <c r="C259" s="29">
        <f>装备!J252</f>
        <v>0</v>
      </c>
      <c r="D259" s="29">
        <f>装备!K252</f>
        <v>0</v>
      </c>
      <c r="E259" s="29">
        <f>装备!L252</f>
        <v>0</v>
      </c>
      <c r="F259" s="29">
        <f>装备!M252</f>
        <v>0</v>
      </c>
      <c r="G259" s="29">
        <f>装备!N252</f>
        <v>0</v>
      </c>
      <c r="H259" s="29">
        <f>装备!O252</f>
        <v>0</v>
      </c>
      <c r="I259" s="29">
        <f>IF(装备!J252=0,0,"'"&amp;装备!J252&amp;"'")</f>
        <v>0</v>
      </c>
      <c r="J259" s="29">
        <f>IF(装备!K252=0,0,"'"&amp;装备!K252&amp;"'")</f>
        <v>0</v>
      </c>
      <c r="K259" s="29">
        <f>IF(装备!L252=0,0,"'"&amp;装备!L252&amp;"'")</f>
        <v>0</v>
      </c>
      <c r="L259" s="29">
        <f>IF(装备!M252=0,0,"'"&amp;装备!M252&amp;"'")</f>
        <v>0</v>
      </c>
      <c r="M259" s="29">
        <f>IF(装备!N252=0,0,"'"&amp;装备!N252&amp;"'")</f>
        <v>0</v>
      </c>
      <c r="N259" s="29">
        <f>IF(装备!O252=0,0,"'"&amp;装备!O252&amp;"'")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装备!A253</f>
        <v>0</v>
      </c>
      <c r="B260" s="29" t="str">
        <f>"'"&amp;装备!B253&amp;"'"</f>
        <v>''</v>
      </c>
      <c r="C260" s="29">
        <f>装备!J253</f>
        <v>0</v>
      </c>
      <c r="D260" s="29">
        <f>装备!K253</f>
        <v>0</v>
      </c>
      <c r="E260" s="29">
        <f>装备!L253</f>
        <v>0</v>
      </c>
      <c r="F260" s="29">
        <f>装备!M253</f>
        <v>0</v>
      </c>
      <c r="G260" s="29">
        <f>装备!N253</f>
        <v>0</v>
      </c>
      <c r="H260" s="29">
        <f>装备!O253</f>
        <v>0</v>
      </c>
      <c r="I260" s="29">
        <f>IF(装备!J253=0,0,"'"&amp;装备!J253&amp;"'")</f>
        <v>0</v>
      </c>
      <c r="J260" s="29">
        <f>IF(装备!K253=0,0,"'"&amp;装备!K253&amp;"'")</f>
        <v>0</v>
      </c>
      <c r="K260" s="29">
        <f>IF(装备!L253=0,0,"'"&amp;装备!L253&amp;"'")</f>
        <v>0</v>
      </c>
      <c r="L260" s="29">
        <f>IF(装备!M253=0,0,"'"&amp;装备!M253&amp;"'")</f>
        <v>0</v>
      </c>
      <c r="M260" s="29">
        <f>IF(装备!N253=0,0,"'"&amp;装备!N253&amp;"'")</f>
        <v>0</v>
      </c>
      <c r="N260" s="29">
        <f>IF(装备!O253=0,0,"'"&amp;装备!O253&amp;"'")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装备!A254</f>
        <v>0</v>
      </c>
      <c r="B261" s="29" t="str">
        <f>"'"&amp;装备!B254&amp;"'"</f>
        <v>''</v>
      </c>
      <c r="C261" s="29">
        <f>装备!J254</f>
        <v>0</v>
      </c>
      <c r="D261" s="29">
        <f>装备!K254</f>
        <v>0</v>
      </c>
      <c r="E261" s="29">
        <f>装备!L254</f>
        <v>0</v>
      </c>
      <c r="F261" s="29">
        <f>装备!M254</f>
        <v>0</v>
      </c>
      <c r="G261" s="29">
        <f>装备!N254</f>
        <v>0</v>
      </c>
      <c r="H261" s="29">
        <f>装备!O254</f>
        <v>0</v>
      </c>
      <c r="I261" s="29">
        <f>IF(装备!J254=0,0,"'"&amp;装备!J254&amp;"'")</f>
        <v>0</v>
      </c>
      <c r="J261" s="29">
        <f>IF(装备!K254=0,0,"'"&amp;装备!K254&amp;"'")</f>
        <v>0</v>
      </c>
      <c r="K261" s="29">
        <f>IF(装备!L254=0,0,"'"&amp;装备!L254&amp;"'")</f>
        <v>0</v>
      </c>
      <c r="L261" s="29">
        <f>IF(装备!M254=0,0,"'"&amp;装备!M254&amp;"'")</f>
        <v>0</v>
      </c>
      <c r="M261" s="29">
        <f>IF(装备!N254=0,0,"'"&amp;装备!N254&amp;"'")</f>
        <v>0</v>
      </c>
      <c r="N261" s="29">
        <f>IF(装备!O254=0,0,"'"&amp;装备!O254&amp;"'")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装备!A255</f>
        <v>0</v>
      </c>
      <c r="B262" s="29" t="str">
        <f>"'"&amp;装备!B255&amp;"'"</f>
        <v>''</v>
      </c>
      <c r="C262" s="29">
        <f>装备!J255</f>
        <v>0</v>
      </c>
      <c r="D262" s="29">
        <f>装备!K255</f>
        <v>0</v>
      </c>
      <c r="E262" s="29">
        <f>装备!L255</f>
        <v>0</v>
      </c>
      <c r="F262" s="29">
        <f>装备!M255</f>
        <v>0</v>
      </c>
      <c r="G262" s="29">
        <f>装备!N255</f>
        <v>0</v>
      </c>
      <c r="H262" s="29">
        <f>装备!O255</f>
        <v>0</v>
      </c>
      <c r="I262" s="29">
        <f>IF(装备!J255=0,0,"'"&amp;装备!J255&amp;"'")</f>
        <v>0</v>
      </c>
      <c r="J262" s="29">
        <f>IF(装备!K255=0,0,"'"&amp;装备!K255&amp;"'")</f>
        <v>0</v>
      </c>
      <c r="K262" s="29">
        <f>IF(装备!L255=0,0,"'"&amp;装备!L255&amp;"'")</f>
        <v>0</v>
      </c>
      <c r="L262" s="29">
        <f>IF(装备!M255=0,0,"'"&amp;装备!M255&amp;"'")</f>
        <v>0</v>
      </c>
      <c r="M262" s="29">
        <f>IF(装备!N255=0,0,"'"&amp;装备!N255&amp;"'")</f>
        <v>0</v>
      </c>
      <c r="N262" s="29">
        <f>IF(装备!O255=0,0,"'"&amp;装备!O255&amp;"'")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装备!A256</f>
        <v>0</v>
      </c>
      <c r="B263" s="29" t="str">
        <f>"'"&amp;装备!B256&amp;"'"</f>
        <v>''</v>
      </c>
      <c r="C263" s="29">
        <f>装备!J256</f>
        <v>0</v>
      </c>
      <c r="D263" s="29">
        <f>装备!K256</f>
        <v>0</v>
      </c>
      <c r="E263" s="29">
        <f>装备!L256</f>
        <v>0</v>
      </c>
      <c r="F263" s="29">
        <f>装备!M256</f>
        <v>0</v>
      </c>
      <c r="G263" s="29">
        <f>装备!N256</f>
        <v>0</v>
      </c>
      <c r="H263" s="29">
        <f>装备!O256</f>
        <v>0</v>
      </c>
      <c r="I263" s="29">
        <f>IF(装备!J256=0,0,"'"&amp;装备!J256&amp;"'")</f>
        <v>0</v>
      </c>
      <c r="J263" s="29">
        <f>IF(装备!K256=0,0,"'"&amp;装备!K256&amp;"'")</f>
        <v>0</v>
      </c>
      <c r="K263" s="29">
        <f>IF(装备!L256=0,0,"'"&amp;装备!L256&amp;"'")</f>
        <v>0</v>
      </c>
      <c r="L263" s="29">
        <f>IF(装备!M256=0,0,"'"&amp;装备!M256&amp;"'")</f>
        <v>0</v>
      </c>
      <c r="M263" s="29">
        <f>IF(装备!N256=0,0,"'"&amp;装备!N256&amp;"'")</f>
        <v>0</v>
      </c>
      <c r="N263" s="29">
        <f>IF(装备!O256=0,0,"'"&amp;装备!O256&amp;"'")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32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539</v>
      </c>
      <c r="H1" s="13" t="s">
        <v>540</v>
      </c>
      <c r="I1" s="17" t="s">
        <v>541</v>
      </c>
      <c r="J1" s="18" t="s">
        <v>537</v>
      </c>
      <c r="K1" s="19" t="s">
        <v>114</v>
      </c>
      <c r="L1" s="20" t="s">
        <v>115</v>
      </c>
      <c r="M1" s="21" t="s">
        <v>542</v>
      </c>
      <c r="N1" s="22" t="s">
        <v>543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3000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InitEquipData('E005',0,0,3000,100,'uE01','E006',0,0)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InitEquipData('E006',0,0,2000,90,0,'E007',0,0)</v>
      </c>
      <c r="N8" t="str">
        <f t="shared" si="1"/>
        <v>call InitTypeIdStrings('E006',"|Cff00FF7F鱼肠剑|rlv1","ReplaceableTextures\\CommandButtons\\BTNZ02.blp","")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InitEquipData('E007',0,0,2000,90,0,'E008',0,0)</v>
      </c>
      <c r="N9" t="str">
        <f t="shared" si="1"/>
        <v>call InitTypeIdStrings('E007',"|Cff00FF7F鱼肠剑|rlv2","ReplaceableTextures\\CommandButtons\\BTNZ02.blp","")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InitEquipData('E008',0,0,2000,90,0,'E009',0,0)</v>
      </c>
      <c r="N10" t="str">
        <f t="shared" si="1"/>
        <v>call InitTypeIdStrings('E008',"|Cff00FF7F鱼肠剑|rlv3","ReplaceableTextures\\CommandButtons\\BTNZ02.blp","")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InitEquipData('E009',0,0,2000,90,0,'E010',0,0)</v>
      </c>
      <c r="N11" t="str">
        <f t="shared" si="1"/>
        <v>call InitTypeIdStrings('E009',"|Cff00FF7F鱼肠剑|rlv4","ReplaceableTextures\\CommandButtons\\BTNZ02.blp","")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8000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InitEquipData('E010',0,0,8000,100,'uE02','E011',0,0)</v>
      </c>
      <c r="N12" t="str">
        <f t="shared" si="1"/>
        <v>call InitTypeIdStrings('E010',"|Cff00FF7F鱼肠剑|rlv5","ReplaceableTextures\\CommandButtons\\BTNZ02.blp","")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InitTypeIdStrings('E011',"|Cff00BFFF太阿剑|rlv1","ReplaceableTextures\\CommandButtons\\BTNZ03.blp","")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InitTypeIdStrings('E012',"|Cff00BFFF太阿剑|rlv2","ReplaceableTextures\\CommandButtons\\BTNZ03.blp","")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InitTypeIdStrings('E013',"|Cff00BFFF太阿剑|rlv3","ReplaceableTextures\\CommandButtons\\BTNZ03.blp","")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InitTypeIdStrings('E014',"|Cff00BFFF太阿剑|rlv4","ReplaceableTextures\\CommandButtons\\BTNZ03.blp","")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InitTypeIdStrings('E015',"|Cff00BFFF太阿剑|rlv5","ReplaceableTextures\\CommandButtons\\BTNZ03.blp","")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InitTypeIdStrings('E020',"|CffFFC926轩辕剑|rlv5","ReplaceableTextures\\CommandButtons\\BTNZ04.blp","")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"|Cff00FF7F紫晶坠子|rlv1"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InitTypeIdStrings('E106',"|Cff00FF7F紫晶坠子|rlv1","ReplaceableTextures\\CommandButtons\\BTNZ07.blp","|n攻击6%概率范围|cffff4646业力*15|r魔法伤害|n|n|Cff00ff7f击杀200只怪有50%概率升级|r")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"|Cff00FF7F紫晶坠子|rlv2"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InitTypeIdStrings('E107',"|Cff00FF7F紫晶坠子|rlv2","ReplaceableTextures\\CommandButtons\\BTNZ07.blp","|n攻击6%概率范围|cffff4646业力*15|r魔法伤害|n|n|Cff00ff7f击杀200只怪有50%概率升级|r")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"|Cff00FF7F紫晶坠子|rlv3"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InitTypeIdStrings('E108',"|Cff00FF7F紫晶坠子|rlv3","ReplaceableTextures\\CommandButtons\\BTNZ07.blp","|n攻击6%概率范围|cffff4646业力*15|r魔法伤害|n|n|Cff00ff7f击杀200只怪有50%概率升级|r")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"|Cff00FF7F紫晶坠子|rlv4"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InitTypeIdStrings('E109',"|Cff00FF7F紫晶坠子|rlv4","ReplaceableTextures\\CommandButtons\\BTNZ07.blp","|n攻击6%概率范围|cffff4646业力*15|r魔法伤害|n|n|Cff00ff7f击杀200只怪有50%概率升级|r")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"|Cff00FF7F紫晶坠子|rlv5"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InitTypeIdStrings('E110',"|Cff00FF7F紫晶坠子|rlv5","ReplaceableTextures\\CommandButtons\\BTNZ07.blp","|n攻击6%概率范围|cffff4646业力*15|r魔法伤害|n|n|Cff00ff7f击杀200只怪有50%概率升级|r")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"|Cff00BFFF三才项圈|rlv1"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InitTypeIdStrings('E111',"|Cff00BFFF三才项圈|rlv1","ReplaceableTextures\\CommandButtons\\BTNZ08.blp","|n攻击6%概率范围|cffff4646业力*15|r魔法伤害|n|n|Cff00ff7f击杀300只怪有50%概率升级|r")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"|Cff00BFFF三才项圈|rlv2"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InitTypeIdStrings('E112',"|Cff00BFFF三才项圈|rlv2","ReplaceableTextures\\CommandButtons\\BTNZ08.blp","|n攻击6%概率范围|cffff4646业力*15|r魔法伤害|n|n|Cff00ff7f击杀300只怪有50%概率升级|r")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"|Cff00BFFF三才项圈|rlv3"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InitTypeIdStrings('E113',"|Cff00BFFF三才项圈|rlv3","ReplaceableTextures\\CommandButtons\\BTNZ08.blp","|n攻击6%概率范围|cffff4646业力*15|r魔法伤害|n|n|Cff00ff7f击杀300只怪有50%概率升级|r")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"|Cff00BFFF三才项圈|rlv4"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InitTypeIdStrings('E114',"|Cff00BFFF三才项圈|rlv4","ReplaceableTextures\\CommandButtons\\BTNZ08.blp","|n攻击6%概率范围|cffff4646业力*15|r魔法伤害|n|n|Cff00ff7f击杀300只怪有50%概率升级|r")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"|Cff00BFFF三才项圈|rlv5"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InitTypeIdStrings('E115',"|Cff00BFFF三才项圈|rlv5","ReplaceableTextures\\CommandButtons\\BTNZ08.blp","|n攻击6%概率范围|cffff4646业力*15|r魔法伤害|n|n|Cff00ff7f击杀300只怪有50%概率升级|r")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"|CffFFC926秘魔灵珠|rlv1"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InitTypeIdStrings('E116',"|CffFFC926秘魔灵珠|rlv1","ReplaceableTextures\\CommandButtons\\BTNZ09.blp","|n攻击6%概率范围|cffff4646业力*15|r魔法伤害|n|n|Cff00ff7f击杀400只怪有50%概率升级|r")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"|CffFFC926秘魔灵珠|rlv2"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InitTypeIdStrings('E117',"|CffFFC926秘魔灵珠|rlv2","ReplaceableTextures\\CommandButtons\\BTNZ09.blp","|n攻击6%概率范围|cffff4646业力*15|r魔法伤害|n|n|Cff00ff7f击杀400只怪有50%概率升级|r")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"|CffFFC926秘魔灵珠|rlv3"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InitTypeIdStrings('E118',"|CffFFC926秘魔灵珠|rlv3","ReplaceableTextures\\CommandButtons\\BTNZ09.blp","|n攻击6%概率范围|cffff4646业力*15|r魔法伤害|n|n|Cff00ff7f击杀400只怪有50%概率升级|r")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"|CffFFC926秘魔灵珠|rlv4"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InitTypeIdStrings('E119',"|CffFFC926秘魔灵珠|rlv4","ReplaceableTextures\\CommandButtons\\BTNZ09.blp","|n攻击6%概率范围|cffff4646业力*15|r魔法伤害|n|n|Cff00ff7f击杀400只怪有50%概率升级|r")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"|CffFFC926秘魔灵珠|rlv5"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InitTypeIdStrings('E120',"|CffFFC926秘魔灵珠|rlv5","ReplaceableTextures\\CommandButtons\\BTNZ09.blp","|n攻击6%概率范围|cffff4646业力*15|r魔法伤害|n|n|Cff00ff7f击杀400只怪有50%概率升级|r")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"|CffFF0000流光绝影|rlv1"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InitTypeIdStrings('E121',"|CffFF0000流光绝影|rlv1","ReplaceableTextures\\CommandButtons\\BTNZ10.blp","|n攻击6%概率范围|cffff4646业力*15|r魔法伤害|n|n|Cff00ff7f击杀500只怪有50%概率升级|r")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"|CffFF0000流光绝影|rlv2"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InitTypeIdStrings('E122',"|CffFF0000流光绝影|rlv2","ReplaceableTextures\\CommandButtons\\BTNZ10.blp","|n攻击6%概率范围|cffff4646业力*15|r魔法伤害|n|n|Cff00ff7f击杀500只怪有50%概率升级|r")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"|CffFF0000流光绝影|rlv3"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InitTypeIdStrings('E123',"|CffFF0000流光绝影|rlv3","ReplaceableTextures\\CommandButtons\\BTNZ10.blp","|n攻击6%概率范围|cffff4646业力*15|r魔法伤害|n|n|Cff00ff7f击杀500只怪有50%概率升级|r")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"|CffFF0000流光绝影|rlv4"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InitTypeIdStrings('E124',"|CffFF0000流光绝影|rlv4","ReplaceableTextures\\CommandButtons\\BTNZ10.blp","|n攻击6%概率范围|cffff4646业力*15|r魔法伤害|n|n|Cff00ff7f击杀500只怪有50%概率升级|r")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"|CffFF0000流光绝影|rlv5"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InitTypeIdStrings('E125',"|CffFF0000流光绝影|rlv5","ReplaceableTextures\\CommandButtons\\BTNZ10.blp","|n攻击6%概率范围|cffff4646业力*15|r魔法伤害|n|n|Cff00ff7f击杀只怪有50%概率升级|r")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装备!D92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装备!D93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装备!D94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装备!D95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装备!D96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装备!D97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装备!D98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装备!D99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装备!D100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装备!D101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装备!D102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装备!D103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装备!D104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装备!D105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装备!D106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装备!D107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装备!D108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装备!D109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装备!D110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>
        <f>装备!D111</f>
        <v>0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装备!D114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装备!D115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装备!D116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装备!D117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装备!D118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装备!D119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装备!D120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装备!D121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装备!D122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装备!D123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"公众号礼包"</v>
      </c>
      <c r="K123" t="str">
        <f>IF(装备!T184="","""""",""""&amp;装备!T184&amp;"""")</f>
        <v>"公众号礼包"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IF(装备!B185="",0,"'"&amp;装备!B185&amp;"'")</f>
        <v>'IB02'</v>
      </c>
      <c r="B124">
        <f>装备!D124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"入群礼包"</v>
      </c>
      <c r="K124" t="str">
        <f>IF(装备!T185="","""""",""""&amp;装备!T185&amp;"""")</f>
        <v>"入群礼包"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IF(装备!B186="",0,"'"&amp;装备!B186&amp;"'")</f>
        <v>'IB03'</v>
      </c>
      <c r="B125">
        <f>装备!D125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"评价礼包"</v>
      </c>
      <c r="K125" t="str">
        <f>IF(装备!T186="","""""",""""&amp;装备!T186&amp;"""")</f>
        <v>"评价礼包"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IF(装备!B187="",0,"'"&amp;装备!B187&amp;"'")</f>
        <v>'IB04'</v>
      </c>
      <c r="B126">
        <f>装备!D126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"收藏礼包"</v>
      </c>
      <c r="K126" t="str">
        <f>IF(装备!T187="","""""",""""&amp;装备!T187&amp;"""")</f>
        <v>"收藏礼包"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IF(装备!B188="",0,"'"&amp;装备!B188&amp;"'")</f>
        <v>'IB05'</v>
      </c>
      <c r="B127">
        <f>装备!D127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"重置版礼包"</v>
      </c>
      <c r="K127" t="str">
        <f>IF(装备!T188="","""""",""""&amp;装备!T188&amp;"""")</f>
        <v>"重置版礼包"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IF(装备!B192="",0,"'"&amp;装备!B192&amp;"'")</f>
        <v>'IF01'</v>
      </c>
      <c r="B128">
        <f>装备!D128</f>
        <v>0</v>
      </c>
      <c r="C128">
        <f>装备!E192</f>
        <v>0</v>
      </c>
      <c r="D128">
        <f>装备!F192</f>
        <v>0</v>
      </c>
      <c r="E128">
        <f>IF(ISTEXT(装备!G192)=TRUE,"'"&amp;装备!G192&amp;"'",装备!G192)</f>
        <v>0</v>
      </c>
      <c r="F128">
        <f>IF(ISTEXT(装备!H192)=TRUE,"'"&amp;装备!H192&amp;"'",装备!H192)</f>
        <v>0</v>
      </c>
      <c r="G128">
        <f>IF(装备!I192="",0,"'"&amp;装备!I192&amp;"'")</f>
        <v>0</v>
      </c>
      <c r="H128">
        <f>IF(装备!R192="",0,装备!R192)</f>
        <v>0</v>
      </c>
      <c r="I128">
        <f>IF(装备!S192="",0,装备!S192)</f>
        <v>0</v>
      </c>
      <c r="J128" t="str">
        <f>IF(装备!C192="",0,""""&amp;装备!C192&amp;"""")</f>
        <v>"攻击"</v>
      </c>
      <c r="K128" t="str">
        <f>IF(装备!T192="","""""",""""&amp;装备!T192&amp;"""")</f>
        <v>""</v>
      </c>
      <c r="L128" t="str">
        <f>IF(装备!U192="",0,""""&amp;装备!U192&amp;"""")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IF(装备!B193="",0,"'"&amp;装备!B193&amp;"'")</f>
        <v>'IF02'</v>
      </c>
      <c r="B129">
        <f>装备!D129</f>
        <v>0</v>
      </c>
      <c r="C129">
        <f>装备!E193</f>
        <v>0</v>
      </c>
      <c r="D129">
        <f>装备!F193</f>
        <v>0</v>
      </c>
      <c r="E129">
        <f>IF(ISTEXT(装备!G193)=TRUE,"'"&amp;装备!G193&amp;"'",装备!G193)</f>
        <v>0</v>
      </c>
      <c r="F129">
        <f>IF(ISTEXT(装备!H193)=TRUE,"'"&amp;装备!H193&amp;"'",装备!H193)</f>
        <v>0</v>
      </c>
      <c r="G129">
        <f>IF(装备!I193="",0,"'"&amp;装备!I193&amp;"'")</f>
        <v>0</v>
      </c>
      <c r="H129">
        <f>IF(装备!R193="",0,装备!R193)</f>
        <v>0</v>
      </c>
      <c r="I129">
        <f>IF(装备!S193="",0,装备!S193)</f>
        <v>0</v>
      </c>
      <c r="J129" t="str">
        <f>IF(装备!C193="",0,""""&amp;装备!C193&amp;"""")</f>
        <v>"法强"</v>
      </c>
      <c r="K129" t="str">
        <f>IF(装备!T193="","""""",""""&amp;装备!T193&amp;"""")</f>
        <v>""</v>
      </c>
      <c r="L129">
        <f>IF(装备!U193="",0,""""&amp;装备!U193&amp;"""")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IF(装备!B194="",0,"'"&amp;装备!B194&amp;"'")</f>
        <v>'IF03'</v>
      </c>
      <c r="B130">
        <f>装备!D130</f>
        <v>0</v>
      </c>
      <c r="C130">
        <f>装备!E194</f>
        <v>0</v>
      </c>
      <c r="D130">
        <f>装备!F194</f>
        <v>0</v>
      </c>
      <c r="E130">
        <f>IF(ISTEXT(装备!G194)=TRUE,"'"&amp;装备!G194&amp;"'",装备!G194)</f>
        <v>0</v>
      </c>
      <c r="F130">
        <f>IF(ISTEXT(装备!H194)=TRUE,"'"&amp;装备!H194&amp;"'",装备!H194)</f>
        <v>0</v>
      </c>
      <c r="G130">
        <f>IF(装备!I194="",0,"'"&amp;装备!I194&amp;"'")</f>
        <v>0</v>
      </c>
      <c r="H130">
        <f>IF(装备!R194="",0,装备!R194)</f>
        <v>0</v>
      </c>
      <c r="I130">
        <f>IF(装备!S194="",0,装备!S194)</f>
        <v>0</v>
      </c>
      <c r="J130" t="str">
        <f>IF(装备!C194="",0,""""&amp;装备!C194&amp;"""")</f>
        <v>"攻击"</v>
      </c>
      <c r="K130" t="str">
        <f>IF(装备!T194="","""""",""""&amp;装备!T194&amp;"""")</f>
        <v>""</v>
      </c>
      <c r="L130">
        <f>IF(装备!U194="",0,""""&amp;装备!U194&amp;"""")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IF(装备!B195="",0,"'"&amp;装备!B195&amp;"'")</f>
        <v>'IF04'</v>
      </c>
      <c r="B131">
        <f>装备!D131</f>
        <v>0</v>
      </c>
      <c r="C131">
        <f>装备!E195</f>
        <v>0</v>
      </c>
      <c r="D131">
        <f>装备!F195</f>
        <v>0</v>
      </c>
      <c r="E131">
        <f>IF(ISTEXT(装备!G195)=TRUE,"'"&amp;装备!G195&amp;"'",装备!G195)</f>
        <v>0</v>
      </c>
      <c r="F131">
        <f>IF(ISTEXT(装备!H195)=TRUE,"'"&amp;装备!H195&amp;"'",装备!H195)</f>
        <v>0</v>
      </c>
      <c r="G131">
        <f>IF(装备!I195="",0,"'"&amp;装备!I195&amp;"'")</f>
        <v>0</v>
      </c>
      <c r="H131">
        <f>IF(装备!R195="",0,装备!R195)</f>
        <v>0</v>
      </c>
      <c r="I131">
        <f>IF(装备!S195="",0,装备!S195)</f>
        <v>0</v>
      </c>
      <c r="J131" t="str">
        <f>IF(装备!C195="",0,""""&amp;装备!C195&amp;"""")</f>
        <v>"法强"</v>
      </c>
      <c r="K131" t="str">
        <f>IF(装备!T195="","""""",""""&amp;装备!T195&amp;"""")</f>
        <v>""</v>
      </c>
      <c r="L131">
        <f>IF(装备!U195="",0,""""&amp;装备!U195&amp;"""")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IF(装备!B196="",0,"'"&amp;装备!B196&amp;"'")</f>
        <v>'IF05'</v>
      </c>
      <c r="B132">
        <f>装备!D132</f>
        <v>0</v>
      </c>
      <c r="C132">
        <f>装备!E196</f>
        <v>0</v>
      </c>
      <c r="D132">
        <f>装备!F196</f>
        <v>0</v>
      </c>
      <c r="E132">
        <f>IF(ISTEXT(装备!G196)=TRUE,"'"&amp;装备!G196&amp;"'",装备!G196)</f>
        <v>0</v>
      </c>
      <c r="F132">
        <f>IF(ISTEXT(装备!H196)=TRUE,"'"&amp;装备!H196&amp;"'",装备!H196)</f>
        <v>0</v>
      </c>
      <c r="G132">
        <f>IF(装备!I196="",0,"'"&amp;装备!I196&amp;"'")</f>
        <v>0</v>
      </c>
      <c r="H132">
        <f>IF(装备!R196="",0,装备!R196)</f>
        <v>0</v>
      </c>
      <c r="I132">
        <f>IF(装备!S196="",0,装备!S196)</f>
        <v>0</v>
      </c>
      <c r="J132" t="str">
        <f>IF(装备!C196="",0,""""&amp;装备!C196&amp;"""")</f>
        <v>"攻击"</v>
      </c>
      <c r="K132" t="str">
        <f>IF(装备!T196="","""""",""""&amp;装备!T196&amp;"""")</f>
        <v>""</v>
      </c>
      <c r="L132">
        <f>IF(装备!U196="",0,""""&amp;装备!U196&amp;"""")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IF(装备!B197="",0,"'"&amp;装备!B197&amp;"'")</f>
        <v>'IF06'</v>
      </c>
      <c r="B133">
        <f>装备!D133</f>
        <v>0</v>
      </c>
      <c r="C133">
        <f>装备!E197</f>
        <v>0</v>
      </c>
      <c r="D133">
        <f>装备!F197</f>
        <v>0</v>
      </c>
      <c r="E133">
        <f>IF(ISTEXT(装备!G197)=TRUE,"'"&amp;装备!G197&amp;"'",装备!G197)</f>
        <v>0</v>
      </c>
      <c r="F133">
        <f>IF(ISTEXT(装备!H197)=TRUE,"'"&amp;装备!H197&amp;"'",装备!H197)</f>
        <v>0</v>
      </c>
      <c r="G133">
        <f>IF(装备!I197="",0,"'"&amp;装备!I197&amp;"'")</f>
        <v>0</v>
      </c>
      <c r="H133">
        <f>IF(装备!R197="",0,装备!R197)</f>
        <v>0</v>
      </c>
      <c r="I133">
        <f>IF(装备!S197="",0,装备!S197)</f>
        <v>0</v>
      </c>
      <c r="J133" t="str">
        <f>IF(装备!C197="",0,""""&amp;装备!C197&amp;"""")</f>
        <v>"法强"</v>
      </c>
      <c r="K133" t="str">
        <f>IF(装备!T197="","""""",""""&amp;装备!T197&amp;"""")</f>
        <v>""</v>
      </c>
      <c r="L133">
        <f>IF(装备!U197="",0,""""&amp;装备!U197&amp;"""")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IF(装备!B198="",0,"'"&amp;装备!B198&amp;"'")</f>
        <v>'IF07'</v>
      </c>
      <c r="B134">
        <f>装备!D134</f>
        <v>0</v>
      </c>
      <c r="C134">
        <f>装备!E198</f>
        <v>0</v>
      </c>
      <c r="D134">
        <f>装备!F198</f>
        <v>0</v>
      </c>
      <c r="E134">
        <f>IF(ISTEXT(装备!G198)=TRUE,"'"&amp;装备!G198&amp;"'",装备!G198)</f>
        <v>0</v>
      </c>
      <c r="F134">
        <f>IF(ISTEXT(装备!H198)=TRUE,"'"&amp;装备!H198&amp;"'",装备!H198)</f>
        <v>0</v>
      </c>
      <c r="G134">
        <f>IF(装备!I198="",0,"'"&amp;装备!I198&amp;"'")</f>
        <v>0</v>
      </c>
      <c r="H134">
        <f>IF(装备!R198="",0,装备!R198)</f>
        <v>0</v>
      </c>
      <c r="I134">
        <f>IF(装备!S198="",0,装备!S198)</f>
        <v>0</v>
      </c>
      <c r="J134" t="str">
        <f>IF(装备!C198="",0,""""&amp;装备!C198&amp;"""")</f>
        <v>"攻击"</v>
      </c>
      <c r="K134" t="str">
        <f>IF(装备!T198="","""""",""""&amp;装备!T198&amp;"""")</f>
        <v>""</v>
      </c>
      <c r="L134">
        <f>IF(装备!U198="",0,""""&amp;装备!U198&amp;"""")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IF(装备!B199="",0,"'"&amp;装备!B199&amp;"'")</f>
        <v>'IF08'</v>
      </c>
      <c r="B135">
        <f>装备!D135</f>
        <v>0</v>
      </c>
      <c r="C135">
        <f>装备!E199</f>
        <v>0</v>
      </c>
      <c r="D135">
        <f>装备!F199</f>
        <v>0</v>
      </c>
      <c r="E135">
        <f>IF(ISTEXT(装备!G199)=TRUE,"'"&amp;装备!G199&amp;"'",装备!G199)</f>
        <v>0</v>
      </c>
      <c r="F135">
        <f>IF(ISTEXT(装备!H199)=TRUE,"'"&amp;装备!H199&amp;"'",装备!H199)</f>
        <v>0</v>
      </c>
      <c r="G135">
        <f>IF(装备!I199="",0,"'"&amp;装备!I199&amp;"'")</f>
        <v>0</v>
      </c>
      <c r="H135">
        <f>IF(装备!R199="",0,装备!R199)</f>
        <v>0</v>
      </c>
      <c r="I135">
        <f>IF(装备!S199="",0,装备!S199)</f>
        <v>0</v>
      </c>
      <c r="J135" t="str">
        <f>IF(装备!C199="",0,""""&amp;装备!C199&amp;"""")</f>
        <v>"法强"</v>
      </c>
      <c r="K135" t="str">
        <f>IF(装备!T199="","""""",""""&amp;装备!T199&amp;"""")</f>
        <v>""</v>
      </c>
      <c r="L135">
        <f>IF(装备!U199="",0,""""&amp;装备!U199&amp;"""")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IF(装备!B200="",0,"'"&amp;装备!B200&amp;"'")</f>
        <v>'IF09'</v>
      </c>
      <c r="B136">
        <f>装备!D136</f>
        <v>0</v>
      </c>
      <c r="C136">
        <f>装备!E200</f>
        <v>0</v>
      </c>
      <c r="D136">
        <f>装备!F200</f>
        <v>0</v>
      </c>
      <c r="E136">
        <f>IF(ISTEXT(装备!G200)=TRUE,"'"&amp;装备!G200&amp;"'",装备!G200)</f>
        <v>0</v>
      </c>
      <c r="F136">
        <f>IF(ISTEXT(装备!H200)=TRUE,"'"&amp;装备!H200&amp;"'",装备!H200)</f>
        <v>0</v>
      </c>
      <c r="G136">
        <f>IF(装备!I200="",0,"'"&amp;装备!I200&amp;"'")</f>
        <v>0</v>
      </c>
      <c r="H136">
        <f>IF(装备!R200="",0,装备!R200)</f>
        <v>0</v>
      </c>
      <c r="I136">
        <f>IF(装备!S200="",0,装备!S200)</f>
        <v>0</v>
      </c>
      <c r="J136" t="str">
        <f>IF(装备!C200="",0,""""&amp;装备!C200&amp;"""")</f>
        <v>"攻击"</v>
      </c>
      <c r="K136" t="str">
        <f>IF(装备!T200="","""""",""""&amp;装备!T200&amp;"""")</f>
        <v>""</v>
      </c>
      <c r="L136">
        <f>IF(装备!U200="",0,""""&amp;装备!U200&amp;"""")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IF(装备!B201="",0,"'"&amp;装备!B201&amp;"'")</f>
        <v>'IF10'</v>
      </c>
      <c r="B137">
        <f>装备!D137</f>
        <v>0</v>
      </c>
      <c r="C137">
        <f>装备!E201</f>
        <v>0</v>
      </c>
      <c r="D137">
        <f>装备!F201</f>
        <v>0</v>
      </c>
      <c r="E137">
        <f>IF(ISTEXT(装备!G201)=TRUE,"'"&amp;装备!G201&amp;"'",装备!G201)</f>
        <v>0</v>
      </c>
      <c r="F137">
        <f>IF(ISTEXT(装备!H201)=TRUE,"'"&amp;装备!H201&amp;"'",装备!H201)</f>
        <v>0</v>
      </c>
      <c r="G137">
        <f>IF(装备!I201="",0,"'"&amp;装备!I201&amp;"'")</f>
        <v>0</v>
      </c>
      <c r="H137">
        <f>IF(装备!R201="",0,装备!R201)</f>
        <v>0</v>
      </c>
      <c r="I137">
        <f>IF(装备!S201="",0,装备!S201)</f>
        <v>0</v>
      </c>
      <c r="J137" t="str">
        <f>IF(装备!C201="",0,""""&amp;装备!C201&amp;"""")</f>
        <v>"法强"</v>
      </c>
      <c r="K137" t="str">
        <f>IF(装备!T201="","""""",""""&amp;装备!T201&amp;"""")</f>
        <v>""</v>
      </c>
      <c r="L137">
        <f>IF(装备!U201="",0,""""&amp;装备!U201&amp;"""")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IF(装备!B202="",0,"'"&amp;装备!B202&amp;"'")</f>
        <v>'IF11'</v>
      </c>
      <c r="B138">
        <f>装备!D138</f>
        <v>0</v>
      </c>
      <c r="C138">
        <f>装备!E202</f>
        <v>0</v>
      </c>
      <c r="D138">
        <f>装备!F202</f>
        <v>0</v>
      </c>
      <c r="E138">
        <f>IF(ISTEXT(装备!G202)=TRUE,"'"&amp;装备!G202&amp;"'",装备!G202)</f>
        <v>0</v>
      </c>
      <c r="F138">
        <f>IF(ISTEXT(装备!H202)=TRUE,"'"&amp;装备!H202&amp;"'",装备!H202)</f>
        <v>0</v>
      </c>
      <c r="G138">
        <f>IF(装备!I202="",0,"'"&amp;装备!I202&amp;"'")</f>
        <v>0</v>
      </c>
      <c r="H138">
        <f>IF(装备!R202="",0,装备!R202)</f>
        <v>0</v>
      </c>
      <c r="I138">
        <f>IF(装备!S202="",0,装备!S202)</f>
        <v>0</v>
      </c>
      <c r="J138" t="str">
        <f>IF(装备!C202="",0,""""&amp;装备!C202&amp;"""")</f>
        <v>"攻击和法强"</v>
      </c>
      <c r="K138" t="str">
        <f>IF(装备!T202="","""""",""""&amp;装备!T202&amp;"""")</f>
        <v>""</v>
      </c>
      <c r="L138">
        <f>IF(装备!U202="",0,""""&amp;装备!U202&amp;"""")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IF(装备!B203="",0,"'"&amp;装备!B203&amp;"'")</f>
        <v>'IF12'</v>
      </c>
      <c r="B139">
        <f>装备!D139</f>
        <v>0</v>
      </c>
      <c r="C139">
        <f>装备!E203</f>
        <v>0</v>
      </c>
      <c r="D139">
        <f>装备!F203</f>
        <v>0</v>
      </c>
      <c r="E139">
        <f>IF(ISTEXT(装备!G203)=TRUE,"'"&amp;装备!G203&amp;"'",装备!G203)</f>
        <v>0</v>
      </c>
      <c r="F139">
        <f>IF(ISTEXT(装备!H203)=TRUE,"'"&amp;装备!H203&amp;"'",装备!H203)</f>
        <v>0</v>
      </c>
      <c r="G139">
        <f>IF(装备!I203="",0,"'"&amp;装备!I203&amp;"'")</f>
        <v>0</v>
      </c>
      <c r="H139">
        <f>IF(装备!R203="",0,装备!R203)</f>
        <v>0</v>
      </c>
      <c r="I139">
        <f>IF(装备!S203="",0,装备!S203)</f>
        <v>0</v>
      </c>
      <c r="J139" t="str">
        <f>IF(装备!C203="",0,""""&amp;装备!C203&amp;"""")</f>
        <v>"暴击"</v>
      </c>
      <c r="K139" t="str">
        <f>IF(装备!T203="","""""",""""&amp;装备!T203&amp;"""")</f>
        <v>""</v>
      </c>
      <c r="L139">
        <f>IF(装备!U203="",0,""""&amp;装备!U203&amp;"""")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IF(装备!B204="",0,"'"&amp;装备!B204&amp;"'")</f>
        <v>'IF13'</v>
      </c>
      <c r="B140">
        <f>装备!D140</f>
        <v>0</v>
      </c>
      <c r="C140">
        <f>装备!E204</f>
        <v>0</v>
      </c>
      <c r="D140">
        <f>装备!F204</f>
        <v>0</v>
      </c>
      <c r="E140">
        <f>IF(ISTEXT(装备!G204)=TRUE,"'"&amp;装备!G204&amp;"'",装备!G204)</f>
        <v>0</v>
      </c>
      <c r="F140">
        <f>IF(ISTEXT(装备!H204)=TRUE,"'"&amp;装备!H204&amp;"'",装备!H204)</f>
        <v>0</v>
      </c>
      <c r="G140">
        <f>IF(装备!I204="",0,"'"&amp;装备!I204&amp;"'")</f>
        <v>0</v>
      </c>
      <c r="H140">
        <f>IF(装备!R204="",0,装备!R204)</f>
        <v>0</v>
      </c>
      <c r="I140">
        <f>IF(装备!S204="",0,装备!S204)</f>
        <v>0</v>
      </c>
      <c r="J140" t="str">
        <f>IF(装备!C204="",0,""""&amp;装备!C204&amp;"""")</f>
        <v>"爆伤"</v>
      </c>
      <c r="K140" t="str">
        <f>IF(装备!T204="","""""",""""&amp;装备!T204&amp;"""")</f>
        <v>""</v>
      </c>
      <c r="L140">
        <f>IF(装备!U204="",0,""""&amp;装备!U204&amp;"""")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IF(装备!B205="",0,"'"&amp;装备!B205&amp;"'")</f>
        <v>'IF14'</v>
      </c>
      <c r="B141">
        <f>装备!D141</f>
        <v>0</v>
      </c>
      <c r="C141">
        <f>装备!E205</f>
        <v>0</v>
      </c>
      <c r="D141">
        <f>装备!F205</f>
        <v>0</v>
      </c>
      <c r="E141">
        <f>IF(ISTEXT(装备!G205)=TRUE,"'"&amp;装备!G205&amp;"'",装备!G205)</f>
        <v>0</v>
      </c>
      <c r="F141">
        <f>IF(ISTEXT(装备!H205)=TRUE,"'"&amp;装备!H205&amp;"'",装备!H205)</f>
        <v>0</v>
      </c>
      <c r="G141">
        <f>IF(装备!I205="",0,"'"&amp;装备!I205&amp;"'")</f>
        <v>0</v>
      </c>
      <c r="H141">
        <f>IF(装备!R205="",0,装备!R205)</f>
        <v>0</v>
      </c>
      <c r="I141">
        <f>IF(装备!S205="",0,装备!S205)</f>
        <v>0</v>
      </c>
      <c r="J141" t="str">
        <f>IF(装备!C205="",0,""""&amp;装备!C205&amp;"""")</f>
        <v>"爆伤"</v>
      </c>
      <c r="K141" t="str">
        <f>IF(装备!T205="","""""",""""&amp;装备!T205&amp;"""")</f>
        <v>""</v>
      </c>
      <c r="L141">
        <f>IF(装备!U205="",0,""""&amp;装备!U205&amp;"""")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IF(装备!B206="",0,"'"&amp;装备!B206&amp;"'")</f>
        <v>'IF15'</v>
      </c>
      <c r="B142">
        <f>装备!D142</f>
        <v>0</v>
      </c>
      <c r="C142">
        <f>装备!E206</f>
        <v>0</v>
      </c>
      <c r="D142">
        <f>装备!F206</f>
        <v>0</v>
      </c>
      <c r="E142">
        <f>IF(ISTEXT(装备!G206)=TRUE,"'"&amp;装备!G206&amp;"'",装备!G206)</f>
        <v>0</v>
      </c>
      <c r="F142">
        <f>IF(ISTEXT(装备!H206)=TRUE,"'"&amp;装备!H206&amp;"'",装备!H206)</f>
        <v>0</v>
      </c>
      <c r="G142">
        <f>IF(装备!I206="",0,"'"&amp;装备!I206&amp;"'")</f>
        <v>0</v>
      </c>
      <c r="H142">
        <f>IF(装备!R206="",0,装备!R206)</f>
        <v>0</v>
      </c>
      <c r="I142">
        <f>IF(装备!S206="",0,装备!S206)</f>
        <v>0</v>
      </c>
      <c r="J142" t="str">
        <f>IF(装备!C206="",0,""""&amp;装备!C206&amp;"""")</f>
        <v>"爆伤"</v>
      </c>
      <c r="K142" t="str">
        <f>IF(装备!T206="","""""",""""&amp;装备!T206&amp;"""")</f>
        <v>""</v>
      </c>
      <c r="L142">
        <f>IF(装备!U206="",0,""""&amp;装备!U206&amp;"""")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IF(装备!B207="",0,"'"&amp;装备!B207&amp;"'")</f>
        <v>'IF16'</v>
      </c>
      <c r="B143">
        <f>装备!D143</f>
        <v>0</v>
      </c>
      <c r="C143">
        <f>装备!E207</f>
        <v>0</v>
      </c>
      <c r="D143">
        <f>装备!F207</f>
        <v>0</v>
      </c>
      <c r="E143">
        <f>IF(ISTEXT(装备!G207)=TRUE,"'"&amp;装备!G207&amp;"'",装备!G207)</f>
        <v>0</v>
      </c>
      <c r="F143">
        <f>IF(ISTEXT(装备!H207)=TRUE,"'"&amp;装备!H207&amp;"'",装备!H207)</f>
        <v>0</v>
      </c>
      <c r="G143">
        <f>IF(装备!I207="",0,"'"&amp;装备!I207&amp;"'")</f>
        <v>0</v>
      </c>
      <c r="H143">
        <f>IF(装备!R207="",0,装备!R207)</f>
        <v>0</v>
      </c>
      <c r="I143">
        <f>IF(装备!S207="",0,装备!S207)</f>
        <v>0</v>
      </c>
      <c r="J143" t="str">
        <f>IF(装备!C207="",0,""""&amp;装备!C207&amp;"""")</f>
        <v>"冷却缩减"</v>
      </c>
      <c r="K143" t="str">
        <f>IF(装备!T207="","""""",""""&amp;装备!T207&amp;"""")</f>
        <v>""</v>
      </c>
      <c r="L143">
        <f>IF(装备!U207="",0,""""&amp;装备!U207&amp;"""")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IF(装备!B208="",0,"'"&amp;装备!B208&amp;"'")</f>
        <v>'IF17'</v>
      </c>
      <c r="B144">
        <f>装备!D144</f>
        <v>0</v>
      </c>
      <c r="C144">
        <f>装备!E208</f>
        <v>0</v>
      </c>
      <c r="D144">
        <f>装备!F208</f>
        <v>0</v>
      </c>
      <c r="E144">
        <f>IF(ISTEXT(装备!G208)=TRUE,"'"&amp;装备!G208&amp;"'",装备!G208)</f>
        <v>0</v>
      </c>
      <c r="F144">
        <f>IF(ISTEXT(装备!H208)=TRUE,"'"&amp;装备!H208&amp;"'",装备!H208)</f>
        <v>0</v>
      </c>
      <c r="G144">
        <f>IF(装备!I208="",0,"'"&amp;装备!I208&amp;"'")</f>
        <v>0</v>
      </c>
      <c r="H144">
        <f>IF(装备!R208="",0,装备!R208)</f>
        <v>0</v>
      </c>
      <c r="I144">
        <f>IF(装备!S208="",0,装备!S208)</f>
        <v>0</v>
      </c>
      <c r="J144" t="str">
        <f>IF(装备!C208="",0,""""&amp;装备!C208&amp;"""")</f>
        <v>"冷却缩减"</v>
      </c>
      <c r="K144" t="str">
        <f>IF(装备!T208="","""""",""""&amp;装备!T208&amp;"""")</f>
        <v>""</v>
      </c>
      <c r="L144">
        <f>IF(装备!U208="",0,""""&amp;装备!U208&amp;"""")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IF(装备!B209="",0,"'"&amp;装备!B209&amp;"'")</f>
        <v>'IF18'</v>
      </c>
      <c r="B145">
        <f>装备!D145</f>
        <v>0</v>
      </c>
      <c r="C145">
        <f>装备!E209</f>
        <v>0</v>
      </c>
      <c r="D145">
        <f>装备!F209</f>
        <v>0</v>
      </c>
      <c r="E145">
        <f>IF(ISTEXT(装备!G209)=TRUE,"'"&amp;装备!G209&amp;"'",装备!G209)</f>
        <v>0</v>
      </c>
      <c r="F145">
        <f>IF(ISTEXT(装备!H209)=TRUE,"'"&amp;装备!H209&amp;"'",装备!H209)</f>
        <v>0</v>
      </c>
      <c r="G145">
        <f>IF(装备!I209="",0,"'"&amp;装备!I209&amp;"'")</f>
        <v>0</v>
      </c>
      <c r="H145">
        <f>IF(装备!R209="",0,装备!R209)</f>
        <v>0</v>
      </c>
      <c r="I145">
        <f>IF(装备!S209="",0,装备!S209)</f>
        <v>0</v>
      </c>
      <c r="J145" t="str">
        <f>IF(装备!C209="",0,""""&amp;装备!C209&amp;"""")</f>
        <v>"攻击速度"</v>
      </c>
      <c r="K145" t="str">
        <f>IF(装备!T209="","""""",""""&amp;装备!T209&amp;"""")</f>
        <v>""</v>
      </c>
      <c r="L145">
        <f>IF(装备!U209="",0,""""&amp;装备!U209&amp;"""")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IF(装备!B210="",0,"'"&amp;装备!B210&amp;"'")</f>
        <v>'IF19'</v>
      </c>
      <c r="B146">
        <f>装备!D146</f>
        <v>0</v>
      </c>
      <c r="C146">
        <f>装备!E210</f>
        <v>0</v>
      </c>
      <c r="D146">
        <f>装备!F210</f>
        <v>0</v>
      </c>
      <c r="E146">
        <f>IF(ISTEXT(装备!G210)=TRUE,"'"&amp;装备!G210&amp;"'",装备!G210)</f>
        <v>0</v>
      </c>
      <c r="F146">
        <f>IF(ISTEXT(装备!H210)=TRUE,"'"&amp;装备!H210&amp;"'",装备!H210)</f>
        <v>0</v>
      </c>
      <c r="G146">
        <f>IF(装备!I210="",0,"'"&amp;装备!I210&amp;"'")</f>
        <v>0</v>
      </c>
      <c r="H146">
        <f>IF(装备!R210="",0,装备!R210)</f>
        <v>0</v>
      </c>
      <c r="I146">
        <f>IF(装备!S210="",0,装备!S210)</f>
        <v>0</v>
      </c>
      <c r="J146" t="str">
        <f>IF(装备!C210="",0,""""&amp;装备!C210&amp;"""")</f>
        <v>"攻击速度"</v>
      </c>
      <c r="K146" t="str">
        <f>IF(装备!T210="","""""",""""&amp;装备!T210&amp;"""")</f>
        <v>""</v>
      </c>
      <c r="L146">
        <f>IF(装备!U210="",0,""""&amp;装备!U210&amp;"""")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IF(装备!B211="",0,"'"&amp;装备!B211&amp;"'")</f>
        <v>'IF20'</v>
      </c>
      <c r="B147">
        <f>装备!D147</f>
        <v>0</v>
      </c>
      <c r="C147">
        <f>装备!E211</f>
        <v>0</v>
      </c>
      <c r="D147">
        <f>装备!F211</f>
        <v>0</v>
      </c>
      <c r="E147">
        <f>IF(ISTEXT(装备!G211)=TRUE,"'"&amp;装备!G211&amp;"'",装备!G211)</f>
        <v>0</v>
      </c>
      <c r="F147">
        <f>IF(ISTEXT(装备!H211)=TRUE,"'"&amp;装备!H211&amp;"'",装备!H211)</f>
        <v>0</v>
      </c>
      <c r="G147">
        <f>IF(装备!I211="",0,"'"&amp;装备!I211&amp;"'")</f>
        <v>0</v>
      </c>
      <c r="H147">
        <f>IF(装备!R211="",0,装备!R211)</f>
        <v>0</v>
      </c>
      <c r="I147">
        <f>IF(装备!S211="",0,装备!S211)</f>
        <v>0</v>
      </c>
      <c r="J147" t="str">
        <f>IF(装备!C211="",0,""""&amp;装备!C211&amp;"""")</f>
        <v>"普攻伤害"</v>
      </c>
      <c r="K147" t="str">
        <f>IF(装备!T211="","""""",""""&amp;装备!T211&amp;"""")</f>
        <v>""</v>
      </c>
      <c r="L147">
        <f>IF(装备!U211="",0,""""&amp;装备!U211&amp;"""")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IF(装备!B212="",0,"'"&amp;装备!B212&amp;"'")</f>
        <v>'IF21'</v>
      </c>
      <c r="B148">
        <f>装备!D148</f>
        <v>0</v>
      </c>
      <c r="C148">
        <f>装备!E212</f>
        <v>0</v>
      </c>
      <c r="D148">
        <f>装备!F212</f>
        <v>0</v>
      </c>
      <c r="E148">
        <f>IF(ISTEXT(装备!G212)=TRUE,"'"&amp;装备!G212&amp;"'",装备!G212)</f>
        <v>0</v>
      </c>
      <c r="F148">
        <f>IF(ISTEXT(装备!H212)=TRUE,"'"&amp;装备!H212&amp;"'",装备!H212)</f>
        <v>0</v>
      </c>
      <c r="G148">
        <f>IF(装备!I212="",0,"'"&amp;装备!I212&amp;"'")</f>
        <v>0</v>
      </c>
      <c r="H148">
        <f>IF(装备!R212="",0,装备!R212)</f>
        <v>0</v>
      </c>
      <c r="I148">
        <f>IF(装备!S212="",0,装备!S212)</f>
        <v>0</v>
      </c>
      <c r="J148" t="str">
        <f>IF(装备!C212="",0,""""&amp;装备!C212&amp;"""")</f>
        <v>"普攻伤害"</v>
      </c>
      <c r="K148" t="str">
        <f>IF(装备!T212="","""""",""""&amp;装备!T212&amp;"""")</f>
        <v>""</v>
      </c>
      <c r="L148">
        <f>IF(装备!U212="",0,""""&amp;装备!U212&amp;"""")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IF(装备!B213="",0,"'"&amp;装备!B213&amp;"'")</f>
        <v>'IF22'</v>
      </c>
      <c r="B149">
        <f>装备!D149</f>
        <v>0</v>
      </c>
      <c r="C149">
        <f>装备!E213</f>
        <v>0</v>
      </c>
      <c r="D149">
        <f>装备!F213</f>
        <v>0</v>
      </c>
      <c r="E149">
        <f>IF(ISTEXT(装备!G213)=TRUE,"'"&amp;装备!G213&amp;"'",装备!G213)</f>
        <v>0</v>
      </c>
      <c r="F149">
        <f>IF(ISTEXT(装备!H213)=TRUE,"'"&amp;装备!H213&amp;"'",装备!H213)</f>
        <v>0</v>
      </c>
      <c r="G149">
        <f>IF(装备!I213="",0,"'"&amp;装备!I213&amp;"'")</f>
        <v>0</v>
      </c>
      <c r="H149">
        <f>IF(装备!R213="",0,装备!R213)</f>
        <v>0</v>
      </c>
      <c r="I149">
        <f>IF(装备!S213="",0,装备!S213)</f>
        <v>0</v>
      </c>
      <c r="J149" t="str">
        <f>IF(装备!C213="",0,""""&amp;装备!C213&amp;"""")</f>
        <v>"回蓝"</v>
      </c>
      <c r="K149" t="str">
        <f>IF(装备!T213="","""""",""""&amp;装备!T213&amp;"""")</f>
        <v>""</v>
      </c>
      <c r="L149">
        <f>IF(装备!U213="",0,""""&amp;装备!U213&amp;"""")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IF(装备!B214="",0,"'"&amp;装备!B214&amp;"'")</f>
        <v>'IF23'</v>
      </c>
      <c r="B150">
        <f>装备!D150</f>
        <v>0</v>
      </c>
      <c r="C150">
        <f>装备!E214</f>
        <v>0</v>
      </c>
      <c r="D150">
        <f>装备!F214</f>
        <v>0</v>
      </c>
      <c r="E150">
        <f>IF(ISTEXT(装备!G214)=TRUE,"'"&amp;装备!G214&amp;"'",装备!G214)</f>
        <v>0</v>
      </c>
      <c r="F150">
        <f>IF(ISTEXT(装备!H214)=TRUE,"'"&amp;装备!H214&amp;"'",装备!H214)</f>
        <v>0</v>
      </c>
      <c r="G150">
        <f>IF(装备!I214="",0,"'"&amp;装备!I214&amp;"'")</f>
        <v>0</v>
      </c>
      <c r="H150">
        <f>IF(装备!R214="",0,装备!R214)</f>
        <v>0</v>
      </c>
      <c r="I150">
        <f>IF(装备!S214="",0,装备!S214)</f>
        <v>0</v>
      </c>
      <c r="J150" t="str">
        <f>IF(装备!C214="",0,""""&amp;装备!C214&amp;"""")</f>
        <v>"回蓝"</v>
      </c>
      <c r="K150" t="str">
        <f>IF(装备!T214="","""""",""""&amp;装备!T214&amp;"""")</f>
        <v>""</v>
      </c>
      <c r="L150">
        <f>IF(装备!U214="",0,""""&amp;装备!U214&amp;"""")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IF(装备!B215="",0,"'"&amp;装备!B215&amp;"'")</f>
        <v>'IF24'</v>
      </c>
      <c r="B151">
        <f>装备!D151</f>
        <v>0</v>
      </c>
      <c r="C151">
        <f>装备!E215</f>
        <v>0</v>
      </c>
      <c r="D151">
        <f>装备!F215</f>
        <v>0</v>
      </c>
      <c r="E151">
        <f>IF(ISTEXT(装备!G215)=TRUE,"'"&amp;装备!G215&amp;"'",装备!G215)</f>
        <v>0</v>
      </c>
      <c r="F151">
        <f>IF(ISTEXT(装备!H215)=TRUE,"'"&amp;装备!H215&amp;"'",装备!H215)</f>
        <v>0</v>
      </c>
      <c r="G151">
        <f>IF(装备!I215="",0,"'"&amp;装备!I215&amp;"'")</f>
        <v>0</v>
      </c>
      <c r="H151">
        <f>IF(装备!R215="",0,装备!R215)</f>
        <v>0</v>
      </c>
      <c r="I151">
        <f>IF(装备!S215="",0,装备!S215)</f>
        <v>0</v>
      </c>
      <c r="J151" t="str">
        <f>IF(装备!C215="",0,""""&amp;装备!C215&amp;"""")</f>
        <v>"生命回复"</v>
      </c>
      <c r="K151" t="str">
        <f>IF(装备!T215="","""""",""""&amp;装备!T215&amp;"""")</f>
        <v>""</v>
      </c>
      <c r="L151">
        <f>IF(装备!U215="",0,""""&amp;装备!U215&amp;"""")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IF(装备!B216="",0,"'"&amp;装备!B216&amp;"'")</f>
        <v>'IF25'</v>
      </c>
      <c r="B152">
        <f>装备!D152</f>
        <v>0</v>
      </c>
      <c r="C152">
        <f>装备!E216</f>
        <v>0</v>
      </c>
      <c r="D152">
        <f>装备!F216</f>
        <v>0</v>
      </c>
      <c r="E152">
        <f>IF(ISTEXT(装备!G216)=TRUE,"'"&amp;装备!G216&amp;"'",装备!G216)</f>
        <v>0</v>
      </c>
      <c r="F152">
        <f>IF(ISTEXT(装备!H216)=TRUE,"'"&amp;装备!H216&amp;"'",装备!H216)</f>
        <v>0</v>
      </c>
      <c r="G152">
        <f>IF(装备!I216="",0,"'"&amp;装备!I216&amp;"'")</f>
        <v>0</v>
      </c>
      <c r="H152">
        <f>IF(装备!R216="",0,装备!R216)</f>
        <v>0</v>
      </c>
      <c r="I152">
        <f>IF(装备!S216="",0,装备!S216)</f>
        <v>0</v>
      </c>
      <c r="J152" t="str">
        <f>IF(装备!C216="",0,""""&amp;装备!C216&amp;"""")</f>
        <v>"伤害吸血"</v>
      </c>
      <c r="K152" t="str">
        <f>IF(装备!T216="","""""",""""&amp;装备!T216&amp;"""")</f>
        <v>""</v>
      </c>
      <c r="L152">
        <f>IF(装备!U216="",0,""""&amp;装备!U216&amp;"""")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IF(装备!B217="",0,"'"&amp;装备!B217&amp;"'")</f>
        <v>'IF26'</v>
      </c>
      <c r="B153">
        <f>装备!D153</f>
        <v>0</v>
      </c>
      <c r="C153">
        <f>装备!E217</f>
        <v>0</v>
      </c>
      <c r="D153">
        <f>装备!F217</f>
        <v>0</v>
      </c>
      <c r="E153">
        <f>IF(ISTEXT(装备!G217)=TRUE,"'"&amp;装备!G217&amp;"'",装备!G217)</f>
        <v>0</v>
      </c>
      <c r="F153">
        <f>IF(ISTEXT(装备!H217)=TRUE,"'"&amp;装备!H217&amp;"'",装备!H217)</f>
        <v>0</v>
      </c>
      <c r="G153">
        <f>IF(装备!I217="",0,"'"&amp;装备!I217&amp;"'")</f>
        <v>0</v>
      </c>
      <c r="H153">
        <f>IF(装备!R217="",0,装备!R217)</f>
        <v>0</v>
      </c>
      <c r="I153">
        <f>IF(装备!S217="",0,装备!S217)</f>
        <v>0</v>
      </c>
      <c r="J153" t="str">
        <f>IF(装备!C217="",0,""""&amp;装备!C217&amp;"""")</f>
        <v>"闪避"</v>
      </c>
      <c r="K153" t="str">
        <f>IF(装备!T217="","""""",""""&amp;装备!T217&amp;"""")</f>
        <v>""</v>
      </c>
      <c r="L153">
        <f>IF(装备!U217="",0,""""&amp;装备!U217&amp;"""")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IF(装备!B218="",0,"'"&amp;装备!B218&amp;"'")</f>
        <v>'IF27'</v>
      </c>
      <c r="B154">
        <f>装备!D154</f>
        <v>0</v>
      </c>
      <c r="C154">
        <f>装备!E218</f>
        <v>0</v>
      </c>
      <c r="D154">
        <f>装备!F218</f>
        <v>0</v>
      </c>
      <c r="E154">
        <f>IF(ISTEXT(装备!G218)=TRUE,"'"&amp;装备!G218&amp;"'",装备!G218)</f>
        <v>0</v>
      </c>
      <c r="F154">
        <f>IF(ISTEXT(装备!H218)=TRUE,"'"&amp;装备!H218&amp;"'",装备!H218)</f>
        <v>0</v>
      </c>
      <c r="G154">
        <f>IF(装备!I218="",0,"'"&amp;装备!I218&amp;"'")</f>
        <v>0</v>
      </c>
      <c r="H154">
        <f>IF(装备!R218="",0,装备!R218)</f>
        <v>0</v>
      </c>
      <c r="I154">
        <f>IF(装备!S218="",0,装备!S218)</f>
        <v>0</v>
      </c>
      <c r="J154" t="str">
        <f>IF(装备!C218="",0,""""&amp;装备!C218&amp;"""")</f>
        <v>"伤害减免"</v>
      </c>
      <c r="K154" t="str">
        <f>IF(装备!T218="","""""",""""&amp;装备!T218&amp;"""")</f>
        <v>""</v>
      </c>
      <c r="L154">
        <f>IF(装备!U218="",0,""""&amp;装备!U218&amp;"""")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IF(装备!B219="",0,"'"&amp;装备!B219&amp;"'")</f>
        <v>0</v>
      </c>
      <c r="B155">
        <f>装备!D155</f>
        <v>0</v>
      </c>
      <c r="C155">
        <f>装备!E219</f>
        <v>0</v>
      </c>
      <c r="D155">
        <f>装备!F219</f>
        <v>0</v>
      </c>
      <c r="E155">
        <f>IF(ISTEXT(装备!G219)=TRUE,"'"&amp;装备!G219&amp;"'",装备!G219)</f>
        <v>0</v>
      </c>
      <c r="F155">
        <f>IF(ISTEXT(装备!H219)=TRUE,"'"&amp;装备!H219&amp;"'",装备!H219)</f>
        <v>0</v>
      </c>
      <c r="G155">
        <f>IF(装备!I219="",0,"'"&amp;装备!I219&amp;"'")</f>
        <v>0</v>
      </c>
      <c r="H155">
        <f>IF(装备!R219="",0,装备!R219)</f>
        <v>0</v>
      </c>
      <c r="I155">
        <f>IF(装备!S219="",0,装备!S219)</f>
        <v>0</v>
      </c>
      <c r="J155">
        <f>IF(装备!C219="",0,""""&amp;装备!C219&amp;"""")</f>
        <v>0</v>
      </c>
      <c r="K155" t="str">
        <f>IF(装备!T219="","""""",""""&amp;装备!T219&amp;"""")</f>
        <v>""</v>
      </c>
      <c r="L155">
        <f>IF(装备!U219="",0,""""&amp;装备!U219&amp;"""")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IF(装备!B220="",0,"'"&amp;装备!B220&amp;"'")</f>
        <v>0</v>
      </c>
      <c r="B156">
        <f>装备!D156</f>
        <v>0</v>
      </c>
      <c r="C156">
        <f>装备!E220</f>
        <v>0</v>
      </c>
      <c r="D156">
        <f>装备!F220</f>
        <v>0</v>
      </c>
      <c r="E156">
        <f>IF(ISTEXT(装备!G220)=TRUE,"'"&amp;装备!G220&amp;"'",装备!G220)</f>
        <v>0</v>
      </c>
      <c r="F156">
        <f>IF(ISTEXT(装备!H220)=TRUE,"'"&amp;装备!H220&amp;"'",装备!H220)</f>
        <v>0</v>
      </c>
      <c r="G156">
        <f>IF(装备!I220="",0,"'"&amp;装备!I220&amp;"'")</f>
        <v>0</v>
      </c>
      <c r="H156">
        <f>IF(装备!R220="",0,装备!R220)</f>
        <v>0</v>
      </c>
      <c r="I156">
        <f>IF(装备!S220="",0,装备!S220)</f>
        <v>0</v>
      </c>
      <c r="J156">
        <f>IF(装备!C220="",0,""""&amp;装备!C220&amp;"""")</f>
        <v>0</v>
      </c>
      <c r="K156" t="str">
        <f>IF(装备!T220="","""""",""""&amp;装备!T220&amp;"""")</f>
        <v>""</v>
      </c>
      <c r="L156">
        <f>IF(装备!U220="",0,""""&amp;装备!U220&amp;"""")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IF(装备!B221="",0,"'"&amp;装备!B221&amp;"'")</f>
        <v>0</v>
      </c>
      <c r="B157">
        <f>装备!D157</f>
        <v>0</v>
      </c>
      <c r="C157">
        <f>装备!E221</f>
        <v>0</v>
      </c>
      <c r="D157">
        <f>装备!F221</f>
        <v>0</v>
      </c>
      <c r="E157">
        <f>IF(ISTEXT(装备!G221)=TRUE,"'"&amp;装备!G221&amp;"'",装备!G221)</f>
        <v>0</v>
      </c>
      <c r="F157">
        <f>IF(ISTEXT(装备!H221)=TRUE,"'"&amp;装备!H221&amp;"'",装备!H221)</f>
        <v>0</v>
      </c>
      <c r="G157">
        <f>IF(装备!I221="",0,"'"&amp;装备!I221&amp;"'")</f>
        <v>0</v>
      </c>
      <c r="H157">
        <f>IF(装备!R221="",0,装备!R221)</f>
        <v>0</v>
      </c>
      <c r="I157">
        <f>IF(装备!S221="",0,装备!S221)</f>
        <v>0</v>
      </c>
      <c r="J157">
        <f>IF(装备!C221="",0,""""&amp;装备!C221&amp;"""")</f>
        <v>0</v>
      </c>
      <c r="K157" t="str">
        <f>IF(装备!T221="","""""",""""&amp;装备!T221&amp;"""")</f>
        <v>""</v>
      </c>
      <c r="L157">
        <f>IF(装备!U221="",0,""""&amp;装备!U221&amp;"""")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IF(装备!B222="",0,"'"&amp;装备!B222&amp;"'")</f>
        <v>0</v>
      </c>
      <c r="B158">
        <f>装备!D158</f>
        <v>0</v>
      </c>
      <c r="C158">
        <f>装备!E222</f>
        <v>0</v>
      </c>
      <c r="D158">
        <f>装备!F222</f>
        <v>0</v>
      </c>
      <c r="E158">
        <f>IF(ISTEXT(装备!G222)=TRUE,"'"&amp;装备!G222&amp;"'",装备!G222)</f>
        <v>0</v>
      </c>
      <c r="F158">
        <f>IF(ISTEXT(装备!H222)=TRUE,"'"&amp;装备!H222&amp;"'",装备!H222)</f>
        <v>0</v>
      </c>
      <c r="G158">
        <f>IF(装备!I222="",0,"'"&amp;装备!I222&amp;"'")</f>
        <v>0</v>
      </c>
      <c r="H158">
        <f>IF(装备!R222="",0,装备!R222)</f>
        <v>0</v>
      </c>
      <c r="I158">
        <f>IF(装备!S222="",0,装备!S222)</f>
        <v>0</v>
      </c>
      <c r="J158">
        <f>IF(装备!C222="",0,""""&amp;装备!C222&amp;"""")</f>
        <v>0</v>
      </c>
      <c r="K158" t="str">
        <f>IF(装备!T222="","""""",""""&amp;装备!T222&amp;"""")</f>
        <v>""</v>
      </c>
      <c r="L158">
        <f>IF(装备!U222="",0,""""&amp;装备!U222&amp;"""")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IF(装备!B223="",0,"'"&amp;装备!B223&amp;"'")</f>
        <v>0</v>
      </c>
      <c r="B159">
        <f>装备!D159</f>
        <v>0</v>
      </c>
      <c r="C159">
        <f>装备!E223</f>
        <v>0</v>
      </c>
      <c r="D159">
        <f>装备!F223</f>
        <v>0</v>
      </c>
      <c r="E159">
        <f>IF(ISTEXT(装备!G223)=TRUE,"'"&amp;装备!G223&amp;"'",装备!G223)</f>
        <v>0</v>
      </c>
      <c r="F159">
        <f>IF(ISTEXT(装备!H223)=TRUE,"'"&amp;装备!H223&amp;"'",装备!H223)</f>
        <v>0</v>
      </c>
      <c r="G159">
        <f>IF(装备!I223="",0,"'"&amp;装备!I223&amp;"'")</f>
        <v>0</v>
      </c>
      <c r="H159">
        <f>IF(装备!R223="",0,装备!R223)</f>
        <v>0</v>
      </c>
      <c r="I159">
        <f>IF(装备!S223="",0,装备!S223)</f>
        <v>0</v>
      </c>
      <c r="J159">
        <f>IF(装备!C223="",0,""""&amp;装备!C223&amp;"""")</f>
        <v>0</v>
      </c>
      <c r="K159" t="str">
        <f>IF(装备!T223="","""""",""""&amp;装备!T223&amp;"""")</f>
        <v>""</v>
      </c>
      <c r="L159">
        <f>IF(装备!U223="",0,""""&amp;装备!U223&amp;"""")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IF(装备!B224="",0,"'"&amp;装备!B224&amp;"'")</f>
        <v>0</v>
      </c>
      <c r="B160">
        <f>装备!D160</f>
        <v>0</v>
      </c>
      <c r="C160">
        <f>装备!E224</f>
        <v>0</v>
      </c>
      <c r="D160">
        <f>装备!F224</f>
        <v>0</v>
      </c>
      <c r="E160">
        <f>IF(ISTEXT(装备!G224)=TRUE,"'"&amp;装备!G224&amp;"'",装备!G224)</f>
        <v>0</v>
      </c>
      <c r="F160">
        <f>IF(ISTEXT(装备!H224)=TRUE,"'"&amp;装备!H224&amp;"'",装备!H224)</f>
        <v>0</v>
      </c>
      <c r="G160">
        <f>IF(装备!I224="",0,"'"&amp;装备!I224&amp;"'")</f>
        <v>0</v>
      </c>
      <c r="H160">
        <f>IF(装备!R224="",0,装备!R224)</f>
        <v>0</v>
      </c>
      <c r="I160">
        <f>IF(装备!S224="",0,装备!S224)</f>
        <v>0</v>
      </c>
      <c r="J160">
        <f>IF(装备!C224="",0,""""&amp;装备!C224&amp;"""")</f>
        <v>0</v>
      </c>
      <c r="K160" t="str">
        <f>IF(装备!T224="","""""",""""&amp;装备!T224&amp;"""")</f>
        <v>""</v>
      </c>
      <c r="L160">
        <f>IF(装备!U224="",0,""""&amp;装备!U224&amp;"""")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IF(装备!B225="",0,"'"&amp;装备!B225&amp;"'")</f>
        <v>0</v>
      </c>
      <c r="B161">
        <f>装备!D161</f>
        <v>0</v>
      </c>
      <c r="C161">
        <f>装备!E225</f>
        <v>0</v>
      </c>
      <c r="D161">
        <f>装备!F225</f>
        <v>0</v>
      </c>
      <c r="E161">
        <f>IF(ISTEXT(装备!G225)=TRUE,"'"&amp;装备!G225&amp;"'",装备!G225)</f>
        <v>0</v>
      </c>
      <c r="F161">
        <f>IF(ISTEXT(装备!H225)=TRUE,"'"&amp;装备!H225&amp;"'",装备!H225)</f>
        <v>0</v>
      </c>
      <c r="G161">
        <f>IF(装备!I225="",0,"'"&amp;装备!I225&amp;"'")</f>
        <v>0</v>
      </c>
      <c r="H161">
        <f>IF(装备!R225="",0,装备!R225)</f>
        <v>0</v>
      </c>
      <c r="I161">
        <f>IF(装备!S225="",0,装备!S225)</f>
        <v>0</v>
      </c>
      <c r="J161">
        <f>IF(装备!C225="",0,""""&amp;装备!C225&amp;"""")</f>
        <v>0</v>
      </c>
      <c r="K161" t="str">
        <f>IF(装备!T225="","""""",""""&amp;装备!T225&amp;"""")</f>
        <v>""</v>
      </c>
      <c r="L161">
        <f>IF(装备!U225="",0,""""&amp;装备!U225&amp;"""")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IF(装备!B226="",0,"'"&amp;装备!B226&amp;"'")</f>
        <v>0</v>
      </c>
      <c r="B162">
        <f>装备!D162</f>
        <v>0</v>
      </c>
      <c r="C162">
        <f>装备!E226</f>
        <v>0</v>
      </c>
      <c r="D162">
        <f>装备!F226</f>
        <v>0</v>
      </c>
      <c r="E162">
        <f>IF(ISTEXT(装备!G226)=TRUE,"'"&amp;装备!G226&amp;"'",装备!G226)</f>
        <v>0</v>
      </c>
      <c r="F162">
        <f>IF(ISTEXT(装备!H226)=TRUE,"'"&amp;装备!H226&amp;"'",装备!H226)</f>
        <v>0</v>
      </c>
      <c r="G162">
        <f>IF(装备!I226="",0,"'"&amp;装备!I226&amp;"'")</f>
        <v>0</v>
      </c>
      <c r="H162">
        <f>IF(装备!R226="",0,装备!R226)</f>
        <v>0</v>
      </c>
      <c r="I162">
        <f>IF(装备!S226="",0,装备!S226)</f>
        <v>0</v>
      </c>
      <c r="J162">
        <f>IF(装备!C226="",0,""""&amp;装备!C226&amp;"""")</f>
        <v>0</v>
      </c>
      <c r="K162" t="str">
        <f>IF(装备!T226="","""""",""""&amp;装备!T226&amp;"""")</f>
        <v>""</v>
      </c>
      <c r="L162">
        <f>IF(装备!U226="",0,""""&amp;装备!U226&amp;"""")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IF(装备!B227="",0,"'"&amp;装备!B227&amp;"'")</f>
        <v>0</v>
      </c>
      <c r="B163">
        <f>装备!D163</f>
        <v>0</v>
      </c>
      <c r="C163">
        <f>装备!E227</f>
        <v>0</v>
      </c>
      <c r="D163">
        <f>装备!F227</f>
        <v>0</v>
      </c>
      <c r="E163">
        <f>IF(ISTEXT(装备!G227)=TRUE,"'"&amp;装备!G227&amp;"'",装备!G227)</f>
        <v>0</v>
      </c>
      <c r="F163">
        <f>IF(ISTEXT(装备!H227)=TRUE,"'"&amp;装备!H227&amp;"'",装备!H227)</f>
        <v>0</v>
      </c>
      <c r="G163">
        <f>IF(装备!I227="",0,"'"&amp;装备!I227&amp;"'")</f>
        <v>0</v>
      </c>
      <c r="H163">
        <f>IF(装备!R227="",0,装备!R227)</f>
        <v>0</v>
      </c>
      <c r="I163">
        <f>IF(装备!S227="",0,装备!S227)</f>
        <v>0</v>
      </c>
      <c r="J163">
        <f>IF(装备!C227="",0,""""&amp;装备!C227&amp;"""")</f>
        <v>0</v>
      </c>
      <c r="K163" t="str">
        <f>IF(装备!T227="","""""",""""&amp;装备!T227&amp;"""")</f>
        <v>""</v>
      </c>
      <c r="L163">
        <f>IF(装备!U227="",0,""""&amp;装备!U227&amp;"""")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IF(装备!B228="",0,"'"&amp;装备!B228&amp;"'")</f>
        <v>0</v>
      </c>
      <c r="B164">
        <f>装备!D164</f>
        <v>0</v>
      </c>
      <c r="C164">
        <f>装备!E228</f>
        <v>0</v>
      </c>
      <c r="D164">
        <f>装备!F228</f>
        <v>0</v>
      </c>
      <c r="E164">
        <f>IF(ISTEXT(装备!G228)=TRUE,"'"&amp;装备!G228&amp;"'",装备!G228)</f>
        <v>0</v>
      </c>
      <c r="F164">
        <f>IF(ISTEXT(装备!H228)=TRUE,"'"&amp;装备!H228&amp;"'",装备!H228)</f>
        <v>0</v>
      </c>
      <c r="G164">
        <f>IF(装备!I228="",0,"'"&amp;装备!I228&amp;"'")</f>
        <v>0</v>
      </c>
      <c r="H164">
        <f>IF(装备!R228="",0,装备!R228)</f>
        <v>0</v>
      </c>
      <c r="I164">
        <f>IF(装备!S228="",0,装备!S228)</f>
        <v>0</v>
      </c>
      <c r="J164">
        <f>IF(装备!C228="",0,""""&amp;装备!C228&amp;"""")</f>
        <v>0</v>
      </c>
      <c r="K164" t="str">
        <f>IF(装备!T228="","""""",""""&amp;装备!T228&amp;"""")</f>
        <v>""</v>
      </c>
      <c r="L164">
        <f>IF(装备!U228="",0,""""&amp;装备!U228&amp;"""")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IF(装备!B229="",0,"'"&amp;装备!B229&amp;"'")</f>
        <v>0</v>
      </c>
      <c r="B165">
        <f>装备!D165</f>
        <v>0</v>
      </c>
      <c r="C165">
        <f>装备!E229</f>
        <v>0</v>
      </c>
      <c r="D165">
        <f>装备!F229</f>
        <v>0</v>
      </c>
      <c r="E165">
        <f>IF(ISTEXT(装备!G229)=TRUE,"'"&amp;装备!G229&amp;"'",装备!G229)</f>
        <v>0</v>
      </c>
      <c r="F165">
        <f>IF(ISTEXT(装备!H229)=TRUE,"'"&amp;装备!H229&amp;"'",装备!H229)</f>
        <v>0</v>
      </c>
      <c r="G165">
        <f>IF(装备!I229="",0,"'"&amp;装备!I229&amp;"'")</f>
        <v>0</v>
      </c>
      <c r="H165">
        <f>IF(装备!R229="",0,装备!R229)</f>
        <v>0</v>
      </c>
      <c r="I165">
        <f>IF(装备!S229="",0,装备!S229)</f>
        <v>0</v>
      </c>
      <c r="J165">
        <f>IF(装备!C229="",0,""""&amp;装备!C229&amp;"""")</f>
        <v>0</v>
      </c>
      <c r="K165" t="str">
        <f>IF(装备!T229="","""""",""""&amp;装备!T229&amp;"""")</f>
        <v>""</v>
      </c>
      <c r="L165">
        <f>IF(装备!U229="",0,""""&amp;装备!U229&amp;"""")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IF(装备!B230="",0,"'"&amp;装备!B230&amp;"'")</f>
        <v>0</v>
      </c>
      <c r="B166">
        <f>装备!D166</f>
        <v>0</v>
      </c>
      <c r="C166">
        <f>装备!E230</f>
        <v>0</v>
      </c>
      <c r="D166">
        <f>装备!F230</f>
        <v>0</v>
      </c>
      <c r="E166">
        <f>IF(ISTEXT(装备!G230)=TRUE,"'"&amp;装备!G230&amp;"'",装备!G230)</f>
        <v>0</v>
      </c>
      <c r="F166">
        <f>IF(ISTEXT(装备!H230)=TRUE,"'"&amp;装备!H230&amp;"'",装备!H230)</f>
        <v>0</v>
      </c>
      <c r="G166">
        <f>IF(装备!I230="",0,"'"&amp;装备!I230&amp;"'")</f>
        <v>0</v>
      </c>
      <c r="H166">
        <f>IF(装备!R230="",0,装备!R230)</f>
        <v>0</v>
      </c>
      <c r="I166">
        <f>IF(装备!S230="",0,装备!S230)</f>
        <v>0</v>
      </c>
      <c r="J166">
        <f>IF(装备!C230="",0,""""&amp;装备!C230&amp;"""")</f>
        <v>0</v>
      </c>
      <c r="K166" t="str">
        <f>IF(装备!T230="","""""",""""&amp;装备!T230&amp;"""")</f>
        <v>""</v>
      </c>
      <c r="L166">
        <f>IF(装备!U230="",0,""""&amp;装备!U230&amp;"""")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IF(装备!B231="",0,"'"&amp;装备!B231&amp;"'")</f>
        <v>0</v>
      </c>
      <c r="B167">
        <f>装备!D167</f>
        <v>0</v>
      </c>
      <c r="C167">
        <f>装备!E231</f>
        <v>0</v>
      </c>
      <c r="D167">
        <f>装备!F231</f>
        <v>0</v>
      </c>
      <c r="E167">
        <f>IF(ISTEXT(装备!G231)=TRUE,"'"&amp;装备!G231&amp;"'",装备!G231)</f>
        <v>0</v>
      </c>
      <c r="F167">
        <f>IF(ISTEXT(装备!H231)=TRUE,"'"&amp;装备!H231&amp;"'",装备!H231)</f>
        <v>0</v>
      </c>
      <c r="G167">
        <f>IF(装备!I231="",0,"'"&amp;装备!I231&amp;"'")</f>
        <v>0</v>
      </c>
      <c r="H167">
        <f>IF(装备!R231="",0,装备!R231)</f>
        <v>0</v>
      </c>
      <c r="I167">
        <f>IF(装备!S231="",0,装备!S231)</f>
        <v>0</v>
      </c>
      <c r="J167">
        <f>IF(装备!C231="",0,""""&amp;装备!C231&amp;"""")</f>
        <v>0</v>
      </c>
      <c r="K167" t="str">
        <f>IF(装备!T231="","""""",""""&amp;装备!T231&amp;"""")</f>
        <v>""</v>
      </c>
      <c r="L167">
        <f>IF(装备!U231="",0,""""&amp;装备!U231&amp;"""")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IF(装备!B232="",0,"'"&amp;装备!B232&amp;"'")</f>
        <v>0</v>
      </c>
      <c r="B168">
        <f>装备!D168</f>
        <v>0</v>
      </c>
      <c r="C168">
        <f>装备!E232</f>
        <v>0</v>
      </c>
      <c r="D168">
        <f>装备!F232</f>
        <v>0</v>
      </c>
      <c r="E168">
        <f>IF(ISTEXT(装备!G232)=TRUE,"'"&amp;装备!G232&amp;"'",装备!G232)</f>
        <v>0</v>
      </c>
      <c r="F168">
        <f>IF(ISTEXT(装备!H232)=TRUE,"'"&amp;装备!H232&amp;"'",装备!H232)</f>
        <v>0</v>
      </c>
      <c r="G168">
        <f>IF(装备!I232="",0,"'"&amp;装备!I232&amp;"'")</f>
        <v>0</v>
      </c>
      <c r="H168">
        <f>IF(装备!R232="",0,装备!R232)</f>
        <v>0</v>
      </c>
      <c r="I168">
        <f>IF(装备!S232="",0,装备!S232)</f>
        <v>0</v>
      </c>
      <c r="J168">
        <f>IF(装备!C232="",0,""""&amp;装备!C232&amp;"""")</f>
        <v>0</v>
      </c>
      <c r="K168" t="str">
        <f>IF(装备!T232="","""""",""""&amp;装备!T232&amp;"""")</f>
        <v>""</v>
      </c>
      <c r="L168">
        <f>IF(装备!U232="",0,""""&amp;装备!U232&amp;"""")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IF(装备!B233="",0,"'"&amp;装备!B233&amp;"'")</f>
        <v>0</v>
      </c>
      <c r="B169">
        <f>装备!D169</f>
        <v>0</v>
      </c>
      <c r="C169">
        <f>装备!E233</f>
        <v>0</v>
      </c>
      <c r="D169">
        <f>装备!F233</f>
        <v>0</v>
      </c>
      <c r="E169">
        <f>IF(ISTEXT(装备!G233)=TRUE,"'"&amp;装备!G233&amp;"'",装备!G233)</f>
        <v>0</v>
      </c>
      <c r="F169">
        <f>IF(ISTEXT(装备!H233)=TRUE,"'"&amp;装备!H233&amp;"'",装备!H233)</f>
        <v>0</v>
      </c>
      <c r="G169">
        <f>IF(装备!I233="",0,"'"&amp;装备!I233&amp;"'")</f>
        <v>0</v>
      </c>
      <c r="H169">
        <f>IF(装备!R233="",0,装备!R233)</f>
        <v>0</v>
      </c>
      <c r="I169">
        <f>IF(装备!S233="",0,装备!S233)</f>
        <v>0</v>
      </c>
      <c r="J169">
        <f>IF(装备!C233="",0,""""&amp;装备!C233&amp;"""")</f>
        <v>0</v>
      </c>
      <c r="K169" t="str">
        <f>IF(装备!T233="","""""",""""&amp;装备!T233&amp;"""")</f>
        <v>""</v>
      </c>
      <c r="L169">
        <f>IF(装备!U233="",0,""""&amp;装备!U233&amp;"""")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IF(装备!B234="",0,"'"&amp;装备!B234&amp;"'")</f>
        <v>0</v>
      </c>
      <c r="B170">
        <f>装备!D170</f>
        <v>0</v>
      </c>
      <c r="C170">
        <f>装备!E234</f>
        <v>0</v>
      </c>
      <c r="D170">
        <f>装备!F234</f>
        <v>0</v>
      </c>
      <c r="E170">
        <f>IF(ISTEXT(装备!G234)=TRUE,"'"&amp;装备!G234&amp;"'",装备!G234)</f>
        <v>0</v>
      </c>
      <c r="F170">
        <f>IF(ISTEXT(装备!H234)=TRUE,"'"&amp;装备!H234&amp;"'",装备!H234)</f>
        <v>0</v>
      </c>
      <c r="G170">
        <f>IF(装备!I234="",0,"'"&amp;装备!I234&amp;"'")</f>
        <v>0</v>
      </c>
      <c r="H170">
        <f>IF(装备!R234="",0,装备!R234)</f>
        <v>0</v>
      </c>
      <c r="I170">
        <f>IF(装备!S234="",0,装备!S234)</f>
        <v>0</v>
      </c>
      <c r="J170">
        <f>IF(装备!C234="",0,""""&amp;装备!C234&amp;"""")</f>
        <v>0</v>
      </c>
      <c r="K170" t="str">
        <f>IF(装备!T234="","""""",""""&amp;装备!T234&amp;"""")</f>
        <v>""</v>
      </c>
      <c r="L170">
        <f>IF(装备!U234="",0,""""&amp;装备!U234&amp;"""")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IF(装备!B235="",0,"'"&amp;装备!B235&amp;"'")</f>
        <v>0</v>
      </c>
      <c r="B171">
        <f>装备!D171</f>
        <v>0</v>
      </c>
      <c r="C171">
        <f>装备!E235</f>
        <v>0</v>
      </c>
      <c r="D171">
        <f>装备!F235</f>
        <v>0</v>
      </c>
      <c r="E171">
        <f>IF(ISTEXT(装备!G235)=TRUE,"'"&amp;装备!G235&amp;"'",装备!G235)</f>
        <v>0</v>
      </c>
      <c r="F171">
        <f>IF(ISTEXT(装备!H235)=TRUE,"'"&amp;装备!H235&amp;"'",装备!H235)</f>
        <v>0</v>
      </c>
      <c r="G171">
        <f>IF(装备!I235="",0,"'"&amp;装备!I235&amp;"'")</f>
        <v>0</v>
      </c>
      <c r="H171">
        <f>IF(装备!R235="",0,装备!R235)</f>
        <v>0</v>
      </c>
      <c r="I171">
        <f>IF(装备!S235="",0,装备!S235)</f>
        <v>0</v>
      </c>
      <c r="J171">
        <f>IF(装备!C235="",0,""""&amp;装备!C235&amp;"""")</f>
        <v>0</v>
      </c>
      <c r="K171" t="str">
        <f>IF(装备!T235="","""""",""""&amp;装备!T235&amp;"""")</f>
        <v>""</v>
      </c>
      <c r="L171">
        <f>IF(装备!U235="",0,""""&amp;装备!U235&amp;"""")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IF(装备!B236="",0,"'"&amp;装备!B236&amp;"'")</f>
        <v>0</v>
      </c>
      <c r="B172">
        <f>装备!D172</f>
        <v>0</v>
      </c>
      <c r="C172">
        <f>装备!E236</f>
        <v>0</v>
      </c>
      <c r="D172">
        <f>装备!F236</f>
        <v>0</v>
      </c>
      <c r="E172">
        <f>IF(ISTEXT(装备!G236)=TRUE,"'"&amp;装备!G236&amp;"'",装备!G236)</f>
        <v>0</v>
      </c>
      <c r="F172">
        <f>IF(ISTEXT(装备!H236)=TRUE,"'"&amp;装备!H236&amp;"'",装备!H236)</f>
        <v>0</v>
      </c>
      <c r="G172">
        <f>IF(装备!I236="",0,"'"&amp;装备!I236&amp;"'")</f>
        <v>0</v>
      </c>
      <c r="H172">
        <f>IF(装备!R236="",0,装备!R236)</f>
        <v>0</v>
      </c>
      <c r="I172">
        <f>IF(装备!S236="",0,装备!S236)</f>
        <v>0</v>
      </c>
      <c r="J172">
        <f>IF(装备!C236="",0,""""&amp;装备!C236&amp;"""")</f>
        <v>0</v>
      </c>
      <c r="K172" t="str">
        <f>IF(装备!T236="","""""",""""&amp;装备!T236&amp;"""")</f>
        <v>""</v>
      </c>
      <c r="L172">
        <f>IF(装备!U236="",0,""""&amp;装备!U236&amp;"""")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IF(装备!B237="",0,"'"&amp;装备!B237&amp;"'")</f>
        <v>0</v>
      </c>
      <c r="B173">
        <f>装备!D173</f>
        <v>0</v>
      </c>
      <c r="C173">
        <f>装备!E237</f>
        <v>0</v>
      </c>
      <c r="D173">
        <f>装备!F237</f>
        <v>0</v>
      </c>
      <c r="E173">
        <f>IF(ISTEXT(装备!G237)=TRUE,"'"&amp;装备!G237&amp;"'",装备!G237)</f>
        <v>0</v>
      </c>
      <c r="F173">
        <f>IF(ISTEXT(装备!H237)=TRUE,"'"&amp;装备!H237&amp;"'",装备!H237)</f>
        <v>0</v>
      </c>
      <c r="G173">
        <f>IF(装备!I237="",0,"'"&amp;装备!I237&amp;"'")</f>
        <v>0</v>
      </c>
      <c r="H173">
        <f>IF(装备!R237="",0,装备!R237)</f>
        <v>0</v>
      </c>
      <c r="I173">
        <f>IF(装备!S237="",0,装备!S237)</f>
        <v>0</v>
      </c>
      <c r="J173">
        <f>IF(装备!C237="",0,""""&amp;装备!C237&amp;"""")</f>
        <v>0</v>
      </c>
      <c r="K173" t="str">
        <f>IF(装备!T237="","""""",""""&amp;装备!T237&amp;"""")</f>
        <v>""</v>
      </c>
      <c r="L173">
        <f>IF(装备!U237="",0,""""&amp;装备!U237&amp;"""")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IF(装备!B238="",0,"'"&amp;装备!B238&amp;"'")</f>
        <v>0</v>
      </c>
      <c r="B174">
        <f>装备!D174</f>
        <v>0</v>
      </c>
      <c r="C174">
        <f>装备!E238</f>
        <v>0</v>
      </c>
      <c r="D174">
        <f>装备!F238</f>
        <v>0</v>
      </c>
      <c r="E174">
        <f>IF(ISTEXT(装备!G238)=TRUE,"'"&amp;装备!G238&amp;"'",装备!G238)</f>
        <v>0</v>
      </c>
      <c r="F174">
        <f>IF(ISTEXT(装备!H238)=TRUE,"'"&amp;装备!H238&amp;"'",装备!H238)</f>
        <v>0</v>
      </c>
      <c r="G174">
        <f>IF(装备!I238="",0,"'"&amp;装备!I238&amp;"'")</f>
        <v>0</v>
      </c>
      <c r="H174">
        <f>IF(装备!R238="",0,装备!R238)</f>
        <v>0</v>
      </c>
      <c r="I174">
        <f>IF(装备!S238="",0,装备!S238)</f>
        <v>0</v>
      </c>
      <c r="J174">
        <f>IF(装备!C238="",0,""""&amp;装备!C238&amp;"""")</f>
        <v>0</v>
      </c>
      <c r="K174" t="str">
        <f>IF(装备!T238="","""""",""""&amp;装备!T238&amp;"""")</f>
        <v>""</v>
      </c>
      <c r="L174">
        <f>IF(装备!U238="",0,""""&amp;装备!U238&amp;"""")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IF(装备!B239="",0,"'"&amp;装备!B239&amp;"'")</f>
        <v>0</v>
      </c>
      <c r="B175">
        <f>装备!D175</f>
        <v>0</v>
      </c>
      <c r="C175">
        <f>装备!E239</f>
        <v>0</v>
      </c>
      <c r="D175">
        <f>装备!F239</f>
        <v>0</v>
      </c>
      <c r="E175">
        <f>IF(ISTEXT(装备!G239)=TRUE,"'"&amp;装备!G239&amp;"'",装备!G239)</f>
        <v>0</v>
      </c>
      <c r="F175">
        <f>IF(ISTEXT(装备!H239)=TRUE,"'"&amp;装备!H239&amp;"'",装备!H239)</f>
        <v>0</v>
      </c>
      <c r="G175">
        <f>IF(装备!I239="",0,"'"&amp;装备!I239&amp;"'")</f>
        <v>0</v>
      </c>
      <c r="H175">
        <f>IF(装备!R239="",0,装备!R239)</f>
        <v>0</v>
      </c>
      <c r="I175">
        <f>IF(装备!S239="",0,装备!S239)</f>
        <v>0</v>
      </c>
      <c r="J175">
        <f>IF(装备!C239="",0,""""&amp;装备!C239&amp;"""")</f>
        <v>0</v>
      </c>
      <c r="K175" t="str">
        <f>IF(装备!T239="","""""",""""&amp;装备!T239&amp;"""")</f>
        <v>""</v>
      </c>
      <c r="L175">
        <f>IF(装备!U239="",0,""""&amp;装备!U239&amp;"""")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IF(装备!B240="",0,"'"&amp;装备!B240&amp;"'")</f>
        <v>0</v>
      </c>
      <c r="B176">
        <f>装备!D176</f>
        <v>0</v>
      </c>
      <c r="C176">
        <f>装备!E240</f>
        <v>0</v>
      </c>
      <c r="D176">
        <f>装备!F240</f>
        <v>0</v>
      </c>
      <c r="E176">
        <f>IF(ISTEXT(装备!G240)=TRUE,"'"&amp;装备!G240&amp;"'",装备!G240)</f>
        <v>0</v>
      </c>
      <c r="F176">
        <f>IF(ISTEXT(装备!H240)=TRUE,"'"&amp;装备!H240&amp;"'",装备!H240)</f>
        <v>0</v>
      </c>
      <c r="G176">
        <f>IF(装备!I240="",0,"'"&amp;装备!I240&amp;"'")</f>
        <v>0</v>
      </c>
      <c r="H176">
        <f>IF(装备!R240="",0,装备!R240)</f>
        <v>0</v>
      </c>
      <c r="I176">
        <f>IF(装备!S240="",0,装备!S240)</f>
        <v>0</v>
      </c>
      <c r="J176">
        <f>IF(装备!C240="",0,""""&amp;装备!C240&amp;"""")</f>
        <v>0</v>
      </c>
      <c r="K176" t="str">
        <f>IF(装备!T240="","""""",""""&amp;装备!T240&amp;"""")</f>
        <v>""</v>
      </c>
      <c r="L176">
        <f>IF(装备!U240="",0,""""&amp;装备!U240&amp;"""")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IF(装备!B241="",0,"'"&amp;装备!B241&amp;"'")</f>
        <v>0</v>
      </c>
      <c r="B177">
        <f>装备!D177</f>
        <v>0</v>
      </c>
      <c r="C177">
        <f>装备!E241</f>
        <v>0</v>
      </c>
      <c r="D177">
        <f>装备!F241</f>
        <v>0</v>
      </c>
      <c r="E177">
        <f>IF(ISTEXT(装备!G241)=TRUE,"'"&amp;装备!G241&amp;"'",装备!G241)</f>
        <v>0</v>
      </c>
      <c r="F177">
        <f>IF(ISTEXT(装备!H241)=TRUE,"'"&amp;装备!H241&amp;"'",装备!H241)</f>
        <v>0</v>
      </c>
      <c r="G177">
        <f>IF(装备!I241="",0,"'"&amp;装备!I241&amp;"'")</f>
        <v>0</v>
      </c>
      <c r="H177">
        <f>IF(装备!R241="",0,装备!R241)</f>
        <v>0</v>
      </c>
      <c r="I177">
        <f>IF(装备!S241="",0,装备!S241)</f>
        <v>0</v>
      </c>
      <c r="J177">
        <f>IF(装备!C241="",0,""""&amp;装备!C241&amp;"""")</f>
        <v>0</v>
      </c>
      <c r="K177" t="str">
        <f>IF(装备!T241="","""""",""""&amp;装备!T241&amp;"""")</f>
        <v>""</v>
      </c>
      <c r="L177">
        <f>IF(装备!U241="",0,""""&amp;装备!U241&amp;"""")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IF(装备!B242="",0,"'"&amp;装备!B242&amp;"'")</f>
        <v>0</v>
      </c>
      <c r="B178">
        <f>装备!D178</f>
        <v>0</v>
      </c>
      <c r="C178">
        <f>装备!E242</f>
        <v>0</v>
      </c>
      <c r="D178">
        <f>装备!F242</f>
        <v>0</v>
      </c>
      <c r="E178">
        <f>IF(ISTEXT(装备!G242)=TRUE,"'"&amp;装备!G242&amp;"'",装备!G242)</f>
        <v>0</v>
      </c>
      <c r="F178">
        <f>IF(ISTEXT(装备!H242)=TRUE,"'"&amp;装备!H242&amp;"'",装备!H242)</f>
        <v>0</v>
      </c>
      <c r="G178">
        <f>IF(装备!I242="",0,"'"&amp;装备!I242&amp;"'")</f>
        <v>0</v>
      </c>
      <c r="H178">
        <f>IF(装备!R242="",0,装备!R242)</f>
        <v>0</v>
      </c>
      <c r="I178">
        <f>IF(装备!S242="",0,装备!S242)</f>
        <v>0</v>
      </c>
      <c r="J178">
        <f>IF(装备!C242="",0,""""&amp;装备!C242&amp;"""")</f>
        <v>0</v>
      </c>
      <c r="K178" t="str">
        <f>IF(装备!T242="","""""",""""&amp;装备!T242&amp;"""")</f>
        <v>""</v>
      </c>
      <c r="L178">
        <f>IF(装备!U242="",0,""""&amp;装备!U242&amp;"""")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IF(装备!B243="",0,"'"&amp;装备!B243&amp;"'")</f>
        <v>0</v>
      </c>
      <c r="B179">
        <f>装备!D179</f>
        <v>0</v>
      </c>
      <c r="C179">
        <f>装备!E243</f>
        <v>0</v>
      </c>
      <c r="D179">
        <f>装备!F243</f>
        <v>0</v>
      </c>
      <c r="E179">
        <f>IF(ISTEXT(装备!G243)=TRUE,"'"&amp;装备!G243&amp;"'",装备!G243)</f>
        <v>0</v>
      </c>
      <c r="F179">
        <f>IF(ISTEXT(装备!H243)=TRUE,"'"&amp;装备!H243&amp;"'",装备!H243)</f>
        <v>0</v>
      </c>
      <c r="G179">
        <f>IF(装备!I243="",0,"'"&amp;装备!I243&amp;"'")</f>
        <v>0</v>
      </c>
      <c r="H179">
        <f>IF(装备!R243="",0,装备!R243)</f>
        <v>0</v>
      </c>
      <c r="I179">
        <f>IF(装备!S243="",0,装备!S243)</f>
        <v>0</v>
      </c>
      <c r="J179">
        <f>IF(装备!C243="",0,""""&amp;装备!C243&amp;"""")</f>
        <v>0</v>
      </c>
      <c r="K179" t="str">
        <f>IF(装备!T243="","""""",""""&amp;装备!T243&amp;"""")</f>
        <v>""</v>
      </c>
      <c r="L179">
        <f>IF(装备!U243="",0,""""&amp;装备!U243&amp;"""")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IF(装备!B244="",0,"'"&amp;装备!B244&amp;"'")</f>
        <v>0</v>
      </c>
      <c r="B180">
        <f>装备!D180</f>
        <v>0</v>
      </c>
      <c r="C180">
        <f>装备!E244</f>
        <v>0</v>
      </c>
      <c r="D180">
        <f>装备!F244</f>
        <v>0</v>
      </c>
      <c r="E180">
        <f>IF(ISTEXT(装备!G244)=TRUE,"'"&amp;装备!G244&amp;"'",装备!G244)</f>
        <v>0</v>
      </c>
      <c r="F180">
        <f>IF(ISTEXT(装备!H244)=TRUE,"'"&amp;装备!H244&amp;"'",装备!H244)</f>
        <v>0</v>
      </c>
      <c r="G180">
        <f>IF(装备!I244="",0,"'"&amp;装备!I244&amp;"'")</f>
        <v>0</v>
      </c>
      <c r="H180">
        <f>IF(装备!R244="",0,装备!R244)</f>
        <v>0</v>
      </c>
      <c r="I180">
        <f>IF(装备!S244="",0,装备!S244)</f>
        <v>0</v>
      </c>
      <c r="J180">
        <f>IF(装备!C244="",0,""""&amp;装备!C244&amp;"""")</f>
        <v>0</v>
      </c>
      <c r="K180" t="str">
        <f>IF(装备!T244="","""""",""""&amp;装备!T244&amp;"""")</f>
        <v>""</v>
      </c>
      <c r="L180">
        <f>IF(装备!U244="",0,""""&amp;装备!U244&amp;"""")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IF(装备!B245="",0,"'"&amp;装备!B245&amp;"'")</f>
        <v>0</v>
      </c>
      <c r="B181">
        <f>装备!D181</f>
        <v>0</v>
      </c>
      <c r="C181">
        <f>装备!E245</f>
        <v>0</v>
      </c>
      <c r="D181">
        <f>装备!F245</f>
        <v>0</v>
      </c>
      <c r="E181">
        <f>IF(ISTEXT(装备!G245)=TRUE,"'"&amp;装备!G245&amp;"'",装备!G245)</f>
        <v>0</v>
      </c>
      <c r="F181">
        <f>IF(ISTEXT(装备!H245)=TRUE,"'"&amp;装备!H245&amp;"'",装备!H245)</f>
        <v>0</v>
      </c>
      <c r="G181">
        <f>IF(装备!I245="",0,"'"&amp;装备!I245&amp;"'")</f>
        <v>0</v>
      </c>
      <c r="H181">
        <f>IF(装备!R245="",0,装备!R245)</f>
        <v>0</v>
      </c>
      <c r="I181">
        <f>IF(装备!S245="",0,装备!S245)</f>
        <v>0</v>
      </c>
      <c r="J181">
        <f>IF(装备!C245="",0,""""&amp;装备!C245&amp;"""")</f>
        <v>0</v>
      </c>
      <c r="K181" t="str">
        <f>IF(装备!T245="","""""",""""&amp;装备!T245&amp;"""")</f>
        <v>""</v>
      </c>
      <c r="L181">
        <f>IF(装备!U245="",0,""""&amp;装备!U245&amp;"""")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IF(装备!B246="",0,"'"&amp;装备!B246&amp;"'")</f>
        <v>0</v>
      </c>
      <c r="B182">
        <f>装备!D182</f>
        <v>0</v>
      </c>
      <c r="C182">
        <f>装备!E246</f>
        <v>0</v>
      </c>
      <c r="D182">
        <f>装备!F246</f>
        <v>0</v>
      </c>
      <c r="E182">
        <f>IF(ISTEXT(装备!G246)=TRUE,"'"&amp;装备!G246&amp;"'",装备!G246)</f>
        <v>0</v>
      </c>
      <c r="F182">
        <f>IF(ISTEXT(装备!H246)=TRUE,"'"&amp;装备!H246&amp;"'",装备!H246)</f>
        <v>0</v>
      </c>
      <c r="G182">
        <f>IF(装备!I246="",0,"'"&amp;装备!I246&amp;"'")</f>
        <v>0</v>
      </c>
      <c r="H182">
        <f>IF(装备!R246="",0,装备!R246)</f>
        <v>0</v>
      </c>
      <c r="I182">
        <f>IF(装备!S246="",0,装备!S246)</f>
        <v>0</v>
      </c>
      <c r="J182">
        <f>IF(装备!C246="",0,""""&amp;装备!C246&amp;"""")</f>
        <v>0</v>
      </c>
      <c r="K182" t="str">
        <f>IF(装备!T246="","""""",""""&amp;装备!T246&amp;"""")</f>
        <v>""</v>
      </c>
      <c r="L182">
        <f>IF(装备!U246="",0,""""&amp;装备!U246&amp;"""")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IF(装备!B247="",0,"'"&amp;装备!B247&amp;"'")</f>
        <v>0</v>
      </c>
      <c r="B183">
        <f>装备!D183</f>
        <v>0</v>
      </c>
      <c r="C183">
        <f>装备!E247</f>
        <v>0</v>
      </c>
      <c r="D183">
        <f>装备!F247</f>
        <v>0</v>
      </c>
      <c r="E183">
        <f>IF(ISTEXT(装备!G247)=TRUE,"'"&amp;装备!G247&amp;"'",装备!G247)</f>
        <v>0</v>
      </c>
      <c r="F183">
        <f>IF(ISTEXT(装备!H247)=TRUE,"'"&amp;装备!H247&amp;"'",装备!H247)</f>
        <v>0</v>
      </c>
      <c r="G183">
        <f>IF(装备!I247="",0,"'"&amp;装备!I247&amp;"'")</f>
        <v>0</v>
      </c>
      <c r="H183">
        <f>IF(装备!R247="",0,装备!R247)</f>
        <v>0</v>
      </c>
      <c r="I183">
        <f>IF(装备!S247="",0,装备!S247)</f>
        <v>0</v>
      </c>
      <c r="J183">
        <f>IF(装备!C247="",0,""""&amp;装备!C247&amp;"""")</f>
        <v>0</v>
      </c>
      <c r="K183" t="str">
        <f>IF(装备!T247="","""""",""""&amp;装备!T247&amp;"""")</f>
        <v>""</v>
      </c>
      <c r="L183">
        <f>IF(装备!U247="",0,""""&amp;装备!U247&amp;"""")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IF(装备!B248="",0,"'"&amp;装备!B248&amp;"'")</f>
        <v>0</v>
      </c>
      <c r="B184">
        <f>装备!D184</f>
        <v>0</v>
      </c>
      <c r="C184">
        <f>装备!E248</f>
        <v>0</v>
      </c>
      <c r="D184">
        <f>装备!F248</f>
        <v>0</v>
      </c>
      <c r="E184">
        <f>IF(ISTEXT(装备!G248)=TRUE,"'"&amp;装备!G248&amp;"'",装备!G248)</f>
        <v>0</v>
      </c>
      <c r="F184">
        <f>IF(ISTEXT(装备!H248)=TRUE,"'"&amp;装备!H248&amp;"'",装备!H248)</f>
        <v>0</v>
      </c>
      <c r="G184">
        <f>IF(装备!I248="",0,"'"&amp;装备!I248&amp;"'")</f>
        <v>0</v>
      </c>
      <c r="H184">
        <f>IF(装备!R248="",0,装备!R248)</f>
        <v>0</v>
      </c>
      <c r="I184">
        <f>IF(装备!S248="",0,装备!S248)</f>
        <v>0</v>
      </c>
      <c r="J184">
        <f>IF(装备!C248="",0,""""&amp;装备!C248&amp;"""")</f>
        <v>0</v>
      </c>
      <c r="K184" t="str">
        <f>IF(装备!T248="","""""",""""&amp;装备!T248&amp;"""")</f>
        <v>""</v>
      </c>
      <c r="L184">
        <f>IF(装备!U248="",0,""""&amp;装备!U248&amp;"""")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IF(装备!B258="",0,"'"&amp;装备!B258&amp;"'")</f>
        <v>0</v>
      </c>
      <c r="B185">
        <f>装备!D185</f>
        <v>0</v>
      </c>
      <c r="C185">
        <f>装备!E258</f>
        <v>0</v>
      </c>
      <c r="D185">
        <f>装备!F258</f>
        <v>0</v>
      </c>
      <c r="E185">
        <f>IF(ISTEXT(装备!G249)=TRUE,"'"&amp;装备!G249&amp;"'",装备!G249)</f>
        <v>0</v>
      </c>
      <c r="F185">
        <f>IF(ISTEXT(装备!H249)=TRUE,"'"&amp;装备!H249&amp;"'",装备!H249)</f>
        <v>0</v>
      </c>
      <c r="G185">
        <f>IF(装备!I258="",0,"'"&amp;装备!I258&amp;"'")</f>
        <v>0</v>
      </c>
      <c r="H185">
        <f>IF(装备!R249="",0,装备!R249)</f>
        <v>0</v>
      </c>
      <c r="I185">
        <f>IF(装备!S249="",0,装备!S249)</f>
        <v>0</v>
      </c>
      <c r="J185">
        <f>IF(装备!C258="",0,""""&amp;装备!C258&amp;"""")</f>
        <v>0</v>
      </c>
      <c r="K185" t="str">
        <f>IF(装备!T258="","""""",""""&amp;装备!T258&amp;"""")</f>
        <v>""</v>
      </c>
      <c r="L185">
        <f>IF(装备!U258="",0,""""&amp;装备!U258&amp;"""")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IF(装备!B259="",0,"'"&amp;装备!B259&amp;"'")</f>
        <v>0</v>
      </c>
      <c r="B186">
        <f>装备!D186</f>
        <v>0</v>
      </c>
      <c r="C186">
        <f>装备!E259</f>
        <v>0</v>
      </c>
      <c r="D186">
        <f>装备!F259</f>
        <v>0</v>
      </c>
      <c r="E186">
        <f>IF(ISTEXT(装备!G250)=TRUE,"'"&amp;装备!G250&amp;"'",装备!G250)</f>
        <v>0</v>
      </c>
      <c r="F186">
        <f>IF(ISTEXT(装备!H250)=TRUE,"'"&amp;装备!H250&amp;"'",装备!H250)</f>
        <v>0</v>
      </c>
      <c r="G186">
        <f>IF(装备!I259="",0,"'"&amp;装备!I259&amp;"'")</f>
        <v>0</v>
      </c>
      <c r="H186">
        <f>IF(装备!R250="",0,装备!R250)</f>
        <v>0</v>
      </c>
      <c r="I186">
        <f>IF(装备!S250="",0,装备!S250)</f>
        <v>0</v>
      </c>
      <c r="J186">
        <f>IF(装备!C259="",0,""""&amp;装备!C259&amp;"""")</f>
        <v>0</v>
      </c>
      <c r="K186" t="str">
        <f>IF(装备!T259="","""""",""""&amp;装备!T259&amp;"""")</f>
        <v>""</v>
      </c>
      <c r="L186">
        <f>IF(装备!U259="",0,""""&amp;装备!U259&amp;"""")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IF(装备!B260="",0,"'"&amp;装备!B260&amp;"'")</f>
        <v>0</v>
      </c>
      <c r="B187">
        <f>装备!D187</f>
        <v>0</v>
      </c>
      <c r="C187">
        <f>装备!E260</f>
        <v>0</v>
      </c>
      <c r="D187">
        <f>装备!F260</f>
        <v>0</v>
      </c>
      <c r="E187">
        <f>IF(ISTEXT(装备!G251)=TRUE,"'"&amp;装备!G251&amp;"'",装备!G251)</f>
        <v>0</v>
      </c>
      <c r="F187">
        <f>IF(ISTEXT(装备!H251)=TRUE,"'"&amp;装备!H251&amp;"'",装备!H251)</f>
        <v>0</v>
      </c>
      <c r="G187">
        <f>IF(装备!I260="",0,"'"&amp;装备!I260&amp;"'")</f>
        <v>0</v>
      </c>
      <c r="H187">
        <f>IF(装备!R251="",0,装备!R251)</f>
        <v>0</v>
      </c>
      <c r="I187">
        <f>IF(装备!S251="",0,装备!S251)</f>
        <v>0</v>
      </c>
      <c r="J187">
        <f>IF(装备!C260="",0,""""&amp;装备!C260&amp;"""")</f>
        <v>0</v>
      </c>
      <c r="K187" t="str">
        <f>IF(装备!T260="","""""",""""&amp;装备!T260&amp;"""")</f>
        <v>""</v>
      </c>
      <c r="L187">
        <f>IF(装备!U260="",0,""""&amp;装备!U260&amp;"""")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IF(装备!B261="",0,"'"&amp;装备!B261&amp;"'")</f>
        <v>0</v>
      </c>
      <c r="B188">
        <f>装备!D188</f>
        <v>0</v>
      </c>
      <c r="C188">
        <f>装备!E261</f>
        <v>0</v>
      </c>
      <c r="D188">
        <f>装备!F261</f>
        <v>0</v>
      </c>
      <c r="E188">
        <f>IF(ISTEXT(装备!G252)=TRUE,"'"&amp;装备!G252&amp;"'",装备!G252)</f>
        <v>0</v>
      </c>
      <c r="F188">
        <f>IF(ISTEXT(装备!H252)=TRUE,"'"&amp;装备!H252&amp;"'",装备!H252)</f>
        <v>0</v>
      </c>
      <c r="G188">
        <f>IF(装备!I261="",0,"'"&amp;装备!I261&amp;"'")</f>
        <v>0</v>
      </c>
      <c r="H188">
        <f>IF(装备!R252="",0,装备!R252)</f>
        <v>0</v>
      </c>
      <c r="I188">
        <f>IF(装备!S252="",0,装备!S252)</f>
        <v>0</v>
      </c>
      <c r="J188">
        <f>IF(装备!C261="",0,""""&amp;装备!C261&amp;"""")</f>
        <v>0</v>
      </c>
      <c r="K188" t="str">
        <f>IF(装备!T261="","""""",""""&amp;装备!T261&amp;"""")</f>
        <v>""</v>
      </c>
      <c r="L188">
        <f>IF(装备!U261="",0,""""&amp;装备!U261&amp;"""")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IF(装备!B262="",0,"'"&amp;装备!B262&amp;"'")</f>
        <v>0</v>
      </c>
      <c r="B189">
        <f>装备!D189</f>
        <v>0</v>
      </c>
      <c r="C189">
        <f>装备!E262</f>
        <v>0</v>
      </c>
      <c r="D189">
        <f>装备!F262</f>
        <v>0</v>
      </c>
      <c r="E189">
        <f>IF(ISTEXT(装备!G253)=TRUE,"'"&amp;装备!G253&amp;"'",装备!G253)</f>
        <v>0</v>
      </c>
      <c r="F189">
        <f>IF(ISTEXT(装备!H253)=TRUE,"'"&amp;装备!H253&amp;"'",装备!H253)</f>
        <v>0</v>
      </c>
      <c r="G189">
        <f>IF(装备!I262="",0,"'"&amp;装备!I262&amp;"'")</f>
        <v>0</v>
      </c>
      <c r="H189">
        <f>IF(装备!R253="",0,装备!R253)</f>
        <v>0</v>
      </c>
      <c r="I189">
        <f>IF(装备!S253="",0,装备!S253)</f>
        <v>0</v>
      </c>
      <c r="J189">
        <f>IF(装备!C262="",0,""""&amp;装备!C262&amp;"""")</f>
        <v>0</v>
      </c>
      <c r="K189" t="str">
        <f>IF(装备!T262="","""""",""""&amp;装备!T262&amp;"""")</f>
        <v>""</v>
      </c>
      <c r="L189">
        <f>IF(装备!U262="",0,""""&amp;装备!U262&amp;"""")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IF(装备!B263="",0,"'"&amp;装备!B263&amp;"'")</f>
        <v>0</v>
      </c>
      <c r="B190">
        <f>装备!D190</f>
        <v>0</v>
      </c>
      <c r="C190">
        <f>装备!E263</f>
        <v>0</v>
      </c>
      <c r="D190">
        <f>装备!F263</f>
        <v>0</v>
      </c>
      <c r="E190">
        <f>IF(ISTEXT(装备!G254)=TRUE,"'"&amp;装备!G254&amp;"'",装备!G254)</f>
        <v>0</v>
      </c>
      <c r="F190">
        <f>IF(ISTEXT(装备!H254)=TRUE,"'"&amp;装备!H254&amp;"'",装备!H254)</f>
        <v>0</v>
      </c>
      <c r="G190">
        <f>IF(装备!I263="",0,"'"&amp;装备!I263&amp;"'")</f>
        <v>0</v>
      </c>
      <c r="H190">
        <f>IF(装备!R254="",0,装备!R254)</f>
        <v>0</v>
      </c>
      <c r="I190">
        <f>IF(装备!S254="",0,装备!S254)</f>
        <v>0</v>
      </c>
      <c r="J190">
        <f>IF(装备!C263="",0,""""&amp;装备!C263&amp;"""")</f>
        <v>0</v>
      </c>
      <c r="K190" t="str">
        <f>IF(装备!T263="","""""",""""&amp;装备!T263&amp;"""")</f>
        <v>""</v>
      </c>
      <c r="L190">
        <f>IF(装备!U263="",0,""""&amp;装备!U263&amp;"""")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IF(装备!B264="",0,"'"&amp;装备!B264&amp;"'")</f>
        <v>0</v>
      </c>
      <c r="B191">
        <f>装备!D191</f>
        <v>0</v>
      </c>
      <c r="C191">
        <f>装备!E264</f>
        <v>0</v>
      </c>
      <c r="D191">
        <f>装备!F264</f>
        <v>0</v>
      </c>
      <c r="E191">
        <f>IF(ISTEXT(装备!G255)=TRUE,"'"&amp;装备!G255&amp;"'",装备!G255)</f>
        <v>0</v>
      </c>
      <c r="F191">
        <f>IF(ISTEXT(装备!H255)=TRUE,"'"&amp;装备!H255&amp;"'",装备!H255)</f>
        <v>0</v>
      </c>
      <c r="G191">
        <f>IF(装备!I264="",0,"'"&amp;装备!I264&amp;"'")</f>
        <v>0</v>
      </c>
      <c r="H191">
        <f>IF(装备!R255="",0,装备!R255)</f>
        <v>0</v>
      </c>
      <c r="I191">
        <f>IF(装备!S255="",0,装备!S255)</f>
        <v>0</v>
      </c>
      <c r="J191">
        <f>IF(装备!C264="",0,""""&amp;装备!C264&amp;"""")</f>
        <v>0</v>
      </c>
      <c r="K191" t="str">
        <f>IF(装备!T264="","""""",""""&amp;装备!T264&amp;"""")</f>
        <v>""</v>
      </c>
      <c r="L191">
        <f>IF(装备!U264="",0,""""&amp;装备!U264&amp;"""")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IF(装备!B265="",0,"'"&amp;装备!B265&amp;"'")</f>
        <v>0</v>
      </c>
      <c r="B192">
        <f>装备!D192</f>
        <v>0</v>
      </c>
      <c r="C192">
        <f>装备!E265</f>
        <v>0</v>
      </c>
      <c r="D192">
        <f>装备!F265</f>
        <v>0</v>
      </c>
      <c r="E192">
        <f>IF(ISTEXT(装备!G256)=TRUE,"'"&amp;装备!G256&amp;"'",装备!G256)</f>
        <v>0</v>
      </c>
      <c r="F192">
        <f>IF(ISTEXT(装备!H256)=TRUE,"'"&amp;装备!H256&amp;"'",装备!H256)</f>
        <v>0</v>
      </c>
      <c r="G192">
        <f>IF(装备!I265="",0,"'"&amp;装备!I265&amp;"'")</f>
        <v>0</v>
      </c>
      <c r="H192">
        <f>IF(装备!R256="",0,装备!R256)</f>
        <v>0</v>
      </c>
      <c r="I192">
        <f>IF(装备!S256="",0,装备!S256)</f>
        <v>0</v>
      </c>
      <c r="J192">
        <f>IF(装备!C265="",0,""""&amp;装备!C265&amp;"""")</f>
        <v>0</v>
      </c>
      <c r="K192" t="str">
        <f>IF(装备!T265="","""""",""""&amp;装备!T265&amp;"""")</f>
        <v>""</v>
      </c>
      <c r="L192">
        <f>IF(装备!U265="",0,""""&amp;装备!U265&amp;"""")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IF(装备!B266="",0,"'"&amp;装备!B266&amp;"'")</f>
        <v>0</v>
      </c>
      <c r="B193">
        <f>装备!D193</f>
        <v>0</v>
      </c>
      <c r="C193">
        <f>装备!E266</f>
        <v>0</v>
      </c>
      <c r="D193">
        <f>装备!F266</f>
        <v>0</v>
      </c>
      <c r="E193">
        <f>IF(ISTEXT(装备!G257)=TRUE,"'"&amp;装备!G257&amp;"'",装备!G257)</f>
        <v>0</v>
      </c>
      <c r="F193">
        <f>IF(ISTEXT(装备!H257)=TRUE,"'"&amp;装备!H257&amp;"'",装备!H257)</f>
        <v>0</v>
      </c>
      <c r="G193">
        <f>IF(装备!I266="",0,"'"&amp;装备!I266&amp;"'")</f>
        <v>0</v>
      </c>
      <c r="H193">
        <f>IF(装备!R257="",0,装备!R257)</f>
        <v>0</v>
      </c>
      <c r="I193">
        <f>IF(装备!S257="",0,装备!S257)</f>
        <v>0</v>
      </c>
      <c r="J193">
        <f>IF(装备!C266="",0,""""&amp;装备!C266&amp;"""")</f>
        <v>0</v>
      </c>
      <c r="K193" t="str">
        <f>IF(装备!T266="","""""",""""&amp;装备!T266&amp;"""")</f>
        <v>""</v>
      </c>
      <c r="L193">
        <f>IF(装备!U266="",0,""""&amp;装备!U266&amp;"""")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IF(装备!B267="",0,"'"&amp;装备!B267&amp;"'")</f>
        <v>0</v>
      </c>
      <c r="B194">
        <f>装备!D194</f>
        <v>0</v>
      </c>
      <c r="C194">
        <f>装备!E267</f>
        <v>0</v>
      </c>
      <c r="D194">
        <f>装备!F267</f>
        <v>0</v>
      </c>
      <c r="E194">
        <f>IF(ISTEXT(装备!G258)=TRUE,"'"&amp;装备!G258&amp;"'",装备!G258)</f>
        <v>0</v>
      </c>
      <c r="F194">
        <f>IF(ISTEXT(装备!H258)=TRUE,"'"&amp;装备!H258&amp;"'",装备!H258)</f>
        <v>0</v>
      </c>
      <c r="G194">
        <f>IF(装备!I267="",0,"'"&amp;装备!I267&amp;"'")</f>
        <v>0</v>
      </c>
      <c r="H194">
        <f>IF(装备!R258="",0,装备!R258)</f>
        <v>0</v>
      </c>
      <c r="I194">
        <f>IF(装备!S258="",0,装备!S258)</f>
        <v>0</v>
      </c>
      <c r="J194">
        <f>IF(装备!C267="",0,""""&amp;装备!C267&amp;"""")</f>
        <v>0</v>
      </c>
      <c r="K194" t="str">
        <f>IF(装备!T267="","""""",""""&amp;装备!T267&amp;"""")</f>
        <v>""</v>
      </c>
      <c r="L194">
        <f>IF(装备!U267="",0,""""&amp;装备!U267&amp;"""")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IF(装备!B268="",0,"'"&amp;装备!B268&amp;"'")</f>
        <v>0</v>
      </c>
      <c r="B195">
        <f>装备!D195</f>
        <v>0</v>
      </c>
      <c r="C195">
        <f>装备!E268</f>
        <v>0</v>
      </c>
      <c r="D195">
        <f>装备!F268</f>
        <v>0</v>
      </c>
      <c r="E195">
        <f>IF(ISTEXT(装备!G259)=TRUE,"'"&amp;装备!G259&amp;"'",装备!G259)</f>
        <v>0</v>
      </c>
      <c r="F195">
        <f>IF(ISTEXT(装备!H259)=TRUE,"'"&amp;装备!H259&amp;"'",装备!H259)</f>
        <v>0</v>
      </c>
      <c r="G195">
        <f>IF(装备!I268="",0,"'"&amp;装备!I268&amp;"'")</f>
        <v>0</v>
      </c>
      <c r="H195">
        <f>IF(装备!R259="",0,装备!R259)</f>
        <v>0</v>
      </c>
      <c r="I195">
        <f>IF(装备!S259="",0,装备!S259)</f>
        <v>0</v>
      </c>
      <c r="J195">
        <f>IF(装备!C268="",0,""""&amp;装备!C268&amp;"""")</f>
        <v>0</v>
      </c>
      <c r="K195" t="str">
        <f>IF(装备!T268="","""""",""""&amp;装备!T268&amp;"""")</f>
        <v>""</v>
      </c>
      <c r="L195">
        <f>IF(装备!U268="",0,""""&amp;装备!U268&amp;"""")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IF(装备!B269="",0,"'"&amp;装备!B269&amp;"'")</f>
        <v>0</v>
      </c>
      <c r="B196">
        <f>装备!D196</f>
        <v>0</v>
      </c>
      <c r="C196">
        <f>装备!E269</f>
        <v>0</v>
      </c>
      <c r="D196">
        <f>装备!F269</f>
        <v>0</v>
      </c>
      <c r="E196">
        <f>IF(ISTEXT(装备!G260)=TRUE,"'"&amp;装备!G260&amp;"'",装备!G260)</f>
        <v>0</v>
      </c>
      <c r="F196">
        <f>IF(ISTEXT(装备!H260)=TRUE,"'"&amp;装备!H260&amp;"'",装备!H260)</f>
        <v>0</v>
      </c>
      <c r="G196">
        <f>IF(装备!I269="",0,"'"&amp;装备!I269&amp;"'")</f>
        <v>0</v>
      </c>
      <c r="H196">
        <f>IF(装备!R260="",0,装备!R260)</f>
        <v>0</v>
      </c>
      <c r="I196">
        <f>IF(装备!S260="",0,装备!S260)</f>
        <v>0</v>
      </c>
      <c r="J196">
        <f>IF(装备!C269="",0,""""&amp;装备!C269&amp;"""")</f>
        <v>0</v>
      </c>
      <c r="K196" t="str">
        <f>IF(装备!T269="","""""",""""&amp;装备!T269&amp;"""")</f>
        <v>""</v>
      </c>
      <c r="L196">
        <f>IF(装备!U269="",0,""""&amp;装备!U269&amp;"""")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IF(装备!B270="",0,"'"&amp;装备!B270&amp;"'")</f>
        <v>0</v>
      </c>
      <c r="B197">
        <f>装备!D197</f>
        <v>0</v>
      </c>
      <c r="C197">
        <f>装备!E270</f>
        <v>0</v>
      </c>
      <c r="D197">
        <f>装备!F270</f>
        <v>0</v>
      </c>
      <c r="E197">
        <f>IF(ISTEXT(装备!G261)=TRUE,"'"&amp;装备!G261&amp;"'",装备!G261)</f>
        <v>0</v>
      </c>
      <c r="F197">
        <f>IF(ISTEXT(装备!H261)=TRUE,"'"&amp;装备!H261&amp;"'",装备!H261)</f>
        <v>0</v>
      </c>
      <c r="G197">
        <f>IF(装备!I270="",0,"'"&amp;装备!I270&amp;"'")</f>
        <v>0</v>
      </c>
      <c r="H197">
        <f>IF(装备!R261="",0,装备!R261)</f>
        <v>0</v>
      </c>
      <c r="I197">
        <f>IF(装备!S261="",0,装备!S261)</f>
        <v>0</v>
      </c>
      <c r="J197">
        <f>IF(装备!C270="",0,""""&amp;装备!C270&amp;"""")</f>
        <v>0</v>
      </c>
      <c r="K197" t="str">
        <f>IF(装备!T270="","""""",""""&amp;装备!T270&amp;"""")</f>
        <v>""</v>
      </c>
      <c r="L197">
        <f>IF(装备!U270="",0,""""&amp;装备!U270&amp;"""")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IF(装备!B271="",0,"'"&amp;装备!B271&amp;"'")</f>
        <v>0</v>
      </c>
      <c r="B198">
        <f>装备!D198</f>
        <v>0</v>
      </c>
      <c r="C198">
        <f>装备!E271</f>
        <v>0</v>
      </c>
      <c r="D198">
        <f>装备!F271</f>
        <v>0</v>
      </c>
      <c r="E198">
        <f>IF(ISTEXT(装备!G262)=TRUE,"'"&amp;装备!G262&amp;"'",装备!G262)</f>
        <v>0</v>
      </c>
      <c r="F198">
        <f>IF(ISTEXT(装备!H262)=TRUE,"'"&amp;装备!H262&amp;"'",装备!H262)</f>
        <v>0</v>
      </c>
      <c r="G198">
        <f>IF(装备!I271="",0,"'"&amp;装备!I271&amp;"'")</f>
        <v>0</v>
      </c>
      <c r="H198">
        <f>IF(装备!R262="",0,装备!R262)</f>
        <v>0</v>
      </c>
      <c r="I198">
        <f>IF(装备!S262="",0,装备!S262)</f>
        <v>0</v>
      </c>
      <c r="J198">
        <f>IF(装备!C271="",0,""""&amp;装备!C271&amp;"""")</f>
        <v>0</v>
      </c>
      <c r="K198" t="str">
        <f>IF(装备!T271="","""""",""""&amp;装备!T271&amp;"""")</f>
        <v>""</v>
      </c>
      <c r="L198">
        <f>IF(装备!U271="",0,""""&amp;装备!U271&amp;"""")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IF(装备!B272="",0,"'"&amp;装备!B272&amp;"'")</f>
        <v>0</v>
      </c>
      <c r="B199">
        <f>装备!D199</f>
        <v>0</v>
      </c>
      <c r="C199">
        <f>装备!E272</f>
        <v>0</v>
      </c>
      <c r="D199">
        <f>装备!F272</f>
        <v>0</v>
      </c>
      <c r="E199">
        <f>IF(ISTEXT(装备!G263)=TRUE,"'"&amp;装备!G263&amp;"'",装备!G263)</f>
        <v>0</v>
      </c>
      <c r="F199">
        <f>IF(ISTEXT(装备!H263)=TRUE,"'"&amp;装备!H263&amp;"'",装备!H263)</f>
        <v>0</v>
      </c>
      <c r="G199">
        <f>IF(装备!I272="",0,"'"&amp;装备!I272&amp;"'")</f>
        <v>0</v>
      </c>
      <c r="H199">
        <f>IF(装备!R263="",0,装备!R263)</f>
        <v>0</v>
      </c>
      <c r="I199">
        <f>IF(装备!S263="",0,装备!S263)</f>
        <v>0</v>
      </c>
      <c r="J199">
        <f>IF(装备!C272="",0,""""&amp;装备!C272&amp;"""")</f>
        <v>0</v>
      </c>
      <c r="K199" t="str">
        <f>IF(装备!T272="","""""",""""&amp;装备!T272&amp;"""")</f>
        <v>""</v>
      </c>
      <c r="L199">
        <f>IF(装备!U272="",0,""""&amp;装备!U272&amp;"""")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IF(装备!B273="",0,"'"&amp;装备!B273&amp;"'")</f>
        <v>0</v>
      </c>
      <c r="B200">
        <f>装备!D200</f>
        <v>0</v>
      </c>
      <c r="C200">
        <f>装备!E273</f>
        <v>0</v>
      </c>
      <c r="D200">
        <f>装备!F273</f>
        <v>0</v>
      </c>
      <c r="E200">
        <f>IF(ISTEXT(装备!G264)=TRUE,"'"&amp;装备!G264&amp;"'",装备!G264)</f>
        <v>0</v>
      </c>
      <c r="F200">
        <f>IF(ISTEXT(装备!H264)=TRUE,"'"&amp;装备!H264&amp;"'",装备!H264)</f>
        <v>0</v>
      </c>
      <c r="G200">
        <f>IF(装备!I273="",0,"'"&amp;装备!I273&amp;"'")</f>
        <v>0</v>
      </c>
      <c r="H200">
        <f>IF(装备!R264="",0,装备!R264)</f>
        <v>0</v>
      </c>
      <c r="I200">
        <f>IF(装备!S264="",0,装备!S264)</f>
        <v>0</v>
      </c>
      <c r="J200">
        <f>IF(装备!C273="",0,""""&amp;装备!C273&amp;"""")</f>
        <v>0</v>
      </c>
      <c r="K200" t="str">
        <f>IF(装备!T273="","""""",""""&amp;装备!T273&amp;"""")</f>
        <v>""</v>
      </c>
      <c r="L200">
        <f>IF(装备!U273="",0,""""&amp;装备!U273&amp;"""")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IF(装备!B274="",0,"'"&amp;装备!B274&amp;"'")</f>
        <v>0</v>
      </c>
      <c r="B201">
        <f>装备!D201</f>
        <v>0</v>
      </c>
      <c r="C201">
        <f>装备!E274</f>
        <v>0</v>
      </c>
      <c r="D201">
        <f>装备!F274</f>
        <v>0</v>
      </c>
      <c r="E201">
        <f>IF(ISTEXT(装备!G265)=TRUE,"'"&amp;装备!G265&amp;"'",装备!G265)</f>
        <v>0</v>
      </c>
      <c r="F201">
        <f>IF(ISTEXT(装备!H265)=TRUE,"'"&amp;装备!H265&amp;"'",装备!H265)</f>
        <v>0</v>
      </c>
      <c r="G201">
        <f>IF(装备!I274="",0,"'"&amp;装备!I274&amp;"'")</f>
        <v>0</v>
      </c>
      <c r="H201">
        <f>IF(装备!R265="",0,装备!R265)</f>
        <v>0</v>
      </c>
      <c r="I201">
        <f>IF(装备!S265="",0,装备!S265)</f>
        <v>0</v>
      </c>
      <c r="J201">
        <f>IF(装备!C274="",0,""""&amp;装备!C274&amp;"""")</f>
        <v>0</v>
      </c>
      <c r="K201" t="str">
        <f>IF(装备!T274="","""""",""""&amp;装备!T274&amp;"""")</f>
        <v>""</v>
      </c>
      <c r="L201">
        <f>IF(装备!U274="",0,""""&amp;装备!U274&amp;"""")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IF(装备!B275="",0,"'"&amp;装备!B275&amp;"'")</f>
        <v>0</v>
      </c>
      <c r="B202">
        <f>装备!D202</f>
        <v>0</v>
      </c>
      <c r="C202">
        <f>装备!E275</f>
        <v>0</v>
      </c>
      <c r="D202">
        <f>装备!F275</f>
        <v>0</v>
      </c>
      <c r="E202">
        <f>IF(ISTEXT(装备!G266)=TRUE,"'"&amp;装备!G266&amp;"'",装备!G266)</f>
        <v>0</v>
      </c>
      <c r="F202">
        <f>IF(ISTEXT(装备!H266)=TRUE,"'"&amp;装备!H266&amp;"'",装备!H266)</f>
        <v>0</v>
      </c>
      <c r="G202">
        <f>IF(装备!I275="",0,"'"&amp;装备!I275&amp;"'")</f>
        <v>0</v>
      </c>
      <c r="H202">
        <f>IF(装备!R266="",0,装备!R266)</f>
        <v>0</v>
      </c>
      <c r="I202">
        <f>IF(装备!S266="",0,装备!S266)</f>
        <v>0</v>
      </c>
      <c r="J202">
        <f>IF(装备!C275="",0,""""&amp;装备!C275&amp;"""")</f>
        <v>0</v>
      </c>
      <c r="K202" t="str">
        <f>IF(装备!T275="","""""",""""&amp;装备!T275&amp;"""")</f>
        <v>""</v>
      </c>
      <c r="L202">
        <f>IF(装备!U275="",0,""""&amp;装备!U275&amp;"""")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IF(装备!B276="",0,"'"&amp;装备!B276&amp;"'")</f>
        <v>0</v>
      </c>
      <c r="B203">
        <f>装备!D203</f>
        <v>0</v>
      </c>
      <c r="C203">
        <f>装备!E276</f>
        <v>0</v>
      </c>
      <c r="D203">
        <f>装备!F276</f>
        <v>0</v>
      </c>
      <c r="E203">
        <f>IF(ISTEXT(装备!G267)=TRUE,"'"&amp;装备!G267&amp;"'",装备!G267)</f>
        <v>0</v>
      </c>
      <c r="F203">
        <f>IF(ISTEXT(装备!H267)=TRUE,"'"&amp;装备!H267&amp;"'",装备!H267)</f>
        <v>0</v>
      </c>
      <c r="G203">
        <f>IF(装备!I276="",0,"'"&amp;装备!I276&amp;"'")</f>
        <v>0</v>
      </c>
      <c r="H203">
        <f>IF(装备!R267="",0,装备!R267)</f>
        <v>0</v>
      </c>
      <c r="I203">
        <f>IF(装备!S267="",0,装备!S267)</f>
        <v>0</v>
      </c>
      <c r="J203">
        <f>IF(装备!C276="",0,""""&amp;装备!C276&amp;"""")</f>
        <v>0</v>
      </c>
      <c r="K203" t="str">
        <f>IF(装备!T276="","""""",""""&amp;装备!T276&amp;"""")</f>
        <v>""</v>
      </c>
      <c r="L203">
        <f>IF(装备!U276="",0,""""&amp;装备!U276&amp;"""")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IF(装备!B277="",0,"'"&amp;装备!B277&amp;"'")</f>
        <v>0</v>
      </c>
      <c r="B204">
        <f>装备!D204</f>
        <v>0</v>
      </c>
      <c r="C204">
        <f>装备!E277</f>
        <v>0</v>
      </c>
      <c r="D204">
        <f>装备!F277</f>
        <v>0</v>
      </c>
      <c r="E204">
        <f>IF(ISTEXT(装备!G268)=TRUE,"'"&amp;装备!G268&amp;"'",装备!G268)</f>
        <v>0</v>
      </c>
      <c r="F204">
        <f>IF(ISTEXT(装备!H268)=TRUE,"'"&amp;装备!H268&amp;"'",装备!H268)</f>
        <v>0</v>
      </c>
      <c r="G204">
        <f>IF(装备!I277="",0,"'"&amp;装备!I277&amp;"'")</f>
        <v>0</v>
      </c>
      <c r="H204">
        <f>IF(装备!R268="",0,装备!R268)</f>
        <v>0</v>
      </c>
      <c r="I204">
        <f>IF(装备!S268="",0,装备!S268)</f>
        <v>0</v>
      </c>
      <c r="J204">
        <f>IF(装备!C277="",0,""""&amp;装备!C277&amp;"""")</f>
        <v>0</v>
      </c>
      <c r="K204" t="str">
        <f>IF(装备!T277="","""""",""""&amp;装备!T277&amp;"""")</f>
        <v>""</v>
      </c>
      <c r="L204">
        <f>IF(装备!U277="",0,""""&amp;装备!U277&amp;"""")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IF(装备!B278="",0,"'"&amp;装备!B278&amp;"'")</f>
        <v>0</v>
      </c>
      <c r="B205">
        <f>装备!D205</f>
        <v>0</v>
      </c>
      <c r="C205">
        <f>装备!E278</f>
        <v>0</v>
      </c>
      <c r="D205">
        <f>装备!F278</f>
        <v>0</v>
      </c>
      <c r="E205">
        <f>IF(ISTEXT(装备!G269)=TRUE,"'"&amp;装备!G269&amp;"'",装备!G269)</f>
        <v>0</v>
      </c>
      <c r="F205">
        <f>IF(ISTEXT(装备!H269)=TRUE,"'"&amp;装备!H269&amp;"'",装备!H269)</f>
        <v>0</v>
      </c>
      <c r="G205">
        <f>IF(装备!I278="",0,"'"&amp;装备!I278&amp;"'")</f>
        <v>0</v>
      </c>
      <c r="H205">
        <f>IF(装备!R269="",0,装备!R269)</f>
        <v>0</v>
      </c>
      <c r="I205">
        <f>IF(装备!S269="",0,装备!S269)</f>
        <v>0</v>
      </c>
      <c r="J205">
        <f>IF(装备!C278="",0,""""&amp;装备!C278&amp;"""")</f>
        <v>0</v>
      </c>
      <c r="K205" t="str">
        <f>IF(装备!T278="","""""",""""&amp;装备!T278&amp;"""")</f>
        <v>""</v>
      </c>
      <c r="L205">
        <f>IF(装备!U278="",0,""""&amp;装备!U278&amp;"""")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IF(装备!B279="",0,"'"&amp;装备!B279&amp;"'")</f>
        <v>0</v>
      </c>
      <c r="B206">
        <f>装备!D206</f>
        <v>0</v>
      </c>
      <c r="C206">
        <f>装备!E279</f>
        <v>0</v>
      </c>
      <c r="D206">
        <f>装备!F279</f>
        <v>0</v>
      </c>
      <c r="E206">
        <f>IF(ISTEXT(装备!G270)=TRUE,"'"&amp;装备!G270&amp;"'",装备!G270)</f>
        <v>0</v>
      </c>
      <c r="F206">
        <f>IF(ISTEXT(装备!H270)=TRUE,"'"&amp;装备!H270&amp;"'",装备!H270)</f>
        <v>0</v>
      </c>
      <c r="G206">
        <f>IF(装备!I279="",0,"'"&amp;装备!I279&amp;"'")</f>
        <v>0</v>
      </c>
      <c r="H206">
        <f>IF(装备!R270="",0,装备!R270)</f>
        <v>0</v>
      </c>
      <c r="I206">
        <f>IF(装备!S270="",0,装备!S270)</f>
        <v>0</v>
      </c>
      <c r="J206">
        <f>IF(装备!C279="",0,""""&amp;装备!C279&amp;"""")</f>
        <v>0</v>
      </c>
      <c r="K206" t="str">
        <f>IF(装备!T279="","""""",""""&amp;装备!T279&amp;"""")</f>
        <v>""</v>
      </c>
      <c r="L206">
        <f>IF(装备!U279="",0,""""&amp;装备!U279&amp;"""")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IF(装备!B280="",0,"'"&amp;装备!B280&amp;"'")</f>
        <v>0</v>
      </c>
      <c r="B207">
        <f>装备!D207</f>
        <v>0</v>
      </c>
      <c r="C207">
        <f>装备!E280</f>
        <v>0</v>
      </c>
      <c r="D207">
        <f>装备!F280</f>
        <v>0</v>
      </c>
      <c r="E207">
        <f>IF(ISTEXT(装备!G271)=TRUE,"'"&amp;装备!G271&amp;"'",装备!G271)</f>
        <v>0</v>
      </c>
      <c r="F207">
        <f>IF(ISTEXT(装备!H271)=TRUE,"'"&amp;装备!H271&amp;"'",装备!H271)</f>
        <v>0</v>
      </c>
      <c r="G207">
        <f>IF(装备!I280="",0,"'"&amp;装备!I280&amp;"'")</f>
        <v>0</v>
      </c>
      <c r="H207">
        <f>IF(装备!R271="",0,装备!R271)</f>
        <v>0</v>
      </c>
      <c r="I207">
        <f>IF(装备!S271="",0,装备!S271)</f>
        <v>0</v>
      </c>
      <c r="J207">
        <f>IF(装备!C280="",0,""""&amp;装备!C280&amp;"""")</f>
        <v>0</v>
      </c>
      <c r="K207" t="str">
        <f>IF(装备!T280="","""""",""""&amp;装备!T280&amp;"""")</f>
        <v>""</v>
      </c>
      <c r="L207">
        <f>IF(装备!U280="",0,""""&amp;装备!U280&amp;"""")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IF(装备!B281="",0,"'"&amp;装备!B281&amp;"'")</f>
        <v>0</v>
      </c>
      <c r="B208">
        <f>装备!D208</f>
        <v>0</v>
      </c>
      <c r="C208">
        <f>装备!E281</f>
        <v>0</v>
      </c>
      <c r="D208">
        <f>装备!F281</f>
        <v>0</v>
      </c>
      <c r="E208">
        <f>IF(ISTEXT(装备!G272)=TRUE,"'"&amp;装备!G272&amp;"'",装备!G272)</f>
        <v>0</v>
      </c>
      <c r="F208">
        <f>IF(ISTEXT(装备!H272)=TRUE,"'"&amp;装备!H272&amp;"'",装备!H272)</f>
        <v>0</v>
      </c>
      <c r="G208">
        <f>IF(装备!I281="",0,"'"&amp;装备!I281&amp;"'")</f>
        <v>0</v>
      </c>
      <c r="H208">
        <f>IF(装备!R272="",0,装备!R272)</f>
        <v>0</v>
      </c>
      <c r="I208">
        <f>IF(装备!S272="",0,装备!S272)</f>
        <v>0</v>
      </c>
      <c r="J208">
        <f>IF(装备!C281="",0,""""&amp;装备!C281&amp;"""")</f>
        <v>0</v>
      </c>
      <c r="K208" t="str">
        <f>IF(装备!T281="","""""",""""&amp;装备!T281&amp;"""")</f>
        <v>""</v>
      </c>
      <c r="L208">
        <f>IF(装备!U281="",0,""""&amp;装备!U281&amp;"""")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IF(装备!B282="",0,"'"&amp;装备!B282&amp;"'")</f>
        <v>0</v>
      </c>
      <c r="B209">
        <f>装备!D209</f>
        <v>0</v>
      </c>
      <c r="C209">
        <f>装备!E282</f>
        <v>0</v>
      </c>
      <c r="D209">
        <f>装备!F282</f>
        <v>0</v>
      </c>
      <c r="E209">
        <f>IF(ISTEXT(装备!G273)=TRUE,"'"&amp;装备!G273&amp;"'",装备!G273)</f>
        <v>0</v>
      </c>
      <c r="F209">
        <f>IF(ISTEXT(装备!H273)=TRUE,"'"&amp;装备!H273&amp;"'",装备!H273)</f>
        <v>0</v>
      </c>
      <c r="G209">
        <f>IF(装备!I282="",0,"'"&amp;装备!I282&amp;"'")</f>
        <v>0</v>
      </c>
      <c r="H209">
        <f>IF(装备!R273="",0,装备!R273)</f>
        <v>0</v>
      </c>
      <c r="I209">
        <f>IF(装备!S273="",0,装备!S273)</f>
        <v>0</v>
      </c>
      <c r="J209">
        <f>IF(装备!C282="",0,""""&amp;装备!C282&amp;"""")</f>
        <v>0</v>
      </c>
      <c r="K209" t="str">
        <f>IF(装备!T282="","""""",""""&amp;装备!T282&amp;"""")</f>
        <v>""</v>
      </c>
      <c r="L209">
        <f>IF(装备!U282="",0,""""&amp;装备!U282&amp;"""")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IF(装备!B283="",0,"'"&amp;装备!B283&amp;"'")</f>
        <v>0</v>
      </c>
      <c r="B210">
        <f>装备!D210</f>
        <v>0</v>
      </c>
      <c r="C210">
        <f>装备!E283</f>
        <v>0</v>
      </c>
      <c r="D210">
        <f>装备!F283</f>
        <v>0</v>
      </c>
      <c r="E210">
        <f>IF(ISTEXT(装备!G274)=TRUE,"'"&amp;装备!G274&amp;"'",装备!G274)</f>
        <v>0</v>
      </c>
      <c r="F210">
        <f>IF(ISTEXT(装备!H274)=TRUE,"'"&amp;装备!H274&amp;"'",装备!H274)</f>
        <v>0</v>
      </c>
      <c r="G210">
        <f>IF(装备!I283="",0,"'"&amp;装备!I283&amp;"'")</f>
        <v>0</v>
      </c>
      <c r="H210">
        <f>IF(装备!R274="",0,装备!R274)</f>
        <v>0</v>
      </c>
      <c r="I210">
        <f>IF(装备!S274="",0,装备!S274)</f>
        <v>0</v>
      </c>
      <c r="J210">
        <f>IF(装备!C283="",0,""""&amp;装备!C283&amp;"""")</f>
        <v>0</v>
      </c>
      <c r="K210" t="str">
        <f>IF(装备!T283="","""""",""""&amp;装备!T283&amp;"""")</f>
        <v>""</v>
      </c>
      <c r="L210">
        <f>IF(装备!U283="",0,""""&amp;装备!U283&amp;"""")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IF(装备!B284="",0,"'"&amp;装备!B284&amp;"'")</f>
        <v>0</v>
      </c>
      <c r="B211">
        <f>装备!D211</f>
        <v>0</v>
      </c>
      <c r="C211">
        <f>装备!E284</f>
        <v>0</v>
      </c>
      <c r="D211">
        <f>装备!F284</f>
        <v>0</v>
      </c>
      <c r="E211">
        <f>IF(ISTEXT(装备!G275)=TRUE,"'"&amp;装备!G275&amp;"'",装备!G275)</f>
        <v>0</v>
      </c>
      <c r="F211">
        <f>IF(ISTEXT(装备!H275)=TRUE,"'"&amp;装备!H275&amp;"'",装备!H275)</f>
        <v>0</v>
      </c>
      <c r="G211">
        <f>IF(装备!I284="",0,"'"&amp;装备!I284&amp;"'")</f>
        <v>0</v>
      </c>
      <c r="H211">
        <f>IF(装备!R275="",0,装备!R275)</f>
        <v>0</v>
      </c>
      <c r="I211">
        <f>IF(装备!S275="",0,装备!S275)</f>
        <v>0</v>
      </c>
      <c r="J211">
        <f>IF(装备!C284="",0,""""&amp;装备!C284&amp;"""")</f>
        <v>0</v>
      </c>
      <c r="K211" t="str">
        <f>IF(装备!T284="","""""",""""&amp;装备!T284&amp;"""")</f>
        <v>""</v>
      </c>
      <c r="L211">
        <f>IF(装备!U284="",0,""""&amp;装备!U284&amp;"""")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IF(装备!B285="",0,"'"&amp;装备!B285&amp;"'")</f>
        <v>0</v>
      </c>
      <c r="B212">
        <f>装备!D212</f>
        <v>0</v>
      </c>
      <c r="C212">
        <f>装备!E285</f>
        <v>0</v>
      </c>
      <c r="D212">
        <f>装备!F285</f>
        <v>0</v>
      </c>
      <c r="E212">
        <f>IF(ISTEXT(装备!G276)=TRUE,"'"&amp;装备!G276&amp;"'",装备!G276)</f>
        <v>0</v>
      </c>
      <c r="F212">
        <f>IF(ISTEXT(装备!H276)=TRUE,"'"&amp;装备!H276&amp;"'",装备!H276)</f>
        <v>0</v>
      </c>
      <c r="G212">
        <f>IF(装备!I285="",0,"'"&amp;装备!I285&amp;"'")</f>
        <v>0</v>
      </c>
      <c r="H212">
        <f>IF(装备!R276="",0,装备!R276)</f>
        <v>0</v>
      </c>
      <c r="I212">
        <f>IF(装备!S276="",0,装备!S276)</f>
        <v>0</v>
      </c>
      <c r="J212">
        <f>IF(装备!C285="",0,""""&amp;装备!C285&amp;"""")</f>
        <v>0</v>
      </c>
      <c r="K212" t="str">
        <f>IF(装备!T285="","""""",""""&amp;装备!T285&amp;"""")</f>
        <v>""</v>
      </c>
      <c r="L212">
        <f>IF(装备!U285="",0,""""&amp;装备!U285&amp;"""")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IF(装备!B286="",0,"'"&amp;装备!B286&amp;"'")</f>
        <v>0</v>
      </c>
      <c r="B213">
        <f>装备!D213</f>
        <v>0</v>
      </c>
      <c r="C213">
        <f>装备!E286</f>
        <v>0</v>
      </c>
      <c r="D213">
        <f>装备!F286</f>
        <v>0</v>
      </c>
      <c r="E213">
        <f>IF(ISTEXT(装备!G277)=TRUE,"'"&amp;装备!G277&amp;"'",装备!G277)</f>
        <v>0</v>
      </c>
      <c r="F213">
        <f>IF(ISTEXT(装备!H277)=TRUE,"'"&amp;装备!H277&amp;"'",装备!H277)</f>
        <v>0</v>
      </c>
      <c r="G213">
        <f>IF(装备!I286="",0,"'"&amp;装备!I286&amp;"'")</f>
        <v>0</v>
      </c>
      <c r="H213">
        <f>IF(装备!R277="",0,装备!R277)</f>
        <v>0</v>
      </c>
      <c r="I213">
        <f>IF(装备!S277="",0,装备!S277)</f>
        <v>0</v>
      </c>
      <c r="J213">
        <f>IF(装备!C286="",0,""""&amp;装备!C286&amp;"""")</f>
        <v>0</v>
      </c>
      <c r="K213" t="str">
        <f>IF(装备!T286="","""""",""""&amp;装备!T286&amp;"""")</f>
        <v>""</v>
      </c>
      <c r="L213">
        <f>IF(装备!U286="",0,""""&amp;装备!U286&amp;"""")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IF(装备!B287="",0,"'"&amp;装备!B287&amp;"'")</f>
        <v>0</v>
      </c>
      <c r="B214">
        <f>装备!D214</f>
        <v>0</v>
      </c>
      <c r="C214">
        <f>装备!E287</f>
        <v>0</v>
      </c>
      <c r="D214">
        <f>装备!F287</f>
        <v>0</v>
      </c>
      <c r="E214">
        <f>IF(ISTEXT(装备!G278)=TRUE,"'"&amp;装备!G278&amp;"'",装备!G278)</f>
        <v>0</v>
      </c>
      <c r="F214">
        <f>IF(ISTEXT(装备!H278)=TRUE,"'"&amp;装备!H278&amp;"'",装备!H278)</f>
        <v>0</v>
      </c>
      <c r="G214">
        <f>IF(装备!I287="",0,"'"&amp;装备!I287&amp;"'")</f>
        <v>0</v>
      </c>
      <c r="H214">
        <f>IF(装备!R278="",0,装备!R278)</f>
        <v>0</v>
      </c>
      <c r="I214">
        <f>IF(装备!S278="",0,装备!S278)</f>
        <v>0</v>
      </c>
      <c r="J214">
        <f>IF(装备!C287="",0,""""&amp;装备!C287&amp;"""")</f>
        <v>0</v>
      </c>
      <c r="K214" t="str">
        <f>IF(装备!T287="","""""",""""&amp;装备!T287&amp;"""")</f>
        <v>""</v>
      </c>
      <c r="L214">
        <f>IF(装备!U287="",0,""""&amp;装备!U287&amp;"""")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IF(装备!B288="",0,"'"&amp;装备!B288&amp;"'")</f>
        <v>0</v>
      </c>
      <c r="B215">
        <f>装备!D215</f>
        <v>0</v>
      </c>
      <c r="C215">
        <f>装备!E288</f>
        <v>0</v>
      </c>
      <c r="D215">
        <f>装备!F288</f>
        <v>0</v>
      </c>
      <c r="E215">
        <f>IF(ISTEXT(装备!G279)=TRUE,"'"&amp;装备!G279&amp;"'",装备!G279)</f>
        <v>0</v>
      </c>
      <c r="F215">
        <f>IF(ISTEXT(装备!H279)=TRUE,"'"&amp;装备!H279&amp;"'",装备!H279)</f>
        <v>0</v>
      </c>
      <c r="G215">
        <f>IF(装备!I288="",0,"'"&amp;装备!I288&amp;"'")</f>
        <v>0</v>
      </c>
      <c r="H215">
        <f>IF(装备!R279="",0,装备!R279)</f>
        <v>0</v>
      </c>
      <c r="I215">
        <f>IF(装备!S279="",0,装备!S279)</f>
        <v>0</v>
      </c>
      <c r="J215">
        <f>IF(装备!C288="",0,""""&amp;装备!C288&amp;"""")</f>
        <v>0</v>
      </c>
      <c r="K215" t="str">
        <f>IF(装备!T288="","""""",""""&amp;装备!T288&amp;"""")</f>
        <v>""</v>
      </c>
      <c r="L215">
        <f>IF(装备!U288="",0,""""&amp;装备!U288&amp;"""")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IF(装备!B289="",0,"'"&amp;装备!B289&amp;"'")</f>
        <v>0</v>
      </c>
      <c r="B216">
        <f>装备!D216</f>
        <v>0</v>
      </c>
      <c r="C216">
        <f>装备!E289</f>
        <v>0</v>
      </c>
      <c r="D216">
        <f>装备!F289</f>
        <v>0</v>
      </c>
      <c r="E216">
        <f>IF(ISTEXT(装备!G280)=TRUE,"'"&amp;装备!G280&amp;"'",装备!G280)</f>
        <v>0</v>
      </c>
      <c r="F216">
        <f>IF(ISTEXT(装备!H280)=TRUE,"'"&amp;装备!H280&amp;"'",装备!H280)</f>
        <v>0</v>
      </c>
      <c r="G216">
        <f>IF(装备!I289="",0,"'"&amp;装备!I289&amp;"'")</f>
        <v>0</v>
      </c>
      <c r="H216">
        <f>IF(装备!R280="",0,装备!R280)</f>
        <v>0</v>
      </c>
      <c r="I216">
        <f>IF(装备!S280="",0,装备!S280)</f>
        <v>0</v>
      </c>
      <c r="J216">
        <f>IF(装备!C289="",0,""""&amp;装备!C289&amp;"""")</f>
        <v>0</v>
      </c>
      <c r="K216" t="str">
        <f>IF(装备!T289="","""""",""""&amp;装备!T289&amp;"""")</f>
        <v>""</v>
      </c>
      <c r="L216">
        <f>IF(装备!U289="",0,""""&amp;装备!U289&amp;"""")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IF(装备!B290="",0,"'"&amp;装备!B290&amp;"'")</f>
        <v>0</v>
      </c>
      <c r="B217">
        <f>装备!D217</f>
        <v>0</v>
      </c>
      <c r="C217">
        <f>装备!E290</f>
        <v>0</v>
      </c>
      <c r="D217">
        <f>装备!F290</f>
        <v>0</v>
      </c>
      <c r="E217">
        <f>IF(ISTEXT(装备!G281)=TRUE,"'"&amp;装备!G281&amp;"'",装备!G281)</f>
        <v>0</v>
      </c>
      <c r="F217">
        <f>IF(ISTEXT(装备!H281)=TRUE,"'"&amp;装备!H281&amp;"'",装备!H281)</f>
        <v>0</v>
      </c>
      <c r="G217">
        <f>IF(装备!I290="",0,"'"&amp;装备!I290&amp;"'")</f>
        <v>0</v>
      </c>
      <c r="H217">
        <f>IF(装备!R281="",0,装备!R281)</f>
        <v>0</v>
      </c>
      <c r="I217">
        <f>IF(装备!S281="",0,装备!S281)</f>
        <v>0</v>
      </c>
      <c r="J217">
        <f>IF(装备!C290="",0,""""&amp;装备!C290&amp;"""")</f>
        <v>0</v>
      </c>
      <c r="K217" t="str">
        <f>IF(装备!T290="","""""",""""&amp;装备!T290&amp;"""")</f>
        <v>""</v>
      </c>
      <c r="L217">
        <f>IF(装备!U290="",0,""""&amp;装备!U290&amp;"""")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IF(装备!B291="",0,"'"&amp;装备!B291&amp;"'")</f>
        <v>0</v>
      </c>
      <c r="B218">
        <f>装备!D218</f>
        <v>0</v>
      </c>
      <c r="C218">
        <f>装备!E291</f>
        <v>0</v>
      </c>
      <c r="D218">
        <f>装备!F291</f>
        <v>0</v>
      </c>
      <c r="E218">
        <f>IF(ISTEXT(装备!G282)=TRUE,"'"&amp;装备!G282&amp;"'",装备!G282)</f>
        <v>0</v>
      </c>
      <c r="F218">
        <f>IF(ISTEXT(装备!H282)=TRUE,"'"&amp;装备!H282&amp;"'",装备!H282)</f>
        <v>0</v>
      </c>
      <c r="G218">
        <f>IF(装备!I291="",0,"'"&amp;装备!I291&amp;"'")</f>
        <v>0</v>
      </c>
      <c r="H218">
        <f>IF(装备!R282="",0,装备!R282)</f>
        <v>0</v>
      </c>
      <c r="I218">
        <f>IF(装备!S282="",0,装备!S282)</f>
        <v>0</v>
      </c>
      <c r="J218">
        <f>IF(装备!C291="",0,""""&amp;装备!C291&amp;"""")</f>
        <v>0</v>
      </c>
      <c r="K218" t="str">
        <f>IF(装备!T291="","""""",""""&amp;装备!T291&amp;"""")</f>
        <v>""</v>
      </c>
      <c r="L218">
        <f>IF(装备!U291="",0,""""&amp;装备!U291&amp;"""")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IF(装备!B292="",0,"'"&amp;装备!B292&amp;"'")</f>
        <v>0</v>
      </c>
      <c r="B219">
        <f>装备!D219</f>
        <v>0</v>
      </c>
      <c r="C219">
        <f>装备!E292</f>
        <v>0</v>
      </c>
      <c r="D219">
        <f>装备!F292</f>
        <v>0</v>
      </c>
      <c r="E219">
        <f>IF(ISTEXT(装备!G283)=TRUE,"'"&amp;装备!G283&amp;"'",装备!G283)</f>
        <v>0</v>
      </c>
      <c r="F219">
        <f>IF(ISTEXT(装备!H283)=TRUE,"'"&amp;装备!H283&amp;"'",装备!H283)</f>
        <v>0</v>
      </c>
      <c r="G219">
        <f>IF(装备!I292="",0,"'"&amp;装备!I292&amp;"'")</f>
        <v>0</v>
      </c>
      <c r="H219">
        <f>IF(装备!R283="",0,装备!R283)</f>
        <v>0</v>
      </c>
      <c r="I219">
        <f>IF(装备!S283="",0,装备!S283)</f>
        <v>0</v>
      </c>
      <c r="J219">
        <f>IF(装备!C292="",0,""""&amp;装备!C292&amp;"""")</f>
        <v>0</v>
      </c>
      <c r="K219" t="str">
        <f>IF(装备!T292="","""""",""""&amp;装备!T292&amp;"""")</f>
        <v>""</v>
      </c>
      <c r="L219">
        <f>IF(装备!U292="",0,""""&amp;装备!U292&amp;"""")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IF(装备!B293="",0,"'"&amp;装备!B293&amp;"'")</f>
        <v>0</v>
      </c>
      <c r="B220">
        <f>装备!D220</f>
        <v>0</v>
      </c>
      <c r="C220">
        <f>装备!E293</f>
        <v>0</v>
      </c>
      <c r="D220">
        <f>装备!F293</f>
        <v>0</v>
      </c>
      <c r="E220">
        <f>IF(ISTEXT(装备!G284)=TRUE,"'"&amp;装备!G284&amp;"'",装备!G284)</f>
        <v>0</v>
      </c>
      <c r="F220">
        <f>IF(ISTEXT(装备!H284)=TRUE,"'"&amp;装备!H284&amp;"'",装备!H284)</f>
        <v>0</v>
      </c>
      <c r="G220">
        <f>IF(装备!I293="",0,"'"&amp;装备!I293&amp;"'")</f>
        <v>0</v>
      </c>
      <c r="H220">
        <f>IF(装备!R284="",0,装备!R284)</f>
        <v>0</v>
      </c>
      <c r="I220">
        <f>IF(装备!S284="",0,装备!S284)</f>
        <v>0</v>
      </c>
      <c r="J220">
        <f>IF(装备!C293="",0,""""&amp;装备!C293&amp;"""")</f>
        <v>0</v>
      </c>
      <c r="K220" t="str">
        <f>IF(装备!T293="","""""",""""&amp;装备!T293&amp;"""")</f>
        <v>""</v>
      </c>
      <c r="L220">
        <f>IF(装备!U293="",0,""""&amp;装备!U293&amp;"""")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IF(装备!B294="",0,"'"&amp;装备!B294&amp;"'")</f>
        <v>0</v>
      </c>
      <c r="B221">
        <f>装备!D221</f>
        <v>0</v>
      </c>
      <c r="C221">
        <f>装备!E294</f>
        <v>0</v>
      </c>
      <c r="D221">
        <f>装备!F294</f>
        <v>0</v>
      </c>
      <c r="E221">
        <f>IF(ISTEXT(装备!G285)=TRUE,"'"&amp;装备!G285&amp;"'",装备!G285)</f>
        <v>0</v>
      </c>
      <c r="F221">
        <f>IF(ISTEXT(装备!H285)=TRUE,"'"&amp;装备!H285&amp;"'",装备!H285)</f>
        <v>0</v>
      </c>
      <c r="G221">
        <f>IF(装备!I294="",0,"'"&amp;装备!I294&amp;"'")</f>
        <v>0</v>
      </c>
      <c r="H221">
        <f>IF(装备!R285="",0,装备!R285)</f>
        <v>0</v>
      </c>
      <c r="I221">
        <f>IF(装备!S285="",0,装备!S285)</f>
        <v>0</v>
      </c>
      <c r="J221">
        <f>IF(装备!C294="",0,""""&amp;装备!C294&amp;"""")</f>
        <v>0</v>
      </c>
      <c r="K221" t="str">
        <f>IF(装备!T294="","""""",""""&amp;装备!T294&amp;"""")</f>
        <v>""</v>
      </c>
      <c r="L221">
        <f>IF(装备!U294="",0,""""&amp;装备!U294&amp;"""")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IF(装备!B295="",0,"'"&amp;装备!B295&amp;"'")</f>
        <v>0</v>
      </c>
      <c r="B222">
        <f>装备!D222</f>
        <v>0</v>
      </c>
      <c r="C222">
        <f>装备!E295</f>
        <v>0</v>
      </c>
      <c r="D222">
        <f>装备!F295</f>
        <v>0</v>
      </c>
      <c r="E222">
        <f>IF(ISTEXT(装备!G286)=TRUE,"'"&amp;装备!G286&amp;"'",装备!G286)</f>
        <v>0</v>
      </c>
      <c r="F222">
        <f>IF(ISTEXT(装备!H286)=TRUE,"'"&amp;装备!H286&amp;"'",装备!H286)</f>
        <v>0</v>
      </c>
      <c r="G222">
        <f>IF(装备!I295="",0,"'"&amp;装备!I295&amp;"'")</f>
        <v>0</v>
      </c>
      <c r="H222">
        <f>IF(装备!R286="",0,装备!R286)</f>
        <v>0</v>
      </c>
      <c r="I222">
        <f>IF(装备!S286="",0,装备!S286)</f>
        <v>0</v>
      </c>
      <c r="J222">
        <f>IF(装备!C295="",0,""""&amp;装备!C295&amp;"""")</f>
        <v>0</v>
      </c>
      <c r="K222" t="str">
        <f>IF(装备!T295="","""""",""""&amp;装备!T295&amp;"""")</f>
        <v>""</v>
      </c>
      <c r="L222">
        <f>IF(装备!U295="",0,""""&amp;装备!U295&amp;"""")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IF(装备!B296="",0,"'"&amp;装备!B296&amp;"'")</f>
        <v>0</v>
      </c>
      <c r="B223">
        <f>装备!D223</f>
        <v>0</v>
      </c>
      <c r="C223">
        <f>装备!E296</f>
        <v>0</v>
      </c>
      <c r="D223">
        <f>装备!F296</f>
        <v>0</v>
      </c>
      <c r="E223">
        <f>IF(ISTEXT(装备!G287)=TRUE,"'"&amp;装备!G287&amp;"'",装备!G287)</f>
        <v>0</v>
      </c>
      <c r="F223">
        <f>IF(ISTEXT(装备!H287)=TRUE,"'"&amp;装备!H287&amp;"'",装备!H287)</f>
        <v>0</v>
      </c>
      <c r="G223">
        <f>IF(装备!I296="",0,"'"&amp;装备!I296&amp;"'")</f>
        <v>0</v>
      </c>
      <c r="H223">
        <f>IF(装备!R287="",0,装备!R287)</f>
        <v>0</v>
      </c>
      <c r="I223">
        <f>IF(装备!S287="",0,装备!S287)</f>
        <v>0</v>
      </c>
      <c r="J223">
        <f>IF(装备!C296="",0,""""&amp;装备!C296&amp;"""")</f>
        <v>0</v>
      </c>
      <c r="K223" t="str">
        <f>IF(装备!T296="","""""",""""&amp;装备!T296&amp;"""")</f>
        <v>""</v>
      </c>
      <c r="L223">
        <f>IF(装备!U296="",0,""""&amp;装备!U296&amp;"""")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IF(装备!B297="",0,"'"&amp;装备!B297&amp;"'")</f>
        <v>0</v>
      </c>
      <c r="B224">
        <f>装备!D224</f>
        <v>0</v>
      </c>
      <c r="C224">
        <f>装备!E297</f>
        <v>0</v>
      </c>
      <c r="D224">
        <f>装备!F297</f>
        <v>0</v>
      </c>
      <c r="E224">
        <f>IF(ISTEXT(装备!G288)=TRUE,"'"&amp;装备!G288&amp;"'",装备!G288)</f>
        <v>0</v>
      </c>
      <c r="F224">
        <f>IF(ISTEXT(装备!H288)=TRUE,"'"&amp;装备!H288&amp;"'",装备!H288)</f>
        <v>0</v>
      </c>
      <c r="G224">
        <f>IF(装备!I297="",0,"'"&amp;装备!I297&amp;"'")</f>
        <v>0</v>
      </c>
      <c r="H224">
        <f>IF(装备!R288="",0,装备!R288)</f>
        <v>0</v>
      </c>
      <c r="I224">
        <f>IF(装备!S288="",0,装备!S288)</f>
        <v>0</v>
      </c>
      <c r="J224">
        <f>IF(装备!C297="",0,""""&amp;装备!C297&amp;"""")</f>
        <v>0</v>
      </c>
      <c r="K224" t="str">
        <f>IF(装备!T297="","""""",""""&amp;装备!T297&amp;"""")</f>
        <v>""</v>
      </c>
      <c r="L224">
        <f>IF(装备!U297="",0,""""&amp;装备!U297&amp;"""")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IF(装备!B298="",0,"'"&amp;装备!B298&amp;"'")</f>
        <v>0</v>
      </c>
      <c r="B225">
        <f>装备!D225</f>
        <v>0</v>
      </c>
      <c r="C225">
        <f>装备!E298</f>
        <v>0</v>
      </c>
      <c r="D225">
        <f>装备!F298</f>
        <v>0</v>
      </c>
      <c r="E225">
        <f>IF(ISTEXT(装备!G289)=TRUE,"'"&amp;装备!G289&amp;"'",装备!G289)</f>
        <v>0</v>
      </c>
      <c r="F225">
        <f>IF(ISTEXT(装备!H289)=TRUE,"'"&amp;装备!H289&amp;"'",装备!H289)</f>
        <v>0</v>
      </c>
      <c r="G225">
        <f>IF(装备!I298="",0,"'"&amp;装备!I298&amp;"'")</f>
        <v>0</v>
      </c>
      <c r="H225">
        <f>IF(装备!R289="",0,装备!R289)</f>
        <v>0</v>
      </c>
      <c r="I225">
        <f>IF(装备!S289="",0,装备!S289)</f>
        <v>0</v>
      </c>
      <c r="J225">
        <f>IF(装备!C298="",0,""""&amp;装备!C298&amp;"""")</f>
        <v>0</v>
      </c>
      <c r="K225" t="str">
        <f>IF(装备!T298="","""""",""""&amp;装备!T298&amp;"""")</f>
        <v>""</v>
      </c>
      <c r="L225">
        <f>IF(装备!U298="",0,""""&amp;装备!U298&amp;"""")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544</v>
      </c>
      <c r="CD1" s="1" t="s">
        <v>544</v>
      </c>
      <c r="CE1" s="1" t="s">
        <v>544</v>
      </c>
      <c r="CF1" s="1" t="s">
        <v>544</v>
      </c>
      <c r="CH1" s="1" t="s">
        <v>544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545</v>
      </c>
      <c r="CC2" s="1" t="s">
        <v>546</v>
      </c>
      <c r="CD2" s="1" t="s">
        <v>547</v>
      </c>
      <c r="CE2" s="1" t="s">
        <v>548</v>
      </c>
      <c r="CF2" s="1" t="s">
        <v>549</v>
      </c>
      <c r="CG2" s="1" t="s">
        <v>550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10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InitUnitState('E101',0,0,0,0,500,0,10,0,10,3)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InitUnitState('E101',0,0,0,0,500,0,10,0,10,3)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20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InitUnitState('E102',0,0,0,0,1000,0,20,0,15,3)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InitUnitState('E102',0,0,0,0,1000,0,20,0,15,3)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2000</v>
      </c>
      <c r="H279">
        <f>装备!AA30</f>
        <v>0</v>
      </c>
      <c r="I279">
        <f>装备!AB30</f>
        <v>40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InitUnitState('E103',0,0,0,0,2000,0,40,0,20,3)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InitUnitState('E103',0,0,0,0,2000,0,40,0,20,3)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3000</v>
      </c>
      <c r="H280">
        <f>装备!AA31</f>
        <v>0</v>
      </c>
      <c r="I280">
        <f>装备!AB31</f>
        <v>60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InitUnitState('E104',0,0,0,0,3000,0,60,0,25,3)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InitUnitState('E104',0,0,0,0,3000,0,60,0,25,3)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5000</v>
      </c>
      <c r="H281">
        <f>装备!AA32</f>
        <v>0</v>
      </c>
      <c r="I281">
        <f>装备!AB32</f>
        <v>100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InitUnitState('E105',0,0,0,0,5000,0,100,0,30,3)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InitUnitState('E105',0,0,0,0,5000,0,100,0,30,3)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7000</v>
      </c>
      <c r="H282">
        <f>装备!AA33</f>
        <v>0</v>
      </c>
      <c r="I282">
        <f>装备!AB33</f>
        <v>140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InitUnitState('E106',0,0,0,0,7000,0,140,0,35,6)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InitUnitState('E106',0,0,0,0,7000,0,140,0,35,6)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15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InitUnitState('E201',0,0,15,0,500,0,10,0,0,0)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InitUnitState('E201',0,0,15,0,500,0,10,0,0,0)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551</v>
      </c>
      <c r="B1" s="1" t="s">
        <v>552</v>
      </c>
      <c r="C1" s="1" t="s">
        <v>553</v>
      </c>
      <c r="D1" s="1" t="s">
        <v>554</v>
      </c>
      <c r="E1" s="1" t="s">
        <v>555</v>
      </c>
    </row>
    <row r="2" spans="1:11" ht="16.5">
      <c r="A2" s="2">
        <v>1</v>
      </c>
      <c r="B2" s="2" t="s">
        <v>352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355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358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361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364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367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370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373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376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379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382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385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388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391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394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397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400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403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505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506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507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508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509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510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511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512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513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514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515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517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518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520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521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522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523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524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526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527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528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529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531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532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533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535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536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37" sqref="D37"/>
    </sheetView>
  </sheetViews>
  <sheetFormatPr defaultRowHeight="14.25"/>
  <sheetData>
    <row r="1" spans="1:24">
      <c r="D1" t="s">
        <v>101</v>
      </c>
      <c r="E1" t="s">
        <v>102</v>
      </c>
      <c r="F1" t="s">
        <v>556</v>
      </c>
      <c r="G1" t="s">
        <v>557</v>
      </c>
      <c r="I1" t="s">
        <v>558</v>
      </c>
      <c r="J1">
        <v>10</v>
      </c>
      <c r="R1" t="s">
        <v>559</v>
      </c>
      <c r="U1" t="s">
        <v>560</v>
      </c>
      <c r="V1" t="s">
        <v>561</v>
      </c>
      <c r="X1" t="s">
        <v>562</v>
      </c>
    </row>
    <row r="2" spans="1:24">
      <c r="A2" t="s">
        <v>563</v>
      </c>
      <c r="D2">
        <v>300</v>
      </c>
      <c r="E2" s="127">
        <v>1</v>
      </c>
      <c r="F2" s="136">
        <f>D2/E2</f>
        <v>300</v>
      </c>
      <c r="I2" t="s">
        <v>564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565</v>
      </c>
      <c r="D3">
        <v>500</v>
      </c>
      <c r="E3" s="127">
        <v>1</v>
      </c>
      <c r="F3" s="136">
        <f t="shared" ref="F3:F25" si="0">D3/E3</f>
        <v>500</v>
      </c>
      <c r="I3" t="s">
        <v>566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567</v>
      </c>
      <c r="D4">
        <v>600</v>
      </c>
      <c r="E4" s="127">
        <v>1</v>
      </c>
      <c r="F4" s="136">
        <f t="shared" si="0"/>
        <v>600</v>
      </c>
      <c r="I4" t="s">
        <v>568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569</v>
      </c>
      <c r="D5">
        <v>1000</v>
      </c>
      <c r="E5" s="127">
        <v>1</v>
      </c>
      <c r="F5" s="136">
        <f t="shared" si="0"/>
        <v>1000</v>
      </c>
      <c r="I5" t="s">
        <v>570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571</v>
      </c>
      <c r="D6">
        <v>3000</v>
      </c>
      <c r="E6" s="127">
        <v>1</v>
      </c>
      <c r="F6" s="136">
        <f t="shared" si="0"/>
        <v>3000</v>
      </c>
      <c r="G6">
        <f>SUM(F2:F5)</f>
        <v>2400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572</v>
      </c>
      <c r="D7">
        <v>2000</v>
      </c>
      <c r="E7" s="127">
        <v>0.9</v>
      </c>
      <c r="F7" s="136">
        <f t="shared" si="0"/>
        <v>2222.2222222222222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R7">
        <v>90</v>
      </c>
    </row>
    <row r="8" spans="1:24">
      <c r="A8" t="s">
        <v>578</v>
      </c>
      <c r="D8">
        <v>2000</v>
      </c>
      <c r="E8" s="127">
        <v>0.9</v>
      </c>
      <c r="F8" s="136">
        <f t="shared" si="0"/>
        <v>2222.2222222222222</v>
      </c>
      <c r="I8" t="s">
        <v>579</v>
      </c>
      <c r="J8" s="136">
        <f>G6/J$1/W2</f>
        <v>16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580</v>
      </c>
      <c r="D9">
        <v>2000</v>
      </c>
      <c r="E9" s="127">
        <v>0.9</v>
      </c>
      <c r="F9" s="136">
        <f t="shared" si="0"/>
        <v>2222.2222222222222</v>
      </c>
      <c r="I9" t="s">
        <v>581</v>
      </c>
      <c r="J9" s="136">
        <f>G11/J$1/W3</f>
        <v>22.222222222222221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582</v>
      </c>
      <c r="D10">
        <v>2000</v>
      </c>
      <c r="E10" s="127">
        <v>0.9</v>
      </c>
      <c r="F10" s="136">
        <f t="shared" si="0"/>
        <v>2222.2222222222222</v>
      </c>
      <c r="I10" t="s">
        <v>583</v>
      </c>
      <c r="J10" s="136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584</v>
      </c>
      <c r="D11">
        <v>8000</v>
      </c>
      <c r="E11" s="127">
        <v>1</v>
      </c>
      <c r="F11" s="136">
        <f t="shared" si="0"/>
        <v>8000</v>
      </c>
      <c r="G11">
        <f>SUM(F7:F10)</f>
        <v>8888.8888888888887</v>
      </c>
      <c r="I11" t="s">
        <v>585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586</v>
      </c>
      <c r="D12">
        <v>5000</v>
      </c>
      <c r="E12" s="127">
        <v>0.8</v>
      </c>
      <c r="F12" s="136">
        <f t="shared" si="0"/>
        <v>6250</v>
      </c>
      <c r="I12" t="s">
        <v>587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588</v>
      </c>
      <c r="D13">
        <v>5000</v>
      </c>
      <c r="E13" s="127">
        <v>0.8</v>
      </c>
      <c r="F13" s="136">
        <f t="shared" si="0"/>
        <v>6250</v>
      </c>
      <c r="J13" s="136"/>
      <c r="M13" t="s">
        <v>589</v>
      </c>
      <c r="N13">
        <f>SUM(N8:N12)</f>
        <v>1185000</v>
      </c>
      <c r="R13">
        <v>80</v>
      </c>
    </row>
    <row r="14" spans="1:24">
      <c r="A14" t="s">
        <v>590</v>
      </c>
      <c r="D14">
        <v>5000</v>
      </c>
      <c r="E14" s="127">
        <v>0.8</v>
      </c>
      <c r="F14" s="136">
        <f t="shared" si="0"/>
        <v>6250</v>
      </c>
      <c r="R14">
        <v>80</v>
      </c>
    </row>
    <row r="15" spans="1:24">
      <c r="A15" t="s">
        <v>591</v>
      </c>
      <c r="D15">
        <v>5000</v>
      </c>
      <c r="E15" s="127">
        <v>0.8</v>
      </c>
      <c r="F15" s="136">
        <f t="shared" si="0"/>
        <v>6250</v>
      </c>
      <c r="R15">
        <v>80</v>
      </c>
    </row>
    <row r="16" spans="1:24">
      <c r="A16" t="s">
        <v>592</v>
      </c>
      <c r="D16">
        <v>20000</v>
      </c>
      <c r="E16" s="127">
        <v>1</v>
      </c>
      <c r="F16" s="136">
        <f t="shared" si="0"/>
        <v>20000</v>
      </c>
      <c r="G16">
        <f>SUM(F12:F15)</f>
        <v>25000</v>
      </c>
      <c r="R16">
        <v>100</v>
      </c>
    </row>
    <row r="17" spans="1:18">
      <c r="A17" t="s">
        <v>593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594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595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596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597</v>
      </c>
      <c r="D21">
        <v>35000</v>
      </c>
      <c r="E21" s="127">
        <v>1</v>
      </c>
      <c r="F21" s="136">
        <f t="shared" si="0"/>
        <v>35000</v>
      </c>
      <c r="G21">
        <f>SUM(F17:F20)</f>
        <v>57142.857142857145</v>
      </c>
      <c r="R21">
        <v>100</v>
      </c>
    </row>
    <row r="22" spans="1:18">
      <c r="A22" t="s">
        <v>598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599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600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601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602</v>
      </c>
      <c r="E26" t="s">
        <v>603</v>
      </c>
      <c r="F26" s="136">
        <f>SUM(F2:F25)</f>
        <v>319431.74603174604</v>
      </c>
      <c r="G26">
        <f>SUM(F22:F25)</f>
        <v>160000</v>
      </c>
    </row>
    <row r="27" spans="1:18">
      <c r="E27" t="s">
        <v>604</v>
      </c>
      <c r="F27">
        <f>F26*2</f>
        <v>638863.49206349207</v>
      </c>
    </row>
    <row r="31" spans="1:18">
      <c r="A31" s="128" t="s">
        <v>662</v>
      </c>
      <c r="B31" s="128" t="s">
        <v>663</v>
      </c>
      <c r="C31" s="128" t="s">
        <v>664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665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2020-01-17T13:50:20Z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