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000" windowHeight="855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P000!$A$1:$BU$283</definedName>
  </definedNames>
  <calcPr calcId="144525"/>
</workbook>
</file>

<file path=xl/sharedStrings.xml><?xml version="1.0" encoding="utf-8"?>
<sst xmlns="http://schemas.openxmlformats.org/spreadsheetml/2006/main" count="4278" uniqueCount="1062">
  <si>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</si>
  <si>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</si>
  <si>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</si>
  <si>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</si>
  <si>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</si>
  <si>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</si>
  <si>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</si>
  <si>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</si>
  <si>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</si>
  <si>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</si>
  <si>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</si>
  <si>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</si>
  <si>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</si>
  <si>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</si>
  <si>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</si>
  <si>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</si>
  <si>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</si>
  <si>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</si>
  <si>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</si>
  <si>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</si>
  <si>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</si>
  <si>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</si>
  <si>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</si>
  <si>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</si>
  <si>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</si>
  <si>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</si>
  <si>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</si>
  <si>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</si>
  <si>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</si>
  <si>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</si>
  <si>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</si>
  <si>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</si>
  <si>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</si>
  <si>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</si>
  <si>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</si>
  <si>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</si>
  <si>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</si>
  <si>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</si>
  <si>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</si>
  <si>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</si>
  <si>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</si>
  <si>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</si>
  <si>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</si>
  <si>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</si>
  <si>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</si>
  <si>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</si>
  <si>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</si>
  <si>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</si>
  <si>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</si>
  <si>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</si>
  <si>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</si>
  <si>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</si>
  <si>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</si>
  <si>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</si>
  <si>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</si>
  <si>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</si>
  <si>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</si>
  <si>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</si>
  <si>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</si>
  <si>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</si>
  <si>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</si>
  <si>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</si>
  <si>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</si>
  <si>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</si>
  <si>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</si>
  <si>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</si>
  <si>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</si>
  <si>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</si>
  <si>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</si>
  <si>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</si>
  <si>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</si>
  <si>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</si>
  <si>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</si>
  <si>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</si>
  <si>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</si>
  <si>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</si>
  <si>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</si>
  <si>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</si>
  <si>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</si>
  <si>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</si>
  <si>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</si>
  <si>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</si>
  <si>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</si>
  <si>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</si>
  <si>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</si>
  <si>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</si>
  <si>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</si>
  <si>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</si>
  <si>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</si>
  <si>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</si>
  <si>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</si>
  <si>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</si>
  <si>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</si>
  <si>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</si>
  <si>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</si>
  <si>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</si>
  <si>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</si>
  <si>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</si>
  <si>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</si>
  <si>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</si>
  <si>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</si>
  <si>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</si>
  <si>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</si>
  <si>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</si>
  <si>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</si>
  <si>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</si>
  <si>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</si>
  <si>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</si>
  <si>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</si>
  <si>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</si>
  <si>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</si>
  <si>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</si>
  <si>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</si>
  <si>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</si>
  <si>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</si>
  <si>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</si>
  <si>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</si>
  <si>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</si>
  <si>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</si>
  <si>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</si>
  <si>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</si>
  <si>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</si>
  <si>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</si>
  <si>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</si>
  <si>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</si>
  <si>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</si>
  <si>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</si>
  <si>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</si>
  <si>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</si>
  <si>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</si>
  <si>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</si>
  <si>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</si>
  <si>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</si>
  <si>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</si>
  <si>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</si>
  <si>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</si>
  <si>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</si>
  <si>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</si>
  <si>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</si>
  <si>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</si>
  <si>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</si>
  <si>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</si>
  <si>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</si>
  <si>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</si>
  <si>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</si>
  <si>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</si>
  <si>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</si>
  <si>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</si>
  <si>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</si>
  <si>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</si>
  <si>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</si>
  <si>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</si>
  <si>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</si>
  <si>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</si>
  <si>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</si>
  <si>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</si>
  <si>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</si>
  <si>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</si>
  <si>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</si>
  <si>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</si>
  <si>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</si>
  <si>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</si>
  <si>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</si>
  <si>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</si>
  <si>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</si>
  <si>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</si>
  <si>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</si>
  <si>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</si>
  <si>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</si>
  <si>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</si>
  <si>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</si>
  <si>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</si>
  <si>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</si>
  <si>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</si>
  <si>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</si>
  <si>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</si>
  <si>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</si>
  <si>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</si>
  <si>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</si>
  <si>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</si>
  <si>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</si>
  <si>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</si>
  <si>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</si>
  <si>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</si>
  <si>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</si>
  <si>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</si>
  <si>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</si>
  <si>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</si>
  <si>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</si>
  <si>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</si>
  <si>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</si>
  <si>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</si>
  <si>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</si>
  <si>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</si>
  <si>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</si>
  <si>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</si>
  <si>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</si>
  <si>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</si>
  <si>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</si>
  <si>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</si>
  <si>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</si>
  <si>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</si>
  <si>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</si>
  <si>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</si>
  <si>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</si>
  <si>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</si>
  <si>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</si>
  <si>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</si>
  <si>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</si>
  <si>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</si>
  <si>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</si>
  <si>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</si>
  <si>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</si>
  <si>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</si>
  <si>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</si>
  <si>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</si>
  <si>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</si>
  <si>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</si>
  <si>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</si>
  <si>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</si>
  <si>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</si>
  <si>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</si>
  <si>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</si>
  <si>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</si>
  <si>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</si>
  <si>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</si>
  <si>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</si>
  <si>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</si>
  <si>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</si>
  <si>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</si>
  <si>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</si>
  <si>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</si>
  <si>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</si>
  <si>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</si>
  <si>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</si>
  <si>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</si>
  <si>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</si>
  <si>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</si>
  <si>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</si>
  <si>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</si>
  <si>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</si>
  <si>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</si>
  <si>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</si>
  <si>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</si>
  <si>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</si>
  <si>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</si>
  <si>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</si>
  <si>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</si>
  <si>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</si>
  <si>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</si>
  <si>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</si>
  <si>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</si>
  <si>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</si>
  <si>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</si>
  <si>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</si>
  <si>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</si>
  <si>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</si>
  <si>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</si>
  <si>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</si>
  <si>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</si>
  <si>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</si>
  <si>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</si>
  <si>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</si>
  <si>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</si>
  <si>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</si>
  <si>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</si>
  <si>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</si>
  <si>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</si>
  <si>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</si>
  <si>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</si>
  <si>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</si>
  <si>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</si>
  <si>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</si>
  <si>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</si>
  <si>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</si>
  <si>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</si>
  <si>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</si>
  <si>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</si>
  <si>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</si>
  <si>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</si>
  <si>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</si>
  <si>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</si>
  <si>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</si>
  <si>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</si>
  <si>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</si>
  <si>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</si>
  <si>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</si>
  <si>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</si>
  <si>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</si>
  <si>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</si>
  <si>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</si>
  <si>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</si>
  <si>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</si>
  <si>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</si>
  <si>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</si>
  <si>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</si>
  <si>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</si>
  <si>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</si>
  <si>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</si>
  <si>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</si>
  <si>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</si>
  <si>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</si>
  <si>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</si>
  <si>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</si>
  <si>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</si>
  <si>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</si>
  <si>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</si>
  <si>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</si>
  <si>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</si>
  <si>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</si>
  <si>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</si>
  <si>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</si>
  <si>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</si>
  <si>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</si>
  <si>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</si>
  <si>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</si>
  <si>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</si>
  <si>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</si>
  <si>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</si>
  <si>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</si>
  <si>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</si>
  <si>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</si>
  <si>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</si>
  <si>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</si>
  <si>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</si>
  <si>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</si>
  <si>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</si>
  <si>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</si>
  <si>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</si>
  <si>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</si>
  <si>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</si>
  <si>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</si>
  <si>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</si>
  <si>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</si>
  <si>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</si>
  <si>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</si>
  <si>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</si>
  <si>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</si>
  <si>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</si>
  <si>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</si>
  <si>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</si>
  <si>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</si>
  <si>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</si>
  <si>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</si>
  <si>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</si>
  <si>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</si>
  <si>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</si>
  <si>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</si>
  <si>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</si>
  <si>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</si>
  <si>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</si>
  <si>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</si>
  <si>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</si>
  <si>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</si>
  <si>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</si>
  <si>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</si>
  <si>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</si>
  <si>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</si>
  <si>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</si>
  <si>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</si>
  <si>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</si>
  <si>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</si>
  <si>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</si>
  <si>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</si>
  <si>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</si>
  <si>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</si>
  <si>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</si>
  <si>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</si>
  <si>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</si>
  <si>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</si>
  <si>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</si>
  <si>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</si>
  <si>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</si>
  <si>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</si>
  <si>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</si>
  <si>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</si>
  <si>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</si>
  <si>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</si>
  <si>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</si>
  <si>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</si>
  <si>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</si>
  <si>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</si>
  <si>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</si>
  <si>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</si>
  <si>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</si>
  <si>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</si>
  <si>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</si>
  <si>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</si>
  <si>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</si>
  <si>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</si>
  <si>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</si>
  <si>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</si>
  <si>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</si>
  <si>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</si>
  <si>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</si>
  <si>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</si>
  <si>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</si>
  <si>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</si>
  <si>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</si>
  <si>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</si>
  <si>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</si>
  <si>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</si>
  <si>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</si>
  <si>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</si>
  <si>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</si>
  <si>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</si>
  <si>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</si>
  <si>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</si>
  <si>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</si>
  <si>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</si>
  <si>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</si>
  <si>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</si>
  <si>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</si>
  <si>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</si>
  <si>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</si>
  <si>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</si>
  <si>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</si>
  <si>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</si>
  <si>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</si>
  <si>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</si>
  <si>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</si>
  <si>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</si>
  <si>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</si>
  <si>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</si>
  <si>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</si>
  <si>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</si>
  <si>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</si>
  <si>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</si>
  <si>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</si>
  <si>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</si>
  <si>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</si>
  <si>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</si>
  <si>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</si>
  <si>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</si>
  <si>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</si>
  <si>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</si>
  <si>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</si>
  <si>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</si>
  <si>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</si>
  <si>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</si>
  <si>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</si>
  <si>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</si>
  <si>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</si>
  <si>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</si>
  <si>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</si>
  <si>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</si>
  <si>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</si>
  <si>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</si>
  <si>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</si>
  <si>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</si>
  <si>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</si>
  <si>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</si>
  <si>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</si>
  <si>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</si>
  <si>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</si>
  <si>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</si>
  <si>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</si>
  <si>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</si>
  <si>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</si>
  <si>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</si>
  <si>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</si>
  <si>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</si>
  <si>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</si>
  <si>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</si>
  <si>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</si>
  <si>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</si>
  <si>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</si>
  <si>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</si>
  <si>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</si>
  <si>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</si>
  <si>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</si>
  <si>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</si>
  <si>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</si>
  <si>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</si>
  <si>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</si>
  <si>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</si>
  <si>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</si>
  <si>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</si>
  <si>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</si>
  <si>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</si>
  <si>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</si>
  <si>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</si>
  <si>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</si>
  <si>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</si>
  <si>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</si>
  <si>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</si>
  <si>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</si>
  <si>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charset val="134"/>
      </rPr>
      <t>|Cff00FF7F小雷灵体[2]</t>
    </r>
    <r>
      <rPr>
        <sz val="10"/>
        <color theme="1"/>
        <rFont val="微软雅黑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</si>
  <si>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</si>
  <si>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</si>
  <si>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</si>
  <si>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</si>
  <si>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</si>
  <si>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charset val="134"/>
      </rPr>
      <t>|Cff00BFFF大雷灵体[3]</t>
    </r>
    <r>
      <rPr>
        <sz val="10"/>
        <color theme="1"/>
        <rFont val="微软雅黑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</si>
  <si>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</si>
  <si>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</si>
  <si>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</si>
  <si>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</si>
  <si>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</si>
  <si>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charset val="134"/>
      </rPr>
      <t>|Cff00BFFF雷神化身[4]</t>
    </r>
    <r>
      <rPr>
        <sz val="10"/>
        <color theme="1"/>
        <rFont val="微软雅黑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</si>
  <si>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</si>
  <si>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</si>
  <si>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</si>
  <si>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</si>
  <si>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</si>
  <si>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</si>
  <si>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</si>
  <si>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</si>
  <si>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</si>
  <si>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</si>
  <si>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</si>
  <si>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</si>
  <si>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</si>
  <si>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</si>
  <si>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</si>
  <si>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charset val="134"/>
      </rPr>
      <t>|CffFFD24D因果幻象[7]</t>
    </r>
    <r>
      <rPr>
        <sz val="10"/>
        <color theme="1"/>
        <rFont val="微软雅黑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</si>
  <si>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</si>
  <si>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</si>
  <si>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</si>
  <si>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</si>
  <si>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</si>
  <si>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</si>
  <si>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</si>
  <si>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</si>
  <si>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</si>
  <si>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</si>
  <si>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</si>
  <si>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</si>
  <si>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</si>
  <si>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</si>
  <si>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</si>
  <si>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</si>
  <si>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</si>
  <si>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</si>
  <si>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</si>
  <si>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</si>
  <si>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</si>
  <si>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</si>
  <si>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</si>
  <si>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</si>
  <si>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</si>
  <si>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</si>
  <si>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</si>
  <si>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</si>
  <si>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</si>
  <si>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</si>
  <si>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</si>
  <si>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</si>
  <si>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</si>
  <si>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</si>
  <si>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</si>
  <si>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</si>
  <si>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</si>
  <si>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</si>
  <si>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</si>
  <si>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</si>
  <si>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</si>
  <si>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</si>
  <si>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</si>
  <si>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</si>
  <si>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</si>
  <si>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</si>
  <si>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</si>
  <si>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</si>
  <si>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</si>
  <si>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</si>
  <si>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</si>
  <si>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</si>
  <si>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</si>
  <si>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</si>
  <si>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</si>
  <si>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</si>
  <si>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</si>
  <si>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</si>
  <si>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</si>
  <si>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</si>
  <si>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</si>
  <si>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</si>
  <si>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</si>
  <si>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</si>
  <si>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</si>
  <si>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</si>
  <si>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</si>
  <si>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</si>
  <si>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</si>
  <si>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</si>
  <si>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</si>
  <si>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</si>
  <si>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</si>
  <si>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</si>
  <si>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</si>
  <si>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</si>
  <si>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</si>
  <si>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</si>
  <si>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</si>
  <si>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</si>
  <si>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</si>
  <si>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</si>
  <si>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</si>
  <si>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</si>
  <si>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</si>
  <si>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</si>
  <si>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</si>
  <si>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</si>
  <si>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</si>
  <si>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</si>
  <si>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</si>
  <si>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</si>
  <si>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</si>
  <si>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</si>
  <si>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</si>
  <si>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</si>
  <si>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</si>
  <si>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</si>
  <si>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</si>
  <si>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</si>
  <si>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</si>
  <si>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</si>
  <si>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</si>
  <si>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</si>
  <si>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</si>
  <si>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</si>
  <si>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</si>
  <si>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</si>
  <si>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</si>
  <si>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</si>
  <si>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</si>
  <si>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</si>
  <si>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</si>
  <si>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</si>
  <si>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</si>
  <si>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</si>
  <si>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</si>
  <si>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</si>
  <si>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</si>
  <si>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</si>
  <si>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</si>
  <si>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</si>
  <si>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</si>
  <si>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</si>
  <si>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</si>
  <si>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</si>
  <si>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</si>
  <si>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</si>
  <si>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</si>
  <si>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</si>
  <si>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</si>
  <si>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</si>
  <si>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</si>
  <si>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</si>
  <si>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</si>
  <si>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</si>
  <si>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</si>
  <si>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</si>
  <si>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</si>
  <si>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</si>
  <si>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</si>
  <si>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</si>
  <si>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</si>
  <si>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</si>
  <si>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</si>
  <si>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</si>
  <si>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</si>
  <si>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</si>
  <si>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</si>
  <si>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</si>
  <si>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</si>
  <si>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</si>
  <si>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</si>
  <si>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</si>
  <si>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</si>
  <si>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</si>
  <si>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</si>
  <si>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</si>
  <si>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</si>
  <si>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</si>
  <si>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</si>
  <si>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</si>
  <si>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</si>
  <si>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</si>
  <si>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</si>
  <si>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</si>
  <si>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</si>
  <si>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</si>
  <si>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</si>
  <si>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</si>
  <si>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</si>
  <si>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</si>
  <si>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</si>
  <si>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</si>
  <si>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</si>
  <si>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</si>
  <si>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</si>
  <si>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</si>
  <si>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</si>
  <si>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</si>
  <si>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</si>
  <si>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</si>
  <si>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</si>
  <si>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</si>
  <si>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</si>
  <si>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</si>
  <si>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</si>
  <si>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</si>
  <si>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</si>
  <si>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</si>
  <si>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</si>
  <si>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</si>
  <si>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</si>
  <si>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</si>
  <si>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</si>
  <si>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</si>
  <si>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</si>
  <si>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</si>
  <si>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</si>
  <si>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</si>
  <si>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</si>
  <si>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</si>
  <si>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</si>
  <si>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</si>
  <si>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</si>
  <si>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</si>
  <si>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</si>
  <si>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</si>
  <si>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</si>
  <si>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</si>
  <si>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</si>
  <si>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</si>
  <si>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</si>
  <si>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</si>
  <si>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</si>
  <si>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</si>
  <si>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</si>
  <si>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</si>
  <si>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</si>
  <si>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</si>
  <si>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</si>
  <si>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</si>
  <si>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</si>
  <si>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</si>
  <si>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</si>
  <si>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</si>
  <si>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</si>
  <si>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</si>
  <si>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</si>
  <si>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</si>
  <si>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</si>
  <si>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</si>
  <si>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</si>
  <si>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</si>
  <si>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</si>
  <si>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</si>
  <si>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</si>
  <si>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</si>
  <si>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</si>
  <si>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</si>
  <si>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</si>
  <si>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</si>
  <si>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</si>
  <si>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</si>
  <si>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</si>
  <si>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</si>
  <si>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</si>
  <si>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</si>
  <si>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</si>
  <si>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</si>
  <si>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uT0A</t>
  </si>
  <si>
    <t>灵力挑战Lv1</t>
  </si>
  <si>
    <t>挑战怪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</si>
  <si>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</si>
  <si>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</si>
  <si>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</si>
  <si>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</si>
  <si>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</si>
  <si>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</si>
  <si>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</si>
  <si>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</si>
  <si>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</si>
  <si>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</si>
  <si>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</si>
  <si>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</si>
  <si>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</si>
  <si>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</si>
  <si>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</si>
  <si>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</si>
  <si>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</si>
  <si>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</si>
  <si>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</si>
  <si>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</si>
  <si>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</si>
  <si>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</si>
  <si>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</si>
  <si>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</si>
  <si>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</si>
  <si>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</si>
  <si>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</si>
  <si>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</si>
  <si>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</si>
  <si>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</si>
  <si>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</si>
  <si>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</si>
  <si>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</si>
  <si>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</si>
  <si>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</si>
  <si>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</si>
  <si>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</si>
  <si>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</si>
  <si>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</si>
  <si>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</si>
  <si>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</si>
  <si>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</si>
  <si>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</si>
  <si>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</si>
  <si>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</si>
  <si>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</si>
  <si>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</si>
  <si>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</si>
  <si>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</si>
  <si>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</si>
  <si>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</si>
  <si>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</si>
  <si>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</si>
  <si>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</si>
  <si>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</si>
  <si>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</si>
  <si>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</si>
  <si>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</si>
  <si>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</si>
  <si>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</si>
  <si>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</si>
  <si>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</si>
  <si>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</si>
  <si>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</si>
  <si>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</si>
  <si>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</si>
  <si>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</si>
  <si>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</si>
  <si>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</si>
  <si>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</si>
  <si>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</si>
  <si>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</si>
  <si>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</si>
  <si>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</si>
  <si>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r>
      <rPr>
        <sz val="11"/>
        <color theme="1"/>
        <rFont val="等线"/>
        <charset val="134"/>
        <scheme val="minor"/>
      </rPr>
      <t>uT</t>
    </r>
    <r>
      <rPr>
        <sz val="11"/>
        <color theme="1"/>
        <rFont val="等线"/>
        <charset val="134"/>
        <scheme val="minor"/>
      </rPr>
      <t>AA</t>
    </r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</si>
  <si>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</si>
  <si>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</si>
  <si>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</si>
  <si>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</si>
  <si>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</si>
  <si>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</si>
  <si>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</si>
  <si>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</si>
  <si>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</si>
  <si>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</si>
  <si>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</si>
  <si>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</si>
  <si>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</si>
  <si>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</si>
  <si>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</si>
  <si>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</si>
  <si>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</si>
  <si>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</si>
  <si>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</si>
  <si>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</si>
  <si>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</si>
  <si>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</si>
  <si>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</si>
  <si>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</si>
  <si>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</si>
  <si>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</si>
  <si>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</si>
  <si>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</si>
  <si>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</si>
  <si>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</si>
  <si>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</si>
  <si>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u001</t>
  </si>
  <si>
    <r>
      <rPr>
        <sz val="11"/>
        <color theme="1"/>
        <rFont val="等线"/>
        <charset val="134"/>
        <scheme val="minor"/>
      </rPr>
      <t>|Cff00FF7F送宝金蟾.Lv2|r</t>
    </r>
    <r>
      <rPr>
        <sz val="11"/>
        <color theme="1"/>
        <rFont val="等线"/>
        <charset val="134"/>
        <scheme val="minor"/>
      </rPr>
      <t>|n(打死我升级练功房)</t>
    </r>
  </si>
  <si>
    <t>moster_songbaojinchan</t>
  </si>
  <si>
    <t>u002</t>
  </si>
  <si>
    <r>
      <rPr>
        <sz val="11"/>
        <color theme="1"/>
        <rFont val="等线"/>
        <charset val="134"/>
        <scheme val="minor"/>
      </rPr>
      <t>|Cff00BFFF送宝金蟾.Lv3|r</t>
    </r>
    <r>
      <rPr>
        <sz val="11"/>
        <color theme="1"/>
        <rFont val="等线"/>
        <charset val="134"/>
        <scheme val="minor"/>
      </rPr>
      <t>|n(打死我升级练功房)</t>
    </r>
  </si>
  <si>
    <t>u003</t>
  </si>
  <si>
    <r>
      <rPr>
        <sz val="11"/>
        <color theme="1"/>
        <rFont val="等线"/>
        <charset val="134"/>
        <scheme val="minor"/>
      </rPr>
      <t>|CffFFD24D送宝金蟾.Lv4|r</t>
    </r>
    <r>
      <rPr>
        <sz val="11"/>
        <color theme="1"/>
        <rFont val="等线"/>
        <charset val="134"/>
        <scheme val="minor"/>
      </rPr>
      <t>|n(打死我升级练功房)</t>
    </r>
  </si>
  <si>
    <t>u004</t>
  </si>
  <si>
    <r>
      <rPr>
        <sz val="11"/>
        <color theme="1"/>
        <rFont val="等线"/>
        <charset val="134"/>
        <scheme val="minor"/>
      </rPr>
      <t>|CffFF0000送宝金蟾.Lv5|r</t>
    </r>
    <r>
      <rPr>
        <sz val="11"/>
        <color theme="1"/>
        <rFont val="等线"/>
        <charset val="134"/>
        <scheme val="minor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</si>
  <si>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</si>
  <si>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</si>
  <si>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</si>
  <si>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</si>
  <si>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</si>
  <si>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</si>
  <si>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</si>
  <si>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</si>
  <si>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</si>
  <si>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</si>
  <si>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</si>
  <si>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</si>
  <si>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</si>
  <si>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</si>
  <si>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</si>
  <si>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</si>
  <si>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</si>
  <si>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  <scheme val="minor"/>
      </rPr>
      <t>星宿之灵1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</si>
  <si>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</si>
  <si>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</si>
  <si>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  <scheme val="minor"/>
      </rPr>
      <t>星宿之灵2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</si>
  <si>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u0DC</t>
  </si>
  <si>
    <r>
      <rPr>
        <sz val="11"/>
        <color theme="1"/>
        <rFont val="等线"/>
        <charset val="134"/>
        <scheme val="minor"/>
      </rPr>
      <t>星宿之灵3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</si>
  <si>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u0DD</t>
  </si>
  <si>
    <r>
      <rPr>
        <sz val="11"/>
        <color theme="1"/>
        <rFont val="等线"/>
        <charset val="134"/>
        <scheme val="minor"/>
      </rPr>
      <t>星宿之灵4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</si>
  <si>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u0DE</t>
  </si>
  <si>
    <r>
      <rPr>
        <sz val="11"/>
        <color theme="1"/>
        <rFont val="等线"/>
        <charset val="134"/>
        <scheme val="minor"/>
      </rPr>
      <t>星宿之灵5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</si>
  <si>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</si>
  <si>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</si>
  <si>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</si>
  <si>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</si>
  <si>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  <scheme val="minor"/>
      </rPr>
      <t>星宿之灵7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</si>
  <si>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u0DH</t>
  </si>
  <si>
    <r>
      <rPr>
        <sz val="11"/>
        <color theme="1"/>
        <rFont val="等线"/>
        <charset val="134"/>
        <scheme val="minor"/>
      </rPr>
      <t>星宿之灵8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</si>
  <si>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u0DI</t>
  </si>
  <si>
    <r>
      <rPr>
        <sz val="11"/>
        <color theme="1"/>
        <rFont val="等线"/>
        <charset val="134"/>
        <scheme val="minor"/>
      </rPr>
      <t>星宿之灵9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</si>
  <si>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u0DJ</t>
  </si>
  <si>
    <r>
      <rPr>
        <sz val="11"/>
        <color theme="1"/>
        <rFont val="等线"/>
        <charset val="134"/>
        <scheme val="minor"/>
      </rPr>
      <t>星宿之灵10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</si>
  <si>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u0DK</t>
  </si>
  <si>
    <r>
      <rPr>
        <sz val="11"/>
        <color theme="1"/>
        <rFont val="等线"/>
        <charset val="134"/>
        <scheme val="minor"/>
      </rPr>
      <t>星宿之灵11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</si>
  <si>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</si>
  <si>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</si>
  <si>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</si>
  <si>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</si>
  <si>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  <scheme val="minor"/>
      </rPr>
      <t>星宿之灵13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</si>
  <si>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u0DN</t>
  </si>
  <si>
    <r>
      <rPr>
        <sz val="11"/>
        <color theme="1"/>
        <rFont val="等线"/>
        <charset val="134"/>
        <scheme val="minor"/>
      </rPr>
      <t>星宿之灵14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</si>
  <si>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u0DO</t>
  </si>
  <si>
    <r>
      <rPr>
        <sz val="11"/>
        <color theme="1"/>
        <rFont val="等线"/>
        <charset val="134"/>
        <scheme val="minor"/>
      </rPr>
      <t>星宿之灵15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</si>
  <si>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u0DP</t>
  </si>
  <si>
    <r>
      <rPr>
        <sz val="11"/>
        <color theme="1"/>
        <rFont val="等线"/>
        <charset val="134"/>
        <scheme val="minor"/>
      </rPr>
      <t>星宿之灵16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</si>
  <si>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u0DQ</t>
  </si>
  <si>
    <r>
      <rPr>
        <sz val="11"/>
        <color theme="1"/>
        <rFont val="等线"/>
        <charset val="134"/>
        <scheme val="minor"/>
      </rPr>
      <t>星宿之灵17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</si>
  <si>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</si>
  <si>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</si>
  <si>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</si>
  <si>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</si>
  <si>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  <scheme val="minor"/>
      </rPr>
      <t>星宿之灵19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</si>
  <si>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u0DT</t>
  </si>
  <si>
    <r>
      <rPr>
        <sz val="11"/>
        <color theme="1"/>
        <rFont val="等线"/>
        <charset val="134"/>
        <scheme val="minor"/>
      </rPr>
      <t>星宿之灵20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</si>
  <si>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u0DU</t>
  </si>
  <si>
    <r>
      <rPr>
        <sz val="11"/>
        <color theme="1"/>
        <rFont val="等线"/>
        <charset val="134"/>
        <scheme val="minor"/>
      </rPr>
      <t>星宿之灵21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</si>
  <si>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u0DV</t>
  </si>
  <si>
    <r>
      <rPr>
        <sz val="11"/>
        <color theme="1"/>
        <rFont val="等线"/>
        <charset val="134"/>
        <scheme val="minor"/>
      </rPr>
      <t>星宿之灵22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</si>
  <si>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u0DW</t>
  </si>
  <si>
    <r>
      <rPr>
        <sz val="11"/>
        <color theme="1"/>
        <rFont val="等线"/>
        <charset val="134"/>
        <scheme val="minor"/>
      </rPr>
      <t>星宿之灵23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</si>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</sst>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_ "/>
  </numFmts>
  <fonts count="27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5" fillId="9" borderId="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8" borderId="7" applyNumberFormat="0" applyFont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6" fillId="4" borderId="4" applyNumberFormat="0" applyAlignment="0" applyProtection="0">
      <alignment vertical="center"/>
    </xf>
    <xf numFmtId="0" fontId="24" fillId="4" borderId="8" applyNumberFormat="0" applyAlignment="0" applyProtection="0">
      <alignment vertical="center"/>
    </xf>
    <xf numFmtId="0" fontId="16" fillId="10" borderId="9" applyNumberFormat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</cellStyleXfs>
  <cellXfs count="36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1" fillId="3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1264920</xdr:colOff>
          <xdr:row>1</xdr:row>
          <xdr:rowOff>129540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1264920" cy="32004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000125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U301"/>
  <sheetViews>
    <sheetView tabSelected="1" workbookViewId="0">
      <pane xSplit="6" ySplit="2" topLeftCell="G184" activePane="bottomRight" state="frozen"/>
      <selection/>
      <selection pane="topRight"/>
      <selection pane="bottomLeft"/>
      <selection pane="bottomRight" activeCell="E198" sqref="E198"/>
    </sheetView>
  </sheetViews>
  <sheetFormatPr defaultColWidth="9" defaultRowHeight="15"/>
  <cols>
    <col min="1" max="1" width="21.25" style="8" customWidth="1"/>
    <col min="2" max="2" width="9" style="8"/>
    <col min="3" max="3" width="9" style="8" customWidth="1"/>
    <col min="4" max="4" width="14.1296296296296" style="8" customWidth="1"/>
    <col min="5" max="5" width="30" style="9" customWidth="1"/>
    <col min="6" max="6" width="20.8796296296296" style="9" hidden="1" customWidth="1"/>
    <col min="7" max="7" width="13.8796296296296" style="5" customWidth="1"/>
    <col min="8" max="8" width="27.5" style="8" customWidth="1"/>
    <col min="9" max="9" width="10.3796296296296" style="8" customWidth="1"/>
    <col min="10" max="10" width="32.75" style="8" customWidth="1"/>
    <col min="11" max="11" width="16.3796296296296" style="8" customWidth="1"/>
    <col min="12" max="13" width="10.3796296296296" style="8" customWidth="1"/>
    <col min="14" max="14" width="61.6296296296296" style="8" customWidth="1"/>
    <col min="15" max="15" width="55" style="8" customWidth="1"/>
    <col min="16" max="17" width="14.8796296296296" style="8" customWidth="1"/>
    <col min="18" max="20" width="5.62962962962963" style="8" customWidth="1"/>
    <col min="21" max="22" width="16.75" style="8" customWidth="1"/>
    <col min="23" max="23" width="14.3796296296296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96296296296" style="8" customWidth="1"/>
    <col min="29" max="29" width="11.1296296296296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96296296296" style="8" customWidth="1"/>
    <col min="37" max="41" width="13" style="8" customWidth="1"/>
    <col min="42" max="46" width="12.3796296296296" style="8" customWidth="1"/>
    <col min="47" max="47" width="10" style="8" customWidth="1"/>
    <col min="48" max="48" width="9" style="8"/>
    <col min="49" max="49" width="13.5" style="8" customWidth="1"/>
    <col min="50" max="50" width="16.6296296296296" style="8" customWidth="1"/>
    <col min="51" max="54" width="19.5" style="8" customWidth="1"/>
    <col min="55" max="60" width="14.3796296296296" style="8" customWidth="1"/>
    <col min="61" max="61" width="12.3796296296296" style="8" customWidth="1"/>
    <col min="62" max="16384" width="9" style="8"/>
  </cols>
  <sheetData>
    <row r="1" s="5" customFormat="1" spans="1:73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="5" customFormat="1" spans="1:73">
      <c r="A2" s="9">
        <f>COUNTA(B:B)+1</f>
        <v>283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="5" customFormat="1" ht="12.95" customHeight="1" spans="2:7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0.65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="5" customFormat="1" spans="2:7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0.65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="5" customFormat="1" spans="2:7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36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0.65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="5" customFormat="1" spans="2:7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0.65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="5" customFormat="1" spans="2:7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0.65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="5" customFormat="1" spans="2:7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36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0.65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="5" customFormat="1" spans="2:7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36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0.65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="5" customFormat="1" spans="2:7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0.65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="5" customFormat="1" spans="2:7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0.65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="5" customFormat="1" spans="2:7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0.65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="5" customFormat="1" spans="2:7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36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0.65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="5" customFormat="1" spans="2:7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0.65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="5" customFormat="1" spans="2:7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0.65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="5" customFormat="1" spans="2:7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36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0.65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="5" customFormat="1" spans="2:7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36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0.65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="5" customFormat="1" spans="2:7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0.65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="5" customFormat="1" spans="2:7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0.65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="5" customFormat="1" spans="2:7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0.65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="5" customFormat="1" spans="2:7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0.65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="5" customFormat="1" spans="2:7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0.65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="5" customFormat="1" spans="2:7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36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0.65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="5" customFormat="1" spans="2:7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0.65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="5" customFormat="1" spans="2:7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0.65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="5" customFormat="1" spans="2:7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0.65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="5" customFormat="1" spans="2:7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0.65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="5" customFormat="1" spans="2:7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0.65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="5" customFormat="1" spans="2:7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0.65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="5" customFormat="1" spans="2:7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0.65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="5" customFormat="1" spans="2:7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36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0.65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="5" customFormat="1" spans="2:7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36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0.65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="5" customFormat="1" spans="2:7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36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0.65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="6" customFormat="1" spans="2:69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36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="6" customFormat="1" spans="2:69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36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="6" customFormat="1" spans="2:69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36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="6" customFormat="1" spans="2:69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36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="6" customFormat="1" spans="2:69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36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="6" customFormat="1" spans="2:69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36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="6" customFormat="1" ht="15.6" spans="2:69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325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36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="6" customFormat="1" spans="2:69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325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36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="6" customFormat="1" spans="2:69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325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36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="6" customFormat="1" spans="2:69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350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36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="6" customFormat="1" spans="2:69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350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36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="6" customFormat="1" spans="2:69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36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="6" customFormat="1" spans="2:69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36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="6" customFormat="1" spans="2:69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36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="6" customFormat="1" spans="2:69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350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36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0.58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="6" customFormat="1" spans="2:69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350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36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="6" customFormat="1" spans="2:69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350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36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="6" customFormat="1" spans="2:69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350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36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="6" customFormat="1" spans="2:69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400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36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="6" customFormat="1" spans="2:69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400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36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="6" customFormat="1" spans="2:69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400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36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="6" customFormat="1" spans="2:69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400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36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="6" customFormat="1" spans="2:69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400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36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="6" customFormat="1" spans="2:69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400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36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="6" customFormat="1" spans="2:69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400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3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="6" customFormat="1" spans="2:69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400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36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="6" customFormat="1" spans="2:69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400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36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="6" customFormat="1" spans="2:69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400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36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="6" customFormat="1" spans="2:69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400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36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="6" customFormat="1" spans="2:69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400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36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="6" customFormat="1" spans="2:69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0.2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36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="6" customFormat="1" spans="2:69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0.2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36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="6" customFormat="1" spans="2:69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</v>
      </c>
      <c r="Q66" s="16"/>
      <c r="R66" s="16">
        <v>0</v>
      </c>
      <c r="S66" s="16">
        <v>255</v>
      </c>
      <c r="T66" s="16">
        <v>255</v>
      </c>
      <c r="U66" s="16">
        <v>0.2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36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="6" customFormat="1" spans="2:69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0.2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36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="6" customFormat="1" spans="2:69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0.2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36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="6" customFormat="1" spans="2:69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</v>
      </c>
      <c r="Q69" s="16"/>
      <c r="R69" s="16"/>
      <c r="S69" s="16"/>
      <c r="T69" s="16"/>
      <c r="U69" s="16">
        <v>0.2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36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="6" customFormat="1" spans="2:69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</v>
      </c>
      <c r="Q70" s="16"/>
      <c r="R70" s="16">
        <v>0</v>
      </c>
      <c r="S70" s="16">
        <v>255</v>
      </c>
      <c r="T70" s="16">
        <v>200</v>
      </c>
      <c r="U70" s="16">
        <v>0.2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36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="6" customFormat="1" spans="2:69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</v>
      </c>
      <c r="Q71" s="16"/>
      <c r="R71" s="16"/>
      <c r="S71" s="16"/>
      <c r="T71" s="16"/>
      <c r="U71" s="16">
        <v>0.2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36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="6" customFormat="1" spans="2:69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</v>
      </c>
      <c r="Q72" s="16"/>
      <c r="R72" s="16"/>
      <c r="S72" s="16"/>
      <c r="T72" s="16"/>
      <c r="U72" s="16">
        <v>0.2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36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="5" customFormat="1" spans="2:69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37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="5" customFormat="1" spans="2:69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37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="5" customFormat="1" spans="2:69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37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="5" customFormat="1" spans="2:69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37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="5" customFormat="1" spans="2:69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37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="5" customFormat="1" spans="2:69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37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="5" customFormat="1" spans="2:69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37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="5" customFormat="1" spans="2:69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37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="5" customFormat="1" spans="2:69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37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="5" customFormat="1" spans="2:69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37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="5" customFormat="1" spans="2:69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37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="5" customFormat="1" spans="2:69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37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="5" customFormat="1" spans="2:69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37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="5" customFormat="1" spans="2:69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37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="5" customFormat="1" spans="2:69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37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="5" customFormat="1" customHeight="1" spans="2:69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37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="5" customFormat="1" spans="2:69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37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="5" customFormat="1" spans="2:69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3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="5" customFormat="1" spans="2:69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1.15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3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="5" customFormat="1" spans="2:69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3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="5" customFormat="1" spans="2:69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3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="5" customFormat="1" spans="2:69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3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="5" customFormat="1" spans="2:69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3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="5" customFormat="1" spans="2:69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3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="5" customFormat="1" spans="2:69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3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="7" customFormat="1" spans="2:69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38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="6" customFormat="1" spans="2:69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36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/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="6" customFormat="1" spans="2:69">
      <c r="B100" s="16" t="s">
        <v>470</v>
      </c>
      <c r="C100" s="6" t="s">
        <v>71</v>
      </c>
      <c r="D100" s="16" t="s">
        <v>280</v>
      </c>
      <c r="E100" t="s">
        <v>471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472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36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/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="6" customFormat="1" spans="2:69">
      <c r="B101" s="16" t="s">
        <v>473</v>
      </c>
      <c r="C101" s="6" t="s">
        <v>71</v>
      </c>
      <c r="D101" s="16" t="s">
        <v>280</v>
      </c>
      <c r="E101" t="s">
        <v>474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475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36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/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="6" customFormat="1" spans="2:69">
      <c r="B102" s="16" t="s">
        <v>476</v>
      </c>
      <c r="C102" s="6" t="s">
        <v>71</v>
      </c>
      <c r="D102" s="16" t="s">
        <v>280</v>
      </c>
      <c r="E102" t="s">
        <v>477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478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36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/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="6" customFormat="1" spans="2:69">
      <c r="B103" s="16" t="s">
        <v>479</v>
      </c>
      <c r="C103" s="6" t="s">
        <v>71</v>
      </c>
      <c r="D103" s="16" t="s">
        <v>280</v>
      </c>
      <c r="E103" t="s">
        <v>480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481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36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/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="6" customFormat="1" spans="2:73">
      <c r="B104" s="16" t="s">
        <v>482</v>
      </c>
      <c r="C104" s="6" t="s">
        <v>71</v>
      </c>
      <c r="D104" s="16" t="s">
        <v>280</v>
      </c>
      <c r="E104" s="28" t="s">
        <v>483</v>
      </c>
      <c r="F104" s="19"/>
      <c r="G104" s="28" t="s">
        <v>484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485</v>
      </c>
      <c r="P104" s="16"/>
      <c r="Q104" s="16"/>
      <c r="R104" s="16"/>
      <c r="S104" s="16"/>
      <c r="T104" s="16"/>
      <c r="U104" s="16">
        <v>0.5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36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="6" customFormat="1" spans="2:73">
      <c r="B105" s="16" t="s">
        <v>486</v>
      </c>
      <c r="C105" s="6" t="s">
        <v>71</v>
      </c>
      <c r="D105" s="16" t="s">
        <v>280</v>
      </c>
      <c r="E105" s="28" t="s">
        <v>487</v>
      </c>
      <c r="F105" s="19"/>
      <c r="G105" s="28" t="s">
        <v>488</v>
      </c>
      <c r="H105" s="16"/>
      <c r="I105" s="16" t="s">
        <v>283</v>
      </c>
      <c r="J105" s="16" t="s">
        <v>489</v>
      </c>
      <c r="K105" s="16"/>
      <c r="L105" s="16">
        <v>0</v>
      </c>
      <c r="M105" s="16">
        <v>0</v>
      </c>
      <c r="N105" s="16"/>
      <c r="O105" s="16" t="s">
        <v>490</v>
      </c>
      <c r="P105" s="16"/>
      <c r="Q105" s="16"/>
      <c r="R105" s="16"/>
      <c r="S105" s="16"/>
      <c r="T105" s="16"/>
      <c r="U105" s="16">
        <v>0.5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36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491</v>
      </c>
    </row>
    <row r="106" s="6" customFormat="1" spans="2:73">
      <c r="B106" s="16" t="s">
        <v>492</v>
      </c>
      <c r="C106" s="6" t="s">
        <v>71</v>
      </c>
      <c r="D106" s="16" t="s">
        <v>280</v>
      </c>
      <c r="E106" s="28" t="s">
        <v>493</v>
      </c>
      <c r="F106" s="19"/>
      <c r="G106" s="29" t="s">
        <v>494</v>
      </c>
      <c r="H106" s="16"/>
      <c r="I106" s="16" t="s">
        <v>283</v>
      </c>
      <c r="J106" s="16" t="s">
        <v>495</v>
      </c>
      <c r="K106" s="16"/>
      <c r="L106" s="16">
        <v>0</v>
      </c>
      <c r="M106" s="16">
        <v>0</v>
      </c>
      <c r="N106" s="16"/>
      <c r="O106" s="16" t="s">
        <v>496</v>
      </c>
      <c r="P106" s="16"/>
      <c r="Q106" s="16"/>
      <c r="R106" s="16"/>
      <c r="S106" s="16"/>
      <c r="T106" s="16"/>
      <c r="U106" s="16">
        <v>0.5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36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497</v>
      </c>
    </row>
    <row r="107" s="6" customFormat="1" spans="2:73">
      <c r="B107" s="16" t="s">
        <v>498</v>
      </c>
      <c r="C107" s="6" t="s">
        <v>71</v>
      </c>
      <c r="D107" s="16" t="s">
        <v>280</v>
      </c>
      <c r="E107" s="28" t="s">
        <v>499</v>
      </c>
      <c r="F107" s="19"/>
      <c r="G107" s="29" t="s">
        <v>500</v>
      </c>
      <c r="H107" s="16"/>
      <c r="I107" s="16" t="s">
        <v>283</v>
      </c>
      <c r="J107" s="16" t="s">
        <v>501</v>
      </c>
      <c r="K107" s="16"/>
      <c r="L107" s="16">
        <v>0</v>
      </c>
      <c r="M107" s="16">
        <v>0</v>
      </c>
      <c r="N107" s="16"/>
      <c r="O107" s="16" t="s">
        <v>502</v>
      </c>
      <c r="P107" s="16"/>
      <c r="Q107" s="16"/>
      <c r="R107" s="16"/>
      <c r="S107" s="16"/>
      <c r="T107" s="16"/>
      <c r="U107" s="16">
        <v>0.5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36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503</v>
      </c>
    </row>
    <row r="108" s="6" customFormat="1" spans="2:73">
      <c r="B108" s="16" t="s">
        <v>504</v>
      </c>
      <c r="C108" s="6" t="s">
        <v>71</v>
      </c>
      <c r="D108" s="16" t="s">
        <v>280</v>
      </c>
      <c r="E108" s="28" t="s">
        <v>505</v>
      </c>
      <c r="F108" s="19"/>
      <c r="G108" s="29" t="s">
        <v>506</v>
      </c>
      <c r="H108" s="16"/>
      <c r="I108" s="16" t="s">
        <v>283</v>
      </c>
      <c r="J108" s="16" t="s">
        <v>507</v>
      </c>
      <c r="K108" s="16"/>
      <c r="L108" s="16">
        <v>0</v>
      </c>
      <c r="M108" s="16">
        <v>0</v>
      </c>
      <c r="N108" s="16"/>
      <c r="O108" s="16" t="s">
        <v>508</v>
      </c>
      <c r="P108" s="16">
        <v>2</v>
      </c>
      <c r="Q108" s="16"/>
      <c r="R108" s="16"/>
      <c r="S108" s="16"/>
      <c r="T108" s="16"/>
      <c r="U108" s="16">
        <v>0.5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36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509</v>
      </c>
    </row>
    <row r="109" s="6" customFormat="1" spans="2:73">
      <c r="B109" s="16" t="s">
        <v>510</v>
      </c>
      <c r="C109" s="6" t="s">
        <v>71</v>
      </c>
      <c r="D109" s="16" t="s">
        <v>280</v>
      </c>
      <c r="E109" s="28" t="s">
        <v>511</v>
      </c>
      <c r="F109" s="19"/>
      <c r="G109" s="30" t="s">
        <v>512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513</v>
      </c>
      <c r="P109" s="16"/>
      <c r="Q109" s="16"/>
      <c r="R109" s="16"/>
      <c r="S109" s="16"/>
      <c r="T109" s="16"/>
      <c r="U109" s="16">
        <v>0.5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36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="6" customFormat="1" spans="2:73">
      <c r="B110" s="16" t="s">
        <v>514</v>
      </c>
      <c r="C110" s="6" t="s">
        <v>71</v>
      </c>
      <c r="D110" s="16" t="s">
        <v>280</v>
      </c>
      <c r="E110" s="28" t="s">
        <v>515</v>
      </c>
      <c r="F110" s="19"/>
      <c r="G110" s="30" t="s">
        <v>516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517</v>
      </c>
      <c r="P110" s="16">
        <v>0.8</v>
      </c>
      <c r="Q110" s="16"/>
      <c r="R110" s="16"/>
      <c r="S110" s="16"/>
      <c r="T110" s="16"/>
      <c r="U110" s="16">
        <v>0.5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36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="6" customFormat="1" spans="2:73">
      <c r="B111" s="16" t="s">
        <v>518</v>
      </c>
      <c r="C111" s="6" t="s">
        <v>71</v>
      </c>
      <c r="D111" s="16" t="s">
        <v>280</v>
      </c>
      <c r="E111" s="28" t="s">
        <v>519</v>
      </c>
      <c r="F111" s="19"/>
      <c r="G111" s="30" t="s">
        <v>520</v>
      </c>
      <c r="H111" s="16"/>
      <c r="I111" s="16" t="s">
        <v>283</v>
      </c>
      <c r="J111" s="16" t="s">
        <v>521</v>
      </c>
      <c r="K111" s="16"/>
      <c r="L111" s="16">
        <v>0</v>
      </c>
      <c r="M111" s="16">
        <v>0</v>
      </c>
      <c r="N111" s="16"/>
      <c r="O111" s="16" t="s">
        <v>522</v>
      </c>
      <c r="P111" s="16"/>
      <c r="Q111" s="16"/>
      <c r="R111" s="16"/>
      <c r="S111" s="16"/>
      <c r="T111" s="16"/>
      <c r="U111" s="16">
        <v>0.5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36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523</v>
      </c>
    </row>
    <row r="112" s="6" customFormat="1" spans="2:73">
      <c r="B112" s="16" t="s">
        <v>524</v>
      </c>
      <c r="C112" s="6" t="s">
        <v>71</v>
      </c>
      <c r="D112" s="16" t="s">
        <v>280</v>
      </c>
      <c r="E112" s="28" t="s">
        <v>525</v>
      </c>
      <c r="F112" s="19"/>
      <c r="G112" s="30" t="s">
        <v>526</v>
      </c>
      <c r="H112" s="16"/>
      <c r="I112" s="16" t="s">
        <v>283</v>
      </c>
      <c r="J112" s="16" t="s">
        <v>527</v>
      </c>
      <c r="K112" s="16"/>
      <c r="L112" s="16">
        <v>0</v>
      </c>
      <c r="M112" s="16">
        <v>0</v>
      </c>
      <c r="N112" s="16"/>
      <c r="O112" s="16" t="s">
        <v>431</v>
      </c>
      <c r="P112" s="16"/>
      <c r="Q112" s="16"/>
      <c r="R112" s="16"/>
      <c r="S112" s="16"/>
      <c r="T112" s="16"/>
      <c r="U112" s="16">
        <v>0.5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36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528</v>
      </c>
    </row>
    <row r="113" s="6" customFormat="1" spans="2:73">
      <c r="B113" s="16" t="s">
        <v>529</v>
      </c>
      <c r="C113" s="6" t="s">
        <v>71</v>
      </c>
      <c r="D113" s="16" t="s">
        <v>280</v>
      </c>
      <c r="E113" s="28" t="s">
        <v>530</v>
      </c>
      <c r="F113" s="19"/>
      <c r="G113" s="30" t="s">
        <v>531</v>
      </c>
      <c r="H113" s="16"/>
      <c r="I113" s="16" t="s">
        <v>283</v>
      </c>
      <c r="J113" s="16" t="s">
        <v>532</v>
      </c>
      <c r="K113" s="16"/>
      <c r="L113" s="16">
        <v>0</v>
      </c>
      <c r="M113" s="16">
        <v>0</v>
      </c>
      <c r="N113" s="16"/>
      <c r="O113" s="16" t="s">
        <v>533</v>
      </c>
      <c r="P113" s="16">
        <v>2</v>
      </c>
      <c r="Q113" s="16"/>
      <c r="R113" s="16"/>
      <c r="S113" s="16"/>
      <c r="T113" s="16"/>
      <c r="U113" s="16">
        <v>0.5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534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36" t="s">
        <v>535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536</v>
      </c>
    </row>
    <row r="114" s="6" customFormat="1" spans="2:69">
      <c r="B114" s="16" t="s">
        <v>537</v>
      </c>
      <c r="C114" s="6" t="s">
        <v>71</v>
      </c>
      <c r="D114" s="16" t="s">
        <v>280</v>
      </c>
      <c r="E114" s="28" t="s">
        <v>538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0.5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36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="6" customFormat="1" spans="2:69">
      <c r="B115" s="16" t="s">
        <v>539</v>
      </c>
      <c r="C115" s="6" t="s">
        <v>71</v>
      </c>
      <c r="D115" s="16" t="s">
        <v>280</v>
      </c>
      <c r="E115" s="28" t="s">
        <v>540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0.5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36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="6" customFormat="1" spans="2:69">
      <c r="B116" s="16" t="s">
        <v>541</v>
      </c>
      <c r="C116" s="6" t="s">
        <v>71</v>
      </c>
      <c r="D116" s="16" t="s">
        <v>280</v>
      </c>
      <c r="E116" s="28" t="s">
        <v>542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0.5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36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="6" customFormat="1" spans="2:69">
      <c r="B117" s="16" t="s">
        <v>543</v>
      </c>
      <c r="C117" s="6" t="s">
        <v>71</v>
      </c>
      <c r="D117" s="16" t="s">
        <v>280</v>
      </c>
      <c r="E117" s="28" t="s">
        <v>544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0.5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36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="6" customFormat="1" spans="2:69">
      <c r="B118" s="16" t="s">
        <v>545</v>
      </c>
      <c r="C118" s="6" t="s">
        <v>71</v>
      </c>
      <c r="D118" s="16" t="s">
        <v>280</v>
      </c>
      <c r="E118" s="28" t="s">
        <v>546</v>
      </c>
      <c r="F118" s="28"/>
      <c r="G118" s="28" t="s">
        <v>547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548</v>
      </c>
      <c r="P118" s="16">
        <v>1.5</v>
      </c>
      <c r="Q118" s="16"/>
      <c r="R118" s="16"/>
      <c r="S118" s="16"/>
      <c r="T118" s="16"/>
      <c r="U118" s="16">
        <v>0.5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36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="6" customFormat="1" spans="2:69">
      <c r="B119" s="16" t="s">
        <v>549</v>
      </c>
      <c r="C119" s="6" t="s">
        <v>71</v>
      </c>
      <c r="D119" s="16" t="s">
        <v>280</v>
      </c>
      <c r="E119" s="28" t="s">
        <v>550</v>
      </c>
      <c r="F119" s="28"/>
      <c r="G119" s="28" t="s">
        <v>547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548</v>
      </c>
      <c r="P119" s="16">
        <v>1.5</v>
      </c>
      <c r="Q119" s="16"/>
      <c r="R119" s="16"/>
      <c r="S119" s="16"/>
      <c r="T119" s="16"/>
      <c r="U119" s="16">
        <v>0.5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36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="6" customFormat="1" spans="2:69">
      <c r="B120" s="16" t="s">
        <v>551</v>
      </c>
      <c r="C120" s="6" t="s">
        <v>71</v>
      </c>
      <c r="D120" s="16" t="s">
        <v>280</v>
      </c>
      <c r="E120" s="28" t="s">
        <v>552</v>
      </c>
      <c r="F120" s="28"/>
      <c r="G120" s="28" t="s">
        <v>547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548</v>
      </c>
      <c r="P120" s="16">
        <v>1.5</v>
      </c>
      <c r="Q120" s="16"/>
      <c r="R120" s="16"/>
      <c r="S120" s="16"/>
      <c r="T120" s="16"/>
      <c r="U120" s="16">
        <v>0.5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36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="6" customFormat="1" spans="2:69">
      <c r="B121" s="16" t="s">
        <v>553</v>
      </c>
      <c r="C121" s="6" t="s">
        <v>71</v>
      </c>
      <c r="D121" s="16" t="s">
        <v>280</v>
      </c>
      <c r="E121" s="28" t="s">
        <v>554</v>
      </c>
      <c r="F121" s="28"/>
      <c r="G121" s="28" t="s">
        <v>547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548</v>
      </c>
      <c r="P121" s="16">
        <v>1.5</v>
      </c>
      <c r="Q121" s="16"/>
      <c r="R121" s="16"/>
      <c r="S121" s="16"/>
      <c r="T121" s="16"/>
      <c r="U121" s="16">
        <v>0.5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36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="6" customFormat="1" spans="2:69">
      <c r="B122" s="16" t="s">
        <v>555</v>
      </c>
      <c r="C122" s="6" t="s">
        <v>71</v>
      </c>
      <c r="D122" s="16" t="s">
        <v>280</v>
      </c>
      <c r="E122" s="28" t="s">
        <v>556</v>
      </c>
      <c r="F122" s="28"/>
      <c r="G122" s="28" t="s">
        <v>557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558</v>
      </c>
      <c r="P122" s="16">
        <v>2.03</v>
      </c>
      <c r="Q122" s="16"/>
      <c r="R122" s="16"/>
      <c r="S122" s="16"/>
      <c r="T122" s="16"/>
      <c r="U122" s="16">
        <v>0.5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36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="6" customFormat="1" spans="2:69">
      <c r="B123" s="16" t="s">
        <v>559</v>
      </c>
      <c r="C123" s="6" t="s">
        <v>71</v>
      </c>
      <c r="D123" s="16" t="s">
        <v>280</v>
      </c>
      <c r="E123" s="28" t="s">
        <v>560</v>
      </c>
      <c r="F123" s="28"/>
      <c r="G123" s="28" t="s">
        <v>557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558</v>
      </c>
      <c r="P123" s="16">
        <v>2.03</v>
      </c>
      <c r="Q123" s="16"/>
      <c r="R123" s="16"/>
      <c r="S123" s="16"/>
      <c r="T123" s="16"/>
      <c r="U123" s="16">
        <v>0.5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36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="6" customFormat="1" spans="2:69">
      <c r="B124" s="16" t="s">
        <v>561</v>
      </c>
      <c r="C124" s="6" t="s">
        <v>71</v>
      </c>
      <c r="D124" s="16" t="s">
        <v>280</v>
      </c>
      <c r="E124" s="28" t="s">
        <v>562</v>
      </c>
      <c r="F124" s="28"/>
      <c r="G124" s="28" t="s">
        <v>557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558</v>
      </c>
      <c r="P124" s="16">
        <v>2.03</v>
      </c>
      <c r="Q124" s="16"/>
      <c r="R124" s="16"/>
      <c r="S124" s="16"/>
      <c r="T124" s="16"/>
      <c r="U124" s="16">
        <v>0.5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36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="6" customFormat="1" spans="2:69">
      <c r="B125" s="16" t="s">
        <v>563</v>
      </c>
      <c r="C125" s="6" t="s">
        <v>71</v>
      </c>
      <c r="D125" s="16" t="s">
        <v>280</v>
      </c>
      <c r="E125" s="28" t="s">
        <v>564</v>
      </c>
      <c r="F125" s="28"/>
      <c r="G125" s="28" t="s">
        <v>557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558</v>
      </c>
      <c r="P125" s="16">
        <v>2.03</v>
      </c>
      <c r="Q125" s="16"/>
      <c r="R125" s="16"/>
      <c r="S125" s="16"/>
      <c r="T125" s="16"/>
      <c r="U125" s="16">
        <v>0.5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36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="6" customFormat="1" spans="2:69">
      <c r="B126" s="16" t="s">
        <v>565</v>
      </c>
      <c r="C126" s="6" t="s">
        <v>71</v>
      </c>
      <c r="D126" s="16" t="s">
        <v>280</v>
      </c>
      <c r="E126" s="28" t="s">
        <v>566</v>
      </c>
      <c r="F126" s="28"/>
      <c r="G126" s="28" t="s">
        <v>567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568</v>
      </c>
      <c r="P126" s="16">
        <v>2.1</v>
      </c>
      <c r="Q126" s="16"/>
      <c r="R126" s="16"/>
      <c r="S126" s="16"/>
      <c r="T126" s="16"/>
      <c r="U126" s="16">
        <v>0.5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36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="6" customFormat="1" spans="2:69">
      <c r="B127" s="16" t="s">
        <v>569</v>
      </c>
      <c r="C127" s="6" t="s">
        <v>71</v>
      </c>
      <c r="D127" s="16" t="s">
        <v>280</v>
      </c>
      <c r="E127" s="28" t="s">
        <v>570</v>
      </c>
      <c r="F127" s="28"/>
      <c r="G127" s="28" t="s">
        <v>567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568</v>
      </c>
      <c r="P127" s="16">
        <v>2.1</v>
      </c>
      <c r="Q127" s="16"/>
      <c r="R127" s="16"/>
      <c r="S127" s="16"/>
      <c r="T127" s="16"/>
      <c r="U127" s="16">
        <v>0.5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36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="6" customFormat="1" spans="2:69">
      <c r="B128" s="16" t="s">
        <v>571</v>
      </c>
      <c r="C128" s="6" t="s">
        <v>71</v>
      </c>
      <c r="D128" s="16" t="s">
        <v>280</v>
      </c>
      <c r="E128" s="28" t="s">
        <v>572</v>
      </c>
      <c r="F128" s="28"/>
      <c r="G128" s="28" t="s">
        <v>567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568</v>
      </c>
      <c r="P128" s="16">
        <v>2.1</v>
      </c>
      <c r="Q128" s="16"/>
      <c r="R128" s="16"/>
      <c r="S128" s="16"/>
      <c r="T128" s="16"/>
      <c r="U128" s="16">
        <v>0.5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36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="6" customFormat="1" spans="2:69">
      <c r="B129" s="16" t="s">
        <v>573</v>
      </c>
      <c r="C129" s="6" t="s">
        <v>71</v>
      </c>
      <c r="D129" s="16" t="s">
        <v>280</v>
      </c>
      <c r="E129" s="28" t="s">
        <v>574</v>
      </c>
      <c r="F129" s="28"/>
      <c r="G129" s="28" t="s">
        <v>567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568</v>
      </c>
      <c r="P129" s="16">
        <v>2.1</v>
      </c>
      <c r="Q129" s="16"/>
      <c r="R129" s="16"/>
      <c r="S129" s="16"/>
      <c r="T129" s="16"/>
      <c r="U129" s="16">
        <v>0.5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36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="6" customFormat="1" spans="2:72">
      <c r="B130" t="s">
        <v>575</v>
      </c>
      <c r="C130" s="6" t="s">
        <v>71</v>
      </c>
      <c r="D130" s="16" t="s">
        <v>280</v>
      </c>
      <c r="E130" t="s">
        <v>576</v>
      </c>
      <c r="F130" s="19"/>
      <c r="G130" s="16" t="s">
        <v>577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578</v>
      </c>
      <c r="P130" s="16">
        <v>1.1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36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579</v>
      </c>
    </row>
    <row r="131" s="6" customFormat="1" spans="2:72">
      <c r="B131" t="s">
        <v>580</v>
      </c>
      <c r="C131" s="6" t="s">
        <v>71</v>
      </c>
      <c r="D131" s="16" t="s">
        <v>280</v>
      </c>
      <c r="E131" t="s">
        <v>581</v>
      </c>
      <c r="F131" s="19"/>
      <c r="G131" s="16" t="s">
        <v>577</v>
      </c>
      <c r="H131" s="16"/>
      <c r="I131" s="16" t="s">
        <v>283</v>
      </c>
      <c r="J131" s="16" t="s">
        <v>582</v>
      </c>
      <c r="K131" s="16"/>
      <c r="L131" s="16">
        <v>0</v>
      </c>
      <c r="M131" s="16">
        <v>0</v>
      </c>
      <c r="N131" s="16"/>
      <c r="O131" s="16" t="s">
        <v>583</v>
      </c>
      <c r="P131" s="16">
        <v>1.9</v>
      </c>
      <c r="Q131" s="16"/>
      <c r="R131" s="16"/>
      <c r="S131" s="16"/>
      <c r="T131" s="16"/>
      <c r="U131" s="16">
        <v>0.4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36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579</v>
      </c>
    </row>
    <row r="132" s="6" customFormat="1" spans="2:72">
      <c r="B132" t="s">
        <v>584</v>
      </c>
      <c r="C132" s="6" t="s">
        <v>71</v>
      </c>
      <c r="D132" s="16" t="s">
        <v>280</v>
      </c>
      <c r="E132" t="s">
        <v>585</v>
      </c>
      <c r="F132" s="19"/>
      <c r="G132" s="16" t="s">
        <v>577</v>
      </c>
      <c r="H132" s="16"/>
      <c r="I132" s="16" t="s">
        <v>283</v>
      </c>
      <c r="J132" s="12" t="s">
        <v>586</v>
      </c>
      <c r="K132" s="16"/>
      <c r="L132" s="16">
        <v>0</v>
      </c>
      <c r="M132" s="16">
        <v>0</v>
      </c>
      <c r="N132" s="16"/>
      <c r="O132" s="10" t="s">
        <v>248</v>
      </c>
      <c r="P132" s="16">
        <v>0.85</v>
      </c>
      <c r="Q132" s="16"/>
      <c r="R132" s="16">
        <v>255</v>
      </c>
      <c r="S132" s="16">
        <v>100</v>
      </c>
      <c r="T132" s="16">
        <v>100</v>
      </c>
      <c r="U132" s="16">
        <v>0.4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36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579</v>
      </c>
    </row>
    <row r="133" s="6" customFormat="1" spans="2:72">
      <c r="B133" t="s">
        <v>587</v>
      </c>
      <c r="C133" s="6" t="s">
        <v>71</v>
      </c>
      <c r="D133" s="16" t="s">
        <v>280</v>
      </c>
      <c r="E133" t="s">
        <v>588</v>
      </c>
      <c r="F133" s="19"/>
      <c r="G133" s="16" t="s">
        <v>577</v>
      </c>
      <c r="H133" s="16"/>
      <c r="I133" s="16" t="s">
        <v>283</v>
      </c>
      <c r="J133" s="12" t="s">
        <v>589</v>
      </c>
      <c r="K133" s="16"/>
      <c r="L133" s="16">
        <v>0</v>
      </c>
      <c r="M133" s="16">
        <v>0</v>
      </c>
      <c r="N133" s="16"/>
      <c r="O133" s="16" t="s">
        <v>590</v>
      </c>
      <c r="P133" s="16">
        <v>1.3</v>
      </c>
      <c r="Q133" s="16"/>
      <c r="R133" s="16"/>
      <c r="S133" s="16"/>
      <c r="T133" s="16"/>
      <c r="U133" s="16">
        <v>0.4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36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579</v>
      </c>
    </row>
    <row r="134" s="6" customFormat="1" spans="2:72">
      <c r="B134" t="s">
        <v>591</v>
      </c>
      <c r="C134" s="6" t="s">
        <v>71</v>
      </c>
      <c r="D134" s="16" t="s">
        <v>280</v>
      </c>
      <c r="E134" t="s">
        <v>592</v>
      </c>
      <c r="F134" s="19"/>
      <c r="G134" s="16" t="s">
        <v>577</v>
      </c>
      <c r="H134" s="16"/>
      <c r="I134" s="16" t="s">
        <v>283</v>
      </c>
      <c r="J134" s="12" t="s">
        <v>593</v>
      </c>
      <c r="K134" s="16"/>
      <c r="L134" s="16">
        <v>0</v>
      </c>
      <c r="M134" s="16">
        <v>0</v>
      </c>
      <c r="N134" s="16"/>
      <c r="O134" s="16" t="s">
        <v>439</v>
      </c>
      <c r="P134" s="16">
        <v>1.15</v>
      </c>
      <c r="Q134" s="16"/>
      <c r="R134" s="16"/>
      <c r="S134" s="16"/>
      <c r="T134" s="16"/>
      <c r="U134" s="16">
        <v>0.4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36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579</v>
      </c>
    </row>
    <row r="135" s="6" customFormat="1" spans="2:72">
      <c r="B135" t="s">
        <v>594</v>
      </c>
      <c r="C135" s="6" t="s">
        <v>71</v>
      </c>
      <c r="D135" s="16" t="s">
        <v>280</v>
      </c>
      <c r="E135" t="s">
        <v>595</v>
      </c>
      <c r="F135" s="19"/>
      <c r="G135" s="16" t="s">
        <v>596</v>
      </c>
      <c r="H135" s="16"/>
      <c r="I135" s="16" t="s">
        <v>283</v>
      </c>
      <c r="J135" s="16" t="s">
        <v>597</v>
      </c>
      <c r="K135" s="16"/>
      <c r="L135" s="16">
        <v>0</v>
      </c>
      <c r="M135" s="16">
        <v>0</v>
      </c>
      <c r="N135" s="16"/>
      <c r="O135" s="16" t="s">
        <v>598</v>
      </c>
      <c r="P135" s="16">
        <v>1.1</v>
      </c>
      <c r="Q135" s="16"/>
      <c r="R135" s="16"/>
      <c r="S135" s="16"/>
      <c r="T135" s="16"/>
      <c r="U135" s="16">
        <v>0.4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36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579</v>
      </c>
    </row>
    <row r="136" s="6" customFormat="1" spans="2:72">
      <c r="B136" t="s">
        <v>599</v>
      </c>
      <c r="C136" s="6" t="s">
        <v>71</v>
      </c>
      <c r="D136" s="16" t="s">
        <v>280</v>
      </c>
      <c r="E136" t="s">
        <v>600</v>
      </c>
      <c r="F136" s="19"/>
      <c r="G136" s="16" t="s">
        <v>596</v>
      </c>
      <c r="H136" s="16"/>
      <c r="I136" s="16" t="s">
        <v>283</v>
      </c>
      <c r="J136" s="12" t="s">
        <v>601</v>
      </c>
      <c r="K136" s="16"/>
      <c r="L136" s="16">
        <v>0</v>
      </c>
      <c r="M136" s="16">
        <v>0</v>
      </c>
      <c r="N136" s="16"/>
      <c r="O136" s="16" t="s">
        <v>602</v>
      </c>
      <c r="P136" s="16">
        <v>1.7</v>
      </c>
      <c r="Q136" s="16"/>
      <c r="R136" s="16"/>
      <c r="S136" s="16"/>
      <c r="T136" s="16"/>
      <c r="U136" s="16">
        <v>0.4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36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579</v>
      </c>
    </row>
    <row r="137" s="6" customFormat="1" spans="2:72">
      <c r="B137" t="s">
        <v>603</v>
      </c>
      <c r="C137" s="6" t="s">
        <v>71</v>
      </c>
      <c r="D137" s="16" t="s">
        <v>280</v>
      </c>
      <c r="E137" t="s">
        <v>604</v>
      </c>
      <c r="F137" s="19"/>
      <c r="G137" s="16" t="s">
        <v>596</v>
      </c>
      <c r="H137" s="16"/>
      <c r="I137" s="16" t="s">
        <v>283</v>
      </c>
      <c r="J137" s="12" t="s">
        <v>605</v>
      </c>
      <c r="K137" s="16"/>
      <c r="L137" s="16">
        <v>0</v>
      </c>
      <c r="M137" s="16">
        <v>0</v>
      </c>
      <c r="N137" s="16"/>
      <c r="O137" s="16" t="s">
        <v>606</v>
      </c>
      <c r="P137" s="16">
        <v>2.2</v>
      </c>
      <c r="Q137" s="16"/>
      <c r="R137" s="16"/>
      <c r="S137" s="16"/>
      <c r="T137" s="16"/>
      <c r="U137" s="16">
        <v>0.4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36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579</v>
      </c>
    </row>
    <row r="138" s="6" customFormat="1" spans="2:72">
      <c r="B138" t="s">
        <v>607</v>
      </c>
      <c r="C138" s="6" t="s">
        <v>71</v>
      </c>
      <c r="D138" s="16" t="s">
        <v>280</v>
      </c>
      <c r="E138" t="s">
        <v>608</v>
      </c>
      <c r="F138" s="19"/>
      <c r="G138" s="16" t="s">
        <v>609</v>
      </c>
      <c r="H138" s="16"/>
      <c r="I138" s="16" t="s">
        <v>283</v>
      </c>
      <c r="J138" s="12" t="s">
        <v>610</v>
      </c>
      <c r="K138" s="16"/>
      <c r="L138" s="16">
        <v>0</v>
      </c>
      <c r="M138" s="16">
        <v>0</v>
      </c>
      <c r="N138" s="16"/>
      <c r="O138" s="16" t="s">
        <v>611</v>
      </c>
      <c r="P138" s="16">
        <v>1.15</v>
      </c>
      <c r="Q138" s="16"/>
      <c r="R138" s="16"/>
      <c r="S138" s="16"/>
      <c r="T138" s="16"/>
      <c r="U138" s="16">
        <v>0.4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36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579</v>
      </c>
    </row>
    <row r="139" s="6" customFormat="1" spans="2:72">
      <c r="B139" t="s">
        <v>612</v>
      </c>
      <c r="C139" s="6" t="s">
        <v>71</v>
      </c>
      <c r="D139" s="16" t="s">
        <v>280</v>
      </c>
      <c r="E139" t="s">
        <v>613</v>
      </c>
      <c r="F139" s="19"/>
      <c r="G139" s="16" t="s">
        <v>609</v>
      </c>
      <c r="H139" s="16"/>
      <c r="I139" s="16" t="s">
        <v>283</v>
      </c>
      <c r="J139" s="10" t="s">
        <v>614</v>
      </c>
      <c r="K139" s="16"/>
      <c r="L139" s="16">
        <v>0</v>
      </c>
      <c r="M139" s="16">
        <v>0</v>
      </c>
      <c r="N139" s="16"/>
      <c r="O139" s="16" t="s">
        <v>611</v>
      </c>
      <c r="P139" s="16">
        <v>1.15</v>
      </c>
      <c r="Q139" s="16"/>
      <c r="R139" s="16">
        <v>0</v>
      </c>
      <c r="S139" s="16">
        <v>255</v>
      </c>
      <c r="T139" s="16">
        <v>255</v>
      </c>
      <c r="U139" s="16">
        <v>0.4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36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579</v>
      </c>
    </row>
    <row r="140" s="6" customFormat="1" spans="2:72">
      <c r="B140" t="s">
        <v>615</v>
      </c>
      <c r="C140" s="6" t="s">
        <v>71</v>
      </c>
      <c r="D140" s="16" t="s">
        <v>280</v>
      </c>
      <c r="E140" t="s">
        <v>616</v>
      </c>
      <c r="F140" s="19"/>
      <c r="G140" s="16" t="s">
        <v>609</v>
      </c>
      <c r="H140" s="16"/>
      <c r="I140" s="16" t="s">
        <v>283</v>
      </c>
      <c r="J140" s="10" t="s">
        <v>617</v>
      </c>
      <c r="K140" s="16"/>
      <c r="L140" s="16">
        <v>0</v>
      </c>
      <c r="M140" s="16">
        <v>0</v>
      </c>
      <c r="N140" s="16"/>
      <c r="O140" s="16" t="s">
        <v>611</v>
      </c>
      <c r="P140" s="16">
        <v>1.15</v>
      </c>
      <c r="Q140" s="16"/>
      <c r="R140" s="16">
        <v>255</v>
      </c>
      <c r="S140" s="16">
        <v>255</v>
      </c>
      <c r="T140" s="16">
        <v>0</v>
      </c>
      <c r="U140" s="16">
        <v>0.4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36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579</v>
      </c>
    </row>
    <row r="141" s="6" customFormat="1" spans="2:72">
      <c r="B141" t="s">
        <v>618</v>
      </c>
      <c r="C141" s="6" t="s">
        <v>71</v>
      </c>
      <c r="D141" s="16" t="s">
        <v>280</v>
      </c>
      <c r="E141" t="s">
        <v>619</v>
      </c>
      <c r="F141" s="19"/>
      <c r="G141" s="16" t="s">
        <v>609</v>
      </c>
      <c r="H141" s="16"/>
      <c r="I141" s="16" t="s">
        <v>283</v>
      </c>
      <c r="J141" s="10" t="s">
        <v>620</v>
      </c>
      <c r="K141" s="16"/>
      <c r="L141" s="16">
        <v>0</v>
      </c>
      <c r="M141" s="16">
        <v>0</v>
      </c>
      <c r="N141" s="16"/>
      <c r="O141" s="16" t="s">
        <v>611</v>
      </c>
      <c r="P141" s="16">
        <v>1.15</v>
      </c>
      <c r="Q141" s="16"/>
      <c r="R141" s="16">
        <v>255</v>
      </c>
      <c r="S141" s="16">
        <v>0</v>
      </c>
      <c r="T141" s="16">
        <v>255</v>
      </c>
      <c r="U141" s="16">
        <v>0.4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36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579</v>
      </c>
    </row>
    <row r="142" s="6" customFormat="1" spans="2:72">
      <c r="B142" t="s">
        <v>621</v>
      </c>
      <c r="C142" s="6" t="s">
        <v>71</v>
      </c>
      <c r="D142" s="16" t="s">
        <v>280</v>
      </c>
      <c r="E142" t="s">
        <v>622</v>
      </c>
      <c r="F142" s="19"/>
      <c r="G142" s="16" t="s">
        <v>609</v>
      </c>
      <c r="H142" s="16"/>
      <c r="I142" s="16" t="s">
        <v>283</v>
      </c>
      <c r="J142" s="10" t="s">
        <v>623</v>
      </c>
      <c r="K142" s="16"/>
      <c r="L142" s="16">
        <v>0</v>
      </c>
      <c r="M142" s="16">
        <v>0</v>
      </c>
      <c r="N142" s="16"/>
      <c r="O142" s="16" t="s">
        <v>611</v>
      </c>
      <c r="P142" s="16">
        <v>1.15</v>
      </c>
      <c r="Q142" s="16"/>
      <c r="R142" s="16">
        <v>0</v>
      </c>
      <c r="S142" s="16">
        <v>0</v>
      </c>
      <c r="T142" s="16">
        <v>255</v>
      </c>
      <c r="U142" s="16">
        <v>0.4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36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579</v>
      </c>
    </row>
    <row r="143" s="6" customFormat="1" spans="2:72">
      <c r="B143" t="s">
        <v>624</v>
      </c>
      <c r="C143" s="6" t="s">
        <v>71</v>
      </c>
      <c r="D143" s="16" t="s">
        <v>280</v>
      </c>
      <c r="E143" t="s">
        <v>625</v>
      </c>
      <c r="F143" s="19"/>
      <c r="G143" s="16" t="s">
        <v>626</v>
      </c>
      <c r="H143" s="16"/>
      <c r="I143" s="16" t="s">
        <v>283</v>
      </c>
      <c r="J143" s="12" t="s">
        <v>627</v>
      </c>
      <c r="K143" s="16"/>
      <c r="L143" s="16">
        <v>0</v>
      </c>
      <c r="M143" s="16">
        <v>0</v>
      </c>
      <c r="N143" s="16"/>
      <c r="O143" s="16" t="s">
        <v>628</v>
      </c>
      <c r="P143" s="16">
        <v>1.85</v>
      </c>
      <c r="Q143" s="16"/>
      <c r="R143" s="16"/>
      <c r="S143" s="16"/>
      <c r="T143" s="16"/>
      <c r="U143" s="16">
        <v>0.4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36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579</v>
      </c>
    </row>
    <row r="144" s="6" customFormat="1" spans="2:72">
      <c r="B144" t="s">
        <v>629</v>
      </c>
      <c r="C144" s="6" t="s">
        <v>71</v>
      </c>
      <c r="D144" s="16" t="s">
        <v>280</v>
      </c>
      <c r="E144" t="s">
        <v>630</v>
      </c>
      <c r="F144" s="19"/>
      <c r="G144" s="16" t="s">
        <v>626</v>
      </c>
      <c r="H144" s="16"/>
      <c r="I144" s="16" t="s">
        <v>283</v>
      </c>
      <c r="J144" s="12" t="s">
        <v>631</v>
      </c>
      <c r="K144" s="16"/>
      <c r="L144" s="16">
        <v>0</v>
      </c>
      <c r="M144" s="16">
        <v>0</v>
      </c>
      <c r="N144" s="16"/>
      <c r="O144" s="16" t="s">
        <v>632</v>
      </c>
      <c r="P144" s="16">
        <v>1.05</v>
      </c>
      <c r="Q144" s="16"/>
      <c r="R144" s="16"/>
      <c r="S144" s="16"/>
      <c r="T144" s="16"/>
      <c r="U144" s="16">
        <v>0.4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36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579</v>
      </c>
    </row>
    <row r="145" s="6" customFormat="1" spans="2:72">
      <c r="B145" t="s">
        <v>633</v>
      </c>
      <c r="C145" s="6" t="s">
        <v>71</v>
      </c>
      <c r="D145" s="16" t="s">
        <v>280</v>
      </c>
      <c r="E145" t="s">
        <v>634</v>
      </c>
      <c r="F145" s="19"/>
      <c r="G145" s="16" t="s">
        <v>626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635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36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579</v>
      </c>
    </row>
    <row r="146" s="6" customFormat="1" spans="2:72">
      <c r="B146" t="s">
        <v>636</v>
      </c>
      <c r="C146" s="6" t="s">
        <v>71</v>
      </c>
      <c r="D146" s="16" t="s">
        <v>280</v>
      </c>
      <c r="E146" t="s">
        <v>634</v>
      </c>
      <c r="F146" s="19"/>
      <c r="G146" s="16" t="s">
        <v>626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635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36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579</v>
      </c>
    </row>
    <row r="147" s="6" customFormat="1" spans="2:72">
      <c r="B147" t="s">
        <v>637</v>
      </c>
      <c r="C147" s="6" t="s">
        <v>71</v>
      </c>
      <c r="D147" s="16" t="s">
        <v>280</v>
      </c>
      <c r="E147" t="s">
        <v>638</v>
      </c>
      <c r="F147" s="19"/>
      <c r="G147" s="16" t="s">
        <v>626</v>
      </c>
      <c r="H147" s="16"/>
      <c r="I147" s="16" t="s">
        <v>283</v>
      </c>
      <c r="J147" s="12" t="s">
        <v>639</v>
      </c>
      <c r="K147" s="16"/>
      <c r="L147" s="16">
        <v>0</v>
      </c>
      <c r="M147" s="16">
        <v>0</v>
      </c>
      <c r="N147" s="16"/>
      <c r="O147" s="16" t="s">
        <v>640</v>
      </c>
      <c r="P147" s="16">
        <v>1.05</v>
      </c>
      <c r="Q147" s="16"/>
      <c r="R147" s="16"/>
      <c r="S147" s="16"/>
      <c r="T147" s="16"/>
      <c r="U147" s="16">
        <v>0.4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36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579</v>
      </c>
    </row>
    <row r="148" s="6" customFormat="1" spans="2:72">
      <c r="B148" t="s">
        <v>641</v>
      </c>
      <c r="C148" s="6" t="s">
        <v>71</v>
      </c>
      <c r="D148" s="16" t="s">
        <v>280</v>
      </c>
      <c r="E148" t="s">
        <v>642</v>
      </c>
      <c r="F148" s="19"/>
      <c r="G148" s="16" t="s">
        <v>626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36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579</v>
      </c>
    </row>
    <row r="149" s="6" customFormat="1" spans="2:72">
      <c r="B149" t="s">
        <v>643</v>
      </c>
      <c r="C149" s="6" t="s">
        <v>71</v>
      </c>
      <c r="D149" s="16" t="s">
        <v>280</v>
      </c>
      <c r="E149" t="s">
        <v>644</v>
      </c>
      <c r="F149" s="19"/>
      <c r="G149" s="16" t="s">
        <v>626</v>
      </c>
      <c r="H149" s="16"/>
      <c r="I149" s="16" t="s">
        <v>283</v>
      </c>
      <c r="J149" s="12" t="s">
        <v>645</v>
      </c>
      <c r="K149" s="16"/>
      <c r="L149" s="16">
        <v>0</v>
      </c>
      <c r="M149" s="16">
        <v>0</v>
      </c>
      <c r="N149" s="16"/>
      <c r="O149" s="16" t="s">
        <v>646</v>
      </c>
      <c r="P149" s="16">
        <v>1.05</v>
      </c>
      <c r="Q149" s="16"/>
      <c r="R149" s="16"/>
      <c r="S149" s="16"/>
      <c r="T149" s="16"/>
      <c r="U149" s="16">
        <v>0.4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36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579</v>
      </c>
    </row>
    <row r="150" s="6" customFormat="1" spans="2:72">
      <c r="B150" t="s">
        <v>647</v>
      </c>
      <c r="C150" s="6" t="s">
        <v>71</v>
      </c>
      <c r="D150" s="16" t="s">
        <v>280</v>
      </c>
      <c r="E150" t="s">
        <v>648</v>
      </c>
      <c r="F150" s="19"/>
      <c r="G150" s="16" t="s">
        <v>626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635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36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579</v>
      </c>
    </row>
    <row r="151" s="6" customFormat="1" spans="2:72">
      <c r="B151" t="s">
        <v>649</v>
      </c>
      <c r="C151" s="6" t="s">
        <v>71</v>
      </c>
      <c r="D151" s="16" t="s">
        <v>280</v>
      </c>
      <c r="E151" t="s">
        <v>650</v>
      </c>
      <c r="F151" s="19"/>
      <c r="G151" s="16" t="s">
        <v>626</v>
      </c>
      <c r="H151" s="16"/>
      <c r="I151" s="16" t="s">
        <v>283</v>
      </c>
      <c r="J151" s="12" t="s">
        <v>651</v>
      </c>
      <c r="K151" s="16"/>
      <c r="L151" s="16">
        <v>0</v>
      </c>
      <c r="M151" s="16">
        <v>0</v>
      </c>
      <c r="N151" s="16"/>
      <c r="O151" s="16" t="s">
        <v>652</v>
      </c>
      <c r="P151" s="16"/>
      <c r="Q151" s="16"/>
      <c r="R151" s="16"/>
      <c r="S151" s="16"/>
      <c r="T151" s="16"/>
      <c r="U151" s="16">
        <v>0.4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36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579</v>
      </c>
    </row>
    <row r="152" s="6" customFormat="1" spans="2:72">
      <c r="B152" t="s">
        <v>653</v>
      </c>
      <c r="C152" s="6" t="s">
        <v>71</v>
      </c>
      <c r="D152" s="16" t="s">
        <v>280</v>
      </c>
      <c r="E152" t="s">
        <v>654</v>
      </c>
      <c r="F152" s="19"/>
      <c r="G152" s="16" t="s">
        <v>626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36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579</v>
      </c>
    </row>
    <row r="153" s="6" customFormat="1" spans="2:72">
      <c r="B153" t="s">
        <v>655</v>
      </c>
      <c r="C153" s="6" t="s">
        <v>71</v>
      </c>
      <c r="D153" s="16" t="s">
        <v>280</v>
      </c>
      <c r="E153" t="s">
        <v>656</v>
      </c>
      <c r="F153" s="19"/>
      <c r="G153" s="16" t="s">
        <v>657</v>
      </c>
      <c r="H153" s="16"/>
      <c r="I153" s="16" t="s">
        <v>283</v>
      </c>
      <c r="J153" s="12" t="s">
        <v>658</v>
      </c>
      <c r="K153" s="16"/>
      <c r="L153" s="16">
        <v>0</v>
      </c>
      <c r="M153" s="16">
        <v>0</v>
      </c>
      <c r="N153" s="16"/>
      <c r="O153" s="16" t="s">
        <v>236</v>
      </c>
      <c r="P153" s="16">
        <v>1.4</v>
      </c>
      <c r="Q153" s="16"/>
      <c r="R153" s="16">
        <v>255</v>
      </c>
      <c r="S153" s="16">
        <v>100</v>
      </c>
      <c r="T153" s="16">
        <v>100</v>
      </c>
      <c r="U153" s="16">
        <v>0.4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36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579</v>
      </c>
    </row>
    <row r="154" s="6" customFormat="1" spans="2:72">
      <c r="B154" t="s">
        <v>659</v>
      </c>
      <c r="C154" s="6" t="s">
        <v>71</v>
      </c>
      <c r="D154" s="16" t="s">
        <v>280</v>
      </c>
      <c r="E154" t="s">
        <v>660</v>
      </c>
      <c r="F154" s="19"/>
      <c r="G154" s="16" t="s">
        <v>657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36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579</v>
      </c>
    </row>
    <row r="155" s="6" customFormat="1" spans="2:72">
      <c r="B155" t="s">
        <v>661</v>
      </c>
      <c r="C155" s="6" t="s">
        <v>71</v>
      </c>
      <c r="D155" s="16" t="s">
        <v>280</v>
      </c>
      <c r="E155" t="s">
        <v>662</v>
      </c>
      <c r="F155" s="19"/>
      <c r="G155" s="16" t="s">
        <v>657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36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579</v>
      </c>
    </row>
    <row r="156" s="6" customFormat="1" spans="2:72">
      <c r="B156" t="s">
        <v>663</v>
      </c>
      <c r="C156" s="6" t="s">
        <v>71</v>
      </c>
      <c r="D156" s="16" t="s">
        <v>280</v>
      </c>
      <c r="E156" t="s">
        <v>664</v>
      </c>
      <c r="F156" s="19"/>
      <c r="G156" s="16" t="s">
        <v>657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36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579</v>
      </c>
    </row>
    <row r="157" s="6" customFormat="1" spans="2:72">
      <c r="B157" t="s">
        <v>665</v>
      </c>
      <c r="C157" s="6" t="s">
        <v>71</v>
      </c>
      <c r="D157" s="16" t="s">
        <v>280</v>
      </c>
      <c r="E157" t="s">
        <v>666</v>
      </c>
      <c r="F157" s="19"/>
      <c r="G157" s="16" t="s">
        <v>657</v>
      </c>
      <c r="H157" s="16"/>
      <c r="I157" s="16" t="s">
        <v>283</v>
      </c>
      <c r="J157" s="16" t="s">
        <v>667</v>
      </c>
      <c r="K157" s="16"/>
      <c r="L157" s="16">
        <v>0</v>
      </c>
      <c r="M157" s="16">
        <v>0</v>
      </c>
      <c r="N157" s="16"/>
      <c r="O157" s="16" t="s">
        <v>668</v>
      </c>
      <c r="P157" s="16">
        <v>1.3</v>
      </c>
      <c r="Q157" s="16"/>
      <c r="R157" s="16"/>
      <c r="S157" s="16"/>
      <c r="T157" s="16"/>
      <c r="U157" s="16">
        <v>0.4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36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579</v>
      </c>
    </row>
    <row r="158" s="6" customFormat="1" spans="2:72">
      <c r="B158" t="s">
        <v>669</v>
      </c>
      <c r="C158" s="6" t="s">
        <v>71</v>
      </c>
      <c r="D158" s="16" t="s">
        <v>280</v>
      </c>
      <c r="E158" t="s">
        <v>156</v>
      </c>
      <c r="F158" s="19"/>
      <c r="G158" s="16" t="s">
        <v>657</v>
      </c>
      <c r="H158" s="16"/>
      <c r="I158" s="16" t="s">
        <v>283</v>
      </c>
      <c r="J158" s="16" t="s">
        <v>670</v>
      </c>
      <c r="K158" s="16"/>
      <c r="L158" s="16">
        <v>0</v>
      </c>
      <c r="M158" s="16">
        <v>0</v>
      </c>
      <c r="N158" s="16"/>
      <c r="O158" s="16" t="s">
        <v>159</v>
      </c>
      <c r="P158" s="16">
        <v>1.75</v>
      </c>
      <c r="Q158" s="16"/>
      <c r="R158" s="16"/>
      <c r="S158" s="16"/>
      <c r="T158" s="16"/>
      <c r="U158" s="16">
        <v>0.4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36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579</v>
      </c>
    </row>
    <row r="159" s="6" customFormat="1" spans="2:72">
      <c r="B159" t="s">
        <v>671</v>
      </c>
      <c r="C159" s="6" t="s">
        <v>71</v>
      </c>
      <c r="D159" s="16" t="s">
        <v>280</v>
      </c>
      <c r="E159" t="s">
        <v>672</v>
      </c>
      <c r="F159" s="19"/>
      <c r="G159" s="16" t="s">
        <v>673</v>
      </c>
      <c r="H159" s="16"/>
      <c r="I159" s="16" t="s">
        <v>283</v>
      </c>
      <c r="J159" s="12" t="s">
        <v>674</v>
      </c>
      <c r="K159" s="16"/>
      <c r="L159" s="16">
        <v>0</v>
      </c>
      <c r="M159" s="16">
        <v>0</v>
      </c>
      <c r="N159" s="16"/>
      <c r="O159" s="16" t="s">
        <v>675</v>
      </c>
      <c r="P159" s="16">
        <v>1.9</v>
      </c>
      <c r="Q159" s="16"/>
      <c r="R159" s="16"/>
      <c r="S159" s="16"/>
      <c r="T159" s="16"/>
      <c r="U159" s="16">
        <v>0.4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36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579</v>
      </c>
    </row>
    <row r="160" s="6" customFormat="1" spans="2:72">
      <c r="B160" t="s">
        <v>676</v>
      </c>
      <c r="C160" s="6" t="s">
        <v>71</v>
      </c>
      <c r="D160" s="16" t="s">
        <v>280</v>
      </c>
      <c r="E160" t="s">
        <v>677</v>
      </c>
      <c r="F160" s="19"/>
      <c r="G160" s="16" t="s">
        <v>673</v>
      </c>
      <c r="H160" s="16"/>
      <c r="I160" s="16" t="s">
        <v>283</v>
      </c>
      <c r="J160" s="12" t="s">
        <v>678</v>
      </c>
      <c r="K160" s="16"/>
      <c r="L160" s="16">
        <v>0</v>
      </c>
      <c r="M160" s="16">
        <v>0</v>
      </c>
      <c r="N160" s="16"/>
      <c r="O160" s="16" t="s">
        <v>679</v>
      </c>
      <c r="P160" s="16">
        <v>1.65</v>
      </c>
      <c r="Q160" s="16"/>
      <c r="R160" s="16"/>
      <c r="S160" s="16"/>
      <c r="T160" s="16"/>
      <c r="U160" s="16">
        <v>0.4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36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579</v>
      </c>
    </row>
    <row r="161" s="6" customFormat="1" spans="2:72">
      <c r="B161" t="s">
        <v>680</v>
      </c>
      <c r="C161" s="6" t="s">
        <v>71</v>
      </c>
      <c r="D161" s="16" t="s">
        <v>280</v>
      </c>
      <c r="E161" t="s">
        <v>254</v>
      </c>
      <c r="F161" s="19"/>
      <c r="G161" s="16" t="s">
        <v>673</v>
      </c>
      <c r="H161" s="16"/>
      <c r="I161" s="16" t="s">
        <v>283</v>
      </c>
      <c r="J161" s="12" t="s">
        <v>681</v>
      </c>
      <c r="K161" s="16"/>
      <c r="L161" s="16">
        <v>0</v>
      </c>
      <c r="M161" s="16">
        <v>0</v>
      </c>
      <c r="N161" s="16"/>
      <c r="O161" s="10" t="s">
        <v>256</v>
      </c>
      <c r="P161" s="16">
        <v>1.3</v>
      </c>
      <c r="Q161" s="16"/>
      <c r="R161" s="16"/>
      <c r="S161" s="16"/>
      <c r="T161" s="16"/>
      <c r="U161" s="16">
        <v>0.4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36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579</v>
      </c>
    </row>
    <row r="162" s="6" customFormat="1" spans="2:72">
      <c r="B162" t="s">
        <v>682</v>
      </c>
      <c r="C162" s="6" t="s">
        <v>71</v>
      </c>
      <c r="D162" s="16" t="s">
        <v>280</v>
      </c>
      <c r="E162" t="s">
        <v>683</v>
      </c>
      <c r="F162" s="19"/>
      <c r="G162" s="16" t="s">
        <v>684</v>
      </c>
      <c r="H162" s="16"/>
      <c r="I162" s="16" t="s">
        <v>283</v>
      </c>
      <c r="J162" s="12" t="s">
        <v>685</v>
      </c>
      <c r="K162" s="16"/>
      <c r="L162" s="16">
        <v>0</v>
      </c>
      <c r="M162" s="16">
        <v>0</v>
      </c>
      <c r="N162" s="16"/>
      <c r="O162" s="16" t="s">
        <v>686</v>
      </c>
      <c r="P162" s="16">
        <v>1.8</v>
      </c>
      <c r="Q162" s="16"/>
      <c r="R162" s="16"/>
      <c r="S162" s="16"/>
      <c r="T162" s="16"/>
      <c r="U162" s="16">
        <v>0.4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36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579</v>
      </c>
    </row>
    <row r="163" s="6" customFormat="1" spans="2:72">
      <c r="B163" t="s">
        <v>687</v>
      </c>
      <c r="C163" s="6" t="s">
        <v>71</v>
      </c>
      <c r="D163" s="16" t="s">
        <v>280</v>
      </c>
      <c r="E163" t="s">
        <v>688</v>
      </c>
      <c r="F163" s="19"/>
      <c r="G163" s="16" t="s">
        <v>684</v>
      </c>
      <c r="H163" s="16"/>
      <c r="I163" s="16" t="s">
        <v>283</v>
      </c>
      <c r="J163" s="12" t="s">
        <v>689</v>
      </c>
      <c r="K163" s="16"/>
      <c r="L163" s="16">
        <v>0</v>
      </c>
      <c r="M163" s="16">
        <v>0</v>
      </c>
      <c r="N163" s="16"/>
      <c r="O163" s="16" t="s">
        <v>583</v>
      </c>
      <c r="P163" s="16">
        <v>1.9</v>
      </c>
      <c r="Q163" s="16"/>
      <c r="R163" s="16"/>
      <c r="S163" s="16"/>
      <c r="T163" s="16"/>
      <c r="U163" s="16">
        <v>0.4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36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579</v>
      </c>
    </row>
    <row r="164" s="6" customFormat="1" spans="2:72">
      <c r="B164" t="s">
        <v>690</v>
      </c>
      <c r="C164" s="6" t="s">
        <v>71</v>
      </c>
      <c r="D164" s="16" t="s">
        <v>280</v>
      </c>
      <c r="E164" t="s">
        <v>691</v>
      </c>
      <c r="F164" s="19"/>
      <c r="G164" s="16" t="s">
        <v>684</v>
      </c>
      <c r="H164" s="16"/>
      <c r="I164" s="16" t="s">
        <v>283</v>
      </c>
      <c r="J164" s="12" t="s">
        <v>692</v>
      </c>
      <c r="K164" s="16"/>
      <c r="L164" s="16">
        <v>0</v>
      </c>
      <c r="M164" s="16">
        <v>0</v>
      </c>
      <c r="N164" s="16"/>
      <c r="O164" s="16" t="s">
        <v>693</v>
      </c>
      <c r="P164" s="16">
        <v>1.9</v>
      </c>
      <c r="Q164" s="16"/>
      <c r="R164" s="16"/>
      <c r="S164" s="16"/>
      <c r="T164" s="16"/>
      <c r="U164" s="16">
        <v>0.4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36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579</v>
      </c>
    </row>
    <row r="165" s="6" customFormat="1" spans="2:72">
      <c r="B165" t="s">
        <v>694</v>
      </c>
      <c r="C165" s="6" t="s">
        <v>71</v>
      </c>
      <c r="D165" s="16" t="s">
        <v>280</v>
      </c>
      <c r="E165" t="s">
        <v>695</v>
      </c>
      <c r="F165" s="19"/>
      <c r="G165" s="16" t="s">
        <v>684</v>
      </c>
      <c r="H165" s="16"/>
      <c r="I165" s="16" t="s">
        <v>283</v>
      </c>
      <c r="J165" s="12" t="s">
        <v>696</v>
      </c>
      <c r="K165" s="16"/>
      <c r="L165" s="16">
        <v>0</v>
      </c>
      <c r="M165" s="16">
        <v>0</v>
      </c>
      <c r="N165" s="16"/>
      <c r="O165" s="16" t="s">
        <v>697</v>
      </c>
      <c r="P165" s="16">
        <v>1.9</v>
      </c>
      <c r="Q165" s="16"/>
      <c r="R165" s="16"/>
      <c r="S165" s="16"/>
      <c r="T165" s="16"/>
      <c r="U165" s="16">
        <v>0.4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36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579</v>
      </c>
    </row>
    <row r="166" s="6" customFormat="1" spans="2:72">
      <c r="B166" t="s">
        <v>698</v>
      </c>
      <c r="C166" s="6" t="s">
        <v>71</v>
      </c>
      <c r="D166" s="16" t="s">
        <v>280</v>
      </c>
      <c r="E166" t="s">
        <v>699</v>
      </c>
      <c r="F166" s="19"/>
      <c r="G166" s="16" t="s">
        <v>684</v>
      </c>
      <c r="H166" s="16"/>
      <c r="I166" s="16" t="s">
        <v>283</v>
      </c>
      <c r="J166" s="12" t="s">
        <v>700</v>
      </c>
      <c r="K166" s="16"/>
      <c r="L166" s="16">
        <v>0</v>
      </c>
      <c r="M166" s="16">
        <v>0</v>
      </c>
      <c r="N166" s="16"/>
      <c r="O166" s="16" t="s">
        <v>701</v>
      </c>
      <c r="P166" s="16">
        <v>1.9</v>
      </c>
      <c r="Q166" s="16"/>
      <c r="R166" s="16"/>
      <c r="S166" s="16"/>
      <c r="T166" s="16"/>
      <c r="U166" s="16">
        <v>0.4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36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579</v>
      </c>
    </row>
    <row r="167" s="6" customFormat="1" spans="2:72">
      <c r="B167" t="s">
        <v>702</v>
      </c>
      <c r="C167" s="6" t="s">
        <v>71</v>
      </c>
      <c r="D167" s="16" t="s">
        <v>280</v>
      </c>
      <c r="E167" t="s">
        <v>703</v>
      </c>
      <c r="F167" s="19"/>
      <c r="G167" s="16" t="s">
        <v>704</v>
      </c>
      <c r="H167" s="16"/>
      <c r="I167" s="16" t="s">
        <v>283</v>
      </c>
      <c r="J167" s="12" t="s">
        <v>705</v>
      </c>
      <c r="K167" s="16"/>
      <c r="L167" s="16">
        <v>0</v>
      </c>
      <c r="M167" s="16">
        <v>0</v>
      </c>
      <c r="N167" s="16"/>
      <c r="O167" s="16" t="s">
        <v>706</v>
      </c>
      <c r="P167" s="16">
        <v>1.3</v>
      </c>
      <c r="Q167" s="16"/>
      <c r="R167" s="16"/>
      <c r="S167" s="16"/>
      <c r="T167" s="16"/>
      <c r="U167" s="16">
        <v>0.4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36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579</v>
      </c>
    </row>
    <row r="168" s="6" customFormat="1" spans="2:72">
      <c r="B168" t="s">
        <v>707</v>
      </c>
      <c r="C168" s="6" t="s">
        <v>71</v>
      </c>
      <c r="D168" s="16" t="s">
        <v>280</v>
      </c>
      <c r="E168" t="s">
        <v>708</v>
      </c>
      <c r="F168" s="19"/>
      <c r="G168" s="16" t="s">
        <v>704</v>
      </c>
      <c r="H168" s="16"/>
      <c r="I168" s="16" t="s">
        <v>283</v>
      </c>
      <c r="J168" s="12" t="s">
        <v>709</v>
      </c>
      <c r="K168" s="16"/>
      <c r="L168" s="16">
        <v>0</v>
      </c>
      <c r="M168" s="16">
        <v>0</v>
      </c>
      <c r="N168" s="16"/>
      <c r="O168" s="16" t="s">
        <v>710</v>
      </c>
      <c r="P168" s="16">
        <v>2.1</v>
      </c>
      <c r="Q168" s="16"/>
      <c r="R168" s="16"/>
      <c r="S168" s="16"/>
      <c r="T168" s="16"/>
      <c r="U168" s="16">
        <v>0.4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36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579</v>
      </c>
    </row>
    <row r="169" s="6" customFormat="1" spans="2:72">
      <c r="B169" t="s">
        <v>711</v>
      </c>
      <c r="C169" s="6" t="s">
        <v>71</v>
      </c>
      <c r="D169" s="16" t="s">
        <v>280</v>
      </c>
      <c r="E169" t="s">
        <v>712</v>
      </c>
      <c r="F169" s="19"/>
      <c r="G169" s="16" t="s">
        <v>704</v>
      </c>
      <c r="H169" s="16"/>
      <c r="I169" s="16" t="s">
        <v>283</v>
      </c>
      <c r="J169" s="12" t="s">
        <v>713</v>
      </c>
      <c r="K169" s="16"/>
      <c r="L169" s="16">
        <v>0</v>
      </c>
      <c r="M169" s="16">
        <v>0</v>
      </c>
      <c r="N169" s="16"/>
      <c r="O169" s="16" t="s">
        <v>714</v>
      </c>
      <c r="P169" s="16">
        <v>1.7</v>
      </c>
      <c r="Q169" s="16"/>
      <c r="R169" s="16"/>
      <c r="S169" s="16"/>
      <c r="T169" s="16"/>
      <c r="U169" s="16">
        <v>0.4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36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579</v>
      </c>
    </row>
    <row r="170" s="6" customFormat="1" spans="2:72">
      <c r="B170" t="s">
        <v>715</v>
      </c>
      <c r="C170" s="6" t="s">
        <v>71</v>
      </c>
      <c r="D170" s="16" t="s">
        <v>280</v>
      </c>
      <c r="E170" t="s">
        <v>716</v>
      </c>
      <c r="F170" s="19"/>
      <c r="G170" s="16" t="s">
        <v>704</v>
      </c>
      <c r="H170" s="16"/>
      <c r="I170" s="16" t="s">
        <v>283</v>
      </c>
      <c r="J170" s="12" t="s">
        <v>717</v>
      </c>
      <c r="K170" s="16"/>
      <c r="L170" s="16">
        <v>0</v>
      </c>
      <c r="M170" s="16">
        <v>0</v>
      </c>
      <c r="N170" s="16"/>
      <c r="O170" s="16" t="s">
        <v>718</v>
      </c>
      <c r="P170" s="16">
        <v>1.4</v>
      </c>
      <c r="Q170" s="16"/>
      <c r="R170" s="16"/>
      <c r="S170" s="16"/>
      <c r="T170" s="16"/>
      <c r="U170" s="16">
        <v>0.4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36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579</v>
      </c>
    </row>
    <row r="171" s="6" customFormat="1" spans="2:72">
      <c r="B171" t="s">
        <v>719</v>
      </c>
      <c r="C171" s="6" t="s">
        <v>71</v>
      </c>
      <c r="D171" s="16" t="s">
        <v>280</v>
      </c>
      <c r="E171" t="s">
        <v>720</v>
      </c>
      <c r="F171" s="19"/>
      <c r="G171" s="16" t="s">
        <v>704</v>
      </c>
      <c r="H171" s="16"/>
      <c r="I171" s="16" t="s">
        <v>283</v>
      </c>
      <c r="J171" s="12" t="s">
        <v>721</v>
      </c>
      <c r="K171" s="16"/>
      <c r="L171" s="16">
        <v>0</v>
      </c>
      <c r="M171" s="16">
        <v>0</v>
      </c>
      <c r="N171" s="16"/>
      <c r="O171" s="16" t="s">
        <v>722</v>
      </c>
      <c r="P171" s="16">
        <v>1.5</v>
      </c>
      <c r="Q171" s="16"/>
      <c r="R171" s="16"/>
      <c r="S171" s="16"/>
      <c r="T171" s="16"/>
      <c r="U171" s="16">
        <v>0.4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36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579</v>
      </c>
    </row>
    <row r="172" s="6" customFormat="1" spans="2:72">
      <c r="B172" t="s">
        <v>723</v>
      </c>
      <c r="C172" s="6" t="s">
        <v>71</v>
      </c>
      <c r="D172" s="16" t="s">
        <v>280</v>
      </c>
      <c r="E172" t="s">
        <v>724</v>
      </c>
      <c r="F172" s="19"/>
      <c r="G172" s="16" t="s">
        <v>704</v>
      </c>
      <c r="H172" s="16"/>
      <c r="I172" s="16" t="s">
        <v>283</v>
      </c>
      <c r="J172" s="12" t="s">
        <v>725</v>
      </c>
      <c r="K172" s="16"/>
      <c r="L172" s="16">
        <v>0</v>
      </c>
      <c r="M172" s="16">
        <v>0</v>
      </c>
      <c r="N172" s="16"/>
      <c r="O172" s="16" t="s">
        <v>726</v>
      </c>
      <c r="P172" s="16">
        <v>1.4</v>
      </c>
      <c r="Q172" s="16"/>
      <c r="R172" s="16"/>
      <c r="S172" s="16"/>
      <c r="T172" s="16"/>
      <c r="U172" s="16">
        <v>0.4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36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579</v>
      </c>
    </row>
    <row r="173" s="6" customFormat="1" spans="2:72">
      <c r="B173" t="s">
        <v>727</v>
      </c>
      <c r="C173" s="6" t="s">
        <v>71</v>
      </c>
      <c r="D173" s="16" t="s">
        <v>280</v>
      </c>
      <c r="E173" t="s">
        <v>728</v>
      </c>
      <c r="F173" s="19"/>
      <c r="G173" s="16" t="s">
        <v>704</v>
      </c>
      <c r="H173" s="16"/>
      <c r="I173" s="16" t="s">
        <v>283</v>
      </c>
      <c r="J173" s="12" t="s">
        <v>729</v>
      </c>
      <c r="K173" s="16"/>
      <c r="L173" s="16">
        <v>0</v>
      </c>
      <c r="M173" s="16">
        <v>0</v>
      </c>
      <c r="N173" s="16"/>
      <c r="O173" s="10" t="s">
        <v>210</v>
      </c>
      <c r="P173" s="16">
        <v>1.45</v>
      </c>
      <c r="Q173" s="16"/>
      <c r="R173" s="16"/>
      <c r="S173" s="16"/>
      <c r="T173" s="16"/>
      <c r="U173" s="16">
        <v>0.4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36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579</v>
      </c>
    </row>
    <row r="174" s="6" customFormat="1" spans="2:72">
      <c r="B174" t="s">
        <v>730</v>
      </c>
      <c r="C174" s="6" t="s">
        <v>71</v>
      </c>
      <c r="D174" s="16" t="s">
        <v>280</v>
      </c>
      <c r="E174" t="s">
        <v>728</v>
      </c>
      <c r="F174" s="19"/>
      <c r="G174" s="16" t="s">
        <v>704</v>
      </c>
      <c r="H174" s="16"/>
      <c r="I174" s="16" t="s">
        <v>283</v>
      </c>
      <c r="J174" s="12" t="s">
        <v>731</v>
      </c>
      <c r="K174" s="16"/>
      <c r="L174" s="16">
        <v>0</v>
      </c>
      <c r="M174" s="16">
        <v>0</v>
      </c>
      <c r="N174" s="16"/>
      <c r="O174" s="10" t="s">
        <v>210</v>
      </c>
      <c r="P174" s="16">
        <v>1.45</v>
      </c>
      <c r="Q174" s="16"/>
      <c r="R174" s="16"/>
      <c r="S174" s="16"/>
      <c r="T174" s="16"/>
      <c r="U174" s="16">
        <v>0.4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36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579</v>
      </c>
    </row>
    <row r="175" s="6" customFormat="1" spans="2:69">
      <c r="B175" t="s">
        <v>732</v>
      </c>
      <c r="C175" s="6" t="s">
        <v>71</v>
      </c>
      <c r="D175" s="16" t="s">
        <v>280</v>
      </c>
      <c r="E175" t="s">
        <v>733</v>
      </c>
      <c r="F175" s="19"/>
      <c r="G175" s="16" t="s">
        <v>734</v>
      </c>
      <c r="H175" s="16"/>
      <c r="I175" s="16" t="s">
        <v>283</v>
      </c>
      <c r="J175" s="12" t="s">
        <v>735</v>
      </c>
      <c r="K175" s="16"/>
      <c r="L175" s="16">
        <v>0</v>
      </c>
      <c r="M175" s="16">
        <v>0</v>
      </c>
      <c r="N175" s="16"/>
      <c r="O175" s="16" t="s">
        <v>736</v>
      </c>
      <c r="P175" s="16">
        <v>1.5</v>
      </c>
      <c r="Q175" s="16"/>
      <c r="R175" s="16"/>
      <c r="S175" s="16"/>
      <c r="T175" s="16"/>
      <c r="U175" s="16">
        <v>1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36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="6" customFormat="1" spans="2:69">
      <c r="B176" t="s">
        <v>737</v>
      </c>
      <c r="C176" s="6" t="s">
        <v>71</v>
      </c>
      <c r="D176" s="16" t="s">
        <v>280</v>
      </c>
      <c r="E176" t="s">
        <v>738</v>
      </c>
      <c r="F176" s="19"/>
      <c r="G176" s="16" t="s">
        <v>734</v>
      </c>
      <c r="H176" s="16"/>
      <c r="I176" s="16" t="s">
        <v>283</v>
      </c>
      <c r="J176" s="12" t="s">
        <v>739</v>
      </c>
      <c r="K176" s="16"/>
      <c r="L176" s="16">
        <v>0</v>
      </c>
      <c r="M176" s="16">
        <v>0</v>
      </c>
      <c r="N176" s="16"/>
      <c r="O176" s="16" t="s">
        <v>740</v>
      </c>
      <c r="P176" s="16">
        <v>2.15</v>
      </c>
      <c r="Q176" s="16"/>
      <c r="R176" s="16"/>
      <c r="S176" s="16"/>
      <c r="T176" s="16"/>
      <c r="U176" s="16">
        <v>1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36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="6" customFormat="1" spans="2:69">
      <c r="B177" t="s">
        <v>741</v>
      </c>
      <c r="C177" s="6" t="s">
        <v>71</v>
      </c>
      <c r="D177" s="16" t="s">
        <v>280</v>
      </c>
      <c r="E177" t="s">
        <v>742</v>
      </c>
      <c r="F177" s="19"/>
      <c r="G177" s="16" t="s">
        <v>734</v>
      </c>
      <c r="H177" s="16"/>
      <c r="I177" s="16" t="s">
        <v>283</v>
      </c>
      <c r="J177" s="12" t="s">
        <v>743</v>
      </c>
      <c r="K177" s="16"/>
      <c r="L177" s="16">
        <v>0</v>
      </c>
      <c r="M177" s="16">
        <v>0</v>
      </c>
      <c r="N177" s="16"/>
      <c r="O177" s="16" t="s">
        <v>744</v>
      </c>
      <c r="P177" s="16">
        <v>1.32</v>
      </c>
      <c r="Q177" s="16"/>
      <c r="R177" s="16"/>
      <c r="S177" s="16"/>
      <c r="T177" s="16"/>
      <c r="U177" s="16">
        <v>1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36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="6" customFormat="1" spans="2:69">
      <c r="B178" t="s">
        <v>745</v>
      </c>
      <c r="C178" s="6" t="s">
        <v>71</v>
      </c>
      <c r="D178" s="16" t="s">
        <v>280</v>
      </c>
      <c r="E178" t="s">
        <v>746</v>
      </c>
      <c r="F178" s="19"/>
      <c r="G178" s="16" t="s">
        <v>734</v>
      </c>
      <c r="H178" s="16"/>
      <c r="I178" s="16" t="s">
        <v>283</v>
      </c>
      <c r="J178" s="12" t="s">
        <v>747</v>
      </c>
      <c r="K178" s="16"/>
      <c r="L178" s="16">
        <v>0</v>
      </c>
      <c r="M178" s="16">
        <v>0</v>
      </c>
      <c r="N178" s="16"/>
      <c r="O178" s="16" t="s">
        <v>748</v>
      </c>
      <c r="P178" s="16">
        <v>1.4</v>
      </c>
      <c r="Q178" s="16"/>
      <c r="R178" s="16"/>
      <c r="S178" s="16"/>
      <c r="T178" s="16"/>
      <c r="U178" s="16">
        <v>1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36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="6" customFormat="1" spans="2:69">
      <c r="B179" t="s">
        <v>749</v>
      </c>
      <c r="C179" s="6" t="s">
        <v>71</v>
      </c>
      <c r="D179" s="16" t="s">
        <v>280</v>
      </c>
      <c r="E179" t="s">
        <v>750</v>
      </c>
      <c r="F179" s="19"/>
      <c r="G179" s="16" t="s">
        <v>734</v>
      </c>
      <c r="H179" s="16"/>
      <c r="I179" s="16" t="s">
        <v>283</v>
      </c>
      <c r="J179" s="12" t="s">
        <v>751</v>
      </c>
      <c r="K179" s="16"/>
      <c r="L179" s="16">
        <v>0</v>
      </c>
      <c r="M179" s="16">
        <v>0</v>
      </c>
      <c r="N179" s="16"/>
      <c r="O179" s="16" t="s">
        <v>752</v>
      </c>
      <c r="P179" s="16">
        <v>1.2</v>
      </c>
      <c r="Q179" s="16"/>
      <c r="R179" s="16"/>
      <c r="S179" s="16"/>
      <c r="T179" s="16"/>
      <c r="U179" s="16">
        <v>1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36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="6" customFormat="1" spans="2:69">
      <c r="B180" t="s">
        <v>753</v>
      </c>
      <c r="C180" s="6" t="s">
        <v>71</v>
      </c>
      <c r="D180" s="16" t="s">
        <v>280</v>
      </c>
      <c r="E180" t="s">
        <v>754</v>
      </c>
      <c r="F180" s="19"/>
      <c r="G180" s="16" t="s">
        <v>734</v>
      </c>
      <c r="H180" s="16"/>
      <c r="I180" s="16" t="s">
        <v>283</v>
      </c>
      <c r="J180" s="12" t="s">
        <v>755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</v>
      </c>
      <c r="Q180" s="16"/>
      <c r="R180" s="16"/>
      <c r="S180" s="16"/>
      <c r="T180" s="16"/>
      <c r="U180" s="16">
        <v>1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36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="6" customFormat="1" spans="2:69">
      <c r="B181" t="s">
        <v>756</v>
      </c>
      <c r="C181" s="6" t="s">
        <v>71</v>
      </c>
      <c r="D181" s="16" t="s">
        <v>280</v>
      </c>
      <c r="E181" t="s">
        <v>161</v>
      </c>
      <c r="F181" s="19"/>
      <c r="G181" s="16" t="s">
        <v>757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</v>
      </c>
      <c r="Q181" s="16"/>
      <c r="R181" s="16"/>
      <c r="S181" s="16"/>
      <c r="T181" s="16"/>
      <c r="U181" s="16">
        <v>1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36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="6" customFormat="1" spans="2:69">
      <c r="B182" t="s">
        <v>758</v>
      </c>
      <c r="C182" s="6" t="s">
        <v>71</v>
      </c>
      <c r="D182" s="16" t="s">
        <v>280</v>
      </c>
      <c r="E182" t="s">
        <v>172</v>
      </c>
      <c r="F182" s="19"/>
      <c r="G182" s="16" t="s">
        <v>757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1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36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="6" customFormat="1" spans="2:69">
      <c r="B183" t="s">
        <v>759</v>
      </c>
      <c r="C183" s="6" t="s">
        <v>71</v>
      </c>
      <c r="D183" s="16" t="s">
        <v>280</v>
      </c>
      <c r="E183" t="s">
        <v>760</v>
      </c>
      <c r="F183" s="19"/>
      <c r="G183" s="16" t="s">
        <v>757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</v>
      </c>
      <c r="Q183" s="16"/>
      <c r="R183" s="16"/>
      <c r="S183" s="16"/>
      <c r="T183" s="16"/>
      <c r="U183" s="16">
        <v>1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36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="6" customFormat="1" spans="2:69">
      <c r="B184" t="s">
        <v>761</v>
      </c>
      <c r="C184" s="6" t="s">
        <v>71</v>
      </c>
      <c r="D184" s="16" t="s">
        <v>280</v>
      </c>
      <c r="E184" t="s">
        <v>762</v>
      </c>
      <c r="F184" s="19"/>
      <c r="G184" s="16" t="s">
        <v>757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763</v>
      </c>
      <c r="P184" s="16">
        <v>2.01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36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="6" customFormat="1" spans="2:69">
      <c r="B185" t="s">
        <v>764</v>
      </c>
      <c r="C185" s="6" t="s">
        <v>71</v>
      </c>
      <c r="D185" s="16" t="s">
        <v>280</v>
      </c>
      <c r="E185" t="s">
        <v>765</v>
      </c>
      <c r="F185" s="19"/>
      <c r="G185" s="16" t="s">
        <v>757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2.3</v>
      </c>
      <c r="Q185" s="16"/>
      <c r="R185" s="16"/>
      <c r="S185" s="16"/>
      <c r="T185" s="16"/>
      <c r="U185" s="16">
        <v>1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36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="6" customFormat="1" spans="2:69">
      <c r="B186" s="4" t="s">
        <v>766</v>
      </c>
      <c r="C186" s="6" t="s">
        <v>71</v>
      </c>
      <c r="D186" s="16" t="s">
        <v>280</v>
      </c>
      <c r="E186" s="4" t="s">
        <v>767</v>
      </c>
      <c r="F186" s="19"/>
      <c r="G186" s="16" t="s">
        <v>768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736</v>
      </c>
      <c r="P186" s="16">
        <v>1.5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36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="6" customFormat="1" spans="2:69">
      <c r="B187" s="4" t="s">
        <v>769</v>
      </c>
      <c r="C187" s="6" t="s">
        <v>71</v>
      </c>
      <c r="D187" s="16" t="s">
        <v>280</v>
      </c>
      <c r="E187" s="4" t="s">
        <v>770</v>
      </c>
      <c r="F187" s="19"/>
      <c r="G187" s="16" t="s">
        <v>768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736</v>
      </c>
      <c r="P187" s="16">
        <v>1.5</v>
      </c>
      <c r="Q187" s="16"/>
      <c r="R187" s="16"/>
      <c r="S187" s="16"/>
      <c r="T187" s="16"/>
      <c r="U187" s="16">
        <v>1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36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="6" customFormat="1" spans="2:69">
      <c r="B188" s="4" t="s">
        <v>771</v>
      </c>
      <c r="C188" s="6" t="s">
        <v>71</v>
      </c>
      <c r="D188" s="16" t="s">
        <v>280</v>
      </c>
      <c r="E188" s="4" t="s">
        <v>772</v>
      </c>
      <c r="F188" s="19"/>
      <c r="G188" s="16" t="s">
        <v>768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736</v>
      </c>
      <c r="P188" s="16">
        <v>1.5</v>
      </c>
      <c r="Q188" s="16"/>
      <c r="R188" s="16"/>
      <c r="S188" s="16"/>
      <c r="T188" s="16"/>
      <c r="U188" s="16">
        <v>1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36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="6" customFormat="1" spans="2:69">
      <c r="B189" s="4" t="s">
        <v>773</v>
      </c>
      <c r="C189" s="6" t="s">
        <v>71</v>
      </c>
      <c r="D189" s="16" t="s">
        <v>280</v>
      </c>
      <c r="E189" s="4" t="s">
        <v>774</v>
      </c>
      <c r="F189" s="19"/>
      <c r="G189" s="16" t="s">
        <v>768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736</v>
      </c>
      <c r="P189" s="16">
        <v>1.5</v>
      </c>
      <c r="Q189" s="16"/>
      <c r="R189" s="16"/>
      <c r="S189" s="16"/>
      <c r="T189" s="16"/>
      <c r="U189" s="16">
        <v>1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36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="6" customFormat="1" spans="2:69">
      <c r="B190" s="4" t="s">
        <v>775</v>
      </c>
      <c r="C190" s="6" t="s">
        <v>71</v>
      </c>
      <c r="D190" s="16" t="s">
        <v>280</v>
      </c>
      <c r="E190" s="4" t="s">
        <v>776</v>
      </c>
      <c r="F190" s="19"/>
      <c r="G190" s="16" t="s">
        <v>768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736</v>
      </c>
      <c r="P190" s="16">
        <v>1.5</v>
      </c>
      <c r="Q190" s="16"/>
      <c r="R190" s="16"/>
      <c r="S190" s="16"/>
      <c r="T190" s="16"/>
      <c r="U190" s="16">
        <v>1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36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="6" customFormat="1" spans="2:69">
      <c r="B191" s="4" t="s">
        <v>777</v>
      </c>
      <c r="C191" s="6" t="s">
        <v>71</v>
      </c>
      <c r="D191" s="16" t="s">
        <v>280</v>
      </c>
      <c r="E191" s="4" t="s">
        <v>778</v>
      </c>
      <c r="F191" s="19"/>
      <c r="G191" s="16" t="s">
        <v>768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736</v>
      </c>
      <c r="P191" s="16">
        <v>1.5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36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="6" customFormat="1" spans="2:69">
      <c r="B192" s="4" t="s">
        <v>779</v>
      </c>
      <c r="C192" s="6" t="s">
        <v>71</v>
      </c>
      <c r="D192" s="16" t="s">
        <v>280</v>
      </c>
      <c r="E192" s="4" t="s">
        <v>780</v>
      </c>
      <c r="F192" s="19"/>
      <c r="G192" s="16" t="s">
        <v>768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736</v>
      </c>
      <c r="P192" s="16">
        <v>1.5</v>
      </c>
      <c r="Q192" s="16"/>
      <c r="R192" s="16"/>
      <c r="S192" s="16"/>
      <c r="T192" s="16"/>
      <c r="U192" s="16">
        <v>1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36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="6" customFormat="1" spans="2:69">
      <c r="B193" s="4" t="s">
        <v>781</v>
      </c>
      <c r="C193" s="6" t="s">
        <v>71</v>
      </c>
      <c r="D193" s="16" t="s">
        <v>280</v>
      </c>
      <c r="E193" s="4" t="s">
        <v>782</v>
      </c>
      <c r="F193" s="19"/>
      <c r="G193" s="16" t="s">
        <v>768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736</v>
      </c>
      <c r="P193" s="16">
        <v>1.5</v>
      </c>
      <c r="Q193" s="16"/>
      <c r="R193" s="16"/>
      <c r="S193" s="16"/>
      <c r="T193" s="16"/>
      <c r="U193" s="16">
        <v>1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36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="6" customFormat="1" spans="2:69">
      <c r="B194" s="4" t="s">
        <v>783</v>
      </c>
      <c r="C194" s="6" t="s">
        <v>71</v>
      </c>
      <c r="D194" s="16" t="s">
        <v>280</v>
      </c>
      <c r="E194" s="4" t="s">
        <v>784</v>
      </c>
      <c r="F194" s="19"/>
      <c r="G194" s="16" t="s">
        <v>768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736</v>
      </c>
      <c r="P194" s="16">
        <v>1.5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36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="6" customFormat="1" spans="2:69">
      <c r="B195" s="4" t="s">
        <v>785</v>
      </c>
      <c r="C195" s="6" t="s">
        <v>71</v>
      </c>
      <c r="D195" s="16" t="s">
        <v>280</v>
      </c>
      <c r="E195" s="4" t="s">
        <v>786</v>
      </c>
      <c r="F195" s="19"/>
      <c r="G195" s="16" t="s">
        <v>768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736</v>
      </c>
      <c r="P195" s="16">
        <v>1.5</v>
      </c>
      <c r="Q195" s="16"/>
      <c r="R195" s="16"/>
      <c r="S195" s="16"/>
      <c r="T195" s="16"/>
      <c r="U195" s="16">
        <v>1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36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="6" customFormat="1" spans="2:69">
      <c r="B196" s="4" t="s">
        <v>787</v>
      </c>
      <c r="C196" s="6" t="s">
        <v>71</v>
      </c>
      <c r="D196" s="16" t="s">
        <v>280</v>
      </c>
      <c r="E196" s="4" t="s">
        <v>788</v>
      </c>
      <c r="F196" s="19"/>
      <c r="G196" s="16" t="s">
        <v>768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736</v>
      </c>
      <c r="P196" s="16">
        <v>1.5</v>
      </c>
      <c r="Q196" s="16"/>
      <c r="R196" s="16"/>
      <c r="S196" s="16"/>
      <c r="T196" s="16"/>
      <c r="U196" s="16">
        <v>1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36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="6" customFormat="1" spans="2:69">
      <c r="B197" s="4" t="s">
        <v>789</v>
      </c>
      <c r="C197" s="6" t="s">
        <v>71</v>
      </c>
      <c r="D197" s="16" t="s">
        <v>280</v>
      </c>
      <c r="E197" s="4" t="s">
        <v>790</v>
      </c>
      <c r="F197" s="19"/>
      <c r="G197" s="16" t="s">
        <v>768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736</v>
      </c>
      <c r="P197" s="16">
        <v>1.5</v>
      </c>
      <c r="Q197" s="16"/>
      <c r="R197" s="16"/>
      <c r="S197" s="16"/>
      <c r="T197" s="16"/>
      <c r="U197" s="16">
        <v>1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36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="6" customFormat="1" spans="2:69">
      <c r="B198" s="4" t="s">
        <v>791</v>
      </c>
      <c r="C198" s="6" t="s">
        <v>71</v>
      </c>
      <c r="D198" s="16" t="s">
        <v>280</v>
      </c>
      <c r="E198" s="4" t="s">
        <v>792</v>
      </c>
      <c r="F198" s="19"/>
      <c r="G198" s="16" t="s">
        <v>768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736</v>
      </c>
      <c r="P198" s="16">
        <v>1.5</v>
      </c>
      <c r="Q198" s="16"/>
      <c r="R198" s="16"/>
      <c r="S198" s="16"/>
      <c r="T198" s="16"/>
      <c r="U198" s="16">
        <v>1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36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="6" customFormat="1" spans="2:69">
      <c r="B199" s="4" t="s">
        <v>793</v>
      </c>
      <c r="C199" s="6" t="s">
        <v>71</v>
      </c>
      <c r="D199" s="16" t="s">
        <v>280</v>
      </c>
      <c r="E199" s="4" t="s">
        <v>794</v>
      </c>
      <c r="F199" s="19"/>
      <c r="G199" s="16" t="s">
        <v>768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736</v>
      </c>
      <c r="P199" s="16">
        <v>1.5</v>
      </c>
      <c r="Q199" s="16"/>
      <c r="R199" s="16"/>
      <c r="S199" s="16"/>
      <c r="T199" s="16"/>
      <c r="U199" s="16">
        <v>1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36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="6" customFormat="1" spans="2:69">
      <c r="B200" s="4" t="s">
        <v>795</v>
      </c>
      <c r="C200" s="6" t="s">
        <v>71</v>
      </c>
      <c r="D200" s="16" t="s">
        <v>280</v>
      </c>
      <c r="E200" s="4" t="s">
        <v>796</v>
      </c>
      <c r="F200" s="19"/>
      <c r="G200" s="16" t="s">
        <v>768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736</v>
      </c>
      <c r="P200" s="16">
        <v>1.5</v>
      </c>
      <c r="Q200" s="16"/>
      <c r="R200" s="16"/>
      <c r="S200" s="16"/>
      <c r="T200" s="16"/>
      <c r="U200" s="16">
        <v>1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36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="6" customFormat="1" spans="2:69">
      <c r="B201" s="4" t="s">
        <v>797</v>
      </c>
      <c r="C201" s="6" t="s">
        <v>71</v>
      </c>
      <c r="D201" s="16" t="s">
        <v>280</v>
      </c>
      <c r="E201" s="4" t="s">
        <v>798</v>
      </c>
      <c r="F201" s="19"/>
      <c r="G201" s="16" t="s">
        <v>768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736</v>
      </c>
      <c r="P201" s="16">
        <v>1.5</v>
      </c>
      <c r="Q201" s="16"/>
      <c r="R201" s="16"/>
      <c r="S201" s="16"/>
      <c r="T201" s="16"/>
      <c r="U201" s="16">
        <v>1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36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="6" customFormat="1" spans="2:69">
      <c r="B202" s="4" t="s">
        <v>799</v>
      </c>
      <c r="C202" s="6" t="s">
        <v>71</v>
      </c>
      <c r="D202" s="16" t="s">
        <v>280</v>
      </c>
      <c r="E202" s="4" t="s">
        <v>800</v>
      </c>
      <c r="F202" s="19"/>
      <c r="G202" s="16" t="s">
        <v>768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736</v>
      </c>
      <c r="P202" s="16">
        <v>1.5</v>
      </c>
      <c r="Q202" s="16"/>
      <c r="R202" s="16"/>
      <c r="S202" s="16"/>
      <c r="T202" s="16"/>
      <c r="U202" s="16">
        <v>1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36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="6" customFormat="1" spans="2:69">
      <c r="B203" s="4" t="s">
        <v>801</v>
      </c>
      <c r="C203" s="6" t="s">
        <v>71</v>
      </c>
      <c r="D203" s="16" t="s">
        <v>280</v>
      </c>
      <c r="E203" s="4" t="s">
        <v>802</v>
      </c>
      <c r="F203" s="19"/>
      <c r="G203" s="16" t="s">
        <v>768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736</v>
      </c>
      <c r="P203" s="16">
        <v>1.5</v>
      </c>
      <c r="Q203" s="16"/>
      <c r="R203" s="16"/>
      <c r="S203" s="16"/>
      <c r="T203" s="16"/>
      <c r="U203" s="16">
        <v>1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36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="6" customFormat="1" spans="2:69">
      <c r="B204" s="4" t="s">
        <v>803</v>
      </c>
      <c r="C204" s="6" t="s">
        <v>71</v>
      </c>
      <c r="D204" s="16" t="s">
        <v>280</v>
      </c>
      <c r="E204" s="4" t="s">
        <v>804</v>
      </c>
      <c r="F204" s="19"/>
      <c r="G204" s="16" t="s">
        <v>768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736</v>
      </c>
      <c r="P204" s="16">
        <v>1.5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36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="6" customFormat="1" spans="2:69">
      <c r="B205" s="4" t="s">
        <v>805</v>
      </c>
      <c r="C205" s="6" t="s">
        <v>71</v>
      </c>
      <c r="D205" s="16" t="s">
        <v>280</v>
      </c>
      <c r="E205" s="4" t="s">
        <v>806</v>
      </c>
      <c r="F205" s="19"/>
      <c r="G205" s="16" t="s">
        <v>768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736</v>
      </c>
      <c r="P205" s="16">
        <v>1.5</v>
      </c>
      <c r="Q205" s="16"/>
      <c r="R205" s="16"/>
      <c r="S205" s="16"/>
      <c r="T205" s="16"/>
      <c r="U205" s="16">
        <v>1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36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="6" customFormat="1" spans="2:69">
      <c r="B206" s="4" t="s">
        <v>807</v>
      </c>
      <c r="C206" s="6" t="s">
        <v>71</v>
      </c>
      <c r="D206" s="16" t="s">
        <v>280</v>
      </c>
      <c r="E206" s="4" t="s">
        <v>808</v>
      </c>
      <c r="F206" s="19"/>
      <c r="G206" s="16" t="s">
        <v>768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736</v>
      </c>
      <c r="P206" s="16">
        <v>1.5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36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="6" customFormat="1" spans="2:69">
      <c r="B207" s="4" t="s">
        <v>809</v>
      </c>
      <c r="C207" s="6" t="s">
        <v>71</v>
      </c>
      <c r="D207" s="16" t="s">
        <v>280</v>
      </c>
      <c r="E207" s="4" t="s">
        <v>810</v>
      </c>
      <c r="F207" s="19"/>
      <c r="G207" s="16" t="s">
        <v>768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736</v>
      </c>
      <c r="P207" s="16">
        <v>1.5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36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="6" customFormat="1" spans="2:69">
      <c r="B208" s="4" t="s">
        <v>811</v>
      </c>
      <c r="C208" s="6" t="s">
        <v>71</v>
      </c>
      <c r="D208" s="16" t="s">
        <v>280</v>
      </c>
      <c r="E208" s="4" t="s">
        <v>812</v>
      </c>
      <c r="F208" s="19"/>
      <c r="G208" s="16" t="s">
        <v>768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736</v>
      </c>
      <c r="P208" s="16">
        <v>1.5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36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="6" customFormat="1" spans="2:69">
      <c r="B209" s="4" t="s">
        <v>813</v>
      </c>
      <c r="C209" s="6" t="s">
        <v>71</v>
      </c>
      <c r="D209" s="16" t="s">
        <v>280</v>
      </c>
      <c r="E209" s="4" t="s">
        <v>814</v>
      </c>
      <c r="F209" s="19"/>
      <c r="G209" s="16" t="s">
        <v>768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736</v>
      </c>
      <c r="P209" s="16">
        <v>1.5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36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="6" customFormat="1" spans="2:69">
      <c r="B210" s="4" t="s">
        <v>815</v>
      </c>
      <c r="C210" s="6" t="s">
        <v>71</v>
      </c>
      <c r="D210" s="16" t="s">
        <v>280</v>
      </c>
      <c r="E210" s="4" t="s">
        <v>816</v>
      </c>
      <c r="F210" s="19"/>
      <c r="G210" s="16" t="s">
        <v>768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736</v>
      </c>
      <c r="P210" s="16">
        <v>1.5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36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="6" customFormat="1" spans="2:69">
      <c r="B211" s="4" t="s">
        <v>817</v>
      </c>
      <c r="C211" s="6" t="s">
        <v>71</v>
      </c>
      <c r="D211" s="16" t="s">
        <v>280</v>
      </c>
      <c r="E211" s="4" t="s">
        <v>818</v>
      </c>
      <c r="F211" s="19"/>
      <c r="G211" s="16" t="s">
        <v>768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736</v>
      </c>
      <c r="P211" s="16">
        <v>1.5</v>
      </c>
      <c r="Q211" s="16"/>
      <c r="R211" s="16"/>
      <c r="S211" s="16"/>
      <c r="T211" s="16"/>
      <c r="U211" s="16">
        <v>1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36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="6" customFormat="1" spans="2:69">
      <c r="B212" s="4" t="s">
        <v>819</v>
      </c>
      <c r="C212" s="6" t="s">
        <v>71</v>
      </c>
      <c r="D212" s="16" t="s">
        <v>280</v>
      </c>
      <c r="E212" s="4" t="s">
        <v>820</v>
      </c>
      <c r="F212" s="19"/>
      <c r="G212" s="16" t="s">
        <v>768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736</v>
      </c>
      <c r="P212" s="16">
        <v>1.5</v>
      </c>
      <c r="Q212" s="16"/>
      <c r="R212" s="16"/>
      <c r="S212" s="16"/>
      <c r="T212" s="16"/>
      <c r="U212" s="16">
        <v>1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36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="6" customFormat="1" spans="2:69">
      <c r="B213" s="4" t="s">
        <v>821</v>
      </c>
      <c r="C213" s="6" t="s">
        <v>71</v>
      </c>
      <c r="D213" s="16" t="s">
        <v>280</v>
      </c>
      <c r="E213" s="4" t="s">
        <v>822</v>
      </c>
      <c r="F213" s="19"/>
      <c r="G213" s="16" t="s">
        <v>768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736</v>
      </c>
      <c r="P213" s="16">
        <v>1.5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36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="6" customFormat="1" spans="2:69">
      <c r="B214" s="4" t="s">
        <v>823</v>
      </c>
      <c r="C214" s="6" t="s">
        <v>71</v>
      </c>
      <c r="D214" s="16" t="s">
        <v>280</v>
      </c>
      <c r="E214" s="4" t="s">
        <v>824</v>
      </c>
      <c r="F214" s="19"/>
      <c r="G214" s="16" t="s">
        <v>768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736</v>
      </c>
      <c r="P214" s="16">
        <v>1.5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36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="6" customFormat="1" spans="2:69">
      <c r="B215" s="4" t="s">
        <v>825</v>
      </c>
      <c r="C215" s="6" t="s">
        <v>71</v>
      </c>
      <c r="D215" s="16" t="s">
        <v>280</v>
      </c>
      <c r="E215" s="4" t="s">
        <v>826</v>
      </c>
      <c r="F215" s="19"/>
      <c r="G215" s="16" t="s">
        <v>768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736</v>
      </c>
      <c r="P215" s="16">
        <v>1.5</v>
      </c>
      <c r="Q215" s="16"/>
      <c r="R215" s="16"/>
      <c r="S215" s="16"/>
      <c r="T215" s="16"/>
      <c r="U215" s="16">
        <v>1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36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="6" customFormat="1" spans="2:69">
      <c r="B216" s="4" t="s">
        <v>827</v>
      </c>
      <c r="C216" s="6" t="s">
        <v>71</v>
      </c>
      <c r="D216" s="16" t="s">
        <v>280</v>
      </c>
      <c r="E216" s="4" t="s">
        <v>828</v>
      </c>
      <c r="F216" s="19"/>
      <c r="G216" s="16" t="s">
        <v>768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736</v>
      </c>
      <c r="P216" s="16">
        <v>1.5</v>
      </c>
      <c r="Q216" s="16"/>
      <c r="R216" s="16"/>
      <c r="S216" s="16"/>
      <c r="T216" s="16"/>
      <c r="U216" s="16">
        <v>1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36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="6" customFormat="1" spans="2:69">
      <c r="B217" s="4" t="s">
        <v>829</v>
      </c>
      <c r="C217" s="6" t="s">
        <v>71</v>
      </c>
      <c r="D217" s="16" t="s">
        <v>280</v>
      </c>
      <c r="E217" s="4" t="s">
        <v>830</v>
      </c>
      <c r="F217" s="19"/>
      <c r="G217" s="16" t="s">
        <v>768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736</v>
      </c>
      <c r="P217" s="16">
        <v>1.5</v>
      </c>
      <c r="Q217" s="16"/>
      <c r="R217" s="16"/>
      <c r="S217" s="16"/>
      <c r="T217" s="16"/>
      <c r="U217" s="16">
        <v>1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36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="6" customFormat="1" spans="2:69">
      <c r="B218" s="4" t="s">
        <v>831</v>
      </c>
      <c r="C218" s="6" t="s">
        <v>71</v>
      </c>
      <c r="D218" s="16" t="s">
        <v>280</v>
      </c>
      <c r="E218" s="4" t="s">
        <v>832</v>
      </c>
      <c r="F218" s="19"/>
      <c r="G218" s="16" t="s">
        <v>768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736</v>
      </c>
      <c r="P218" s="16">
        <v>1.5</v>
      </c>
      <c r="Q218" s="16"/>
      <c r="R218" s="16"/>
      <c r="S218" s="16"/>
      <c r="T218" s="16"/>
      <c r="U218" s="16">
        <v>1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36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="6" customFormat="1" spans="2:69">
      <c r="B219" s="4" t="s">
        <v>833</v>
      </c>
      <c r="C219" s="6" t="s">
        <v>71</v>
      </c>
      <c r="D219" s="16" t="s">
        <v>280</v>
      </c>
      <c r="E219" s="4" t="s">
        <v>834</v>
      </c>
      <c r="F219" s="19"/>
      <c r="G219" s="16" t="s">
        <v>768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736</v>
      </c>
      <c r="P219" s="16">
        <v>1.5</v>
      </c>
      <c r="Q219" s="16"/>
      <c r="R219" s="16"/>
      <c r="S219" s="16"/>
      <c r="T219" s="16"/>
      <c r="U219" s="16">
        <v>1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36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="6" customFormat="1" spans="2:69">
      <c r="B220" s="4" t="s">
        <v>835</v>
      </c>
      <c r="C220" s="6" t="s">
        <v>71</v>
      </c>
      <c r="D220" s="16" t="s">
        <v>280</v>
      </c>
      <c r="E220" s="4" t="s">
        <v>836</v>
      </c>
      <c r="F220" s="19"/>
      <c r="G220" s="16" t="s">
        <v>768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736</v>
      </c>
      <c r="P220" s="16">
        <v>1.5</v>
      </c>
      <c r="Q220" s="16"/>
      <c r="R220" s="16"/>
      <c r="S220" s="16"/>
      <c r="T220" s="16"/>
      <c r="U220" s="16">
        <v>1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36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="6" customFormat="1" spans="2:69">
      <c r="B221" s="4" t="s">
        <v>837</v>
      </c>
      <c r="C221" s="6" t="s">
        <v>71</v>
      </c>
      <c r="D221" s="16" t="s">
        <v>280</v>
      </c>
      <c r="E221" s="4" t="s">
        <v>838</v>
      </c>
      <c r="F221" s="19"/>
      <c r="G221" s="16" t="s">
        <v>768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736</v>
      </c>
      <c r="P221" s="16">
        <v>1.5</v>
      </c>
      <c r="Q221" s="16"/>
      <c r="R221" s="16"/>
      <c r="S221" s="16"/>
      <c r="T221" s="16"/>
      <c r="U221" s="16">
        <v>1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36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="6" customFormat="1" spans="2:69">
      <c r="B222" s="4" t="s">
        <v>839</v>
      </c>
      <c r="C222" s="6" t="s">
        <v>71</v>
      </c>
      <c r="D222" s="16" t="s">
        <v>280</v>
      </c>
      <c r="E222" s="4" t="s">
        <v>840</v>
      </c>
      <c r="F222" s="19"/>
      <c r="G222" s="16" t="s">
        <v>768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736</v>
      </c>
      <c r="P222" s="16">
        <v>1.5</v>
      </c>
      <c r="Q222" s="16"/>
      <c r="R222" s="16"/>
      <c r="S222" s="16"/>
      <c r="T222" s="16"/>
      <c r="U222" s="16">
        <v>1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36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="6" customFormat="1" spans="2:69">
      <c r="B223" s="4" t="s">
        <v>841</v>
      </c>
      <c r="C223" s="6" t="s">
        <v>71</v>
      </c>
      <c r="D223" s="16" t="s">
        <v>280</v>
      </c>
      <c r="E223" s="4" t="s">
        <v>842</v>
      </c>
      <c r="F223" s="19"/>
      <c r="G223" s="16" t="s">
        <v>768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736</v>
      </c>
      <c r="P223" s="16">
        <v>1.5</v>
      </c>
      <c r="Q223" s="16"/>
      <c r="R223" s="16"/>
      <c r="S223" s="16"/>
      <c r="T223" s="16"/>
      <c r="U223" s="16">
        <v>1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36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="6" customFormat="1" spans="2:69">
      <c r="B224" s="4" t="s">
        <v>843</v>
      </c>
      <c r="C224" s="6" t="s">
        <v>71</v>
      </c>
      <c r="D224" s="16" t="s">
        <v>280</v>
      </c>
      <c r="E224" s="4" t="s">
        <v>844</v>
      </c>
      <c r="F224" s="19"/>
      <c r="G224" s="16" t="s">
        <v>768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736</v>
      </c>
      <c r="P224" s="16">
        <v>1.5</v>
      </c>
      <c r="Q224" s="16"/>
      <c r="R224" s="16"/>
      <c r="S224" s="16"/>
      <c r="T224" s="16"/>
      <c r="U224" s="16">
        <v>1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36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="6" customFormat="1" spans="2:69">
      <c r="B225" s="4" t="s">
        <v>845</v>
      </c>
      <c r="C225" s="6" t="s">
        <v>71</v>
      </c>
      <c r="D225" s="16" t="s">
        <v>280</v>
      </c>
      <c r="E225" s="4" t="s">
        <v>846</v>
      </c>
      <c r="F225" s="19"/>
      <c r="G225" s="16" t="s">
        <v>768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736</v>
      </c>
      <c r="P225" s="16">
        <v>1.5</v>
      </c>
      <c r="Q225" s="16"/>
      <c r="R225" s="16"/>
      <c r="S225" s="16"/>
      <c r="T225" s="16"/>
      <c r="U225" s="16">
        <v>1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36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="6" customFormat="1" spans="2:69">
      <c r="B226" s="4" t="s">
        <v>847</v>
      </c>
      <c r="C226" s="6" t="s">
        <v>71</v>
      </c>
      <c r="D226" s="16" t="s">
        <v>280</v>
      </c>
      <c r="E226" s="4" t="s">
        <v>848</v>
      </c>
      <c r="F226" s="19"/>
      <c r="G226" s="16" t="s">
        <v>768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736</v>
      </c>
      <c r="P226" s="16">
        <v>1.5</v>
      </c>
      <c r="Q226" s="16"/>
      <c r="R226" s="16"/>
      <c r="S226" s="16"/>
      <c r="T226" s="16"/>
      <c r="U226" s="16">
        <v>1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36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="6" customFormat="1" spans="2:69">
      <c r="B227" s="4" t="s">
        <v>849</v>
      </c>
      <c r="C227" s="6" t="s">
        <v>71</v>
      </c>
      <c r="D227" s="16" t="s">
        <v>280</v>
      </c>
      <c r="E227" s="4" t="s">
        <v>850</v>
      </c>
      <c r="F227" s="19"/>
      <c r="G227" s="16" t="s">
        <v>768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736</v>
      </c>
      <c r="P227" s="16">
        <v>1.5</v>
      </c>
      <c r="Q227" s="16"/>
      <c r="R227" s="16"/>
      <c r="S227" s="16"/>
      <c r="T227" s="16"/>
      <c r="U227" s="16">
        <v>1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36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="6" customFormat="1" spans="2:69">
      <c r="B228" s="4" t="s">
        <v>851</v>
      </c>
      <c r="C228" s="6" t="s">
        <v>71</v>
      </c>
      <c r="D228" s="16" t="s">
        <v>280</v>
      </c>
      <c r="E228" s="4" t="s">
        <v>852</v>
      </c>
      <c r="F228" s="19"/>
      <c r="G228" s="16" t="s">
        <v>768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736</v>
      </c>
      <c r="P228" s="16">
        <v>1.5</v>
      </c>
      <c r="Q228" s="16"/>
      <c r="R228" s="16"/>
      <c r="S228" s="16"/>
      <c r="T228" s="16"/>
      <c r="U228" s="16">
        <v>1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36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="6" customFormat="1" spans="2:69">
      <c r="B229" s="4" t="s">
        <v>853</v>
      </c>
      <c r="C229" s="6" t="s">
        <v>71</v>
      </c>
      <c r="D229" s="16" t="s">
        <v>280</v>
      </c>
      <c r="E229" s="4" t="s">
        <v>854</v>
      </c>
      <c r="F229" s="19"/>
      <c r="G229" s="16" t="s">
        <v>768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736</v>
      </c>
      <c r="P229" s="16">
        <v>1.5</v>
      </c>
      <c r="Q229" s="16"/>
      <c r="R229" s="16"/>
      <c r="S229" s="16"/>
      <c r="T229" s="16"/>
      <c r="U229" s="16">
        <v>1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36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="6" customFormat="1" spans="2:69">
      <c r="B230" s="4" t="s">
        <v>855</v>
      </c>
      <c r="C230" s="6" t="s">
        <v>71</v>
      </c>
      <c r="D230" s="16" t="s">
        <v>280</v>
      </c>
      <c r="E230" s="4" t="s">
        <v>856</v>
      </c>
      <c r="F230" s="19"/>
      <c r="G230" s="16" t="s">
        <v>768</v>
      </c>
      <c r="H230" s="16"/>
      <c r="I230" s="16" t="s">
        <v>283</v>
      </c>
      <c r="J230" s="12"/>
      <c r="K230" s="16"/>
      <c r="L230" s="16">
        <v>0</v>
      </c>
      <c r="M230" s="16">
        <v>0</v>
      </c>
      <c r="N230" s="16"/>
      <c r="O230" s="16" t="s">
        <v>736</v>
      </c>
      <c r="P230" s="16">
        <v>1.5</v>
      </c>
      <c r="Q230" s="16"/>
      <c r="R230" s="16"/>
      <c r="S230" s="16"/>
      <c r="T230" s="16"/>
      <c r="U230" s="16">
        <v>1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36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="6" customFormat="1" spans="2:69">
      <c r="B231" s="4" t="s">
        <v>857</v>
      </c>
      <c r="C231" s="6" t="s">
        <v>71</v>
      </c>
      <c r="D231" s="16" t="s">
        <v>280</v>
      </c>
      <c r="E231" s="4" t="s">
        <v>858</v>
      </c>
      <c r="F231" s="19"/>
      <c r="G231" s="16" t="s">
        <v>768</v>
      </c>
      <c r="H231" s="16"/>
      <c r="I231" s="16" t="s">
        <v>283</v>
      </c>
      <c r="J231" s="12"/>
      <c r="K231" s="16"/>
      <c r="L231" s="16">
        <v>0</v>
      </c>
      <c r="M231" s="16">
        <v>0</v>
      </c>
      <c r="N231" s="16"/>
      <c r="O231" s="16" t="s">
        <v>736</v>
      </c>
      <c r="P231" s="16">
        <v>1.5</v>
      </c>
      <c r="Q231" s="16"/>
      <c r="R231" s="16"/>
      <c r="S231" s="16"/>
      <c r="T231" s="16"/>
      <c r="U231" s="16">
        <v>1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36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="6" customFormat="1" spans="2:69">
      <c r="B232" s="4" t="s">
        <v>859</v>
      </c>
      <c r="C232" s="6" t="s">
        <v>71</v>
      </c>
      <c r="D232" s="16" t="s">
        <v>280</v>
      </c>
      <c r="E232" s="4" t="s">
        <v>860</v>
      </c>
      <c r="F232" s="19"/>
      <c r="G232" s="16" t="s">
        <v>768</v>
      </c>
      <c r="H232" s="16"/>
      <c r="I232" s="16" t="s">
        <v>283</v>
      </c>
      <c r="J232" s="12"/>
      <c r="K232" s="16"/>
      <c r="L232" s="16">
        <v>0</v>
      </c>
      <c r="M232" s="16">
        <v>0</v>
      </c>
      <c r="N232" s="16"/>
      <c r="O232" s="16" t="s">
        <v>736</v>
      </c>
      <c r="P232" s="16">
        <v>1.5</v>
      </c>
      <c r="Q232" s="16"/>
      <c r="R232" s="16"/>
      <c r="S232" s="16"/>
      <c r="T232" s="16"/>
      <c r="U232" s="16">
        <v>1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36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="6" customFormat="1" spans="2:69">
      <c r="B233" s="4" t="s">
        <v>861</v>
      </c>
      <c r="C233" s="6" t="s">
        <v>71</v>
      </c>
      <c r="D233" s="16" t="s">
        <v>280</v>
      </c>
      <c r="E233" s="4" t="s">
        <v>862</v>
      </c>
      <c r="F233" s="19"/>
      <c r="G233" s="16" t="s">
        <v>768</v>
      </c>
      <c r="H233" s="16"/>
      <c r="I233" s="16" t="s">
        <v>283</v>
      </c>
      <c r="J233" s="12"/>
      <c r="K233" s="16"/>
      <c r="L233" s="16">
        <v>0</v>
      </c>
      <c r="M233" s="16">
        <v>0</v>
      </c>
      <c r="N233" s="16"/>
      <c r="O233" s="16" t="s">
        <v>736</v>
      </c>
      <c r="P233" s="16">
        <v>1.5</v>
      </c>
      <c r="Q233" s="16"/>
      <c r="R233" s="16"/>
      <c r="S233" s="16"/>
      <c r="T233" s="16"/>
      <c r="U233" s="16">
        <v>1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36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="6" customFormat="1" spans="2:69">
      <c r="B234" s="4" t="s">
        <v>863</v>
      </c>
      <c r="C234" s="6" t="s">
        <v>71</v>
      </c>
      <c r="D234" s="16" t="s">
        <v>280</v>
      </c>
      <c r="E234" s="4" t="s">
        <v>864</v>
      </c>
      <c r="F234" s="19"/>
      <c r="G234" s="16" t="s">
        <v>768</v>
      </c>
      <c r="H234" s="16"/>
      <c r="I234" s="16" t="s">
        <v>283</v>
      </c>
      <c r="J234" s="12"/>
      <c r="K234" s="16"/>
      <c r="L234" s="16">
        <v>0</v>
      </c>
      <c r="M234" s="16">
        <v>0</v>
      </c>
      <c r="N234" s="16"/>
      <c r="O234" s="16" t="s">
        <v>736</v>
      </c>
      <c r="P234" s="16">
        <v>1.5</v>
      </c>
      <c r="Q234" s="16"/>
      <c r="R234" s="16"/>
      <c r="S234" s="16"/>
      <c r="T234" s="16"/>
      <c r="U234" s="16">
        <v>1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36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="6" customFormat="1" spans="2:69">
      <c r="B235" s="4" t="s">
        <v>865</v>
      </c>
      <c r="C235" s="6" t="s">
        <v>71</v>
      </c>
      <c r="D235" s="16" t="s">
        <v>280</v>
      </c>
      <c r="E235" s="4" t="s">
        <v>866</v>
      </c>
      <c r="F235" s="19"/>
      <c r="G235" s="16" t="s">
        <v>768</v>
      </c>
      <c r="H235" s="16"/>
      <c r="I235" s="16" t="s">
        <v>283</v>
      </c>
      <c r="J235" s="12"/>
      <c r="K235" s="16"/>
      <c r="L235" s="16">
        <v>0</v>
      </c>
      <c r="M235" s="16">
        <v>0</v>
      </c>
      <c r="N235" s="16"/>
      <c r="O235" s="16" t="s">
        <v>736</v>
      </c>
      <c r="P235" s="16">
        <v>1.5</v>
      </c>
      <c r="Q235" s="16"/>
      <c r="R235" s="16"/>
      <c r="S235" s="16"/>
      <c r="T235" s="16"/>
      <c r="U235" s="16">
        <v>1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36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="6" customFormat="1" spans="2:69">
      <c r="B236" s="4" t="s">
        <v>867</v>
      </c>
      <c r="C236" s="6" t="s">
        <v>71</v>
      </c>
      <c r="D236" s="16" t="s">
        <v>280</v>
      </c>
      <c r="E236" s="4" t="s">
        <v>868</v>
      </c>
      <c r="F236" s="19"/>
      <c r="G236" s="16" t="s">
        <v>768</v>
      </c>
      <c r="H236" s="16"/>
      <c r="I236" s="16" t="s">
        <v>283</v>
      </c>
      <c r="J236" s="12"/>
      <c r="K236" s="16"/>
      <c r="L236" s="16">
        <v>0</v>
      </c>
      <c r="M236" s="16">
        <v>0</v>
      </c>
      <c r="N236" s="16"/>
      <c r="O236" s="16" t="s">
        <v>736</v>
      </c>
      <c r="P236" s="16">
        <v>1.5</v>
      </c>
      <c r="Q236" s="16"/>
      <c r="R236" s="16"/>
      <c r="S236" s="16"/>
      <c r="T236" s="16"/>
      <c r="U236" s="16">
        <v>1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36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="6" customFormat="1" spans="2:69">
      <c r="B237" s="4" t="s">
        <v>869</v>
      </c>
      <c r="C237" s="6" t="s">
        <v>71</v>
      </c>
      <c r="D237" s="16" t="s">
        <v>280</v>
      </c>
      <c r="E237" s="4" t="s">
        <v>870</v>
      </c>
      <c r="F237" s="19"/>
      <c r="G237" s="16" t="s">
        <v>768</v>
      </c>
      <c r="H237" s="16"/>
      <c r="I237" s="16" t="s">
        <v>283</v>
      </c>
      <c r="J237" s="12"/>
      <c r="K237" s="16"/>
      <c r="L237" s="16">
        <v>0</v>
      </c>
      <c r="M237" s="16">
        <v>0</v>
      </c>
      <c r="N237" s="16"/>
      <c r="O237" s="16" t="s">
        <v>736</v>
      </c>
      <c r="P237" s="16">
        <v>1.5</v>
      </c>
      <c r="Q237" s="16"/>
      <c r="R237" s="16"/>
      <c r="S237" s="16"/>
      <c r="T237" s="16"/>
      <c r="U237" s="16">
        <v>1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36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="6" customFormat="1" spans="2:69">
      <c r="B238" s="4" t="s">
        <v>871</v>
      </c>
      <c r="C238" s="6" t="s">
        <v>71</v>
      </c>
      <c r="D238" s="16" t="s">
        <v>280</v>
      </c>
      <c r="E238" s="4" t="s">
        <v>872</v>
      </c>
      <c r="F238" s="19"/>
      <c r="G238" s="16" t="s">
        <v>768</v>
      </c>
      <c r="H238" s="16"/>
      <c r="I238" s="16" t="s">
        <v>283</v>
      </c>
      <c r="J238" s="12"/>
      <c r="K238" s="16"/>
      <c r="L238" s="16">
        <v>0</v>
      </c>
      <c r="M238" s="16">
        <v>0</v>
      </c>
      <c r="N238" s="16"/>
      <c r="O238" s="16" t="s">
        <v>736</v>
      </c>
      <c r="P238" s="16">
        <v>1.5</v>
      </c>
      <c r="Q238" s="16"/>
      <c r="R238" s="16"/>
      <c r="S238" s="16"/>
      <c r="T238" s="16"/>
      <c r="U238" s="16">
        <v>1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36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="6" customFormat="1" spans="2:69">
      <c r="B239" s="4" t="s">
        <v>873</v>
      </c>
      <c r="C239" s="6" t="s">
        <v>71</v>
      </c>
      <c r="D239" s="16" t="s">
        <v>280</v>
      </c>
      <c r="E239" s="4" t="s">
        <v>874</v>
      </c>
      <c r="F239" s="19"/>
      <c r="G239" s="16" t="s">
        <v>768</v>
      </c>
      <c r="H239" s="16"/>
      <c r="I239" s="16" t="s">
        <v>283</v>
      </c>
      <c r="J239" s="12"/>
      <c r="K239" s="16"/>
      <c r="L239" s="16">
        <v>0</v>
      </c>
      <c r="M239" s="16">
        <v>0</v>
      </c>
      <c r="N239" s="16"/>
      <c r="O239" s="16" t="s">
        <v>736</v>
      </c>
      <c r="P239" s="16">
        <v>1.5</v>
      </c>
      <c r="Q239" s="16"/>
      <c r="R239" s="16"/>
      <c r="S239" s="16"/>
      <c r="T239" s="16"/>
      <c r="U239" s="16">
        <v>1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36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="6" customFormat="1" spans="2:69">
      <c r="B240" t="s">
        <v>875</v>
      </c>
      <c r="C240" s="6" t="s">
        <v>71</v>
      </c>
      <c r="D240" s="16" t="s">
        <v>280</v>
      </c>
      <c r="E240" s="4" t="s">
        <v>876</v>
      </c>
      <c r="F240" s="4"/>
      <c r="G240" s="16" t="s">
        <v>467</v>
      </c>
      <c r="H240" s="16"/>
      <c r="I240" s="16" t="s">
        <v>283</v>
      </c>
      <c r="J240" s="16"/>
      <c r="K240" s="16"/>
      <c r="L240" s="16">
        <v>0</v>
      </c>
      <c r="M240" s="16">
        <v>0</v>
      </c>
      <c r="N240" s="16"/>
      <c r="O240" s="16" t="s">
        <v>877</v>
      </c>
      <c r="P240" s="16">
        <v>5</v>
      </c>
      <c r="Q240" s="16"/>
      <c r="R240" s="16"/>
      <c r="S240" s="16"/>
      <c r="T240" s="16"/>
      <c r="U240" s="16">
        <v>1</v>
      </c>
      <c r="V240" s="16">
        <v>2</v>
      </c>
      <c r="W240" s="16" t="s">
        <v>469</v>
      </c>
      <c r="X240" s="16">
        <v>300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36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0.7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="6" customFormat="1" spans="2:69">
      <c r="B241" t="s">
        <v>878</v>
      </c>
      <c r="C241" s="6" t="s">
        <v>71</v>
      </c>
      <c r="D241" s="16" t="s">
        <v>280</v>
      </c>
      <c r="E241" s="4" t="s">
        <v>879</v>
      </c>
      <c r="F241" s="4"/>
      <c r="G241" s="16" t="s">
        <v>467</v>
      </c>
      <c r="H241" s="16"/>
      <c r="I241" s="16" t="s">
        <v>283</v>
      </c>
      <c r="J241" s="16"/>
      <c r="K241" s="16"/>
      <c r="L241" s="16">
        <v>0</v>
      </c>
      <c r="M241" s="16">
        <v>0</v>
      </c>
      <c r="N241" s="16"/>
      <c r="O241" s="16" t="s">
        <v>877</v>
      </c>
      <c r="P241" s="16">
        <v>8</v>
      </c>
      <c r="Q241" s="16"/>
      <c r="R241" s="16"/>
      <c r="S241" s="16"/>
      <c r="T241" s="16"/>
      <c r="U241" s="16">
        <v>1</v>
      </c>
      <c r="V241" s="16">
        <v>2</v>
      </c>
      <c r="W241" s="16" t="s">
        <v>469</v>
      </c>
      <c r="X241" s="16">
        <v>300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36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="6" customFormat="1" spans="2:69">
      <c r="B242" t="s">
        <v>880</v>
      </c>
      <c r="C242" s="6" t="s">
        <v>71</v>
      </c>
      <c r="D242" s="16" t="s">
        <v>280</v>
      </c>
      <c r="E242" s="4" t="s">
        <v>881</v>
      </c>
      <c r="F242" s="4"/>
      <c r="G242" s="16" t="s">
        <v>467</v>
      </c>
      <c r="H242" s="16"/>
      <c r="I242" s="16" t="s">
        <v>283</v>
      </c>
      <c r="J242" s="16"/>
      <c r="K242" s="16"/>
      <c r="L242" s="16">
        <v>0</v>
      </c>
      <c r="M242" s="16">
        <v>0</v>
      </c>
      <c r="N242" s="16"/>
      <c r="O242" s="16" t="s">
        <v>877</v>
      </c>
      <c r="P242" s="16">
        <v>10.5</v>
      </c>
      <c r="Q242" s="16"/>
      <c r="R242" s="16"/>
      <c r="S242" s="16"/>
      <c r="T242" s="16"/>
      <c r="U242" s="16">
        <v>1</v>
      </c>
      <c r="V242" s="16">
        <v>2</v>
      </c>
      <c r="W242" s="16" t="s">
        <v>469</v>
      </c>
      <c r="X242" s="16">
        <v>300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36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0.3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="6" customFormat="1" spans="2:69">
      <c r="B243" t="s">
        <v>882</v>
      </c>
      <c r="C243" s="6" t="s">
        <v>71</v>
      </c>
      <c r="D243" s="16" t="s">
        <v>280</v>
      </c>
      <c r="E243" s="4" t="s">
        <v>883</v>
      </c>
      <c r="F243" s="4"/>
      <c r="G243" s="16" t="s">
        <v>467</v>
      </c>
      <c r="H243" s="16"/>
      <c r="I243" s="16" t="s">
        <v>283</v>
      </c>
      <c r="J243" s="16"/>
      <c r="K243" s="16"/>
      <c r="L243" s="16">
        <v>0</v>
      </c>
      <c r="M243" s="16">
        <v>0</v>
      </c>
      <c r="N243" s="16"/>
      <c r="O243" s="16" t="s">
        <v>877</v>
      </c>
      <c r="P243" s="16">
        <v>12.5</v>
      </c>
      <c r="Q243" s="16"/>
      <c r="R243" s="16"/>
      <c r="S243" s="16"/>
      <c r="T243" s="16"/>
      <c r="U243" s="16">
        <v>1</v>
      </c>
      <c r="V243" s="16">
        <v>2</v>
      </c>
      <c r="W243" s="16" t="s">
        <v>469</v>
      </c>
      <c r="X243" s="16">
        <v>300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36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="7" customFormat="1" spans="2:69">
      <c r="B244" s="31" t="s">
        <v>884</v>
      </c>
      <c r="C244" s="7" t="s">
        <v>71</v>
      </c>
      <c r="D244" s="26" t="s">
        <v>280</v>
      </c>
      <c r="E244" s="27" t="s">
        <v>885</v>
      </c>
      <c r="F244" s="31"/>
      <c r="G244" s="26" t="s">
        <v>886</v>
      </c>
      <c r="H244" s="26"/>
      <c r="I244" s="26" t="s">
        <v>283</v>
      </c>
      <c r="J244" s="26"/>
      <c r="K244" s="26"/>
      <c r="L244" s="26">
        <v>0</v>
      </c>
      <c r="M244" s="26">
        <v>0</v>
      </c>
      <c r="N244" s="26"/>
      <c r="O244" s="26" t="s">
        <v>887</v>
      </c>
      <c r="P244" s="26">
        <v>0.55</v>
      </c>
      <c r="Q244" s="26"/>
      <c r="R244" s="26"/>
      <c r="S244" s="26"/>
      <c r="T244" s="26"/>
      <c r="U244" s="26">
        <v>1</v>
      </c>
      <c r="V244" s="26">
        <v>2</v>
      </c>
      <c r="W244" s="26" t="s">
        <v>469</v>
      </c>
      <c r="X244" s="26">
        <v>450</v>
      </c>
      <c r="Y244" s="26">
        <v>0</v>
      </c>
      <c r="Z244" s="26" t="s">
        <v>151</v>
      </c>
      <c r="AA244" s="26">
        <v>500</v>
      </c>
      <c r="AB244" s="26"/>
      <c r="AC244" s="26"/>
      <c r="AD244" s="26">
        <v>0</v>
      </c>
      <c r="AE244" s="26" t="s">
        <v>151</v>
      </c>
      <c r="AF244" s="26"/>
      <c r="AG244" s="26"/>
      <c r="AH244" s="38" t="s">
        <v>152</v>
      </c>
      <c r="AI244" s="27" t="s">
        <v>153</v>
      </c>
      <c r="AJ244" s="26">
        <v>0.5</v>
      </c>
      <c r="AK244" s="26">
        <v>0.5</v>
      </c>
      <c r="AL244" s="26"/>
      <c r="AM244" s="26">
        <v>1</v>
      </c>
      <c r="AN244" s="26"/>
      <c r="AO244" s="26"/>
      <c r="AP244" s="26">
        <v>250</v>
      </c>
      <c r="AQ244" s="26">
        <v>0.5</v>
      </c>
      <c r="AR244" s="26"/>
      <c r="AS244" s="26"/>
      <c r="AT244" s="26"/>
      <c r="AU244" s="26">
        <v>1</v>
      </c>
      <c r="AV244" s="26"/>
      <c r="AW244" s="26">
        <v>0</v>
      </c>
      <c r="AX244" s="26">
        <v>0</v>
      </c>
      <c r="AY244" s="26">
        <v>0</v>
      </c>
      <c r="AZ244" s="26">
        <v>0</v>
      </c>
      <c r="BA244" s="26">
        <v>0</v>
      </c>
      <c r="BB244" s="26">
        <v>0</v>
      </c>
      <c r="BC244" s="26">
        <v>100</v>
      </c>
      <c r="BD244" s="26">
        <v>100</v>
      </c>
      <c r="BE244" s="26"/>
      <c r="BF244" s="26" t="s">
        <v>154</v>
      </c>
      <c r="BG244" s="26">
        <v>0</v>
      </c>
      <c r="BH244" s="26">
        <v>0</v>
      </c>
      <c r="BI244" s="26">
        <v>100</v>
      </c>
      <c r="BJ244" s="26"/>
      <c r="BK244" s="26"/>
      <c r="BL244" s="26"/>
      <c r="BM244" s="26"/>
      <c r="BN244" s="26"/>
      <c r="BO244" s="26"/>
      <c r="BP244" s="26"/>
      <c r="BQ244" s="7">
        <v>0</v>
      </c>
    </row>
    <row r="245" s="7" customFormat="1" spans="2:69">
      <c r="B245" s="31" t="s">
        <v>888</v>
      </c>
      <c r="C245" s="7" t="s">
        <v>71</v>
      </c>
      <c r="D245" s="26" t="s">
        <v>280</v>
      </c>
      <c r="E245" s="27" t="s">
        <v>885</v>
      </c>
      <c r="F245" s="31"/>
      <c r="G245" s="26" t="s">
        <v>886</v>
      </c>
      <c r="H245" s="26"/>
      <c r="I245" s="26" t="s">
        <v>283</v>
      </c>
      <c r="J245" s="26"/>
      <c r="K245" s="26"/>
      <c r="L245" s="26">
        <v>0</v>
      </c>
      <c r="M245" s="26">
        <v>0</v>
      </c>
      <c r="N245" s="26"/>
      <c r="O245" s="26" t="s">
        <v>887</v>
      </c>
      <c r="P245" s="26">
        <f>P244+0.05</f>
        <v>0.6</v>
      </c>
      <c r="Q245" s="26"/>
      <c r="R245" s="26"/>
      <c r="S245" s="26"/>
      <c r="T245" s="26"/>
      <c r="U245" s="26">
        <v>1</v>
      </c>
      <c r="V245" s="26">
        <v>2</v>
      </c>
      <c r="W245" s="26" t="s">
        <v>469</v>
      </c>
      <c r="X245" s="26">
        <v>450</v>
      </c>
      <c r="Y245" s="26">
        <v>0</v>
      </c>
      <c r="Z245" s="26" t="s">
        <v>151</v>
      </c>
      <c r="AA245" s="26">
        <v>500</v>
      </c>
      <c r="AB245" s="26"/>
      <c r="AC245" s="26"/>
      <c r="AD245" s="26">
        <v>0</v>
      </c>
      <c r="AE245" s="26" t="s">
        <v>151</v>
      </c>
      <c r="AF245" s="26"/>
      <c r="AG245" s="26"/>
      <c r="AH245" s="38" t="s">
        <v>152</v>
      </c>
      <c r="AI245" s="27" t="s">
        <v>153</v>
      </c>
      <c r="AJ245" s="26">
        <v>0.5</v>
      </c>
      <c r="AK245" s="26">
        <v>0.5</v>
      </c>
      <c r="AL245" s="26"/>
      <c r="AM245" s="26">
        <v>1</v>
      </c>
      <c r="AN245" s="26"/>
      <c r="AO245" s="26"/>
      <c r="AP245" s="26">
        <v>250</v>
      </c>
      <c r="AQ245" s="26">
        <v>0.5</v>
      </c>
      <c r="AR245" s="26"/>
      <c r="AS245" s="26"/>
      <c r="AT245" s="26"/>
      <c r="AU245" s="26">
        <v>1</v>
      </c>
      <c r="AV245" s="26"/>
      <c r="AW245" s="26">
        <v>0</v>
      </c>
      <c r="AX245" s="26">
        <v>0</v>
      </c>
      <c r="AY245" s="26">
        <v>0</v>
      </c>
      <c r="AZ245" s="26">
        <v>0</v>
      </c>
      <c r="BA245" s="26">
        <v>0</v>
      </c>
      <c r="BB245" s="26">
        <v>0</v>
      </c>
      <c r="BC245" s="26">
        <v>100</v>
      </c>
      <c r="BD245" s="26">
        <v>100</v>
      </c>
      <c r="BE245" s="26"/>
      <c r="BF245" s="26" t="s">
        <v>154</v>
      </c>
      <c r="BG245" s="26">
        <v>0</v>
      </c>
      <c r="BH245" s="26">
        <v>0</v>
      </c>
      <c r="BI245" s="26">
        <v>100</v>
      </c>
      <c r="BJ245" s="26"/>
      <c r="BK245" s="26"/>
      <c r="BL245" s="26"/>
      <c r="BM245" s="26"/>
      <c r="BN245" s="26"/>
      <c r="BO245" s="26"/>
      <c r="BP245" s="26"/>
      <c r="BQ245" s="7">
        <v>0</v>
      </c>
    </row>
    <row r="246" s="7" customFormat="1" spans="2:69">
      <c r="B246" s="31" t="s">
        <v>889</v>
      </c>
      <c r="C246" s="7" t="s">
        <v>71</v>
      </c>
      <c r="D246" s="26" t="s">
        <v>280</v>
      </c>
      <c r="E246" s="27" t="s">
        <v>885</v>
      </c>
      <c r="F246" s="31"/>
      <c r="G246" s="26" t="s">
        <v>886</v>
      </c>
      <c r="H246" s="26"/>
      <c r="I246" s="26" t="s">
        <v>283</v>
      </c>
      <c r="J246" s="26"/>
      <c r="K246" s="26"/>
      <c r="L246" s="26">
        <v>0</v>
      </c>
      <c r="M246" s="26">
        <v>0</v>
      </c>
      <c r="N246" s="26"/>
      <c r="O246" s="26" t="s">
        <v>887</v>
      </c>
      <c r="P246" s="26">
        <f t="shared" ref="P246:P256" si="5">P245+0.05</f>
        <v>0.65</v>
      </c>
      <c r="Q246" s="26"/>
      <c r="R246" s="26"/>
      <c r="S246" s="26"/>
      <c r="T246" s="26"/>
      <c r="U246" s="26">
        <v>1</v>
      </c>
      <c r="V246" s="26">
        <v>2</v>
      </c>
      <c r="W246" s="26" t="s">
        <v>469</v>
      </c>
      <c r="X246" s="26">
        <v>450</v>
      </c>
      <c r="Y246" s="26">
        <v>0</v>
      </c>
      <c r="Z246" s="26" t="s">
        <v>151</v>
      </c>
      <c r="AA246" s="26">
        <v>500</v>
      </c>
      <c r="AB246" s="26"/>
      <c r="AC246" s="26"/>
      <c r="AD246" s="26">
        <v>0</v>
      </c>
      <c r="AE246" s="26" t="s">
        <v>151</v>
      </c>
      <c r="AF246" s="26"/>
      <c r="AG246" s="26"/>
      <c r="AH246" s="38" t="s">
        <v>152</v>
      </c>
      <c r="AI246" s="27" t="s">
        <v>153</v>
      </c>
      <c r="AJ246" s="26">
        <v>0.5</v>
      </c>
      <c r="AK246" s="26">
        <v>0.5</v>
      </c>
      <c r="AL246" s="26"/>
      <c r="AM246" s="26">
        <v>1</v>
      </c>
      <c r="AN246" s="26"/>
      <c r="AO246" s="26"/>
      <c r="AP246" s="26">
        <v>250</v>
      </c>
      <c r="AQ246" s="26">
        <v>0.5</v>
      </c>
      <c r="AR246" s="26"/>
      <c r="AS246" s="26"/>
      <c r="AT246" s="26"/>
      <c r="AU246" s="26">
        <v>1</v>
      </c>
      <c r="AV246" s="26"/>
      <c r="AW246" s="26">
        <v>0</v>
      </c>
      <c r="AX246" s="26">
        <v>0</v>
      </c>
      <c r="AY246" s="26">
        <v>0</v>
      </c>
      <c r="AZ246" s="26">
        <v>0</v>
      </c>
      <c r="BA246" s="26">
        <v>0</v>
      </c>
      <c r="BB246" s="26">
        <v>0</v>
      </c>
      <c r="BC246" s="26">
        <v>100</v>
      </c>
      <c r="BD246" s="26">
        <v>100</v>
      </c>
      <c r="BE246" s="26"/>
      <c r="BF246" s="26" t="s">
        <v>154</v>
      </c>
      <c r="BG246" s="26">
        <v>0</v>
      </c>
      <c r="BH246" s="26">
        <v>0</v>
      </c>
      <c r="BI246" s="26">
        <v>100</v>
      </c>
      <c r="BJ246" s="26"/>
      <c r="BK246" s="26"/>
      <c r="BL246" s="26"/>
      <c r="BM246" s="26"/>
      <c r="BN246" s="26"/>
      <c r="BO246" s="26"/>
      <c r="BP246" s="26"/>
      <c r="BQ246" s="7">
        <v>0</v>
      </c>
    </row>
    <row r="247" s="7" customFormat="1" spans="2:69">
      <c r="B247" s="31" t="s">
        <v>890</v>
      </c>
      <c r="C247" s="7" t="s">
        <v>71</v>
      </c>
      <c r="D247" s="26" t="s">
        <v>280</v>
      </c>
      <c r="E247" s="27" t="s">
        <v>885</v>
      </c>
      <c r="F247" s="31"/>
      <c r="G247" s="26" t="s">
        <v>886</v>
      </c>
      <c r="H247" s="26"/>
      <c r="I247" s="26" t="s">
        <v>283</v>
      </c>
      <c r="J247" s="26"/>
      <c r="K247" s="26"/>
      <c r="L247" s="26">
        <v>0</v>
      </c>
      <c r="M247" s="26">
        <v>0</v>
      </c>
      <c r="N247" s="26"/>
      <c r="O247" s="26" t="s">
        <v>887</v>
      </c>
      <c r="P247" s="26">
        <f t="shared" si="5"/>
        <v>0.7</v>
      </c>
      <c r="Q247" s="26"/>
      <c r="R247" s="26"/>
      <c r="S247" s="26"/>
      <c r="T247" s="26"/>
      <c r="U247" s="26">
        <v>1</v>
      </c>
      <c r="V247" s="26">
        <v>2</v>
      </c>
      <c r="W247" s="26" t="s">
        <v>469</v>
      </c>
      <c r="X247" s="26">
        <v>450</v>
      </c>
      <c r="Y247" s="26">
        <v>0</v>
      </c>
      <c r="Z247" s="26" t="s">
        <v>151</v>
      </c>
      <c r="AA247" s="26">
        <v>500</v>
      </c>
      <c r="AB247" s="26"/>
      <c r="AC247" s="26"/>
      <c r="AD247" s="26">
        <v>0</v>
      </c>
      <c r="AE247" s="26" t="s">
        <v>151</v>
      </c>
      <c r="AF247" s="26"/>
      <c r="AG247" s="26"/>
      <c r="AH247" s="38" t="s">
        <v>152</v>
      </c>
      <c r="AI247" s="27" t="s">
        <v>153</v>
      </c>
      <c r="AJ247" s="26">
        <v>0.5</v>
      </c>
      <c r="AK247" s="26">
        <v>0.5</v>
      </c>
      <c r="AL247" s="26"/>
      <c r="AM247" s="26">
        <v>1</v>
      </c>
      <c r="AN247" s="26"/>
      <c r="AO247" s="26"/>
      <c r="AP247" s="26">
        <v>250</v>
      </c>
      <c r="AQ247" s="26">
        <v>0.5</v>
      </c>
      <c r="AR247" s="26"/>
      <c r="AS247" s="26"/>
      <c r="AT247" s="26"/>
      <c r="AU247" s="26">
        <v>1</v>
      </c>
      <c r="AV247" s="26"/>
      <c r="AW247" s="26">
        <v>0</v>
      </c>
      <c r="AX247" s="26">
        <v>0</v>
      </c>
      <c r="AY247" s="26">
        <v>0</v>
      </c>
      <c r="AZ247" s="26">
        <v>0</v>
      </c>
      <c r="BA247" s="26">
        <v>0</v>
      </c>
      <c r="BB247" s="26">
        <v>0</v>
      </c>
      <c r="BC247" s="26">
        <v>100</v>
      </c>
      <c r="BD247" s="26">
        <v>100</v>
      </c>
      <c r="BE247" s="26"/>
      <c r="BF247" s="26" t="s">
        <v>154</v>
      </c>
      <c r="BG247" s="26">
        <v>0</v>
      </c>
      <c r="BH247" s="26">
        <v>0</v>
      </c>
      <c r="BI247" s="26">
        <v>100</v>
      </c>
      <c r="BJ247" s="26"/>
      <c r="BK247" s="26"/>
      <c r="BL247" s="26"/>
      <c r="BM247" s="26"/>
      <c r="BN247" s="26"/>
      <c r="BO247" s="26"/>
      <c r="BP247" s="26"/>
      <c r="BQ247" s="7">
        <v>0</v>
      </c>
    </row>
    <row r="248" s="7" customFormat="1" spans="2:69">
      <c r="B248" s="31" t="s">
        <v>891</v>
      </c>
      <c r="C248" s="7" t="s">
        <v>71</v>
      </c>
      <c r="D248" s="26" t="s">
        <v>280</v>
      </c>
      <c r="E248" s="27" t="s">
        <v>885</v>
      </c>
      <c r="F248" s="31"/>
      <c r="G248" s="26" t="s">
        <v>886</v>
      </c>
      <c r="H248" s="26"/>
      <c r="I248" s="26" t="s">
        <v>283</v>
      </c>
      <c r="J248" s="26"/>
      <c r="K248" s="26"/>
      <c r="L248" s="26">
        <v>0</v>
      </c>
      <c r="M248" s="26">
        <v>0</v>
      </c>
      <c r="N248" s="26"/>
      <c r="O248" s="26" t="s">
        <v>887</v>
      </c>
      <c r="P248" s="26">
        <f t="shared" si="5"/>
        <v>0.75</v>
      </c>
      <c r="Q248" s="26"/>
      <c r="R248" s="26"/>
      <c r="S248" s="26"/>
      <c r="T248" s="26"/>
      <c r="U248" s="26">
        <v>1</v>
      </c>
      <c r="V248" s="26">
        <v>2</v>
      </c>
      <c r="W248" s="26" t="s">
        <v>469</v>
      </c>
      <c r="X248" s="26">
        <v>450</v>
      </c>
      <c r="Y248" s="26">
        <v>0</v>
      </c>
      <c r="Z248" s="26" t="s">
        <v>151</v>
      </c>
      <c r="AA248" s="26">
        <v>500</v>
      </c>
      <c r="AB248" s="26"/>
      <c r="AC248" s="26"/>
      <c r="AD248" s="26">
        <v>0</v>
      </c>
      <c r="AE248" s="26" t="s">
        <v>151</v>
      </c>
      <c r="AF248" s="26"/>
      <c r="AG248" s="26"/>
      <c r="AH248" s="38" t="s">
        <v>152</v>
      </c>
      <c r="AI248" s="27" t="s">
        <v>153</v>
      </c>
      <c r="AJ248" s="26">
        <v>0.5</v>
      </c>
      <c r="AK248" s="26">
        <v>0.5</v>
      </c>
      <c r="AL248" s="26"/>
      <c r="AM248" s="26">
        <v>1</v>
      </c>
      <c r="AN248" s="26"/>
      <c r="AO248" s="26"/>
      <c r="AP248" s="26">
        <v>250</v>
      </c>
      <c r="AQ248" s="26">
        <v>0.5</v>
      </c>
      <c r="AR248" s="26"/>
      <c r="AS248" s="26"/>
      <c r="AT248" s="26"/>
      <c r="AU248" s="26">
        <v>1</v>
      </c>
      <c r="AV248" s="26"/>
      <c r="AW248" s="26">
        <v>0</v>
      </c>
      <c r="AX248" s="26">
        <v>0</v>
      </c>
      <c r="AY248" s="26">
        <v>0</v>
      </c>
      <c r="AZ248" s="26">
        <v>0</v>
      </c>
      <c r="BA248" s="26">
        <v>0</v>
      </c>
      <c r="BB248" s="26">
        <v>0</v>
      </c>
      <c r="BC248" s="26">
        <v>100</v>
      </c>
      <c r="BD248" s="26">
        <v>100</v>
      </c>
      <c r="BE248" s="26"/>
      <c r="BF248" s="26" t="s">
        <v>154</v>
      </c>
      <c r="BG248" s="26">
        <v>0</v>
      </c>
      <c r="BH248" s="26">
        <v>0</v>
      </c>
      <c r="BI248" s="26">
        <v>100</v>
      </c>
      <c r="BJ248" s="26"/>
      <c r="BK248" s="26"/>
      <c r="BL248" s="26"/>
      <c r="BM248" s="26"/>
      <c r="BN248" s="26"/>
      <c r="BO248" s="26"/>
      <c r="BP248" s="26"/>
      <c r="BQ248" s="7">
        <v>0</v>
      </c>
    </row>
    <row r="249" s="7" customFormat="1" spans="2:69">
      <c r="B249" s="31" t="s">
        <v>892</v>
      </c>
      <c r="C249" s="7" t="s">
        <v>71</v>
      </c>
      <c r="D249" s="26" t="s">
        <v>280</v>
      </c>
      <c r="E249" s="27" t="s">
        <v>885</v>
      </c>
      <c r="F249" s="31"/>
      <c r="G249" s="26" t="s">
        <v>886</v>
      </c>
      <c r="H249" s="26"/>
      <c r="I249" s="26" t="s">
        <v>283</v>
      </c>
      <c r="J249" s="26"/>
      <c r="K249" s="26"/>
      <c r="L249" s="26">
        <v>0</v>
      </c>
      <c r="M249" s="26">
        <v>0</v>
      </c>
      <c r="N249" s="26"/>
      <c r="O249" s="26" t="s">
        <v>887</v>
      </c>
      <c r="P249" s="26">
        <f t="shared" si="5"/>
        <v>0.8</v>
      </c>
      <c r="Q249" s="26"/>
      <c r="R249" s="26"/>
      <c r="S249" s="26"/>
      <c r="T249" s="26"/>
      <c r="U249" s="26">
        <v>1</v>
      </c>
      <c r="V249" s="26">
        <v>2</v>
      </c>
      <c r="W249" s="26" t="s">
        <v>469</v>
      </c>
      <c r="X249" s="26">
        <v>450</v>
      </c>
      <c r="Y249" s="26">
        <v>0</v>
      </c>
      <c r="Z249" s="26" t="s">
        <v>151</v>
      </c>
      <c r="AA249" s="26">
        <v>500</v>
      </c>
      <c r="AB249" s="26"/>
      <c r="AC249" s="26"/>
      <c r="AD249" s="26">
        <v>0</v>
      </c>
      <c r="AE249" s="26" t="s">
        <v>151</v>
      </c>
      <c r="AF249" s="26"/>
      <c r="AG249" s="26"/>
      <c r="AH249" s="38" t="s">
        <v>152</v>
      </c>
      <c r="AI249" s="27" t="s">
        <v>153</v>
      </c>
      <c r="AJ249" s="26">
        <v>0.5</v>
      </c>
      <c r="AK249" s="26">
        <v>0.5</v>
      </c>
      <c r="AL249" s="26"/>
      <c r="AM249" s="26">
        <v>1</v>
      </c>
      <c r="AN249" s="26"/>
      <c r="AO249" s="26"/>
      <c r="AP249" s="26">
        <v>250</v>
      </c>
      <c r="AQ249" s="26">
        <v>0.5</v>
      </c>
      <c r="AR249" s="26"/>
      <c r="AS249" s="26"/>
      <c r="AT249" s="26"/>
      <c r="AU249" s="26">
        <v>1</v>
      </c>
      <c r="AV249" s="26"/>
      <c r="AW249" s="26">
        <v>0</v>
      </c>
      <c r="AX249" s="26">
        <v>0</v>
      </c>
      <c r="AY249" s="26">
        <v>0</v>
      </c>
      <c r="AZ249" s="26">
        <v>0</v>
      </c>
      <c r="BA249" s="26">
        <v>0</v>
      </c>
      <c r="BB249" s="26">
        <v>0</v>
      </c>
      <c r="BC249" s="26">
        <v>100</v>
      </c>
      <c r="BD249" s="26">
        <v>100</v>
      </c>
      <c r="BE249" s="26"/>
      <c r="BF249" s="26" t="s">
        <v>154</v>
      </c>
      <c r="BG249" s="26">
        <v>0</v>
      </c>
      <c r="BH249" s="26">
        <v>0</v>
      </c>
      <c r="BI249" s="26">
        <v>100</v>
      </c>
      <c r="BJ249" s="26"/>
      <c r="BK249" s="26"/>
      <c r="BL249" s="26"/>
      <c r="BM249" s="26"/>
      <c r="BN249" s="26"/>
      <c r="BO249" s="26"/>
      <c r="BP249" s="26"/>
      <c r="BQ249" s="7">
        <v>0</v>
      </c>
    </row>
    <row r="250" s="7" customFormat="1" spans="2:69">
      <c r="B250" s="31" t="s">
        <v>893</v>
      </c>
      <c r="C250" s="7" t="s">
        <v>71</v>
      </c>
      <c r="D250" s="26" t="s">
        <v>280</v>
      </c>
      <c r="E250" s="27" t="s">
        <v>885</v>
      </c>
      <c r="F250" s="31"/>
      <c r="G250" s="26" t="s">
        <v>886</v>
      </c>
      <c r="H250" s="26"/>
      <c r="I250" s="26" t="s">
        <v>283</v>
      </c>
      <c r="J250" s="26"/>
      <c r="K250" s="26"/>
      <c r="L250" s="26">
        <v>0</v>
      </c>
      <c r="M250" s="26">
        <v>0</v>
      </c>
      <c r="N250" s="26"/>
      <c r="O250" s="26" t="s">
        <v>887</v>
      </c>
      <c r="P250" s="26">
        <f t="shared" si="5"/>
        <v>0.85</v>
      </c>
      <c r="Q250" s="26"/>
      <c r="R250" s="26"/>
      <c r="S250" s="26"/>
      <c r="T250" s="26"/>
      <c r="U250" s="26">
        <v>1</v>
      </c>
      <c r="V250" s="26">
        <v>2</v>
      </c>
      <c r="W250" s="26" t="s">
        <v>469</v>
      </c>
      <c r="X250" s="26">
        <v>450</v>
      </c>
      <c r="Y250" s="26">
        <v>0</v>
      </c>
      <c r="Z250" s="26" t="s">
        <v>151</v>
      </c>
      <c r="AA250" s="26">
        <v>500</v>
      </c>
      <c r="AB250" s="26"/>
      <c r="AC250" s="26"/>
      <c r="AD250" s="26">
        <v>0</v>
      </c>
      <c r="AE250" s="26" t="s">
        <v>151</v>
      </c>
      <c r="AF250" s="26"/>
      <c r="AG250" s="26"/>
      <c r="AH250" s="38" t="s">
        <v>152</v>
      </c>
      <c r="AI250" s="27" t="s">
        <v>153</v>
      </c>
      <c r="AJ250" s="26">
        <v>0.5</v>
      </c>
      <c r="AK250" s="26">
        <v>0.5</v>
      </c>
      <c r="AL250" s="26"/>
      <c r="AM250" s="26">
        <v>1</v>
      </c>
      <c r="AN250" s="26"/>
      <c r="AO250" s="26"/>
      <c r="AP250" s="26">
        <v>250</v>
      </c>
      <c r="AQ250" s="26">
        <v>0.5</v>
      </c>
      <c r="AR250" s="26"/>
      <c r="AS250" s="26"/>
      <c r="AT250" s="26"/>
      <c r="AU250" s="26">
        <v>1</v>
      </c>
      <c r="AV250" s="26"/>
      <c r="AW250" s="26">
        <v>0</v>
      </c>
      <c r="AX250" s="26">
        <v>0</v>
      </c>
      <c r="AY250" s="26">
        <v>0</v>
      </c>
      <c r="AZ250" s="26">
        <v>0</v>
      </c>
      <c r="BA250" s="26">
        <v>0</v>
      </c>
      <c r="BB250" s="26">
        <v>0</v>
      </c>
      <c r="BC250" s="26">
        <v>100</v>
      </c>
      <c r="BD250" s="26">
        <v>100</v>
      </c>
      <c r="BE250" s="26"/>
      <c r="BF250" s="26" t="s">
        <v>154</v>
      </c>
      <c r="BG250" s="26">
        <v>0</v>
      </c>
      <c r="BH250" s="26">
        <v>0</v>
      </c>
      <c r="BI250" s="26">
        <v>100</v>
      </c>
      <c r="BJ250" s="26"/>
      <c r="BK250" s="26"/>
      <c r="BL250" s="26"/>
      <c r="BM250" s="26"/>
      <c r="BN250" s="26"/>
      <c r="BO250" s="26"/>
      <c r="BP250" s="26"/>
      <c r="BQ250" s="7">
        <v>0</v>
      </c>
    </row>
    <row r="251" s="7" customFormat="1" spans="2:69">
      <c r="B251" s="31" t="s">
        <v>894</v>
      </c>
      <c r="C251" s="7" t="s">
        <v>71</v>
      </c>
      <c r="D251" s="26" t="s">
        <v>280</v>
      </c>
      <c r="E251" s="27" t="s">
        <v>885</v>
      </c>
      <c r="F251" s="31"/>
      <c r="G251" s="26" t="s">
        <v>886</v>
      </c>
      <c r="H251" s="26"/>
      <c r="I251" s="26" t="s">
        <v>283</v>
      </c>
      <c r="J251" s="26"/>
      <c r="K251" s="26"/>
      <c r="L251" s="26">
        <v>0</v>
      </c>
      <c r="M251" s="26">
        <v>0</v>
      </c>
      <c r="N251" s="26"/>
      <c r="O251" s="26" t="s">
        <v>887</v>
      </c>
      <c r="P251" s="26">
        <f t="shared" si="5"/>
        <v>0.9</v>
      </c>
      <c r="Q251" s="26"/>
      <c r="R251" s="26"/>
      <c r="S251" s="26"/>
      <c r="T251" s="26"/>
      <c r="U251" s="26">
        <v>1</v>
      </c>
      <c r="V251" s="26">
        <v>2</v>
      </c>
      <c r="W251" s="26" t="s">
        <v>469</v>
      </c>
      <c r="X251" s="26">
        <v>450</v>
      </c>
      <c r="Y251" s="26">
        <v>0</v>
      </c>
      <c r="Z251" s="26" t="s">
        <v>151</v>
      </c>
      <c r="AA251" s="26">
        <v>500</v>
      </c>
      <c r="AB251" s="26"/>
      <c r="AC251" s="26"/>
      <c r="AD251" s="26">
        <v>0</v>
      </c>
      <c r="AE251" s="26" t="s">
        <v>151</v>
      </c>
      <c r="AF251" s="26"/>
      <c r="AG251" s="26"/>
      <c r="AH251" s="38" t="s">
        <v>152</v>
      </c>
      <c r="AI251" s="27" t="s">
        <v>153</v>
      </c>
      <c r="AJ251" s="26">
        <v>0.5</v>
      </c>
      <c r="AK251" s="26">
        <v>0.5</v>
      </c>
      <c r="AL251" s="26"/>
      <c r="AM251" s="26">
        <v>1</v>
      </c>
      <c r="AN251" s="26"/>
      <c r="AO251" s="26"/>
      <c r="AP251" s="26">
        <v>250</v>
      </c>
      <c r="AQ251" s="26">
        <v>0.5</v>
      </c>
      <c r="AR251" s="26"/>
      <c r="AS251" s="26"/>
      <c r="AT251" s="26"/>
      <c r="AU251" s="26">
        <v>1</v>
      </c>
      <c r="AV251" s="26"/>
      <c r="AW251" s="26">
        <v>0</v>
      </c>
      <c r="AX251" s="26">
        <v>0</v>
      </c>
      <c r="AY251" s="26">
        <v>0</v>
      </c>
      <c r="AZ251" s="26">
        <v>0</v>
      </c>
      <c r="BA251" s="26">
        <v>0</v>
      </c>
      <c r="BB251" s="26">
        <v>0</v>
      </c>
      <c r="BC251" s="26">
        <v>100</v>
      </c>
      <c r="BD251" s="26">
        <v>100</v>
      </c>
      <c r="BE251" s="26"/>
      <c r="BF251" s="26" t="s">
        <v>154</v>
      </c>
      <c r="BG251" s="26">
        <v>0</v>
      </c>
      <c r="BH251" s="26">
        <v>0</v>
      </c>
      <c r="BI251" s="26">
        <v>100</v>
      </c>
      <c r="BJ251" s="26"/>
      <c r="BK251" s="26"/>
      <c r="BL251" s="26"/>
      <c r="BM251" s="26"/>
      <c r="BN251" s="26"/>
      <c r="BO251" s="26"/>
      <c r="BP251" s="26"/>
      <c r="BQ251" s="7">
        <v>0</v>
      </c>
    </row>
    <row r="252" s="7" customFormat="1" spans="2:69">
      <c r="B252" s="31" t="s">
        <v>895</v>
      </c>
      <c r="C252" s="7" t="s">
        <v>71</v>
      </c>
      <c r="D252" s="26" t="s">
        <v>280</v>
      </c>
      <c r="E252" s="27" t="s">
        <v>885</v>
      </c>
      <c r="F252" s="31"/>
      <c r="G252" s="26" t="s">
        <v>886</v>
      </c>
      <c r="H252" s="26"/>
      <c r="I252" s="26" t="s">
        <v>283</v>
      </c>
      <c r="J252" s="26"/>
      <c r="K252" s="26"/>
      <c r="L252" s="26">
        <v>0</v>
      </c>
      <c r="M252" s="26">
        <v>0</v>
      </c>
      <c r="N252" s="26"/>
      <c r="O252" s="26" t="s">
        <v>887</v>
      </c>
      <c r="P252" s="26">
        <f t="shared" si="5"/>
        <v>0.95</v>
      </c>
      <c r="Q252" s="26"/>
      <c r="R252" s="26"/>
      <c r="S252" s="26"/>
      <c r="T252" s="26"/>
      <c r="U252" s="26">
        <v>1</v>
      </c>
      <c r="V252" s="26">
        <v>2</v>
      </c>
      <c r="W252" s="26" t="s">
        <v>469</v>
      </c>
      <c r="X252" s="26">
        <v>450</v>
      </c>
      <c r="Y252" s="26">
        <v>0</v>
      </c>
      <c r="Z252" s="26" t="s">
        <v>151</v>
      </c>
      <c r="AA252" s="26">
        <v>500</v>
      </c>
      <c r="AB252" s="26"/>
      <c r="AC252" s="26"/>
      <c r="AD252" s="26">
        <v>0</v>
      </c>
      <c r="AE252" s="26" t="s">
        <v>151</v>
      </c>
      <c r="AF252" s="26"/>
      <c r="AG252" s="26"/>
      <c r="AH252" s="38" t="s">
        <v>152</v>
      </c>
      <c r="AI252" s="27" t="s">
        <v>153</v>
      </c>
      <c r="AJ252" s="26">
        <v>0.5</v>
      </c>
      <c r="AK252" s="26">
        <v>0.5</v>
      </c>
      <c r="AL252" s="26"/>
      <c r="AM252" s="26">
        <v>1</v>
      </c>
      <c r="AN252" s="26"/>
      <c r="AO252" s="26"/>
      <c r="AP252" s="26">
        <v>250</v>
      </c>
      <c r="AQ252" s="26">
        <v>0.5</v>
      </c>
      <c r="AR252" s="26"/>
      <c r="AS252" s="26"/>
      <c r="AT252" s="26"/>
      <c r="AU252" s="26">
        <v>1</v>
      </c>
      <c r="AV252" s="26"/>
      <c r="AW252" s="26">
        <v>0</v>
      </c>
      <c r="AX252" s="26">
        <v>0</v>
      </c>
      <c r="AY252" s="26">
        <v>0</v>
      </c>
      <c r="AZ252" s="26">
        <v>0</v>
      </c>
      <c r="BA252" s="26">
        <v>0</v>
      </c>
      <c r="BB252" s="26">
        <v>0</v>
      </c>
      <c r="BC252" s="26">
        <v>100</v>
      </c>
      <c r="BD252" s="26">
        <v>100</v>
      </c>
      <c r="BE252" s="26"/>
      <c r="BF252" s="26" t="s">
        <v>154</v>
      </c>
      <c r="BG252" s="26">
        <v>0</v>
      </c>
      <c r="BH252" s="26">
        <v>0</v>
      </c>
      <c r="BI252" s="26">
        <v>100</v>
      </c>
      <c r="BJ252" s="26"/>
      <c r="BK252" s="26"/>
      <c r="BL252" s="26"/>
      <c r="BM252" s="26"/>
      <c r="BN252" s="26"/>
      <c r="BO252" s="26"/>
      <c r="BP252" s="26"/>
      <c r="BQ252" s="7">
        <v>0</v>
      </c>
    </row>
    <row r="253" s="7" customFormat="1" spans="2:69">
      <c r="B253" s="31" t="s">
        <v>896</v>
      </c>
      <c r="C253" s="7" t="s">
        <v>71</v>
      </c>
      <c r="D253" s="26" t="s">
        <v>280</v>
      </c>
      <c r="E253" s="27" t="s">
        <v>885</v>
      </c>
      <c r="F253" s="31"/>
      <c r="G253" s="26" t="s">
        <v>886</v>
      </c>
      <c r="H253" s="26"/>
      <c r="I253" s="26" t="s">
        <v>283</v>
      </c>
      <c r="J253" s="26"/>
      <c r="K253" s="26"/>
      <c r="L253" s="26">
        <v>0</v>
      </c>
      <c r="M253" s="26">
        <v>0</v>
      </c>
      <c r="N253" s="26"/>
      <c r="O253" s="26" t="s">
        <v>887</v>
      </c>
      <c r="P253" s="26">
        <f t="shared" si="5"/>
        <v>1</v>
      </c>
      <c r="Q253" s="26"/>
      <c r="R253" s="26"/>
      <c r="S253" s="26"/>
      <c r="T253" s="26"/>
      <c r="U253" s="26">
        <v>1</v>
      </c>
      <c r="V253" s="26">
        <v>2</v>
      </c>
      <c r="W253" s="26" t="s">
        <v>469</v>
      </c>
      <c r="X253" s="26">
        <v>450</v>
      </c>
      <c r="Y253" s="26">
        <v>0</v>
      </c>
      <c r="Z253" s="26" t="s">
        <v>151</v>
      </c>
      <c r="AA253" s="26">
        <v>500</v>
      </c>
      <c r="AB253" s="26"/>
      <c r="AC253" s="26"/>
      <c r="AD253" s="26">
        <v>0</v>
      </c>
      <c r="AE253" s="26" t="s">
        <v>151</v>
      </c>
      <c r="AF253" s="26"/>
      <c r="AG253" s="26"/>
      <c r="AH253" s="38" t="s">
        <v>152</v>
      </c>
      <c r="AI253" s="27" t="s">
        <v>153</v>
      </c>
      <c r="AJ253" s="26">
        <v>0.5</v>
      </c>
      <c r="AK253" s="26">
        <v>0.5</v>
      </c>
      <c r="AL253" s="26"/>
      <c r="AM253" s="26">
        <v>1</v>
      </c>
      <c r="AN253" s="26"/>
      <c r="AO253" s="26"/>
      <c r="AP253" s="26">
        <v>250</v>
      </c>
      <c r="AQ253" s="26">
        <v>0.5</v>
      </c>
      <c r="AR253" s="26"/>
      <c r="AS253" s="26"/>
      <c r="AT253" s="26"/>
      <c r="AU253" s="26">
        <v>1</v>
      </c>
      <c r="AV253" s="26"/>
      <c r="AW253" s="26">
        <v>0</v>
      </c>
      <c r="AX253" s="26">
        <v>0</v>
      </c>
      <c r="AY253" s="26">
        <v>0</v>
      </c>
      <c r="AZ253" s="26">
        <v>0</v>
      </c>
      <c r="BA253" s="26">
        <v>0</v>
      </c>
      <c r="BB253" s="26">
        <v>0</v>
      </c>
      <c r="BC253" s="26">
        <v>100</v>
      </c>
      <c r="BD253" s="26">
        <v>100</v>
      </c>
      <c r="BE253" s="26"/>
      <c r="BF253" s="26" t="s">
        <v>154</v>
      </c>
      <c r="BG253" s="26">
        <v>0</v>
      </c>
      <c r="BH253" s="26">
        <v>0</v>
      </c>
      <c r="BI253" s="26">
        <v>100</v>
      </c>
      <c r="BJ253" s="26"/>
      <c r="BK253" s="26"/>
      <c r="BL253" s="26"/>
      <c r="BM253" s="26"/>
      <c r="BN253" s="26"/>
      <c r="BO253" s="26"/>
      <c r="BP253" s="26"/>
      <c r="BQ253" s="7">
        <v>0</v>
      </c>
    </row>
    <row r="254" s="7" customFormat="1" spans="2:69">
      <c r="B254" s="31" t="s">
        <v>897</v>
      </c>
      <c r="C254" s="7" t="s">
        <v>71</v>
      </c>
      <c r="D254" s="26" t="s">
        <v>280</v>
      </c>
      <c r="E254" s="27" t="s">
        <v>885</v>
      </c>
      <c r="F254" s="31"/>
      <c r="G254" s="26" t="s">
        <v>886</v>
      </c>
      <c r="H254" s="26"/>
      <c r="I254" s="26" t="s">
        <v>283</v>
      </c>
      <c r="J254" s="26"/>
      <c r="K254" s="26"/>
      <c r="L254" s="26">
        <v>0</v>
      </c>
      <c r="M254" s="26">
        <v>0</v>
      </c>
      <c r="N254" s="26"/>
      <c r="O254" s="26" t="s">
        <v>887</v>
      </c>
      <c r="P254" s="26">
        <f t="shared" si="5"/>
        <v>1.05</v>
      </c>
      <c r="Q254" s="26"/>
      <c r="R254" s="26"/>
      <c r="S254" s="26"/>
      <c r="T254" s="26"/>
      <c r="U254" s="26">
        <v>1</v>
      </c>
      <c r="V254" s="26">
        <v>2</v>
      </c>
      <c r="W254" s="26" t="s">
        <v>469</v>
      </c>
      <c r="X254" s="26">
        <v>450</v>
      </c>
      <c r="Y254" s="26">
        <v>0</v>
      </c>
      <c r="Z254" s="26" t="s">
        <v>151</v>
      </c>
      <c r="AA254" s="26">
        <v>500</v>
      </c>
      <c r="AB254" s="26"/>
      <c r="AC254" s="26"/>
      <c r="AD254" s="26">
        <v>0</v>
      </c>
      <c r="AE254" s="26" t="s">
        <v>151</v>
      </c>
      <c r="AF254" s="26"/>
      <c r="AG254" s="26"/>
      <c r="AH254" s="38" t="s">
        <v>152</v>
      </c>
      <c r="AI254" s="27" t="s">
        <v>153</v>
      </c>
      <c r="AJ254" s="26">
        <v>0.5</v>
      </c>
      <c r="AK254" s="26">
        <v>0.5</v>
      </c>
      <c r="AL254" s="26"/>
      <c r="AM254" s="26">
        <v>1</v>
      </c>
      <c r="AN254" s="26"/>
      <c r="AO254" s="26"/>
      <c r="AP254" s="26">
        <v>250</v>
      </c>
      <c r="AQ254" s="26">
        <v>0.5</v>
      </c>
      <c r="AR254" s="26"/>
      <c r="AS254" s="26"/>
      <c r="AT254" s="26"/>
      <c r="AU254" s="26">
        <v>1</v>
      </c>
      <c r="AV254" s="26"/>
      <c r="AW254" s="26">
        <v>0</v>
      </c>
      <c r="AX254" s="26">
        <v>0</v>
      </c>
      <c r="AY254" s="26">
        <v>0</v>
      </c>
      <c r="AZ254" s="26">
        <v>0</v>
      </c>
      <c r="BA254" s="26">
        <v>0</v>
      </c>
      <c r="BB254" s="26">
        <v>0</v>
      </c>
      <c r="BC254" s="26">
        <v>100</v>
      </c>
      <c r="BD254" s="26">
        <v>100</v>
      </c>
      <c r="BE254" s="26"/>
      <c r="BF254" s="26" t="s">
        <v>154</v>
      </c>
      <c r="BG254" s="26">
        <v>0</v>
      </c>
      <c r="BH254" s="26">
        <v>0</v>
      </c>
      <c r="BI254" s="26">
        <v>100</v>
      </c>
      <c r="BJ254" s="26"/>
      <c r="BK254" s="26"/>
      <c r="BL254" s="26"/>
      <c r="BM254" s="26"/>
      <c r="BN254" s="26"/>
      <c r="BO254" s="26"/>
      <c r="BP254" s="26"/>
      <c r="BQ254" s="7">
        <v>0</v>
      </c>
    </row>
    <row r="255" s="7" customFormat="1" spans="2:69">
      <c r="B255" s="31" t="s">
        <v>898</v>
      </c>
      <c r="C255" s="7" t="s">
        <v>71</v>
      </c>
      <c r="D255" s="26" t="s">
        <v>280</v>
      </c>
      <c r="E255" s="27" t="s">
        <v>885</v>
      </c>
      <c r="F255" s="31"/>
      <c r="G255" s="26" t="s">
        <v>886</v>
      </c>
      <c r="H255" s="26"/>
      <c r="I255" s="26" t="s">
        <v>283</v>
      </c>
      <c r="J255" s="26"/>
      <c r="K255" s="26"/>
      <c r="L255" s="26">
        <v>0</v>
      </c>
      <c r="M255" s="26">
        <v>0</v>
      </c>
      <c r="N255" s="26"/>
      <c r="O255" s="26" t="s">
        <v>887</v>
      </c>
      <c r="P255" s="26">
        <f t="shared" si="5"/>
        <v>1.1</v>
      </c>
      <c r="Q255" s="26"/>
      <c r="R255" s="26"/>
      <c r="S255" s="26"/>
      <c r="T255" s="26"/>
      <c r="U255" s="26">
        <v>1</v>
      </c>
      <c r="V255" s="26">
        <v>2</v>
      </c>
      <c r="W255" s="26" t="s">
        <v>469</v>
      </c>
      <c r="X255" s="26">
        <v>450</v>
      </c>
      <c r="Y255" s="26">
        <v>0</v>
      </c>
      <c r="Z255" s="26" t="s">
        <v>151</v>
      </c>
      <c r="AA255" s="26">
        <v>500</v>
      </c>
      <c r="AB255" s="26"/>
      <c r="AC255" s="26"/>
      <c r="AD255" s="26">
        <v>0</v>
      </c>
      <c r="AE255" s="26" t="s">
        <v>151</v>
      </c>
      <c r="AF255" s="26"/>
      <c r="AG255" s="26"/>
      <c r="AH255" s="38" t="s">
        <v>152</v>
      </c>
      <c r="AI255" s="27" t="s">
        <v>153</v>
      </c>
      <c r="AJ255" s="26">
        <v>0.5</v>
      </c>
      <c r="AK255" s="26">
        <v>0.5</v>
      </c>
      <c r="AL255" s="26"/>
      <c r="AM255" s="26">
        <v>1</v>
      </c>
      <c r="AN255" s="26"/>
      <c r="AO255" s="26"/>
      <c r="AP255" s="26">
        <v>250</v>
      </c>
      <c r="AQ255" s="26">
        <v>0.5</v>
      </c>
      <c r="AR255" s="26"/>
      <c r="AS255" s="26"/>
      <c r="AT255" s="26"/>
      <c r="AU255" s="26">
        <v>1</v>
      </c>
      <c r="AV255" s="26"/>
      <c r="AW255" s="26">
        <v>0</v>
      </c>
      <c r="AX255" s="26">
        <v>0</v>
      </c>
      <c r="AY255" s="26">
        <v>0</v>
      </c>
      <c r="AZ255" s="26">
        <v>0</v>
      </c>
      <c r="BA255" s="26">
        <v>0</v>
      </c>
      <c r="BB255" s="26">
        <v>0</v>
      </c>
      <c r="BC255" s="26">
        <v>100</v>
      </c>
      <c r="BD255" s="26">
        <v>100</v>
      </c>
      <c r="BE255" s="26"/>
      <c r="BF255" s="26" t="s">
        <v>154</v>
      </c>
      <c r="BG255" s="26">
        <v>0</v>
      </c>
      <c r="BH255" s="26">
        <v>0</v>
      </c>
      <c r="BI255" s="26">
        <v>100</v>
      </c>
      <c r="BJ255" s="26"/>
      <c r="BK255" s="26"/>
      <c r="BL255" s="26"/>
      <c r="BM255" s="26"/>
      <c r="BN255" s="26"/>
      <c r="BO255" s="26"/>
      <c r="BP255" s="26"/>
      <c r="BQ255" s="7">
        <v>0</v>
      </c>
    </row>
    <row r="256" s="7" customFormat="1" spans="2:69">
      <c r="B256" s="31" t="s">
        <v>899</v>
      </c>
      <c r="C256" s="7" t="s">
        <v>71</v>
      </c>
      <c r="D256" s="26" t="s">
        <v>280</v>
      </c>
      <c r="E256" s="27" t="s">
        <v>885</v>
      </c>
      <c r="F256" s="31"/>
      <c r="G256" s="26" t="s">
        <v>886</v>
      </c>
      <c r="H256" s="26"/>
      <c r="I256" s="26" t="s">
        <v>283</v>
      </c>
      <c r="J256" s="26"/>
      <c r="K256" s="26"/>
      <c r="L256" s="26">
        <v>0</v>
      </c>
      <c r="M256" s="26">
        <v>0</v>
      </c>
      <c r="N256" s="26"/>
      <c r="O256" s="26" t="s">
        <v>887</v>
      </c>
      <c r="P256" s="26">
        <f t="shared" si="5"/>
        <v>1.15</v>
      </c>
      <c r="Q256" s="26"/>
      <c r="R256" s="26"/>
      <c r="S256" s="26"/>
      <c r="T256" s="26"/>
      <c r="U256" s="26">
        <v>1</v>
      </c>
      <c r="V256" s="26">
        <v>2</v>
      </c>
      <c r="W256" s="26" t="s">
        <v>469</v>
      </c>
      <c r="X256" s="26">
        <v>450</v>
      </c>
      <c r="Y256" s="26">
        <v>0</v>
      </c>
      <c r="Z256" s="26" t="s">
        <v>151</v>
      </c>
      <c r="AA256" s="26">
        <v>500</v>
      </c>
      <c r="AB256" s="26"/>
      <c r="AC256" s="26"/>
      <c r="AD256" s="26">
        <v>0</v>
      </c>
      <c r="AE256" s="26" t="s">
        <v>151</v>
      </c>
      <c r="AF256" s="26"/>
      <c r="AG256" s="26"/>
      <c r="AH256" s="38" t="s">
        <v>152</v>
      </c>
      <c r="AI256" s="27" t="s">
        <v>153</v>
      </c>
      <c r="AJ256" s="26">
        <v>0.5</v>
      </c>
      <c r="AK256" s="26">
        <v>0.5</v>
      </c>
      <c r="AL256" s="26"/>
      <c r="AM256" s="26">
        <v>1</v>
      </c>
      <c r="AN256" s="26"/>
      <c r="AO256" s="26"/>
      <c r="AP256" s="26">
        <v>250</v>
      </c>
      <c r="AQ256" s="26">
        <v>0.5</v>
      </c>
      <c r="AR256" s="26"/>
      <c r="AS256" s="26"/>
      <c r="AT256" s="26"/>
      <c r="AU256" s="26">
        <v>1</v>
      </c>
      <c r="AV256" s="26"/>
      <c r="AW256" s="26">
        <v>0</v>
      </c>
      <c r="AX256" s="26">
        <v>0</v>
      </c>
      <c r="AY256" s="26">
        <v>0</v>
      </c>
      <c r="AZ256" s="26">
        <v>0</v>
      </c>
      <c r="BA256" s="26">
        <v>0</v>
      </c>
      <c r="BB256" s="26">
        <v>0</v>
      </c>
      <c r="BC256" s="26">
        <v>100</v>
      </c>
      <c r="BD256" s="26">
        <v>100</v>
      </c>
      <c r="BE256" s="26"/>
      <c r="BF256" s="26" t="s">
        <v>154</v>
      </c>
      <c r="BG256" s="26">
        <v>0</v>
      </c>
      <c r="BH256" s="26">
        <v>0</v>
      </c>
      <c r="BI256" s="26">
        <v>100</v>
      </c>
      <c r="BJ256" s="26"/>
      <c r="BK256" s="26"/>
      <c r="BL256" s="26"/>
      <c r="BM256" s="26"/>
      <c r="BN256" s="26"/>
      <c r="BO256" s="26"/>
      <c r="BP256" s="26"/>
      <c r="BQ256" s="7">
        <v>0</v>
      </c>
    </row>
    <row r="257" s="6" customFormat="1" spans="2:69">
      <c r="B257" s="19" t="s">
        <v>900</v>
      </c>
      <c r="C257" s="6" t="s">
        <v>71</v>
      </c>
      <c r="D257" s="16" t="s">
        <v>280</v>
      </c>
      <c r="E257" s="4" t="s">
        <v>901</v>
      </c>
      <c r="F257" s="19"/>
      <c r="G257" s="16" t="s">
        <v>886</v>
      </c>
      <c r="H257" s="16"/>
      <c r="I257" s="16" t="s">
        <v>283</v>
      </c>
      <c r="J257" s="16"/>
      <c r="K257" s="16"/>
      <c r="L257" s="16">
        <v>0</v>
      </c>
      <c r="M257" s="16">
        <v>0</v>
      </c>
      <c r="N257" s="16"/>
      <c r="O257" s="16" t="s">
        <v>902</v>
      </c>
      <c r="P257" s="16">
        <v>0.4</v>
      </c>
      <c r="Q257" s="16"/>
      <c r="R257" s="16"/>
      <c r="S257" s="16"/>
      <c r="T257" s="16"/>
      <c r="U257" s="16">
        <v>1</v>
      </c>
      <c r="V257" s="16">
        <v>2</v>
      </c>
      <c r="W257" s="16" t="s">
        <v>469</v>
      </c>
      <c r="X257" s="16">
        <v>400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36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="6" customFormat="1" spans="2:69">
      <c r="B258" s="19" t="s">
        <v>903</v>
      </c>
      <c r="C258" s="6" t="s">
        <v>71</v>
      </c>
      <c r="D258" s="16" t="s">
        <v>280</v>
      </c>
      <c r="E258" s="4" t="s">
        <v>904</v>
      </c>
      <c r="F258" s="19"/>
      <c r="G258" s="16" t="s">
        <v>886</v>
      </c>
      <c r="H258" s="16"/>
      <c r="I258" s="16" t="s">
        <v>283</v>
      </c>
      <c r="J258" s="16"/>
      <c r="K258" s="16"/>
      <c r="L258" s="16">
        <v>0</v>
      </c>
      <c r="M258" s="16">
        <v>0</v>
      </c>
      <c r="N258" s="16"/>
      <c r="O258" s="16" t="s">
        <v>902</v>
      </c>
      <c r="P258" s="16">
        <v>0.45</v>
      </c>
      <c r="Q258" s="16"/>
      <c r="R258" s="16"/>
      <c r="S258" s="16"/>
      <c r="T258" s="16"/>
      <c r="U258" s="16">
        <v>1</v>
      </c>
      <c r="V258" s="16">
        <v>2</v>
      </c>
      <c r="W258" s="16" t="s">
        <v>469</v>
      </c>
      <c r="X258" s="16">
        <v>400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36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="6" customFormat="1" spans="2:69">
      <c r="B259" s="19" t="s">
        <v>905</v>
      </c>
      <c r="C259" s="6" t="s">
        <v>71</v>
      </c>
      <c r="D259" s="16" t="s">
        <v>280</v>
      </c>
      <c r="E259" s="4" t="s">
        <v>906</v>
      </c>
      <c r="F259" s="19"/>
      <c r="G259" s="16" t="s">
        <v>886</v>
      </c>
      <c r="H259" s="16"/>
      <c r="I259" s="16" t="s">
        <v>283</v>
      </c>
      <c r="J259" s="16"/>
      <c r="K259" s="16"/>
      <c r="L259" s="16">
        <v>0</v>
      </c>
      <c r="M259" s="16">
        <v>0</v>
      </c>
      <c r="N259" s="16"/>
      <c r="O259" s="16" t="s">
        <v>902</v>
      </c>
      <c r="P259" s="16">
        <v>0.5</v>
      </c>
      <c r="Q259" s="16"/>
      <c r="R259" s="16"/>
      <c r="S259" s="16"/>
      <c r="T259" s="16"/>
      <c r="U259" s="16">
        <v>1</v>
      </c>
      <c r="V259" s="16">
        <v>2</v>
      </c>
      <c r="W259" s="16" t="s">
        <v>469</v>
      </c>
      <c r="X259" s="16">
        <v>400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36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="6" customFormat="1" spans="2:69">
      <c r="B260" s="19" t="s">
        <v>907</v>
      </c>
      <c r="C260" s="6" t="s">
        <v>71</v>
      </c>
      <c r="D260" s="16" t="s">
        <v>280</v>
      </c>
      <c r="E260" s="4" t="s">
        <v>908</v>
      </c>
      <c r="F260" s="19"/>
      <c r="G260" s="16" t="s">
        <v>886</v>
      </c>
      <c r="H260" s="16"/>
      <c r="I260" s="16" t="s">
        <v>283</v>
      </c>
      <c r="J260" s="16"/>
      <c r="K260" s="16"/>
      <c r="L260" s="16">
        <v>0</v>
      </c>
      <c r="M260" s="16">
        <v>0</v>
      </c>
      <c r="N260" s="16"/>
      <c r="O260" s="16" t="s">
        <v>902</v>
      </c>
      <c r="P260" s="16">
        <v>0.55</v>
      </c>
      <c r="Q260" s="16"/>
      <c r="R260" s="16"/>
      <c r="S260" s="16"/>
      <c r="T260" s="16"/>
      <c r="U260" s="16">
        <v>1</v>
      </c>
      <c r="V260" s="16">
        <v>2</v>
      </c>
      <c r="W260" s="16" t="s">
        <v>469</v>
      </c>
      <c r="X260" s="16">
        <v>400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36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="6" customFormat="1" spans="2:69">
      <c r="B261" s="19" t="s">
        <v>909</v>
      </c>
      <c r="C261" s="6" t="s">
        <v>71</v>
      </c>
      <c r="D261" s="16" t="s">
        <v>280</v>
      </c>
      <c r="E261" s="4" t="s">
        <v>910</v>
      </c>
      <c r="F261" s="19"/>
      <c r="G261" s="16" t="s">
        <v>886</v>
      </c>
      <c r="H261" s="16"/>
      <c r="I261" s="16" t="s">
        <v>283</v>
      </c>
      <c r="J261" s="16"/>
      <c r="K261" s="16"/>
      <c r="L261" s="16">
        <v>0</v>
      </c>
      <c r="M261" s="16">
        <v>0</v>
      </c>
      <c r="N261" s="16"/>
      <c r="O261" s="16" t="s">
        <v>902</v>
      </c>
      <c r="P261" s="16">
        <v>0.6</v>
      </c>
      <c r="Q261" s="16"/>
      <c r="R261" s="16"/>
      <c r="S261" s="16"/>
      <c r="T261" s="16"/>
      <c r="U261" s="16">
        <v>1</v>
      </c>
      <c r="V261" s="16">
        <v>2</v>
      </c>
      <c r="W261" s="16" t="s">
        <v>469</v>
      </c>
      <c r="X261" s="16">
        <v>400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36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="6" customFormat="1" spans="2:69">
      <c r="B262" s="19" t="s">
        <v>911</v>
      </c>
      <c r="C262" s="6" t="s">
        <v>71</v>
      </c>
      <c r="D262" s="16" t="s">
        <v>280</v>
      </c>
      <c r="E262" s="4" t="s">
        <v>912</v>
      </c>
      <c r="F262" s="19"/>
      <c r="G262" s="16" t="s">
        <v>886</v>
      </c>
      <c r="H262" s="16"/>
      <c r="I262" s="16" t="s">
        <v>283</v>
      </c>
      <c r="J262" s="16" t="s">
        <v>448</v>
      </c>
      <c r="K262" s="16"/>
      <c r="L262" s="16">
        <v>0</v>
      </c>
      <c r="M262" s="16">
        <v>0</v>
      </c>
      <c r="N262" s="16"/>
      <c r="O262" s="16" t="s">
        <v>913</v>
      </c>
      <c r="P262" s="16">
        <v>0.9</v>
      </c>
      <c r="Q262" s="16"/>
      <c r="R262" s="16"/>
      <c r="S262" s="16"/>
      <c r="T262" s="16"/>
      <c r="U262" s="16">
        <v>1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36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0.2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="6" customFormat="1" spans="2:69">
      <c r="B263" s="19" t="s">
        <v>914</v>
      </c>
      <c r="C263" s="6" t="s">
        <v>71</v>
      </c>
      <c r="D263" s="16" t="s">
        <v>280</v>
      </c>
      <c r="E263" s="4" t="s">
        <v>915</v>
      </c>
      <c r="F263" s="19"/>
      <c r="G263" s="16" t="s">
        <v>886</v>
      </c>
      <c r="H263" s="16"/>
      <c r="I263" s="16" t="s">
        <v>283</v>
      </c>
      <c r="J263" s="16"/>
      <c r="K263" s="16"/>
      <c r="L263" s="16">
        <v>0</v>
      </c>
      <c r="M263" s="16">
        <v>0</v>
      </c>
      <c r="N263" s="16"/>
      <c r="O263" s="16" t="s">
        <v>902</v>
      </c>
      <c r="P263" s="16">
        <v>0.4</v>
      </c>
      <c r="Q263" s="16"/>
      <c r="R263" s="16"/>
      <c r="S263" s="16"/>
      <c r="T263" s="16"/>
      <c r="U263" s="16">
        <v>1</v>
      </c>
      <c r="V263" s="16">
        <v>2</v>
      </c>
      <c r="W263" s="16" t="s">
        <v>469</v>
      </c>
      <c r="X263" s="16">
        <v>400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36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="6" customFormat="1" spans="2:69">
      <c r="B264" s="19" t="s">
        <v>916</v>
      </c>
      <c r="C264" s="6" t="s">
        <v>71</v>
      </c>
      <c r="D264" s="16" t="s">
        <v>280</v>
      </c>
      <c r="E264" s="4" t="s">
        <v>917</v>
      </c>
      <c r="F264" s="19"/>
      <c r="G264" s="16" t="s">
        <v>886</v>
      </c>
      <c r="H264" s="16"/>
      <c r="I264" s="16" t="s">
        <v>283</v>
      </c>
      <c r="J264" s="16"/>
      <c r="K264" s="16"/>
      <c r="L264" s="16">
        <v>0</v>
      </c>
      <c r="M264" s="16">
        <v>0</v>
      </c>
      <c r="N264" s="16"/>
      <c r="O264" s="16" t="s">
        <v>902</v>
      </c>
      <c r="P264" s="16">
        <v>0.45</v>
      </c>
      <c r="Q264" s="16"/>
      <c r="R264" s="16"/>
      <c r="S264" s="16"/>
      <c r="T264" s="16"/>
      <c r="U264" s="16">
        <v>1</v>
      </c>
      <c r="V264" s="16">
        <v>2</v>
      </c>
      <c r="W264" s="16" t="s">
        <v>469</v>
      </c>
      <c r="X264" s="16">
        <v>400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36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="6" customFormat="1" spans="2:69">
      <c r="B265" s="19" t="s">
        <v>918</v>
      </c>
      <c r="C265" s="6" t="s">
        <v>71</v>
      </c>
      <c r="D265" s="16" t="s">
        <v>280</v>
      </c>
      <c r="E265" s="4" t="s">
        <v>919</v>
      </c>
      <c r="F265" s="19"/>
      <c r="G265" s="16" t="s">
        <v>886</v>
      </c>
      <c r="H265" s="16"/>
      <c r="I265" s="16" t="s">
        <v>283</v>
      </c>
      <c r="J265" s="16"/>
      <c r="K265" s="16"/>
      <c r="L265" s="16">
        <v>0</v>
      </c>
      <c r="M265" s="16">
        <v>0</v>
      </c>
      <c r="N265" s="16"/>
      <c r="O265" s="16" t="s">
        <v>902</v>
      </c>
      <c r="P265" s="16">
        <v>0.5</v>
      </c>
      <c r="Q265" s="16"/>
      <c r="R265" s="16"/>
      <c r="S265" s="16"/>
      <c r="T265" s="16"/>
      <c r="U265" s="16">
        <v>1</v>
      </c>
      <c r="V265" s="16">
        <v>2</v>
      </c>
      <c r="W265" s="16" t="s">
        <v>469</v>
      </c>
      <c r="X265" s="16">
        <v>400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36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="6" customFormat="1" spans="2:69">
      <c r="B266" s="19" t="s">
        <v>920</v>
      </c>
      <c r="C266" s="6" t="s">
        <v>71</v>
      </c>
      <c r="D266" s="16" t="s">
        <v>280</v>
      </c>
      <c r="E266" s="4" t="s">
        <v>921</v>
      </c>
      <c r="F266" s="19"/>
      <c r="G266" s="16" t="s">
        <v>886</v>
      </c>
      <c r="H266" s="16"/>
      <c r="I266" s="16" t="s">
        <v>283</v>
      </c>
      <c r="J266" s="16"/>
      <c r="K266" s="16"/>
      <c r="L266" s="16">
        <v>0</v>
      </c>
      <c r="M266" s="16">
        <v>0</v>
      </c>
      <c r="N266" s="16"/>
      <c r="O266" s="16" t="s">
        <v>902</v>
      </c>
      <c r="P266" s="16">
        <v>0.55</v>
      </c>
      <c r="Q266" s="16"/>
      <c r="R266" s="16"/>
      <c r="S266" s="16"/>
      <c r="T266" s="16"/>
      <c r="U266" s="16">
        <v>1</v>
      </c>
      <c r="V266" s="16">
        <v>2</v>
      </c>
      <c r="W266" s="16" t="s">
        <v>469</v>
      </c>
      <c r="X266" s="16">
        <v>400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36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="6" customFormat="1" spans="2:69">
      <c r="B267" s="19" t="s">
        <v>922</v>
      </c>
      <c r="C267" s="6" t="s">
        <v>71</v>
      </c>
      <c r="D267" s="16" t="s">
        <v>280</v>
      </c>
      <c r="E267" s="4" t="s">
        <v>923</v>
      </c>
      <c r="F267" s="19"/>
      <c r="G267" s="16" t="s">
        <v>886</v>
      </c>
      <c r="H267" s="16"/>
      <c r="I267" s="16" t="s">
        <v>283</v>
      </c>
      <c r="J267" s="16"/>
      <c r="K267" s="16"/>
      <c r="L267" s="16">
        <v>0</v>
      </c>
      <c r="M267" s="16">
        <v>0</v>
      </c>
      <c r="N267" s="16"/>
      <c r="O267" s="16" t="s">
        <v>902</v>
      </c>
      <c r="P267" s="16">
        <v>0.6</v>
      </c>
      <c r="Q267" s="16"/>
      <c r="R267" s="16"/>
      <c r="S267" s="16"/>
      <c r="T267" s="16"/>
      <c r="U267" s="16">
        <v>1</v>
      </c>
      <c r="V267" s="16">
        <v>2</v>
      </c>
      <c r="W267" s="16" t="s">
        <v>469</v>
      </c>
      <c r="X267" s="16">
        <v>400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36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="6" customFormat="1" spans="2:69">
      <c r="B268" s="19" t="s">
        <v>924</v>
      </c>
      <c r="C268" s="6" t="s">
        <v>71</v>
      </c>
      <c r="D268" s="16" t="s">
        <v>280</v>
      </c>
      <c r="E268" s="4" t="s">
        <v>925</v>
      </c>
      <c r="F268" s="19"/>
      <c r="G268" s="16" t="s">
        <v>886</v>
      </c>
      <c r="H268" s="16"/>
      <c r="I268" s="16" t="s">
        <v>283</v>
      </c>
      <c r="J268" s="16" t="s">
        <v>448</v>
      </c>
      <c r="K268" s="16"/>
      <c r="L268" s="16">
        <v>0</v>
      </c>
      <c r="M268" s="16">
        <v>0</v>
      </c>
      <c r="N268" s="16"/>
      <c r="O268" s="16" t="s">
        <v>926</v>
      </c>
      <c r="P268" s="16">
        <v>0.8</v>
      </c>
      <c r="Q268" s="16"/>
      <c r="R268" s="16"/>
      <c r="S268" s="16"/>
      <c r="T268" s="16"/>
      <c r="U268" s="16">
        <v>1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36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0.2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="6" customFormat="1" spans="2:69">
      <c r="B269" s="19" t="s">
        <v>927</v>
      </c>
      <c r="C269" s="6" t="s">
        <v>71</v>
      </c>
      <c r="D269" s="16" t="s">
        <v>280</v>
      </c>
      <c r="E269" s="4" t="s">
        <v>928</v>
      </c>
      <c r="F269" s="19"/>
      <c r="G269" s="16" t="s">
        <v>886</v>
      </c>
      <c r="H269" s="16"/>
      <c r="I269" s="16" t="s">
        <v>283</v>
      </c>
      <c r="J269" s="16"/>
      <c r="K269" s="16"/>
      <c r="L269" s="16">
        <v>0</v>
      </c>
      <c r="M269" s="16">
        <v>0</v>
      </c>
      <c r="N269" s="16"/>
      <c r="O269" s="16" t="s">
        <v>902</v>
      </c>
      <c r="P269" s="16">
        <v>0.4</v>
      </c>
      <c r="Q269" s="16"/>
      <c r="R269" s="16"/>
      <c r="S269" s="16"/>
      <c r="T269" s="16"/>
      <c r="U269" s="16">
        <v>1</v>
      </c>
      <c r="V269" s="16">
        <v>2</v>
      </c>
      <c r="W269" s="16" t="s">
        <v>469</v>
      </c>
      <c r="X269" s="16">
        <v>400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36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="6" customFormat="1" spans="2:69">
      <c r="B270" s="19" t="s">
        <v>929</v>
      </c>
      <c r="C270" s="6" t="s">
        <v>71</v>
      </c>
      <c r="D270" s="16" t="s">
        <v>280</v>
      </c>
      <c r="E270" s="4" t="s">
        <v>930</v>
      </c>
      <c r="F270" s="19"/>
      <c r="G270" s="16" t="s">
        <v>886</v>
      </c>
      <c r="H270" s="16"/>
      <c r="I270" s="16" t="s">
        <v>283</v>
      </c>
      <c r="J270" s="16"/>
      <c r="K270" s="16"/>
      <c r="L270" s="16">
        <v>0</v>
      </c>
      <c r="M270" s="16">
        <v>0</v>
      </c>
      <c r="N270" s="16"/>
      <c r="O270" s="16" t="s">
        <v>902</v>
      </c>
      <c r="P270" s="16">
        <v>0.45</v>
      </c>
      <c r="Q270" s="16"/>
      <c r="R270" s="16"/>
      <c r="S270" s="16"/>
      <c r="T270" s="16"/>
      <c r="U270" s="16">
        <v>1</v>
      </c>
      <c r="V270" s="16">
        <v>2</v>
      </c>
      <c r="W270" s="16" t="s">
        <v>469</v>
      </c>
      <c r="X270" s="16">
        <v>400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36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="6" customFormat="1" spans="2:69">
      <c r="B271" s="19" t="s">
        <v>931</v>
      </c>
      <c r="C271" s="6" t="s">
        <v>71</v>
      </c>
      <c r="D271" s="16" t="s">
        <v>280</v>
      </c>
      <c r="E271" s="4" t="s">
        <v>932</v>
      </c>
      <c r="F271" s="19"/>
      <c r="G271" s="16" t="s">
        <v>886</v>
      </c>
      <c r="H271" s="16"/>
      <c r="I271" s="16" t="s">
        <v>283</v>
      </c>
      <c r="J271" s="16"/>
      <c r="K271" s="16"/>
      <c r="L271" s="16">
        <v>0</v>
      </c>
      <c r="M271" s="16">
        <v>0</v>
      </c>
      <c r="N271" s="16"/>
      <c r="O271" s="16" t="s">
        <v>902</v>
      </c>
      <c r="P271" s="16">
        <v>0.5</v>
      </c>
      <c r="Q271" s="16"/>
      <c r="R271" s="16"/>
      <c r="S271" s="16"/>
      <c r="T271" s="16"/>
      <c r="U271" s="16">
        <v>1</v>
      </c>
      <c r="V271" s="16">
        <v>2</v>
      </c>
      <c r="W271" s="16" t="s">
        <v>469</v>
      </c>
      <c r="X271" s="16">
        <v>400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36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="6" customFormat="1" spans="2:69">
      <c r="B272" s="19" t="s">
        <v>933</v>
      </c>
      <c r="C272" s="6" t="s">
        <v>71</v>
      </c>
      <c r="D272" s="16" t="s">
        <v>280</v>
      </c>
      <c r="E272" s="4" t="s">
        <v>934</v>
      </c>
      <c r="F272" s="19"/>
      <c r="G272" s="16" t="s">
        <v>886</v>
      </c>
      <c r="H272" s="16"/>
      <c r="I272" s="16" t="s">
        <v>283</v>
      </c>
      <c r="J272" s="16"/>
      <c r="K272" s="16"/>
      <c r="L272" s="16">
        <v>0</v>
      </c>
      <c r="M272" s="16">
        <v>0</v>
      </c>
      <c r="N272" s="16"/>
      <c r="O272" s="16" t="s">
        <v>902</v>
      </c>
      <c r="P272" s="16">
        <v>0.55</v>
      </c>
      <c r="Q272" s="16"/>
      <c r="R272" s="16"/>
      <c r="S272" s="16"/>
      <c r="T272" s="16"/>
      <c r="U272" s="16">
        <v>1</v>
      </c>
      <c r="V272" s="16">
        <v>2</v>
      </c>
      <c r="W272" s="16" t="s">
        <v>469</v>
      </c>
      <c r="X272" s="16">
        <v>400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36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="6" customFormat="1" spans="2:69">
      <c r="B273" s="19" t="s">
        <v>935</v>
      </c>
      <c r="C273" s="6" t="s">
        <v>71</v>
      </c>
      <c r="D273" s="16" t="s">
        <v>280</v>
      </c>
      <c r="E273" s="4" t="s">
        <v>936</v>
      </c>
      <c r="F273" s="19"/>
      <c r="G273" s="16" t="s">
        <v>886</v>
      </c>
      <c r="H273" s="16"/>
      <c r="I273" s="16" t="s">
        <v>283</v>
      </c>
      <c r="J273" s="16"/>
      <c r="K273" s="16"/>
      <c r="L273" s="16">
        <v>0</v>
      </c>
      <c r="M273" s="16">
        <v>0</v>
      </c>
      <c r="N273" s="16"/>
      <c r="O273" s="16" t="s">
        <v>902</v>
      </c>
      <c r="P273" s="16">
        <v>0.6</v>
      </c>
      <c r="Q273" s="16"/>
      <c r="R273" s="16"/>
      <c r="S273" s="16"/>
      <c r="T273" s="16"/>
      <c r="U273" s="16">
        <v>1</v>
      </c>
      <c r="V273" s="16">
        <v>2</v>
      </c>
      <c r="W273" s="16" t="s">
        <v>469</v>
      </c>
      <c r="X273" s="16">
        <v>400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36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="6" customFormat="1" spans="2:69">
      <c r="B274" s="19" t="s">
        <v>937</v>
      </c>
      <c r="C274" s="6" t="s">
        <v>71</v>
      </c>
      <c r="D274" s="16" t="s">
        <v>280</v>
      </c>
      <c r="E274" s="4" t="s">
        <v>938</v>
      </c>
      <c r="F274" s="19"/>
      <c r="G274" s="16" t="s">
        <v>886</v>
      </c>
      <c r="H274" s="16"/>
      <c r="I274" s="16" t="s">
        <v>283</v>
      </c>
      <c r="J274" s="16" t="s">
        <v>448</v>
      </c>
      <c r="K274" s="16"/>
      <c r="L274" s="16">
        <v>0</v>
      </c>
      <c r="M274" s="16">
        <v>0</v>
      </c>
      <c r="N274" s="16"/>
      <c r="O274" s="16" t="s">
        <v>939</v>
      </c>
      <c r="P274" s="16">
        <v>1.05</v>
      </c>
      <c r="Q274" s="16"/>
      <c r="R274" s="16"/>
      <c r="S274" s="16"/>
      <c r="T274" s="16"/>
      <c r="U274" s="16">
        <v>1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500</v>
      </c>
      <c r="AB274" s="16"/>
      <c r="AC274" s="16"/>
      <c r="AD274" s="16">
        <v>0</v>
      </c>
      <c r="AE274" s="16" t="s">
        <v>151</v>
      </c>
      <c r="AF274" s="16"/>
      <c r="AG274" s="16"/>
      <c r="AH274" s="36" t="s">
        <v>152</v>
      </c>
      <c r="AI274" s="4" t="s">
        <v>153</v>
      </c>
      <c r="AJ274" s="16">
        <v>0.5</v>
      </c>
      <c r="AK274" s="16">
        <v>0.5</v>
      </c>
      <c r="AL274" s="16"/>
      <c r="AM274" s="16">
        <v>1</v>
      </c>
      <c r="AN274" s="16"/>
      <c r="AO274" s="16"/>
      <c r="AP274" s="16">
        <v>250</v>
      </c>
      <c r="AQ274" s="16">
        <v>0.2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6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="6" customFormat="1" spans="2:69">
      <c r="B275" s="19" t="s">
        <v>940</v>
      </c>
      <c r="C275" s="6" t="s">
        <v>71</v>
      </c>
      <c r="D275" s="16" t="s">
        <v>280</v>
      </c>
      <c r="E275" s="4" t="s">
        <v>941</v>
      </c>
      <c r="F275" s="19"/>
      <c r="G275" s="16" t="s">
        <v>886</v>
      </c>
      <c r="H275" s="16"/>
      <c r="I275" s="16" t="s">
        <v>283</v>
      </c>
      <c r="J275" s="16"/>
      <c r="K275" s="16"/>
      <c r="L275" s="16">
        <v>0</v>
      </c>
      <c r="M275" s="16">
        <v>0</v>
      </c>
      <c r="N275" s="16"/>
      <c r="O275" s="16" t="s">
        <v>902</v>
      </c>
      <c r="P275" s="16">
        <v>0.4</v>
      </c>
      <c r="Q275" s="16"/>
      <c r="R275" s="16"/>
      <c r="S275" s="16"/>
      <c r="T275" s="16"/>
      <c r="U275" s="16">
        <v>1</v>
      </c>
      <c r="V275" s="16">
        <v>2</v>
      </c>
      <c r="W275" s="16" t="s">
        <v>469</v>
      </c>
      <c r="X275" s="16">
        <v>400</v>
      </c>
      <c r="Y275" s="16">
        <v>0</v>
      </c>
      <c r="Z275" s="16" t="s">
        <v>151</v>
      </c>
      <c r="AA275" s="16">
        <v>500</v>
      </c>
      <c r="AB275" s="16"/>
      <c r="AC275" s="16"/>
      <c r="AD275" s="16">
        <v>0</v>
      </c>
      <c r="AE275" s="16" t="s">
        <v>151</v>
      </c>
      <c r="AF275" s="16"/>
      <c r="AG275" s="16"/>
      <c r="AH275" s="36" t="s">
        <v>152</v>
      </c>
      <c r="AI275" s="4" t="s">
        <v>153</v>
      </c>
      <c r="AJ275" s="16">
        <v>0.5</v>
      </c>
      <c r="AK275" s="16">
        <v>0.5</v>
      </c>
      <c r="AL275" s="16"/>
      <c r="AM275" s="16">
        <v>1</v>
      </c>
      <c r="AN275" s="16"/>
      <c r="AO275" s="16"/>
      <c r="AP275" s="16">
        <v>250</v>
      </c>
      <c r="AQ275" s="16">
        <v>0.5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6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="6" customFormat="1" spans="2:69">
      <c r="B276" s="19" t="s">
        <v>942</v>
      </c>
      <c r="C276" s="6" t="s">
        <v>71</v>
      </c>
      <c r="D276" s="16" t="s">
        <v>280</v>
      </c>
      <c r="E276" s="4" t="s">
        <v>943</v>
      </c>
      <c r="F276" s="19"/>
      <c r="G276" s="16" t="s">
        <v>886</v>
      </c>
      <c r="H276" s="16"/>
      <c r="I276" s="16" t="s">
        <v>283</v>
      </c>
      <c r="J276" s="16"/>
      <c r="K276" s="16"/>
      <c r="L276" s="16">
        <v>0</v>
      </c>
      <c r="M276" s="16">
        <v>0</v>
      </c>
      <c r="N276" s="16"/>
      <c r="O276" s="16" t="s">
        <v>902</v>
      </c>
      <c r="P276" s="16">
        <v>0.45</v>
      </c>
      <c r="Q276" s="16"/>
      <c r="R276" s="16"/>
      <c r="S276" s="16"/>
      <c r="T276" s="16"/>
      <c r="U276" s="16">
        <v>1</v>
      </c>
      <c r="V276" s="16">
        <v>2</v>
      </c>
      <c r="W276" s="16" t="s">
        <v>469</v>
      </c>
      <c r="X276" s="16">
        <v>400</v>
      </c>
      <c r="Y276" s="16">
        <v>0</v>
      </c>
      <c r="Z276" s="16" t="s">
        <v>151</v>
      </c>
      <c r="AA276" s="16">
        <v>500</v>
      </c>
      <c r="AB276" s="16"/>
      <c r="AC276" s="16"/>
      <c r="AD276" s="16">
        <v>0</v>
      </c>
      <c r="AE276" s="16" t="s">
        <v>151</v>
      </c>
      <c r="AF276" s="16"/>
      <c r="AG276" s="16"/>
      <c r="AH276" s="36" t="s">
        <v>152</v>
      </c>
      <c r="AI276" s="4" t="s">
        <v>153</v>
      </c>
      <c r="AJ276" s="16">
        <v>0.5</v>
      </c>
      <c r="AK276" s="16">
        <v>0.5</v>
      </c>
      <c r="AL276" s="16"/>
      <c r="AM276" s="16">
        <v>1</v>
      </c>
      <c r="AN276" s="16"/>
      <c r="AO276" s="16"/>
      <c r="AP276" s="16">
        <v>250</v>
      </c>
      <c r="AQ276" s="16">
        <v>0.5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6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="6" customFormat="1" spans="2:69">
      <c r="B277" s="19" t="s">
        <v>944</v>
      </c>
      <c r="C277" s="6" t="s">
        <v>71</v>
      </c>
      <c r="D277" s="16" t="s">
        <v>280</v>
      </c>
      <c r="E277" s="4" t="s">
        <v>945</v>
      </c>
      <c r="F277" s="19"/>
      <c r="G277" s="16" t="s">
        <v>886</v>
      </c>
      <c r="H277" s="16"/>
      <c r="I277" s="16" t="s">
        <v>283</v>
      </c>
      <c r="J277" s="16"/>
      <c r="K277" s="16"/>
      <c r="L277" s="16">
        <v>0</v>
      </c>
      <c r="M277" s="16">
        <v>0</v>
      </c>
      <c r="N277" s="16"/>
      <c r="O277" s="16" t="s">
        <v>902</v>
      </c>
      <c r="P277" s="16">
        <v>0.5</v>
      </c>
      <c r="Q277" s="16"/>
      <c r="R277" s="16"/>
      <c r="S277" s="16"/>
      <c r="T277" s="16"/>
      <c r="U277" s="16">
        <v>1</v>
      </c>
      <c r="V277" s="16">
        <v>2</v>
      </c>
      <c r="W277" s="16" t="s">
        <v>469</v>
      </c>
      <c r="X277" s="16">
        <v>400</v>
      </c>
      <c r="Y277" s="16">
        <v>0</v>
      </c>
      <c r="Z277" s="16" t="s">
        <v>151</v>
      </c>
      <c r="AA277" s="16">
        <v>500</v>
      </c>
      <c r="AB277" s="16"/>
      <c r="AC277" s="16"/>
      <c r="AD277" s="16">
        <v>0</v>
      </c>
      <c r="AE277" s="16" t="s">
        <v>151</v>
      </c>
      <c r="AF277" s="16"/>
      <c r="AG277" s="16"/>
      <c r="AH277" s="36" t="s">
        <v>152</v>
      </c>
      <c r="AI277" s="4" t="s">
        <v>153</v>
      </c>
      <c r="AJ277" s="16">
        <v>0.5</v>
      </c>
      <c r="AK277" s="16">
        <v>0.5</v>
      </c>
      <c r="AL277" s="16"/>
      <c r="AM277" s="16">
        <v>1</v>
      </c>
      <c r="AN277" s="16"/>
      <c r="AO277" s="16"/>
      <c r="AP277" s="16">
        <v>250</v>
      </c>
      <c r="AQ277" s="16">
        <v>0.5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6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="6" customFormat="1" spans="2:69">
      <c r="B278" s="19" t="s">
        <v>946</v>
      </c>
      <c r="C278" s="6" t="s">
        <v>71</v>
      </c>
      <c r="D278" s="16" t="s">
        <v>280</v>
      </c>
      <c r="E278" s="4" t="s">
        <v>947</v>
      </c>
      <c r="F278" s="19"/>
      <c r="G278" s="16" t="s">
        <v>886</v>
      </c>
      <c r="H278" s="16"/>
      <c r="I278" s="16" t="s">
        <v>283</v>
      </c>
      <c r="J278" s="16"/>
      <c r="K278" s="16"/>
      <c r="L278" s="16">
        <v>0</v>
      </c>
      <c r="M278" s="16">
        <v>0</v>
      </c>
      <c r="N278" s="16"/>
      <c r="O278" s="16" t="s">
        <v>902</v>
      </c>
      <c r="P278" s="16">
        <v>0.55</v>
      </c>
      <c r="Q278" s="16"/>
      <c r="R278" s="16"/>
      <c r="S278" s="16"/>
      <c r="T278" s="16"/>
      <c r="U278" s="16">
        <v>1</v>
      </c>
      <c r="V278" s="16">
        <v>2</v>
      </c>
      <c r="W278" s="16" t="s">
        <v>469</v>
      </c>
      <c r="X278" s="16">
        <v>400</v>
      </c>
      <c r="Y278" s="16">
        <v>0</v>
      </c>
      <c r="Z278" s="16" t="s">
        <v>151</v>
      </c>
      <c r="AA278" s="16">
        <v>500</v>
      </c>
      <c r="AB278" s="16"/>
      <c r="AC278" s="16"/>
      <c r="AD278" s="16">
        <v>0</v>
      </c>
      <c r="AE278" s="16" t="s">
        <v>151</v>
      </c>
      <c r="AF278" s="16"/>
      <c r="AG278" s="16"/>
      <c r="AH278" s="36" t="s">
        <v>152</v>
      </c>
      <c r="AI278" s="4" t="s">
        <v>153</v>
      </c>
      <c r="AJ278" s="16">
        <v>0.5</v>
      </c>
      <c r="AK278" s="16">
        <v>0.5</v>
      </c>
      <c r="AL278" s="16"/>
      <c r="AM278" s="16">
        <v>1</v>
      </c>
      <c r="AN278" s="16"/>
      <c r="AO278" s="16"/>
      <c r="AP278" s="16">
        <v>250</v>
      </c>
      <c r="AQ278" s="16">
        <v>0.5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6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="6" customFormat="1" spans="2:69">
      <c r="B279" s="19" t="s">
        <v>948</v>
      </c>
      <c r="C279" s="6" t="s">
        <v>71</v>
      </c>
      <c r="D279" s="16" t="s">
        <v>280</v>
      </c>
      <c r="E279" s="4" t="s">
        <v>949</v>
      </c>
      <c r="F279" s="19"/>
      <c r="G279" s="16" t="s">
        <v>886</v>
      </c>
      <c r="H279" s="16"/>
      <c r="I279" s="16" t="s">
        <v>283</v>
      </c>
      <c r="J279" s="16"/>
      <c r="K279" s="16"/>
      <c r="L279" s="16">
        <v>0</v>
      </c>
      <c r="M279" s="16">
        <v>0</v>
      </c>
      <c r="N279" s="16"/>
      <c r="O279" s="16" t="s">
        <v>902</v>
      </c>
      <c r="P279" s="16">
        <v>0.6</v>
      </c>
      <c r="Q279" s="16"/>
      <c r="R279" s="16"/>
      <c r="S279" s="16"/>
      <c r="T279" s="16"/>
      <c r="U279" s="16">
        <v>1</v>
      </c>
      <c r="V279" s="16">
        <v>2</v>
      </c>
      <c r="W279" s="16" t="s">
        <v>469</v>
      </c>
      <c r="X279" s="16">
        <v>400</v>
      </c>
      <c r="Y279" s="16">
        <v>0</v>
      </c>
      <c r="Z279" s="16" t="s">
        <v>151</v>
      </c>
      <c r="AA279" s="16">
        <v>500</v>
      </c>
      <c r="AB279" s="16"/>
      <c r="AC279" s="16"/>
      <c r="AD279" s="16">
        <v>0</v>
      </c>
      <c r="AE279" s="16" t="s">
        <v>151</v>
      </c>
      <c r="AF279" s="16"/>
      <c r="AG279" s="16"/>
      <c r="AH279" s="36" t="s">
        <v>152</v>
      </c>
      <c r="AI279" s="4" t="s">
        <v>153</v>
      </c>
      <c r="AJ279" s="16">
        <v>0.5</v>
      </c>
      <c r="AK279" s="16">
        <v>0.5</v>
      </c>
      <c r="AL279" s="16"/>
      <c r="AM279" s="16">
        <v>1</v>
      </c>
      <c r="AN279" s="16"/>
      <c r="AO279" s="16"/>
      <c r="AP279" s="16">
        <v>250</v>
      </c>
      <c r="AQ279" s="16">
        <v>0.5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6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="6" customFormat="1" spans="2:69">
      <c r="B280" s="19" t="s">
        <v>950</v>
      </c>
      <c r="C280" s="6" t="s">
        <v>71</v>
      </c>
      <c r="D280" s="16" t="s">
        <v>280</v>
      </c>
      <c r="E280" s="4" t="s">
        <v>951</v>
      </c>
      <c r="F280" s="19"/>
      <c r="G280" s="16" t="s">
        <v>886</v>
      </c>
      <c r="H280" s="16"/>
      <c r="I280" s="16" t="s">
        <v>283</v>
      </c>
      <c r="J280" s="16" t="s">
        <v>448</v>
      </c>
      <c r="K280" s="16"/>
      <c r="L280" s="16">
        <v>0</v>
      </c>
      <c r="M280" s="16">
        <v>0</v>
      </c>
      <c r="N280" s="16"/>
      <c r="O280" s="16" t="s">
        <v>952</v>
      </c>
      <c r="P280" s="16">
        <v>1.1</v>
      </c>
      <c r="Q280" s="16"/>
      <c r="R280" s="16"/>
      <c r="S280" s="16"/>
      <c r="T280" s="16"/>
      <c r="U280" s="16">
        <v>1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500</v>
      </c>
      <c r="AB280" s="16"/>
      <c r="AC280" s="16"/>
      <c r="AD280" s="16">
        <v>0</v>
      </c>
      <c r="AE280" s="16" t="s">
        <v>151</v>
      </c>
      <c r="AF280" s="16"/>
      <c r="AG280" s="16"/>
      <c r="AH280" s="36" t="s">
        <v>152</v>
      </c>
      <c r="AI280" s="4" t="s">
        <v>153</v>
      </c>
      <c r="AJ280" s="16">
        <v>0.5</v>
      </c>
      <c r="AK280" s="16">
        <v>0.5</v>
      </c>
      <c r="AL280" s="16"/>
      <c r="AM280" s="16">
        <v>1</v>
      </c>
      <c r="AN280" s="16"/>
      <c r="AO280" s="16"/>
      <c r="AP280" s="16">
        <v>250</v>
      </c>
      <c r="AQ280" s="16">
        <v>0.2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6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="6" customFormat="1" spans="2:72">
      <c r="B281" s="32" t="s">
        <v>953</v>
      </c>
      <c r="C281" s="6" t="s">
        <v>71</v>
      </c>
      <c r="D281" s="16" t="s">
        <v>280</v>
      </c>
      <c r="E281" t="s">
        <v>954</v>
      </c>
      <c r="F281" s="19"/>
      <c r="G281" s="16" t="s">
        <v>886</v>
      </c>
      <c r="H281" s="16"/>
      <c r="I281" s="16" t="s">
        <v>283</v>
      </c>
      <c r="J281" s="16"/>
      <c r="K281" s="16"/>
      <c r="L281" s="16">
        <v>0</v>
      </c>
      <c r="M281" s="16">
        <v>0</v>
      </c>
      <c r="N281" s="16"/>
      <c r="O281" s="16" t="s">
        <v>345</v>
      </c>
      <c r="P281" s="16">
        <v>0.5</v>
      </c>
      <c r="Q281" s="16"/>
      <c r="R281" s="16"/>
      <c r="S281" s="16"/>
      <c r="T281" s="16"/>
      <c r="U281" s="16">
        <v>0.5</v>
      </c>
      <c r="V281" s="16">
        <v>2</v>
      </c>
      <c r="W281" s="16" t="s">
        <v>150</v>
      </c>
      <c r="X281" s="16">
        <v>300</v>
      </c>
      <c r="Y281" s="16">
        <v>0</v>
      </c>
      <c r="Z281" s="16" t="s">
        <v>151</v>
      </c>
      <c r="AA281" s="16">
        <v>500</v>
      </c>
      <c r="AB281" s="16"/>
      <c r="AC281" s="16"/>
      <c r="AD281" s="16">
        <v>0</v>
      </c>
      <c r="AE281" s="16" t="s">
        <v>151</v>
      </c>
      <c r="AF281" s="16"/>
      <c r="AG281" s="16"/>
      <c r="AH281" s="36" t="s">
        <v>152</v>
      </c>
      <c r="AI281" s="4" t="s">
        <v>153</v>
      </c>
      <c r="AJ281" s="16">
        <v>0.5</v>
      </c>
      <c r="AK281" s="16">
        <v>0.5</v>
      </c>
      <c r="AL281" s="16"/>
      <c r="AM281" s="16">
        <v>1</v>
      </c>
      <c r="AN281" s="16"/>
      <c r="AO281" s="16"/>
      <c r="AP281" s="16">
        <v>250</v>
      </c>
      <c r="AQ281" s="16">
        <v>1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6">
        <v>100</v>
      </c>
      <c r="BE281" s="16"/>
      <c r="BF281" s="10" t="s">
        <v>154</v>
      </c>
      <c r="BG281" s="10">
        <v>0</v>
      </c>
      <c r="BH281" s="16">
        <v>0</v>
      </c>
      <c r="BI281" s="16">
        <v>2</v>
      </c>
      <c r="BJ281" s="16"/>
      <c r="BK281" s="16"/>
      <c r="BL281" s="16"/>
      <c r="BM281" s="16"/>
      <c r="BN281" s="16"/>
      <c r="BO281" s="16"/>
      <c r="BP281" s="16"/>
      <c r="BQ281" s="6">
        <v>0</v>
      </c>
      <c r="BT281" s="6" t="s">
        <v>579</v>
      </c>
    </row>
    <row r="282" s="6" customFormat="1" spans="2:72">
      <c r="B282" t="s">
        <v>955</v>
      </c>
      <c r="C282" s="6" t="s">
        <v>71</v>
      </c>
      <c r="D282" s="16" t="s">
        <v>280</v>
      </c>
      <c r="E282" t="s">
        <v>956</v>
      </c>
      <c r="F282" s="19"/>
      <c r="G282" s="16" t="s">
        <v>886</v>
      </c>
      <c r="H282" s="16"/>
      <c r="I282" s="16" t="s">
        <v>283</v>
      </c>
      <c r="J282" s="16" t="s">
        <v>359</v>
      </c>
      <c r="K282" s="16"/>
      <c r="L282" s="16">
        <v>0</v>
      </c>
      <c r="M282" s="16">
        <v>0</v>
      </c>
      <c r="N282" s="16"/>
      <c r="O282" s="16" t="s">
        <v>957</v>
      </c>
      <c r="P282" s="16">
        <v>1.5</v>
      </c>
      <c r="Q282" s="16"/>
      <c r="R282" s="16"/>
      <c r="S282" s="16"/>
      <c r="T282" s="16"/>
      <c r="U282" s="16">
        <v>1</v>
      </c>
      <c r="V282" s="16">
        <v>2</v>
      </c>
      <c r="W282" s="16" t="s">
        <v>150</v>
      </c>
      <c r="X282" s="16">
        <v>350</v>
      </c>
      <c r="Y282" s="16">
        <v>0</v>
      </c>
      <c r="Z282" s="16" t="s">
        <v>151</v>
      </c>
      <c r="AA282" s="16">
        <v>500</v>
      </c>
      <c r="AB282" s="16"/>
      <c r="AC282" s="16"/>
      <c r="AD282" s="16">
        <v>0</v>
      </c>
      <c r="AE282" s="16" t="s">
        <v>151</v>
      </c>
      <c r="AF282" s="16"/>
      <c r="AG282" s="16"/>
      <c r="AH282" s="36" t="s">
        <v>152</v>
      </c>
      <c r="AI282" s="4" t="s">
        <v>153</v>
      </c>
      <c r="AJ282" s="16">
        <v>0.5</v>
      </c>
      <c r="AK282" s="16">
        <v>0.5</v>
      </c>
      <c r="AL282" s="16"/>
      <c r="AM282" s="16">
        <v>1</v>
      </c>
      <c r="AN282" s="16"/>
      <c r="AO282" s="16"/>
      <c r="AP282" s="16">
        <v>250</v>
      </c>
      <c r="AQ282" s="16">
        <v>0.8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6">
        <v>100</v>
      </c>
      <c r="BE282" s="16"/>
      <c r="BF282" s="10" t="s">
        <v>154</v>
      </c>
      <c r="BG282" s="10">
        <v>0</v>
      </c>
      <c r="BH282" s="16">
        <v>0</v>
      </c>
      <c r="BI282" s="16">
        <v>5</v>
      </c>
      <c r="BJ282" s="16"/>
      <c r="BK282" s="16"/>
      <c r="BL282" s="16"/>
      <c r="BM282" s="16"/>
      <c r="BN282" s="16"/>
      <c r="BO282" s="16"/>
      <c r="BP282" s="16"/>
      <c r="BQ282" s="6">
        <v>0</v>
      </c>
      <c r="BT282" s="6" t="s">
        <v>579</v>
      </c>
    </row>
    <row r="283" s="6" customFormat="1" spans="2:72">
      <c r="B283" s="4" t="s">
        <v>958</v>
      </c>
      <c r="C283" s="6" t="s">
        <v>71</v>
      </c>
      <c r="D283" s="16" t="s">
        <v>280</v>
      </c>
      <c r="E283" s="4" t="s">
        <v>959</v>
      </c>
      <c r="F283" s="19"/>
      <c r="G283" s="16" t="s">
        <v>960</v>
      </c>
      <c r="H283" s="16"/>
      <c r="I283" s="16" t="s">
        <v>283</v>
      </c>
      <c r="J283" s="16" t="s">
        <v>448</v>
      </c>
      <c r="K283" s="16"/>
      <c r="L283" s="16">
        <v>0</v>
      </c>
      <c r="M283" s="16">
        <v>0</v>
      </c>
      <c r="N283" s="16"/>
      <c r="O283" s="4" t="s">
        <v>961</v>
      </c>
      <c r="P283" s="16">
        <v>1.5</v>
      </c>
      <c r="Q283" s="16"/>
      <c r="R283" s="16"/>
      <c r="S283" s="16"/>
      <c r="T283" s="16"/>
      <c r="U283" s="16">
        <v>1</v>
      </c>
      <c r="V283" s="16">
        <v>2</v>
      </c>
      <c r="W283" s="16" t="s">
        <v>150</v>
      </c>
      <c r="X283" s="16">
        <v>350</v>
      </c>
      <c r="Y283" s="16">
        <v>0</v>
      </c>
      <c r="Z283" s="16" t="s">
        <v>151</v>
      </c>
      <c r="AA283" s="16">
        <v>500</v>
      </c>
      <c r="AB283" s="16"/>
      <c r="AC283" s="16"/>
      <c r="AD283" s="16">
        <v>0</v>
      </c>
      <c r="AE283" s="16" t="s">
        <v>151</v>
      </c>
      <c r="AF283" s="16"/>
      <c r="AG283" s="16"/>
      <c r="AH283" s="36" t="s">
        <v>152</v>
      </c>
      <c r="AI283" s="4" t="s">
        <v>153</v>
      </c>
      <c r="AJ283" s="16">
        <v>0.5</v>
      </c>
      <c r="AK283" s="16">
        <v>0.5</v>
      </c>
      <c r="AL283" s="16"/>
      <c r="AM283" s="16">
        <v>1</v>
      </c>
      <c r="AN283" s="16"/>
      <c r="AO283" s="16"/>
      <c r="AP283" s="16">
        <v>250</v>
      </c>
      <c r="AQ283" s="16">
        <v>0.8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6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  <c r="BT283" s="6" t="s">
        <v>579</v>
      </c>
    </row>
    <row r="284" s="5" customFormat="1" spans="2:73">
      <c r="B284" s="10"/>
      <c r="D284" s="10"/>
      <c r="E284" s="33"/>
      <c r="F284" s="33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  <c r="AT284" s="10"/>
      <c r="AU284" s="10"/>
      <c r="AV284" s="10"/>
      <c r="AW284" s="10"/>
      <c r="AX284" s="10"/>
      <c r="AY284" s="10"/>
      <c r="AZ284" s="10"/>
      <c r="BA284" s="10"/>
      <c r="BB284" s="10"/>
      <c r="BC284" s="10"/>
      <c r="BD284" s="10"/>
      <c r="BE284" s="10"/>
      <c r="BF284" s="10"/>
      <c r="BG284" s="10"/>
      <c r="BH284" s="10"/>
      <c r="BI284" s="10"/>
      <c r="BJ284" s="34"/>
      <c r="BK284" s="34"/>
      <c r="BL284" s="34"/>
      <c r="BM284" s="34"/>
      <c r="BN284" s="34"/>
      <c r="BO284" s="34"/>
      <c r="BP284" s="35"/>
      <c r="BQ284" s="6"/>
      <c r="BR284" s="6"/>
      <c r="BS284" s="6"/>
      <c r="BT284" s="6"/>
      <c r="BU284" s="6"/>
    </row>
    <row r="285" s="5" customFormat="1" spans="2:73">
      <c r="B285" s="10"/>
      <c r="D285" s="10"/>
      <c r="E285" s="33"/>
      <c r="F285" s="33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  <c r="AT285" s="10"/>
      <c r="AU285" s="10"/>
      <c r="AV285" s="10"/>
      <c r="AW285" s="10"/>
      <c r="AX285" s="10"/>
      <c r="AY285" s="10"/>
      <c r="AZ285" s="10"/>
      <c r="BA285" s="10"/>
      <c r="BB285" s="10"/>
      <c r="BC285" s="10"/>
      <c r="BD285" s="10"/>
      <c r="BE285" s="10"/>
      <c r="BF285" s="10"/>
      <c r="BG285" s="10"/>
      <c r="BH285" s="10"/>
      <c r="BI285" s="10"/>
      <c r="BJ285" s="34"/>
      <c r="BK285" s="34"/>
      <c r="BL285" s="34"/>
      <c r="BM285" s="34"/>
      <c r="BN285" s="34"/>
      <c r="BO285" s="34"/>
      <c r="BP285" s="35"/>
      <c r="BQ285" s="6"/>
      <c r="BR285" s="6"/>
      <c r="BS285" s="6"/>
      <c r="BT285" s="6"/>
      <c r="BU285" s="6"/>
    </row>
    <row r="286" s="5" customFormat="1" spans="2:73">
      <c r="B286" s="10"/>
      <c r="D286" s="10"/>
      <c r="E286" s="33"/>
      <c r="F286" s="33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  <c r="AT286" s="10"/>
      <c r="AU286" s="10"/>
      <c r="AV286" s="10"/>
      <c r="AW286" s="10"/>
      <c r="AX286" s="10"/>
      <c r="AY286" s="10"/>
      <c r="AZ286" s="10"/>
      <c r="BA286" s="10"/>
      <c r="BB286" s="10"/>
      <c r="BC286" s="10"/>
      <c r="BD286" s="10"/>
      <c r="BE286" s="10"/>
      <c r="BF286" s="10"/>
      <c r="BG286" s="10"/>
      <c r="BH286" s="10"/>
      <c r="BI286" s="10"/>
      <c r="BJ286" s="34"/>
      <c r="BK286" s="34"/>
      <c r="BL286" s="34"/>
      <c r="BM286" s="34"/>
      <c r="BN286" s="34"/>
      <c r="BO286" s="34"/>
      <c r="BP286" s="35"/>
      <c r="BQ286" s="6"/>
      <c r="BR286" s="6"/>
      <c r="BS286" s="6"/>
      <c r="BT286" s="6"/>
      <c r="BU286" s="6"/>
    </row>
    <row r="287" s="5" customFormat="1" spans="2:73">
      <c r="B287" s="10"/>
      <c r="D287" s="10"/>
      <c r="E287" s="33"/>
      <c r="F287" s="33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  <c r="AT287" s="10"/>
      <c r="AU287" s="10"/>
      <c r="AV287" s="10"/>
      <c r="AW287" s="10"/>
      <c r="AX287" s="10"/>
      <c r="AY287" s="10"/>
      <c r="AZ287" s="10"/>
      <c r="BA287" s="10"/>
      <c r="BB287" s="10"/>
      <c r="BC287" s="10"/>
      <c r="BD287" s="10"/>
      <c r="BE287" s="10"/>
      <c r="BF287" s="10"/>
      <c r="BG287" s="10"/>
      <c r="BH287" s="10"/>
      <c r="BI287" s="10"/>
      <c r="BJ287" s="34"/>
      <c r="BK287" s="34"/>
      <c r="BL287" s="34"/>
      <c r="BM287" s="34"/>
      <c r="BN287" s="34"/>
      <c r="BO287" s="34"/>
      <c r="BP287" s="35"/>
      <c r="BQ287" s="6"/>
      <c r="BR287" s="6"/>
      <c r="BS287" s="6"/>
      <c r="BT287" s="6"/>
      <c r="BU287" s="6"/>
    </row>
    <row r="288" s="5" customFormat="1" spans="2:73">
      <c r="B288" s="10"/>
      <c r="D288" s="10"/>
      <c r="E288" s="33"/>
      <c r="F288" s="33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  <c r="AT288" s="10"/>
      <c r="AU288" s="10"/>
      <c r="AV288" s="10"/>
      <c r="AW288" s="10"/>
      <c r="AX288" s="10"/>
      <c r="AY288" s="10"/>
      <c r="AZ288" s="10"/>
      <c r="BA288" s="10"/>
      <c r="BB288" s="10"/>
      <c r="BC288" s="10"/>
      <c r="BD288" s="10"/>
      <c r="BE288" s="10"/>
      <c r="BF288" s="10"/>
      <c r="BG288" s="10"/>
      <c r="BH288" s="10"/>
      <c r="BI288" s="10"/>
      <c r="BJ288" s="34"/>
      <c r="BK288" s="34"/>
      <c r="BL288" s="34"/>
      <c r="BM288" s="34"/>
      <c r="BN288" s="34"/>
      <c r="BO288" s="34"/>
      <c r="BP288" s="35"/>
      <c r="BQ288" s="6"/>
      <c r="BR288" s="6"/>
      <c r="BS288" s="6"/>
      <c r="BT288" s="6"/>
      <c r="BU288" s="6"/>
    </row>
    <row r="289" s="5" customFormat="1" spans="2:73">
      <c r="B289" s="10"/>
      <c r="D289" s="10"/>
      <c r="E289" s="33"/>
      <c r="F289" s="33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  <c r="AT289" s="10"/>
      <c r="AU289" s="10"/>
      <c r="AV289" s="10"/>
      <c r="AW289" s="10"/>
      <c r="AX289" s="10"/>
      <c r="AY289" s="10"/>
      <c r="AZ289" s="10"/>
      <c r="BA289" s="10"/>
      <c r="BB289" s="10"/>
      <c r="BC289" s="10"/>
      <c r="BD289" s="10"/>
      <c r="BE289" s="10"/>
      <c r="BF289" s="10"/>
      <c r="BG289" s="10"/>
      <c r="BH289" s="10"/>
      <c r="BI289" s="10"/>
      <c r="BJ289" s="34"/>
      <c r="BK289" s="34"/>
      <c r="BL289" s="34"/>
      <c r="BM289" s="34"/>
      <c r="BN289" s="34"/>
      <c r="BO289" s="34"/>
      <c r="BP289" s="35"/>
      <c r="BQ289" s="6"/>
      <c r="BR289" s="6"/>
      <c r="BS289" s="6"/>
      <c r="BT289" s="6"/>
      <c r="BU289" s="6"/>
    </row>
    <row r="290" s="5" customFormat="1" spans="2:73">
      <c r="B290" s="10"/>
      <c r="D290" s="10"/>
      <c r="E290" s="33"/>
      <c r="F290" s="33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  <c r="AT290" s="10"/>
      <c r="AU290" s="10"/>
      <c r="AV290" s="10"/>
      <c r="AW290" s="10"/>
      <c r="AX290" s="10"/>
      <c r="AY290" s="10"/>
      <c r="AZ290" s="10"/>
      <c r="BA290" s="10"/>
      <c r="BB290" s="10"/>
      <c r="BC290" s="10"/>
      <c r="BD290" s="10"/>
      <c r="BE290" s="10"/>
      <c r="BF290" s="10"/>
      <c r="BG290" s="10"/>
      <c r="BH290" s="10"/>
      <c r="BI290" s="10"/>
      <c r="BJ290" s="34"/>
      <c r="BK290" s="34"/>
      <c r="BL290" s="34"/>
      <c r="BM290" s="34"/>
      <c r="BN290" s="34"/>
      <c r="BO290" s="34"/>
      <c r="BP290" s="35"/>
      <c r="BQ290" s="6"/>
      <c r="BR290" s="6"/>
      <c r="BS290" s="6"/>
      <c r="BT290" s="6"/>
      <c r="BU290" s="6"/>
    </row>
    <row r="291" s="5" customFormat="1" spans="2:73">
      <c r="B291" s="10"/>
      <c r="D291" s="10"/>
      <c r="E291" s="33"/>
      <c r="F291" s="33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  <c r="AT291" s="10"/>
      <c r="AU291" s="10"/>
      <c r="AV291" s="10"/>
      <c r="AW291" s="10"/>
      <c r="AX291" s="10"/>
      <c r="AY291" s="10"/>
      <c r="AZ291" s="10"/>
      <c r="BA291" s="10"/>
      <c r="BB291" s="10"/>
      <c r="BC291" s="10"/>
      <c r="BD291" s="10"/>
      <c r="BE291" s="10"/>
      <c r="BF291" s="10"/>
      <c r="BG291" s="10"/>
      <c r="BH291" s="10"/>
      <c r="BI291" s="10"/>
      <c r="BJ291" s="34"/>
      <c r="BK291" s="34"/>
      <c r="BL291" s="34"/>
      <c r="BM291" s="34"/>
      <c r="BN291" s="34"/>
      <c r="BO291" s="34"/>
      <c r="BP291" s="35"/>
      <c r="BQ291" s="6"/>
      <c r="BR291" s="6"/>
      <c r="BS291" s="6"/>
      <c r="BT291" s="6"/>
      <c r="BU291" s="6"/>
    </row>
    <row r="292" s="5" customFormat="1" spans="2:73">
      <c r="B292" s="10"/>
      <c r="D292" s="10"/>
      <c r="E292" s="33"/>
      <c r="F292" s="33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  <c r="AT292" s="10"/>
      <c r="AU292" s="10"/>
      <c r="AV292" s="10"/>
      <c r="AW292" s="10"/>
      <c r="AX292" s="10"/>
      <c r="AY292" s="10"/>
      <c r="AZ292" s="10"/>
      <c r="BA292" s="10"/>
      <c r="BB292" s="10"/>
      <c r="BC292" s="10"/>
      <c r="BD292" s="10"/>
      <c r="BE292" s="10"/>
      <c r="BF292" s="10"/>
      <c r="BG292" s="10"/>
      <c r="BH292" s="10"/>
      <c r="BI292" s="10"/>
      <c r="BJ292" s="34"/>
      <c r="BK292" s="34"/>
      <c r="BL292" s="34"/>
      <c r="BM292" s="34"/>
      <c r="BN292" s="34"/>
      <c r="BO292" s="34"/>
      <c r="BP292" s="35"/>
      <c r="BQ292" s="6"/>
      <c r="BR292" s="6"/>
      <c r="BS292" s="6"/>
      <c r="BT292" s="6"/>
      <c r="BU292" s="6"/>
    </row>
    <row r="293" s="5" customFormat="1" spans="2:73">
      <c r="B293" s="10"/>
      <c r="D293" s="10"/>
      <c r="E293" s="33"/>
      <c r="F293" s="33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  <c r="AT293" s="10"/>
      <c r="AU293" s="10"/>
      <c r="AV293" s="10"/>
      <c r="AW293" s="10"/>
      <c r="AX293" s="10"/>
      <c r="AY293" s="10"/>
      <c r="AZ293" s="10"/>
      <c r="BA293" s="10"/>
      <c r="BB293" s="10"/>
      <c r="BC293" s="10"/>
      <c r="BD293" s="10"/>
      <c r="BE293" s="10"/>
      <c r="BF293" s="10"/>
      <c r="BG293" s="10"/>
      <c r="BH293" s="10"/>
      <c r="BI293" s="10"/>
      <c r="BJ293" s="34"/>
      <c r="BK293" s="34"/>
      <c r="BL293" s="34"/>
      <c r="BM293" s="34"/>
      <c r="BN293" s="34"/>
      <c r="BO293" s="34"/>
      <c r="BP293" s="35"/>
      <c r="BQ293" s="6"/>
      <c r="BR293" s="6"/>
      <c r="BS293" s="6"/>
      <c r="BT293" s="6"/>
      <c r="BU293" s="6"/>
    </row>
    <row r="294" s="5" customFormat="1" spans="2:73">
      <c r="B294" s="10"/>
      <c r="D294" s="10"/>
      <c r="E294" s="33"/>
      <c r="F294" s="33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  <c r="AT294" s="10"/>
      <c r="AU294" s="10"/>
      <c r="AV294" s="10"/>
      <c r="AW294" s="10"/>
      <c r="AX294" s="10"/>
      <c r="AY294" s="10"/>
      <c r="AZ294" s="10"/>
      <c r="BA294" s="10"/>
      <c r="BB294" s="10"/>
      <c r="BC294" s="10"/>
      <c r="BD294" s="10"/>
      <c r="BE294" s="10"/>
      <c r="BF294" s="10"/>
      <c r="BG294" s="10"/>
      <c r="BH294" s="10"/>
      <c r="BI294" s="10"/>
      <c r="BJ294" s="34"/>
      <c r="BK294" s="34"/>
      <c r="BL294" s="34"/>
      <c r="BM294" s="34"/>
      <c r="BN294" s="34"/>
      <c r="BO294" s="34"/>
      <c r="BP294" s="35"/>
      <c r="BQ294" s="6"/>
      <c r="BR294" s="6"/>
      <c r="BS294" s="6"/>
      <c r="BT294" s="6"/>
      <c r="BU294" s="6"/>
    </row>
    <row r="295" s="5" customFormat="1" spans="2:73">
      <c r="B295" s="10"/>
      <c r="D295" s="10"/>
      <c r="E295" s="33"/>
      <c r="F295" s="33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  <c r="AT295" s="10"/>
      <c r="AU295" s="10"/>
      <c r="AV295" s="10"/>
      <c r="AW295" s="10"/>
      <c r="AX295" s="10"/>
      <c r="AY295" s="10"/>
      <c r="AZ295" s="10"/>
      <c r="BA295" s="10"/>
      <c r="BB295" s="10"/>
      <c r="BC295" s="10"/>
      <c r="BD295" s="10"/>
      <c r="BE295" s="10"/>
      <c r="BF295" s="10"/>
      <c r="BG295" s="10"/>
      <c r="BH295" s="10"/>
      <c r="BI295" s="10"/>
      <c r="BJ295" s="34"/>
      <c r="BK295" s="34"/>
      <c r="BL295" s="34"/>
      <c r="BM295" s="34"/>
      <c r="BN295" s="34"/>
      <c r="BO295" s="34"/>
      <c r="BP295" s="35"/>
      <c r="BQ295" s="6"/>
      <c r="BR295" s="6"/>
      <c r="BS295" s="6"/>
      <c r="BT295" s="6"/>
      <c r="BU295" s="6"/>
    </row>
    <row r="296" s="5" customFormat="1" spans="2:73">
      <c r="B296" s="10"/>
      <c r="D296" s="10"/>
      <c r="E296" s="33"/>
      <c r="F296" s="33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  <c r="AY296" s="10"/>
      <c r="AZ296" s="10"/>
      <c r="BA296" s="10"/>
      <c r="BB296" s="10"/>
      <c r="BC296" s="10"/>
      <c r="BD296" s="10"/>
      <c r="BE296" s="10"/>
      <c r="BF296" s="10"/>
      <c r="BG296" s="10"/>
      <c r="BH296" s="10"/>
      <c r="BI296" s="10"/>
      <c r="BJ296" s="34"/>
      <c r="BK296" s="34"/>
      <c r="BL296" s="34"/>
      <c r="BM296" s="34"/>
      <c r="BN296" s="34"/>
      <c r="BO296" s="34"/>
      <c r="BP296" s="35"/>
      <c r="BQ296" s="6"/>
      <c r="BR296" s="6"/>
      <c r="BS296" s="6"/>
      <c r="BT296" s="6"/>
      <c r="BU296" s="6"/>
    </row>
    <row r="297" s="5" customFormat="1" spans="2:73">
      <c r="B297" s="10"/>
      <c r="D297" s="10"/>
      <c r="E297" s="33"/>
      <c r="F297" s="33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  <c r="AY297" s="10"/>
      <c r="AZ297" s="10"/>
      <c r="BA297" s="10"/>
      <c r="BB297" s="10"/>
      <c r="BC297" s="10"/>
      <c r="BD297" s="10"/>
      <c r="BE297" s="10"/>
      <c r="BF297" s="10"/>
      <c r="BG297" s="10"/>
      <c r="BH297" s="10"/>
      <c r="BI297" s="10"/>
      <c r="BJ297" s="34"/>
      <c r="BK297" s="34"/>
      <c r="BL297" s="34"/>
      <c r="BM297" s="34"/>
      <c r="BN297" s="34"/>
      <c r="BO297" s="34"/>
      <c r="BP297" s="35"/>
      <c r="BQ297" s="6"/>
      <c r="BR297" s="6"/>
      <c r="BS297" s="6"/>
      <c r="BT297" s="6"/>
      <c r="BU297" s="6"/>
    </row>
    <row r="298" s="5" customFormat="1" spans="2:73">
      <c r="B298" s="10"/>
      <c r="D298" s="10"/>
      <c r="E298" s="33"/>
      <c r="F298" s="33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  <c r="AY298" s="10"/>
      <c r="AZ298" s="10"/>
      <c r="BA298" s="10"/>
      <c r="BB298" s="10"/>
      <c r="BC298" s="10"/>
      <c r="BD298" s="10"/>
      <c r="BE298" s="10"/>
      <c r="BF298" s="10"/>
      <c r="BG298" s="10"/>
      <c r="BH298" s="10"/>
      <c r="BI298" s="10"/>
      <c r="BJ298" s="34"/>
      <c r="BK298" s="34"/>
      <c r="BL298" s="34"/>
      <c r="BM298" s="34"/>
      <c r="BN298" s="34"/>
      <c r="BO298" s="34"/>
      <c r="BP298" s="35"/>
      <c r="BQ298" s="6"/>
      <c r="BR298" s="6"/>
      <c r="BS298" s="6"/>
      <c r="BT298" s="6"/>
      <c r="BU298" s="6"/>
    </row>
    <row r="299" s="5" customFormat="1" spans="2:73">
      <c r="B299" s="10"/>
      <c r="D299" s="10"/>
      <c r="E299" s="33"/>
      <c r="F299" s="33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  <c r="BB299" s="10"/>
      <c r="BC299" s="10"/>
      <c r="BD299" s="10"/>
      <c r="BE299" s="10"/>
      <c r="BF299" s="10"/>
      <c r="BG299" s="10"/>
      <c r="BH299" s="10"/>
      <c r="BI299" s="10"/>
      <c r="BJ299" s="34"/>
      <c r="BK299" s="34"/>
      <c r="BL299" s="34"/>
      <c r="BM299" s="34"/>
      <c r="BN299" s="34"/>
      <c r="BO299" s="34"/>
      <c r="BP299" s="35"/>
      <c r="BQ299" s="6"/>
      <c r="BR299" s="6"/>
      <c r="BS299" s="6"/>
      <c r="BT299" s="6"/>
      <c r="BU299" s="6"/>
    </row>
    <row r="300" s="5" customFormat="1" spans="2:73">
      <c r="B300" s="10"/>
      <c r="D300" s="10"/>
      <c r="E300" s="33"/>
      <c r="F300" s="33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  <c r="AY300" s="10"/>
      <c r="AZ300" s="10"/>
      <c r="BA300" s="10"/>
      <c r="BB300" s="10"/>
      <c r="BC300" s="10"/>
      <c r="BD300" s="10"/>
      <c r="BE300" s="10"/>
      <c r="BF300" s="10"/>
      <c r="BG300" s="10"/>
      <c r="BH300" s="10"/>
      <c r="BI300" s="10"/>
      <c r="BJ300" s="34"/>
      <c r="BK300" s="34"/>
      <c r="BL300" s="34"/>
      <c r="BM300" s="34"/>
      <c r="BN300" s="34"/>
      <c r="BO300" s="34"/>
      <c r="BP300" s="35"/>
      <c r="BQ300" s="6"/>
      <c r="BR300" s="6"/>
      <c r="BS300" s="6"/>
      <c r="BT300" s="6"/>
      <c r="BU300" s="6"/>
    </row>
    <row r="301" s="5" customFormat="1" spans="2:73">
      <c r="B301" s="10"/>
      <c r="D301" s="10"/>
      <c r="E301" s="33"/>
      <c r="F301" s="33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  <c r="AY301" s="10"/>
      <c r="AZ301" s="10"/>
      <c r="BA301" s="10"/>
      <c r="BB301" s="10"/>
      <c r="BC301" s="10"/>
      <c r="BD301" s="10"/>
      <c r="BE301" s="10"/>
      <c r="BF301" s="10"/>
      <c r="BG301" s="10"/>
      <c r="BH301" s="10"/>
      <c r="BI301" s="10"/>
      <c r="BJ301" s="34"/>
      <c r="BK301" s="34"/>
      <c r="BL301" s="34"/>
      <c r="BM301" s="34"/>
      <c r="BN301" s="34"/>
      <c r="BO301" s="34"/>
      <c r="BP301" s="35"/>
      <c r="BQ301" s="6"/>
      <c r="BR301" s="6"/>
      <c r="BS301" s="6"/>
      <c r="BT301" s="6"/>
      <c r="BU301" s="6"/>
    </row>
  </sheetData>
  <autoFilter ref="A1:BU283">
    <extLst/>
  </autoFilter>
  <sortState ref="A2:BT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1264920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962</v>
      </c>
      <c r="B1" s="4" t="s">
        <v>963</v>
      </c>
      <c r="C1" s="4" t="s">
        <v>964</v>
      </c>
      <c r="D1" s="4" t="s">
        <v>965</v>
      </c>
      <c r="E1" s="4" t="s">
        <v>966</v>
      </c>
    </row>
    <row r="2" spans="1:5">
      <c r="A2">
        <v>1</v>
      </c>
      <c r="B2" s="2" t="s">
        <v>967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968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969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970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971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972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973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974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975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976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977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978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979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980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981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982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983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984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985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986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987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988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989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990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991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992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993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994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995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996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997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998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999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1000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1001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1002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1003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1004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1005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1006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1007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1008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1009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1010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1011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1012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1013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1014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1015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1016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1017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1018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1019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1020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1021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1022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1023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1024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1025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1026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1027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1028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1029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1030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1031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1032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1033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1034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1035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1036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1037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1038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1039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1040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1041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1042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1043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1044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1045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1046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1047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1048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1049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1050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1051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1052</v>
      </c>
      <c r="C2" s="1" t="s">
        <v>71</v>
      </c>
      <c r="D2" s="3" t="s">
        <v>280</v>
      </c>
      <c r="E2" s="2" t="s">
        <v>1053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1054</v>
      </c>
      <c r="N2" s="2" t="s">
        <v>1055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1056</v>
      </c>
      <c r="Z2" s="3">
        <v>500</v>
      </c>
      <c r="AA2" s="3"/>
      <c r="AB2" s="3">
        <v>0</v>
      </c>
      <c r="AC2" s="3" t="s">
        <v>152</v>
      </c>
      <c r="AD2" s="3"/>
      <c r="AE2" s="3"/>
      <c r="AF2" s="39" t="s">
        <v>152</v>
      </c>
      <c r="AG2" s="3" t="s">
        <v>1057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1058</v>
      </c>
      <c r="C3" s="1" t="s">
        <v>71</v>
      </c>
      <c r="D3" s="3" t="s">
        <v>280</v>
      </c>
      <c r="E3" s="2" t="s">
        <v>1059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1060</v>
      </c>
      <c r="N3" s="2" t="s">
        <v>1061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1056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0" t="s">
        <v>165</v>
      </c>
      <c r="AG3" s="3" t="s">
        <v>1057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2020-02-10T05:07:10Z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