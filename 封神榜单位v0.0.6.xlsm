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000" windowHeight="855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P000!$A$1:$BU$275</definedName>
  </definedNames>
  <calcPr calcId="144525"/>
</workbook>
</file>

<file path=xl/sharedStrings.xml><?xml version="1.0" encoding="utf-8"?>
<sst xmlns="http://schemas.openxmlformats.org/spreadsheetml/2006/main" count="4174" uniqueCount="1046">
  <si>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</si>
  <si>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</si>
  <si>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</si>
  <si>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</si>
  <si>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</si>
  <si>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</si>
  <si>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</si>
  <si>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</si>
  <si>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</si>
  <si>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</si>
  <si>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</si>
  <si>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</si>
  <si>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</si>
  <si>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</si>
  <si>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</si>
  <si>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</si>
  <si>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</si>
  <si>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</si>
  <si>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</si>
  <si>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</si>
  <si>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</si>
  <si>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</si>
  <si>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</si>
  <si>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</si>
  <si>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</si>
  <si>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</si>
  <si>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</si>
  <si>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</si>
  <si>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</si>
  <si>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</si>
  <si>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</si>
  <si>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</si>
  <si>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</si>
  <si>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</si>
  <si>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</si>
  <si>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</si>
  <si>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</si>
  <si>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</si>
  <si>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</si>
  <si>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</si>
  <si>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</si>
  <si>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</si>
  <si>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</si>
  <si>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</si>
  <si>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</si>
  <si>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</si>
  <si>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</si>
  <si>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</si>
  <si>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</si>
  <si>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</si>
  <si>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</si>
  <si>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</si>
  <si>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</si>
  <si>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</si>
  <si>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</si>
  <si>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</si>
  <si>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</si>
  <si>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</si>
  <si>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</si>
  <si>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</si>
  <si>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</si>
  <si>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</si>
  <si>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</si>
  <si>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</si>
  <si>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</si>
  <si>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</si>
  <si>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</si>
  <si>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</si>
  <si>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</si>
  <si>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</si>
  <si>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</si>
  <si>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</si>
  <si>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</si>
  <si>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</si>
  <si>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</si>
  <si>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</si>
  <si>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</si>
  <si>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</si>
  <si>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</si>
  <si>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</si>
  <si>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</si>
  <si>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</si>
  <si>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</si>
  <si>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</si>
  <si>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</si>
  <si>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</si>
  <si>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</si>
  <si>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</si>
  <si>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</si>
  <si>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</si>
  <si>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</si>
  <si>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</si>
  <si>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</si>
  <si>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</si>
  <si>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</si>
  <si>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</si>
  <si>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</si>
  <si>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</si>
  <si>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</si>
  <si>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</si>
  <si>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</si>
  <si>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</si>
  <si>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</si>
  <si>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</si>
  <si>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</si>
  <si>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</si>
  <si>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</si>
  <si>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</si>
  <si>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</si>
  <si>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</si>
  <si>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</si>
  <si>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</si>
  <si>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</si>
  <si>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</si>
  <si>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</si>
  <si>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</si>
  <si>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</si>
  <si>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</si>
  <si>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</si>
  <si>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</si>
  <si>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</si>
  <si>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</si>
  <si>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</si>
  <si>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</si>
  <si>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</si>
  <si>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</si>
  <si>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</si>
  <si>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</si>
  <si>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</si>
  <si>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</si>
  <si>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</si>
  <si>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</si>
  <si>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</si>
  <si>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</si>
  <si>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</si>
  <si>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</si>
  <si>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</si>
  <si>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</si>
  <si>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</si>
  <si>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</si>
  <si>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</si>
  <si>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</si>
  <si>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</si>
  <si>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</si>
  <si>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</si>
  <si>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</si>
  <si>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</si>
  <si>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</si>
  <si>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</si>
  <si>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</si>
  <si>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</si>
  <si>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</si>
  <si>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</si>
  <si>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</si>
  <si>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</si>
  <si>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</si>
  <si>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</si>
  <si>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</si>
  <si>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</si>
  <si>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</si>
  <si>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</si>
  <si>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</si>
  <si>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</si>
  <si>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</si>
  <si>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</si>
  <si>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</si>
  <si>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</si>
  <si>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</si>
  <si>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</si>
  <si>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</si>
  <si>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</si>
  <si>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</si>
  <si>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</si>
  <si>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</si>
  <si>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</si>
  <si>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</si>
  <si>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</si>
  <si>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</si>
  <si>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</si>
  <si>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</si>
  <si>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</si>
  <si>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</si>
  <si>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</si>
  <si>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</si>
  <si>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</si>
  <si>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</si>
  <si>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</si>
  <si>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</si>
  <si>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</si>
  <si>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</si>
  <si>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</si>
  <si>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</si>
  <si>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</si>
  <si>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</si>
  <si>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</si>
  <si>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</si>
  <si>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</si>
  <si>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</si>
  <si>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</si>
  <si>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</si>
  <si>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</si>
  <si>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</si>
  <si>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</si>
  <si>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</si>
  <si>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</si>
  <si>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</si>
  <si>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</si>
  <si>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</si>
  <si>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</si>
  <si>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</si>
  <si>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</si>
  <si>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</si>
  <si>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</si>
  <si>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</si>
  <si>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</si>
  <si>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</si>
  <si>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</si>
  <si>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</si>
  <si>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</si>
  <si>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</si>
  <si>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</si>
  <si>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</si>
  <si>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</si>
  <si>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</si>
  <si>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</si>
  <si>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</si>
  <si>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</si>
  <si>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</si>
  <si>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</si>
  <si>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</si>
  <si>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</si>
  <si>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</si>
  <si>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</si>
  <si>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</si>
  <si>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</si>
  <si>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</si>
  <si>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</si>
  <si>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</si>
  <si>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</si>
  <si>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</si>
  <si>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</si>
  <si>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</si>
  <si>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</si>
  <si>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</si>
  <si>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</si>
  <si>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</si>
  <si>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</si>
  <si>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</si>
  <si>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</si>
  <si>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</si>
  <si>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</si>
  <si>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</si>
  <si>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</si>
  <si>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</si>
  <si>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</si>
  <si>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</si>
  <si>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</si>
  <si>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</si>
  <si>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</si>
  <si>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</si>
  <si>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</si>
  <si>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</si>
  <si>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</si>
  <si>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</si>
  <si>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</si>
  <si>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</si>
  <si>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</si>
  <si>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</si>
  <si>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</si>
  <si>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</si>
  <si>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</si>
  <si>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</si>
  <si>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</si>
  <si>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</si>
  <si>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</si>
  <si>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</si>
  <si>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</si>
  <si>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</si>
  <si>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</si>
  <si>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</si>
  <si>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</si>
  <si>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</si>
  <si>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</si>
  <si>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</si>
  <si>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</si>
  <si>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</si>
  <si>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</si>
  <si>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</si>
  <si>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</si>
  <si>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</si>
  <si>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</si>
  <si>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</si>
  <si>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</si>
  <si>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</si>
  <si>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</si>
  <si>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</si>
  <si>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</si>
  <si>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</si>
  <si>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</si>
  <si>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</si>
  <si>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</si>
  <si>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</si>
  <si>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</si>
  <si>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</si>
  <si>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</si>
  <si>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</si>
  <si>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</si>
  <si>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</si>
  <si>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</si>
  <si>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</si>
  <si>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</si>
  <si>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</si>
  <si>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</si>
  <si>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</si>
  <si>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</si>
  <si>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</si>
  <si>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</si>
  <si>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</si>
  <si>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</si>
  <si>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</si>
  <si>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</si>
  <si>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</si>
  <si>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</si>
  <si>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</si>
  <si>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</si>
  <si>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</si>
  <si>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</si>
  <si>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</si>
  <si>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</si>
  <si>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</si>
  <si>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</si>
  <si>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</si>
  <si>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</si>
  <si>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</si>
  <si>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</si>
  <si>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</si>
  <si>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</si>
  <si>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</si>
  <si>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</si>
  <si>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</si>
  <si>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</si>
  <si>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</si>
  <si>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</si>
  <si>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</si>
  <si>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</si>
  <si>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</si>
  <si>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</si>
  <si>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</si>
  <si>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</si>
  <si>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</si>
  <si>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</si>
  <si>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</si>
  <si>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</si>
  <si>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</si>
  <si>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</si>
  <si>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</si>
  <si>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</si>
  <si>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</si>
  <si>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</si>
  <si>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</si>
  <si>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</si>
  <si>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</si>
  <si>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</si>
  <si>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</si>
  <si>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</si>
  <si>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</si>
  <si>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</si>
  <si>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</si>
  <si>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</si>
  <si>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</si>
  <si>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</si>
  <si>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</si>
  <si>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</si>
  <si>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</si>
  <si>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</si>
  <si>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</si>
  <si>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</si>
  <si>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</si>
  <si>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</si>
  <si>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</si>
  <si>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</si>
  <si>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</si>
  <si>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</si>
  <si>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</si>
  <si>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</si>
  <si>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</si>
  <si>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</si>
  <si>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</si>
  <si>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</si>
  <si>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</si>
  <si>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</si>
  <si>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</si>
  <si>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</si>
  <si>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</si>
  <si>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</si>
  <si>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</si>
  <si>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</si>
  <si>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</si>
  <si>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</si>
  <si>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</si>
  <si>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</si>
  <si>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</si>
  <si>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</si>
  <si>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</si>
  <si>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</si>
  <si>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</si>
  <si>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</si>
  <si>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</si>
  <si>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</si>
  <si>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</si>
  <si>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</si>
  <si>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</si>
  <si>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</si>
  <si>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</si>
  <si>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</si>
  <si>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</si>
  <si>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</si>
  <si>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</si>
  <si>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</si>
  <si>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</si>
  <si>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</si>
  <si>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</si>
  <si>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</si>
  <si>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</si>
  <si>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</si>
  <si>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</si>
  <si>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</si>
  <si>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</si>
  <si>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</si>
  <si>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</si>
  <si>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</si>
  <si>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</si>
  <si>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</si>
  <si>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</si>
  <si>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</si>
  <si>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</si>
  <si>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</si>
  <si>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</si>
  <si>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</si>
  <si>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</si>
  <si>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</si>
  <si>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</si>
  <si>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</si>
  <si>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</si>
  <si>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</si>
  <si>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</si>
  <si>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</si>
  <si>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</si>
  <si>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</si>
  <si>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</si>
  <si>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</si>
  <si>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</si>
  <si>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</si>
  <si>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</si>
  <si>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</si>
  <si>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</si>
  <si>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</si>
  <si>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</si>
  <si>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</si>
  <si>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</si>
  <si>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</si>
  <si>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</si>
  <si>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</si>
  <si>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</si>
  <si>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</si>
  <si>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</si>
  <si>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</si>
  <si>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</si>
  <si>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</si>
  <si>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</si>
  <si>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</si>
  <si>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</si>
  <si>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</si>
  <si>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</si>
  <si>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</si>
  <si>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</si>
  <si>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</si>
  <si>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</si>
  <si>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</si>
  <si>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</si>
  <si>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</si>
  <si>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</si>
  <si>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</si>
  <si>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</si>
  <si>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</si>
  <si>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</si>
  <si>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</si>
  <si>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</si>
  <si>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</si>
  <si>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</si>
  <si>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</si>
  <si>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</si>
  <si>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</si>
  <si>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</si>
  <si>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</si>
  <si>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</si>
  <si>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</si>
  <si>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</si>
  <si>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</si>
  <si>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</si>
  <si>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</si>
  <si>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</si>
  <si>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</si>
  <si>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</si>
  <si>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</si>
  <si>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</si>
  <si>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</si>
  <si>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</si>
  <si>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</si>
  <si>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</si>
  <si>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</si>
  <si>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</si>
  <si>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</si>
  <si>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</si>
  <si>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</si>
  <si>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</si>
  <si>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</si>
  <si>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</si>
  <si>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</si>
  <si>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</si>
  <si>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</si>
  <si>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</si>
  <si>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</si>
  <si>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</si>
  <si>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</si>
  <si>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</si>
  <si>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</si>
  <si>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</si>
  <si>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</si>
  <si>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</si>
  <si>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</si>
  <si>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</si>
  <si>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</si>
  <si>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</si>
  <si>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</si>
  <si>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</si>
  <si>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</si>
  <si>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</si>
  <si>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</si>
  <si>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</si>
  <si>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</si>
  <si>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</si>
  <si>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</si>
  <si>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</si>
  <si>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</si>
  <si>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</si>
  <si>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</si>
  <si>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</si>
  <si>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</si>
  <si>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</si>
  <si>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</si>
  <si>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</si>
  <si>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</si>
  <si>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</si>
  <si>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</si>
  <si>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</si>
  <si>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</si>
  <si>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</si>
  <si>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</si>
  <si>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</si>
  <si>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</si>
  <si>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</si>
  <si>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</si>
  <si>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</si>
  <si>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</si>
  <si>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</si>
  <si>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</si>
  <si>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</si>
  <si>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</si>
  <si>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</si>
  <si>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</si>
  <si>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</si>
  <si>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</si>
  <si>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</si>
  <si>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</si>
  <si>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</si>
  <si>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</si>
  <si>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</si>
  <si>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</si>
  <si>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</si>
  <si>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</si>
  <si>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</si>
  <si>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</si>
  <si>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</si>
  <si>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</si>
  <si>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</si>
  <si>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</si>
  <si>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</si>
  <si>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</si>
  <si>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</si>
  <si>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</si>
  <si>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</si>
  <si>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</si>
  <si>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</si>
  <si>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</si>
  <si>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</si>
  <si>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</si>
  <si>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</si>
  <si>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</si>
  <si>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</si>
  <si>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</si>
  <si>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</si>
  <si>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</si>
  <si>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</si>
  <si>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</si>
  <si>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</si>
  <si>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</si>
  <si>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</si>
  <si>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</si>
  <si>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</si>
  <si>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</si>
  <si>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</si>
  <si>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</si>
  <si>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</si>
  <si>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</si>
  <si>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</si>
  <si>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</si>
  <si>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</si>
  <si>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</si>
  <si>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</si>
  <si>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</si>
  <si>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</si>
  <si>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</si>
  <si>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</si>
  <si>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</si>
  <si>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</si>
  <si>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</si>
  <si>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</si>
  <si>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</si>
  <si>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</si>
  <si>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</si>
  <si>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</si>
  <si>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</si>
  <si>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</si>
  <si>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</si>
  <si>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</si>
  <si>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</si>
  <si>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</si>
  <si>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</si>
  <si>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</si>
  <si>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</si>
  <si>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</si>
  <si>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</si>
  <si>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</si>
  <si>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</si>
  <si>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</si>
  <si>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</si>
  <si>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</si>
  <si>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</si>
  <si>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</si>
  <si>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</si>
  <si>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</si>
  <si>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</si>
  <si>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</si>
  <si>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</si>
  <si>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</si>
  <si>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</si>
  <si>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</si>
  <si>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</si>
  <si>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</si>
  <si>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</si>
  <si>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</si>
  <si>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</si>
  <si>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</si>
  <si>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</si>
  <si>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</si>
  <si>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</si>
  <si>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</si>
  <si>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</si>
  <si>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</si>
  <si>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</si>
  <si>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</si>
  <si>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</si>
  <si>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</si>
  <si>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</si>
  <si>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</si>
  <si>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</si>
  <si>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</si>
  <si>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</si>
  <si>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</si>
  <si>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</si>
  <si>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</si>
  <si>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</si>
  <si>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</si>
  <si>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</si>
  <si>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</si>
  <si>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</si>
  <si>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</si>
  <si>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</si>
  <si>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</si>
  <si>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</si>
  <si>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</si>
  <si>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</si>
  <si>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</si>
  <si>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</si>
  <si>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</si>
  <si>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</si>
  <si>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</si>
  <si>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</si>
  <si>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</si>
  <si>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</si>
  <si>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</si>
  <si>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</si>
  <si>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</si>
  <si>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</si>
  <si>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</si>
  <si>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</si>
  <si>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</si>
  <si>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</si>
  <si>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</si>
  <si>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</si>
  <si>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</si>
  <si>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</si>
  <si>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</si>
  <si>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</si>
  <si>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</si>
  <si>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</si>
  <si>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</si>
  <si>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</si>
  <si>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</si>
  <si>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</si>
  <si>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</si>
  <si>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</si>
  <si>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</si>
  <si>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</si>
  <si>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</si>
  <si>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</si>
  <si>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</si>
  <si>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</si>
  <si>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</si>
  <si>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</si>
  <si>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</si>
  <si>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</si>
  <si>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</si>
  <si>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</si>
  <si>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</si>
  <si>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</si>
  <si>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</si>
  <si>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</si>
  <si>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</si>
  <si>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</si>
  <si>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</si>
  <si>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</si>
  <si>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</si>
  <si>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</si>
  <si>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</si>
  <si>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</si>
  <si>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</si>
  <si>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</si>
  <si>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</si>
  <si>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</si>
  <si>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</si>
  <si>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</si>
  <si>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</si>
  <si>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</si>
  <si>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</si>
  <si>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</si>
  <si>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</si>
  <si>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</si>
  <si>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</si>
  <si>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</si>
  <si>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</si>
  <si>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</si>
  <si>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</si>
  <si>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</si>
  <si>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</si>
  <si>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uT0A</t>
  </si>
  <si>
    <t>灵力挑战Lv1</t>
  </si>
  <si>
    <t>挑战怪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</si>
  <si>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</si>
  <si>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</si>
  <si>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</si>
  <si>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</si>
  <si>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</si>
  <si>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</si>
  <si>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</si>
  <si>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</si>
  <si>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</si>
  <si>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</si>
  <si>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</si>
  <si>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</si>
  <si>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</si>
  <si>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</si>
  <si>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</si>
  <si>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</si>
  <si>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</si>
  <si>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</si>
  <si>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</si>
  <si>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</si>
  <si>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</si>
  <si>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灵力挑战Lv12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</si>
  <si>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</si>
  <si>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</si>
  <si>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</si>
  <si>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</si>
  <si>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</si>
  <si>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</si>
  <si>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</si>
  <si>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</si>
  <si>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</si>
  <si>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</si>
  <si>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</si>
  <si>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</si>
  <si>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</si>
  <si>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</si>
  <si>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</si>
  <si>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</si>
  <si>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</si>
  <si>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</si>
  <si>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</si>
  <si>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</si>
  <si>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</si>
  <si>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副本解锁挑战Lv1</t>
  </si>
  <si>
    <t>uT2B</t>
  </si>
  <si>
    <t>副本解锁挑战Lv2</t>
  </si>
  <si>
    <t>uT2C</t>
  </si>
  <si>
    <t>副本解锁挑战Lv3</t>
  </si>
  <si>
    <t>uT2D</t>
  </si>
  <si>
    <t>副本解锁挑战Lv4</t>
  </si>
  <si>
    <t>uT2E</t>
  </si>
  <si>
    <t>副本解锁挑战Lv5</t>
  </si>
  <si>
    <t>uT2F</t>
  </si>
  <si>
    <t>副本解锁挑战Lv6</t>
  </si>
  <si>
    <t>uT2G</t>
  </si>
  <si>
    <t>副本解锁挑战Lv7</t>
  </si>
  <si>
    <t>uT2H</t>
  </si>
  <si>
    <t>副本解锁挑战Lv8</t>
  </si>
  <si>
    <r>
      <rPr>
        <sz val="11"/>
        <color theme="1"/>
        <rFont val="等线"/>
        <charset val="134"/>
        <scheme val="minor"/>
      </rPr>
      <t>uT</t>
    </r>
    <r>
      <rPr>
        <sz val="11"/>
        <color theme="1"/>
        <rFont val="等线"/>
        <charset val="134"/>
        <scheme val="minor"/>
      </rPr>
      <t>AA</t>
    </r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</si>
  <si>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</si>
  <si>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</si>
  <si>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</si>
  <si>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</si>
  <si>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</si>
  <si>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</si>
  <si>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</si>
  <si>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</si>
  <si>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</si>
  <si>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</si>
  <si>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</si>
  <si>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</si>
  <si>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</si>
  <si>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</si>
  <si>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</si>
  <si>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</si>
  <si>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</si>
  <si>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</si>
  <si>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</si>
  <si>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</si>
  <si>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</si>
  <si>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</si>
  <si>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</si>
  <si>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</si>
  <si>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</si>
  <si>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</si>
  <si>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</si>
  <si>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</si>
  <si>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</si>
  <si>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</si>
  <si>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</si>
  <si>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u001</t>
  </si>
  <si>
    <r>
      <rPr>
        <sz val="11"/>
        <color theme="1"/>
        <rFont val="等线"/>
        <charset val="134"/>
        <scheme val="minor"/>
      </rPr>
      <t>|Cff00FF7F送宝金蟾.Lv2|r</t>
    </r>
    <r>
      <rPr>
        <sz val="11"/>
        <color theme="1"/>
        <rFont val="等线"/>
        <charset val="134"/>
        <scheme val="minor"/>
      </rPr>
      <t>|n(打死我升级练功房)</t>
    </r>
  </si>
  <si>
    <t>moster_songbaojinchan</t>
  </si>
  <si>
    <t>u002</t>
  </si>
  <si>
    <r>
      <rPr>
        <sz val="11"/>
        <color theme="1"/>
        <rFont val="等线"/>
        <charset val="134"/>
        <scheme val="minor"/>
      </rPr>
      <t>|Cff00BFFF送宝金蟾.Lv3|r</t>
    </r>
    <r>
      <rPr>
        <sz val="11"/>
        <color theme="1"/>
        <rFont val="等线"/>
        <charset val="134"/>
        <scheme val="minor"/>
      </rPr>
      <t>|n(打死我升级练功房)</t>
    </r>
  </si>
  <si>
    <t>u003</t>
  </si>
  <si>
    <r>
      <rPr>
        <sz val="11"/>
        <color theme="1"/>
        <rFont val="等线"/>
        <charset val="134"/>
        <scheme val="minor"/>
      </rPr>
      <t>|CffFFD24D送宝金蟾.Lv4|r</t>
    </r>
    <r>
      <rPr>
        <sz val="11"/>
        <color theme="1"/>
        <rFont val="等线"/>
        <charset val="134"/>
        <scheme val="minor"/>
      </rPr>
      <t>|n(打死我升级练功房)</t>
    </r>
  </si>
  <si>
    <t>u004</t>
  </si>
  <si>
    <r>
      <rPr>
        <sz val="11"/>
        <color theme="1"/>
        <rFont val="等线"/>
        <charset val="134"/>
        <scheme val="minor"/>
      </rPr>
      <t>|CffFF0000送宝金蟾.Lv5|r</t>
    </r>
    <r>
      <rPr>
        <sz val="11"/>
        <color theme="1"/>
        <rFont val="等线"/>
        <charset val="134"/>
        <scheme val="minor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</si>
  <si>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</si>
  <si>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</si>
  <si>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</si>
  <si>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</si>
  <si>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</si>
  <si>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</si>
  <si>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</si>
  <si>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</si>
  <si>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</si>
  <si>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</si>
  <si>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</si>
  <si>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</si>
  <si>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</si>
  <si>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</si>
  <si>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</si>
  <si>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</si>
  <si>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</si>
  <si>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  <scheme val="minor"/>
      </rPr>
      <t>星宿之灵1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</si>
  <si>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</si>
  <si>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</si>
  <si>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  <scheme val="minor"/>
      </rPr>
      <t>星宿之灵2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</si>
  <si>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u0DC</t>
  </si>
  <si>
    <r>
      <rPr>
        <sz val="11"/>
        <color theme="1"/>
        <rFont val="等线"/>
        <charset val="134"/>
        <scheme val="minor"/>
      </rPr>
      <t>星宿之灵3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</si>
  <si>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u0DD</t>
  </si>
  <si>
    <r>
      <rPr>
        <sz val="11"/>
        <color theme="1"/>
        <rFont val="等线"/>
        <charset val="134"/>
        <scheme val="minor"/>
      </rPr>
      <t>星宿之灵4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</si>
  <si>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u0DE</t>
  </si>
  <si>
    <r>
      <rPr>
        <sz val="11"/>
        <color theme="1"/>
        <rFont val="等线"/>
        <charset val="134"/>
        <scheme val="minor"/>
      </rPr>
      <t>星宿之灵5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</si>
  <si>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</si>
  <si>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</si>
  <si>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</si>
  <si>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</si>
  <si>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  <scheme val="minor"/>
      </rPr>
      <t>星宿之灵7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</si>
  <si>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u0DH</t>
  </si>
  <si>
    <r>
      <rPr>
        <sz val="11"/>
        <color theme="1"/>
        <rFont val="等线"/>
        <charset val="134"/>
        <scheme val="minor"/>
      </rPr>
      <t>星宿之灵8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</si>
  <si>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u0DI</t>
  </si>
  <si>
    <r>
      <rPr>
        <sz val="11"/>
        <color theme="1"/>
        <rFont val="等线"/>
        <charset val="134"/>
        <scheme val="minor"/>
      </rPr>
      <t>星宿之灵9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</si>
  <si>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u0DJ</t>
  </si>
  <si>
    <r>
      <rPr>
        <sz val="11"/>
        <color theme="1"/>
        <rFont val="等线"/>
        <charset val="134"/>
        <scheme val="minor"/>
      </rPr>
      <t>星宿之灵10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</si>
  <si>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u0DK</t>
  </si>
  <si>
    <r>
      <rPr>
        <sz val="11"/>
        <color theme="1"/>
        <rFont val="等线"/>
        <charset val="134"/>
        <scheme val="minor"/>
      </rPr>
      <t>星宿之灵11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</si>
  <si>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</si>
  <si>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</si>
  <si>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</si>
  <si>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</si>
  <si>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  <scheme val="minor"/>
      </rPr>
      <t>星宿之灵13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</si>
  <si>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u0DN</t>
  </si>
  <si>
    <r>
      <rPr>
        <sz val="11"/>
        <color theme="1"/>
        <rFont val="等线"/>
        <charset val="134"/>
        <scheme val="minor"/>
      </rPr>
      <t>星宿之灵14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</si>
  <si>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u0DO</t>
  </si>
  <si>
    <r>
      <rPr>
        <sz val="11"/>
        <color theme="1"/>
        <rFont val="等线"/>
        <charset val="134"/>
        <scheme val="minor"/>
      </rPr>
      <t>星宿之灵15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</si>
  <si>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u0DP</t>
  </si>
  <si>
    <r>
      <rPr>
        <sz val="11"/>
        <color theme="1"/>
        <rFont val="等线"/>
        <charset val="134"/>
        <scheme val="minor"/>
      </rPr>
      <t>星宿之灵16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</si>
  <si>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u0DQ</t>
  </si>
  <si>
    <r>
      <rPr>
        <sz val="11"/>
        <color theme="1"/>
        <rFont val="等线"/>
        <charset val="134"/>
        <scheme val="minor"/>
      </rPr>
      <t>星宿之灵17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</si>
  <si>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</si>
  <si>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</si>
  <si>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</si>
  <si>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</si>
  <si>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  <scheme val="minor"/>
      </rPr>
      <t>星宿之灵19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</si>
  <si>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u0DT</t>
  </si>
  <si>
    <r>
      <rPr>
        <sz val="11"/>
        <color theme="1"/>
        <rFont val="等线"/>
        <charset val="134"/>
        <scheme val="minor"/>
      </rPr>
      <t>星宿之灵20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</si>
  <si>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u0DU</t>
  </si>
  <si>
    <r>
      <rPr>
        <sz val="11"/>
        <color theme="1"/>
        <rFont val="等线"/>
        <charset val="134"/>
        <scheme val="minor"/>
      </rPr>
      <t>星宿之灵21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</si>
  <si>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u0DV</t>
  </si>
  <si>
    <r>
      <rPr>
        <sz val="11"/>
        <color theme="1"/>
        <rFont val="等线"/>
        <charset val="134"/>
        <scheme val="minor"/>
      </rPr>
      <t>星宿之灵22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</si>
  <si>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u0DW</t>
  </si>
  <si>
    <r>
      <rPr>
        <sz val="11"/>
        <color theme="1"/>
        <rFont val="等线"/>
        <charset val="134"/>
        <scheme val="minor"/>
      </rPr>
      <t>星宿之灵23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</si>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</sst>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176" formatCode="0.0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9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7" fillId="20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9" borderId="6" applyNumberFormat="0" applyFont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3" fillId="15" borderId="4" applyNumberFormat="0" applyAlignment="0" applyProtection="0">
      <alignment vertical="center"/>
    </xf>
    <xf numFmtId="0" fontId="23" fillId="15" borderId="7" applyNumberFormat="0" applyAlignment="0" applyProtection="0">
      <alignment vertical="center"/>
    </xf>
    <xf numFmtId="0" fontId="26" fillId="35" borderId="10" applyNumberFormat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</cellStyleXfs>
  <cellXfs count="3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5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0" borderId="0" xfId="0" applyFont="1"/>
    <xf numFmtId="0" fontId="5" fillId="2" borderId="0" xfId="0" applyNumberFormat="1" applyFont="1" applyFill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1" fillId="3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1264920</xdr:colOff>
          <xdr:row>1</xdr:row>
          <xdr:rowOff>129540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1264920" cy="32004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000125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293"/>
  <sheetViews>
    <sheetView tabSelected="1" workbookViewId="0">
      <pane xSplit="6" ySplit="2" topLeftCell="G196" activePane="bottomRight" state="frozen"/>
      <selection/>
      <selection pane="topRight"/>
      <selection pane="bottomLeft"/>
      <selection pane="bottomRight" activeCell="E201" sqref="E201"/>
    </sheetView>
  </sheetViews>
  <sheetFormatPr defaultColWidth="9" defaultRowHeight="15"/>
  <cols>
    <col min="1" max="1" width="21.25" style="8" customWidth="1"/>
    <col min="2" max="2" width="9" style="8"/>
    <col min="3" max="3" width="9" style="8" customWidth="1"/>
    <col min="4" max="4" width="14.1296296296296" style="8" customWidth="1"/>
    <col min="5" max="5" width="30" style="9" customWidth="1"/>
    <col min="6" max="6" width="20.8796296296296" style="9" hidden="1" customWidth="1"/>
    <col min="7" max="7" width="13.8796296296296" style="5" customWidth="1"/>
    <col min="8" max="8" width="27.5" style="8" customWidth="1"/>
    <col min="9" max="9" width="10.3796296296296" style="8" customWidth="1"/>
    <col min="10" max="10" width="32.75" style="8" customWidth="1"/>
    <col min="11" max="11" width="16.3796296296296" style="8" customWidth="1"/>
    <col min="12" max="13" width="10.3796296296296" style="8" customWidth="1"/>
    <col min="14" max="14" width="61.6296296296296" style="8" customWidth="1"/>
    <col min="15" max="15" width="55" style="8" customWidth="1"/>
    <col min="16" max="17" width="14.8796296296296" style="8" customWidth="1"/>
    <col min="18" max="20" width="5.62962962962963" style="8" customWidth="1"/>
    <col min="21" max="22" width="16.75" style="8" customWidth="1"/>
    <col min="23" max="23" width="14.3796296296296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96296296296" style="8" customWidth="1"/>
    <col min="29" max="29" width="11.1296296296296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96296296296" style="8" customWidth="1"/>
    <col min="37" max="41" width="13" style="8" customWidth="1"/>
    <col min="42" max="46" width="12.3796296296296" style="8" customWidth="1"/>
    <col min="47" max="47" width="10" style="8" customWidth="1"/>
    <col min="48" max="48" width="9" style="8"/>
    <col min="49" max="49" width="13.5" style="8" customWidth="1"/>
    <col min="50" max="50" width="16.6296296296296" style="8" customWidth="1"/>
    <col min="51" max="54" width="19.5" style="8" customWidth="1"/>
    <col min="55" max="60" width="14.3796296296296" style="8" customWidth="1"/>
    <col min="61" max="61" width="12.3796296296296" style="8" customWidth="1"/>
    <col min="62" max="16384" width="9" style="8"/>
  </cols>
  <sheetData>
    <row r="1" s="5" customFormat="1" spans="1:73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9">
        <f>COUNTA(B:B)+1</f>
        <v>275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0.65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0.65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39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0.65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0.65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0.65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39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0.65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39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0.65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0.65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0.65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0.65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39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0.65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0.65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0.65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39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0.65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39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0.65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0.65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0.65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0.65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0.65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0.65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39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0.65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0.65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0.65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0.65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0.65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0.65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0.65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0.65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39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0.65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39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0.65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39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0.65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39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="6" customFormat="1" spans="2:69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39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="6" customFormat="1" spans="2:69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39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="6" customFormat="1" spans="2:69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39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="6" customFormat="1" spans="2:69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39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="6" customFormat="1" spans="2:69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39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="6" customFormat="1" ht="15.6" spans="2:69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325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39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="6" customFormat="1" spans="2:69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325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39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="6" customFormat="1" spans="2:69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325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39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="6" customFormat="1" spans="2:69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350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39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="6" customFormat="1" spans="2:69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350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39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="6" customFormat="1" spans="2:69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39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="6" customFormat="1" spans="2:69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39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="6" customFormat="1" spans="2:69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39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="6" customFormat="1" spans="2:69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350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39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0.58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="6" customFormat="1" spans="2:69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350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39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="6" customFormat="1" spans="2:69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350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39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="6" customFormat="1" spans="2:69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350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39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="6" customFormat="1" spans="2:69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400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39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="6" customFormat="1" spans="2:69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400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39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="6" customFormat="1" spans="2:69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400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39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="6" customFormat="1" spans="2:69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400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39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="6" customFormat="1" spans="2:69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400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39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="6" customFormat="1" spans="2:69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400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39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="6" customFormat="1" spans="2:69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400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39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="6" customFormat="1" spans="2:69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400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39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="6" customFormat="1" spans="2:69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400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39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="6" customFormat="1" spans="2:69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400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39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="6" customFormat="1" spans="2:69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400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39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="6" customFormat="1" spans="2:69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400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39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="6" customFormat="1" spans="2:69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0.2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39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="6" customFormat="1" spans="2:69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0.2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39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="6" customFormat="1" spans="2:69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</v>
      </c>
      <c r="Q66" s="16"/>
      <c r="R66" s="16">
        <v>0</v>
      </c>
      <c r="S66" s="16">
        <v>255</v>
      </c>
      <c r="T66" s="16">
        <v>255</v>
      </c>
      <c r="U66" s="16">
        <v>0.2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39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="6" customFormat="1" spans="2:69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0.2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39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="6" customFormat="1" spans="2:69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0.2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39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="6" customFormat="1" spans="2:69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</v>
      </c>
      <c r="Q69" s="16"/>
      <c r="R69" s="16"/>
      <c r="S69" s="16"/>
      <c r="T69" s="16"/>
      <c r="U69" s="16">
        <v>0.2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39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="6" customFormat="1" spans="2:69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</v>
      </c>
      <c r="Q70" s="16"/>
      <c r="R70" s="16">
        <v>0</v>
      </c>
      <c r="S70" s="16">
        <v>255</v>
      </c>
      <c r="T70" s="16">
        <v>200</v>
      </c>
      <c r="U70" s="16">
        <v>0.2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39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="6" customFormat="1" spans="2:69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</v>
      </c>
      <c r="Q71" s="16"/>
      <c r="R71" s="16"/>
      <c r="S71" s="16"/>
      <c r="T71" s="16"/>
      <c r="U71" s="16">
        <v>0.2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39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="6" customFormat="1" spans="2:69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</v>
      </c>
      <c r="Q72" s="16"/>
      <c r="R72" s="16"/>
      <c r="S72" s="16"/>
      <c r="T72" s="16"/>
      <c r="U72" s="16">
        <v>0.2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39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="5" customFormat="1" spans="2:69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0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="5" customFormat="1" spans="2:69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0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="5" customFormat="1" spans="2:69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0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="5" customFormat="1" spans="2:69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0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="5" customFormat="1" spans="2:69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0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="5" customFormat="1" spans="2:69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0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="5" customFormat="1" spans="2:69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0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="5" customFormat="1" spans="2:69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0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="5" customFormat="1" spans="2:69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0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="5" customFormat="1" spans="2:69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0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="5" customFormat="1" spans="2:69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0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="5" customFormat="1" spans="2:69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0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="5" customFormat="1" spans="2:69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0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="5" customFormat="1" spans="2:69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0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="5" customFormat="1" spans="2:69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0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="5" customFormat="1" customHeight="1" spans="2:69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0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="5" customFormat="1" spans="2:69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0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="5" customFormat="1" spans="2:69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0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="5" customFormat="1" spans="2:69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1.15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0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="5" customFormat="1" spans="2:69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0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="5" customFormat="1" spans="2:69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0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="5" customFormat="1" spans="2:69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0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="5" customFormat="1" spans="2:69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0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="5" customFormat="1" spans="2:69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0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="5" customFormat="1" spans="2:69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0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="7" customFormat="1" spans="2:69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41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="6" customFormat="1" spans="2:69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39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/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="6" customFormat="1" spans="2:69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39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/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="6" customFormat="1" spans="2:69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39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/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="6" customFormat="1" spans="2:69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39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/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="6" customFormat="1" spans="2:69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39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/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="6" customFormat="1" spans="2:73">
      <c r="B104" s="16" t="s">
        <v>482</v>
      </c>
      <c r="C104" s="6" t="s">
        <v>71</v>
      </c>
      <c r="D104" s="16" t="s">
        <v>280</v>
      </c>
      <c r="E104" s="28" t="s">
        <v>483</v>
      </c>
      <c r="F104" s="19"/>
      <c r="G104" s="29" t="s">
        <v>484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485</v>
      </c>
      <c r="P104" s="16"/>
      <c r="Q104" s="16"/>
      <c r="R104" s="16"/>
      <c r="S104" s="16"/>
      <c r="T104" s="16"/>
      <c r="U104" s="16">
        <v>0.5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39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="6" customFormat="1" spans="2:73">
      <c r="B105" s="16" t="s">
        <v>486</v>
      </c>
      <c r="C105" s="6" t="s">
        <v>71</v>
      </c>
      <c r="D105" s="16" t="s">
        <v>280</v>
      </c>
      <c r="E105" s="28" t="s">
        <v>487</v>
      </c>
      <c r="F105" s="19"/>
      <c r="G105" s="29" t="s">
        <v>488</v>
      </c>
      <c r="H105" s="16"/>
      <c r="I105" s="16" t="s">
        <v>283</v>
      </c>
      <c r="J105" s="16" t="s">
        <v>489</v>
      </c>
      <c r="K105" s="16"/>
      <c r="L105" s="16">
        <v>0</v>
      </c>
      <c r="M105" s="16">
        <v>0</v>
      </c>
      <c r="N105" s="16"/>
      <c r="O105" s="16" t="s">
        <v>490</v>
      </c>
      <c r="P105" s="16"/>
      <c r="Q105" s="16"/>
      <c r="R105" s="16"/>
      <c r="S105" s="16"/>
      <c r="T105" s="16"/>
      <c r="U105" s="16">
        <v>0.5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39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491</v>
      </c>
    </row>
    <row r="106" s="6" customFormat="1" spans="2:73">
      <c r="B106" s="16" t="s">
        <v>492</v>
      </c>
      <c r="C106" s="6" t="s">
        <v>71</v>
      </c>
      <c r="D106" s="16" t="s">
        <v>280</v>
      </c>
      <c r="E106" s="28" t="s">
        <v>493</v>
      </c>
      <c r="F106" s="19"/>
      <c r="G106" s="30" t="s">
        <v>494</v>
      </c>
      <c r="H106" s="16"/>
      <c r="I106" s="16" t="s">
        <v>283</v>
      </c>
      <c r="J106" s="16" t="s">
        <v>495</v>
      </c>
      <c r="K106" s="16"/>
      <c r="L106" s="16">
        <v>0</v>
      </c>
      <c r="M106" s="16">
        <v>0</v>
      </c>
      <c r="N106" s="16"/>
      <c r="O106" s="16" t="s">
        <v>496</v>
      </c>
      <c r="P106" s="16"/>
      <c r="Q106" s="16"/>
      <c r="R106" s="16"/>
      <c r="S106" s="16"/>
      <c r="T106" s="16"/>
      <c r="U106" s="16">
        <v>0.5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39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497</v>
      </c>
    </row>
    <row r="107" s="6" customFormat="1" spans="2:73">
      <c r="B107" s="16" t="s">
        <v>498</v>
      </c>
      <c r="C107" s="6" t="s">
        <v>71</v>
      </c>
      <c r="D107" s="16" t="s">
        <v>280</v>
      </c>
      <c r="E107" s="28" t="s">
        <v>499</v>
      </c>
      <c r="F107" s="19"/>
      <c r="G107" s="30" t="s">
        <v>500</v>
      </c>
      <c r="H107" s="16"/>
      <c r="I107" s="16" t="s">
        <v>283</v>
      </c>
      <c r="J107" s="16" t="s">
        <v>501</v>
      </c>
      <c r="K107" s="16"/>
      <c r="L107" s="16">
        <v>0</v>
      </c>
      <c r="M107" s="16">
        <v>0</v>
      </c>
      <c r="N107" s="16"/>
      <c r="O107" s="16" t="s">
        <v>502</v>
      </c>
      <c r="P107" s="16"/>
      <c r="Q107" s="16"/>
      <c r="R107" s="16"/>
      <c r="S107" s="16"/>
      <c r="T107" s="16"/>
      <c r="U107" s="16">
        <v>0.5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39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503</v>
      </c>
    </row>
    <row r="108" s="6" customFormat="1" spans="2:73">
      <c r="B108" s="16" t="s">
        <v>504</v>
      </c>
      <c r="C108" s="6" t="s">
        <v>71</v>
      </c>
      <c r="D108" s="16" t="s">
        <v>280</v>
      </c>
      <c r="E108" s="28" t="s">
        <v>505</v>
      </c>
      <c r="F108" s="19"/>
      <c r="G108" s="30" t="s">
        <v>506</v>
      </c>
      <c r="H108" s="16"/>
      <c r="I108" s="16" t="s">
        <v>283</v>
      </c>
      <c r="J108" s="16" t="s">
        <v>507</v>
      </c>
      <c r="K108" s="16"/>
      <c r="L108" s="16">
        <v>0</v>
      </c>
      <c r="M108" s="16">
        <v>0</v>
      </c>
      <c r="N108" s="16"/>
      <c r="O108" s="16" t="s">
        <v>508</v>
      </c>
      <c r="P108" s="16">
        <v>2</v>
      </c>
      <c r="Q108" s="16"/>
      <c r="R108" s="16"/>
      <c r="S108" s="16"/>
      <c r="T108" s="16"/>
      <c r="U108" s="16">
        <v>0.5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39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509</v>
      </c>
    </row>
    <row r="109" s="6" customFormat="1" spans="2:73">
      <c r="B109" s="16" t="s">
        <v>510</v>
      </c>
      <c r="C109" s="6" t="s">
        <v>71</v>
      </c>
      <c r="D109" s="16" t="s">
        <v>280</v>
      </c>
      <c r="E109" s="28" t="s">
        <v>511</v>
      </c>
      <c r="F109" s="19"/>
      <c r="G109" s="31" t="s">
        <v>512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513</v>
      </c>
      <c r="P109" s="16"/>
      <c r="Q109" s="16"/>
      <c r="R109" s="16"/>
      <c r="S109" s="16"/>
      <c r="T109" s="16"/>
      <c r="U109" s="16">
        <v>0.5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39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="6" customFormat="1" spans="2:73">
      <c r="B110" s="16" t="s">
        <v>514</v>
      </c>
      <c r="C110" s="6" t="s">
        <v>71</v>
      </c>
      <c r="D110" s="16" t="s">
        <v>280</v>
      </c>
      <c r="E110" s="28" t="s">
        <v>515</v>
      </c>
      <c r="F110" s="19"/>
      <c r="G110" s="31" t="s">
        <v>516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517</v>
      </c>
      <c r="P110" s="16">
        <v>0.8</v>
      </c>
      <c r="Q110" s="16"/>
      <c r="R110" s="16"/>
      <c r="S110" s="16"/>
      <c r="T110" s="16"/>
      <c r="U110" s="16">
        <v>0.5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39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="6" customFormat="1" spans="2:73">
      <c r="B111" s="16" t="s">
        <v>518</v>
      </c>
      <c r="C111" s="6" t="s">
        <v>71</v>
      </c>
      <c r="D111" s="16" t="s">
        <v>280</v>
      </c>
      <c r="E111" s="28" t="s">
        <v>519</v>
      </c>
      <c r="F111" s="19"/>
      <c r="G111" s="31" t="s">
        <v>520</v>
      </c>
      <c r="H111" s="16"/>
      <c r="I111" s="16" t="s">
        <v>283</v>
      </c>
      <c r="J111" s="16" t="s">
        <v>521</v>
      </c>
      <c r="K111" s="16"/>
      <c r="L111" s="16">
        <v>0</v>
      </c>
      <c r="M111" s="16">
        <v>0</v>
      </c>
      <c r="N111" s="16"/>
      <c r="O111" s="16" t="s">
        <v>522</v>
      </c>
      <c r="P111" s="16"/>
      <c r="Q111" s="16"/>
      <c r="R111" s="16"/>
      <c r="S111" s="16"/>
      <c r="T111" s="16"/>
      <c r="U111" s="16">
        <v>0.5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39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523</v>
      </c>
    </row>
    <row r="112" s="6" customFormat="1" spans="2:73">
      <c r="B112" s="16" t="s">
        <v>524</v>
      </c>
      <c r="C112" s="6" t="s">
        <v>71</v>
      </c>
      <c r="D112" s="16" t="s">
        <v>280</v>
      </c>
      <c r="E112" s="28" t="s">
        <v>525</v>
      </c>
      <c r="F112" s="19"/>
      <c r="G112" s="31" t="s">
        <v>526</v>
      </c>
      <c r="H112" s="16"/>
      <c r="I112" s="16" t="s">
        <v>283</v>
      </c>
      <c r="J112" s="16" t="s">
        <v>527</v>
      </c>
      <c r="K112" s="16"/>
      <c r="L112" s="16">
        <v>0</v>
      </c>
      <c r="M112" s="16">
        <v>0</v>
      </c>
      <c r="N112" s="16"/>
      <c r="O112" s="16" t="s">
        <v>431</v>
      </c>
      <c r="P112" s="16"/>
      <c r="Q112" s="16"/>
      <c r="R112" s="16"/>
      <c r="S112" s="16"/>
      <c r="T112" s="16"/>
      <c r="U112" s="16">
        <v>0.5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39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528</v>
      </c>
    </row>
    <row r="113" s="6" customFormat="1" spans="2:73">
      <c r="B113" s="16" t="s">
        <v>529</v>
      </c>
      <c r="C113" s="6" t="s">
        <v>71</v>
      </c>
      <c r="D113" s="16" t="s">
        <v>280</v>
      </c>
      <c r="E113" s="28" t="s">
        <v>530</v>
      </c>
      <c r="F113" s="19"/>
      <c r="G113" s="31" t="s">
        <v>531</v>
      </c>
      <c r="H113" s="16"/>
      <c r="I113" s="16" t="s">
        <v>283</v>
      </c>
      <c r="J113" s="16" t="s">
        <v>532</v>
      </c>
      <c r="K113" s="16"/>
      <c r="L113" s="16">
        <v>0</v>
      </c>
      <c r="M113" s="16">
        <v>0</v>
      </c>
      <c r="N113" s="16"/>
      <c r="O113" s="16" t="s">
        <v>533</v>
      </c>
      <c r="P113" s="16">
        <v>2</v>
      </c>
      <c r="Q113" s="16"/>
      <c r="R113" s="16"/>
      <c r="S113" s="16"/>
      <c r="T113" s="16"/>
      <c r="U113" s="16">
        <v>0.5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39" t="s">
        <v>535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536</v>
      </c>
    </row>
    <row r="114" s="6" customFormat="1" spans="2:69">
      <c r="B114" s="16" t="s">
        <v>537</v>
      </c>
      <c r="C114" s="6" t="s">
        <v>71</v>
      </c>
      <c r="D114" s="16" t="s">
        <v>280</v>
      </c>
      <c r="E114" s="29" t="s">
        <v>538</v>
      </c>
      <c r="F114" s="19"/>
      <c r="G114" s="31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0.5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39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="6" customFormat="1" spans="2:69">
      <c r="B115" s="16" t="s">
        <v>539</v>
      </c>
      <c r="C115" s="6" t="s">
        <v>71</v>
      </c>
      <c r="D115" s="16" t="s">
        <v>280</v>
      </c>
      <c r="E115" s="29" t="s">
        <v>540</v>
      </c>
      <c r="F115" s="19"/>
      <c r="G115" s="31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0.5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39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="6" customFormat="1" spans="2:69">
      <c r="B116" s="16" t="s">
        <v>541</v>
      </c>
      <c r="C116" s="6" t="s">
        <v>71</v>
      </c>
      <c r="D116" s="16" t="s">
        <v>280</v>
      </c>
      <c r="E116" s="29" t="s">
        <v>542</v>
      </c>
      <c r="F116" s="19"/>
      <c r="G116" s="31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0.5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39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="6" customFormat="1" spans="2:69">
      <c r="B117" s="16" t="s">
        <v>543</v>
      </c>
      <c r="C117" s="6" t="s">
        <v>71</v>
      </c>
      <c r="D117" s="16" t="s">
        <v>280</v>
      </c>
      <c r="E117" s="29" t="s">
        <v>544</v>
      </c>
      <c r="F117" s="19"/>
      <c r="G117" s="31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0.5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39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="6" customFormat="1" spans="2:69">
      <c r="B118" s="16" t="s">
        <v>545</v>
      </c>
      <c r="C118" s="6" t="s">
        <v>71</v>
      </c>
      <c r="D118" s="16" t="s">
        <v>280</v>
      </c>
      <c r="E118" s="28" t="s">
        <v>546</v>
      </c>
      <c r="F118" s="29"/>
      <c r="G118" s="29" t="s">
        <v>547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548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39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="6" customFormat="1" spans="2:69">
      <c r="B119" s="16" t="s">
        <v>549</v>
      </c>
      <c r="C119" s="6" t="s">
        <v>71</v>
      </c>
      <c r="D119" s="16" t="s">
        <v>280</v>
      </c>
      <c r="E119" s="28" t="s">
        <v>550</v>
      </c>
      <c r="F119" s="29"/>
      <c r="G119" s="29" t="s">
        <v>547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548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39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="6" customFormat="1" spans="2:69">
      <c r="B120" s="16" t="s">
        <v>551</v>
      </c>
      <c r="C120" s="6" t="s">
        <v>71</v>
      </c>
      <c r="D120" s="16" t="s">
        <v>280</v>
      </c>
      <c r="E120" s="28" t="s">
        <v>552</v>
      </c>
      <c r="F120" s="29"/>
      <c r="G120" s="29" t="s">
        <v>547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548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39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="6" customFormat="1" spans="2:69">
      <c r="B121" s="16" t="s">
        <v>553</v>
      </c>
      <c r="C121" s="6" t="s">
        <v>71</v>
      </c>
      <c r="D121" s="16" t="s">
        <v>280</v>
      </c>
      <c r="E121" s="28" t="s">
        <v>554</v>
      </c>
      <c r="F121" s="29"/>
      <c r="G121" s="29" t="s">
        <v>547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548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39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="6" customFormat="1" spans="2:69">
      <c r="B122" s="16" t="s">
        <v>555</v>
      </c>
      <c r="C122" s="6" t="s">
        <v>71</v>
      </c>
      <c r="D122" s="16" t="s">
        <v>280</v>
      </c>
      <c r="E122" s="28" t="s">
        <v>556</v>
      </c>
      <c r="F122" s="29"/>
      <c r="G122" s="29" t="s">
        <v>557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558</v>
      </c>
      <c r="P122" s="16">
        <v>2.03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39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="6" customFormat="1" spans="2:69">
      <c r="B123" s="16" t="s">
        <v>559</v>
      </c>
      <c r="C123" s="6" t="s">
        <v>71</v>
      </c>
      <c r="D123" s="16" t="s">
        <v>280</v>
      </c>
      <c r="E123" s="28" t="s">
        <v>560</v>
      </c>
      <c r="F123" s="29"/>
      <c r="G123" s="29" t="s">
        <v>557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558</v>
      </c>
      <c r="P123" s="16">
        <v>2.03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39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="6" customFormat="1" spans="2:69">
      <c r="B124" s="16" t="s">
        <v>561</v>
      </c>
      <c r="C124" s="6" t="s">
        <v>71</v>
      </c>
      <c r="D124" s="16" t="s">
        <v>280</v>
      </c>
      <c r="E124" s="28" t="s">
        <v>562</v>
      </c>
      <c r="F124" s="29"/>
      <c r="G124" s="29" t="s">
        <v>557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558</v>
      </c>
      <c r="P124" s="16">
        <v>2.03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39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="6" customFormat="1" spans="2:69">
      <c r="B125" s="16" t="s">
        <v>563</v>
      </c>
      <c r="C125" s="6" t="s">
        <v>71</v>
      </c>
      <c r="D125" s="16" t="s">
        <v>280</v>
      </c>
      <c r="E125" s="28" t="s">
        <v>564</v>
      </c>
      <c r="F125" s="29"/>
      <c r="G125" s="29" t="s">
        <v>557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558</v>
      </c>
      <c r="P125" s="16">
        <v>2.03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39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="6" customFormat="1" spans="2:69">
      <c r="B126" s="16" t="s">
        <v>565</v>
      </c>
      <c r="C126" s="6" t="s">
        <v>71</v>
      </c>
      <c r="D126" s="16" t="s">
        <v>280</v>
      </c>
      <c r="E126" s="28" t="s">
        <v>566</v>
      </c>
      <c r="F126" s="29"/>
      <c r="G126" s="29" t="s">
        <v>567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568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39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="6" customFormat="1" spans="2:69">
      <c r="B127" s="16" t="s">
        <v>569</v>
      </c>
      <c r="C127" s="6" t="s">
        <v>71</v>
      </c>
      <c r="D127" s="16" t="s">
        <v>280</v>
      </c>
      <c r="E127" s="28" t="s">
        <v>570</v>
      </c>
      <c r="F127" s="29"/>
      <c r="G127" s="29" t="s">
        <v>567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568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39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="6" customFormat="1" spans="2:69">
      <c r="B128" s="16" t="s">
        <v>571</v>
      </c>
      <c r="C128" s="6" t="s">
        <v>71</v>
      </c>
      <c r="D128" s="16" t="s">
        <v>280</v>
      </c>
      <c r="E128" s="28" t="s">
        <v>572</v>
      </c>
      <c r="F128" s="29"/>
      <c r="G128" s="29" t="s">
        <v>567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568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39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="6" customFormat="1" spans="2:69">
      <c r="B129" s="16" t="s">
        <v>573</v>
      </c>
      <c r="C129" s="6" t="s">
        <v>71</v>
      </c>
      <c r="D129" s="16" t="s">
        <v>280</v>
      </c>
      <c r="E129" s="28" t="s">
        <v>574</v>
      </c>
      <c r="F129" s="29"/>
      <c r="G129" s="29" t="s">
        <v>567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568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39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="6" customFormat="1" spans="2:72">
      <c r="B130" t="s">
        <v>575</v>
      </c>
      <c r="C130" s="6" t="s">
        <v>71</v>
      </c>
      <c r="D130" s="16" t="s">
        <v>280</v>
      </c>
      <c r="E130" t="s">
        <v>576</v>
      </c>
      <c r="F130" s="19"/>
      <c r="G130" s="16" t="s">
        <v>577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578</v>
      </c>
      <c r="P130" s="16">
        <v>1.1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39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579</v>
      </c>
    </row>
    <row r="131" s="6" customFormat="1" spans="2:72">
      <c r="B131" t="s">
        <v>580</v>
      </c>
      <c r="C131" s="6" t="s">
        <v>71</v>
      </c>
      <c r="D131" s="16" t="s">
        <v>280</v>
      </c>
      <c r="E131" t="s">
        <v>581</v>
      </c>
      <c r="F131" s="19"/>
      <c r="G131" s="16" t="s">
        <v>577</v>
      </c>
      <c r="H131" s="16"/>
      <c r="I131" s="16" t="s">
        <v>283</v>
      </c>
      <c r="J131" s="16" t="s">
        <v>582</v>
      </c>
      <c r="K131" s="16"/>
      <c r="L131" s="16">
        <v>0</v>
      </c>
      <c r="M131" s="16">
        <v>0</v>
      </c>
      <c r="N131" s="16"/>
      <c r="O131" s="16" t="s">
        <v>583</v>
      </c>
      <c r="P131" s="16">
        <v>1.9</v>
      </c>
      <c r="Q131" s="16"/>
      <c r="R131" s="16"/>
      <c r="S131" s="16"/>
      <c r="T131" s="16"/>
      <c r="U131" s="16">
        <v>0.4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39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579</v>
      </c>
    </row>
    <row r="132" s="6" customFormat="1" spans="2:72">
      <c r="B132" t="s">
        <v>584</v>
      </c>
      <c r="C132" s="6" t="s">
        <v>71</v>
      </c>
      <c r="D132" s="16" t="s">
        <v>280</v>
      </c>
      <c r="E132" t="s">
        <v>585</v>
      </c>
      <c r="F132" s="19"/>
      <c r="G132" s="16" t="s">
        <v>577</v>
      </c>
      <c r="H132" s="16"/>
      <c r="I132" s="16" t="s">
        <v>283</v>
      </c>
      <c r="J132" s="12" t="s">
        <v>586</v>
      </c>
      <c r="K132" s="16"/>
      <c r="L132" s="16">
        <v>0</v>
      </c>
      <c r="M132" s="16">
        <v>0</v>
      </c>
      <c r="N132" s="16"/>
      <c r="O132" s="10" t="s">
        <v>248</v>
      </c>
      <c r="P132" s="16">
        <v>0.85</v>
      </c>
      <c r="Q132" s="16"/>
      <c r="R132" s="16">
        <v>255</v>
      </c>
      <c r="S132" s="16">
        <v>100</v>
      </c>
      <c r="T132" s="16">
        <v>100</v>
      </c>
      <c r="U132" s="16">
        <v>0.4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39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579</v>
      </c>
    </row>
    <row r="133" s="6" customFormat="1" spans="2:72">
      <c r="B133" t="s">
        <v>587</v>
      </c>
      <c r="C133" s="6" t="s">
        <v>71</v>
      </c>
      <c r="D133" s="16" t="s">
        <v>280</v>
      </c>
      <c r="E133" t="s">
        <v>588</v>
      </c>
      <c r="F133" s="19"/>
      <c r="G133" s="16" t="s">
        <v>577</v>
      </c>
      <c r="H133" s="16"/>
      <c r="I133" s="16" t="s">
        <v>283</v>
      </c>
      <c r="J133" s="12" t="s">
        <v>589</v>
      </c>
      <c r="K133" s="16"/>
      <c r="L133" s="16">
        <v>0</v>
      </c>
      <c r="M133" s="16">
        <v>0</v>
      </c>
      <c r="N133" s="16"/>
      <c r="O133" s="16" t="s">
        <v>590</v>
      </c>
      <c r="P133" s="16">
        <v>1.3</v>
      </c>
      <c r="Q133" s="16"/>
      <c r="R133" s="16"/>
      <c r="S133" s="16"/>
      <c r="T133" s="16"/>
      <c r="U133" s="16">
        <v>0.4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39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579</v>
      </c>
    </row>
    <row r="134" s="6" customFormat="1" spans="2:72">
      <c r="B134" t="s">
        <v>591</v>
      </c>
      <c r="C134" s="6" t="s">
        <v>71</v>
      </c>
      <c r="D134" s="16" t="s">
        <v>280</v>
      </c>
      <c r="E134" t="s">
        <v>592</v>
      </c>
      <c r="F134" s="19"/>
      <c r="G134" s="16" t="s">
        <v>577</v>
      </c>
      <c r="H134" s="16"/>
      <c r="I134" s="16" t="s">
        <v>283</v>
      </c>
      <c r="J134" s="12" t="s">
        <v>593</v>
      </c>
      <c r="K134" s="16"/>
      <c r="L134" s="16">
        <v>0</v>
      </c>
      <c r="M134" s="16">
        <v>0</v>
      </c>
      <c r="N134" s="16"/>
      <c r="O134" s="16" t="s">
        <v>439</v>
      </c>
      <c r="P134" s="16">
        <v>1.15</v>
      </c>
      <c r="Q134" s="16"/>
      <c r="R134" s="16"/>
      <c r="S134" s="16"/>
      <c r="T134" s="16"/>
      <c r="U134" s="16">
        <v>0.4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39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579</v>
      </c>
    </row>
    <row r="135" s="6" customFormat="1" spans="2:72">
      <c r="B135" t="s">
        <v>594</v>
      </c>
      <c r="C135" s="6" t="s">
        <v>71</v>
      </c>
      <c r="D135" s="16" t="s">
        <v>280</v>
      </c>
      <c r="E135" t="s">
        <v>595</v>
      </c>
      <c r="F135" s="19"/>
      <c r="G135" s="16" t="s">
        <v>596</v>
      </c>
      <c r="H135" s="16"/>
      <c r="I135" s="16" t="s">
        <v>283</v>
      </c>
      <c r="J135" s="16" t="s">
        <v>597</v>
      </c>
      <c r="K135" s="16"/>
      <c r="L135" s="16">
        <v>0</v>
      </c>
      <c r="M135" s="16">
        <v>0</v>
      </c>
      <c r="N135" s="16"/>
      <c r="O135" s="16" t="s">
        <v>598</v>
      </c>
      <c r="P135" s="16">
        <v>1.1</v>
      </c>
      <c r="Q135" s="16"/>
      <c r="R135" s="16"/>
      <c r="S135" s="16"/>
      <c r="T135" s="16"/>
      <c r="U135" s="16">
        <v>0.4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39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579</v>
      </c>
    </row>
    <row r="136" s="6" customFormat="1" spans="2:72">
      <c r="B136" t="s">
        <v>599</v>
      </c>
      <c r="C136" s="6" t="s">
        <v>71</v>
      </c>
      <c r="D136" s="16" t="s">
        <v>280</v>
      </c>
      <c r="E136" t="s">
        <v>600</v>
      </c>
      <c r="F136" s="19"/>
      <c r="G136" s="16" t="s">
        <v>596</v>
      </c>
      <c r="H136" s="16"/>
      <c r="I136" s="16" t="s">
        <v>283</v>
      </c>
      <c r="J136" s="12" t="s">
        <v>601</v>
      </c>
      <c r="K136" s="16"/>
      <c r="L136" s="16">
        <v>0</v>
      </c>
      <c r="M136" s="16">
        <v>0</v>
      </c>
      <c r="N136" s="16"/>
      <c r="O136" s="16" t="s">
        <v>602</v>
      </c>
      <c r="P136" s="16">
        <v>1.7</v>
      </c>
      <c r="Q136" s="16"/>
      <c r="R136" s="16"/>
      <c r="S136" s="16"/>
      <c r="T136" s="16"/>
      <c r="U136" s="16">
        <v>0.4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39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579</v>
      </c>
    </row>
    <row r="137" s="6" customFormat="1" spans="2:72">
      <c r="B137" t="s">
        <v>603</v>
      </c>
      <c r="C137" s="6" t="s">
        <v>71</v>
      </c>
      <c r="D137" s="16" t="s">
        <v>280</v>
      </c>
      <c r="E137" t="s">
        <v>604</v>
      </c>
      <c r="F137" s="19"/>
      <c r="G137" s="16" t="s">
        <v>596</v>
      </c>
      <c r="H137" s="16"/>
      <c r="I137" s="16" t="s">
        <v>283</v>
      </c>
      <c r="J137" s="12" t="s">
        <v>605</v>
      </c>
      <c r="K137" s="16"/>
      <c r="L137" s="16">
        <v>0</v>
      </c>
      <c r="M137" s="16">
        <v>0</v>
      </c>
      <c r="N137" s="16"/>
      <c r="O137" s="16" t="s">
        <v>606</v>
      </c>
      <c r="P137" s="16">
        <v>2.2</v>
      </c>
      <c r="Q137" s="16"/>
      <c r="R137" s="16"/>
      <c r="S137" s="16"/>
      <c r="T137" s="16"/>
      <c r="U137" s="16">
        <v>0.4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39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579</v>
      </c>
    </row>
    <row r="138" s="6" customFormat="1" spans="2:72">
      <c r="B138" t="s">
        <v>607</v>
      </c>
      <c r="C138" s="6" t="s">
        <v>71</v>
      </c>
      <c r="D138" s="16" t="s">
        <v>280</v>
      </c>
      <c r="E138" t="s">
        <v>608</v>
      </c>
      <c r="F138" s="19"/>
      <c r="G138" s="16" t="s">
        <v>609</v>
      </c>
      <c r="H138" s="16"/>
      <c r="I138" s="16" t="s">
        <v>283</v>
      </c>
      <c r="J138" s="12" t="s">
        <v>610</v>
      </c>
      <c r="K138" s="16"/>
      <c r="L138" s="16">
        <v>0</v>
      </c>
      <c r="M138" s="16">
        <v>0</v>
      </c>
      <c r="N138" s="16"/>
      <c r="O138" s="16" t="s">
        <v>611</v>
      </c>
      <c r="P138" s="16">
        <v>1.15</v>
      </c>
      <c r="Q138" s="16"/>
      <c r="R138" s="16"/>
      <c r="S138" s="16"/>
      <c r="T138" s="16"/>
      <c r="U138" s="16">
        <v>0.4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39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579</v>
      </c>
    </row>
    <row r="139" s="6" customFormat="1" spans="2:72">
      <c r="B139" t="s">
        <v>612</v>
      </c>
      <c r="C139" s="6" t="s">
        <v>71</v>
      </c>
      <c r="D139" s="16" t="s">
        <v>280</v>
      </c>
      <c r="E139" t="s">
        <v>613</v>
      </c>
      <c r="F139" s="19"/>
      <c r="G139" s="16" t="s">
        <v>609</v>
      </c>
      <c r="H139" s="16"/>
      <c r="I139" s="16" t="s">
        <v>283</v>
      </c>
      <c r="J139" s="10" t="s">
        <v>614</v>
      </c>
      <c r="K139" s="16"/>
      <c r="L139" s="16">
        <v>0</v>
      </c>
      <c r="M139" s="16">
        <v>0</v>
      </c>
      <c r="N139" s="16"/>
      <c r="O139" s="16" t="s">
        <v>611</v>
      </c>
      <c r="P139" s="16">
        <v>1.15</v>
      </c>
      <c r="Q139" s="16"/>
      <c r="R139" s="16">
        <v>0</v>
      </c>
      <c r="S139" s="16">
        <v>255</v>
      </c>
      <c r="T139" s="16">
        <v>255</v>
      </c>
      <c r="U139" s="16">
        <v>0.4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39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579</v>
      </c>
    </row>
    <row r="140" s="6" customFormat="1" spans="2:72">
      <c r="B140" t="s">
        <v>615</v>
      </c>
      <c r="C140" s="6" t="s">
        <v>71</v>
      </c>
      <c r="D140" s="16" t="s">
        <v>280</v>
      </c>
      <c r="E140" t="s">
        <v>616</v>
      </c>
      <c r="F140" s="19"/>
      <c r="G140" s="16" t="s">
        <v>609</v>
      </c>
      <c r="H140" s="16"/>
      <c r="I140" s="16" t="s">
        <v>283</v>
      </c>
      <c r="J140" s="10" t="s">
        <v>617</v>
      </c>
      <c r="K140" s="16"/>
      <c r="L140" s="16">
        <v>0</v>
      </c>
      <c r="M140" s="16">
        <v>0</v>
      </c>
      <c r="N140" s="16"/>
      <c r="O140" s="16" t="s">
        <v>611</v>
      </c>
      <c r="P140" s="16">
        <v>1.15</v>
      </c>
      <c r="Q140" s="16"/>
      <c r="R140" s="16">
        <v>255</v>
      </c>
      <c r="S140" s="16">
        <v>255</v>
      </c>
      <c r="T140" s="16">
        <v>0</v>
      </c>
      <c r="U140" s="16">
        <v>0.4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39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579</v>
      </c>
    </row>
    <row r="141" s="6" customFormat="1" spans="2:72">
      <c r="B141" t="s">
        <v>618</v>
      </c>
      <c r="C141" s="6" t="s">
        <v>71</v>
      </c>
      <c r="D141" s="16" t="s">
        <v>280</v>
      </c>
      <c r="E141" t="s">
        <v>619</v>
      </c>
      <c r="F141" s="19"/>
      <c r="G141" s="16" t="s">
        <v>609</v>
      </c>
      <c r="H141" s="16"/>
      <c r="I141" s="16" t="s">
        <v>283</v>
      </c>
      <c r="J141" s="10" t="s">
        <v>620</v>
      </c>
      <c r="K141" s="16"/>
      <c r="L141" s="16">
        <v>0</v>
      </c>
      <c r="M141" s="16">
        <v>0</v>
      </c>
      <c r="N141" s="16"/>
      <c r="O141" s="16" t="s">
        <v>611</v>
      </c>
      <c r="P141" s="16">
        <v>1.15</v>
      </c>
      <c r="Q141" s="16"/>
      <c r="R141" s="16">
        <v>255</v>
      </c>
      <c r="S141" s="16">
        <v>0</v>
      </c>
      <c r="T141" s="16">
        <v>255</v>
      </c>
      <c r="U141" s="16">
        <v>0.4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39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579</v>
      </c>
    </row>
    <row r="142" s="6" customFormat="1" spans="2:72">
      <c r="B142" t="s">
        <v>621</v>
      </c>
      <c r="C142" s="6" t="s">
        <v>71</v>
      </c>
      <c r="D142" s="16" t="s">
        <v>280</v>
      </c>
      <c r="E142" t="s">
        <v>622</v>
      </c>
      <c r="F142" s="19"/>
      <c r="G142" s="16" t="s">
        <v>609</v>
      </c>
      <c r="H142" s="16"/>
      <c r="I142" s="16" t="s">
        <v>283</v>
      </c>
      <c r="J142" s="10" t="s">
        <v>623</v>
      </c>
      <c r="K142" s="16"/>
      <c r="L142" s="16">
        <v>0</v>
      </c>
      <c r="M142" s="16">
        <v>0</v>
      </c>
      <c r="N142" s="16"/>
      <c r="O142" s="16" t="s">
        <v>611</v>
      </c>
      <c r="P142" s="16">
        <v>1.15</v>
      </c>
      <c r="Q142" s="16"/>
      <c r="R142" s="16">
        <v>0</v>
      </c>
      <c r="S142" s="16">
        <v>0</v>
      </c>
      <c r="T142" s="16">
        <v>255</v>
      </c>
      <c r="U142" s="16">
        <v>0.4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39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579</v>
      </c>
    </row>
    <row r="143" s="6" customFormat="1" spans="2:72">
      <c r="B143" t="s">
        <v>624</v>
      </c>
      <c r="C143" s="6" t="s">
        <v>71</v>
      </c>
      <c r="D143" s="16" t="s">
        <v>280</v>
      </c>
      <c r="E143" t="s">
        <v>625</v>
      </c>
      <c r="F143" s="19"/>
      <c r="G143" s="16" t="s">
        <v>626</v>
      </c>
      <c r="H143" s="16"/>
      <c r="I143" s="16" t="s">
        <v>283</v>
      </c>
      <c r="J143" s="12" t="s">
        <v>627</v>
      </c>
      <c r="K143" s="16"/>
      <c r="L143" s="16">
        <v>0</v>
      </c>
      <c r="M143" s="16">
        <v>0</v>
      </c>
      <c r="N143" s="16"/>
      <c r="O143" s="16" t="s">
        <v>628</v>
      </c>
      <c r="P143" s="16">
        <v>1.85</v>
      </c>
      <c r="Q143" s="16"/>
      <c r="R143" s="16"/>
      <c r="S143" s="16"/>
      <c r="T143" s="16"/>
      <c r="U143" s="16">
        <v>0.4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39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579</v>
      </c>
    </row>
    <row r="144" s="6" customFormat="1" spans="2:72">
      <c r="B144" t="s">
        <v>629</v>
      </c>
      <c r="C144" s="6" t="s">
        <v>71</v>
      </c>
      <c r="D144" s="16" t="s">
        <v>280</v>
      </c>
      <c r="E144" t="s">
        <v>630</v>
      </c>
      <c r="F144" s="19"/>
      <c r="G144" s="16" t="s">
        <v>626</v>
      </c>
      <c r="H144" s="16"/>
      <c r="I144" s="16" t="s">
        <v>283</v>
      </c>
      <c r="J144" s="12" t="s">
        <v>631</v>
      </c>
      <c r="K144" s="16"/>
      <c r="L144" s="16">
        <v>0</v>
      </c>
      <c r="M144" s="16">
        <v>0</v>
      </c>
      <c r="N144" s="16"/>
      <c r="O144" s="16" t="s">
        <v>632</v>
      </c>
      <c r="P144" s="16">
        <v>1.05</v>
      </c>
      <c r="Q144" s="16"/>
      <c r="R144" s="16"/>
      <c r="S144" s="16"/>
      <c r="T144" s="16"/>
      <c r="U144" s="16">
        <v>0.4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39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579</v>
      </c>
    </row>
    <row r="145" s="6" customFormat="1" spans="2:72">
      <c r="B145" t="s">
        <v>633</v>
      </c>
      <c r="C145" s="6" t="s">
        <v>71</v>
      </c>
      <c r="D145" s="16" t="s">
        <v>280</v>
      </c>
      <c r="E145" t="s">
        <v>634</v>
      </c>
      <c r="F145" s="19"/>
      <c r="G145" s="16" t="s">
        <v>626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635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39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579</v>
      </c>
    </row>
    <row r="146" s="6" customFormat="1" spans="2:72">
      <c r="B146" t="s">
        <v>636</v>
      </c>
      <c r="C146" s="6" t="s">
        <v>71</v>
      </c>
      <c r="D146" s="16" t="s">
        <v>280</v>
      </c>
      <c r="E146" t="s">
        <v>634</v>
      </c>
      <c r="F146" s="19"/>
      <c r="G146" s="16" t="s">
        <v>626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635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39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579</v>
      </c>
    </row>
    <row r="147" s="6" customFormat="1" spans="2:72">
      <c r="B147" t="s">
        <v>637</v>
      </c>
      <c r="C147" s="6" t="s">
        <v>71</v>
      </c>
      <c r="D147" s="16" t="s">
        <v>280</v>
      </c>
      <c r="E147" t="s">
        <v>638</v>
      </c>
      <c r="F147" s="19"/>
      <c r="G147" s="16" t="s">
        <v>626</v>
      </c>
      <c r="H147" s="16"/>
      <c r="I147" s="16" t="s">
        <v>283</v>
      </c>
      <c r="J147" s="12" t="s">
        <v>639</v>
      </c>
      <c r="K147" s="16"/>
      <c r="L147" s="16">
        <v>0</v>
      </c>
      <c r="M147" s="16">
        <v>0</v>
      </c>
      <c r="N147" s="16"/>
      <c r="O147" s="16" t="s">
        <v>640</v>
      </c>
      <c r="P147" s="16">
        <v>1.05</v>
      </c>
      <c r="Q147" s="16"/>
      <c r="R147" s="16"/>
      <c r="S147" s="16"/>
      <c r="T147" s="16"/>
      <c r="U147" s="16">
        <v>0.4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39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579</v>
      </c>
    </row>
    <row r="148" s="6" customFormat="1" spans="2:72">
      <c r="B148" t="s">
        <v>641</v>
      </c>
      <c r="C148" s="6" t="s">
        <v>71</v>
      </c>
      <c r="D148" s="16" t="s">
        <v>280</v>
      </c>
      <c r="E148" t="s">
        <v>642</v>
      </c>
      <c r="F148" s="19"/>
      <c r="G148" s="16" t="s">
        <v>626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39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579</v>
      </c>
    </row>
    <row r="149" s="6" customFormat="1" spans="2:72">
      <c r="B149" t="s">
        <v>643</v>
      </c>
      <c r="C149" s="6" t="s">
        <v>71</v>
      </c>
      <c r="D149" s="16" t="s">
        <v>280</v>
      </c>
      <c r="E149" t="s">
        <v>644</v>
      </c>
      <c r="F149" s="19"/>
      <c r="G149" s="16" t="s">
        <v>626</v>
      </c>
      <c r="H149" s="16"/>
      <c r="I149" s="16" t="s">
        <v>283</v>
      </c>
      <c r="J149" s="12" t="s">
        <v>645</v>
      </c>
      <c r="K149" s="16"/>
      <c r="L149" s="16">
        <v>0</v>
      </c>
      <c r="M149" s="16">
        <v>0</v>
      </c>
      <c r="N149" s="16"/>
      <c r="O149" s="16" t="s">
        <v>646</v>
      </c>
      <c r="P149" s="16">
        <v>1.05</v>
      </c>
      <c r="Q149" s="16"/>
      <c r="R149" s="16"/>
      <c r="S149" s="16"/>
      <c r="T149" s="16"/>
      <c r="U149" s="16">
        <v>0.4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39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579</v>
      </c>
    </row>
    <row r="150" s="6" customFormat="1" spans="2:72">
      <c r="B150" t="s">
        <v>647</v>
      </c>
      <c r="C150" s="6" t="s">
        <v>71</v>
      </c>
      <c r="D150" s="16" t="s">
        <v>280</v>
      </c>
      <c r="E150" t="s">
        <v>648</v>
      </c>
      <c r="F150" s="19"/>
      <c r="G150" s="16" t="s">
        <v>626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635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39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579</v>
      </c>
    </row>
    <row r="151" s="6" customFormat="1" spans="2:72">
      <c r="B151" t="s">
        <v>649</v>
      </c>
      <c r="C151" s="6" t="s">
        <v>71</v>
      </c>
      <c r="D151" s="16" t="s">
        <v>280</v>
      </c>
      <c r="E151" t="s">
        <v>650</v>
      </c>
      <c r="F151" s="19"/>
      <c r="G151" s="16" t="s">
        <v>626</v>
      </c>
      <c r="H151" s="16"/>
      <c r="I151" s="16" t="s">
        <v>283</v>
      </c>
      <c r="J151" s="12" t="s">
        <v>651</v>
      </c>
      <c r="K151" s="16"/>
      <c r="L151" s="16">
        <v>0</v>
      </c>
      <c r="M151" s="16">
        <v>0</v>
      </c>
      <c r="N151" s="16"/>
      <c r="O151" s="16" t="s">
        <v>652</v>
      </c>
      <c r="P151" s="16"/>
      <c r="Q151" s="16"/>
      <c r="R151" s="16"/>
      <c r="S151" s="16"/>
      <c r="T151" s="16"/>
      <c r="U151" s="16">
        <v>0.4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39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579</v>
      </c>
    </row>
    <row r="152" s="6" customFormat="1" spans="2:72">
      <c r="B152" t="s">
        <v>653</v>
      </c>
      <c r="C152" s="6" t="s">
        <v>71</v>
      </c>
      <c r="D152" s="16" t="s">
        <v>280</v>
      </c>
      <c r="E152" t="s">
        <v>654</v>
      </c>
      <c r="F152" s="19"/>
      <c r="G152" s="16" t="s">
        <v>626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39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579</v>
      </c>
    </row>
    <row r="153" s="6" customFormat="1" spans="2:72">
      <c r="B153" t="s">
        <v>655</v>
      </c>
      <c r="C153" s="6" t="s">
        <v>71</v>
      </c>
      <c r="D153" s="16" t="s">
        <v>280</v>
      </c>
      <c r="E153" t="s">
        <v>656</v>
      </c>
      <c r="F153" s="19"/>
      <c r="G153" s="16" t="s">
        <v>657</v>
      </c>
      <c r="H153" s="16"/>
      <c r="I153" s="16" t="s">
        <v>283</v>
      </c>
      <c r="J153" s="12" t="s">
        <v>658</v>
      </c>
      <c r="K153" s="16"/>
      <c r="L153" s="16">
        <v>0</v>
      </c>
      <c r="M153" s="16">
        <v>0</v>
      </c>
      <c r="N153" s="16"/>
      <c r="O153" s="16" t="s">
        <v>236</v>
      </c>
      <c r="P153" s="16">
        <v>1.4</v>
      </c>
      <c r="Q153" s="16"/>
      <c r="R153" s="16">
        <v>255</v>
      </c>
      <c r="S153" s="16">
        <v>100</v>
      </c>
      <c r="T153" s="16">
        <v>100</v>
      </c>
      <c r="U153" s="16">
        <v>0.4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39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579</v>
      </c>
    </row>
    <row r="154" s="6" customFormat="1" spans="2:72">
      <c r="B154" t="s">
        <v>659</v>
      </c>
      <c r="C154" s="6" t="s">
        <v>71</v>
      </c>
      <c r="D154" s="16" t="s">
        <v>280</v>
      </c>
      <c r="E154" t="s">
        <v>660</v>
      </c>
      <c r="F154" s="19"/>
      <c r="G154" s="16" t="s">
        <v>657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39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579</v>
      </c>
    </row>
    <row r="155" s="6" customFormat="1" spans="2:72">
      <c r="B155" t="s">
        <v>661</v>
      </c>
      <c r="C155" s="6" t="s">
        <v>71</v>
      </c>
      <c r="D155" s="16" t="s">
        <v>280</v>
      </c>
      <c r="E155" t="s">
        <v>662</v>
      </c>
      <c r="F155" s="19"/>
      <c r="G155" s="16" t="s">
        <v>657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39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579</v>
      </c>
    </row>
    <row r="156" s="6" customFormat="1" spans="2:72">
      <c r="B156" t="s">
        <v>663</v>
      </c>
      <c r="C156" s="6" t="s">
        <v>71</v>
      </c>
      <c r="D156" s="16" t="s">
        <v>280</v>
      </c>
      <c r="E156" t="s">
        <v>664</v>
      </c>
      <c r="F156" s="19"/>
      <c r="G156" s="16" t="s">
        <v>657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39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579</v>
      </c>
    </row>
    <row r="157" s="6" customFormat="1" spans="2:72">
      <c r="B157" t="s">
        <v>665</v>
      </c>
      <c r="C157" s="6" t="s">
        <v>71</v>
      </c>
      <c r="D157" s="16" t="s">
        <v>280</v>
      </c>
      <c r="E157" t="s">
        <v>666</v>
      </c>
      <c r="F157" s="19"/>
      <c r="G157" s="16" t="s">
        <v>657</v>
      </c>
      <c r="H157" s="16"/>
      <c r="I157" s="16" t="s">
        <v>283</v>
      </c>
      <c r="J157" s="16" t="s">
        <v>667</v>
      </c>
      <c r="K157" s="16"/>
      <c r="L157" s="16">
        <v>0</v>
      </c>
      <c r="M157" s="16">
        <v>0</v>
      </c>
      <c r="N157" s="16"/>
      <c r="O157" s="16" t="s">
        <v>668</v>
      </c>
      <c r="P157" s="16">
        <v>1.3</v>
      </c>
      <c r="Q157" s="16"/>
      <c r="R157" s="16"/>
      <c r="S157" s="16"/>
      <c r="T157" s="16"/>
      <c r="U157" s="16">
        <v>0.4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39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579</v>
      </c>
    </row>
    <row r="158" s="6" customFormat="1" spans="2:72">
      <c r="B158" t="s">
        <v>669</v>
      </c>
      <c r="C158" s="6" t="s">
        <v>71</v>
      </c>
      <c r="D158" s="16" t="s">
        <v>280</v>
      </c>
      <c r="E158" t="s">
        <v>156</v>
      </c>
      <c r="F158" s="19"/>
      <c r="G158" s="16" t="s">
        <v>657</v>
      </c>
      <c r="H158" s="16"/>
      <c r="I158" s="16" t="s">
        <v>283</v>
      </c>
      <c r="J158" s="16" t="s">
        <v>670</v>
      </c>
      <c r="K158" s="16"/>
      <c r="L158" s="16">
        <v>0</v>
      </c>
      <c r="M158" s="16">
        <v>0</v>
      </c>
      <c r="N158" s="16"/>
      <c r="O158" s="16" t="s">
        <v>159</v>
      </c>
      <c r="P158" s="16">
        <v>1.75</v>
      </c>
      <c r="Q158" s="16"/>
      <c r="R158" s="16"/>
      <c r="S158" s="16"/>
      <c r="T158" s="16"/>
      <c r="U158" s="16">
        <v>0.4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39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579</v>
      </c>
    </row>
    <row r="159" s="6" customFormat="1" spans="2:72">
      <c r="B159" t="s">
        <v>671</v>
      </c>
      <c r="C159" s="6" t="s">
        <v>71</v>
      </c>
      <c r="D159" s="16" t="s">
        <v>280</v>
      </c>
      <c r="E159" t="s">
        <v>672</v>
      </c>
      <c r="F159" s="19"/>
      <c r="G159" s="16" t="s">
        <v>673</v>
      </c>
      <c r="H159" s="16"/>
      <c r="I159" s="16" t="s">
        <v>283</v>
      </c>
      <c r="J159" s="12" t="s">
        <v>674</v>
      </c>
      <c r="K159" s="16"/>
      <c r="L159" s="16">
        <v>0</v>
      </c>
      <c r="M159" s="16">
        <v>0</v>
      </c>
      <c r="N159" s="16"/>
      <c r="O159" s="16" t="s">
        <v>675</v>
      </c>
      <c r="P159" s="16">
        <v>1.9</v>
      </c>
      <c r="Q159" s="16"/>
      <c r="R159" s="16"/>
      <c r="S159" s="16"/>
      <c r="T159" s="16"/>
      <c r="U159" s="16">
        <v>0.4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39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579</v>
      </c>
    </row>
    <row r="160" s="6" customFormat="1" spans="2:72">
      <c r="B160" t="s">
        <v>676</v>
      </c>
      <c r="C160" s="6" t="s">
        <v>71</v>
      </c>
      <c r="D160" s="16" t="s">
        <v>280</v>
      </c>
      <c r="E160" t="s">
        <v>677</v>
      </c>
      <c r="F160" s="19"/>
      <c r="G160" s="16" t="s">
        <v>673</v>
      </c>
      <c r="H160" s="16"/>
      <c r="I160" s="16" t="s">
        <v>283</v>
      </c>
      <c r="J160" s="12" t="s">
        <v>678</v>
      </c>
      <c r="K160" s="16"/>
      <c r="L160" s="16">
        <v>0</v>
      </c>
      <c r="M160" s="16">
        <v>0</v>
      </c>
      <c r="N160" s="16"/>
      <c r="O160" s="16" t="s">
        <v>679</v>
      </c>
      <c r="P160" s="16">
        <v>1.65</v>
      </c>
      <c r="Q160" s="16"/>
      <c r="R160" s="16"/>
      <c r="S160" s="16"/>
      <c r="T160" s="16"/>
      <c r="U160" s="16">
        <v>0.4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39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579</v>
      </c>
    </row>
    <row r="161" s="6" customFormat="1" spans="2:72">
      <c r="B161" t="s">
        <v>680</v>
      </c>
      <c r="C161" s="6" t="s">
        <v>71</v>
      </c>
      <c r="D161" s="16" t="s">
        <v>280</v>
      </c>
      <c r="E161" t="s">
        <v>254</v>
      </c>
      <c r="F161" s="19"/>
      <c r="G161" s="16" t="s">
        <v>673</v>
      </c>
      <c r="H161" s="16"/>
      <c r="I161" s="16" t="s">
        <v>283</v>
      </c>
      <c r="J161" s="12" t="s">
        <v>681</v>
      </c>
      <c r="K161" s="16"/>
      <c r="L161" s="16">
        <v>0</v>
      </c>
      <c r="M161" s="16">
        <v>0</v>
      </c>
      <c r="N161" s="16"/>
      <c r="O161" s="10" t="s">
        <v>256</v>
      </c>
      <c r="P161" s="16">
        <v>1.3</v>
      </c>
      <c r="Q161" s="16"/>
      <c r="R161" s="16"/>
      <c r="S161" s="16"/>
      <c r="T161" s="16"/>
      <c r="U161" s="16">
        <v>0.4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39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579</v>
      </c>
    </row>
    <row r="162" s="6" customFormat="1" spans="2:72">
      <c r="B162" t="s">
        <v>682</v>
      </c>
      <c r="C162" s="6" t="s">
        <v>71</v>
      </c>
      <c r="D162" s="16" t="s">
        <v>280</v>
      </c>
      <c r="E162" t="s">
        <v>683</v>
      </c>
      <c r="F162" s="19"/>
      <c r="G162" s="16" t="s">
        <v>684</v>
      </c>
      <c r="H162" s="16"/>
      <c r="I162" s="16" t="s">
        <v>283</v>
      </c>
      <c r="J162" s="12" t="s">
        <v>685</v>
      </c>
      <c r="K162" s="16"/>
      <c r="L162" s="16">
        <v>0</v>
      </c>
      <c r="M162" s="16">
        <v>0</v>
      </c>
      <c r="N162" s="16"/>
      <c r="O162" s="16" t="s">
        <v>686</v>
      </c>
      <c r="P162" s="16">
        <v>1.8</v>
      </c>
      <c r="Q162" s="16"/>
      <c r="R162" s="16"/>
      <c r="S162" s="16"/>
      <c r="T162" s="16"/>
      <c r="U162" s="16">
        <v>0.4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39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579</v>
      </c>
    </row>
    <row r="163" s="6" customFormat="1" spans="2:72">
      <c r="B163" t="s">
        <v>687</v>
      </c>
      <c r="C163" s="6" t="s">
        <v>71</v>
      </c>
      <c r="D163" s="16" t="s">
        <v>280</v>
      </c>
      <c r="E163" t="s">
        <v>688</v>
      </c>
      <c r="F163" s="19"/>
      <c r="G163" s="16" t="s">
        <v>684</v>
      </c>
      <c r="H163" s="16"/>
      <c r="I163" s="16" t="s">
        <v>283</v>
      </c>
      <c r="J163" s="12" t="s">
        <v>689</v>
      </c>
      <c r="K163" s="16"/>
      <c r="L163" s="16">
        <v>0</v>
      </c>
      <c r="M163" s="16">
        <v>0</v>
      </c>
      <c r="N163" s="16"/>
      <c r="O163" s="16" t="s">
        <v>583</v>
      </c>
      <c r="P163" s="16">
        <v>1.9</v>
      </c>
      <c r="Q163" s="16"/>
      <c r="R163" s="16"/>
      <c r="S163" s="16"/>
      <c r="T163" s="16"/>
      <c r="U163" s="16">
        <v>0.4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39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579</v>
      </c>
    </row>
    <row r="164" s="6" customFormat="1" spans="2:72">
      <c r="B164" t="s">
        <v>690</v>
      </c>
      <c r="C164" s="6" t="s">
        <v>71</v>
      </c>
      <c r="D164" s="16" t="s">
        <v>280</v>
      </c>
      <c r="E164" t="s">
        <v>691</v>
      </c>
      <c r="F164" s="19"/>
      <c r="G164" s="16" t="s">
        <v>684</v>
      </c>
      <c r="H164" s="16"/>
      <c r="I164" s="16" t="s">
        <v>283</v>
      </c>
      <c r="J164" s="12" t="s">
        <v>692</v>
      </c>
      <c r="K164" s="16"/>
      <c r="L164" s="16">
        <v>0</v>
      </c>
      <c r="M164" s="16">
        <v>0</v>
      </c>
      <c r="N164" s="16"/>
      <c r="O164" s="16" t="s">
        <v>693</v>
      </c>
      <c r="P164" s="16">
        <v>1.9</v>
      </c>
      <c r="Q164" s="16"/>
      <c r="R164" s="16"/>
      <c r="S164" s="16"/>
      <c r="T164" s="16"/>
      <c r="U164" s="16">
        <v>0.4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39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579</v>
      </c>
    </row>
    <row r="165" s="6" customFormat="1" spans="2:72">
      <c r="B165" t="s">
        <v>694</v>
      </c>
      <c r="C165" s="6" t="s">
        <v>71</v>
      </c>
      <c r="D165" s="16" t="s">
        <v>280</v>
      </c>
      <c r="E165" t="s">
        <v>695</v>
      </c>
      <c r="F165" s="19"/>
      <c r="G165" s="16" t="s">
        <v>684</v>
      </c>
      <c r="H165" s="16"/>
      <c r="I165" s="16" t="s">
        <v>283</v>
      </c>
      <c r="J165" s="12" t="s">
        <v>696</v>
      </c>
      <c r="K165" s="16"/>
      <c r="L165" s="16">
        <v>0</v>
      </c>
      <c r="M165" s="16">
        <v>0</v>
      </c>
      <c r="N165" s="16"/>
      <c r="O165" s="16" t="s">
        <v>697</v>
      </c>
      <c r="P165" s="16">
        <v>1.9</v>
      </c>
      <c r="Q165" s="16"/>
      <c r="R165" s="16"/>
      <c r="S165" s="16"/>
      <c r="T165" s="16"/>
      <c r="U165" s="16">
        <v>0.4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39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579</v>
      </c>
    </row>
    <row r="166" s="6" customFormat="1" spans="2:72">
      <c r="B166" t="s">
        <v>698</v>
      </c>
      <c r="C166" s="6" t="s">
        <v>71</v>
      </c>
      <c r="D166" s="16" t="s">
        <v>280</v>
      </c>
      <c r="E166" t="s">
        <v>699</v>
      </c>
      <c r="F166" s="19"/>
      <c r="G166" s="16" t="s">
        <v>684</v>
      </c>
      <c r="H166" s="16"/>
      <c r="I166" s="16" t="s">
        <v>283</v>
      </c>
      <c r="J166" s="12" t="s">
        <v>700</v>
      </c>
      <c r="K166" s="16"/>
      <c r="L166" s="16">
        <v>0</v>
      </c>
      <c r="M166" s="16">
        <v>0</v>
      </c>
      <c r="N166" s="16"/>
      <c r="O166" s="16" t="s">
        <v>701</v>
      </c>
      <c r="P166" s="16">
        <v>1.9</v>
      </c>
      <c r="Q166" s="16"/>
      <c r="R166" s="16"/>
      <c r="S166" s="16"/>
      <c r="T166" s="16"/>
      <c r="U166" s="16">
        <v>0.4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39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579</v>
      </c>
    </row>
    <row r="167" s="6" customFormat="1" spans="2:72">
      <c r="B167" t="s">
        <v>702</v>
      </c>
      <c r="C167" s="6" t="s">
        <v>71</v>
      </c>
      <c r="D167" s="16" t="s">
        <v>280</v>
      </c>
      <c r="E167" t="s">
        <v>703</v>
      </c>
      <c r="F167" s="19"/>
      <c r="G167" s="16" t="s">
        <v>704</v>
      </c>
      <c r="H167" s="16"/>
      <c r="I167" s="16" t="s">
        <v>283</v>
      </c>
      <c r="J167" s="12" t="s">
        <v>705</v>
      </c>
      <c r="K167" s="16"/>
      <c r="L167" s="16">
        <v>0</v>
      </c>
      <c r="M167" s="16">
        <v>0</v>
      </c>
      <c r="N167" s="16"/>
      <c r="O167" s="16" t="s">
        <v>706</v>
      </c>
      <c r="P167" s="16">
        <v>1.3</v>
      </c>
      <c r="Q167" s="16"/>
      <c r="R167" s="16"/>
      <c r="S167" s="16"/>
      <c r="T167" s="16"/>
      <c r="U167" s="16">
        <v>0.4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39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579</v>
      </c>
    </row>
    <row r="168" s="6" customFormat="1" spans="2:72">
      <c r="B168" t="s">
        <v>707</v>
      </c>
      <c r="C168" s="6" t="s">
        <v>71</v>
      </c>
      <c r="D168" s="16" t="s">
        <v>280</v>
      </c>
      <c r="E168" t="s">
        <v>708</v>
      </c>
      <c r="F168" s="19"/>
      <c r="G168" s="16" t="s">
        <v>704</v>
      </c>
      <c r="H168" s="16"/>
      <c r="I168" s="16" t="s">
        <v>283</v>
      </c>
      <c r="J168" s="12" t="s">
        <v>709</v>
      </c>
      <c r="K168" s="16"/>
      <c r="L168" s="16">
        <v>0</v>
      </c>
      <c r="M168" s="16">
        <v>0</v>
      </c>
      <c r="N168" s="16"/>
      <c r="O168" s="16" t="s">
        <v>710</v>
      </c>
      <c r="P168" s="16">
        <v>2.1</v>
      </c>
      <c r="Q168" s="16"/>
      <c r="R168" s="16"/>
      <c r="S168" s="16"/>
      <c r="T168" s="16"/>
      <c r="U168" s="16">
        <v>0.4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39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579</v>
      </c>
    </row>
    <row r="169" s="6" customFormat="1" spans="2:72">
      <c r="B169" t="s">
        <v>711</v>
      </c>
      <c r="C169" s="6" t="s">
        <v>71</v>
      </c>
      <c r="D169" s="16" t="s">
        <v>280</v>
      </c>
      <c r="E169" t="s">
        <v>712</v>
      </c>
      <c r="F169" s="19"/>
      <c r="G169" s="16" t="s">
        <v>704</v>
      </c>
      <c r="H169" s="16"/>
      <c r="I169" s="16" t="s">
        <v>283</v>
      </c>
      <c r="J169" s="12" t="s">
        <v>713</v>
      </c>
      <c r="K169" s="16"/>
      <c r="L169" s="16">
        <v>0</v>
      </c>
      <c r="M169" s="16">
        <v>0</v>
      </c>
      <c r="N169" s="16"/>
      <c r="O169" s="16" t="s">
        <v>714</v>
      </c>
      <c r="P169" s="16">
        <v>1.7</v>
      </c>
      <c r="Q169" s="16"/>
      <c r="R169" s="16"/>
      <c r="S169" s="16"/>
      <c r="T169" s="16"/>
      <c r="U169" s="16">
        <v>0.4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39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579</v>
      </c>
    </row>
    <row r="170" s="6" customFormat="1" spans="2:72">
      <c r="B170" t="s">
        <v>715</v>
      </c>
      <c r="C170" s="6" t="s">
        <v>71</v>
      </c>
      <c r="D170" s="16" t="s">
        <v>280</v>
      </c>
      <c r="E170" t="s">
        <v>716</v>
      </c>
      <c r="F170" s="19"/>
      <c r="G170" s="16" t="s">
        <v>704</v>
      </c>
      <c r="H170" s="16"/>
      <c r="I170" s="16" t="s">
        <v>283</v>
      </c>
      <c r="J170" s="12" t="s">
        <v>717</v>
      </c>
      <c r="K170" s="16"/>
      <c r="L170" s="16">
        <v>0</v>
      </c>
      <c r="M170" s="16">
        <v>0</v>
      </c>
      <c r="N170" s="16"/>
      <c r="O170" s="16" t="s">
        <v>718</v>
      </c>
      <c r="P170" s="16">
        <v>1.4</v>
      </c>
      <c r="Q170" s="16"/>
      <c r="R170" s="16"/>
      <c r="S170" s="16"/>
      <c r="T170" s="16"/>
      <c r="U170" s="16">
        <v>0.4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39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579</v>
      </c>
    </row>
    <row r="171" s="6" customFormat="1" spans="2:72">
      <c r="B171" t="s">
        <v>719</v>
      </c>
      <c r="C171" s="6" t="s">
        <v>71</v>
      </c>
      <c r="D171" s="16" t="s">
        <v>280</v>
      </c>
      <c r="E171" t="s">
        <v>720</v>
      </c>
      <c r="F171" s="19"/>
      <c r="G171" s="16" t="s">
        <v>704</v>
      </c>
      <c r="H171" s="16"/>
      <c r="I171" s="16" t="s">
        <v>283</v>
      </c>
      <c r="J171" s="12" t="s">
        <v>721</v>
      </c>
      <c r="K171" s="16"/>
      <c r="L171" s="16">
        <v>0</v>
      </c>
      <c r="M171" s="16">
        <v>0</v>
      </c>
      <c r="N171" s="16"/>
      <c r="O171" s="16" t="s">
        <v>722</v>
      </c>
      <c r="P171" s="16">
        <v>1.5</v>
      </c>
      <c r="Q171" s="16"/>
      <c r="R171" s="16"/>
      <c r="S171" s="16"/>
      <c r="T171" s="16"/>
      <c r="U171" s="16">
        <v>0.4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39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579</v>
      </c>
    </row>
    <row r="172" s="6" customFormat="1" spans="2:72">
      <c r="B172" t="s">
        <v>723</v>
      </c>
      <c r="C172" s="6" t="s">
        <v>71</v>
      </c>
      <c r="D172" s="16" t="s">
        <v>280</v>
      </c>
      <c r="E172" t="s">
        <v>724</v>
      </c>
      <c r="F172" s="19"/>
      <c r="G172" s="16" t="s">
        <v>704</v>
      </c>
      <c r="H172" s="16"/>
      <c r="I172" s="16" t="s">
        <v>283</v>
      </c>
      <c r="J172" s="12" t="s">
        <v>725</v>
      </c>
      <c r="K172" s="16"/>
      <c r="L172" s="16">
        <v>0</v>
      </c>
      <c r="M172" s="16">
        <v>0</v>
      </c>
      <c r="N172" s="16"/>
      <c r="O172" s="16" t="s">
        <v>726</v>
      </c>
      <c r="P172" s="16">
        <v>1.4</v>
      </c>
      <c r="Q172" s="16"/>
      <c r="R172" s="16"/>
      <c r="S172" s="16"/>
      <c r="T172" s="16"/>
      <c r="U172" s="16">
        <v>0.4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39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579</v>
      </c>
    </row>
    <row r="173" s="6" customFormat="1" spans="2:72">
      <c r="B173" t="s">
        <v>727</v>
      </c>
      <c r="C173" s="6" t="s">
        <v>71</v>
      </c>
      <c r="D173" s="16" t="s">
        <v>280</v>
      </c>
      <c r="E173" t="s">
        <v>728</v>
      </c>
      <c r="F173" s="19"/>
      <c r="G173" s="16" t="s">
        <v>704</v>
      </c>
      <c r="H173" s="16"/>
      <c r="I173" s="16" t="s">
        <v>283</v>
      </c>
      <c r="J173" s="12" t="s">
        <v>729</v>
      </c>
      <c r="K173" s="16"/>
      <c r="L173" s="16">
        <v>0</v>
      </c>
      <c r="M173" s="16">
        <v>0</v>
      </c>
      <c r="N173" s="16"/>
      <c r="O173" s="10" t="s">
        <v>210</v>
      </c>
      <c r="P173" s="16">
        <v>1.45</v>
      </c>
      <c r="Q173" s="16"/>
      <c r="R173" s="16"/>
      <c r="S173" s="16"/>
      <c r="T173" s="16"/>
      <c r="U173" s="16">
        <v>0.4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39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579</v>
      </c>
    </row>
    <row r="174" s="6" customFormat="1" spans="2:72">
      <c r="B174" t="s">
        <v>730</v>
      </c>
      <c r="C174" s="6" t="s">
        <v>71</v>
      </c>
      <c r="D174" s="16" t="s">
        <v>280</v>
      </c>
      <c r="E174" t="s">
        <v>728</v>
      </c>
      <c r="F174" s="19"/>
      <c r="G174" s="16" t="s">
        <v>704</v>
      </c>
      <c r="H174" s="16"/>
      <c r="I174" s="16" t="s">
        <v>283</v>
      </c>
      <c r="J174" s="12" t="s">
        <v>731</v>
      </c>
      <c r="K174" s="16"/>
      <c r="L174" s="16">
        <v>0</v>
      </c>
      <c r="M174" s="16">
        <v>0</v>
      </c>
      <c r="N174" s="16"/>
      <c r="O174" s="10" t="s">
        <v>210</v>
      </c>
      <c r="P174" s="16">
        <v>1.45</v>
      </c>
      <c r="Q174" s="16"/>
      <c r="R174" s="16"/>
      <c r="S174" s="16"/>
      <c r="T174" s="16"/>
      <c r="U174" s="16">
        <v>0.4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39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579</v>
      </c>
    </row>
    <row r="175" s="6" customFormat="1" spans="2:69">
      <c r="B175" t="s">
        <v>732</v>
      </c>
      <c r="C175" s="6" t="s">
        <v>71</v>
      </c>
      <c r="D175" s="16" t="s">
        <v>280</v>
      </c>
      <c r="E175" t="s">
        <v>733</v>
      </c>
      <c r="F175" s="19"/>
      <c r="G175" s="16" t="s">
        <v>734</v>
      </c>
      <c r="H175" s="16"/>
      <c r="I175" s="16" t="s">
        <v>283</v>
      </c>
      <c r="J175" s="12" t="s">
        <v>735</v>
      </c>
      <c r="K175" s="16"/>
      <c r="L175" s="16">
        <v>0</v>
      </c>
      <c r="M175" s="16">
        <v>0</v>
      </c>
      <c r="N175" s="16"/>
      <c r="O175" s="16" t="s">
        <v>736</v>
      </c>
      <c r="P175" s="16">
        <v>1.5</v>
      </c>
      <c r="Q175" s="16"/>
      <c r="R175" s="16"/>
      <c r="S175" s="16"/>
      <c r="T175" s="16"/>
      <c r="U175" s="16">
        <v>1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39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="6" customFormat="1" spans="2:69">
      <c r="B176" t="s">
        <v>737</v>
      </c>
      <c r="C176" s="6" t="s">
        <v>71</v>
      </c>
      <c r="D176" s="16" t="s">
        <v>280</v>
      </c>
      <c r="E176" t="s">
        <v>738</v>
      </c>
      <c r="F176" s="19"/>
      <c r="G176" s="16" t="s">
        <v>734</v>
      </c>
      <c r="H176" s="16"/>
      <c r="I176" s="16" t="s">
        <v>283</v>
      </c>
      <c r="J176" s="12" t="s">
        <v>739</v>
      </c>
      <c r="K176" s="16"/>
      <c r="L176" s="16">
        <v>0</v>
      </c>
      <c r="M176" s="16">
        <v>0</v>
      </c>
      <c r="N176" s="16"/>
      <c r="O176" s="16" t="s">
        <v>740</v>
      </c>
      <c r="P176" s="16">
        <v>2.15</v>
      </c>
      <c r="Q176" s="16"/>
      <c r="R176" s="16"/>
      <c r="S176" s="16"/>
      <c r="T176" s="16"/>
      <c r="U176" s="16">
        <v>1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39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="6" customFormat="1" spans="2:69">
      <c r="B177" t="s">
        <v>741</v>
      </c>
      <c r="C177" s="6" t="s">
        <v>71</v>
      </c>
      <c r="D177" s="16" t="s">
        <v>280</v>
      </c>
      <c r="E177" t="s">
        <v>742</v>
      </c>
      <c r="F177" s="19"/>
      <c r="G177" s="16" t="s">
        <v>734</v>
      </c>
      <c r="H177" s="16"/>
      <c r="I177" s="16" t="s">
        <v>283</v>
      </c>
      <c r="J177" s="12" t="s">
        <v>743</v>
      </c>
      <c r="K177" s="16"/>
      <c r="L177" s="16">
        <v>0</v>
      </c>
      <c r="M177" s="16">
        <v>0</v>
      </c>
      <c r="N177" s="16"/>
      <c r="O177" s="16" t="s">
        <v>744</v>
      </c>
      <c r="P177" s="16">
        <v>1.32</v>
      </c>
      <c r="Q177" s="16"/>
      <c r="R177" s="16"/>
      <c r="S177" s="16"/>
      <c r="T177" s="16"/>
      <c r="U177" s="16">
        <v>1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39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="6" customFormat="1" spans="2:69">
      <c r="B178" t="s">
        <v>745</v>
      </c>
      <c r="C178" s="6" t="s">
        <v>71</v>
      </c>
      <c r="D178" s="16" t="s">
        <v>280</v>
      </c>
      <c r="E178" t="s">
        <v>746</v>
      </c>
      <c r="F178" s="19"/>
      <c r="G178" s="16" t="s">
        <v>734</v>
      </c>
      <c r="H178" s="16"/>
      <c r="I178" s="16" t="s">
        <v>283</v>
      </c>
      <c r="J178" s="12" t="s">
        <v>747</v>
      </c>
      <c r="K178" s="16"/>
      <c r="L178" s="16">
        <v>0</v>
      </c>
      <c r="M178" s="16">
        <v>0</v>
      </c>
      <c r="N178" s="16"/>
      <c r="O178" s="16" t="s">
        <v>748</v>
      </c>
      <c r="P178" s="16">
        <v>1.4</v>
      </c>
      <c r="Q178" s="16"/>
      <c r="R178" s="16"/>
      <c r="S178" s="16"/>
      <c r="T178" s="16"/>
      <c r="U178" s="16">
        <v>1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39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="6" customFormat="1" spans="2:69">
      <c r="B179" t="s">
        <v>749</v>
      </c>
      <c r="C179" s="6" t="s">
        <v>71</v>
      </c>
      <c r="D179" s="16" t="s">
        <v>280</v>
      </c>
      <c r="E179" t="s">
        <v>750</v>
      </c>
      <c r="F179" s="19"/>
      <c r="G179" s="16" t="s">
        <v>734</v>
      </c>
      <c r="H179" s="16"/>
      <c r="I179" s="16" t="s">
        <v>283</v>
      </c>
      <c r="J179" s="12" t="s">
        <v>751</v>
      </c>
      <c r="K179" s="16"/>
      <c r="L179" s="16">
        <v>0</v>
      </c>
      <c r="M179" s="16">
        <v>0</v>
      </c>
      <c r="N179" s="16"/>
      <c r="O179" s="16" t="s">
        <v>752</v>
      </c>
      <c r="P179" s="16">
        <v>1.2</v>
      </c>
      <c r="Q179" s="16"/>
      <c r="R179" s="16"/>
      <c r="S179" s="16"/>
      <c r="T179" s="16"/>
      <c r="U179" s="16">
        <v>1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39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="6" customFormat="1" spans="2:69">
      <c r="B180" t="s">
        <v>753</v>
      </c>
      <c r="C180" s="6" t="s">
        <v>71</v>
      </c>
      <c r="D180" s="16" t="s">
        <v>280</v>
      </c>
      <c r="E180" t="s">
        <v>754</v>
      </c>
      <c r="F180" s="19"/>
      <c r="G180" s="16" t="s">
        <v>734</v>
      </c>
      <c r="H180" s="16"/>
      <c r="I180" s="16" t="s">
        <v>283</v>
      </c>
      <c r="J180" s="12" t="s">
        <v>755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</v>
      </c>
      <c r="Q180" s="16"/>
      <c r="R180" s="16"/>
      <c r="S180" s="16"/>
      <c r="T180" s="16"/>
      <c r="U180" s="16">
        <v>1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39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="6" customFormat="1" spans="2:69">
      <c r="B181" t="s">
        <v>756</v>
      </c>
      <c r="C181" s="6" t="s">
        <v>71</v>
      </c>
      <c r="D181" s="16" t="s">
        <v>280</v>
      </c>
      <c r="E181" t="s">
        <v>161</v>
      </c>
      <c r="F181" s="19"/>
      <c r="G181" s="16" t="s">
        <v>757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</v>
      </c>
      <c r="Q181" s="16"/>
      <c r="R181" s="16"/>
      <c r="S181" s="16"/>
      <c r="T181" s="16"/>
      <c r="U181" s="16">
        <v>1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39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="6" customFormat="1" spans="2:69">
      <c r="B182" t="s">
        <v>758</v>
      </c>
      <c r="C182" s="6" t="s">
        <v>71</v>
      </c>
      <c r="D182" s="16" t="s">
        <v>280</v>
      </c>
      <c r="E182" t="s">
        <v>172</v>
      </c>
      <c r="F182" s="19"/>
      <c r="G182" s="16" t="s">
        <v>757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1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39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="6" customFormat="1" spans="2:69">
      <c r="B183" t="s">
        <v>759</v>
      </c>
      <c r="C183" s="6" t="s">
        <v>71</v>
      </c>
      <c r="D183" s="16" t="s">
        <v>280</v>
      </c>
      <c r="E183" t="s">
        <v>760</v>
      </c>
      <c r="F183" s="19"/>
      <c r="G183" s="16" t="s">
        <v>757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</v>
      </c>
      <c r="Q183" s="16"/>
      <c r="R183" s="16"/>
      <c r="S183" s="16"/>
      <c r="T183" s="16"/>
      <c r="U183" s="16">
        <v>1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39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="6" customFormat="1" spans="2:69">
      <c r="B184" t="s">
        <v>761</v>
      </c>
      <c r="C184" s="6" t="s">
        <v>71</v>
      </c>
      <c r="D184" s="16" t="s">
        <v>280</v>
      </c>
      <c r="E184" t="s">
        <v>762</v>
      </c>
      <c r="F184" s="19"/>
      <c r="G184" s="16" t="s">
        <v>757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763</v>
      </c>
      <c r="P184" s="16">
        <v>2.01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39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="6" customFormat="1" spans="2:69">
      <c r="B185" t="s">
        <v>764</v>
      </c>
      <c r="C185" s="6" t="s">
        <v>71</v>
      </c>
      <c r="D185" s="16" t="s">
        <v>280</v>
      </c>
      <c r="E185" t="s">
        <v>765</v>
      </c>
      <c r="F185" s="19"/>
      <c r="G185" s="16" t="s">
        <v>757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2.3</v>
      </c>
      <c r="Q185" s="16"/>
      <c r="R185" s="16"/>
      <c r="S185" s="16"/>
      <c r="T185" s="16"/>
      <c r="U185" s="16">
        <v>1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39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="6" customFormat="1" spans="2:69">
      <c r="B186" s="32" t="s">
        <v>766</v>
      </c>
      <c r="C186" s="6" t="s">
        <v>71</v>
      </c>
      <c r="D186" s="16" t="s">
        <v>280</v>
      </c>
      <c r="E186" s="32" t="s">
        <v>767</v>
      </c>
      <c r="F186" s="19"/>
      <c r="G186" s="33" t="s">
        <v>768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736</v>
      </c>
      <c r="P186" s="16">
        <v>1.5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39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="6" customFormat="1" spans="2:69">
      <c r="B187" s="32" t="s">
        <v>769</v>
      </c>
      <c r="C187" s="6" t="s">
        <v>71</v>
      </c>
      <c r="D187" s="16" t="s">
        <v>280</v>
      </c>
      <c r="E187" s="32" t="s">
        <v>770</v>
      </c>
      <c r="F187" s="19"/>
      <c r="G187" s="33" t="s">
        <v>768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736</v>
      </c>
      <c r="P187" s="16">
        <v>1.5</v>
      </c>
      <c r="Q187" s="16"/>
      <c r="R187" s="16"/>
      <c r="S187" s="16"/>
      <c r="T187" s="16"/>
      <c r="U187" s="16">
        <v>1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39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="6" customFormat="1" spans="2:69">
      <c r="B188" s="32" t="s">
        <v>771</v>
      </c>
      <c r="C188" s="6" t="s">
        <v>71</v>
      </c>
      <c r="D188" s="16" t="s">
        <v>280</v>
      </c>
      <c r="E188" s="32" t="s">
        <v>772</v>
      </c>
      <c r="F188" s="19"/>
      <c r="G188" s="33" t="s">
        <v>768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736</v>
      </c>
      <c r="P188" s="16">
        <v>1.5</v>
      </c>
      <c r="Q188" s="16"/>
      <c r="R188" s="16"/>
      <c r="S188" s="16"/>
      <c r="T188" s="16"/>
      <c r="U188" s="16">
        <v>1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39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="6" customFormat="1" spans="2:69">
      <c r="B189" s="32" t="s">
        <v>773</v>
      </c>
      <c r="C189" s="6" t="s">
        <v>71</v>
      </c>
      <c r="D189" s="16" t="s">
        <v>280</v>
      </c>
      <c r="E189" s="32" t="s">
        <v>774</v>
      </c>
      <c r="F189" s="19"/>
      <c r="G189" s="33" t="s">
        <v>768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736</v>
      </c>
      <c r="P189" s="16">
        <v>1.5</v>
      </c>
      <c r="Q189" s="16"/>
      <c r="R189" s="16"/>
      <c r="S189" s="16"/>
      <c r="T189" s="16"/>
      <c r="U189" s="16">
        <v>1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39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="6" customFormat="1" spans="2:69">
      <c r="B190" s="32" t="s">
        <v>775</v>
      </c>
      <c r="C190" s="6" t="s">
        <v>71</v>
      </c>
      <c r="D190" s="16" t="s">
        <v>280</v>
      </c>
      <c r="E190" s="32" t="s">
        <v>776</v>
      </c>
      <c r="F190" s="19"/>
      <c r="G190" s="33" t="s">
        <v>768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736</v>
      </c>
      <c r="P190" s="16">
        <v>1.5</v>
      </c>
      <c r="Q190" s="16"/>
      <c r="R190" s="16"/>
      <c r="S190" s="16"/>
      <c r="T190" s="16"/>
      <c r="U190" s="16">
        <v>1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39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="6" customFormat="1" spans="2:69">
      <c r="B191" s="32" t="s">
        <v>777</v>
      </c>
      <c r="C191" s="6" t="s">
        <v>71</v>
      </c>
      <c r="D191" s="16" t="s">
        <v>280</v>
      </c>
      <c r="E191" s="32" t="s">
        <v>778</v>
      </c>
      <c r="F191" s="19"/>
      <c r="G191" s="33" t="s">
        <v>768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736</v>
      </c>
      <c r="P191" s="16">
        <v>1.5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39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="6" customFormat="1" spans="2:69">
      <c r="B192" s="32" t="s">
        <v>779</v>
      </c>
      <c r="C192" s="6" t="s">
        <v>71</v>
      </c>
      <c r="D192" s="16" t="s">
        <v>280</v>
      </c>
      <c r="E192" s="32" t="s">
        <v>780</v>
      </c>
      <c r="F192" s="19"/>
      <c r="G192" s="33" t="s">
        <v>768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736</v>
      </c>
      <c r="P192" s="16">
        <v>1.5</v>
      </c>
      <c r="Q192" s="16"/>
      <c r="R192" s="16"/>
      <c r="S192" s="16"/>
      <c r="T192" s="16"/>
      <c r="U192" s="16">
        <v>1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39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="6" customFormat="1" spans="2:69">
      <c r="B193" s="32" t="s">
        <v>781</v>
      </c>
      <c r="C193" s="6" t="s">
        <v>71</v>
      </c>
      <c r="D193" s="16" t="s">
        <v>280</v>
      </c>
      <c r="E193" s="32" t="s">
        <v>782</v>
      </c>
      <c r="F193" s="19"/>
      <c r="G193" s="33" t="s">
        <v>768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736</v>
      </c>
      <c r="P193" s="16">
        <v>1.5</v>
      </c>
      <c r="Q193" s="16"/>
      <c r="R193" s="16"/>
      <c r="S193" s="16"/>
      <c r="T193" s="16"/>
      <c r="U193" s="16">
        <v>1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39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="6" customFormat="1" spans="2:69">
      <c r="B194" s="32" t="s">
        <v>783</v>
      </c>
      <c r="C194" s="6" t="s">
        <v>71</v>
      </c>
      <c r="D194" s="16" t="s">
        <v>280</v>
      </c>
      <c r="E194" s="32" t="s">
        <v>784</v>
      </c>
      <c r="F194" s="19"/>
      <c r="G194" s="33" t="s">
        <v>768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736</v>
      </c>
      <c r="P194" s="16">
        <v>1.5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39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="6" customFormat="1" spans="2:69">
      <c r="B195" s="32" t="s">
        <v>785</v>
      </c>
      <c r="C195" s="6" t="s">
        <v>71</v>
      </c>
      <c r="D195" s="16" t="s">
        <v>280</v>
      </c>
      <c r="E195" s="32" t="s">
        <v>786</v>
      </c>
      <c r="F195" s="19"/>
      <c r="G195" s="33" t="s">
        <v>768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736</v>
      </c>
      <c r="P195" s="16">
        <v>1.5</v>
      </c>
      <c r="Q195" s="16"/>
      <c r="R195" s="16"/>
      <c r="S195" s="16"/>
      <c r="T195" s="16"/>
      <c r="U195" s="16">
        <v>1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39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="6" customFormat="1" spans="2:69">
      <c r="B196" s="32" t="s">
        <v>787</v>
      </c>
      <c r="C196" s="6" t="s">
        <v>71</v>
      </c>
      <c r="D196" s="16" t="s">
        <v>280</v>
      </c>
      <c r="E196" s="32" t="s">
        <v>788</v>
      </c>
      <c r="F196" s="19"/>
      <c r="G196" s="33" t="s">
        <v>768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736</v>
      </c>
      <c r="P196" s="16">
        <v>1.5</v>
      </c>
      <c r="Q196" s="16"/>
      <c r="R196" s="16"/>
      <c r="S196" s="16"/>
      <c r="T196" s="16"/>
      <c r="U196" s="16">
        <v>1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39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="6" customFormat="1" spans="2:69">
      <c r="B197" s="32" t="s">
        <v>789</v>
      </c>
      <c r="C197" s="6" t="s">
        <v>71</v>
      </c>
      <c r="D197" s="16" t="s">
        <v>280</v>
      </c>
      <c r="E197" s="32" t="s">
        <v>790</v>
      </c>
      <c r="F197" s="19"/>
      <c r="G197" s="33" t="s">
        <v>768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736</v>
      </c>
      <c r="P197" s="16">
        <v>1.5</v>
      </c>
      <c r="Q197" s="16"/>
      <c r="R197" s="16"/>
      <c r="S197" s="16"/>
      <c r="T197" s="16"/>
      <c r="U197" s="16">
        <v>1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39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="6" customFormat="1" spans="2:69">
      <c r="B198" s="32" t="s">
        <v>791</v>
      </c>
      <c r="C198" s="6" t="s">
        <v>71</v>
      </c>
      <c r="D198" s="16" t="s">
        <v>280</v>
      </c>
      <c r="E198" s="32" t="s">
        <v>792</v>
      </c>
      <c r="F198" s="19"/>
      <c r="G198" s="33" t="s">
        <v>768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736</v>
      </c>
      <c r="P198" s="16">
        <v>1.5</v>
      </c>
      <c r="Q198" s="16"/>
      <c r="R198" s="16"/>
      <c r="S198" s="16"/>
      <c r="T198" s="16"/>
      <c r="U198" s="16">
        <v>1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39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="6" customFormat="1" spans="2:69">
      <c r="B199" s="32" t="s">
        <v>793</v>
      </c>
      <c r="C199" s="6" t="s">
        <v>71</v>
      </c>
      <c r="D199" s="16" t="s">
        <v>280</v>
      </c>
      <c r="E199" s="32" t="s">
        <v>794</v>
      </c>
      <c r="F199" s="19"/>
      <c r="G199" s="33" t="s">
        <v>768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736</v>
      </c>
      <c r="P199" s="16">
        <v>1.5</v>
      </c>
      <c r="Q199" s="16"/>
      <c r="R199" s="16"/>
      <c r="S199" s="16"/>
      <c r="T199" s="16"/>
      <c r="U199" s="16">
        <v>1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39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="6" customFormat="1" spans="2:69">
      <c r="B200" s="32" t="s">
        <v>795</v>
      </c>
      <c r="C200" s="6" t="s">
        <v>71</v>
      </c>
      <c r="D200" s="16" t="s">
        <v>280</v>
      </c>
      <c r="E200" s="32" t="s">
        <v>796</v>
      </c>
      <c r="F200" s="19"/>
      <c r="G200" s="33" t="s">
        <v>768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736</v>
      </c>
      <c r="P200" s="16">
        <v>1.5</v>
      </c>
      <c r="Q200" s="16"/>
      <c r="R200" s="16"/>
      <c r="S200" s="16"/>
      <c r="T200" s="16"/>
      <c r="U200" s="16">
        <v>1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39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="6" customFormat="1" spans="2:69">
      <c r="B201" s="32" t="s">
        <v>797</v>
      </c>
      <c r="C201" s="6" t="s">
        <v>71</v>
      </c>
      <c r="D201" s="16" t="s">
        <v>280</v>
      </c>
      <c r="E201" s="32" t="s">
        <v>798</v>
      </c>
      <c r="F201" s="19"/>
      <c r="G201" s="33" t="s">
        <v>768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736</v>
      </c>
      <c r="P201" s="16">
        <v>1.5</v>
      </c>
      <c r="Q201" s="16"/>
      <c r="R201" s="16"/>
      <c r="S201" s="16"/>
      <c r="T201" s="16"/>
      <c r="U201" s="16">
        <v>1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39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="6" customFormat="1" spans="2:69">
      <c r="B202" s="32" t="s">
        <v>799</v>
      </c>
      <c r="C202" s="6" t="s">
        <v>71</v>
      </c>
      <c r="D202" s="16" t="s">
        <v>280</v>
      </c>
      <c r="E202" s="32" t="s">
        <v>800</v>
      </c>
      <c r="F202" s="19"/>
      <c r="G202" s="33" t="s">
        <v>768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736</v>
      </c>
      <c r="P202" s="16">
        <v>1.5</v>
      </c>
      <c r="Q202" s="16"/>
      <c r="R202" s="16"/>
      <c r="S202" s="16"/>
      <c r="T202" s="16"/>
      <c r="U202" s="16">
        <v>1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39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="6" customFormat="1" spans="2:69">
      <c r="B203" s="32" t="s">
        <v>801</v>
      </c>
      <c r="C203" s="6" t="s">
        <v>71</v>
      </c>
      <c r="D203" s="16" t="s">
        <v>280</v>
      </c>
      <c r="E203" s="32" t="s">
        <v>802</v>
      </c>
      <c r="F203" s="19"/>
      <c r="G203" s="33" t="s">
        <v>768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736</v>
      </c>
      <c r="P203" s="16">
        <v>1.5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39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="6" customFormat="1" spans="2:69">
      <c r="B204" s="32" t="s">
        <v>803</v>
      </c>
      <c r="C204" s="6" t="s">
        <v>71</v>
      </c>
      <c r="D204" s="16" t="s">
        <v>280</v>
      </c>
      <c r="E204" s="32" t="s">
        <v>804</v>
      </c>
      <c r="F204" s="19"/>
      <c r="G204" s="33" t="s">
        <v>768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736</v>
      </c>
      <c r="P204" s="16">
        <v>1.5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39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="6" customFormat="1" spans="2:69">
      <c r="B205" s="32" t="s">
        <v>805</v>
      </c>
      <c r="C205" s="6" t="s">
        <v>71</v>
      </c>
      <c r="D205" s="16" t="s">
        <v>280</v>
      </c>
      <c r="E205" s="32" t="s">
        <v>806</v>
      </c>
      <c r="F205" s="19"/>
      <c r="G205" s="33" t="s">
        <v>768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736</v>
      </c>
      <c r="P205" s="16">
        <v>1.5</v>
      </c>
      <c r="Q205" s="16"/>
      <c r="R205" s="16"/>
      <c r="S205" s="16"/>
      <c r="T205" s="16"/>
      <c r="U205" s="16">
        <v>1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39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="6" customFormat="1" spans="2:69">
      <c r="B206" s="32" t="s">
        <v>807</v>
      </c>
      <c r="C206" s="6" t="s">
        <v>71</v>
      </c>
      <c r="D206" s="16" t="s">
        <v>280</v>
      </c>
      <c r="E206" s="32" t="s">
        <v>808</v>
      </c>
      <c r="F206" s="19"/>
      <c r="G206" s="33" t="s">
        <v>768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736</v>
      </c>
      <c r="P206" s="16">
        <v>1.5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39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="6" customFormat="1" spans="2:69">
      <c r="B207" s="32" t="s">
        <v>809</v>
      </c>
      <c r="C207" s="6" t="s">
        <v>71</v>
      </c>
      <c r="D207" s="16" t="s">
        <v>280</v>
      </c>
      <c r="E207" s="32" t="s">
        <v>810</v>
      </c>
      <c r="F207" s="19"/>
      <c r="G207" s="33" t="s">
        <v>768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736</v>
      </c>
      <c r="P207" s="16">
        <v>1.5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39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="6" customFormat="1" spans="2:69">
      <c r="B208" s="32" t="s">
        <v>811</v>
      </c>
      <c r="C208" s="6" t="s">
        <v>71</v>
      </c>
      <c r="D208" s="16" t="s">
        <v>280</v>
      </c>
      <c r="E208" s="32" t="s">
        <v>812</v>
      </c>
      <c r="F208" s="19"/>
      <c r="G208" s="33" t="s">
        <v>768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736</v>
      </c>
      <c r="P208" s="16">
        <v>1.5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39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="6" customFormat="1" spans="2:69">
      <c r="B209" s="32" t="s">
        <v>813</v>
      </c>
      <c r="C209" s="6" t="s">
        <v>71</v>
      </c>
      <c r="D209" s="16" t="s">
        <v>280</v>
      </c>
      <c r="E209" s="32" t="s">
        <v>814</v>
      </c>
      <c r="F209" s="19"/>
      <c r="G209" s="33" t="s">
        <v>768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736</v>
      </c>
      <c r="P209" s="16">
        <v>1.5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39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="6" customFormat="1" spans="2:69">
      <c r="B210" s="32" t="s">
        <v>815</v>
      </c>
      <c r="C210" s="6" t="s">
        <v>71</v>
      </c>
      <c r="D210" s="16" t="s">
        <v>280</v>
      </c>
      <c r="E210" s="32" t="s">
        <v>816</v>
      </c>
      <c r="F210" s="19"/>
      <c r="G210" s="33" t="s">
        <v>768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736</v>
      </c>
      <c r="P210" s="16">
        <v>1.5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39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="6" customFormat="1" spans="2:69">
      <c r="B211" s="32" t="s">
        <v>817</v>
      </c>
      <c r="C211" s="6" t="s">
        <v>71</v>
      </c>
      <c r="D211" s="16" t="s">
        <v>280</v>
      </c>
      <c r="E211" s="32" t="s">
        <v>818</v>
      </c>
      <c r="F211" s="19"/>
      <c r="G211" s="33" t="s">
        <v>768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736</v>
      </c>
      <c r="P211" s="16">
        <v>1.5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39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="6" customFormat="1" spans="2:69">
      <c r="B212" s="32" t="s">
        <v>819</v>
      </c>
      <c r="C212" s="6" t="s">
        <v>71</v>
      </c>
      <c r="D212" s="16" t="s">
        <v>280</v>
      </c>
      <c r="E212" s="32" t="s">
        <v>820</v>
      </c>
      <c r="F212" s="19"/>
      <c r="G212" s="33" t="s">
        <v>768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736</v>
      </c>
      <c r="P212" s="16">
        <v>1.5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39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="6" customFormat="1" spans="2:69">
      <c r="B213" s="32" t="s">
        <v>821</v>
      </c>
      <c r="C213" s="6" t="s">
        <v>71</v>
      </c>
      <c r="D213" s="16" t="s">
        <v>280</v>
      </c>
      <c r="E213" s="32" t="s">
        <v>822</v>
      </c>
      <c r="F213" s="19"/>
      <c r="G213" s="33" t="s">
        <v>768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736</v>
      </c>
      <c r="P213" s="16">
        <v>1.5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39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="6" customFormat="1" spans="2:69">
      <c r="B214" s="32" t="s">
        <v>823</v>
      </c>
      <c r="C214" s="6" t="s">
        <v>71</v>
      </c>
      <c r="D214" s="16" t="s">
        <v>280</v>
      </c>
      <c r="E214" s="32" t="s">
        <v>824</v>
      </c>
      <c r="F214" s="19"/>
      <c r="G214" s="33" t="s">
        <v>768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736</v>
      </c>
      <c r="P214" s="16">
        <v>1.5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39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="6" customFormat="1" spans="2:69">
      <c r="B215" s="32" t="s">
        <v>825</v>
      </c>
      <c r="C215" s="6" t="s">
        <v>71</v>
      </c>
      <c r="D215" s="16" t="s">
        <v>280</v>
      </c>
      <c r="E215" s="32" t="s">
        <v>826</v>
      </c>
      <c r="F215" s="19"/>
      <c r="G215" s="33" t="s">
        <v>768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736</v>
      </c>
      <c r="P215" s="16">
        <v>1.5</v>
      </c>
      <c r="Q215" s="16"/>
      <c r="R215" s="16"/>
      <c r="S215" s="16"/>
      <c r="T215" s="16"/>
      <c r="U215" s="16">
        <v>1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39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="6" customFormat="1" spans="2:69">
      <c r="B216" s="32" t="s">
        <v>827</v>
      </c>
      <c r="C216" s="6" t="s">
        <v>71</v>
      </c>
      <c r="D216" s="16" t="s">
        <v>280</v>
      </c>
      <c r="E216" s="32" t="s">
        <v>828</v>
      </c>
      <c r="F216" s="19"/>
      <c r="G216" s="33" t="s">
        <v>768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736</v>
      </c>
      <c r="P216" s="16">
        <v>1.5</v>
      </c>
      <c r="Q216" s="16"/>
      <c r="R216" s="16"/>
      <c r="S216" s="16"/>
      <c r="T216" s="16"/>
      <c r="U216" s="16">
        <v>1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39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="6" customFormat="1" spans="2:69">
      <c r="B217" s="32" t="s">
        <v>829</v>
      </c>
      <c r="C217" s="6" t="s">
        <v>71</v>
      </c>
      <c r="D217" s="16" t="s">
        <v>280</v>
      </c>
      <c r="E217" s="32" t="s">
        <v>830</v>
      </c>
      <c r="F217" s="19"/>
      <c r="G217" s="33" t="s">
        <v>768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736</v>
      </c>
      <c r="P217" s="16">
        <v>1.5</v>
      </c>
      <c r="Q217" s="16"/>
      <c r="R217" s="16"/>
      <c r="S217" s="16"/>
      <c r="T217" s="16"/>
      <c r="U217" s="16">
        <v>1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39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="6" customFormat="1" spans="2:69">
      <c r="B218" s="32" t="s">
        <v>831</v>
      </c>
      <c r="C218" s="6" t="s">
        <v>71</v>
      </c>
      <c r="D218" s="16" t="s">
        <v>280</v>
      </c>
      <c r="E218" s="32" t="s">
        <v>832</v>
      </c>
      <c r="F218" s="19"/>
      <c r="G218" s="33" t="s">
        <v>768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736</v>
      </c>
      <c r="P218" s="16">
        <v>1.5</v>
      </c>
      <c r="Q218" s="16"/>
      <c r="R218" s="16"/>
      <c r="S218" s="16"/>
      <c r="T218" s="16"/>
      <c r="U218" s="16">
        <v>1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39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="6" customFormat="1" spans="2:69">
      <c r="B219" s="32" t="s">
        <v>833</v>
      </c>
      <c r="C219" s="6" t="s">
        <v>71</v>
      </c>
      <c r="D219" s="16" t="s">
        <v>280</v>
      </c>
      <c r="E219" s="32" t="s">
        <v>834</v>
      </c>
      <c r="F219" s="19"/>
      <c r="G219" s="33" t="s">
        <v>768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736</v>
      </c>
      <c r="P219" s="16">
        <v>1.5</v>
      </c>
      <c r="Q219" s="16"/>
      <c r="R219" s="16"/>
      <c r="S219" s="16"/>
      <c r="T219" s="16"/>
      <c r="U219" s="16">
        <v>1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39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="6" customFormat="1" spans="2:69">
      <c r="B220" s="32" t="s">
        <v>835</v>
      </c>
      <c r="C220" s="6" t="s">
        <v>71</v>
      </c>
      <c r="D220" s="16" t="s">
        <v>280</v>
      </c>
      <c r="E220" s="32" t="s">
        <v>836</v>
      </c>
      <c r="F220" s="19"/>
      <c r="G220" s="33" t="s">
        <v>768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736</v>
      </c>
      <c r="P220" s="16">
        <v>1.5</v>
      </c>
      <c r="Q220" s="16"/>
      <c r="R220" s="16"/>
      <c r="S220" s="16"/>
      <c r="T220" s="16"/>
      <c r="U220" s="16">
        <v>1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39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="6" customFormat="1" spans="2:69">
      <c r="B221" s="32" t="s">
        <v>837</v>
      </c>
      <c r="C221" s="6" t="s">
        <v>71</v>
      </c>
      <c r="D221" s="16" t="s">
        <v>280</v>
      </c>
      <c r="E221" s="32" t="s">
        <v>838</v>
      </c>
      <c r="F221" s="19"/>
      <c r="G221" s="33" t="s">
        <v>768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736</v>
      </c>
      <c r="P221" s="16">
        <v>1.5</v>
      </c>
      <c r="Q221" s="16"/>
      <c r="R221" s="16"/>
      <c r="S221" s="16"/>
      <c r="T221" s="16"/>
      <c r="U221" s="16">
        <v>1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39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="6" customFormat="1" spans="2:69">
      <c r="B222" s="32" t="s">
        <v>839</v>
      </c>
      <c r="C222" s="6" t="s">
        <v>71</v>
      </c>
      <c r="D222" s="16" t="s">
        <v>280</v>
      </c>
      <c r="E222" s="32" t="s">
        <v>840</v>
      </c>
      <c r="F222" s="19"/>
      <c r="G222" s="33" t="s">
        <v>768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736</v>
      </c>
      <c r="P222" s="16">
        <v>1.5</v>
      </c>
      <c r="Q222" s="16"/>
      <c r="R222" s="16"/>
      <c r="S222" s="16"/>
      <c r="T222" s="16"/>
      <c r="U222" s="16">
        <v>1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39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="6" customFormat="1" spans="2:69">
      <c r="B223" s="32" t="s">
        <v>841</v>
      </c>
      <c r="C223" s="6" t="s">
        <v>71</v>
      </c>
      <c r="D223" s="16" t="s">
        <v>280</v>
      </c>
      <c r="E223" s="32" t="s">
        <v>842</v>
      </c>
      <c r="F223" s="19"/>
      <c r="G223" s="33" t="s">
        <v>768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736</v>
      </c>
      <c r="P223" s="16">
        <v>1.5</v>
      </c>
      <c r="Q223" s="16"/>
      <c r="R223" s="16"/>
      <c r="S223" s="16"/>
      <c r="T223" s="16"/>
      <c r="U223" s="16">
        <v>1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39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="6" customFormat="1" spans="2:69">
      <c r="B224" s="32" t="s">
        <v>843</v>
      </c>
      <c r="C224" s="6" t="s">
        <v>71</v>
      </c>
      <c r="D224" s="16" t="s">
        <v>280</v>
      </c>
      <c r="E224" s="32" t="s">
        <v>844</v>
      </c>
      <c r="F224" s="19"/>
      <c r="G224" s="33" t="s">
        <v>768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736</v>
      </c>
      <c r="P224" s="16">
        <v>1.5</v>
      </c>
      <c r="Q224" s="16"/>
      <c r="R224" s="16"/>
      <c r="S224" s="16"/>
      <c r="T224" s="16"/>
      <c r="U224" s="16">
        <v>1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39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="6" customFormat="1" spans="2:69">
      <c r="B225" s="32" t="s">
        <v>845</v>
      </c>
      <c r="C225" s="6" t="s">
        <v>71</v>
      </c>
      <c r="D225" s="16" t="s">
        <v>280</v>
      </c>
      <c r="E225" s="32" t="s">
        <v>846</v>
      </c>
      <c r="F225" s="19"/>
      <c r="G225" s="33" t="s">
        <v>768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736</v>
      </c>
      <c r="P225" s="16">
        <v>1.5</v>
      </c>
      <c r="Q225" s="16"/>
      <c r="R225" s="16"/>
      <c r="S225" s="16"/>
      <c r="T225" s="16"/>
      <c r="U225" s="16">
        <v>1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39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="6" customFormat="1" spans="2:69">
      <c r="B226" s="32" t="s">
        <v>847</v>
      </c>
      <c r="C226" s="6" t="s">
        <v>71</v>
      </c>
      <c r="D226" s="16" t="s">
        <v>280</v>
      </c>
      <c r="E226" s="32" t="s">
        <v>848</v>
      </c>
      <c r="F226" s="19"/>
      <c r="G226" s="33" t="s">
        <v>768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736</v>
      </c>
      <c r="P226" s="16">
        <v>1.5</v>
      </c>
      <c r="Q226" s="16"/>
      <c r="R226" s="16"/>
      <c r="S226" s="16"/>
      <c r="T226" s="16"/>
      <c r="U226" s="16">
        <v>1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39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="6" customFormat="1" spans="2:69">
      <c r="B227" s="32" t="s">
        <v>849</v>
      </c>
      <c r="C227" s="6" t="s">
        <v>71</v>
      </c>
      <c r="D227" s="16" t="s">
        <v>280</v>
      </c>
      <c r="E227" s="32" t="s">
        <v>850</v>
      </c>
      <c r="F227" s="19"/>
      <c r="G227" s="33" t="s">
        <v>768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736</v>
      </c>
      <c r="P227" s="16">
        <v>1.5</v>
      </c>
      <c r="Q227" s="16"/>
      <c r="R227" s="16"/>
      <c r="S227" s="16"/>
      <c r="T227" s="16"/>
      <c r="U227" s="16">
        <v>1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39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="6" customFormat="1" spans="2:69">
      <c r="B228" s="32" t="s">
        <v>851</v>
      </c>
      <c r="C228" s="6" t="s">
        <v>71</v>
      </c>
      <c r="D228" s="16" t="s">
        <v>280</v>
      </c>
      <c r="E228" s="32" t="s">
        <v>852</v>
      </c>
      <c r="F228" s="19"/>
      <c r="G228" s="33" t="s">
        <v>768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736</v>
      </c>
      <c r="P228" s="16">
        <v>1.5</v>
      </c>
      <c r="Q228" s="16"/>
      <c r="R228" s="16"/>
      <c r="S228" s="16"/>
      <c r="T228" s="16"/>
      <c r="U228" s="16">
        <v>1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39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="6" customFormat="1" spans="2:69">
      <c r="B229" s="32" t="s">
        <v>853</v>
      </c>
      <c r="C229" s="6" t="s">
        <v>71</v>
      </c>
      <c r="D229" s="16" t="s">
        <v>280</v>
      </c>
      <c r="E229" s="32" t="s">
        <v>854</v>
      </c>
      <c r="F229" s="19"/>
      <c r="G229" s="33" t="s">
        <v>768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736</v>
      </c>
      <c r="P229" s="16">
        <v>1.5</v>
      </c>
      <c r="Q229" s="16"/>
      <c r="R229" s="16"/>
      <c r="S229" s="16"/>
      <c r="T229" s="16"/>
      <c r="U229" s="16">
        <v>1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39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="6" customFormat="1" spans="2:69">
      <c r="B230" s="32" t="s">
        <v>855</v>
      </c>
      <c r="C230" s="6" t="s">
        <v>71</v>
      </c>
      <c r="D230" s="16" t="s">
        <v>280</v>
      </c>
      <c r="E230" s="32" t="s">
        <v>856</v>
      </c>
      <c r="F230" s="19"/>
      <c r="G230" s="33" t="s">
        <v>768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16" t="s">
        <v>736</v>
      </c>
      <c r="P230" s="16">
        <v>1.5</v>
      </c>
      <c r="Q230" s="16"/>
      <c r="R230" s="16"/>
      <c r="S230" s="16"/>
      <c r="T230" s="16"/>
      <c r="U230" s="16">
        <v>1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39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="6" customFormat="1" spans="2:69">
      <c r="B231" s="32" t="s">
        <v>857</v>
      </c>
      <c r="C231" s="6" t="s">
        <v>71</v>
      </c>
      <c r="D231" s="16" t="s">
        <v>280</v>
      </c>
      <c r="E231" s="32" t="s">
        <v>858</v>
      </c>
      <c r="F231" s="19"/>
      <c r="G231" s="33" t="s">
        <v>768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16" t="s">
        <v>736</v>
      </c>
      <c r="P231" s="16">
        <v>1.5</v>
      </c>
      <c r="Q231" s="16"/>
      <c r="R231" s="16"/>
      <c r="S231" s="16"/>
      <c r="T231" s="16"/>
      <c r="U231" s="16">
        <v>1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39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="6" customFormat="1" spans="2:69">
      <c r="B232" t="s">
        <v>859</v>
      </c>
      <c r="C232" s="6" t="s">
        <v>71</v>
      </c>
      <c r="D232" s="16" t="s">
        <v>280</v>
      </c>
      <c r="E232" s="32" t="s">
        <v>860</v>
      </c>
      <c r="F232" s="4"/>
      <c r="G232" s="16" t="s">
        <v>467</v>
      </c>
      <c r="H232" s="16"/>
      <c r="I232" s="16" t="s">
        <v>283</v>
      </c>
      <c r="J232" s="16"/>
      <c r="K232" s="16"/>
      <c r="L232" s="16">
        <v>0</v>
      </c>
      <c r="M232" s="16">
        <v>0</v>
      </c>
      <c r="N232" s="16"/>
      <c r="O232" s="16" t="s">
        <v>861</v>
      </c>
      <c r="P232" s="16">
        <v>5</v>
      </c>
      <c r="Q232" s="16"/>
      <c r="R232" s="16"/>
      <c r="S232" s="16"/>
      <c r="T232" s="16"/>
      <c r="U232" s="16">
        <v>1</v>
      </c>
      <c r="V232" s="16">
        <v>2</v>
      </c>
      <c r="W232" s="16" t="s">
        <v>469</v>
      </c>
      <c r="X232" s="16">
        <v>300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39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0.7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="6" customFormat="1" spans="2:69">
      <c r="B233" t="s">
        <v>862</v>
      </c>
      <c r="C233" s="6" t="s">
        <v>71</v>
      </c>
      <c r="D233" s="16" t="s">
        <v>280</v>
      </c>
      <c r="E233" s="32" t="s">
        <v>863</v>
      </c>
      <c r="F233" s="4"/>
      <c r="G233" s="16" t="s">
        <v>467</v>
      </c>
      <c r="H233" s="16"/>
      <c r="I233" s="16" t="s">
        <v>283</v>
      </c>
      <c r="J233" s="16"/>
      <c r="K233" s="16"/>
      <c r="L233" s="16">
        <v>0</v>
      </c>
      <c r="M233" s="16">
        <v>0</v>
      </c>
      <c r="N233" s="16"/>
      <c r="O233" s="16" t="s">
        <v>861</v>
      </c>
      <c r="P233" s="16">
        <v>8</v>
      </c>
      <c r="Q233" s="16"/>
      <c r="R233" s="16"/>
      <c r="S233" s="16"/>
      <c r="T233" s="16"/>
      <c r="U233" s="16">
        <v>1</v>
      </c>
      <c r="V233" s="16">
        <v>2</v>
      </c>
      <c r="W233" s="16" t="s">
        <v>469</v>
      </c>
      <c r="X233" s="16">
        <v>300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39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="6" customFormat="1" spans="2:69">
      <c r="B234" t="s">
        <v>864</v>
      </c>
      <c r="C234" s="6" t="s">
        <v>71</v>
      </c>
      <c r="D234" s="16" t="s">
        <v>280</v>
      </c>
      <c r="E234" s="32" t="s">
        <v>865</v>
      </c>
      <c r="F234" s="4"/>
      <c r="G234" s="16" t="s">
        <v>467</v>
      </c>
      <c r="H234" s="16"/>
      <c r="I234" s="16" t="s">
        <v>283</v>
      </c>
      <c r="J234" s="16"/>
      <c r="K234" s="16"/>
      <c r="L234" s="16">
        <v>0</v>
      </c>
      <c r="M234" s="16">
        <v>0</v>
      </c>
      <c r="N234" s="16"/>
      <c r="O234" s="16" t="s">
        <v>861</v>
      </c>
      <c r="P234" s="16">
        <v>10.5</v>
      </c>
      <c r="Q234" s="16"/>
      <c r="R234" s="16"/>
      <c r="S234" s="16"/>
      <c r="T234" s="16"/>
      <c r="U234" s="16">
        <v>1</v>
      </c>
      <c r="V234" s="16">
        <v>2</v>
      </c>
      <c r="W234" s="16" t="s">
        <v>469</v>
      </c>
      <c r="X234" s="16">
        <v>300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39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0.3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="6" customFormat="1" spans="2:69">
      <c r="B235" t="s">
        <v>866</v>
      </c>
      <c r="C235" s="6" t="s">
        <v>71</v>
      </c>
      <c r="D235" s="16" t="s">
        <v>280</v>
      </c>
      <c r="E235" s="32" t="s">
        <v>867</v>
      </c>
      <c r="F235" s="4"/>
      <c r="G235" s="16" t="s">
        <v>467</v>
      </c>
      <c r="H235" s="16"/>
      <c r="I235" s="16" t="s">
        <v>283</v>
      </c>
      <c r="J235" s="16"/>
      <c r="K235" s="16"/>
      <c r="L235" s="16">
        <v>0</v>
      </c>
      <c r="M235" s="16">
        <v>0</v>
      </c>
      <c r="N235" s="16"/>
      <c r="O235" s="16" t="s">
        <v>861</v>
      </c>
      <c r="P235" s="16">
        <v>12.5</v>
      </c>
      <c r="Q235" s="16"/>
      <c r="R235" s="16"/>
      <c r="S235" s="16"/>
      <c r="T235" s="16"/>
      <c r="U235" s="16">
        <v>1</v>
      </c>
      <c r="V235" s="16">
        <v>2</v>
      </c>
      <c r="W235" s="16" t="s">
        <v>469</v>
      </c>
      <c r="X235" s="16">
        <v>300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39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="7" customFormat="1" spans="2:69">
      <c r="B236" s="34" t="s">
        <v>868</v>
      </c>
      <c r="C236" s="7" t="s">
        <v>71</v>
      </c>
      <c r="D236" s="26" t="s">
        <v>280</v>
      </c>
      <c r="E236" s="27" t="s">
        <v>869</v>
      </c>
      <c r="F236" s="34"/>
      <c r="G236" s="26" t="s">
        <v>870</v>
      </c>
      <c r="H236" s="26"/>
      <c r="I236" s="26" t="s">
        <v>283</v>
      </c>
      <c r="J236" s="26"/>
      <c r="K236" s="26"/>
      <c r="L236" s="26">
        <v>0</v>
      </c>
      <c r="M236" s="26">
        <v>0</v>
      </c>
      <c r="N236" s="26"/>
      <c r="O236" s="26" t="s">
        <v>871</v>
      </c>
      <c r="P236" s="26">
        <v>0.55</v>
      </c>
      <c r="Q236" s="26"/>
      <c r="R236" s="26"/>
      <c r="S236" s="26"/>
      <c r="T236" s="26"/>
      <c r="U236" s="26">
        <v>1</v>
      </c>
      <c r="V236" s="26">
        <v>2</v>
      </c>
      <c r="W236" s="26" t="s">
        <v>469</v>
      </c>
      <c r="X236" s="26">
        <v>450</v>
      </c>
      <c r="Y236" s="26">
        <v>0</v>
      </c>
      <c r="Z236" s="26" t="s">
        <v>151</v>
      </c>
      <c r="AA236" s="26">
        <v>500</v>
      </c>
      <c r="AB236" s="26"/>
      <c r="AC236" s="26"/>
      <c r="AD236" s="26">
        <v>0</v>
      </c>
      <c r="AE236" s="26" t="s">
        <v>151</v>
      </c>
      <c r="AF236" s="26"/>
      <c r="AG236" s="26"/>
      <c r="AH236" s="41" t="s">
        <v>152</v>
      </c>
      <c r="AI236" s="27" t="s">
        <v>153</v>
      </c>
      <c r="AJ236" s="26">
        <v>0.5</v>
      </c>
      <c r="AK236" s="26">
        <v>0.5</v>
      </c>
      <c r="AL236" s="26"/>
      <c r="AM236" s="26">
        <v>1</v>
      </c>
      <c r="AN236" s="26"/>
      <c r="AO236" s="26"/>
      <c r="AP236" s="26">
        <v>250</v>
      </c>
      <c r="AQ236" s="26">
        <v>0.5</v>
      </c>
      <c r="AR236" s="26"/>
      <c r="AS236" s="26"/>
      <c r="AT236" s="26"/>
      <c r="AU236" s="26">
        <v>1</v>
      </c>
      <c r="AV236" s="26"/>
      <c r="AW236" s="26">
        <v>0</v>
      </c>
      <c r="AX236" s="26">
        <v>0</v>
      </c>
      <c r="AY236" s="26">
        <v>0</v>
      </c>
      <c r="AZ236" s="26">
        <v>0</v>
      </c>
      <c r="BA236" s="26">
        <v>0</v>
      </c>
      <c r="BB236" s="26">
        <v>0</v>
      </c>
      <c r="BC236" s="26">
        <v>100</v>
      </c>
      <c r="BD236" s="26">
        <v>100</v>
      </c>
      <c r="BE236" s="26"/>
      <c r="BF236" s="26" t="s">
        <v>154</v>
      </c>
      <c r="BG236" s="26">
        <v>0</v>
      </c>
      <c r="BH236" s="26">
        <v>0</v>
      </c>
      <c r="BI236" s="26">
        <v>100</v>
      </c>
      <c r="BJ236" s="26"/>
      <c r="BK236" s="26"/>
      <c r="BL236" s="26"/>
      <c r="BM236" s="26"/>
      <c r="BN236" s="26"/>
      <c r="BO236" s="26"/>
      <c r="BP236" s="26"/>
      <c r="BQ236" s="7">
        <v>0</v>
      </c>
    </row>
    <row r="237" s="7" customFormat="1" spans="2:69">
      <c r="B237" s="34" t="s">
        <v>872</v>
      </c>
      <c r="C237" s="7" t="s">
        <v>71</v>
      </c>
      <c r="D237" s="26" t="s">
        <v>280</v>
      </c>
      <c r="E237" s="27" t="s">
        <v>869</v>
      </c>
      <c r="F237" s="34"/>
      <c r="G237" s="26" t="s">
        <v>870</v>
      </c>
      <c r="H237" s="26"/>
      <c r="I237" s="26" t="s">
        <v>283</v>
      </c>
      <c r="J237" s="26"/>
      <c r="K237" s="26"/>
      <c r="L237" s="26">
        <v>0</v>
      </c>
      <c r="M237" s="26">
        <v>0</v>
      </c>
      <c r="N237" s="26"/>
      <c r="O237" s="26" t="s">
        <v>871</v>
      </c>
      <c r="P237" s="26">
        <f>P236+0.05</f>
        <v>0.6</v>
      </c>
      <c r="Q237" s="26"/>
      <c r="R237" s="26"/>
      <c r="S237" s="26"/>
      <c r="T237" s="26"/>
      <c r="U237" s="26">
        <v>1</v>
      </c>
      <c r="V237" s="26">
        <v>2</v>
      </c>
      <c r="W237" s="26" t="s">
        <v>469</v>
      </c>
      <c r="X237" s="26">
        <v>450</v>
      </c>
      <c r="Y237" s="26">
        <v>0</v>
      </c>
      <c r="Z237" s="26" t="s">
        <v>151</v>
      </c>
      <c r="AA237" s="26">
        <v>500</v>
      </c>
      <c r="AB237" s="26"/>
      <c r="AC237" s="26"/>
      <c r="AD237" s="26">
        <v>0</v>
      </c>
      <c r="AE237" s="26" t="s">
        <v>151</v>
      </c>
      <c r="AF237" s="26"/>
      <c r="AG237" s="26"/>
      <c r="AH237" s="41" t="s">
        <v>152</v>
      </c>
      <c r="AI237" s="27" t="s">
        <v>153</v>
      </c>
      <c r="AJ237" s="26">
        <v>0.5</v>
      </c>
      <c r="AK237" s="26">
        <v>0.5</v>
      </c>
      <c r="AL237" s="26"/>
      <c r="AM237" s="26">
        <v>1</v>
      </c>
      <c r="AN237" s="26"/>
      <c r="AO237" s="26"/>
      <c r="AP237" s="26">
        <v>250</v>
      </c>
      <c r="AQ237" s="26">
        <v>0.5</v>
      </c>
      <c r="AR237" s="26"/>
      <c r="AS237" s="26"/>
      <c r="AT237" s="26"/>
      <c r="AU237" s="26">
        <v>1</v>
      </c>
      <c r="AV237" s="26"/>
      <c r="AW237" s="26">
        <v>0</v>
      </c>
      <c r="AX237" s="26">
        <v>0</v>
      </c>
      <c r="AY237" s="26">
        <v>0</v>
      </c>
      <c r="AZ237" s="26">
        <v>0</v>
      </c>
      <c r="BA237" s="26">
        <v>0</v>
      </c>
      <c r="BB237" s="26">
        <v>0</v>
      </c>
      <c r="BC237" s="26">
        <v>100</v>
      </c>
      <c r="BD237" s="26">
        <v>100</v>
      </c>
      <c r="BE237" s="26"/>
      <c r="BF237" s="26" t="s">
        <v>154</v>
      </c>
      <c r="BG237" s="26">
        <v>0</v>
      </c>
      <c r="BH237" s="26">
        <v>0</v>
      </c>
      <c r="BI237" s="26">
        <v>100</v>
      </c>
      <c r="BJ237" s="26"/>
      <c r="BK237" s="26"/>
      <c r="BL237" s="26"/>
      <c r="BM237" s="26"/>
      <c r="BN237" s="26"/>
      <c r="BO237" s="26"/>
      <c r="BP237" s="26"/>
      <c r="BQ237" s="7">
        <v>0</v>
      </c>
    </row>
    <row r="238" s="7" customFormat="1" spans="2:69">
      <c r="B238" s="34" t="s">
        <v>873</v>
      </c>
      <c r="C238" s="7" t="s">
        <v>71</v>
      </c>
      <c r="D238" s="26" t="s">
        <v>280</v>
      </c>
      <c r="E238" s="27" t="s">
        <v>869</v>
      </c>
      <c r="F238" s="34"/>
      <c r="G238" s="26" t="s">
        <v>870</v>
      </c>
      <c r="H238" s="26"/>
      <c r="I238" s="26" t="s">
        <v>283</v>
      </c>
      <c r="J238" s="26"/>
      <c r="K238" s="26"/>
      <c r="L238" s="26">
        <v>0</v>
      </c>
      <c r="M238" s="26">
        <v>0</v>
      </c>
      <c r="N238" s="26"/>
      <c r="O238" s="26" t="s">
        <v>871</v>
      </c>
      <c r="P238" s="26">
        <f t="shared" ref="P238:P248" si="5">P237+0.05</f>
        <v>0.65</v>
      </c>
      <c r="Q238" s="26"/>
      <c r="R238" s="26"/>
      <c r="S238" s="26"/>
      <c r="T238" s="26"/>
      <c r="U238" s="26">
        <v>1</v>
      </c>
      <c r="V238" s="26">
        <v>2</v>
      </c>
      <c r="W238" s="26" t="s">
        <v>469</v>
      </c>
      <c r="X238" s="26">
        <v>450</v>
      </c>
      <c r="Y238" s="26">
        <v>0</v>
      </c>
      <c r="Z238" s="26" t="s">
        <v>151</v>
      </c>
      <c r="AA238" s="26">
        <v>500</v>
      </c>
      <c r="AB238" s="26"/>
      <c r="AC238" s="26"/>
      <c r="AD238" s="26">
        <v>0</v>
      </c>
      <c r="AE238" s="26" t="s">
        <v>151</v>
      </c>
      <c r="AF238" s="26"/>
      <c r="AG238" s="26"/>
      <c r="AH238" s="41" t="s">
        <v>152</v>
      </c>
      <c r="AI238" s="27" t="s">
        <v>153</v>
      </c>
      <c r="AJ238" s="26">
        <v>0.5</v>
      </c>
      <c r="AK238" s="26">
        <v>0.5</v>
      </c>
      <c r="AL238" s="26"/>
      <c r="AM238" s="26">
        <v>1</v>
      </c>
      <c r="AN238" s="26"/>
      <c r="AO238" s="26"/>
      <c r="AP238" s="26">
        <v>250</v>
      </c>
      <c r="AQ238" s="26">
        <v>0.5</v>
      </c>
      <c r="AR238" s="26"/>
      <c r="AS238" s="26"/>
      <c r="AT238" s="26"/>
      <c r="AU238" s="26">
        <v>1</v>
      </c>
      <c r="AV238" s="26"/>
      <c r="AW238" s="26">
        <v>0</v>
      </c>
      <c r="AX238" s="26">
        <v>0</v>
      </c>
      <c r="AY238" s="26">
        <v>0</v>
      </c>
      <c r="AZ238" s="26">
        <v>0</v>
      </c>
      <c r="BA238" s="26">
        <v>0</v>
      </c>
      <c r="BB238" s="26">
        <v>0</v>
      </c>
      <c r="BC238" s="26">
        <v>100</v>
      </c>
      <c r="BD238" s="26">
        <v>100</v>
      </c>
      <c r="BE238" s="26"/>
      <c r="BF238" s="26" t="s">
        <v>154</v>
      </c>
      <c r="BG238" s="26">
        <v>0</v>
      </c>
      <c r="BH238" s="26">
        <v>0</v>
      </c>
      <c r="BI238" s="26">
        <v>100</v>
      </c>
      <c r="BJ238" s="26"/>
      <c r="BK238" s="26"/>
      <c r="BL238" s="26"/>
      <c r="BM238" s="26"/>
      <c r="BN238" s="26"/>
      <c r="BO238" s="26"/>
      <c r="BP238" s="26"/>
      <c r="BQ238" s="7">
        <v>0</v>
      </c>
    </row>
    <row r="239" s="7" customFormat="1" spans="2:69">
      <c r="B239" s="34" t="s">
        <v>874</v>
      </c>
      <c r="C239" s="7" t="s">
        <v>71</v>
      </c>
      <c r="D239" s="26" t="s">
        <v>280</v>
      </c>
      <c r="E239" s="27" t="s">
        <v>869</v>
      </c>
      <c r="F239" s="34"/>
      <c r="G239" s="26" t="s">
        <v>870</v>
      </c>
      <c r="H239" s="26"/>
      <c r="I239" s="26" t="s">
        <v>283</v>
      </c>
      <c r="J239" s="26"/>
      <c r="K239" s="26"/>
      <c r="L239" s="26">
        <v>0</v>
      </c>
      <c r="M239" s="26">
        <v>0</v>
      </c>
      <c r="N239" s="26"/>
      <c r="O239" s="26" t="s">
        <v>871</v>
      </c>
      <c r="P239" s="26">
        <f t="shared" si="5"/>
        <v>0.7</v>
      </c>
      <c r="Q239" s="26"/>
      <c r="R239" s="26"/>
      <c r="S239" s="26"/>
      <c r="T239" s="26"/>
      <c r="U239" s="26">
        <v>1</v>
      </c>
      <c r="V239" s="26">
        <v>2</v>
      </c>
      <c r="W239" s="26" t="s">
        <v>469</v>
      </c>
      <c r="X239" s="26">
        <v>450</v>
      </c>
      <c r="Y239" s="26">
        <v>0</v>
      </c>
      <c r="Z239" s="26" t="s">
        <v>151</v>
      </c>
      <c r="AA239" s="26">
        <v>500</v>
      </c>
      <c r="AB239" s="26"/>
      <c r="AC239" s="26"/>
      <c r="AD239" s="26">
        <v>0</v>
      </c>
      <c r="AE239" s="26" t="s">
        <v>151</v>
      </c>
      <c r="AF239" s="26"/>
      <c r="AG239" s="26"/>
      <c r="AH239" s="41" t="s">
        <v>152</v>
      </c>
      <c r="AI239" s="27" t="s">
        <v>153</v>
      </c>
      <c r="AJ239" s="26">
        <v>0.5</v>
      </c>
      <c r="AK239" s="26">
        <v>0.5</v>
      </c>
      <c r="AL239" s="26"/>
      <c r="AM239" s="26">
        <v>1</v>
      </c>
      <c r="AN239" s="26"/>
      <c r="AO239" s="26"/>
      <c r="AP239" s="26">
        <v>250</v>
      </c>
      <c r="AQ239" s="26">
        <v>0.5</v>
      </c>
      <c r="AR239" s="26"/>
      <c r="AS239" s="26"/>
      <c r="AT239" s="26"/>
      <c r="AU239" s="26">
        <v>1</v>
      </c>
      <c r="AV239" s="26"/>
      <c r="AW239" s="26">
        <v>0</v>
      </c>
      <c r="AX239" s="26">
        <v>0</v>
      </c>
      <c r="AY239" s="26">
        <v>0</v>
      </c>
      <c r="AZ239" s="26">
        <v>0</v>
      </c>
      <c r="BA239" s="26">
        <v>0</v>
      </c>
      <c r="BB239" s="26">
        <v>0</v>
      </c>
      <c r="BC239" s="26">
        <v>100</v>
      </c>
      <c r="BD239" s="26">
        <v>100</v>
      </c>
      <c r="BE239" s="26"/>
      <c r="BF239" s="26" t="s">
        <v>154</v>
      </c>
      <c r="BG239" s="26">
        <v>0</v>
      </c>
      <c r="BH239" s="26">
        <v>0</v>
      </c>
      <c r="BI239" s="26">
        <v>100</v>
      </c>
      <c r="BJ239" s="26"/>
      <c r="BK239" s="26"/>
      <c r="BL239" s="26"/>
      <c r="BM239" s="26"/>
      <c r="BN239" s="26"/>
      <c r="BO239" s="26"/>
      <c r="BP239" s="26"/>
      <c r="BQ239" s="7">
        <v>0</v>
      </c>
    </row>
    <row r="240" s="7" customFormat="1" spans="2:69">
      <c r="B240" s="34" t="s">
        <v>875</v>
      </c>
      <c r="C240" s="7" t="s">
        <v>71</v>
      </c>
      <c r="D240" s="26" t="s">
        <v>280</v>
      </c>
      <c r="E240" s="27" t="s">
        <v>869</v>
      </c>
      <c r="F240" s="34"/>
      <c r="G240" s="26" t="s">
        <v>870</v>
      </c>
      <c r="H240" s="26"/>
      <c r="I240" s="26" t="s">
        <v>283</v>
      </c>
      <c r="J240" s="26"/>
      <c r="K240" s="26"/>
      <c r="L240" s="26">
        <v>0</v>
      </c>
      <c r="M240" s="26">
        <v>0</v>
      </c>
      <c r="N240" s="26"/>
      <c r="O240" s="26" t="s">
        <v>871</v>
      </c>
      <c r="P240" s="26">
        <f t="shared" si="5"/>
        <v>0.75</v>
      </c>
      <c r="Q240" s="26"/>
      <c r="R240" s="26"/>
      <c r="S240" s="26"/>
      <c r="T240" s="26"/>
      <c r="U240" s="26">
        <v>1</v>
      </c>
      <c r="V240" s="26">
        <v>2</v>
      </c>
      <c r="W240" s="26" t="s">
        <v>469</v>
      </c>
      <c r="X240" s="26">
        <v>450</v>
      </c>
      <c r="Y240" s="26">
        <v>0</v>
      </c>
      <c r="Z240" s="26" t="s">
        <v>151</v>
      </c>
      <c r="AA240" s="26">
        <v>500</v>
      </c>
      <c r="AB240" s="26"/>
      <c r="AC240" s="26"/>
      <c r="AD240" s="26">
        <v>0</v>
      </c>
      <c r="AE240" s="26" t="s">
        <v>151</v>
      </c>
      <c r="AF240" s="26"/>
      <c r="AG240" s="26"/>
      <c r="AH240" s="41" t="s">
        <v>152</v>
      </c>
      <c r="AI240" s="27" t="s">
        <v>153</v>
      </c>
      <c r="AJ240" s="26">
        <v>0.5</v>
      </c>
      <c r="AK240" s="26">
        <v>0.5</v>
      </c>
      <c r="AL240" s="26"/>
      <c r="AM240" s="26">
        <v>1</v>
      </c>
      <c r="AN240" s="26"/>
      <c r="AO240" s="26"/>
      <c r="AP240" s="26">
        <v>250</v>
      </c>
      <c r="AQ240" s="26">
        <v>0.5</v>
      </c>
      <c r="AR240" s="26"/>
      <c r="AS240" s="26"/>
      <c r="AT240" s="26"/>
      <c r="AU240" s="26">
        <v>1</v>
      </c>
      <c r="AV240" s="26"/>
      <c r="AW240" s="26">
        <v>0</v>
      </c>
      <c r="AX240" s="26">
        <v>0</v>
      </c>
      <c r="AY240" s="26">
        <v>0</v>
      </c>
      <c r="AZ240" s="26">
        <v>0</v>
      </c>
      <c r="BA240" s="26">
        <v>0</v>
      </c>
      <c r="BB240" s="26">
        <v>0</v>
      </c>
      <c r="BC240" s="26">
        <v>100</v>
      </c>
      <c r="BD240" s="26">
        <v>100</v>
      </c>
      <c r="BE240" s="26"/>
      <c r="BF240" s="26" t="s">
        <v>154</v>
      </c>
      <c r="BG240" s="26">
        <v>0</v>
      </c>
      <c r="BH240" s="26">
        <v>0</v>
      </c>
      <c r="BI240" s="26">
        <v>100</v>
      </c>
      <c r="BJ240" s="26"/>
      <c r="BK240" s="26"/>
      <c r="BL240" s="26"/>
      <c r="BM240" s="26"/>
      <c r="BN240" s="26"/>
      <c r="BO240" s="26"/>
      <c r="BP240" s="26"/>
      <c r="BQ240" s="7">
        <v>0</v>
      </c>
    </row>
    <row r="241" s="7" customFormat="1" spans="2:69">
      <c r="B241" s="34" t="s">
        <v>876</v>
      </c>
      <c r="C241" s="7" t="s">
        <v>71</v>
      </c>
      <c r="D241" s="26" t="s">
        <v>280</v>
      </c>
      <c r="E241" s="27" t="s">
        <v>869</v>
      </c>
      <c r="F241" s="34"/>
      <c r="G241" s="26" t="s">
        <v>870</v>
      </c>
      <c r="H241" s="26"/>
      <c r="I241" s="26" t="s">
        <v>283</v>
      </c>
      <c r="J241" s="26"/>
      <c r="K241" s="26"/>
      <c r="L241" s="26">
        <v>0</v>
      </c>
      <c r="M241" s="26">
        <v>0</v>
      </c>
      <c r="N241" s="26"/>
      <c r="O241" s="26" t="s">
        <v>871</v>
      </c>
      <c r="P241" s="26">
        <f t="shared" si="5"/>
        <v>0.8</v>
      </c>
      <c r="Q241" s="26"/>
      <c r="R241" s="26"/>
      <c r="S241" s="26"/>
      <c r="T241" s="26"/>
      <c r="U241" s="26">
        <v>1</v>
      </c>
      <c r="V241" s="26">
        <v>2</v>
      </c>
      <c r="W241" s="26" t="s">
        <v>469</v>
      </c>
      <c r="X241" s="26">
        <v>450</v>
      </c>
      <c r="Y241" s="26">
        <v>0</v>
      </c>
      <c r="Z241" s="26" t="s">
        <v>151</v>
      </c>
      <c r="AA241" s="26">
        <v>500</v>
      </c>
      <c r="AB241" s="26"/>
      <c r="AC241" s="26"/>
      <c r="AD241" s="26">
        <v>0</v>
      </c>
      <c r="AE241" s="26" t="s">
        <v>151</v>
      </c>
      <c r="AF241" s="26"/>
      <c r="AG241" s="26"/>
      <c r="AH241" s="41" t="s">
        <v>152</v>
      </c>
      <c r="AI241" s="27" t="s">
        <v>153</v>
      </c>
      <c r="AJ241" s="26">
        <v>0.5</v>
      </c>
      <c r="AK241" s="26">
        <v>0.5</v>
      </c>
      <c r="AL241" s="26"/>
      <c r="AM241" s="26">
        <v>1</v>
      </c>
      <c r="AN241" s="26"/>
      <c r="AO241" s="26"/>
      <c r="AP241" s="26">
        <v>250</v>
      </c>
      <c r="AQ241" s="26">
        <v>0.5</v>
      </c>
      <c r="AR241" s="26"/>
      <c r="AS241" s="26"/>
      <c r="AT241" s="26"/>
      <c r="AU241" s="26">
        <v>1</v>
      </c>
      <c r="AV241" s="26"/>
      <c r="AW241" s="26">
        <v>0</v>
      </c>
      <c r="AX241" s="26">
        <v>0</v>
      </c>
      <c r="AY241" s="26">
        <v>0</v>
      </c>
      <c r="AZ241" s="26">
        <v>0</v>
      </c>
      <c r="BA241" s="26">
        <v>0</v>
      </c>
      <c r="BB241" s="26">
        <v>0</v>
      </c>
      <c r="BC241" s="26">
        <v>100</v>
      </c>
      <c r="BD241" s="26">
        <v>100</v>
      </c>
      <c r="BE241" s="26"/>
      <c r="BF241" s="26" t="s">
        <v>154</v>
      </c>
      <c r="BG241" s="26">
        <v>0</v>
      </c>
      <c r="BH241" s="26">
        <v>0</v>
      </c>
      <c r="BI241" s="26">
        <v>100</v>
      </c>
      <c r="BJ241" s="26"/>
      <c r="BK241" s="26"/>
      <c r="BL241" s="26"/>
      <c r="BM241" s="26"/>
      <c r="BN241" s="26"/>
      <c r="BO241" s="26"/>
      <c r="BP241" s="26"/>
      <c r="BQ241" s="7">
        <v>0</v>
      </c>
    </row>
    <row r="242" s="7" customFormat="1" spans="2:69">
      <c r="B242" s="34" t="s">
        <v>877</v>
      </c>
      <c r="C242" s="7" t="s">
        <v>71</v>
      </c>
      <c r="D242" s="26" t="s">
        <v>280</v>
      </c>
      <c r="E242" s="27" t="s">
        <v>869</v>
      </c>
      <c r="F242" s="34"/>
      <c r="G242" s="26" t="s">
        <v>870</v>
      </c>
      <c r="H242" s="26"/>
      <c r="I242" s="26" t="s">
        <v>283</v>
      </c>
      <c r="J242" s="26"/>
      <c r="K242" s="26"/>
      <c r="L242" s="26">
        <v>0</v>
      </c>
      <c r="M242" s="26">
        <v>0</v>
      </c>
      <c r="N242" s="26"/>
      <c r="O242" s="26" t="s">
        <v>871</v>
      </c>
      <c r="P242" s="26">
        <f t="shared" si="5"/>
        <v>0.85</v>
      </c>
      <c r="Q242" s="26"/>
      <c r="R242" s="26"/>
      <c r="S242" s="26"/>
      <c r="T242" s="26"/>
      <c r="U242" s="26">
        <v>1</v>
      </c>
      <c r="V242" s="26">
        <v>2</v>
      </c>
      <c r="W242" s="26" t="s">
        <v>469</v>
      </c>
      <c r="X242" s="26">
        <v>450</v>
      </c>
      <c r="Y242" s="26">
        <v>0</v>
      </c>
      <c r="Z242" s="26" t="s">
        <v>151</v>
      </c>
      <c r="AA242" s="26">
        <v>500</v>
      </c>
      <c r="AB242" s="26"/>
      <c r="AC242" s="26"/>
      <c r="AD242" s="26">
        <v>0</v>
      </c>
      <c r="AE242" s="26" t="s">
        <v>151</v>
      </c>
      <c r="AF242" s="26"/>
      <c r="AG242" s="26"/>
      <c r="AH242" s="41" t="s">
        <v>152</v>
      </c>
      <c r="AI242" s="27" t="s">
        <v>153</v>
      </c>
      <c r="AJ242" s="26">
        <v>0.5</v>
      </c>
      <c r="AK242" s="26">
        <v>0.5</v>
      </c>
      <c r="AL242" s="26"/>
      <c r="AM242" s="26">
        <v>1</v>
      </c>
      <c r="AN242" s="26"/>
      <c r="AO242" s="26"/>
      <c r="AP242" s="26">
        <v>250</v>
      </c>
      <c r="AQ242" s="26">
        <v>0.5</v>
      </c>
      <c r="AR242" s="26"/>
      <c r="AS242" s="26"/>
      <c r="AT242" s="26"/>
      <c r="AU242" s="26">
        <v>1</v>
      </c>
      <c r="AV242" s="26"/>
      <c r="AW242" s="26">
        <v>0</v>
      </c>
      <c r="AX242" s="26">
        <v>0</v>
      </c>
      <c r="AY242" s="26">
        <v>0</v>
      </c>
      <c r="AZ242" s="26">
        <v>0</v>
      </c>
      <c r="BA242" s="26">
        <v>0</v>
      </c>
      <c r="BB242" s="26">
        <v>0</v>
      </c>
      <c r="BC242" s="26">
        <v>100</v>
      </c>
      <c r="BD242" s="26">
        <v>100</v>
      </c>
      <c r="BE242" s="26"/>
      <c r="BF242" s="26" t="s">
        <v>154</v>
      </c>
      <c r="BG242" s="26">
        <v>0</v>
      </c>
      <c r="BH242" s="26">
        <v>0</v>
      </c>
      <c r="BI242" s="26">
        <v>100</v>
      </c>
      <c r="BJ242" s="26"/>
      <c r="BK242" s="26"/>
      <c r="BL242" s="26"/>
      <c r="BM242" s="26"/>
      <c r="BN242" s="26"/>
      <c r="BO242" s="26"/>
      <c r="BP242" s="26"/>
      <c r="BQ242" s="7">
        <v>0</v>
      </c>
    </row>
    <row r="243" s="7" customFormat="1" spans="2:69">
      <c r="B243" s="34" t="s">
        <v>878</v>
      </c>
      <c r="C243" s="7" t="s">
        <v>71</v>
      </c>
      <c r="D243" s="26" t="s">
        <v>280</v>
      </c>
      <c r="E243" s="27" t="s">
        <v>869</v>
      </c>
      <c r="F243" s="34"/>
      <c r="G243" s="26" t="s">
        <v>870</v>
      </c>
      <c r="H243" s="26"/>
      <c r="I243" s="26" t="s">
        <v>283</v>
      </c>
      <c r="J243" s="26"/>
      <c r="K243" s="26"/>
      <c r="L243" s="26">
        <v>0</v>
      </c>
      <c r="M243" s="26">
        <v>0</v>
      </c>
      <c r="N243" s="26"/>
      <c r="O243" s="26" t="s">
        <v>871</v>
      </c>
      <c r="P243" s="26">
        <f t="shared" si="5"/>
        <v>0.9</v>
      </c>
      <c r="Q243" s="26"/>
      <c r="R243" s="26"/>
      <c r="S243" s="26"/>
      <c r="T243" s="26"/>
      <c r="U243" s="26">
        <v>1</v>
      </c>
      <c r="V243" s="26">
        <v>2</v>
      </c>
      <c r="W243" s="26" t="s">
        <v>469</v>
      </c>
      <c r="X243" s="26">
        <v>450</v>
      </c>
      <c r="Y243" s="26">
        <v>0</v>
      </c>
      <c r="Z243" s="26" t="s">
        <v>151</v>
      </c>
      <c r="AA243" s="26">
        <v>500</v>
      </c>
      <c r="AB243" s="26"/>
      <c r="AC243" s="26"/>
      <c r="AD243" s="26">
        <v>0</v>
      </c>
      <c r="AE243" s="26" t="s">
        <v>151</v>
      </c>
      <c r="AF243" s="26"/>
      <c r="AG243" s="26"/>
      <c r="AH243" s="41" t="s">
        <v>152</v>
      </c>
      <c r="AI243" s="27" t="s">
        <v>153</v>
      </c>
      <c r="AJ243" s="26">
        <v>0.5</v>
      </c>
      <c r="AK243" s="26">
        <v>0.5</v>
      </c>
      <c r="AL243" s="26"/>
      <c r="AM243" s="26">
        <v>1</v>
      </c>
      <c r="AN243" s="26"/>
      <c r="AO243" s="26"/>
      <c r="AP243" s="26">
        <v>250</v>
      </c>
      <c r="AQ243" s="26">
        <v>0.5</v>
      </c>
      <c r="AR243" s="26"/>
      <c r="AS243" s="26"/>
      <c r="AT243" s="26"/>
      <c r="AU243" s="26">
        <v>1</v>
      </c>
      <c r="AV243" s="26"/>
      <c r="AW243" s="26">
        <v>0</v>
      </c>
      <c r="AX243" s="26">
        <v>0</v>
      </c>
      <c r="AY243" s="26">
        <v>0</v>
      </c>
      <c r="AZ243" s="26">
        <v>0</v>
      </c>
      <c r="BA243" s="26">
        <v>0</v>
      </c>
      <c r="BB243" s="26">
        <v>0</v>
      </c>
      <c r="BC243" s="26">
        <v>100</v>
      </c>
      <c r="BD243" s="26">
        <v>100</v>
      </c>
      <c r="BE243" s="26"/>
      <c r="BF243" s="26" t="s">
        <v>154</v>
      </c>
      <c r="BG243" s="26">
        <v>0</v>
      </c>
      <c r="BH243" s="26">
        <v>0</v>
      </c>
      <c r="BI243" s="26">
        <v>100</v>
      </c>
      <c r="BJ243" s="26"/>
      <c r="BK243" s="26"/>
      <c r="BL243" s="26"/>
      <c r="BM243" s="26"/>
      <c r="BN243" s="26"/>
      <c r="BO243" s="26"/>
      <c r="BP243" s="26"/>
      <c r="BQ243" s="7">
        <v>0</v>
      </c>
    </row>
    <row r="244" s="7" customFormat="1" spans="2:69">
      <c r="B244" s="34" t="s">
        <v>879</v>
      </c>
      <c r="C244" s="7" t="s">
        <v>71</v>
      </c>
      <c r="D244" s="26" t="s">
        <v>280</v>
      </c>
      <c r="E244" s="27" t="s">
        <v>869</v>
      </c>
      <c r="F244" s="34"/>
      <c r="G244" s="26" t="s">
        <v>870</v>
      </c>
      <c r="H244" s="26"/>
      <c r="I244" s="26" t="s">
        <v>283</v>
      </c>
      <c r="J244" s="26"/>
      <c r="K244" s="26"/>
      <c r="L244" s="26">
        <v>0</v>
      </c>
      <c r="M244" s="26">
        <v>0</v>
      </c>
      <c r="N244" s="26"/>
      <c r="O244" s="26" t="s">
        <v>871</v>
      </c>
      <c r="P244" s="26">
        <f t="shared" si="5"/>
        <v>0.95</v>
      </c>
      <c r="Q244" s="26"/>
      <c r="R244" s="26"/>
      <c r="S244" s="26"/>
      <c r="T244" s="26"/>
      <c r="U244" s="26">
        <v>1</v>
      </c>
      <c r="V244" s="26">
        <v>2</v>
      </c>
      <c r="W244" s="26" t="s">
        <v>469</v>
      </c>
      <c r="X244" s="26">
        <v>450</v>
      </c>
      <c r="Y244" s="26">
        <v>0</v>
      </c>
      <c r="Z244" s="26" t="s">
        <v>151</v>
      </c>
      <c r="AA244" s="26">
        <v>500</v>
      </c>
      <c r="AB244" s="26"/>
      <c r="AC244" s="26"/>
      <c r="AD244" s="26">
        <v>0</v>
      </c>
      <c r="AE244" s="26" t="s">
        <v>151</v>
      </c>
      <c r="AF244" s="26"/>
      <c r="AG244" s="26"/>
      <c r="AH244" s="41" t="s">
        <v>152</v>
      </c>
      <c r="AI244" s="27" t="s">
        <v>153</v>
      </c>
      <c r="AJ244" s="26">
        <v>0.5</v>
      </c>
      <c r="AK244" s="26">
        <v>0.5</v>
      </c>
      <c r="AL244" s="26"/>
      <c r="AM244" s="26">
        <v>1</v>
      </c>
      <c r="AN244" s="26"/>
      <c r="AO244" s="26"/>
      <c r="AP244" s="26">
        <v>250</v>
      </c>
      <c r="AQ244" s="26">
        <v>0.5</v>
      </c>
      <c r="AR244" s="26"/>
      <c r="AS244" s="26"/>
      <c r="AT244" s="26"/>
      <c r="AU244" s="26">
        <v>1</v>
      </c>
      <c r="AV244" s="26"/>
      <c r="AW244" s="26">
        <v>0</v>
      </c>
      <c r="AX244" s="26">
        <v>0</v>
      </c>
      <c r="AY244" s="26">
        <v>0</v>
      </c>
      <c r="AZ244" s="26">
        <v>0</v>
      </c>
      <c r="BA244" s="26">
        <v>0</v>
      </c>
      <c r="BB244" s="26">
        <v>0</v>
      </c>
      <c r="BC244" s="26">
        <v>100</v>
      </c>
      <c r="BD244" s="26">
        <v>100</v>
      </c>
      <c r="BE244" s="26"/>
      <c r="BF244" s="26" t="s">
        <v>154</v>
      </c>
      <c r="BG244" s="26">
        <v>0</v>
      </c>
      <c r="BH244" s="26">
        <v>0</v>
      </c>
      <c r="BI244" s="26">
        <v>100</v>
      </c>
      <c r="BJ244" s="26"/>
      <c r="BK244" s="26"/>
      <c r="BL244" s="26"/>
      <c r="BM244" s="26"/>
      <c r="BN244" s="26"/>
      <c r="BO244" s="26"/>
      <c r="BP244" s="26"/>
      <c r="BQ244" s="7">
        <v>0</v>
      </c>
    </row>
    <row r="245" s="7" customFormat="1" spans="2:69">
      <c r="B245" s="34" t="s">
        <v>880</v>
      </c>
      <c r="C245" s="7" t="s">
        <v>71</v>
      </c>
      <c r="D245" s="26" t="s">
        <v>280</v>
      </c>
      <c r="E245" s="27" t="s">
        <v>869</v>
      </c>
      <c r="F245" s="34"/>
      <c r="G245" s="26" t="s">
        <v>870</v>
      </c>
      <c r="H245" s="26"/>
      <c r="I245" s="26" t="s">
        <v>283</v>
      </c>
      <c r="J245" s="26"/>
      <c r="K245" s="26"/>
      <c r="L245" s="26">
        <v>0</v>
      </c>
      <c r="M245" s="26">
        <v>0</v>
      </c>
      <c r="N245" s="26"/>
      <c r="O245" s="26" t="s">
        <v>871</v>
      </c>
      <c r="P245" s="26">
        <f t="shared" si="5"/>
        <v>1</v>
      </c>
      <c r="Q245" s="26"/>
      <c r="R245" s="26"/>
      <c r="S245" s="26"/>
      <c r="T245" s="26"/>
      <c r="U245" s="26">
        <v>1</v>
      </c>
      <c r="V245" s="26">
        <v>2</v>
      </c>
      <c r="W245" s="26" t="s">
        <v>469</v>
      </c>
      <c r="X245" s="26">
        <v>450</v>
      </c>
      <c r="Y245" s="26">
        <v>0</v>
      </c>
      <c r="Z245" s="26" t="s">
        <v>151</v>
      </c>
      <c r="AA245" s="26">
        <v>500</v>
      </c>
      <c r="AB245" s="26"/>
      <c r="AC245" s="26"/>
      <c r="AD245" s="26">
        <v>0</v>
      </c>
      <c r="AE245" s="26" t="s">
        <v>151</v>
      </c>
      <c r="AF245" s="26"/>
      <c r="AG245" s="26"/>
      <c r="AH245" s="41" t="s">
        <v>152</v>
      </c>
      <c r="AI245" s="27" t="s">
        <v>153</v>
      </c>
      <c r="AJ245" s="26">
        <v>0.5</v>
      </c>
      <c r="AK245" s="26">
        <v>0.5</v>
      </c>
      <c r="AL245" s="26"/>
      <c r="AM245" s="26">
        <v>1</v>
      </c>
      <c r="AN245" s="26"/>
      <c r="AO245" s="26"/>
      <c r="AP245" s="26">
        <v>250</v>
      </c>
      <c r="AQ245" s="26">
        <v>0.5</v>
      </c>
      <c r="AR245" s="26"/>
      <c r="AS245" s="26"/>
      <c r="AT245" s="26"/>
      <c r="AU245" s="26">
        <v>1</v>
      </c>
      <c r="AV245" s="26"/>
      <c r="AW245" s="26">
        <v>0</v>
      </c>
      <c r="AX245" s="26">
        <v>0</v>
      </c>
      <c r="AY245" s="26">
        <v>0</v>
      </c>
      <c r="AZ245" s="26">
        <v>0</v>
      </c>
      <c r="BA245" s="26">
        <v>0</v>
      </c>
      <c r="BB245" s="26">
        <v>0</v>
      </c>
      <c r="BC245" s="26">
        <v>100</v>
      </c>
      <c r="BD245" s="26">
        <v>100</v>
      </c>
      <c r="BE245" s="26"/>
      <c r="BF245" s="26" t="s">
        <v>154</v>
      </c>
      <c r="BG245" s="26">
        <v>0</v>
      </c>
      <c r="BH245" s="26">
        <v>0</v>
      </c>
      <c r="BI245" s="26">
        <v>100</v>
      </c>
      <c r="BJ245" s="26"/>
      <c r="BK245" s="26"/>
      <c r="BL245" s="26"/>
      <c r="BM245" s="26"/>
      <c r="BN245" s="26"/>
      <c r="BO245" s="26"/>
      <c r="BP245" s="26"/>
      <c r="BQ245" s="7">
        <v>0</v>
      </c>
    </row>
    <row r="246" s="7" customFormat="1" spans="2:69">
      <c r="B246" s="34" t="s">
        <v>881</v>
      </c>
      <c r="C246" s="7" t="s">
        <v>71</v>
      </c>
      <c r="D246" s="26" t="s">
        <v>280</v>
      </c>
      <c r="E246" s="27" t="s">
        <v>869</v>
      </c>
      <c r="F246" s="34"/>
      <c r="G246" s="26" t="s">
        <v>870</v>
      </c>
      <c r="H246" s="26"/>
      <c r="I246" s="26" t="s">
        <v>283</v>
      </c>
      <c r="J246" s="26"/>
      <c r="K246" s="26"/>
      <c r="L246" s="26">
        <v>0</v>
      </c>
      <c r="M246" s="26">
        <v>0</v>
      </c>
      <c r="N246" s="26"/>
      <c r="O246" s="26" t="s">
        <v>871</v>
      </c>
      <c r="P246" s="26">
        <f t="shared" si="5"/>
        <v>1.05</v>
      </c>
      <c r="Q246" s="26"/>
      <c r="R246" s="26"/>
      <c r="S246" s="26"/>
      <c r="T246" s="26"/>
      <c r="U246" s="26">
        <v>1</v>
      </c>
      <c r="V246" s="26">
        <v>2</v>
      </c>
      <c r="W246" s="26" t="s">
        <v>469</v>
      </c>
      <c r="X246" s="26">
        <v>450</v>
      </c>
      <c r="Y246" s="26">
        <v>0</v>
      </c>
      <c r="Z246" s="26" t="s">
        <v>151</v>
      </c>
      <c r="AA246" s="26">
        <v>500</v>
      </c>
      <c r="AB246" s="26"/>
      <c r="AC246" s="26"/>
      <c r="AD246" s="26">
        <v>0</v>
      </c>
      <c r="AE246" s="26" t="s">
        <v>151</v>
      </c>
      <c r="AF246" s="26"/>
      <c r="AG246" s="26"/>
      <c r="AH246" s="41" t="s">
        <v>152</v>
      </c>
      <c r="AI246" s="27" t="s">
        <v>153</v>
      </c>
      <c r="AJ246" s="26">
        <v>0.5</v>
      </c>
      <c r="AK246" s="26">
        <v>0.5</v>
      </c>
      <c r="AL246" s="26"/>
      <c r="AM246" s="26">
        <v>1</v>
      </c>
      <c r="AN246" s="26"/>
      <c r="AO246" s="26"/>
      <c r="AP246" s="26">
        <v>250</v>
      </c>
      <c r="AQ246" s="26">
        <v>0.5</v>
      </c>
      <c r="AR246" s="26"/>
      <c r="AS246" s="26"/>
      <c r="AT246" s="26"/>
      <c r="AU246" s="26">
        <v>1</v>
      </c>
      <c r="AV246" s="26"/>
      <c r="AW246" s="26">
        <v>0</v>
      </c>
      <c r="AX246" s="26">
        <v>0</v>
      </c>
      <c r="AY246" s="26">
        <v>0</v>
      </c>
      <c r="AZ246" s="26">
        <v>0</v>
      </c>
      <c r="BA246" s="26">
        <v>0</v>
      </c>
      <c r="BB246" s="26">
        <v>0</v>
      </c>
      <c r="BC246" s="26">
        <v>100</v>
      </c>
      <c r="BD246" s="26">
        <v>100</v>
      </c>
      <c r="BE246" s="26"/>
      <c r="BF246" s="26" t="s">
        <v>154</v>
      </c>
      <c r="BG246" s="26">
        <v>0</v>
      </c>
      <c r="BH246" s="26">
        <v>0</v>
      </c>
      <c r="BI246" s="26">
        <v>100</v>
      </c>
      <c r="BJ246" s="26"/>
      <c r="BK246" s="26"/>
      <c r="BL246" s="26"/>
      <c r="BM246" s="26"/>
      <c r="BN246" s="26"/>
      <c r="BO246" s="26"/>
      <c r="BP246" s="26"/>
      <c r="BQ246" s="7">
        <v>0</v>
      </c>
    </row>
    <row r="247" s="7" customFormat="1" spans="2:69">
      <c r="B247" s="34" t="s">
        <v>882</v>
      </c>
      <c r="C247" s="7" t="s">
        <v>71</v>
      </c>
      <c r="D247" s="26" t="s">
        <v>280</v>
      </c>
      <c r="E247" s="27" t="s">
        <v>869</v>
      </c>
      <c r="F247" s="34"/>
      <c r="G247" s="26" t="s">
        <v>870</v>
      </c>
      <c r="H247" s="26"/>
      <c r="I247" s="26" t="s">
        <v>283</v>
      </c>
      <c r="J247" s="26"/>
      <c r="K247" s="26"/>
      <c r="L247" s="26">
        <v>0</v>
      </c>
      <c r="M247" s="26">
        <v>0</v>
      </c>
      <c r="N247" s="26"/>
      <c r="O247" s="26" t="s">
        <v>871</v>
      </c>
      <c r="P247" s="26">
        <f t="shared" si="5"/>
        <v>1.1</v>
      </c>
      <c r="Q247" s="26"/>
      <c r="R247" s="26"/>
      <c r="S247" s="26"/>
      <c r="T247" s="26"/>
      <c r="U247" s="26">
        <v>1</v>
      </c>
      <c r="V247" s="26">
        <v>2</v>
      </c>
      <c r="W247" s="26" t="s">
        <v>469</v>
      </c>
      <c r="X247" s="26">
        <v>450</v>
      </c>
      <c r="Y247" s="26">
        <v>0</v>
      </c>
      <c r="Z247" s="26" t="s">
        <v>151</v>
      </c>
      <c r="AA247" s="26">
        <v>500</v>
      </c>
      <c r="AB247" s="26"/>
      <c r="AC247" s="26"/>
      <c r="AD247" s="26">
        <v>0</v>
      </c>
      <c r="AE247" s="26" t="s">
        <v>151</v>
      </c>
      <c r="AF247" s="26"/>
      <c r="AG247" s="26"/>
      <c r="AH247" s="41" t="s">
        <v>152</v>
      </c>
      <c r="AI247" s="27" t="s">
        <v>153</v>
      </c>
      <c r="AJ247" s="26">
        <v>0.5</v>
      </c>
      <c r="AK247" s="26">
        <v>0.5</v>
      </c>
      <c r="AL247" s="26"/>
      <c r="AM247" s="26">
        <v>1</v>
      </c>
      <c r="AN247" s="26"/>
      <c r="AO247" s="26"/>
      <c r="AP247" s="26">
        <v>250</v>
      </c>
      <c r="AQ247" s="26">
        <v>0.5</v>
      </c>
      <c r="AR247" s="26"/>
      <c r="AS247" s="26"/>
      <c r="AT247" s="26"/>
      <c r="AU247" s="26">
        <v>1</v>
      </c>
      <c r="AV247" s="26"/>
      <c r="AW247" s="26">
        <v>0</v>
      </c>
      <c r="AX247" s="26">
        <v>0</v>
      </c>
      <c r="AY247" s="26">
        <v>0</v>
      </c>
      <c r="AZ247" s="26">
        <v>0</v>
      </c>
      <c r="BA247" s="26">
        <v>0</v>
      </c>
      <c r="BB247" s="26">
        <v>0</v>
      </c>
      <c r="BC247" s="26">
        <v>100</v>
      </c>
      <c r="BD247" s="26">
        <v>100</v>
      </c>
      <c r="BE247" s="26"/>
      <c r="BF247" s="26" t="s">
        <v>154</v>
      </c>
      <c r="BG247" s="26">
        <v>0</v>
      </c>
      <c r="BH247" s="26">
        <v>0</v>
      </c>
      <c r="BI247" s="26">
        <v>100</v>
      </c>
      <c r="BJ247" s="26"/>
      <c r="BK247" s="26"/>
      <c r="BL247" s="26"/>
      <c r="BM247" s="26"/>
      <c r="BN247" s="26"/>
      <c r="BO247" s="26"/>
      <c r="BP247" s="26"/>
      <c r="BQ247" s="7">
        <v>0</v>
      </c>
    </row>
    <row r="248" s="7" customFormat="1" spans="2:69">
      <c r="B248" s="34" t="s">
        <v>883</v>
      </c>
      <c r="C248" s="7" t="s">
        <v>71</v>
      </c>
      <c r="D248" s="26" t="s">
        <v>280</v>
      </c>
      <c r="E248" s="27" t="s">
        <v>869</v>
      </c>
      <c r="F248" s="34"/>
      <c r="G248" s="26" t="s">
        <v>870</v>
      </c>
      <c r="H248" s="26"/>
      <c r="I248" s="26" t="s">
        <v>283</v>
      </c>
      <c r="J248" s="26"/>
      <c r="K248" s="26"/>
      <c r="L248" s="26">
        <v>0</v>
      </c>
      <c r="M248" s="26">
        <v>0</v>
      </c>
      <c r="N248" s="26"/>
      <c r="O248" s="26" t="s">
        <v>871</v>
      </c>
      <c r="P248" s="26">
        <f t="shared" si="5"/>
        <v>1.15</v>
      </c>
      <c r="Q248" s="26"/>
      <c r="R248" s="26"/>
      <c r="S248" s="26"/>
      <c r="T248" s="26"/>
      <c r="U248" s="26">
        <v>1</v>
      </c>
      <c r="V248" s="26">
        <v>2</v>
      </c>
      <c r="W248" s="26" t="s">
        <v>469</v>
      </c>
      <c r="X248" s="26">
        <v>450</v>
      </c>
      <c r="Y248" s="26">
        <v>0</v>
      </c>
      <c r="Z248" s="26" t="s">
        <v>151</v>
      </c>
      <c r="AA248" s="26">
        <v>500</v>
      </c>
      <c r="AB248" s="26"/>
      <c r="AC248" s="26"/>
      <c r="AD248" s="26">
        <v>0</v>
      </c>
      <c r="AE248" s="26" t="s">
        <v>151</v>
      </c>
      <c r="AF248" s="26"/>
      <c r="AG248" s="26"/>
      <c r="AH248" s="41" t="s">
        <v>152</v>
      </c>
      <c r="AI248" s="27" t="s">
        <v>153</v>
      </c>
      <c r="AJ248" s="26">
        <v>0.5</v>
      </c>
      <c r="AK248" s="26">
        <v>0.5</v>
      </c>
      <c r="AL248" s="26"/>
      <c r="AM248" s="26">
        <v>1</v>
      </c>
      <c r="AN248" s="26"/>
      <c r="AO248" s="26"/>
      <c r="AP248" s="26">
        <v>250</v>
      </c>
      <c r="AQ248" s="26">
        <v>0.5</v>
      </c>
      <c r="AR248" s="26"/>
      <c r="AS248" s="26"/>
      <c r="AT248" s="26"/>
      <c r="AU248" s="26">
        <v>1</v>
      </c>
      <c r="AV248" s="26"/>
      <c r="AW248" s="26">
        <v>0</v>
      </c>
      <c r="AX248" s="26">
        <v>0</v>
      </c>
      <c r="AY248" s="26">
        <v>0</v>
      </c>
      <c r="AZ248" s="26">
        <v>0</v>
      </c>
      <c r="BA248" s="26">
        <v>0</v>
      </c>
      <c r="BB248" s="26">
        <v>0</v>
      </c>
      <c r="BC248" s="26">
        <v>100</v>
      </c>
      <c r="BD248" s="26">
        <v>100</v>
      </c>
      <c r="BE248" s="26"/>
      <c r="BF248" s="26" t="s">
        <v>154</v>
      </c>
      <c r="BG248" s="26">
        <v>0</v>
      </c>
      <c r="BH248" s="26">
        <v>0</v>
      </c>
      <c r="BI248" s="26">
        <v>100</v>
      </c>
      <c r="BJ248" s="26"/>
      <c r="BK248" s="26"/>
      <c r="BL248" s="26"/>
      <c r="BM248" s="26"/>
      <c r="BN248" s="26"/>
      <c r="BO248" s="26"/>
      <c r="BP248" s="26"/>
      <c r="BQ248" s="7">
        <v>0</v>
      </c>
    </row>
    <row r="249" s="6" customFormat="1" spans="2:69">
      <c r="B249" s="19" t="s">
        <v>884</v>
      </c>
      <c r="C249" s="6" t="s">
        <v>71</v>
      </c>
      <c r="D249" s="16" t="s">
        <v>280</v>
      </c>
      <c r="E249" s="32" t="s">
        <v>885</v>
      </c>
      <c r="F249" s="19"/>
      <c r="G249" s="16" t="s">
        <v>870</v>
      </c>
      <c r="H249" s="16"/>
      <c r="I249" s="16" t="s">
        <v>283</v>
      </c>
      <c r="J249" s="16"/>
      <c r="K249" s="16"/>
      <c r="L249" s="16">
        <v>0</v>
      </c>
      <c r="M249" s="16">
        <v>0</v>
      </c>
      <c r="N249" s="16"/>
      <c r="O249" s="16" t="s">
        <v>886</v>
      </c>
      <c r="P249" s="16">
        <v>0.4</v>
      </c>
      <c r="Q249" s="16"/>
      <c r="R249" s="16"/>
      <c r="S249" s="16"/>
      <c r="T249" s="16"/>
      <c r="U249" s="16">
        <v>1</v>
      </c>
      <c r="V249" s="16">
        <v>2</v>
      </c>
      <c r="W249" s="16" t="s">
        <v>469</v>
      </c>
      <c r="X249" s="16">
        <v>400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39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="6" customFormat="1" spans="2:69">
      <c r="B250" s="19" t="s">
        <v>887</v>
      </c>
      <c r="C250" s="6" t="s">
        <v>71</v>
      </c>
      <c r="D250" s="16" t="s">
        <v>280</v>
      </c>
      <c r="E250" s="32" t="s">
        <v>888</v>
      </c>
      <c r="F250" s="19"/>
      <c r="G250" s="16" t="s">
        <v>870</v>
      </c>
      <c r="H250" s="16"/>
      <c r="I250" s="16" t="s">
        <v>283</v>
      </c>
      <c r="J250" s="16"/>
      <c r="K250" s="16"/>
      <c r="L250" s="16">
        <v>0</v>
      </c>
      <c r="M250" s="16">
        <v>0</v>
      </c>
      <c r="N250" s="16"/>
      <c r="O250" s="16" t="s">
        <v>886</v>
      </c>
      <c r="P250" s="16">
        <v>0.45</v>
      </c>
      <c r="Q250" s="16"/>
      <c r="R250" s="16"/>
      <c r="S250" s="16"/>
      <c r="T250" s="16"/>
      <c r="U250" s="16">
        <v>1</v>
      </c>
      <c r="V250" s="16">
        <v>2</v>
      </c>
      <c r="W250" s="16" t="s">
        <v>469</v>
      </c>
      <c r="X250" s="16">
        <v>400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39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="6" customFormat="1" spans="2:69">
      <c r="B251" s="19" t="s">
        <v>889</v>
      </c>
      <c r="C251" s="6" t="s">
        <v>71</v>
      </c>
      <c r="D251" s="16" t="s">
        <v>280</v>
      </c>
      <c r="E251" s="32" t="s">
        <v>890</v>
      </c>
      <c r="F251" s="19"/>
      <c r="G251" s="16" t="s">
        <v>870</v>
      </c>
      <c r="H251" s="16"/>
      <c r="I251" s="16" t="s">
        <v>283</v>
      </c>
      <c r="J251" s="16"/>
      <c r="K251" s="16"/>
      <c r="L251" s="16">
        <v>0</v>
      </c>
      <c r="M251" s="16">
        <v>0</v>
      </c>
      <c r="N251" s="16"/>
      <c r="O251" s="16" t="s">
        <v>886</v>
      </c>
      <c r="P251" s="16">
        <v>0.5</v>
      </c>
      <c r="Q251" s="16"/>
      <c r="R251" s="16"/>
      <c r="S251" s="16"/>
      <c r="T251" s="16"/>
      <c r="U251" s="16">
        <v>1</v>
      </c>
      <c r="V251" s="16">
        <v>2</v>
      </c>
      <c r="W251" s="16" t="s">
        <v>469</v>
      </c>
      <c r="X251" s="16">
        <v>400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39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="6" customFormat="1" spans="2:69">
      <c r="B252" s="19" t="s">
        <v>891</v>
      </c>
      <c r="C252" s="6" t="s">
        <v>71</v>
      </c>
      <c r="D252" s="16" t="s">
        <v>280</v>
      </c>
      <c r="E252" s="32" t="s">
        <v>892</v>
      </c>
      <c r="F252" s="19"/>
      <c r="G252" s="16" t="s">
        <v>870</v>
      </c>
      <c r="H252" s="16"/>
      <c r="I252" s="16" t="s">
        <v>283</v>
      </c>
      <c r="J252" s="16"/>
      <c r="K252" s="16"/>
      <c r="L252" s="16">
        <v>0</v>
      </c>
      <c r="M252" s="16">
        <v>0</v>
      </c>
      <c r="N252" s="16"/>
      <c r="O252" s="16" t="s">
        <v>886</v>
      </c>
      <c r="P252" s="16">
        <v>0.55</v>
      </c>
      <c r="Q252" s="16"/>
      <c r="R252" s="16"/>
      <c r="S252" s="16"/>
      <c r="T252" s="16"/>
      <c r="U252" s="16">
        <v>1</v>
      </c>
      <c r="V252" s="16">
        <v>2</v>
      </c>
      <c r="W252" s="16" t="s">
        <v>469</v>
      </c>
      <c r="X252" s="16">
        <v>400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39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="6" customFormat="1" spans="2:69">
      <c r="B253" s="19" t="s">
        <v>893</v>
      </c>
      <c r="C253" s="6" t="s">
        <v>71</v>
      </c>
      <c r="D253" s="16" t="s">
        <v>280</v>
      </c>
      <c r="E253" s="32" t="s">
        <v>894</v>
      </c>
      <c r="F253" s="19"/>
      <c r="G253" s="16" t="s">
        <v>870</v>
      </c>
      <c r="H253" s="16"/>
      <c r="I253" s="16" t="s">
        <v>283</v>
      </c>
      <c r="J253" s="16"/>
      <c r="K253" s="16"/>
      <c r="L253" s="16">
        <v>0</v>
      </c>
      <c r="M253" s="16">
        <v>0</v>
      </c>
      <c r="N253" s="16"/>
      <c r="O253" s="16" t="s">
        <v>886</v>
      </c>
      <c r="P253" s="16">
        <v>0.6</v>
      </c>
      <c r="Q253" s="16"/>
      <c r="R253" s="16"/>
      <c r="S253" s="16"/>
      <c r="T253" s="16"/>
      <c r="U253" s="16">
        <v>1</v>
      </c>
      <c r="V253" s="16">
        <v>2</v>
      </c>
      <c r="W253" s="16" t="s">
        <v>469</v>
      </c>
      <c r="X253" s="16">
        <v>400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39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="6" customFormat="1" spans="2:69">
      <c r="B254" s="19" t="s">
        <v>895</v>
      </c>
      <c r="C254" s="6" t="s">
        <v>71</v>
      </c>
      <c r="D254" s="16" t="s">
        <v>280</v>
      </c>
      <c r="E254" s="32" t="s">
        <v>896</v>
      </c>
      <c r="F254" s="19"/>
      <c r="G254" s="16" t="s">
        <v>870</v>
      </c>
      <c r="H254" s="16"/>
      <c r="I254" s="16" t="s">
        <v>283</v>
      </c>
      <c r="J254" s="16" t="s">
        <v>448</v>
      </c>
      <c r="K254" s="16"/>
      <c r="L254" s="16">
        <v>0</v>
      </c>
      <c r="M254" s="16">
        <v>0</v>
      </c>
      <c r="N254" s="16"/>
      <c r="O254" s="16" t="s">
        <v>897</v>
      </c>
      <c r="P254" s="16">
        <v>0.9</v>
      </c>
      <c r="Q254" s="16"/>
      <c r="R254" s="16"/>
      <c r="S254" s="16"/>
      <c r="T254" s="16"/>
      <c r="U254" s="16">
        <v>1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39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0.2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="6" customFormat="1" spans="2:69">
      <c r="B255" s="19" t="s">
        <v>898</v>
      </c>
      <c r="C255" s="6" t="s">
        <v>71</v>
      </c>
      <c r="D255" s="16" t="s">
        <v>280</v>
      </c>
      <c r="E255" s="32" t="s">
        <v>899</v>
      </c>
      <c r="F255" s="19"/>
      <c r="G255" s="16" t="s">
        <v>870</v>
      </c>
      <c r="H255" s="16"/>
      <c r="I255" s="16" t="s">
        <v>283</v>
      </c>
      <c r="J255" s="16"/>
      <c r="K255" s="16"/>
      <c r="L255" s="16">
        <v>0</v>
      </c>
      <c r="M255" s="16">
        <v>0</v>
      </c>
      <c r="N255" s="16"/>
      <c r="O255" s="16" t="s">
        <v>886</v>
      </c>
      <c r="P255" s="16">
        <v>0.4</v>
      </c>
      <c r="Q255" s="16"/>
      <c r="R255" s="16"/>
      <c r="S255" s="16"/>
      <c r="T255" s="16"/>
      <c r="U255" s="16">
        <v>1</v>
      </c>
      <c r="V255" s="16">
        <v>2</v>
      </c>
      <c r="W255" s="16" t="s">
        <v>469</v>
      </c>
      <c r="X255" s="16">
        <v>400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39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="6" customFormat="1" spans="2:69">
      <c r="B256" s="19" t="s">
        <v>900</v>
      </c>
      <c r="C256" s="6" t="s">
        <v>71</v>
      </c>
      <c r="D256" s="16" t="s">
        <v>280</v>
      </c>
      <c r="E256" s="32" t="s">
        <v>901</v>
      </c>
      <c r="F256" s="19"/>
      <c r="G256" s="16" t="s">
        <v>870</v>
      </c>
      <c r="H256" s="16"/>
      <c r="I256" s="16" t="s">
        <v>283</v>
      </c>
      <c r="J256" s="16"/>
      <c r="K256" s="16"/>
      <c r="L256" s="16">
        <v>0</v>
      </c>
      <c r="M256" s="16">
        <v>0</v>
      </c>
      <c r="N256" s="16"/>
      <c r="O256" s="16" t="s">
        <v>886</v>
      </c>
      <c r="P256" s="16">
        <v>0.45</v>
      </c>
      <c r="Q256" s="16"/>
      <c r="R256" s="16"/>
      <c r="S256" s="16"/>
      <c r="T256" s="16"/>
      <c r="U256" s="16">
        <v>1</v>
      </c>
      <c r="V256" s="16">
        <v>2</v>
      </c>
      <c r="W256" s="16" t="s">
        <v>469</v>
      </c>
      <c r="X256" s="16">
        <v>400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39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="6" customFormat="1" spans="2:69">
      <c r="B257" s="19" t="s">
        <v>902</v>
      </c>
      <c r="C257" s="6" t="s">
        <v>71</v>
      </c>
      <c r="D257" s="16" t="s">
        <v>280</v>
      </c>
      <c r="E257" s="32" t="s">
        <v>903</v>
      </c>
      <c r="F257" s="19"/>
      <c r="G257" s="16" t="s">
        <v>870</v>
      </c>
      <c r="H257" s="16"/>
      <c r="I257" s="16" t="s">
        <v>283</v>
      </c>
      <c r="J257" s="16"/>
      <c r="K257" s="16"/>
      <c r="L257" s="16">
        <v>0</v>
      </c>
      <c r="M257" s="16">
        <v>0</v>
      </c>
      <c r="N257" s="16"/>
      <c r="O257" s="16" t="s">
        <v>886</v>
      </c>
      <c r="P257" s="16">
        <v>0.5</v>
      </c>
      <c r="Q257" s="16"/>
      <c r="R257" s="16"/>
      <c r="S257" s="16"/>
      <c r="T257" s="16"/>
      <c r="U257" s="16">
        <v>1</v>
      </c>
      <c r="V257" s="16">
        <v>2</v>
      </c>
      <c r="W257" s="16" t="s">
        <v>469</v>
      </c>
      <c r="X257" s="16">
        <v>400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39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="6" customFormat="1" spans="2:69">
      <c r="B258" s="19" t="s">
        <v>904</v>
      </c>
      <c r="C258" s="6" t="s">
        <v>71</v>
      </c>
      <c r="D258" s="16" t="s">
        <v>280</v>
      </c>
      <c r="E258" s="32" t="s">
        <v>905</v>
      </c>
      <c r="F258" s="19"/>
      <c r="G258" s="16" t="s">
        <v>870</v>
      </c>
      <c r="H258" s="16"/>
      <c r="I258" s="16" t="s">
        <v>283</v>
      </c>
      <c r="J258" s="16"/>
      <c r="K258" s="16"/>
      <c r="L258" s="16">
        <v>0</v>
      </c>
      <c r="M258" s="16">
        <v>0</v>
      </c>
      <c r="N258" s="16"/>
      <c r="O258" s="16" t="s">
        <v>886</v>
      </c>
      <c r="P258" s="16">
        <v>0.55</v>
      </c>
      <c r="Q258" s="16"/>
      <c r="R258" s="16"/>
      <c r="S258" s="16"/>
      <c r="T258" s="16"/>
      <c r="U258" s="16">
        <v>1</v>
      </c>
      <c r="V258" s="16">
        <v>2</v>
      </c>
      <c r="W258" s="16" t="s">
        <v>469</v>
      </c>
      <c r="X258" s="16">
        <v>400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39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="6" customFormat="1" spans="2:69">
      <c r="B259" s="19" t="s">
        <v>906</v>
      </c>
      <c r="C259" s="6" t="s">
        <v>71</v>
      </c>
      <c r="D259" s="16" t="s">
        <v>280</v>
      </c>
      <c r="E259" s="32" t="s">
        <v>907</v>
      </c>
      <c r="F259" s="19"/>
      <c r="G259" s="16" t="s">
        <v>870</v>
      </c>
      <c r="H259" s="16"/>
      <c r="I259" s="16" t="s">
        <v>283</v>
      </c>
      <c r="J259" s="16"/>
      <c r="K259" s="16"/>
      <c r="L259" s="16">
        <v>0</v>
      </c>
      <c r="M259" s="16">
        <v>0</v>
      </c>
      <c r="N259" s="16"/>
      <c r="O259" s="16" t="s">
        <v>886</v>
      </c>
      <c r="P259" s="16">
        <v>0.6</v>
      </c>
      <c r="Q259" s="16"/>
      <c r="R259" s="16"/>
      <c r="S259" s="16"/>
      <c r="T259" s="16"/>
      <c r="U259" s="16">
        <v>1</v>
      </c>
      <c r="V259" s="16">
        <v>2</v>
      </c>
      <c r="W259" s="16" t="s">
        <v>469</v>
      </c>
      <c r="X259" s="16">
        <v>400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39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="6" customFormat="1" spans="2:69">
      <c r="B260" s="19" t="s">
        <v>908</v>
      </c>
      <c r="C260" s="6" t="s">
        <v>71</v>
      </c>
      <c r="D260" s="16" t="s">
        <v>280</v>
      </c>
      <c r="E260" s="32" t="s">
        <v>909</v>
      </c>
      <c r="F260" s="19"/>
      <c r="G260" s="16" t="s">
        <v>870</v>
      </c>
      <c r="H260" s="16"/>
      <c r="I260" s="16" t="s">
        <v>283</v>
      </c>
      <c r="J260" s="16" t="s">
        <v>448</v>
      </c>
      <c r="K260" s="16"/>
      <c r="L260" s="16">
        <v>0</v>
      </c>
      <c r="M260" s="16">
        <v>0</v>
      </c>
      <c r="N260" s="16"/>
      <c r="O260" s="16" t="s">
        <v>910</v>
      </c>
      <c r="P260" s="16">
        <v>0.8</v>
      </c>
      <c r="Q260" s="16"/>
      <c r="R260" s="16"/>
      <c r="S260" s="16"/>
      <c r="T260" s="16"/>
      <c r="U260" s="16">
        <v>1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39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0.2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="6" customFormat="1" spans="2:69">
      <c r="B261" s="19" t="s">
        <v>911</v>
      </c>
      <c r="C261" s="6" t="s">
        <v>71</v>
      </c>
      <c r="D261" s="16" t="s">
        <v>280</v>
      </c>
      <c r="E261" s="32" t="s">
        <v>912</v>
      </c>
      <c r="F261" s="19"/>
      <c r="G261" s="16" t="s">
        <v>870</v>
      </c>
      <c r="H261" s="16"/>
      <c r="I261" s="16" t="s">
        <v>283</v>
      </c>
      <c r="J261" s="16"/>
      <c r="K261" s="16"/>
      <c r="L261" s="16">
        <v>0</v>
      </c>
      <c r="M261" s="16">
        <v>0</v>
      </c>
      <c r="N261" s="16"/>
      <c r="O261" s="16" t="s">
        <v>886</v>
      </c>
      <c r="P261" s="16">
        <v>0.4</v>
      </c>
      <c r="Q261" s="16"/>
      <c r="R261" s="16"/>
      <c r="S261" s="16"/>
      <c r="T261" s="16"/>
      <c r="U261" s="16">
        <v>1</v>
      </c>
      <c r="V261" s="16">
        <v>2</v>
      </c>
      <c r="W261" s="16" t="s">
        <v>469</v>
      </c>
      <c r="X261" s="16">
        <v>400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39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="6" customFormat="1" spans="2:69">
      <c r="B262" s="19" t="s">
        <v>913</v>
      </c>
      <c r="C262" s="6" t="s">
        <v>71</v>
      </c>
      <c r="D262" s="16" t="s">
        <v>280</v>
      </c>
      <c r="E262" s="32" t="s">
        <v>914</v>
      </c>
      <c r="F262" s="19"/>
      <c r="G262" s="16" t="s">
        <v>870</v>
      </c>
      <c r="H262" s="16"/>
      <c r="I262" s="16" t="s">
        <v>283</v>
      </c>
      <c r="J262" s="16"/>
      <c r="K262" s="16"/>
      <c r="L262" s="16">
        <v>0</v>
      </c>
      <c r="M262" s="16">
        <v>0</v>
      </c>
      <c r="N262" s="16"/>
      <c r="O262" s="16" t="s">
        <v>886</v>
      </c>
      <c r="P262" s="16">
        <v>0.45</v>
      </c>
      <c r="Q262" s="16"/>
      <c r="R262" s="16"/>
      <c r="S262" s="16"/>
      <c r="T262" s="16"/>
      <c r="U262" s="16">
        <v>1</v>
      </c>
      <c r="V262" s="16">
        <v>2</v>
      </c>
      <c r="W262" s="16" t="s">
        <v>469</v>
      </c>
      <c r="X262" s="16">
        <v>400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39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="6" customFormat="1" spans="2:69">
      <c r="B263" s="19" t="s">
        <v>915</v>
      </c>
      <c r="C263" s="6" t="s">
        <v>71</v>
      </c>
      <c r="D263" s="16" t="s">
        <v>280</v>
      </c>
      <c r="E263" s="32" t="s">
        <v>916</v>
      </c>
      <c r="F263" s="19"/>
      <c r="G263" s="16" t="s">
        <v>870</v>
      </c>
      <c r="H263" s="16"/>
      <c r="I263" s="16" t="s">
        <v>283</v>
      </c>
      <c r="J263" s="16"/>
      <c r="K263" s="16"/>
      <c r="L263" s="16">
        <v>0</v>
      </c>
      <c r="M263" s="16">
        <v>0</v>
      </c>
      <c r="N263" s="16"/>
      <c r="O263" s="16" t="s">
        <v>886</v>
      </c>
      <c r="P263" s="16">
        <v>0.5</v>
      </c>
      <c r="Q263" s="16"/>
      <c r="R263" s="16"/>
      <c r="S263" s="16"/>
      <c r="T263" s="16"/>
      <c r="U263" s="16">
        <v>1</v>
      </c>
      <c r="V263" s="16">
        <v>2</v>
      </c>
      <c r="W263" s="16" t="s">
        <v>469</v>
      </c>
      <c r="X263" s="16">
        <v>400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39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="6" customFormat="1" spans="2:69">
      <c r="B264" s="19" t="s">
        <v>917</v>
      </c>
      <c r="C264" s="6" t="s">
        <v>71</v>
      </c>
      <c r="D264" s="16" t="s">
        <v>280</v>
      </c>
      <c r="E264" s="32" t="s">
        <v>918</v>
      </c>
      <c r="F264" s="19"/>
      <c r="G264" s="16" t="s">
        <v>870</v>
      </c>
      <c r="H264" s="16"/>
      <c r="I264" s="16" t="s">
        <v>283</v>
      </c>
      <c r="J264" s="16"/>
      <c r="K264" s="16"/>
      <c r="L264" s="16">
        <v>0</v>
      </c>
      <c r="M264" s="16">
        <v>0</v>
      </c>
      <c r="N264" s="16"/>
      <c r="O264" s="16" t="s">
        <v>886</v>
      </c>
      <c r="P264" s="16">
        <v>0.55</v>
      </c>
      <c r="Q264" s="16"/>
      <c r="R264" s="16"/>
      <c r="S264" s="16"/>
      <c r="T264" s="16"/>
      <c r="U264" s="16">
        <v>1</v>
      </c>
      <c r="V264" s="16">
        <v>2</v>
      </c>
      <c r="W264" s="16" t="s">
        <v>469</v>
      </c>
      <c r="X264" s="16">
        <v>400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39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="6" customFormat="1" spans="2:69">
      <c r="B265" s="19" t="s">
        <v>919</v>
      </c>
      <c r="C265" s="6" t="s">
        <v>71</v>
      </c>
      <c r="D265" s="16" t="s">
        <v>280</v>
      </c>
      <c r="E265" s="32" t="s">
        <v>920</v>
      </c>
      <c r="F265" s="19"/>
      <c r="G265" s="16" t="s">
        <v>870</v>
      </c>
      <c r="H265" s="16"/>
      <c r="I265" s="16" t="s">
        <v>283</v>
      </c>
      <c r="J265" s="16"/>
      <c r="K265" s="16"/>
      <c r="L265" s="16">
        <v>0</v>
      </c>
      <c r="M265" s="16">
        <v>0</v>
      </c>
      <c r="N265" s="16"/>
      <c r="O265" s="16" t="s">
        <v>886</v>
      </c>
      <c r="P265" s="16">
        <v>0.6</v>
      </c>
      <c r="Q265" s="16"/>
      <c r="R265" s="16"/>
      <c r="S265" s="16"/>
      <c r="T265" s="16"/>
      <c r="U265" s="16">
        <v>1</v>
      </c>
      <c r="V265" s="16">
        <v>2</v>
      </c>
      <c r="W265" s="16" t="s">
        <v>469</v>
      </c>
      <c r="X265" s="16">
        <v>400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39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="6" customFormat="1" spans="2:69">
      <c r="B266" s="19" t="s">
        <v>921</v>
      </c>
      <c r="C266" s="6" t="s">
        <v>71</v>
      </c>
      <c r="D266" s="16" t="s">
        <v>280</v>
      </c>
      <c r="E266" s="32" t="s">
        <v>922</v>
      </c>
      <c r="F266" s="19"/>
      <c r="G266" s="16" t="s">
        <v>870</v>
      </c>
      <c r="H266" s="16"/>
      <c r="I266" s="16" t="s">
        <v>283</v>
      </c>
      <c r="J266" s="16" t="s">
        <v>448</v>
      </c>
      <c r="K266" s="16"/>
      <c r="L266" s="16">
        <v>0</v>
      </c>
      <c r="M266" s="16">
        <v>0</v>
      </c>
      <c r="N266" s="16"/>
      <c r="O266" s="16" t="s">
        <v>923</v>
      </c>
      <c r="P266" s="16">
        <v>1.05</v>
      </c>
      <c r="Q266" s="16"/>
      <c r="R266" s="16"/>
      <c r="S266" s="16"/>
      <c r="T266" s="16"/>
      <c r="U266" s="16">
        <v>1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39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0.2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="6" customFormat="1" spans="2:69">
      <c r="B267" s="19" t="s">
        <v>924</v>
      </c>
      <c r="C267" s="6" t="s">
        <v>71</v>
      </c>
      <c r="D267" s="16" t="s">
        <v>280</v>
      </c>
      <c r="E267" s="32" t="s">
        <v>925</v>
      </c>
      <c r="F267" s="19"/>
      <c r="G267" s="16" t="s">
        <v>870</v>
      </c>
      <c r="H267" s="16"/>
      <c r="I267" s="16" t="s">
        <v>283</v>
      </c>
      <c r="J267" s="16"/>
      <c r="K267" s="16"/>
      <c r="L267" s="16">
        <v>0</v>
      </c>
      <c r="M267" s="16">
        <v>0</v>
      </c>
      <c r="N267" s="16"/>
      <c r="O267" s="16" t="s">
        <v>886</v>
      </c>
      <c r="P267" s="16">
        <v>0.4</v>
      </c>
      <c r="Q267" s="16"/>
      <c r="R267" s="16"/>
      <c r="S267" s="16"/>
      <c r="T267" s="16"/>
      <c r="U267" s="16">
        <v>1</v>
      </c>
      <c r="V267" s="16">
        <v>2</v>
      </c>
      <c r="W267" s="16" t="s">
        <v>469</v>
      </c>
      <c r="X267" s="16">
        <v>400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39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="6" customFormat="1" spans="2:69">
      <c r="B268" s="19" t="s">
        <v>926</v>
      </c>
      <c r="C268" s="6" t="s">
        <v>71</v>
      </c>
      <c r="D268" s="16" t="s">
        <v>280</v>
      </c>
      <c r="E268" s="32" t="s">
        <v>927</v>
      </c>
      <c r="F268" s="19"/>
      <c r="G268" s="16" t="s">
        <v>870</v>
      </c>
      <c r="H268" s="16"/>
      <c r="I268" s="16" t="s">
        <v>283</v>
      </c>
      <c r="J268" s="16"/>
      <c r="K268" s="16"/>
      <c r="L268" s="16">
        <v>0</v>
      </c>
      <c r="M268" s="16">
        <v>0</v>
      </c>
      <c r="N268" s="16"/>
      <c r="O268" s="16" t="s">
        <v>886</v>
      </c>
      <c r="P268" s="16">
        <v>0.45</v>
      </c>
      <c r="Q268" s="16"/>
      <c r="R268" s="16"/>
      <c r="S268" s="16"/>
      <c r="T268" s="16"/>
      <c r="U268" s="16">
        <v>1</v>
      </c>
      <c r="V268" s="16">
        <v>2</v>
      </c>
      <c r="W268" s="16" t="s">
        <v>469</v>
      </c>
      <c r="X268" s="16">
        <v>400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39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="6" customFormat="1" spans="2:69">
      <c r="B269" s="19" t="s">
        <v>928</v>
      </c>
      <c r="C269" s="6" t="s">
        <v>71</v>
      </c>
      <c r="D269" s="16" t="s">
        <v>280</v>
      </c>
      <c r="E269" s="32" t="s">
        <v>929</v>
      </c>
      <c r="F269" s="19"/>
      <c r="G269" s="16" t="s">
        <v>870</v>
      </c>
      <c r="H269" s="16"/>
      <c r="I269" s="16" t="s">
        <v>283</v>
      </c>
      <c r="J269" s="16"/>
      <c r="K269" s="16"/>
      <c r="L269" s="16">
        <v>0</v>
      </c>
      <c r="M269" s="16">
        <v>0</v>
      </c>
      <c r="N269" s="16"/>
      <c r="O269" s="16" t="s">
        <v>886</v>
      </c>
      <c r="P269" s="16">
        <v>0.5</v>
      </c>
      <c r="Q269" s="16"/>
      <c r="R269" s="16"/>
      <c r="S269" s="16"/>
      <c r="T269" s="16"/>
      <c r="U269" s="16">
        <v>1</v>
      </c>
      <c r="V269" s="16">
        <v>2</v>
      </c>
      <c r="W269" s="16" t="s">
        <v>469</v>
      </c>
      <c r="X269" s="16">
        <v>400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39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="6" customFormat="1" spans="2:69">
      <c r="B270" s="19" t="s">
        <v>930</v>
      </c>
      <c r="C270" s="6" t="s">
        <v>71</v>
      </c>
      <c r="D270" s="16" t="s">
        <v>280</v>
      </c>
      <c r="E270" s="32" t="s">
        <v>931</v>
      </c>
      <c r="F270" s="19"/>
      <c r="G270" s="16" t="s">
        <v>870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16" t="s">
        <v>886</v>
      </c>
      <c r="P270" s="16">
        <v>0.55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400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39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="6" customFormat="1" spans="2:69">
      <c r="B271" s="19" t="s">
        <v>932</v>
      </c>
      <c r="C271" s="6" t="s">
        <v>71</v>
      </c>
      <c r="D271" s="16" t="s">
        <v>280</v>
      </c>
      <c r="E271" s="32" t="s">
        <v>933</v>
      </c>
      <c r="F271" s="19"/>
      <c r="G271" s="16" t="s">
        <v>870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16" t="s">
        <v>886</v>
      </c>
      <c r="P271" s="16">
        <v>0.6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400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39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="6" customFormat="1" spans="2:69">
      <c r="B272" s="19" t="s">
        <v>934</v>
      </c>
      <c r="C272" s="6" t="s">
        <v>71</v>
      </c>
      <c r="D272" s="16" t="s">
        <v>280</v>
      </c>
      <c r="E272" s="32" t="s">
        <v>935</v>
      </c>
      <c r="F272" s="19"/>
      <c r="G272" s="16" t="s">
        <v>870</v>
      </c>
      <c r="H272" s="16"/>
      <c r="I272" s="16" t="s">
        <v>283</v>
      </c>
      <c r="J272" s="16" t="s">
        <v>448</v>
      </c>
      <c r="K272" s="16"/>
      <c r="L272" s="16">
        <v>0</v>
      </c>
      <c r="M272" s="16">
        <v>0</v>
      </c>
      <c r="N272" s="16"/>
      <c r="O272" s="16" t="s">
        <v>936</v>
      </c>
      <c r="P272" s="16">
        <v>1.1</v>
      </c>
      <c r="Q272" s="16"/>
      <c r="R272" s="16"/>
      <c r="S272" s="16"/>
      <c r="T272" s="16"/>
      <c r="U272" s="16">
        <v>1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39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0.2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="6" customFormat="1" spans="2:72">
      <c r="B273" s="35" t="s">
        <v>937</v>
      </c>
      <c r="C273" s="6" t="s">
        <v>71</v>
      </c>
      <c r="D273" s="16" t="s">
        <v>280</v>
      </c>
      <c r="E273" t="s">
        <v>938</v>
      </c>
      <c r="F273" s="19"/>
      <c r="G273" s="16" t="s">
        <v>870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16" t="s">
        <v>345</v>
      </c>
      <c r="P273" s="16">
        <v>0.5</v>
      </c>
      <c r="Q273" s="16"/>
      <c r="R273" s="16"/>
      <c r="S273" s="16"/>
      <c r="T273" s="16"/>
      <c r="U273" s="16">
        <v>0.5</v>
      </c>
      <c r="V273" s="16">
        <v>2</v>
      </c>
      <c r="W273" s="16" t="s">
        <v>150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39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2</v>
      </c>
      <c r="BJ273" s="16"/>
      <c r="BK273" s="16"/>
      <c r="BL273" s="16"/>
      <c r="BM273" s="16"/>
      <c r="BN273" s="16"/>
      <c r="BO273" s="16"/>
      <c r="BP273" s="16"/>
      <c r="BQ273" s="6">
        <v>0</v>
      </c>
      <c r="BT273" s="6" t="s">
        <v>579</v>
      </c>
    </row>
    <row r="274" s="6" customFormat="1" spans="2:72">
      <c r="B274" t="s">
        <v>939</v>
      </c>
      <c r="C274" s="6" t="s">
        <v>71</v>
      </c>
      <c r="D274" s="16" t="s">
        <v>280</v>
      </c>
      <c r="E274" t="s">
        <v>940</v>
      </c>
      <c r="F274" s="19"/>
      <c r="G274" s="16" t="s">
        <v>870</v>
      </c>
      <c r="H274" s="16"/>
      <c r="I274" s="16" t="s">
        <v>283</v>
      </c>
      <c r="J274" s="16" t="s">
        <v>359</v>
      </c>
      <c r="K274" s="16"/>
      <c r="L274" s="16">
        <v>0</v>
      </c>
      <c r="M274" s="16">
        <v>0</v>
      </c>
      <c r="N274" s="16"/>
      <c r="O274" s="16" t="s">
        <v>941</v>
      </c>
      <c r="P274" s="16">
        <v>1.5</v>
      </c>
      <c r="Q274" s="16"/>
      <c r="R274" s="16"/>
      <c r="S274" s="16"/>
      <c r="T274" s="16"/>
      <c r="U274" s="16">
        <v>1</v>
      </c>
      <c r="V274" s="16">
        <v>2</v>
      </c>
      <c r="W274" s="16" t="s">
        <v>150</v>
      </c>
      <c r="X274" s="16">
        <v>350</v>
      </c>
      <c r="Y274" s="16">
        <v>0</v>
      </c>
      <c r="Z274" s="16" t="s">
        <v>151</v>
      </c>
      <c r="AA274" s="16">
        <v>500</v>
      </c>
      <c r="AB274" s="16"/>
      <c r="AC274" s="16"/>
      <c r="AD274" s="16">
        <v>0</v>
      </c>
      <c r="AE274" s="16" t="s">
        <v>151</v>
      </c>
      <c r="AF274" s="16"/>
      <c r="AG274" s="16"/>
      <c r="AH274" s="39" t="s">
        <v>152</v>
      </c>
      <c r="AI274" s="4" t="s">
        <v>153</v>
      </c>
      <c r="AJ274" s="16">
        <v>0.5</v>
      </c>
      <c r="AK274" s="16">
        <v>0.5</v>
      </c>
      <c r="AL274" s="16"/>
      <c r="AM274" s="16">
        <v>1</v>
      </c>
      <c r="AN274" s="16"/>
      <c r="AO274" s="16"/>
      <c r="AP274" s="16">
        <v>250</v>
      </c>
      <c r="AQ274" s="16">
        <v>0.8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6">
        <v>100</v>
      </c>
      <c r="BE274" s="16"/>
      <c r="BF274" s="10" t="s">
        <v>154</v>
      </c>
      <c r="BG274" s="10">
        <v>0</v>
      </c>
      <c r="BH274" s="16">
        <v>0</v>
      </c>
      <c r="BI274" s="16">
        <v>5</v>
      </c>
      <c r="BJ274" s="16"/>
      <c r="BK274" s="16"/>
      <c r="BL274" s="16"/>
      <c r="BM274" s="16"/>
      <c r="BN274" s="16"/>
      <c r="BO274" s="16"/>
      <c r="BP274" s="16"/>
      <c r="BQ274" s="6">
        <v>0</v>
      </c>
      <c r="BT274" s="6" t="s">
        <v>579</v>
      </c>
    </row>
    <row r="275" s="6" customFormat="1" spans="2:72">
      <c r="B275" s="4" t="s">
        <v>942</v>
      </c>
      <c r="C275" s="6" t="s">
        <v>71</v>
      </c>
      <c r="D275" s="16" t="s">
        <v>280</v>
      </c>
      <c r="E275" s="4" t="s">
        <v>943</v>
      </c>
      <c r="F275" s="19"/>
      <c r="G275" s="16" t="s">
        <v>944</v>
      </c>
      <c r="H275" s="16"/>
      <c r="I275" s="16" t="s">
        <v>283</v>
      </c>
      <c r="J275" s="16" t="s">
        <v>448</v>
      </c>
      <c r="K275" s="16"/>
      <c r="L275" s="16">
        <v>0</v>
      </c>
      <c r="M275" s="16">
        <v>0</v>
      </c>
      <c r="N275" s="16"/>
      <c r="O275" s="4" t="s">
        <v>945</v>
      </c>
      <c r="P275" s="16">
        <v>1.5</v>
      </c>
      <c r="Q275" s="16"/>
      <c r="R275" s="16"/>
      <c r="S275" s="16"/>
      <c r="T275" s="16"/>
      <c r="U275" s="16">
        <v>1</v>
      </c>
      <c r="V275" s="16">
        <v>2</v>
      </c>
      <c r="W275" s="16" t="s">
        <v>150</v>
      </c>
      <c r="X275" s="16">
        <v>350</v>
      </c>
      <c r="Y275" s="16">
        <v>0</v>
      </c>
      <c r="Z275" s="16" t="s">
        <v>151</v>
      </c>
      <c r="AA275" s="16">
        <v>500</v>
      </c>
      <c r="AB275" s="16"/>
      <c r="AC275" s="16"/>
      <c r="AD275" s="16">
        <v>0</v>
      </c>
      <c r="AE275" s="16" t="s">
        <v>151</v>
      </c>
      <c r="AF275" s="16"/>
      <c r="AG275" s="16"/>
      <c r="AH275" s="39" t="s">
        <v>152</v>
      </c>
      <c r="AI275" s="4" t="s">
        <v>153</v>
      </c>
      <c r="AJ275" s="16">
        <v>0.5</v>
      </c>
      <c r="AK275" s="16">
        <v>0.5</v>
      </c>
      <c r="AL275" s="16"/>
      <c r="AM275" s="16">
        <v>1</v>
      </c>
      <c r="AN275" s="16"/>
      <c r="AO275" s="16"/>
      <c r="AP275" s="16">
        <v>250</v>
      </c>
      <c r="AQ275" s="16">
        <v>0.8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6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  <c r="BT275" s="6" t="s">
        <v>579</v>
      </c>
    </row>
    <row r="276" s="5" customFormat="1" spans="2:73">
      <c r="B276" s="10"/>
      <c r="D276" s="10"/>
      <c r="E276" s="36"/>
      <c r="F276" s="36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  <c r="AY276" s="10"/>
      <c r="AZ276" s="10"/>
      <c r="BA276" s="10"/>
      <c r="BB276" s="10"/>
      <c r="BC276" s="10"/>
      <c r="BD276" s="10"/>
      <c r="BE276" s="10"/>
      <c r="BF276" s="10"/>
      <c r="BG276" s="10"/>
      <c r="BH276" s="10"/>
      <c r="BI276" s="10"/>
      <c r="BJ276" s="37"/>
      <c r="BK276" s="37"/>
      <c r="BL276" s="37"/>
      <c r="BM276" s="37"/>
      <c r="BN276" s="37"/>
      <c r="BO276" s="37"/>
      <c r="BP276" s="38"/>
      <c r="BQ276" s="6"/>
      <c r="BR276" s="6"/>
      <c r="BS276" s="6"/>
      <c r="BT276" s="6"/>
      <c r="BU276" s="6"/>
    </row>
    <row r="277" s="5" customFormat="1" spans="2:73">
      <c r="B277" s="10"/>
      <c r="D277" s="10"/>
      <c r="E277" s="36"/>
      <c r="F277" s="36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  <c r="AY277" s="10"/>
      <c r="AZ277" s="10"/>
      <c r="BA277" s="10"/>
      <c r="BB277" s="10"/>
      <c r="BC277" s="10"/>
      <c r="BD277" s="10"/>
      <c r="BE277" s="10"/>
      <c r="BF277" s="10"/>
      <c r="BG277" s="10"/>
      <c r="BH277" s="10"/>
      <c r="BI277" s="10"/>
      <c r="BJ277" s="37"/>
      <c r="BK277" s="37"/>
      <c r="BL277" s="37"/>
      <c r="BM277" s="37"/>
      <c r="BN277" s="37"/>
      <c r="BO277" s="37"/>
      <c r="BP277" s="38"/>
      <c r="BQ277" s="6"/>
      <c r="BR277" s="6"/>
      <c r="BS277" s="6"/>
      <c r="BT277" s="6"/>
      <c r="BU277" s="6"/>
    </row>
    <row r="278" s="5" customFormat="1" spans="2:73">
      <c r="B278" s="10"/>
      <c r="D278" s="10"/>
      <c r="E278" s="36"/>
      <c r="F278" s="36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  <c r="BA278" s="10"/>
      <c r="BB278" s="10"/>
      <c r="BC278" s="10"/>
      <c r="BD278" s="10"/>
      <c r="BE278" s="10"/>
      <c r="BF278" s="10"/>
      <c r="BG278" s="10"/>
      <c r="BH278" s="10"/>
      <c r="BI278" s="10"/>
      <c r="BJ278" s="37"/>
      <c r="BK278" s="37"/>
      <c r="BL278" s="37"/>
      <c r="BM278" s="37"/>
      <c r="BN278" s="37"/>
      <c r="BO278" s="37"/>
      <c r="BP278" s="38"/>
      <c r="BQ278" s="6"/>
      <c r="BR278" s="6"/>
      <c r="BS278" s="6"/>
      <c r="BT278" s="6"/>
      <c r="BU278" s="6"/>
    </row>
    <row r="279" s="5" customFormat="1" spans="2:73">
      <c r="B279" s="10"/>
      <c r="D279" s="10"/>
      <c r="E279" s="36"/>
      <c r="F279" s="36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  <c r="BA279" s="10"/>
      <c r="BB279" s="10"/>
      <c r="BC279" s="10"/>
      <c r="BD279" s="10"/>
      <c r="BE279" s="10"/>
      <c r="BF279" s="10"/>
      <c r="BG279" s="10"/>
      <c r="BH279" s="10"/>
      <c r="BI279" s="10"/>
      <c r="BJ279" s="37"/>
      <c r="BK279" s="37"/>
      <c r="BL279" s="37"/>
      <c r="BM279" s="37"/>
      <c r="BN279" s="37"/>
      <c r="BO279" s="37"/>
      <c r="BP279" s="38"/>
      <c r="BQ279" s="6"/>
      <c r="BR279" s="6"/>
      <c r="BS279" s="6"/>
      <c r="BT279" s="6"/>
      <c r="BU279" s="6"/>
    </row>
    <row r="280" s="5" customFormat="1" spans="2:73">
      <c r="B280" s="10"/>
      <c r="D280" s="10"/>
      <c r="E280" s="36"/>
      <c r="F280" s="36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  <c r="AY280" s="10"/>
      <c r="AZ280" s="10"/>
      <c r="BA280" s="10"/>
      <c r="BB280" s="10"/>
      <c r="BC280" s="10"/>
      <c r="BD280" s="10"/>
      <c r="BE280" s="10"/>
      <c r="BF280" s="10"/>
      <c r="BG280" s="10"/>
      <c r="BH280" s="10"/>
      <c r="BI280" s="10"/>
      <c r="BJ280" s="37"/>
      <c r="BK280" s="37"/>
      <c r="BL280" s="37"/>
      <c r="BM280" s="37"/>
      <c r="BN280" s="37"/>
      <c r="BO280" s="37"/>
      <c r="BP280" s="38"/>
      <c r="BQ280" s="6"/>
      <c r="BR280" s="6"/>
      <c r="BS280" s="6"/>
      <c r="BT280" s="6"/>
      <c r="BU280" s="6"/>
    </row>
    <row r="281" s="5" customFormat="1" spans="2:73">
      <c r="B281" s="10"/>
      <c r="D281" s="10"/>
      <c r="E281" s="36"/>
      <c r="F281" s="36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  <c r="AY281" s="10"/>
      <c r="AZ281" s="10"/>
      <c r="BA281" s="10"/>
      <c r="BB281" s="10"/>
      <c r="BC281" s="10"/>
      <c r="BD281" s="10"/>
      <c r="BE281" s="10"/>
      <c r="BF281" s="10"/>
      <c r="BG281" s="10"/>
      <c r="BH281" s="10"/>
      <c r="BI281" s="10"/>
      <c r="BJ281" s="37"/>
      <c r="BK281" s="37"/>
      <c r="BL281" s="37"/>
      <c r="BM281" s="37"/>
      <c r="BN281" s="37"/>
      <c r="BO281" s="37"/>
      <c r="BP281" s="38"/>
      <c r="BQ281" s="6"/>
      <c r="BR281" s="6"/>
      <c r="BS281" s="6"/>
      <c r="BT281" s="6"/>
      <c r="BU281" s="6"/>
    </row>
    <row r="282" s="5" customFormat="1" spans="2:73">
      <c r="B282" s="10"/>
      <c r="D282" s="10"/>
      <c r="E282" s="36"/>
      <c r="F282" s="36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  <c r="BA282" s="10"/>
      <c r="BB282" s="10"/>
      <c r="BC282" s="10"/>
      <c r="BD282" s="10"/>
      <c r="BE282" s="10"/>
      <c r="BF282" s="10"/>
      <c r="BG282" s="10"/>
      <c r="BH282" s="10"/>
      <c r="BI282" s="10"/>
      <c r="BJ282" s="37"/>
      <c r="BK282" s="37"/>
      <c r="BL282" s="37"/>
      <c r="BM282" s="37"/>
      <c r="BN282" s="37"/>
      <c r="BO282" s="37"/>
      <c r="BP282" s="38"/>
      <c r="BQ282" s="6"/>
      <c r="BR282" s="6"/>
      <c r="BS282" s="6"/>
      <c r="BT282" s="6"/>
      <c r="BU282" s="6"/>
    </row>
    <row r="283" s="5" customFormat="1" spans="2:73">
      <c r="B283" s="10"/>
      <c r="D283" s="10"/>
      <c r="E283" s="36"/>
      <c r="F283" s="36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  <c r="AY283" s="10"/>
      <c r="AZ283" s="10"/>
      <c r="BA283" s="10"/>
      <c r="BB283" s="10"/>
      <c r="BC283" s="10"/>
      <c r="BD283" s="10"/>
      <c r="BE283" s="10"/>
      <c r="BF283" s="10"/>
      <c r="BG283" s="10"/>
      <c r="BH283" s="10"/>
      <c r="BI283" s="10"/>
      <c r="BJ283" s="37"/>
      <c r="BK283" s="37"/>
      <c r="BL283" s="37"/>
      <c r="BM283" s="37"/>
      <c r="BN283" s="37"/>
      <c r="BO283" s="37"/>
      <c r="BP283" s="38"/>
      <c r="BQ283" s="6"/>
      <c r="BR283" s="6"/>
      <c r="BS283" s="6"/>
      <c r="BT283" s="6"/>
      <c r="BU283" s="6"/>
    </row>
    <row r="284" s="5" customFormat="1" spans="2:73">
      <c r="B284" s="10"/>
      <c r="D284" s="10"/>
      <c r="E284" s="36"/>
      <c r="F284" s="36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10"/>
      <c r="BB284" s="10"/>
      <c r="BC284" s="10"/>
      <c r="BD284" s="10"/>
      <c r="BE284" s="10"/>
      <c r="BF284" s="10"/>
      <c r="BG284" s="10"/>
      <c r="BH284" s="10"/>
      <c r="BI284" s="10"/>
      <c r="BJ284" s="37"/>
      <c r="BK284" s="37"/>
      <c r="BL284" s="37"/>
      <c r="BM284" s="37"/>
      <c r="BN284" s="37"/>
      <c r="BO284" s="37"/>
      <c r="BP284" s="38"/>
      <c r="BQ284" s="6"/>
      <c r="BR284" s="6"/>
      <c r="BS284" s="6"/>
      <c r="BT284" s="6"/>
      <c r="BU284" s="6"/>
    </row>
    <row r="285" s="5" customFormat="1" spans="2:73">
      <c r="B285" s="10"/>
      <c r="D285" s="10"/>
      <c r="E285" s="36"/>
      <c r="F285" s="36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10"/>
      <c r="BB285" s="10"/>
      <c r="BC285" s="10"/>
      <c r="BD285" s="10"/>
      <c r="BE285" s="10"/>
      <c r="BF285" s="10"/>
      <c r="BG285" s="10"/>
      <c r="BH285" s="10"/>
      <c r="BI285" s="10"/>
      <c r="BJ285" s="37"/>
      <c r="BK285" s="37"/>
      <c r="BL285" s="37"/>
      <c r="BM285" s="37"/>
      <c r="BN285" s="37"/>
      <c r="BO285" s="37"/>
      <c r="BP285" s="38"/>
      <c r="BQ285" s="6"/>
      <c r="BR285" s="6"/>
      <c r="BS285" s="6"/>
      <c r="BT285" s="6"/>
      <c r="BU285" s="6"/>
    </row>
    <row r="286" s="5" customFormat="1" spans="2:73">
      <c r="B286" s="10"/>
      <c r="D286" s="10"/>
      <c r="E286" s="36"/>
      <c r="F286" s="36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  <c r="AY286" s="10"/>
      <c r="AZ286" s="10"/>
      <c r="BA286" s="10"/>
      <c r="BB286" s="10"/>
      <c r="BC286" s="10"/>
      <c r="BD286" s="10"/>
      <c r="BE286" s="10"/>
      <c r="BF286" s="10"/>
      <c r="BG286" s="10"/>
      <c r="BH286" s="10"/>
      <c r="BI286" s="10"/>
      <c r="BJ286" s="37"/>
      <c r="BK286" s="37"/>
      <c r="BL286" s="37"/>
      <c r="BM286" s="37"/>
      <c r="BN286" s="37"/>
      <c r="BO286" s="37"/>
      <c r="BP286" s="38"/>
      <c r="BQ286" s="6"/>
      <c r="BR286" s="6"/>
      <c r="BS286" s="6"/>
      <c r="BT286" s="6"/>
      <c r="BU286" s="6"/>
    </row>
    <row r="287" s="5" customFormat="1" spans="2:73">
      <c r="B287" s="10"/>
      <c r="D287" s="10"/>
      <c r="E287" s="36"/>
      <c r="F287" s="36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  <c r="AY287" s="10"/>
      <c r="AZ287" s="10"/>
      <c r="BA287" s="10"/>
      <c r="BB287" s="10"/>
      <c r="BC287" s="10"/>
      <c r="BD287" s="10"/>
      <c r="BE287" s="10"/>
      <c r="BF287" s="10"/>
      <c r="BG287" s="10"/>
      <c r="BH287" s="10"/>
      <c r="BI287" s="10"/>
      <c r="BJ287" s="37"/>
      <c r="BK287" s="37"/>
      <c r="BL287" s="37"/>
      <c r="BM287" s="37"/>
      <c r="BN287" s="37"/>
      <c r="BO287" s="37"/>
      <c r="BP287" s="38"/>
      <c r="BQ287" s="6"/>
      <c r="BR287" s="6"/>
      <c r="BS287" s="6"/>
      <c r="BT287" s="6"/>
      <c r="BU287" s="6"/>
    </row>
    <row r="288" s="5" customFormat="1" spans="2:73">
      <c r="B288" s="10"/>
      <c r="D288" s="10"/>
      <c r="E288" s="36"/>
      <c r="F288" s="36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  <c r="AY288" s="10"/>
      <c r="AZ288" s="10"/>
      <c r="BA288" s="10"/>
      <c r="BB288" s="10"/>
      <c r="BC288" s="10"/>
      <c r="BD288" s="10"/>
      <c r="BE288" s="10"/>
      <c r="BF288" s="10"/>
      <c r="BG288" s="10"/>
      <c r="BH288" s="10"/>
      <c r="BI288" s="10"/>
      <c r="BJ288" s="37"/>
      <c r="BK288" s="37"/>
      <c r="BL288" s="37"/>
      <c r="BM288" s="37"/>
      <c r="BN288" s="37"/>
      <c r="BO288" s="37"/>
      <c r="BP288" s="38"/>
      <c r="BQ288" s="6"/>
      <c r="BR288" s="6"/>
      <c r="BS288" s="6"/>
      <c r="BT288" s="6"/>
      <c r="BU288" s="6"/>
    </row>
    <row r="289" s="5" customFormat="1" spans="2:73">
      <c r="B289" s="10"/>
      <c r="D289" s="10"/>
      <c r="E289" s="36"/>
      <c r="F289" s="36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  <c r="BA289" s="10"/>
      <c r="BB289" s="10"/>
      <c r="BC289" s="10"/>
      <c r="BD289" s="10"/>
      <c r="BE289" s="10"/>
      <c r="BF289" s="10"/>
      <c r="BG289" s="10"/>
      <c r="BH289" s="10"/>
      <c r="BI289" s="10"/>
      <c r="BJ289" s="37"/>
      <c r="BK289" s="37"/>
      <c r="BL289" s="37"/>
      <c r="BM289" s="37"/>
      <c r="BN289" s="37"/>
      <c r="BO289" s="37"/>
      <c r="BP289" s="38"/>
      <c r="BQ289" s="6"/>
      <c r="BR289" s="6"/>
      <c r="BS289" s="6"/>
      <c r="BT289" s="6"/>
      <c r="BU289" s="6"/>
    </row>
    <row r="290" s="5" customFormat="1" spans="2:73">
      <c r="B290" s="10"/>
      <c r="D290" s="10"/>
      <c r="E290" s="36"/>
      <c r="F290" s="36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  <c r="BB290" s="10"/>
      <c r="BC290" s="10"/>
      <c r="BD290" s="10"/>
      <c r="BE290" s="10"/>
      <c r="BF290" s="10"/>
      <c r="BG290" s="10"/>
      <c r="BH290" s="10"/>
      <c r="BI290" s="10"/>
      <c r="BJ290" s="37"/>
      <c r="BK290" s="37"/>
      <c r="BL290" s="37"/>
      <c r="BM290" s="37"/>
      <c r="BN290" s="37"/>
      <c r="BO290" s="37"/>
      <c r="BP290" s="38"/>
      <c r="BQ290" s="6"/>
      <c r="BR290" s="6"/>
      <c r="BS290" s="6"/>
      <c r="BT290" s="6"/>
      <c r="BU290" s="6"/>
    </row>
    <row r="291" s="5" customFormat="1" spans="2:73">
      <c r="B291" s="10"/>
      <c r="D291" s="10"/>
      <c r="E291" s="36"/>
      <c r="F291" s="36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  <c r="BB291" s="10"/>
      <c r="BC291" s="10"/>
      <c r="BD291" s="10"/>
      <c r="BE291" s="10"/>
      <c r="BF291" s="10"/>
      <c r="BG291" s="10"/>
      <c r="BH291" s="10"/>
      <c r="BI291" s="10"/>
      <c r="BJ291" s="37"/>
      <c r="BK291" s="37"/>
      <c r="BL291" s="37"/>
      <c r="BM291" s="37"/>
      <c r="BN291" s="37"/>
      <c r="BO291" s="37"/>
      <c r="BP291" s="38"/>
      <c r="BQ291" s="6"/>
      <c r="BR291" s="6"/>
      <c r="BS291" s="6"/>
      <c r="BT291" s="6"/>
      <c r="BU291" s="6"/>
    </row>
    <row r="292" s="5" customFormat="1" spans="2:73">
      <c r="B292" s="10"/>
      <c r="D292" s="10"/>
      <c r="E292" s="36"/>
      <c r="F292" s="36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  <c r="AY292" s="10"/>
      <c r="AZ292" s="10"/>
      <c r="BA292" s="10"/>
      <c r="BB292" s="10"/>
      <c r="BC292" s="10"/>
      <c r="BD292" s="10"/>
      <c r="BE292" s="10"/>
      <c r="BF292" s="10"/>
      <c r="BG292" s="10"/>
      <c r="BH292" s="10"/>
      <c r="BI292" s="10"/>
      <c r="BJ292" s="37"/>
      <c r="BK292" s="37"/>
      <c r="BL292" s="37"/>
      <c r="BM292" s="37"/>
      <c r="BN292" s="37"/>
      <c r="BO292" s="37"/>
      <c r="BP292" s="38"/>
      <c r="BQ292" s="6"/>
      <c r="BR292" s="6"/>
      <c r="BS292" s="6"/>
      <c r="BT292" s="6"/>
      <c r="BU292" s="6"/>
    </row>
    <row r="293" s="5" customFormat="1" spans="2:73">
      <c r="B293" s="10"/>
      <c r="D293" s="10"/>
      <c r="E293" s="36"/>
      <c r="F293" s="36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  <c r="BB293" s="10"/>
      <c r="BC293" s="10"/>
      <c r="BD293" s="10"/>
      <c r="BE293" s="10"/>
      <c r="BF293" s="10"/>
      <c r="BG293" s="10"/>
      <c r="BH293" s="10"/>
      <c r="BI293" s="10"/>
      <c r="BJ293" s="37"/>
      <c r="BK293" s="37"/>
      <c r="BL293" s="37"/>
      <c r="BM293" s="37"/>
      <c r="BN293" s="37"/>
      <c r="BO293" s="37"/>
      <c r="BP293" s="38"/>
      <c r="BQ293" s="6"/>
      <c r="BR293" s="6"/>
      <c r="BS293" s="6"/>
      <c r="BT293" s="6"/>
      <c r="BU293" s="6"/>
    </row>
  </sheetData>
  <autoFilter ref="A1:BU275">
    <extLst/>
  </autoFilter>
  <sortState ref="A2:BT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1264920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946</v>
      </c>
      <c r="B1" s="4" t="s">
        <v>947</v>
      </c>
      <c r="C1" s="4" t="s">
        <v>948</v>
      </c>
      <c r="D1" s="4" t="s">
        <v>949</v>
      </c>
      <c r="E1" s="4" t="s">
        <v>950</v>
      </c>
    </row>
    <row r="2" spans="1:5">
      <c r="A2">
        <v>1</v>
      </c>
      <c r="B2" s="2" t="s">
        <v>951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952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953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954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955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956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957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958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959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960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961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962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963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964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965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966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967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968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969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970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971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972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973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974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975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976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977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978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979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980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981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982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983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984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985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986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987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988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989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990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991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992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993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994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995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996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997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998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999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1000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1001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1002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1003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1004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1005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1006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1007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1008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1009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1010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1011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1012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1013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1014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1015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1016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1017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1018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1019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1020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1021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1022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1023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1024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1025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1026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1027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1028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1029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1030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1031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1032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1033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1034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1035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1036</v>
      </c>
      <c r="C2" s="1" t="s">
        <v>71</v>
      </c>
      <c r="D2" s="3" t="s">
        <v>280</v>
      </c>
      <c r="E2" s="2" t="s">
        <v>1037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1038</v>
      </c>
      <c r="N2" s="2" t="s">
        <v>1039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1040</v>
      </c>
      <c r="Z2" s="3">
        <v>500</v>
      </c>
      <c r="AA2" s="3"/>
      <c r="AB2" s="3">
        <v>0</v>
      </c>
      <c r="AC2" s="3" t="s">
        <v>152</v>
      </c>
      <c r="AD2" s="3"/>
      <c r="AE2" s="3"/>
      <c r="AF2" s="42" t="s">
        <v>152</v>
      </c>
      <c r="AG2" s="3" t="s">
        <v>1041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1042</v>
      </c>
      <c r="C3" s="1" t="s">
        <v>71</v>
      </c>
      <c r="D3" s="3" t="s">
        <v>280</v>
      </c>
      <c r="E3" s="2" t="s">
        <v>1043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1044</v>
      </c>
      <c r="N3" s="2" t="s">
        <v>1045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1040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3" t="s">
        <v>165</v>
      </c>
      <c r="AG3" s="3" t="s">
        <v>1041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2020-02-10T03:41:29Z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