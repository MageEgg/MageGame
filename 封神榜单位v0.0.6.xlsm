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412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P000!$A$1:$BU$229</definedName>
  </definedNames>
  <calcPr calcId="144525"/>
</workbook>
</file>

<file path=xl/sharedStrings.xml><?xml version="1.0" encoding="utf-8"?>
<sst xmlns="http://schemas.openxmlformats.org/spreadsheetml/2006/main" count="953">
  <si>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</si>
  <si>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</si>
  <si>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</si>
  <si>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</si>
  <si>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</si>
  <si>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</si>
  <si>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</si>
  <si>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</si>
  <si>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</si>
  <si>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</si>
  <si>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</si>
  <si>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</si>
  <si>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</si>
  <si>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</si>
  <si>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</si>
  <si>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</si>
  <si>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</si>
  <si>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</si>
  <si>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</si>
  <si>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</si>
  <si>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</si>
  <si>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</si>
  <si>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</si>
  <si>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</si>
  <si>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</si>
  <si>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</si>
  <si>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</si>
  <si>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</si>
  <si>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</si>
  <si>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</si>
  <si>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</si>
  <si>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</si>
  <si>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</si>
  <si>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</si>
  <si>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</si>
  <si>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</si>
  <si>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</si>
  <si>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</si>
  <si>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</si>
  <si>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</si>
  <si>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</si>
  <si>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</si>
  <si>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</si>
  <si>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</si>
  <si>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</si>
  <si>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</si>
  <si>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</si>
  <si>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</si>
  <si>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</si>
  <si>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</si>
  <si>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</si>
  <si>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</si>
  <si>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</si>
  <si>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</si>
  <si>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</si>
  <si>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</si>
  <si>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</si>
  <si>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</si>
  <si>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</si>
  <si>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</si>
  <si>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</si>
  <si>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</si>
  <si>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</si>
  <si>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</si>
  <si>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</si>
  <si>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</si>
  <si>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</si>
  <si>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</si>
  <si>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</si>
  <si>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</si>
  <si>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</si>
  <si>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</si>
  <si>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</si>
  <si>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</si>
  <si>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</si>
  <si>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</si>
  <si>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</si>
  <si>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</si>
  <si>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</si>
  <si>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</si>
  <si>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</si>
  <si>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</si>
  <si>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</si>
  <si>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</si>
  <si>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</si>
  <si>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</si>
  <si>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</si>
  <si>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</si>
  <si>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</si>
  <si>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</si>
  <si>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</si>
  <si>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</si>
  <si>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</si>
  <si>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</si>
  <si>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</si>
  <si>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</si>
  <si>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</si>
  <si>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</si>
  <si>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</si>
  <si>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</si>
  <si>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</si>
  <si>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</si>
  <si>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</si>
  <si>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</si>
  <si>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</si>
  <si>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</si>
  <si>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</si>
  <si>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</si>
  <si>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</si>
  <si>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</si>
  <si>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</si>
  <si>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</si>
  <si>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</si>
  <si>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</si>
  <si>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</si>
  <si>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</si>
  <si>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</si>
  <si>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</si>
  <si>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</si>
  <si>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</si>
  <si>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</si>
  <si>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</si>
  <si>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</si>
  <si>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</si>
  <si>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</si>
  <si>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</si>
  <si>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</si>
  <si>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</si>
  <si>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</si>
  <si>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</si>
  <si>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</si>
  <si>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</si>
  <si>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</si>
  <si>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</si>
  <si>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</si>
  <si>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</si>
  <si>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</si>
  <si>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</si>
  <si>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</si>
  <si>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</si>
  <si>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</si>
  <si>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</si>
  <si>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</si>
  <si>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</si>
  <si>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</si>
  <si>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</si>
  <si>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</si>
  <si>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</si>
  <si>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</si>
  <si>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</si>
  <si>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</si>
  <si>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</si>
  <si>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</si>
  <si>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</si>
  <si>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</si>
  <si>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</si>
  <si>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</si>
  <si>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</si>
  <si>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</si>
  <si>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</si>
  <si>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</si>
  <si>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</si>
  <si>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</si>
  <si>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</si>
  <si>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</si>
  <si>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</si>
  <si>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</si>
  <si>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</si>
  <si>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</si>
  <si>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</si>
  <si>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</si>
  <si>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</si>
  <si>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</si>
  <si>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</si>
  <si>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</si>
  <si>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</si>
  <si>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</si>
  <si>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</si>
  <si>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</si>
  <si>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</si>
  <si>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</si>
  <si>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</si>
  <si>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</si>
  <si>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</si>
  <si>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</si>
  <si>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</si>
  <si>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</si>
  <si>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</si>
  <si>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</si>
  <si>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</si>
  <si>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</si>
  <si>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</si>
  <si>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</si>
  <si>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</si>
  <si>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</si>
  <si>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</si>
  <si>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</si>
  <si>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</si>
  <si>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</si>
  <si>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</si>
  <si>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</si>
  <si>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</si>
  <si>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</si>
  <si>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</si>
  <si>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</si>
  <si>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</si>
  <si>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</si>
  <si>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</si>
  <si>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</si>
  <si>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</si>
  <si>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</si>
  <si>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</si>
  <si>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</si>
  <si>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</si>
  <si>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</si>
  <si>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</si>
  <si>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</si>
  <si>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</si>
  <si>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</si>
  <si>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</si>
  <si>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</si>
  <si>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</si>
  <si>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</si>
  <si>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</si>
  <si>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</si>
  <si>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</si>
  <si>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</si>
  <si>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</si>
  <si>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</si>
  <si>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</si>
  <si>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</si>
  <si>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</si>
  <si>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</si>
  <si>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</si>
  <si>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</si>
  <si>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</si>
  <si>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</si>
  <si>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</si>
  <si>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</si>
  <si>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</si>
  <si>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</si>
  <si>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</si>
  <si>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</si>
  <si>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</si>
  <si>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</si>
  <si>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</si>
  <si>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</si>
  <si>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</si>
  <si>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</si>
  <si>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</si>
  <si>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</si>
  <si>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</si>
  <si>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</si>
  <si>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</si>
  <si>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</si>
  <si>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</si>
  <si>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</si>
  <si>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</si>
  <si>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</si>
  <si>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</si>
  <si>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</si>
  <si>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</si>
  <si>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</si>
  <si>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</si>
  <si>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</si>
  <si>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</si>
  <si>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</si>
  <si>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</si>
  <si>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</si>
  <si>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</si>
  <si>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</si>
  <si>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</si>
  <si>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</si>
  <si>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</si>
  <si>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</si>
  <si>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</si>
  <si>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</si>
  <si>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</si>
  <si>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</si>
  <si>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</si>
  <si>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</si>
  <si>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</si>
  <si>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</si>
  <si>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</si>
  <si>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</si>
  <si>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</si>
  <si>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</si>
  <si>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</si>
  <si>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</si>
  <si>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</si>
  <si>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</si>
  <si>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</si>
  <si>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</si>
  <si>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</si>
  <si>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</si>
  <si>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</si>
  <si>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</si>
  <si>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</si>
  <si>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</si>
  <si>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</si>
  <si>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</si>
  <si>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</si>
  <si>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</si>
  <si>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</si>
  <si>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</si>
  <si>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</si>
  <si>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</si>
  <si>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</si>
  <si>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</si>
  <si>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</si>
  <si>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</si>
  <si>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</si>
  <si>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</si>
  <si>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</si>
  <si>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</si>
  <si>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</si>
  <si>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</si>
  <si>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</si>
  <si>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</si>
  <si>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</si>
  <si>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</si>
  <si>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</si>
  <si>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</si>
  <si>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</si>
  <si>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</si>
  <si>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</si>
  <si>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</si>
  <si>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</si>
  <si>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</si>
  <si>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</si>
  <si>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</si>
  <si>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</si>
  <si>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</si>
  <si>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</si>
  <si>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</si>
  <si>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</si>
  <si>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</si>
  <si>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</si>
  <si>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</si>
  <si>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</si>
  <si>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</si>
  <si>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</si>
  <si>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</si>
  <si>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</si>
  <si>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</si>
  <si>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</si>
  <si>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</si>
  <si>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</si>
  <si>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</si>
  <si>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</si>
  <si>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</si>
  <si>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</si>
  <si>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</si>
  <si>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</si>
  <si>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</si>
  <si>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</si>
  <si>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</si>
  <si>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</si>
  <si>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</si>
  <si>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</si>
  <si>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</si>
  <si>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</si>
  <si>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</si>
  <si>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</si>
  <si>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</si>
  <si>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</si>
  <si>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</si>
  <si>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</si>
  <si>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</si>
  <si>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</si>
  <si>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</si>
  <si>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</si>
  <si>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</si>
  <si>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</si>
  <si>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</si>
  <si>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</si>
  <si>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</si>
  <si>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</si>
  <si>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</si>
  <si>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</si>
  <si>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</si>
  <si>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</si>
  <si>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</si>
  <si>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</si>
  <si>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</si>
  <si>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</si>
  <si>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</si>
  <si>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</si>
  <si>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</si>
  <si>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</si>
  <si>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</si>
  <si>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</si>
  <si>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</si>
  <si>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</si>
  <si>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</si>
  <si>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</si>
  <si>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</si>
  <si>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</si>
  <si>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</si>
  <si>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</si>
  <si>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</si>
  <si>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</si>
  <si>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</si>
  <si>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</si>
  <si>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</si>
  <si>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</si>
  <si>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</si>
  <si>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</si>
  <si>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</si>
  <si>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</si>
  <si>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</si>
  <si>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</si>
  <si>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</si>
  <si>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</si>
  <si>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</si>
  <si>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</si>
  <si>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</si>
  <si>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</si>
  <si>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</si>
  <si>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</si>
  <si>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</si>
  <si>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</si>
  <si>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</si>
  <si>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</si>
  <si>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</si>
  <si>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</si>
  <si>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</si>
  <si>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</si>
  <si>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</si>
  <si>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</si>
  <si>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</si>
  <si>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</si>
  <si>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</si>
  <si>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</si>
  <si>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</si>
  <si>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</si>
  <si>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</si>
  <si>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</si>
  <si>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</si>
  <si>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</si>
  <si>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</si>
  <si>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</si>
  <si>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</si>
  <si>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</si>
  <si>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</si>
  <si>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</si>
  <si>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</si>
  <si>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</si>
  <si>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</si>
  <si>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</si>
  <si>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</si>
  <si>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</si>
  <si>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</si>
  <si>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</si>
  <si>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</si>
  <si>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</si>
  <si>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</si>
  <si>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</si>
  <si>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</si>
  <si>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</si>
  <si>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</si>
  <si>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</si>
  <si>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</si>
  <si>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</si>
  <si>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</si>
  <si>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</si>
  <si>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</si>
  <si>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</si>
  <si>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</si>
  <si>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</si>
  <si>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</si>
  <si>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</si>
  <si>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</si>
  <si>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</si>
  <si>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</si>
  <si>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</si>
  <si>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</si>
  <si>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</si>
  <si>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</si>
  <si>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</si>
  <si>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</si>
  <si>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</si>
  <si>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</si>
  <si>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噬心魔[1]</t>
  </si>
  <si>
    <t>低级道果</t>
  </si>
  <si>
    <t>moster_JJ_1.mdl</t>
  </si>
  <si>
    <t>uJ10</t>
  </si>
  <si>
    <t>小雷灵体[2]</t>
  </si>
  <si>
    <t>中级道果</t>
  </si>
  <si>
    <t>AZ2B,AZ91</t>
  </si>
  <si>
    <t>moster_JJ_2.mdl</t>
  </si>
  <si>
    <t>AZ2B</t>
  </si>
  <si>
    <t>uJ20</t>
  </si>
  <si>
    <t>大雷灵体[3]</t>
  </si>
  <si>
    <t>高级道果</t>
  </si>
  <si>
    <t>AZ2C,AZ91</t>
  </si>
  <si>
    <t>moster_JJ_3.mdl</t>
  </si>
  <si>
    <t>AZ2C</t>
  </si>
  <si>
    <t>uJ30</t>
  </si>
  <si>
    <t>雷神化身[4]</t>
  </si>
  <si>
    <t>黄级道果</t>
  </si>
  <si>
    <t>AZ2D,AZ91</t>
  </si>
  <si>
    <t>moster_JJ_4.mdl</t>
  </si>
  <si>
    <t>AZ2D</t>
  </si>
  <si>
    <t>uJ40</t>
  </si>
  <si>
    <t>灾厄[5]</t>
  </si>
  <si>
    <t>玄级道果</t>
  </si>
  <si>
    <t>AZ2E,AZ92</t>
  </si>
  <si>
    <t>Deathwingking.mdl</t>
  </si>
  <si>
    <t>AZ2E</t>
  </si>
  <si>
    <t>uJ50</t>
  </si>
  <si>
    <t>芥子魔[6]</t>
  </si>
  <si>
    <t>地级道果</t>
  </si>
  <si>
    <t>moster_JJ_6.mdl</t>
  </si>
  <si>
    <t>uJ60</t>
  </si>
  <si>
    <t>因果幻象[7]</t>
  </si>
  <si>
    <t>天级道果</t>
  </si>
  <si>
    <t>moster_JJ_7.mdl</t>
  </si>
  <si>
    <t>uJ70</t>
  </si>
  <si>
    <t>云隐双子[8]</t>
  </si>
  <si>
    <t>仙品道果</t>
  </si>
  <si>
    <t>AZ2H,AZ92</t>
  </si>
  <si>
    <t>moster_JJ_8_1.mdl</t>
  </si>
  <si>
    <t>AZ2H</t>
  </si>
  <si>
    <t>uJ80</t>
  </si>
  <si>
    <t>镜[9]</t>
  </si>
  <si>
    <t>至圣道果</t>
  </si>
  <si>
    <t>AZ2I,AZ92</t>
  </si>
  <si>
    <t>AZ2I</t>
  </si>
  <si>
    <t>uJ90</t>
  </si>
  <si>
    <t>陨世之炎[10]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</si>
  <si>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</si>
  <si>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</si>
  <si>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</si>
  <si>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</si>
  <si>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</si>
  <si>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</si>
  <si>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</si>
  <si>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</si>
  <si>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</si>
  <si>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</si>
  <si>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</si>
  <si>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</si>
  <si>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</si>
  <si>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</si>
  <si>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</si>
  <si>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</si>
  <si>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</si>
  <si>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</si>
  <si>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</si>
  <si>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</si>
  <si>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</si>
  <si>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</si>
  <si>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</si>
  <si>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</si>
  <si>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</si>
  <si>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</si>
  <si>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</si>
  <si>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</si>
  <si>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</si>
  <si>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</si>
  <si>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</si>
  <si>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</si>
  <si>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</si>
  <si>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</si>
  <si>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</si>
  <si>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</si>
  <si>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</si>
  <si>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</si>
  <si>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</si>
  <si>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</si>
  <si>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</si>
  <si>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</si>
  <si>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</si>
  <si>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</si>
  <si>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</si>
  <si>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</si>
  <si>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</si>
  <si>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</si>
  <si>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</si>
  <si>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</si>
  <si>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</si>
  <si>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</si>
  <si>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</si>
  <si>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</si>
  <si>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</si>
  <si>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</si>
  <si>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</si>
  <si>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</si>
  <si>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</si>
  <si>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</si>
  <si>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</si>
  <si>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</si>
  <si>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</si>
  <si>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</si>
  <si>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</si>
  <si>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</si>
  <si>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</si>
  <si>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</si>
  <si>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</si>
  <si>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</si>
  <si>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</si>
  <si>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</si>
  <si>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</si>
  <si>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</si>
  <si>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</si>
  <si>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</si>
  <si>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</si>
  <si>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</si>
  <si>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</si>
  <si>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</si>
  <si>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</si>
  <si>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</si>
  <si>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</si>
  <si>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</si>
  <si>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</si>
  <si>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</si>
  <si>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</si>
  <si>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</si>
  <si>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</si>
  <si>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</si>
  <si>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</si>
  <si>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</si>
  <si>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</si>
  <si>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</si>
  <si>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</si>
  <si>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</si>
  <si>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</si>
  <si>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</si>
  <si>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</si>
  <si>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</si>
  <si>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</si>
  <si>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</si>
  <si>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</si>
  <si>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</si>
  <si>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</si>
  <si>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</si>
  <si>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</si>
  <si>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</si>
  <si>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</si>
  <si>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</si>
  <si>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</si>
  <si>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</si>
  <si>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</si>
  <si>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</si>
  <si>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</si>
  <si>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</si>
  <si>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</si>
  <si>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</si>
  <si>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</si>
  <si>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</si>
  <si>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</si>
  <si>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</si>
  <si>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</si>
  <si>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</si>
  <si>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</si>
  <si>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</si>
  <si>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</si>
  <si>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</si>
  <si>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</si>
  <si>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</si>
  <si>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</si>
  <si>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</si>
  <si>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</si>
  <si>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</si>
  <si>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</si>
  <si>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</si>
  <si>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</si>
  <si>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</si>
  <si>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</si>
  <si>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</si>
  <si>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</si>
  <si>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</si>
  <si>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</si>
  <si>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</si>
  <si>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</si>
  <si>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</si>
  <si>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</si>
  <si>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</si>
  <si>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</si>
  <si>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</si>
  <si>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</si>
  <si>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</si>
  <si>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</si>
  <si>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</si>
  <si>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</si>
  <si>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</si>
  <si>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</si>
  <si>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</si>
  <si>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</si>
  <si>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</si>
  <si>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</si>
  <si>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</si>
  <si>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</si>
  <si>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</si>
  <si>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</si>
  <si>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</si>
  <si>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</si>
  <si>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</si>
  <si>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</si>
  <si>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</si>
  <si>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</si>
  <si>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</si>
  <si>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</si>
  <si>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</si>
  <si>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</si>
  <si>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</si>
  <si>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</si>
  <si>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</si>
  <si>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</si>
  <si>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</si>
  <si>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</si>
  <si>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</si>
  <si>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</si>
  <si>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</si>
  <si>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</si>
  <si>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</si>
  <si>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</si>
  <si>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</si>
  <si>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</si>
  <si>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</si>
  <si>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</si>
  <si>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</si>
  <si>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</si>
  <si>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</si>
  <si>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</si>
  <si>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</si>
  <si>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</si>
  <si>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</si>
  <si>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</si>
  <si>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</si>
  <si>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</si>
  <si>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</si>
  <si>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</si>
  <si>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</si>
  <si>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</si>
  <si>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</si>
  <si>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</si>
  <si>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</si>
  <si>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</si>
  <si>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</si>
  <si>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</si>
  <si>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</si>
  <si>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</si>
  <si>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</si>
  <si>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</si>
  <si>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</si>
  <si>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</si>
  <si>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</si>
  <si>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</si>
  <si>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</si>
  <si>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</si>
  <si>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</si>
  <si>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</si>
  <si>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</si>
  <si>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</si>
  <si>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</si>
  <si>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</si>
  <si>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</si>
  <si>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</si>
  <si>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</si>
  <si>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</si>
  <si>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</si>
  <si>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</si>
  <si>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</si>
  <si>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</si>
  <si>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</si>
  <si>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送宝金蟾.Lv1|n(打死我升级练功房)</t>
  </si>
  <si>
    <t>moster_songbaojinchan</t>
  </si>
  <si>
    <t>u002</t>
  </si>
  <si>
    <t>送宝金蟾.Lv2|n(打死我升级练功房)</t>
  </si>
  <si>
    <t>u003</t>
  </si>
  <si>
    <t>送宝金蟾.Lv3|n(打死我升级练功房)</t>
  </si>
  <si>
    <t>u004</t>
  </si>
  <si>
    <t>送宝金蟾.Lv4|n(打死我升级练功房)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</si>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</sst>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2" fillId="7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5" borderId="6" applyNumberFormat="0" applyFont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6" fillId="4" borderId="4" applyNumberFormat="0" applyAlignment="0" applyProtection="0">
      <alignment vertical="center"/>
    </xf>
    <xf numFmtId="0" fontId="22" fillId="4" borderId="9" applyNumberFormat="0" applyAlignment="0" applyProtection="0">
      <alignment vertical="center"/>
    </xf>
    <xf numFmtId="0" fontId="13" fillId="8" borderId="10" applyNumberFormat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136525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270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247"/>
  <sheetViews>
    <sheetView tabSelected="1" workbookViewId="0">
      <pane xSplit="6" ySplit="2" topLeftCell="G95" activePane="bottomRight" state="frozen"/>
      <selection/>
      <selection pane="topRight"/>
      <selection pane="bottomLeft"/>
      <selection pane="bottomRight" activeCell="E114" sqref="E114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229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766</v>
      </c>
      <c r="C186" s="6" t="s">
        <v>71</v>
      </c>
      <c r="D186" s="16" t="s">
        <v>280</v>
      </c>
      <c r="E186" s="4" t="s">
        <v>767</v>
      </c>
      <c r="F186" s="4"/>
      <c r="G186" s="16" t="s">
        <v>467</v>
      </c>
      <c r="H186" s="16"/>
      <c r="I186" s="16" t="s">
        <v>283</v>
      </c>
      <c r="J186" s="16"/>
      <c r="K186" s="16"/>
      <c r="L186" s="16">
        <v>0</v>
      </c>
      <c r="M186" s="16">
        <v>0</v>
      </c>
      <c r="N186" s="16"/>
      <c r="O186" s="16" t="s">
        <v>768</v>
      </c>
      <c r="P186" s="16">
        <v>5</v>
      </c>
      <c r="Q186" s="16"/>
      <c r="R186" s="16"/>
      <c r="S186" s="16"/>
      <c r="T186" s="16"/>
      <c r="U186" s="16">
        <v>1</v>
      </c>
      <c r="V186" s="16">
        <v>2</v>
      </c>
      <c r="W186" s="16" t="s">
        <v>469</v>
      </c>
      <c r="X186" s="16">
        <v>300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0.7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769</v>
      </c>
      <c r="C187" s="6" t="s">
        <v>71</v>
      </c>
      <c r="D187" s="16" t="s">
        <v>280</v>
      </c>
      <c r="E187" s="4" t="s">
        <v>770</v>
      </c>
      <c r="F187" s="4"/>
      <c r="G187" s="16" t="s">
        <v>467</v>
      </c>
      <c r="H187" s="16"/>
      <c r="I187" s="16" t="s">
        <v>283</v>
      </c>
      <c r="J187" s="16"/>
      <c r="K187" s="16"/>
      <c r="L187" s="16">
        <v>0</v>
      </c>
      <c r="M187" s="16">
        <v>0</v>
      </c>
      <c r="N187" s="16"/>
      <c r="O187" s="16" t="s">
        <v>768</v>
      </c>
      <c r="P187" s="16">
        <v>8</v>
      </c>
      <c r="Q187" s="16"/>
      <c r="R187" s="16"/>
      <c r="S187" s="16"/>
      <c r="T187" s="16"/>
      <c r="U187" s="16">
        <v>1</v>
      </c>
      <c r="V187" s="16">
        <v>2</v>
      </c>
      <c r="W187" s="16" t="s">
        <v>469</v>
      </c>
      <c r="X187" s="16">
        <v>300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771</v>
      </c>
      <c r="C188" s="6" t="s">
        <v>71</v>
      </c>
      <c r="D188" s="16" t="s">
        <v>280</v>
      </c>
      <c r="E188" s="4" t="s">
        <v>772</v>
      </c>
      <c r="F188" s="4"/>
      <c r="G188" s="16" t="s">
        <v>467</v>
      </c>
      <c r="H188" s="16"/>
      <c r="I188" s="16" t="s">
        <v>283</v>
      </c>
      <c r="J188" s="16"/>
      <c r="K188" s="16"/>
      <c r="L188" s="16">
        <v>0</v>
      </c>
      <c r="M188" s="16">
        <v>0</v>
      </c>
      <c r="N188" s="16"/>
      <c r="O188" s="16" t="s">
        <v>768</v>
      </c>
      <c r="P188" s="16">
        <v>10.5</v>
      </c>
      <c r="Q188" s="16"/>
      <c r="R188" s="16"/>
      <c r="S188" s="16"/>
      <c r="T188" s="16"/>
      <c r="U188" s="16">
        <v>1</v>
      </c>
      <c r="V188" s="16">
        <v>2</v>
      </c>
      <c r="W188" s="16" t="s">
        <v>469</v>
      </c>
      <c r="X188" s="16">
        <v>300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0.3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773</v>
      </c>
      <c r="C189" s="6" t="s">
        <v>71</v>
      </c>
      <c r="D189" s="16" t="s">
        <v>280</v>
      </c>
      <c r="E189" s="4" t="s">
        <v>774</v>
      </c>
      <c r="F189" s="4"/>
      <c r="G189" s="16" t="s">
        <v>467</v>
      </c>
      <c r="H189" s="16"/>
      <c r="I189" s="16" t="s">
        <v>283</v>
      </c>
      <c r="J189" s="16"/>
      <c r="K189" s="16"/>
      <c r="L189" s="16">
        <v>0</v>
      </c>
      <c r="M189" s="16">
        <v>0</v>
      </c>
      <c r="N189" s="16"/>
      <c r="O189" s="16" t="s">
        <v>768</v>
      </c>
      <c r="P189" s="16">
        <v>12.5</v>
      </c>
      <c r="Q189" s="16"/>
      <c r="R189" s="16"/>
      <c r="S189" s="16"/>
      <c r="T189" s="16"/>
      <c r="U189" s="16">
        <v>1</v>
      </c>
      <c r="V189" s="16">
        <v>2</v>
      </c>
      <c r="W189" s="16" t="s">
        <v>469</v>
      </c>
      <c r="X189" s="16">
        <v>300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7" customFormat="1" spans="2:69">
      <c r="B190" s="31" t="s">
        <v>775</v>
      </c>
      <c r="C190" s="7" t="s">
        <v>71</v>
      </c>
      <c r="D190" s="26" t="s">
        <v>280</v>
      </c>
      <c r="E190" s="27" t="s">
        <v>776</v>
      </c>
      <c r="F190" s="31"/>
      <c r="G190" s="26" t="s">
        <v>777</v>
      </c>
      <c r="H190" s="26"/>
      <c r="I190" s="26" t="s">
        <v>283</v>
      </c>
      <c r="J190" s="26"/>
      <c r="K190" s="26"/>
      <c r="L190" s="26">
        <v>0</v>
      </c>
      <c r="M190" s="26">
        <v>0</v>
      </c>
      <c r="N190" s="26"/>
      <c r="O190" s="26" t="s">
        <v>778</v>
      </c>
      <c r="P190" s="26">
        <v>0.55</v>
      </c>
      <c r="Q190" s="26"/>
      <c r="R190" s="26"/>
      <c r="S190" s="26"/>
      <c r="T190" s="26"/>
      <c r="U190" s="26">
        <v>1</v>
      </c>
      <c r="V190" s="26">
        <v>2</v>
      </c>
      <c r="W190" s="26" t="s">
        <v>469</v>
      </c>
      <c r="X190" s="26">
        <v>450</v>
      </c>
      <c r="Y190" s="26">
        <v>0</v>
      </c>
      <c r="Z190" s="26" t="s">
        <v>151</v>
      </c>
      <c r="AA190" s="26">
        <v>500</v>
      </c>
      <c r="AB190" s="26"/>
      <c r="AC190" s="26"/>
      <c r="AD190" s="26">
        <v>0</v>
      </c>
      <c r="AE190" s="26" t="s">
        <v>151</v>
      </c>
      <c r="AF190" s="26"/>
      <c r="AG190" s="26"/>
      <c r="AH190" s="38" t="s">
        <v>152</v>
      </c>
      <c r="AI190" s="27" t="s">
        <v>153</v>
      </c>
      <c r="AJ190" s="26">
        <v>0.5</v>
      </c>
      <c r="AK190" s="26">
        <v>0.5</v>
      </c>
      <c r="AL190" s="26"/>
      <c r="AM190" s="26">
        <v>1</v>
      </c>
      <c r="AN190" s="26"/>
      <c r="AO190" s="26"/>
      <c r="AP190" s="26">
        <v>250</v>
      </c>
      <c r="AQ190" s="26">
        <v>0.5</v>
      </c>
      <c r="AR190" s="26"/>
      <c r="AS190" s="26"/>
      <c r="AT190" s="26"/>
      <c r="AU190" s="26">
        <v>1</v>
      </c>
      <c r="AV190" s="26"/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100</v>
      </c>
      <c r="BD190" s="26">
        <v>100</v>
      </c>
      <c r="BE190" s="26"/>
      <c r="BF190" s="26" t="s">
        <v>154</v>
      </c>
      <c r="BG190" s="26">
        <v>0</v>
      </c>
      <c r="BH190" s="26">
        <v>0</v>
      </c>
      <c r="BI190" s="26">
        <v>100</v>
      </c>
      <c r="BJ190" s="26"/>
      <c r="BK190" s="26"/>
      <c r="BL190" s="26"/>
      <c r="BM190" s="26"/>
      <c r="BN190" s="26"/>
      <c r="BO190" s="26"/>
      <c r="BP190" s="26"/>
      <c r="BQ190" s="7">
        <v>0</v>
      </c>
    </row>
    <row r="191" s="7" customFormat="1" spans="2:69">
      <c r="B191" s="31" t="s">
        <v>779</v>
      </c>
      <c r="C191" s="7" t="s">
        <v>71</v>
      </c>
      <c r="D191" s="26" t="s">
        <v>280</v>
      </c>
      <c r="E191" s="27" t="s">
        <v>776</v>
      </c>
      <c r="F191" s="31"/>
      <c r="G191" s="26" t="s">
        <v>777</v>
      </c>
      <c r="H191" s="26"/>
      <c r="I191" s="26" t="s">
        <v>283</v>
      </c>
      <c r="J191" s="26"/>
      <c r="K191" s="26"/>
      <c r="L191" s="26">
        <v>0</v>
      </c>
      <c r="M191" s="26">
        <v>0</v>
      </c>
      <c r="N191" s="26"/>
      <c r="O191" s="26" t="s">
        <v>778</v>
      </c>
      <c r="P191" s="26">
        <f>P190+0.05</f>
        <v>0.6</v>
      </c>
      <c r="Q191" s="26"/>
      <c r="R191" s="26"/>
      <c r="S191" s="26"/>
      <c r="T191" s="26"/>
      <c r="U191" s="26">
        <v>1</v>
      </c>
      <c r="V191" s="26">
        <v>2</v>
      </c>
      <c r="W191" s="26" t="s">
        <v>469</v>
      </c>
      <c r="X191" s="26">
        <v>450</v>
      </c>
      <c r="Y191" s="26">
        <v>0</v>
      </c>
      <c r="Z191" s="26" t="s">
        <v>151</v>
      </c>
      <c r="AA191" s="26">
        <v>500</v>
      </c>
      <c r="AB191" s="26"/>
      <c r="AC191" s="26"/>
      <c r="AD191" s="26">
        <v>0</v>
      </c>
      <c r="AE191" s="26" t="s">
        <v>151</v>
      </c>
      <c r="AF191" s="26"/>
      <c r="AG191" s="26"/>
      <c r="AH191" s="38" t="s">
        <v>152</v>
      </c>
      <c r="AI191" s="27" t="s">
        <v>153</v>
      </c>
      <c r="AJ191" s="26">
        <v>0.5</v>
      </c>
      <c r="AK191" s="26">
        <v>0.5</v>
      </c>
      <c r="AL191" s="26"/>
      <c r="AM191" s="26">
        <v>1</v>
      </c>
      <c r="AN191" s="26"/>
      <c r="AO191" s="26"/>
      <c r="AP191" s="26">
        <v>250</v>
      </c>
      <c r="AQ191" s="26">
        <v>0.5</v>
      </c>
      <c r="AR191" s="26"/>
      <c r="AS191" s="26"/>
      <c r="AT191" s="26"/>
      <c r="AU191" s="26">
        <v>1</v>
      </c>
      <c r="AV191" s="26"/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100</v>
      </c>
      <c r="BD191" s="26">
        <v>100</v>
      </c>
      <c r="BE191" s="26"/>
      <c r="BF191" s="26" t="s">
        <v>154</v>
      </c>
      <c r="BG191" s="26">
        <v>0</v>
      </c>
      <c r="BH191" s="26">
        <v>0</v>
      </c>
      <c r="BI191" s="26">
        <v>100</v>
      </c>
      <c r="BJ191" s="26"/>
      <c r="BK191" s="26"/>
      <c r="BL191" s="26"/>
      <c r="BM191" s="26"/>
      <c r="BN191" s="26"/>
      <c r="BO191" s="26"/>
      <c r="BP191" s="26"/>
      <c r="BQ191" s="7">
        <v>0</v>
      </c>
    </row>
    <row r="192" s="7" customFormat="1" spans="2:69">
      <c r="B192" s="31" t="s">
        <v>780</v>
      </c>
      <c r="C192" s="7" t="s">
        <v>71</v>
      </c>
      <c r="D192" s="26" t="s">
        <v>280</v>
      </c>
      <c r="E192" s="27" t="s">
        <v>776</v>
      </c>
      <c r="F192" s="31"/>
      <c r="G192" s="26" t="s">
        <v>777</v>
      </c>
      <c r="H192" s="26"/>
      <c r="I192" s="26" t="s">
        <v>283</v>
      </c>
      <c r="J192" s="26"/>
      <c r="K192" s="26"/>
      <c r="L192" s="26">
        <v>0</v>
      </c>
      <c r="M192" s="26">
        <v>0</v>
      </c>
      <c r="N192" s="26"/>
      <c r="O192" s="26" t="s">
        <v>778</v>
      </c>
      <c r="P192" s="26">
        <f t="shared" ref="P192:P202" si="5">P191+0.05</f>
        <v>0.65</v>
      </c>
      <c r="Q192" s="26"/>
      <c r="R192" s="26"/>
      <c r="S192" s="26"/>
      <c r="T192" s="26"/>
      <c r="U192" s="26">
        <v>1</v>
      </c>
      <c r="V192" s="26">
        <v>2</v>
      </c>
      <c r="W192" s="26" t="s">
        <v>469</v>
      </c>
      <c r="X192" s="26">
        <v>450</v>
      </c>
      <c r="Y192" s="26">
        <v>0</v>
      </c>
      <c r="Z192" s="26" t="s">
        <v>151</v>
      </c>
      <c r="AA192" s="26">
        <v>500</v>
      </c>
      <c r="AB192" s="26"/>
      <c r="AC192" s="26"/>
      <c r="AD192" s="26">
        <v>0</v>
      </c>
      <c r="AE192" s="26" t="s">
        <v>151</v>
      </c>
      <c r="AF192" s="26"/>
      <c r="AG192" s="26"/>
      <c r="AH192" s="38" t="s">
        <v>152</v>
      </c>
      <c r="AI192" s="27" t="s">
        <v>153</v>
      </c>
      <c r="AJ192" s="26">
        <v>0.5</v>
      </c>
      <c r="AK192" s="26">
        <v>0.5</v>
      </c>
      <c r="AL192" s="26"/>
      <c r="AM192" s="26">
        <v>1</v>
      </c>
      <c r="AN192" s="26"/>
      <c r="AO192" s="26"/>
      <c r="AP192" s="26">
        <v>250</v>
      </c>
      <c r="AQ192" s="26">
        <v>0.5</v>
      </c>
      <c r="AR192" s="26"/>
      <c r="AS192" s="26"/>
      <c r="AT192" s="26"/>
      <c r="AU192" s="26">
        <v>1</v>
      </c>
      <c r="AV192" s="26"/>
      <c r="AW192" s="26">
        <v>0</v>
      </c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100</v>
      </c>
      <c r="BD192" s="26">
        <v>100</v>
      </c>
      <c r="BE192" s="26"/>
      <c r="BF192" s="26" t="s">
        <v>154</v>
      </c>
      <c r="BG192" s="26">
        <v>0</v>
      </c>
      <c r="BH192" s="26">
        <v>0</v>
      </c>
      <c r="BI192" s="26">
        <v>100</v>
      </c>
      <c r="BJ192" s="26"/>
      <c r="BK192" s="26"/>
      <c r="BL192" s="26"/>
      <c r="BM192" s="26"/>
      <c r="BN192" s="26"/>
      <c r="BO192" s="26"/>
      <c r="BP192" s="26"/>
      <c r="BQ192" s="7">
        <v>0</v>
      </c>
    </row>
    <row r="193" s="7" customFormat="1" spans="2:69">
      <c r="B193" s="31" t="s">
        <v>781</v>
      </c>
      <c r="C193" s="7" t="s">
        <v>71</v>
      </c>
      <c r="D193" s="26" t="s">
        <v>280</v>
      </c>
      <c r="E193" s="27" t="s">
        <v>776</v>
      </c>
      <c r="F193" s="31"/>
      <c r="G193" s="26" t="s">
        <v>777</v>
      </c>
      <c r="H193" s="26"/>
      <c r="I193" s="26" t="s">
        <v>283</v>
      </c>
      <c r="J193" s="26"/>
      <c r="K193" s="26"/>
      <c r="L193" s="26">
        <v>0</v>
      </c>
      <c r="M193" s="26">
        <v>0</v>
      </c>
      <c r="N193" s="26"/>
      <c r="O193" s="26" t="s">
        <v>778</v>
      </c>
      <c r="P193" s="26">
        <f t="shared" si="5"/>
        <v>0.7</v>
      </c>
      <c r="Q193" s="26"/>
      <c r="R193" s="26"/>
      <c r="S193" s="26"/>
      <c r="T193" s="26"/>
      <c r="U193" s="26">
        <v>1</v>
      </c>
      <c r="V193" s="26">
        <v>2</v>
      </c>
      <c r="W193" s="26" t="s">
        <v>469</v>
      </c>
      <c r="X193" s="26">
        <v>450</v>
      </c>
      <c r="Y193" s="26">
        <v>0</v>
      </c>
      <c r="Z193" s="26" t="s">
        <v>151</v>
      </c>
      <c r="AA193" s="26">
        <v>500</v>
      </c>
      <c r="AB193" s="26"/>
      <c r="AC193" s="26"/>
      <c r="AD193" s="26">
        <v>0</v>
      </c>
      <c r="AE193" s="26" t="s">
        <v>151</v>
      </c>
      <c r="AF193" s="26"/>
      <c r="AG193" s="26"/>
      <c r="AH193" s="38" t="s">
        <v>152</v>
      </c>
      <c r="AI193" s="27" t="s">
        <v>153</v>
      </c>
      <c r="AJ193" s="26">
        <v>0.5</v>
      </c>
      <c r="AK193" s="26">
        <v>0.5</v>
      </c>
      <c r="AL193" s="26"/>
      <c r="AM193" s="26">
        <v>1</v>
      </c>
      <c r="AN193" s="26"/>
      <c r="AO193" s="26"/>
      <c r="AP193" s="26">
        <v>250</v>
      </c>
      <c r="AQ193" s="26">
        <v>0.5</v>
      </c>
      <c r="AR193" s="26"/>
      <c r="AS193" s="26"/>
      <c r="AT193" s="26"/>
      <c r="AU193" s="26">
        <v>1</v>
      </c>
      <c r="AV193" s="26"/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100</v>
      </c>
      <c r="BD193" s="26">
        <v>100</v>
      </c>
      <c r="BE193" s="26"/>
      <c r="BF193" s="26" t="s">
        <v>154</v>
      </c>
      <c r="BG193" s="26">
        <v>0</v>
      </c>
      <c r="BH193" s="26">
        <v>0</v>
      </c>
      <c r="BI193" s="26">
        <v>100</v>
      </c>
      <c r="BJ193" s="26"/>
      <c r="BK193" s="26"/>
      <c r="BL193" s="26"/>
      <c r="BM193" s="26"/>
      <c r="BN193" s="26"/>
      <c r="BO193" s="26"/>
      <c r="BP193" s="26"/>
      <c r="BQ193" s="7">
        <v>0</v>
      </c>
    </row>
    <row r="194" s="7" customFormat="1" spans="2:69">
      <c r="B194" s="31" t="s">
        <v>782</v>
      </c>
      <c r="C194" s="7" t="s">
        <v>71</v>
      </c>
      <c r="D194" s="26" t="s">
        <v>280</v>
      </c>
      <c r="E194" s="27" t="s">
        <v>776</v>
      </c>
      <c r="F194" s="31"/>
      <c r="G194" s="26" t="s">
        <v>777</v>
      </c>
      <c r="H194" s="26"/>
      <c r="I194" s="26" t="s">
        <v>283</v>
      </c>
      <c r="J194" s="26"/>
      <c r="K194" s="26"/>
      <c r="L194" s="26">
        <v>0</v>
      </c>
      <c r="M194" s="26">
        <v>0</v>
      </c>
      <c r="N194" s="26"/>
      <c r="O194" s="26" t="s">
        <v>778</v>
      </c>
      <c r="P194" s="26">
        <f t="shared" si="5"/>
        <v>0.75</v>
      </c>
      <c r="Q194" s="26"/>
      <c r="R194" s="26"/>
      <c r="S194" s="26"/>
      <c r="T194" s="26"/>
      <c r="U194" s="26">
        <v>1</v>
      </c>
      <c r="V194" s="26">
        <v>2</v>
      </c>
      <c r="W194" s="26" t="s">
        <v>469</v>
      </c>
      <c r="X194" s="26">
        <v>450</v>
      </c>
      <c r="Y194" s="26">
        <v>0</v>
      </c>
      <c r="Z194" s="26" t="s">
        <v>151</v>
      </c>
      <c r="AA194" s="26">
        <v>500</v>
      </c>
      <c r="AB194" s="26"/>
      <c r="AC194" s="26"/>
      <c r="AD194" s="26">
        <v>0</v>
      </c>
      <c r="AE194" s="26" t="s">
        <v>151</v>
      </c>
      <c r="AF194" s="26"/>
      <c r="AG194" s="26"/>
      <c r="AH194" s="38" t="s">
        <v>152</v>
      </c>
      <c r="AI194" s="27" t="s">
        <v>153</v>
      </c>
      <c r="AJ194" s="26">
        <v>0.5</v>
      </c>
      <c r="AK194" s="26">
        <v>0.5</v>
      </c>
      <c r="AL194" s="26"/>
      <c r="AM194" s="26">
        <v>1</v>
      </c>
      <c r="AN194" s="26"/>
      <c r="AO194" s="26"/>
      <c r="AP194" s="26">
        <v>250</v>
      </c>
      <c r="AQ194" s="26">
        <v>0.5</v>
      </c>
      <c r="AR194" s="26"/>
      <c r="AS194" s="26"/>
      <c r="AT194" s="26"/>
      <c r="AU194" s="26">
        <v>1</v>
      </c>
      <c r="AV194" s="26"/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100</v>
      </c>
      <c r="BD194" s="26">
        <v>100</v>
      </c>
      <c r="BE194" s="26"/>
      <c r="BF194" s="26" t="s">
        <v>154</v>
      </c>
      <c r="BG194" s="26">
        <v>0</v>
      </c>
      <c r="BH194" s="26">
        <v>0</v>
      </c>
      <c r="BI194" s="26">
        <v>100</v>
      </c>
      <c r="BJ194" s="26"/>
      <c r="BK194" s="26"/>
      <c r="BL194" s="26"/>
      <c r="BM194" s="26"/>
      <c r="BN194" s="26"/>
      <c r="BO194" s="26"/>
      <c r="BP194" s="26"/>
      <c r="BQ194" s="7">
        <v>0</v>
      </c>
    </row>
    <row r="195" s="7" customFormat="1" spans="2:69">
      <c r="B195" s="31" t="s">
        <v>783</v>
      </c>
      <c r="C195" s="7" t="s">
        <v>71</v>
      </c>
      <c r="D195" s="26" t="s">
        <v>280</v>
      </c>
      <c r="E195" s="27" t="s">
        <v>776</v>
      </c>
      <c r="F195" s="31"/>
      <c r="G195" s="26" t="s">
        <v>777</v>
      </c>
      <c r="H195" s="26"/>
      <c r="I195" s="26" t="s">
        <v>283</v>
      </c>
      <c r="J195" s="26"/>
      <c r="K195" s="26"/>
      <c r="L195" s="26">
        <v>0</v>
      </c>
      <c r="M195" s="26">
        <v>0</v>
      </c>
      <c r="N195" s="26"/>
      <c r="O195" s="26" t="s">
        <v>778</v>
      </c>
      <c r="P195" s="26">
        <f t="shared" si="5"/>
        <v>0.8</v>
      </c>
      <c r="Q195" s="26"/>
      <c r="R195" s="26"/>
      <c r="S195" s="26"/>
      <c r="T195" s="26"/>
      <c r="U195" s="26">
        <v>1</v>
      </c>
      <c r="V195" s="26">
        <v>2</v>
      </c>
      <c r="W195" s="26" t="s">
        <v>469</v>
      </c>
      <c r="X195" s="26">
        <v>450</v>
      </c>
      <c r="Y195" s="26">
        <v>0</v>
      </c>
      <c r="Z195" s="26" t="s">
        <v>151</v>
      </c>
      <c r="AA195" s="26">
        <v>500</v>
      </c>
      <c r="AB195" s="26"/>
      <c r="AC195" s="26"/>
      <c r="AD195" s="26">
        <v>0</v>
      </c>
      <c r="AE195" s="26" t="s">
        <v>151</v>
      </c>
      <c r="AF195" s="26"/>
      <c r="AG195" s="26"/>
      <c r="AH195" s="38" t="s">
        <v>152</v>
      </c>
      <c r="AI195" s="27" t="s">
        <v>153</v>
      </c>
      <c r="AJ195" s="26">
        <v>0.5</v>
      </c>
      <c r="AK195" s="26">
        <v>0.5</v>
      </c>
      <c r="AL195" s="26"/>
      <c r="AM195" s="26">
        <v>1</v>
      </c>
      <c r="AN195" s="26"/>
      <c r="AO195" s="26"/>
      <c r="AP195" s="26">
        <v>250</v>
      </c>
      <c r="AQ195" s="26">
        <v>0.5</v>
      </c>
      <c r="AR195" s="26"/>
      <c r="AS195" s="26"/>
      <c r="AT195" s="26"/>
      <c r="AU195" s="26">
        <v>1</v>
      </c>
      <c r="AV195" s="26"/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100</v>
      </c>
      <c r="BD195" s="26">
        <v>100</v>
      </c>
      <c r="BE195" s="26"/>
      <c r="BF195" s="26" t="s">
        <v>154</v>
      </c>
      <c r="BG195" s="26">
        <v>0</v>
      </c>
      <c r="BH195" s="26">
        <v>0</v>
      </c>
      <c r="BI195" s="26">
        <v>100</v>
      </c>
      <c r="BJ195" s="26"/>
      <c r="BK195" s="26"/>
      <c r="BL195" s="26"/>
      <c r="BM195" s="26"/>
      <c r="BN195" s="26"/>
      <c r="BO195" s="26"/>
      <c r="BP195" s="26"/>
      <c r="BQ195" s="7">
        <v>0</v>
      </c>
    </row>
    <row r="196" s="7" customFormat="1" spans="2:69">
      <c r="B196" s="31" t="s">
        <v>784</v>
      </c>
      <c r="C196" s="7" t="s">
        <v>71</v>
      </c>
      <c r="D196" s="26" t="s">
        <v>280</v>
      </c>
      <c r="E196" s="27" t="s">
        <v>776</v>
      </c>
      <c r="F196" s="31"/>
      <c r="G196" s="26" t="s">
        <v>777</v>
      </c>
      <c r="H196" s="26"/>
      <c r="I196" s="26" t="s">
        <v>283</v>
      </c>
      <c r="J196" s="26"/>
      <c r="K196" s="26"/>
      <c r="L196" s="26">
        <v>0</v>
      </c>
      <c r="M196" s="26">
        <v>0</v>
      </c>
      <c r="N196" s="26"/>
      <c r="O196" s="26" t="s">
        <v>778</v>
      </c>
      <c r="P196" s="26">
        <f t="shared" si="5"/>
        <v>0.85</v>
      </c>
      <c r="Q196" s="26"/>
      <c r="R196" s="26"/>
      <c r="S196" s="26"/>
      <c r="T196" s="26"/>
      <c r="U196" s="26">
        <v>1</v>
      </c>
      <c r="V196" s="26">
        <v>2</v>
      </c>
      <c r="W196" s="26" t="s">
        <v>469</v>
      </c>
      <c r="X196" s="26">
        <v>450</v>
      </c>
      <c r="Y196" s="26">
        <v>0</v>
      </c>
      <c r="Z196" s="26" t="s">
        <v>151</v>
      </c>
      <c r="AA196" s="26">
        <v>500</v>
      </c>
      <c r="AB196" s="26"/>
      <c r="AC196" s="26"/>
      <c r="AD196" s="26">
        <v>0</v>
      </c>
      <c r="AE196" s="26" t="s">
        <v>151</v>
      </c>
      <c r="AF196" s="26"/>
      <c r="AG196" s="26"/>
      <c r="AH196" s="38" t="s">
        <v>152</v>
      </c>
      <c r="AI196" s="27" t="s">
        <v>153</v>
      </c>
      <c r="AJ196" s="26">
        <v>0.5</v>
      </c>
      <c r="AK196" s="26">
        <v>0.5</v>
      </c>
      <c r="AL196" s="26"/>
      <c r="AM196" s="26">
        <v>1</v>
      </c>
      <c r="AN196" s="26"/>
      <c r="AO196" s="26"/>
      <c r="AP196" s="26">
        <v>250</v>
      </c>
      <c r="AQ196" s="26">
        <v>0.5</v>
      </c>
      <c r="AR196" s="26"/>
      <c r="AS196" s="26"/>
      <c r="AT196" s="26"/>
      <c r="AU196" s="26">
        <v>1</v>
      </c>
      <c r="AV196" s="26"/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100</v>
      </c>
      <c r="BD196" s="26">
        <v>100</v>
      </c>
      <c r="BE196" s="26"/>
      <c r="BF196" s="26" t="s">
        <v>154</v>
      </c>
      <c r="BG196" s="26">
        <v>0</v>
      </c>
      <c r="BH196" s="26">
        <v>0</v>
      </c>
      <c r="BI196" s="26">
        <v>100</v>
      </c>
      <c r="BJ196" s="26"/>
      <c r="BK196" s="26"/>
      <c r="BL196" s="26"/>
      <c r="BM196" s="26"/>
      <c r="BN196" s="26"/>
      <c r="BO196" s="26"/>
      <c r="BP196" s="26"/>
      <c r="BQ196" s="7">
        <v>0</v>
      </c>
    </row>
    <row r="197" s="7" customFormat="1" spans="2:69">
      <c r="B197" s="31" t="s">
        <v>785</v>
      </c>
      <c r="C197" s="7" t="s">
        <v>71</v>
      </c>
      <c r="D197" s="26" t="s">
        <v>280</v>
      </c>
      <c r="E197" s="27" t="s">
        <v>776</v>
      </c>
      <c r="F197" s="31"/>
      <c r="G197" s="26" t="s">
        <v>777</v>
      </c>
      <c r="H197" s="26"/>
      <c r="I197" s="26" t="s">
        <v>283</v>
      </c>
      <c r="J197" s="26"/>
      <c r="K197" s="26"/>
      <c r="L197" s="26">
        <v>0</v>
      </c>
      <c r="M197" s="26">
        <v>0</v>
      </c>
      <c r="N197" s="26"/>
      <c r="O197" s="26" t="s">
        <v>778</v>
      </c>
      <c r="P197" s="26">
        <f t="shared" si="5"/>
        <v>0.9</v>
      </c>
      <c r="Q197" s="26"/>
      <c r="R197" s="26"/>
      <c r="S197" s="26"/>
      <c r="T197" s="26"/>
      <c r="U197" s="26">
        <v>1</v>
      </c>
      <c r="V197" s="26">
        <v>2</v>
      </c>
      <c r="W197" s="26" t="s">
        <v>469</v>
      </c>
      <c r="X197" s="26">
        <v>450</v>
      </c>
      <c r="Y197" s="26">
        <v>0</v>
      </c>
      <c r="Z197" s="26" t="s">
        <v>151</v>
      </c>
      <c r="AA197" s="26">
        <v>500</v>
      </c>
      <c r="AB197" s="26"/>
      <c r="AC197" s="26"/>
      <c r="AD197" s="26">
        <v>0</v>
      </c>
      <c r="AE197" s="26" t="s">
        <v>151</v>
      </c>
      <c r="AF197" s="26"/>
      <c r="AG197" s="26"/>
      <c r="AH197" s="38" t="s">
        <v>152</v>
      </c>
      <c r="AI197" s="27" t="s">
        <v>153</v>
      </c>
      <c r="AJ197" s="26">
        <v>0.5</v>
      </c>
      <c r="AK197" s="26">
        <v>0.5</v>
      </c>
      <c r="AL197" s="26"/>
      <c r="AM197" s="26">
        <v>1</v>
      </c>
      <c r="AN197" s="26"/>
      <c r="AO197" s="26"/>
      <c r="AP197" s="26">
        <v>250</v>
      </c>
      <c r="AQ197" s="26">
        <v>0.5</v>
      </c>
      <c r="AR197" s="26"/>
      <c r="AS197" s="26"/>
      <c r="AT197" s="26"/>
      <c r="AU197" s="26">
        <v>1</v>
      </c>
      <c r="AV197" s="26"/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100</v>
      </c>
      <c r="BD197" s="26">
        <v>100</v>
      </c>
      <c r="BE197" s="26"/>
      <c r="BF197" s="26" t="s">
        <v>154</v>
      </c>
      <c r="BG197" s="26">
        <v>0</v>
      </c>
      <c r="BH197" s="26">
        <v>0</v>
      </c>
      <c r="BI197" s="26">
        <v>100</v>
      </c>
      <c r="BJ197" s="26"/>
      <c r="BK197" s="26"/>
      <c r="BL197" s="26"/>
      <c r="BM197" s="26"/>
      <c r="BN197" s="26"/>
      <c r="BO197" s="26"/>
      <c r="BP197" s="26"/>
      <c r="BQ197" s="7">
        <v>0</v>
      </c>
    </row>
    <row r="198" s="7" customFormat="1" spans="2:69">
      <c r="B198" s="31" t="s">
        <v>786</v>
      </c>
      <c r="C198" s="7" t="s">
        <v>71</v>
      </c>
      <c r="D198" s="26" t="s">
        <v>280</v>
      </c>
      <c r="E198" s="27" t="s">
        <v>776</v>
      </c>
      <c r="F198" s="31"/>
      <c r="G198" s="26" t="s">
        <v>777</v>
      </c>
      <c r="H198" s="26"/>
      <c r="I198" s="26" t="s">
        <v>283</v>
      </c>
      <c r="J198" s="26"/>
      <c r="K198" s="26"/>
      <c r="L198" s="26">
        <v>0</v>
      </c>
      <c r="M198" s="26">
        <v>0</v>
      </c>
      <c r="N198" s="26"/>
      <c r="O198" s="26" t="s">
        <v>778</v>
      </c>
      <c r="P198" s="26">
        <f t="shared" si="5"/>
        <v>0.95</v>
      </c>
      <c r="Q198" s="26"/>
      <c r="R198" s="26"/>
      <c r="S198" s="26"/>
      <c r="T198" s="26"/>
      <c r="U198" s="26">
        <v>1</v>
      </c>
      <c r="V198" s="26">
        <v>2</v>
      </c>
      <c r="W198" s="26" t="s">
        <v>469</v>
      </c>
      <c r="X198" s="26">
        <v>450</v>
      </c>
      <c r="Y198" s="26">
        <v>0</v>
      </c>
      <c r="Z198" s="26" t="s">
        <v>151</v>
      </c>
      <c r="AA198" s="26">
        <v>500</v>
      </c>
      <c r="AB198" s="26"/>
      <c r="AC198" s="26"/>
      <c r="AD198" s="26">
        <v>0</v>
      </c>
      <c r="AE198" s="26" t="s">
        <v>151</v>
      </c>
      <c r="AF198" s="26"/>
      <c r="AG198" s="26"/>
      <c r="AH198" s="38" t="s">
        <v>152</v>
      </c>
      <c r="AI198" s="27" t="s">
        <v>153</v>
      </c>
      <c r="AJ198" s="26">
        <v>0.5</v>
      </c>
      <c r="AK198" s="26">
        <v>0.5</v>
      </c>
      <c r="AL198" s="26"/>
      <c r="AM198" s="26">
        <v>1</v>
      </c>
      <c r="AN198" s="26"/>
      <c r="AO198" s="26"/>
      <c r="AP198" s="26">
        <v>250</v>
      </c>
      <c r="AQ198" s="26">
        <v>0.5</v>
      </c>
      <c r="AR198" s="26"/>
      <c r="AS198" s="26"/>
      <c r="AT198" s="26"/>
      <c r="AU198" s="26">
        <v>1</v>
      </c>
      <c r="AV198" s="26"/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100</v>
      </c>
      <c r="BD198" s="26">
        <v>100</v>
      </c>
      <c r="BE198" s="26"/>
      <c r="BF198" s="26" t="s">
        <v>154</v>
      </c>
      <c r="BG198" s="26">
        <v>0</v>
      </c>
      <c r="BH198" s="26">
        <v>0</v>
      </c>
      <c r="BI198" s="26">
        <v>100</v>
      </c>
      <c r="BJ198" s="26"/>
      <c r="BK198" s="26"/>
      <c r="BL198" s="26"/>
      <c r="BM198" s="26"/>
      <c r="BN198" s="26"/>
      <c r="BO198" s="26"/>
      <c r="BP198" s="26"/>
      <c r="BQ198" s="7">
        <v>0</v>
      </c>
    </row>
    <row r="199" s="7" customFormat="1" spans="2:69">
      <c r="B199" s="31" t="s">
        <v>787</v>
      </c>
      <c r="C199" s="7" t="s">
        <v>71</v>
      </c>
      <c r="D199" s="26" t="s">
        <v>280</v>
      </c>
      <c r="E199" s="27" t="s">
        <v>776</v>
      </c>
      <c r="F199" s="31"/>
      <c r="G199" s="26" t="s">
        <v>777</v>
      </c>
      <c r="H199" s="26"/>
      <c r="I199" s="26" t="s">
        <v>283</v>
      </c>
      <c r="J199" s="26"/>
      <c r="K199" s="26"/>
      <c r="L199" s="26">
        <v>0</v>
      </c>
      <c r="M199" s="26">
        <v>0</v>
      </c>
      <c r="N199" s="26"/>
      <c r="O199" s="26" t="s">
        <v>778</v>
      </c>
      <c r="P199" s="26">
        <f t="shared" si="5"/>
        <v>1</v>
      </c>
      <c r="Q199" s="26"/>
      <c r="R199" s="26"/>
      <c r="S199" s="26"/>
      <c r="T199" s="26"/>
      <c r="U199" s="26">
        <v>1</v>
      </c>
      <c r="V199" s="26">
        <v>2</v>
      </c>
      <c r="W199" s="26" t="s">
        <v>469</v>
      </c>
      <c r="X199" s="26">
        <v>450</v>
      </c>
      <c r="Y199" s="26">
        <v>0</v>
      </c>
      <c r="Z199" s="26" t="s">
        <v>151</v>
      </c>
      <c r="AA199" s="26">
        <v>500</v>
      </c>
      <c r="AB199" s="26"/>
      <c r="AC199" s="26"/>
      <c r="AD199" s="26">
        <v>0</v>
      </c>
      <c r="AE199" s="26" t="s">
        <v>151</v>
      </c>
      <c r="AF199" s="26"/>
      <c r="AG199" s="26"/>
      <c r="AH199" s="38" t="s">
        <v>152</v>
      </c>
      <c r="AI199" s="27" t="s">
        <v>153</v>
      </c>
      <c r="AJ199" s="26">
        <v>0.5</v>
      </c>
      <c r="AK199" s="26">
        <v>0.5</v>
      </c>
      <c r="AL199" s="26"/>
      <c r="AM199" s="26">
        <v>1</v>
      </c>
      <c r="AN199" s="26"/>
      <c r="AO199" s="26"/>
      <c r="AP199" s="26">
        <v>250</v>
      </c>
      <c r="AQ199" s="26">
        <v>0.5</v>
      </c>
      <c r="AR199" s="26"/>
      <c r="AS199" s="26"/>
      <c r="AT199" s="26"/>
      <c r="AU199" s="26">
        <v>1</v>
      </c>
      <c r="AV199" s="26"/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100</v>
      </c>
      <c r="BD199" s="26">
        <v>100</v>
      </c>
      <c r="BE199" s="26"/>
      <c r="BF199" s="26" t="s">
        <v>154</v>
      </c>
      <c r="BG199" s="26">
        <v>0</v>
      </c>
      <c r="BH199" s="26">
        <v>0</v>
      </c>
      <c r="BI199" s="26">
        <v>100</v>
      </c>
      <c r="BJ199" s="26"/>
      <c r="BK199" s="26"/>
      <c r="BL199" s="26"/>
      <c r="BM199" s="26"/>
      <c r="BN199" s="26"/>
      <c r="BO199" s="26"/>
      <c r="BP199" s="26"/>
      <c r="BQ199" s="7">
        <v>0</v>
      </c>
    </row>
    <row r="200" s="7" customFormat="1" spans="2:69">
      <c r="B200" s="31" t="s">
        <v>788</v>
      </c>
      <c r="C200" s="7" t="s">
        <v>71</v>
      </c>
      <c r="D200" s="26" t="s">
        <v>280</v>
      </c>
      <c r="E200" s="27" t="s">
        <v>776</v>
      </c>
      <c r="F200" s="31"/>
      <c r="G200" s="26" t="s">
        <v>777</v>
      </c>
      <c r="H200" s="26"/>
      <c r="I200" s="26" t="s">
        <v>283</v>
      </c>
      <c r="J200" s="26"/>
      <c r="K200" s="26"/>
      <c r="L200" s="26">
        <v>0</v>
      </c>
      <c r="M200" s="26">
        <v>0</v>
      </c>
      <c r="N200" s="26"/>
      <c r="O200" s="26" t="s">
        <v>778</v>
      </c>
      <c r="P200" s="26">
        <f t="shared" si="5"/>
        <v>1.05</v>
      </c>
      <c r="Q200" s="26"/>
      <c r="R200" s="26"/>
      <c r="S200" s="26"/>
      <c r="T200" s="26"/>
      <c r="U200" s="26">
        <v>1</v>
      </c>
      <c r="V200" s="26">
        <v>2</v>
      </c>
      <c r="W200" s="26" t="s">
        <v>469</v>
      </c>
      <c r="X200" s="26">
        <v>450</v>
      </c>
      <c r="Y200" s="26">
        <v>0</v>
      </c>
      <c r="Z200" s="26" t="s">
        <v>151</v>
      </c>
      <c r="AA200" s="26">
        <v>500</v>
      </c>
      <c r="AB200" s="26"/>
      <c r="AC200" s="26"/>
      <c r="AD200" s="26">
        <v>0</v>
      </c>
      <c r="AE200" s="26" t="s">
        <v>151</v>
      </c>
      <c r="AF200" s="26"/>
      <c r="AG200" s="26"/>
      <c r="AH200" s="38" t="s">
        <v>152</v>
      </c>
      <c r="AI200" s="27" t="s">
        <v>153</v>
      </c>
      <c r="AJ200" s="26">
        <v>0.5</v>
      </c>
      <c r="AK200" s="26">
        <v>0.5</v>
      </c>
      <c r="AL200" s="26"/>
      <c r="AM200" s="26">
        <v>1</v>
      </c>
      <c r="AN200" s="26"/>
      <c r="AO200" s="26"/>
      <c r="AP200" s="26">
        <v>250</v>
      </c>
      <c r="AQ200" s="26">
        <v>0.5</v>
      </c>
      <c r="AR200" s="26"/>
      <c r="AS200" s="26"/>
      <c r="AT200" s="26"/>
      <c r="AU200" s="26">
        <v>1</v>
      </c>
      <c r="AV200" s="26"/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100</v>
      </c>
      <c r="BD200" s="26">
        <v>100</v>
      </c>
      <c r="BE200" s="26"/>
      <c r="BF200" s="26" t="s">
        <v>154</v>
      </c>
      <c r="BG200" s="26">
        <v>0</v>
      </c>
      <c r="BH200" s="26">
        <v>0</v>
      </c>
      <c r="BI200" s="26">
        <v>100</v>
      </c>
      <c r="BJ200" s="26"/>
      <c r="BK200" s="26"/>
      <c r="BL200" s="26"/>
      <c r="BM200" s="26"/>
      <c r="BN200" s="26"/>
      <c r="BO200" s="26"/>
      <c r="BP200" s="26"/>
      <c r="BQ200" s="7">
        <v>0</v>
      </c>
    </row>
    <row r="201" s="7" customFormat="1" spans="2:69">
      <c r="B201" s="31" t="s">
        <v>789</v>
      </c>
      <c r="C201" s="7" t="s">
        <v>71</v>
      </c>
      <c r="D201" s="26" t="s">
        <v>280</v>
      </c>
      <c r="E201" s="27" t="s">
        <v>776</v>
      </c>
      <c r="F201" s="31"/>
      <c r="G201" s="26" t="s">
        <v>777</v>
      </c>
      <c r="H201" s="26"/>
      <c r="I201" s="26" t="s">
        <v>283</v>
      </c>
      <c r="J201" s="26"/>
      <c r="K201" s="26"/>
      <c r="L201" s="26">
        <v>0</v>
      </c>
      <c r="M201" s="26">
        <v>0</v>
      </c>
      <c r="N201" s="26"/>
      <c r="O201" s="26" t="s">
        <v>778</v>
      </c>
      <c r="P201" s="26">
        <f t="shared" si="5"/>
        <v>1.1</v>
      </c>
      <c r="Q201" s="26"/>
      <c r="R201" s="26"/>
      <c r="S201" s="26"/>
      <c r="T201" s="26"/>
      <c r="U201" s="26">
        <v>1</v>
      </c>
      <c r="V201" s="26">
        <v>2</v>
      </c>
      <c r="W201" s="26" t="s">
        <v>469</v>
      </c>
      <c r="X201" s="26">
        <v>450</v>
      </c>
      <c r="Y201" s="26">
        <v>0</v>
      </c>
      <c r="Z201" s="26" t="s">
        <v>151</v>
      </c>
      <c r="AA201" s="26">
        <v>500</v>
      </c>
      <c r="AB201" s="26"/>
      <c r="AC201" s="26"/>
      <c r="AD201" s="26">
        <v>0</v>
      </c>
      <c r="AE201" s="26" t="s">
        <v>151</v>
      </c>
      <c r="AF201" s="26"/>
      <c r="AG201" s="26"/>
      <c r="AH201" s="38" t="s">
        <v>152</v>
      </c>
      <c r="AI201" s="27" t="s">
        <v>153</v>
      </c>
      <c r="AJ201" s="26">
        <v>0.5</v>
      </c>
      <c r="AK201" s="26">
        <v>0.5</v>
      </c>
      <c r="AL201" s="26"/>
      <c r="AM201" s="26">
        <v>1</v>
      </c>
      <c r="AN201" s="26"/>
      <c r="AO201" s="26"/>
      <c r="AP201" s="26">
        <v>250</v>
      </c>
      <c r="AQ201" s="26">
        <v>0.5</v>
      </c>
      <c r="AR201" s="26"/>
      <c r="AS201" s="26"/>
      <c r="AT201" s="26"/>
      <c r="AU201" s="26">
        <v>1</v>
      </c>
      <c r="AV201" s="26"/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100</v>
      </c>
      <c r="BD201" s="26">
        <v>100</v>
      </c>
      <c r="BE201" s="26"/>
      <c r="BF201" s="26" t="s">
        <v>154</v>
      </c>
      <c r="BG201" s="26">
        <v>0</v>
      </c>
      <c r="BH201" s="26">
        <v>0</v>
      </c>
      <c r="BI201" s="26">
        <v>100</v>
      </c>
      <c r="BJ201" s="26"/>
      <c r="BK201" s="26"/>
      <c r="BL201" s="26"/>
      <c r="BM201" s="26"/>
      <c r="BN201" s="26"/>
      <c r="BO201" s="26"/>
      <c r="BP201" s="26"/>
      <c r="BQ201" s="7">
        <v>0</v>
      </c>
    </row>
    <row r="202" s="7" customFormat="1" spans="2:69">
      <c r="B202" s="31" t="s">
        <v>790</v>
      </c>
      <c r="C202" s="7" t="s">
        <v>71</v>
      </c>
      <c r="D202" s="26" t="s">
        <v>280</v>
      </c>
      <c r="E202" s="27" t="s">
        <v>776</v>
      </c>
      <c r="F202" s="31"/>
      <c r="G202" s="26" t="s">
        <v>777</v>
      </c>
      <c r="H202" s="26"/>
      <c r="I202" s="26" t="s">
        <v>283</v>
      </c>
      <c r="J202" s="26"/>
      <c r="K202" s="26"/>
      <c r="L202" s="26">
        <v>0</v>
      </c>
      <c r="M202" s="26">
        <v>0</v>
      </c>
      <c r="N202" s="26"/>
      <c r="O202" s="26" t="s">
        <v>778</v>
      </c>
      <c r="P202" s="26">
        <f t="shared" si="5"/>
        <v>1.15</v>
      </c>
      <c r="Q202" s="26"/>
      <c r="R202" s="26"/>
      <c r="S202" s="26"/>
      <c r="T202" s="26"/>
      <c r="U202" s="26">
        <v>1</v>
      </c>
      <c r="V202" s="26">
        <v>2</v>
      </c>
      <c r="W202" s="26" t="s">
        <v>469</v>
      </c>
      <c r="X202" s="26">
        <v>450</v>
      </c>
      <c r="Y202" s="26">
        <v>0</v>
      </c>
      <c r="Z202" s="26" t="s">
        <v>151</v>
      </c>
      <c r="AA202" s="26">
        <v>500</v>
      </c>
      <c r="AB202" s="26"/>
      <c r="AC202" s="26"/>
      <c r="AD202" s="26">
        <v>0</v>
      </c>
      <c r="AE202" s="26" t="s">
        <v>151</v>
      </c>
      <c r="AF202" s="26"/>
      <c r="AG202" s="26"/>
      <c r="AH202" s="38" t="s">
        <v>152</v>
      </c>
      <c r="AI202" s="27" t="s">
        <v>153</v>
      </c>
      <c r="AJ202" s="26">
        <v>0.5</v>
      </c>
      <c r="AK202" s="26">
        <v>0.5</v>
      </c>
      <c r="AL202" s="26"/>
      <c r="AM202" s="26">
        <v>1</v>
      </c>
      <c r="AN202" s="26"/>
      <c r="AO202" s="26"/>
      <c r="AP202" s="26">
        <v>250</v>
      </c>
      <c r="AQ202" s="26">
        <v>0.5</v>
      </c>
      <c r="AR202" s="26"/>
      <c r="AS202" s="26"/>
      <c r="AT202" s="26"/>
      <c r="AU202" s="26">
        <v>1</v>
      </c>
      <c r="AV202" s="26"/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100</v>
      </c>
      <c r="BD202" s="26">
        <v>100</v>
      </c>
      <c r="BE202" s="26"/>
      <c r="BF202" s="26" t="s">
        <v>154</v>
      </c>
      <c r="BG202" s="26">
        <v>0</v>
      </c>
      <c r="BH202" s="26">
        <v>0</v>
      </c>
      <c r="BI202" s="26">
        <v>100</v>
      </c>
      <c r="BJ202" s="26"/>
      <c r="BK202" s="26"/>
      <c r="BL202" s="26"/>
      <c r="BM202" s="26"/>
      <c r="BN202" s="26"/>
      <c r="BO202" s="26"/>
      <c r="BP202" s="26"/>
      <c r="BQ202" s="7">
        <v>0</v>
      </c>
    </row>
    <row r="203" s="6" customFormat="1" spans="2:69">
      <c r="B203" s="19" t="s">
        <v>791</v>
      </c>
      <c r="C203" s="6" t="s">
        <v>71</v>
      </c>
      <c r="D203" s="16" t="s">
        <v>280</v>
      </c>
      <c r="E203" s="4" t="s">
        <v>792</v>
      </c>
      <c r="F203" s="19"/>
      <c r="G203" s="16" t="s">
        <v>777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793</v>
      </c>
      <c r="P203" s="16">
        <v>0.4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400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19" t="s">
        <v>794</v>
      </c>
      <c r="C204" s="6" t="s">
        <v>71</v>
      </c>
      <c r="D204" s="16" t="s">
        <v>280</v>
      </c>
      <c r="E204" t="s">
        <v>795</v>
      </c>
      <c r="F204" s="19"/>
      <c r="G204" s="16" t="s">
        <v>777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793</v>
      </c>
      <c r="P204" s="16">
        <v>0.45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400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19" t="s">
        <v>796</v>
      </c>
      <c r="C205" s="6" t="s">
        <v>71</v>
      </c>
      <c r="D205" s="16" t="s">
        <v>280</v>
      </c>
      <c r="E205" t="s">
        <v>797</v>
      </c>
      <c r="F205" s="19"/>
      <c r="G205" s="16" t="s">
        <v>777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793</v>
      </c>
      <c r="P205" s="16">
        <v>0.5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400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19" t="s">
        <v>798</v>
      </c>
      <c r="C206" s="6" t="s">
        <v>71</v>
      </c>
      <c r="D206" s="16" t="s">
        <v>280</v>
      </c>
      <c r="E206" t="s">
        <v>799</v>
      </c>
      <c r="F206" s="19"/>
      <c r="G206" s="16" t="s">
        <v>777</v>
      </c>
      <c r="H206" s="16"/>
      <c r="I206" s="16" t="s">
        <v>283</v>
      </c>
      <c r="J206" s="16"/>
      <c r="K206" s="16"/>
      <c r="L206" s="16">
        <v>0</v>
      </c>
      <c r="M206" s="16">
        <v>0</v>
      </c>
      <c r="N206" s="16"/>
      <c r="O206" s="16" t="s">
        <v>793</v>
      </c>
      <c r="P206" s="16">
        <v>0.55</v>
      </c>
      <c r="Q206" s="16"/>
      <c r="R206" s="16"/>
      <c r="S206" s="16"/>
      <c r="T206" s="16"/>
      <c r="U206" s="16">
        <v>1</v>
      </c>
      <c r="V206" s="16">
        <v>2</v>
      </c>
      <c r="W206" s="16" t="s">
        <v>469</v>
      </c>
      <c r="X206" s="16">
        <v>400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19" t="s">
        <v>800</v>
      </c>
      <c r="C207" s="6" t="s">
        <v>71</v>
      </c>
      <c r="D207" s="16" t="s">
        <v>280</v>
      </c>
      <c r="E207" t="s">
        <v>801</v>
      </c>
      <c r="F207" s="19"/>
      <c r="G207" s="16" t="s">
        <v>777</v>
      </c>
      <c r="H207" s="16"/>
      <c r="I207" s="16" t="s">
        <v>283</v>
      </c>
      <c r="J207" s="16"/>
      <c r="K207" s="16"/>
      <c r="L207" s="16">
        <v>0</v>
      </c>
      <c r="M207" s="16">
        <v>0</v>
      </c>
      <c r="N207" s="16"/>
      <c r="O207" s="16" t="s">
        <v>793</v>
      </c>
      <c r="P207" s="16">
        <v>0.6</v>
      </c>
      <c r="Q207" s="16"/>
      <c r="R207" s="16"/>
      <c r="S207" s="16"/>
      <c r="T207" s="16"/>
      <c r="U207" s="16">
        <v>1</v>
      </c>
      <c r="V207" s="16">
        <v>2</v>
      </c>
      <c r="W207" s="16" t="s">
        <v>469</v>
      </c>
      <c r="X207" s="16">
        <v>400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19" t="s">
        <v>802</v>
      </c>
      <c r="C208" s="6" t="s">
        <v>71</v>
      </c>
      <c r="D208" s="16" t="s">
        <v>280</v>
      </c>
      <c r="E208" s="4" t="s">
        <v>803</v>
      </c>
      <c r="F208" s="19"/>
      <c r="G208" s="16" t="s">
        <v>777</v>
      </c>
      <c r="H208" s="16"/>
      <c r="I208" s="16" t="s">
        <v>283</v>
      </c>
      <c r="J208" s="16" t="s">
        <v>448</v>
      </c>
      <c r="K208" s="16"/>
      <c r="L208" s="16">
        <v>0</v>
      </c>
      <c r="M208" s="16">
        <v>0</v>
      </c>
      <c r="N208" s="16"/>
      <c r="O208" s="16" t="s">
        <v>804</v>
      </c>
      <c r="P208" s="16">
        <v>0.9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0.2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19" t="s">
        <v>805</v>
      </c>
      <c r="C209" s="6" t="s">
        <v>71</v>
      </c>
      <c r="D209" s="16" t="s">
        <v>280</v>
      </c>
      <c r="E209" t="s">
        <v>806</v>
      </c>
      <c r="F209" s="19"/>
      <c r="G209" s="16" t="s">
        <v>777</v>
      </c>
      <c r="H209" s="16"/>
      <c r="I209" s="16" t="s">
        <v>283</v>
      </c>
      <c r="J209" s="16"/>
      <c r="K209" s="16"/>
      <c r="L209" s="16">
        <v>0</v>
      </c>
      <c r="M209" s="16">
        <v>0</v>
      </c>
      <c r="N209" s="16"/>
      <c r="O209" s="16" t="s">
        <v>793</v>
      </c>
      <c r="P209" s="16">
        <v>0.4</v>
      </c>
      <c r="Q209" s="16"/>
      <c r="R209" s="16"/>
      <c r="S209" s="16"/>
      <c r="T209" s="16"/>
      <c r="U209" s="16">
        <v>1</v>
      </c>
      <c r="V209" s="16">
        <v>2</v>
      </c>
      <c r="W209" s="16" t="s">
        <v>469</v>
      </c>
      <c r="X209" s="16">
        <v>400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19" t="s">
        <v>807</v>
      </c>
      <c r="C210" s="6" t="s">
        <v>71</v>
      </c>
      <c r="D210" s="16" t="s">
        <v>280</v>
      </c>
      <c r="E210" t="s">
        <v>808</v>
      </c>
      <c r="F210" s="19"/>
      <c r="G210" s="16" t="s">
        <v>777</v>
      </c>
      <c r="H210" s="16"/>
      <c r="I210" s="16" t="s">
        <v>283</v>
      </c>
      <c r="J210" s="16"/>
      <c r="K210" s="16"/>
      <c r="L210" s="16">
        <v>0</v>
      </c>
      <c r="M210" s="16">
        <v>0</v>
      </c>
      <c r="N210" s="16"/>
      <c r="O210" s="16" t="s">
        <v>793</v>
      </c>
      <c r="P210" s="16">
        <v>0.45</v>
      </c>
      <c r="Q210" s="16"/>
      <c r="R210" s="16"/>
      <c r="S210" s="16"/>
      <c r="T210" s="16"/>
      <c r="U210" s="16">
        <v>1</v>
      </c>
      <c r="V210" s="16">
        <v>2</v>
      </c>
      <c r="W210" s="16" t="s">
        <v>469</v>
      </c>
      <c r="X210" s="16">
        <v>400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19" t="s">
        <v>809</v>
      </c>
      <c r="C211" s="6" t="s">
        <v>71</v>
      </c>
      <c r="D211" s="16" t="s">
        <v>280</v>
      </c>
      <c r="E211" t="s">
        <v>810</v>
      </c>
      <c r="F211" s="19"/>
      <c r="G211" s="16" t="s">
        <v>777</v>
      </c>
      <c r="H211" s="16"/>
      <c r="I211" s="16" t="s">
        <v>283</v>
      </c>
      <c r="J211" s="16"/>
      <c r="K211" s="16"/>
      <c r="L211" s="16">
        <v>0</v>
      </c>
      <c r="M211" s="16">
        <v>0</v>
      </c>
      <c r="N211" s="16"/>
      <c r="O211" s="16" t="s">
        <v>793</v>
      </c>
      <c r="P211" s="16">
        <v>0.5</v>
      </c>
      <c r="Q211" s="16"/>
      <c r="R211" s="16"/>
      <c r="S211" s="16"/>
      <c r="T211" s="16"/>
      <c r="U211" s="16">
        <v>1</v>
      </c>
      <c r="V211" s="16">
        <v>2</v>
      </c>
      <c r="W211" s="16" t="s">
        <v>469</v>
      </c>
      <c r="X211" s="16">
        <v>400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19" t="s">
        <v>811</v>
      </c>
      <c r="C212" s="6" t="s">
        <v>71</v>
      </c>
      <c r="D212" s="16" t="s">
        <v>280</v>
      </c>
      <c r="E212" t="s">
        <v>812</v>
      </c>
      <c r="F212" s="19"/>
      <c r="G212" s="16" t="s">
        <v>777</v>
      </c>
      <c r="H212" s="16"/>
      <c r="I212" s="16" t="s">
        <v>283</v>
      </c>
      <c r="J212" s="16"/>
      <c r="K212" s="16"/>
      <c r="L212" s="16">
        <v>0</v>
      </c>
      <c r="M212" s="16">
        <v>0</v>
      </c>
      <c r="N212" s="16"/>
      <c r="O212" s="16" t="s">
        <v>793</v>
      </c>
      <c r="P212" s="16">
        <v>0.55</v>
      </c>
      <c r="Q212" s="16"/>
      <c r="R212" s="16"/>
      <c r="S212" s="16"/>
      <c r="T212" s="16"/>
      <c r="U212" s="16">
        <v>1</v>
      </c>
      <c r="V212" s="16">
        <v>2</v>
      </c>
      <c r="W212" s="16" t="s">
        <v>469</v>
      </c>
      <c r="X212" s="16">
        <v>400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19" t="s">
        <v>813</v>
      </c>
      <c r="C213" s="6" t="s">
        <v>71</v>
      </c>
      <c r="D213" s="16" t="s">
        <v>280</v>
      </c>
      <c r="E213" t="s">
        <v>814</v>
      </c>
      <c r="F213" s="19"/>
      <c r="G213" s="16" t="s">
        <v>777</v>
      </c>
      <c r="H213" s="16"/>
      <c r="I213" s="16" t="s">
        <v>283</v>
      </c>
      <c r="J213" s="16"/>
      <c r="K213" s="16"/>
      <c r="L213" s="16">
        <v>0</v>
      </c>
      <c r="M213" s="16">
        <v>0</v>
      </c>
      <c r="N213" s="16"/>
      <c r="O213" s="16" t="s">
        <v>793</v>
      </c>
      <c r="P213" s="16">
        <v>0.6</v>
      </c>
      <c r="Q213" s="16"/>
      <c r="R213" s="16"/>
      <c r="S213" s="16"/>
      <c r="T213" s="16"/>
      <c r="U213" s="16">
        <v>1</v>
      </c>
      <c r="V213" s="16">
        <v>2</v>
      </c>
      <c r="W213" s="16" t="s">
        <v>469</v>
      </c>
      <c r="X213" s="16">
        <v>400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19" t="s">
        <v>815</v>
      </c>
      <c r="C214" s="6" t="s">
        <v>71</v>
      </c>
      <c r="D214" s="16" t="s">
        <v>280</v>
      </c>
      <c r="E214" s="4" t="s">
        <v>816</v>
      </c>
      <c r="F214" s="19"/>
      <c r="G214" s="16" t="s">
        <v>777</v>
      </c>
      <c r="H214" s="16"/>
      <c r="I214" s="16" t="s">
        <v>283</v>
      </c>
      <c r="J214" s="16" t="s">
        <v>448</v>
      </c>
      <c r="K214" s="16"/>
      <c r="L214" s="16">
        <v>0</v>
      </c>
      <c r="M214" s="16">
        <v>0</v>
      </c>
      <c r="N214" s="16"/>
      <c r="O214" s="16" t="s">
        <v>817</v>
      </c>
      <c r="P214" s="16">
        <v>0.8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0.2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19" t="s">
        <v>818</v>
      </c>
      <c r="C215" s="6" t="s">
        <v>71</v>
      </c>
      <c r="D215" s="16" t="s">
        <v>280</v>
      </c>
      <c r="E215" t="s">
        <v>819</v>
      </c>
      <c r="F215" s="19"/>
      <c r="G215" s="16" t="s">
        <v>777</v>
      </c>
      <c r="H215" s="16"/>
      <c r="I215" s="16" t="s">
        <v>283</v>
      </c>
      <c r="J215" s="16"/>
      <c r="K215" s="16"/>
      <c r="L215" s="16">
        <v>0</v>
      </c>
      <c r="M215" s="16">
        <v>0</v>
      </c>
      <c r="N215" s="16"/>
      <c r="O215" s="16" t="s">
        <v>793</v>
      </c>
      <c r="P215" s="16">
        <v>0.4</v>
      </c>
      <c r="Q215" s="16"/>
      <c r="R215" s="16"/>
      <c r="S215" s="16"/>
      <c r="T215" s="16"/>
      <c r="U215" s="16">
        <v>1</v>
      </c>
      <c r="V215" s="16">
        <v>2</v>
      </c>
      <c r="W215" s="16" t="s">
        <v>469</v>
      </c>
      <c r="X215" s="16">
        <v>400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19" t="s">
        <v>820</v>
      </c>
      <c r="C216" s="6" t="s">
        <v>71</v>
      </c>
      <c r="D216" s="16" t="s">
        <v>280</v>
      </c>
      <c r="E216" t="s">
        <v>821</v>
      </c>
      <c r="F216" s="19"/>
      <c r="G216" s="16" t="s">
        <v>777</v>
      </c>
      <c r="H216" s="16"/>
      <c r="I216" s="16" t="s">
        <v>283</v>
      </c>
      <c r="J216" s="16"/>
      <c r="K216" s="16"/>
      <c r="L216" s="16">
        <v>0</v>
      </c>
      <c r="M216" s="16">
        <v>0</v>
      </c>
      <c r="N216" s="16"/>
      <c r="O216" s="16" t="s">
        <v>793</v>
      </c>
      <c r="P216" s="16">
        <v>0.45</v>
      </c>
      <c r="Q216" s="16"/>
      <c r="R216" s="16"/>
      <c r="S216" s="16"/>
      <c r="T216" s="16"/>
      <c r="U216" s="16">
        <v>1</v>
      </c>
      <c r="V216" s="16">
        <v>2</v>
      </c>
      <c r="W216" s="16" t="s">
        <v>469</v>
      </c>
      <c r="X216" s="16">
        <v>400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19" t="s">
        <v>822</v>
      </c>
      <c r="C217" s="6" t="s">
        <v>71</v>
      </c>
      <c r="D217" s="16" t="s">
        <v>280</v>
      </c>
      <c r="E217" t="s">
        <v>823</v>
      </c>
      <c r="F217" s="19"/>
      <c r="G217" s="16" t="s">
        <v>777</v>
      </c>
      <c r="H217" s="16"/>
      <c r="I217" s="16" t="s">
        <v>283</v>
      </c>
      <c r="J217" s="16"/>
      <c r="K217" s="16"/>
      <c r="L217" s="16">
        <v>0</v>
      </c>
      <c r="M217" s="16">
        <v>0</v>
      </c>
      <c r="N217" s="16"/>
      <c r="O217" s="16" t="s">
        <v>793</v>
      </c>
      <c r="P217" s="16">
        <v>0.5</v>
      </c>
      <c r="Q217" s="16"/>
      <c r="R217" s="16"/>
      <c r="S217" s="16"/>
      <c r="T217" s="16"/>
      <c r="U217" s="16">
        <v>1</v>
      </c>
      <c r="V217" s="16">
        <v>2</v>
      </c>
      <c r="W217" s="16" t="s">
        <v>469</v>
      </c>
      <c r="X217" s="16">
        <v>400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19" t="s">
        <v>824</v>
      </c>
      <c r="C218" s="6" t="s">
        <v>71</v>
      </c>
      <c r="D218" s="16" t="s">
        <v>280</v>
      </c>
      <c r="E218" t="s">
        <v>825</v>
      </c>
      <c r="F218" s="19"/>
      <c r="G218" s="16" t="s">
        <v>777</v>
      </c>
      <c r="H218" s="16"/>
      <c r="I218" s="16" t="s">
        <v>283</v>
      </c>
      <c r="J218" s="16"/>
      <c r="K218" s="16"/>
      <c r="L218" s="16">
        <v>0</v>
      </c>
      <c r="M218" s="16">
        <v>0</v>
      </c>
      <c r="N218" s="16"/>
      <c r="O218" s="16" t="s">
        <v>793</v>
      </c>
      <c r="P218" s="16">
        <v>0.55</v>
      </c>
      <c r="Q218" s="16"/>
      <c r="R218" s="16"/>
      <c r="S218" s="16"/>
      <c r="T218" s="16"/>
      <c r="U218" s="16">
        <v>1</v>
      </c>
      <c r="V218" s="16">
        <v>2</v>
      </c>
      <c r="W218" s="16" t="s">
        <v>469</v>
      </c>
      <c r="X218" s="16">
        <v>400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19" t="s">
        <v>826</v>
      </c>
      <c r="C219" s="6" t="s">
        <v>71</v>
      </c>
      <c r="D219" s="16" t="s">
        <v>280</v>
      </c>
      <c r="E219" t="s">
        <v>827</v>
      </c>
      <c r="F219" s="19"/>
      <c r="G219" s="16" t="s">
        <v>777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793</v>
      </c>
      <c r="P219" s="16">
        <v>0.6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19" t="s">
        <v>828</v>
      </c>
      <c r="C220" s="6" t="s">
        <v>71</v>
      </c>
      <c r="D220" s="16" t="s">
        <v>280</v>
      </c>
      <c r="E220" t="s">
        <v>829</v>
      </c>
      <c r="F220" s="19"/>
      <c r="G220" s="16" t="s">
        <v>777</v>
      </c>
      <c r="H220" s="16"/>
      <c r="I220" s="16" t="s">
        <v>283</v>
      </c>
      <c r="J220" s="16" t="s">
        <v>448</v>
      </c>
      <c r="K220" s="16"/>
      <c r="L220" s="16">
        <v>0</v>
      </c>
      <c r="M220" s="16">
        <v>0</v>
      </c>
      <c r="N220" s="16"/>
      <c r="O220" s="16" t="s">
        <v>830</v>
      </c>
      <c r="P220" s="16">
        <v>1.05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0.2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19" t="s">
        <v>831</v>
      </c>
      <c r="C221" s="6" t="s">
        <v>71</v>
      </c>
      <c r="D221" s="16" t="s">
        <v>280</v>
      </c>
      <c r="E221" t="s">
        <v>832</v>
      </c>
      <c r="F221" s="19"/>
      <c r="G221" s="16" t="s">
        <v>777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793</v>
      </c>
      <c r="P221" s="16">
        <v>0.4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19" t="s">
        <v>833</v>
      </c>
      <c r="C222" s="6" t="s">
        <v>71</v>
      </c>
      <c r="D222" s="16" t="s">
        <v>280</v>
      </c>
      <c r="E222" t="s">
        <v>834</v>
      </c>
      <c r="F222" s="19"/>
      <c r="G222" s="16" t="s">
        <v>777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793</v>
      </c>
      <c r="P222" s="16">
        <v>0.45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19" t="s">
        <v>835</v>
      </c>
      <c r="C223" s="6" t="s">
        <v>71</v>
      </c>
      <c r="D223" s="16" t="s">
        <v>280</v>
      </c>
      <c r="E223" t="s">
        <v>836</v>
      </c>
      <c r="F223" s="19"/>
      <c r="G223" s="16" t="s">
        <v>777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793</v>
      </c>
      <c r="P223" s="16">
        <v>0.5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19" t="s">
        <v>837</v>
      </c>
      <c r="C224" s="6" t="s">
        <v>71</v>
      </c>
      <c r="D224" s="16" t="s">
        <v>280</v>
      </c>
      <c r="E224" t="s">
        <v>838</v>
      </c>
      <c r="F224" s="19"/>
      <c r="G224" s="16" t="s">
        <v>777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793</v>
      </c>
      <c r="P224" s="16">
        <v>0.55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400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19" t="s">
        <v>839</v>
      </c>
      <c r="C225" s="6" t="s">
        <v>71</v>
      </c>
      <c r="D225" s="16" t="s">
        <v>280</v>
      </c>
      <c r="E225" t="s">
        <v>840</v>
      </c>
      <c r="F225" s="19"/>
      <c r="G225" s="16" t="s">
        <v>777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793</v>
      </c>
      <c r="P225" s="16">
        <v>0.6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19" t="s">
        <v>841</v>
      </c>
      <c r="C226" s="6" t="s">
        <v>71</v>
      </c>
      <c r="D226" s="16" t="s">
        <v>280</v>
      </c>
      <c r="E226" t="s">
        <v>842</v>
      </c>
      <c r="F226" s="19"/>
      <c r="G226" s="16" t="s">
        <v>777</v>
      </c>
      <c r="H226" s="16"/>
      <c r="I226" s="16" t="s">
        <v>283</v>
      </c>
      <c r="J226" s="16" t="s">
        <v>448</v>
      </c>
      <c r="K226" s="16"/>
      <c r="L226" s="16">
        <v>0</v>
      </c>
      <c r="M226" s="16">
        <v>0</v>
      </c>
      <c r="N226" s="16"/>
      <c r="O226" s="16" t="s">
        <v>843</v>
      </c>
      <c r="P226" s="16">
        <v>1.1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0.2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72">
      <c r="B227" s="32" t="s">
        <v>844</v>
      </c>
      <c r="C227" s="6" t="s">
        <v>71</v>
      </c>
      <c r="D227" s="16" t="s">
        <v>280</v>
      </c>
      <c r="E227" t="s">
        <v>845</v>
      </c>
      <c r="F227" s="19"/>
      <c r="G227" s="16" t="s">
        <v>777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345</v>
      </c>
      <c r="P227" s="16">
        <v>0.5</v>
      </c>
      <c r="Q227" s="16"/>
      <c r="R227" s="16"/>
      <c r="S227" s="16"/>
      <c r="T227" s="16"/>
      <c r="U227" s="16">
        <v>0.5</v>
      </c>
      <c r="V227" s="16">
        <v>2</v>
      </c>
      <c r="W227" s="16" t="s">
        <v>150</v>
      </c>
      <c r="X227" s="16">
        <v>300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1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2</v>
      </c>
      <c r="BJ227" s="16"/>
      <c r="BK227" s="16"/>
      <c r="BL227" s="16"/>
      <c r="BM227" s="16"/>
      <c r="BN227" s="16"/>
      <c r="BO227" s="16"/>
      <c r="BP227" s="16"/>
      <c r="BQ227" s="6">
        <v>0</v>
      </c>
      <c r="BT227" s="6" t="s">
        <v>579</v>
      </c>
    </row>
    <row r="228" s="6" customFormat="1" spans="2:72">
      <c r="B228" t="s">
        <v>846</v>
      </c>
      <c r="C228" s="6" t="s">
        <v>71</v>
      </c>
      <c r="D228" s="16" t="s">
        <v>280</v>
      </c>
      <c r="E228" t="s">
        <v>847</v>
      </c>
      <c r="F228" s="19"/>
      <c r="G228" s="16" t="s">
        <v>777</v>
      </c>
      <c r="H228" s="16"/>
      <c r="I228" s="16" t="s">
        <v>283</v>
      </c>
      <c r="J228" s="16" t="s">
        <v>359</v>
      </c>
      <c r="K228" s="16"/>
      <c r="L228" s="16">
        <v>0</v>
      </c>
      <c r="M228" s="16">
        <v>0</v>
      </c>
      <c r="N228" s="16"/>
      <c r="O228" s="16" t="s">
        <v>848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350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0.8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5</v>
      </c>
      <c r="BJ228" s="16"/>
      <c r="BK228" s="16"/>
      <c r="BL228" s="16"/>
      <c r="BM228" s="16"/>
      <c r="BN228" s="16"/>
      <c r="BO228" s="16"/>
      <c r="BP228" s="16"/>
      <c r="BQ228" s="6">
        <v>0</v>
      </c>
      <c r="BT228" s="6" t="s">
        <v>579</v>
      </c>
    </row>
    <row r="229" s="6" customFormat="1" spans="2:72">
      <c r="B229" s="4" t="s">
        <v>849</v>
      </c>
      <c r="C229" s="6" t="s">
        <v>71</v>
      </c>
      <c r="D229" s="16" t="s">
        <v>280</v>
      </c>
      <c r="E229" s="4" t="s">
        <v>850</v>
      </c>
      <c r="F229" s="19"/>
      <c r="G229" s="16" t="s">
        <v>851</v>
      </c>
      <c r="H229" s="16"/>
      <c r="I229" s="16" t="s">
        <v>283</v>
      </c>
      <c r="J229" s="16" t="s">
        <v>448</v>
      </c>
      <c r="K229" s="16"/>
      <c r="L229" s="16">
        <v>0</v>
      </c>
      <c r="M229" s="16">
        <v>0</v>
      </c>
      <c r="N229" s="16"/>
      <c r="O229" s="4" t="s">
        <v>852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350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0.8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  <c r="BT229" s="6" t="s">
        <v>579</v>
      </c>
    </row>
    <row r="230" s="5" customFormat="1" spans="2:73">
      <c r="B230" s="10"/>
      <c r="D230" s="10"/>
      <c r="E230" s="33"/>
      <c r="F230" s="33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34"/>
      <c r="BK230" s="34"/>
      <c r="BL230" s="34"/>
      <c r="BM230" s="34"/>
      <c r="BN230" s="34"/>
      <c r="BO230" s="34"/>
      <c r="BP230" s="35"/>
      <c r="BQ230" s="6"/>
      <c r="BR230" s="6"/>
      <c r="BS230" s="6"/>
      <c r="BT230" s="6"/>
      <c r="BU230" s="6"/>
    </row>
    <row r="231" s="5" customFormat="1" spans="2:73">
      <c r="B231" s="10"/>
      <c r="D231" s="10"/>
      <c r="E231" s="33"/>
      <c r="F231" s="33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34"/>
      <c r="BK231" s="34"/>
      <c r="BL231" s="34"/>
      <c r="BM231" s="34"/>
      <c r="BN231" s="34"/>
      <c r="BO231" s="34"/>
      <c r="BP231" s="35"/>
      <c r="BQ231" s="6"/>
      <c r="BR231" s="6"/>
      <c r="BS231" s="6"/>
      <c r="BT231" s="6"/>
      <c r="BU231" s="6"/>
    </row>
    <row r="232" s="5" customFormat="1" spans="2:73">
      <c r="B232" s="10"/>
      <c r="D232" s="10"/>
      <c r="E232" s="33"/>
      <c r="F232" s="33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34"/>
      <c r="BK232" s="34"/>
      <c r="BL232" s="34"/>
      <c r="BM232" s="34"/>
      <c r="BN232" s="34"/>
      <c r="BO232" s="34"/>
      <c r="BP232" s="35"/>
      <c r="BQ232" s="6"/>
      <c r="BR232" s="6"/>
      <c r="BS232" s="6"/>
      <c r="BT232" s="6"/>
      <c r="BU232" s="6"/>
    </row>
    <row r="233" s="5" customFormat="1" spans="2:73">
      <c r="B233" s="10"/>
      <c r="D233" s="10"/>
      <c r="E233" s="33"/>
      <c r="F233" s="33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34"/>
      <c r="BK233" s="34"/>
      <c r="BL233" s="34"/>
      <c r="BM233" s="34"/>
      <c r="BN233" s="34"/>
      <c r="BO233" s="34"/>
      <c r="BP233" s="35"/>
      <c r="BQ233" s="6"/>
      <c r="BR233" s="6"/>
      <c r="BS233" s="6"/>
      <c r="BT233" s="6"/>
      <c r="BU233" s="6"/>
    </row>
    <row r="234" s="5" customFormat="1" spans="2:73">
      <c r="B234" s="10"/>
      <c r="D234" s="10"/>
      <c r="E234" s="33"/>
      <c r="F234" s="33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34"/>
      <c r="BK234" s="34"/>
      <c r="BL234" s="34"/>
      <c r="BM234" s="34"/>
      <c r="BN234" s="34"/>
      <c r="BO234" s="34"/>
      <c r="BP234" s="35"/>
      <c r="BQ234" s="6"/>
      <c r="BR234" s="6"/>
      <c r="BS234" s="6"/>
      <c r="BT234" s="6"/>
      <c r="BU234" s="6"/>
    </row>
    <row r="235" s="5" customFormat="1" spans="2:73">
      <c r="B235" s="10"/>
      <c r="D235" s="10"/>
      <c r="E235" s="33"/>
      <c r="F235" s="33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34"/>
      <c r="BK235" s="34"/>
      <c r="BL235" s="34"/>
      <c r="BM235" s="34"/>
      <c r="BN235" s="34"/>
      <c r="BO235" s="34"/>
      <c r="BP235" s="35"/>
      <c r="BQ235" s="6"/>
      <c r="BR235" s="6"/>
      <c r="BS235" s="6"/>
      <c r="BT235" s="6"/>
      <c r="BU235" s="6"/>
    </row>
    <row r="236" s="5" customFormat="1" spans="2:73">
      <c r="B236" s="10"/>
      <c r="D236" s="10"/>
      <c r="E236" s="33"/>
      <c r="F236" s="33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34"/>
      <c r="BK236" s="34"/>
      <c r="BL236" s="34"/>
      <c r="BM236" s="34"/>
      <c r="BN236" s="34"/>
      <c r="BO236" s="34"/>
      <c r="BP236" s="35"/>
      <c r="BQ236" s="6"/>
      <c r="BR236" s="6"/>
      <c r="BS236" s="6"/>
      <c r="BT236" s="6"/>
      <c r="BU236" s="6"/>
    </row>
    <row r="237" s="5" customFormat="1" spans="2:73">
      <c r="B237" s="10"/>
      <c r="D237" s="10"/>
      <c r="E237" s="33"/>
      <c r="F237" s="33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34"/>
      <c r="BK237" s="34"/>
      <c r="BL237" s="34"/>
      <c r="BM237" s="34"/>
      <c r="BN237" s="34"/>
      <c r="BO237" s="34"/>
      <c r="BP237" s="35"/>
      <c r="BQ237" s="6"/>
      <c r="BR237" s="6"/>
      <c r="BS237" s="6"/>
      <c r="BT237" s="6"/>
      <c r="BU237" s="6"/>
    </row>
    <row r="238" s="5" customFormat="1" spans="2:73">
      <c r="B238" s="10"/>
      <c r="D238" s="10"/>
      <c r="E238" s="33"/>
      <c r="F238" s="33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34"/>
      <c r="BK238" s="34"/>
      <c r="BL238" s="34"/>
      <c r="BM238" s="34"/>
      <c r="BN238" s="34"/>
      <c r="BO238" s="34"/>
      <c r="BP238" s="35"/>
      <c r="BQ238" s="6"/>
      <c r="BR238" s="6"/>
      <c r="BS238" s="6"/>
      <c r="BT238" s="6"/>
      <c r="BU238" s="6"/>
    </row>
    <row r="239" s="5" customFormat="1" spans="2:73">
      <c r="B239" s="10"/>
      <c r="D239" s="10"/>
      <c r="E239" s="33"/>
      <c r="F239" s="33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34"/>
      <c r="BK239" s="34"/>
      <c r="BL239" s="34"/>
      <c r="BM239" s="34"/>
      <c r="BN239" s="34"/>
      <c r="BO239" s="34"/>
      <c r="BP239" s="35"/>
      <c r="BQ239" s="6"/>
      <c r="BR239" s="6"/>
      <c r="BS239" s="6"/>
      <c r="BT239" s="6"/>
      <c r="BU239" s="6"/>
    </row>
    <row r="240" s="5" customFormat="1" spans="2:73">
      <c r="B240" s="10"/>
      <c r="D240" s="10"/>
      <c r="E240" s="33"/>
      <c r="F240" s="33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34"/>
      <c r="BK240" s="34"/>
      <c r="BL240" s="34"/>
      <c r="BM240" s="34"/>
      <c r="BN240" s="34"/>
      <c r="BO240" s="34"/>
      <c r="BP240" s="35"/>
      <c r="BQ240" s="6"/>
      <c r="BR240" s="6"/>
      <c r="BS240" s="6"/>
      <c r="BT240" s="6"/>
      <c r="BU240" s="6"/>
    </row>
    <row r="241" s="5" customFormat="1" spans="2:73">
      <c r="B241" s="10"/>
      <c r="D241" s="10"/>
      <c r="E241" s="33"/>
      <c r="F241" s="33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34"/>
      <c r="BK241" s="34"/>
      <c r="BL241" s="34"/>
      <c r="BM241" s="34"/>
      <c r="BN241" s="34"/>
      <c r="BO241" s="34"/>
      <c r="BP241" s="35"/>
      <c r="BQ241" s="6"/>
      <c r="BR241" s="6"/>
      <c r="BS241" s="6"/>
      <c r="BT241" s="6"/>
      <c r="BU241" s="6"/>
    </row>
    <row r="242" s="5" customFormat="1" spans="2:73">
      <c r="B242" s="10"/>
      <c r="D242" s="10"/>
      <c r="E242" s="33"/>
      <c r="F242" s="33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34"/>
      <c r="BK242" s="34"/>
      <c r="BL242" s="34"/>
      <c r="BM242" s="34"/>
      <c r="BN242" s="34"/>
      <c r="BO242" s="34"/>
      <c r="BP242" s="35"/>
      <c r="BQ242" s="6"/>
      <c r="BR242" s="6"/>
      <c r="BS242" s="6"/>
      <c r="BT242" s="6"/>
      <c r="BU242" s="6"/>
    </row>
    <row r="243" s="5" customFormat="1" spans="2:73">
      <c r="B243" s="10"/>
      <c r="D243" s="10"/>
      <c r="E243" s="33"/>
      <c r="F243" s="33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34"/>
      <c r="BK243" s="34"/>
      <c r="BL243" s="34"/>
      <c r="BM243" s="34"/>
      <c r="BN243" s="34"/>
      <c r="BO243" s="34"/>
      <c r="BP243" s="35"/>
      <c r="BQ243" s="6"/>
      <c r="BR243" s="6"/>
      <c r="BS243" s="6"/>
      <c r="BT243" s="6"/>
      <c r="BU243" s="6"/>
    </row>
    <row r="244" s="5" customFormat="1" spans="2:73">
      <c r="B244" s="10"/>
      <c r="D244" s="10"/>
      <c r="E244" s="33"/>
      <c r="F244" s="33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34"/>
      <c r="BK244" s="34"/>
      <c r="BL244" s="34"/>
      <c r="BM244" s="34"/>
      <c r="BN244" s="34"/>
      <c r="BO244" s="34"/>
      <c r="BP244" s="35"/>
      <c r="BQ244" s="6"/>
      <c r="BR244" s="6"/>
      <c r="BS244" s="6"/>
      <c r="BT244" s="6"/>
      <c r="BU244" s="6"/>
    </row>
    <row r="245" s="5" customFormat="1" spans="2:73">
      <c r="B245" s="10"/>
      <c r="D245" s="10"/>
      <c r="E245" s="33"/>
      <c r="F245" s="33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34"/>
      <c r="BK245" s="34"/>
      <c r="BL245" s="34"/>
      <c r="BM245" s="34"/>
      <c r="BN245" s="34"/>
      <c r="BO245" s="34"/>
      <c r="BP245" s="35"/>
      <c r="BQ245" s="6"/>
      <c r="BR245" s="6"/>
      <c r="BS245" s="6"/>
      <c r="BT245" s="6"/>
      <c r="BU245" s="6"/>
    </row>
    <row r="246" s="5" customFormat="1" spans="2:73">
      <c r="B246" s="10"/>
      <c r="D246" s="10"/>
      <c r="E246" s="33"/>
      <c r="F246" s="33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4"/>
      <c r="BK246" s="34"/>
      <c r="BL246" s="34"/>
      <c r="BM246" s="34"/>
      <c r="BN246" s="34"/>
      <c r="BO246" s="34"/>
      <c r="BP246" s="35"/>
      <c r="BQ246" s="6"/>
      <c r="BR246" s="6"/>
      <c r="BS246" s="6"/>
      <c r="BT246" s="6"/>
      <c r="BU246" s="6"/>
    </row>
    <row r="247" s="5" customFormat="1" spans="2:73">
      <c r="B247" s="10"/>
      <c r="D247" s="10"/>
      <c r="E247" s="33"/>
      <c r="F247" s="33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4"/>
      <c r="BK247" s="34"/>
      <c r="BL247" s="34"/>
      <c r="BM247" s="34"/>
      <c r="BN247" s="34"/>
      <c r="BO247" s="34"/>
      <c r="BP247" s="35"/>
      <c r="BQ247" s="6"/>
      <c r="BR247" s="6"/>
      <c r="BS247" s="6"/>
      <c r="BT247" s="6"/>
      <c r="BU247" s="6"/>
    </row>
  </sheetData>
  <autoFilter ref="A1:BU229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136525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853</v>
      </c>
      <c r="B1" s="4" t="s">
        <v>854</v>
      </c>
      <c r="C1" s="4" t="s">
        <v>855</v>
      </c>
      <c r="D1" s="4" t="s">
        <v>856</v>
      </c>
      <c r="E1" s="4" t="s">
        <v>857</v>
      </c>
    </row>
    <row r="2" spans="1:5">
      <c r="A2">
        <v>1</v>
      </c>
      <c r="B2" s="2" t="s">
        <v>858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859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860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861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862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863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864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865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866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867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868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869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870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871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872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873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874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875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876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877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878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879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880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881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882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883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884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885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886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887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888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889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890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891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892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893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894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895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896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897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898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899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900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901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902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903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904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905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906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907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908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909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910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911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912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913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914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915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916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917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918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919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920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921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922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923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924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925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926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927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928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929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930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931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932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933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934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935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936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937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938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939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940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941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942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943</v>
      </c>
      <c r="C2" s="1" t="s">
        <v>71</v>
      </c>
      <c r="D2" s="3" t="s">
        <v>280</v>
      </c>
      <c r="E2" s="2" t="s">
        <v>944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945</v>
      </c>
      <c r="N2" s="2" t="s">
        <v>946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947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948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949</v>
      </c>
      <c r="C3" s="1" t="s">
        <v>71</v>
      </c>
      <c r="D3" s="3" t="s">
        <v>280</v>
      </c>
      <c r="E3" s="2" t="s">
        <v>950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951</v>
      </c>
      <c r="N3" s="2" t="s">
        <v>952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947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948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2020-01-21T12:18:52Z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