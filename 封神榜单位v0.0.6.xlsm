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841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P000!$A$1:$BU$229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202" i="1"/>
  <c r="P201"/>
  <c r="P200"/>
  <c r="P199"/>
  <c r="P198"/>
  <c r="P197"/>
  <c r="P196"/>
  <c r="P195"/>
  <c r="P194"/>
  <c r="P193"/>
  <c r="P192"/>
  <c r="P191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A2"/>
</calcChain>
</file>

<file path=xl/sharedStrings.xml><?xml version="1.0" encoding="utf-8"?>
<sst xmlns="http://schemas.openxmlformats.org/spreadsheetml/2006/main" count="3576" uniqueCount="953">
  <si>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</si>
  <si>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</si>
  <si>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</si>
  <si>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</si>
  <si>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</si>
  <si>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</si>
  <si>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</si>
  <si>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</si>
  <si>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</si>
  <si>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</si>
  <si>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</si>
  <si>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</si>
  <si>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</si>
  <si>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</si>
  <si>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</si>
  <si>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</si>
  <si>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</si>
  <si>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</si>
  <si>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</si>
  <si>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</si>
  <si>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</si>
  <si>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</si>
  <si>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</si>
  <si>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</si>
  <si>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</si>
  <si>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</si>
  <si>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</si>
  <si>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</si>
  <si>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</si>
  <si>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</si>
  <si>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</si>
  <si>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</si>
  <si>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</si>
  <si>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</si>
  <si>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</si>
  <si>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</si>
  <si>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</si>
  <si>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</si>
  <si>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</si>
  <si>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</si>
  <si>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</si>
  <si>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</si>
  <si>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</si>
  <si>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</si>
  <si>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</si>
  <si>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</si>
  <si>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</si>
  <si>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</si>
  <si>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</si>
  <si>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</si>
  <si>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</si>
  <si>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</si>
  <si>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</si>
  <si>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</si>
  <si>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</si>
  <si>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</si>
  <si>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</si>
  <si>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</si>
  <si>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</si>
  <si>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</si>
  <si>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</si>
  <si>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</si>
  <si>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</si>
  <si>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</si>
  <si>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</si>
  <si>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</si>
  <si>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</si>
  <si>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</si>
  <si>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</si>
  <si>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</si>
  <si>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</si>
  <si>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</si>
  <si>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</si>
  <si>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</si>
  <si>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</si>
  <si>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</si>
  <si>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</si>
  <si>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</si>
  <si>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</si>
  <si>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</si>
  <si>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</si>
  <si>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</si>
  <si>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</si>
  <si>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</si>
  <si>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</si>
  <si>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</si>
  <si>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</si>
  <si>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</si>
  <si>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</si>
  <si>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</si>
  <si>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</si>
  <si>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</si>
  <si>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</si>
  <si>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</si>
  <si>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</si>
  <si>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</si>
  <si>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</si>
  <si>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</si>
  <si>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</si>
  <si>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</si>
  <si>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</si>
  <si>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</si>
  <si>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</si>
  <si>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</si>
  <si>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</si>
  <si>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</si>
  <si>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</si>
  <si>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</si>
  <si>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</si>
  <si>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</si>
  <si>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</si>
  <si>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</si>
  <si>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</si>
  <si>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</si>
  <si>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</si>
  <si>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</si>
  <si>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</si>
  <si>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</si>
  <si>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</si>
  <si>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</si>
  <si>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</si>
  <si>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</si>
  <si>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</si>
  <si>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</si>
  <si>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</si>
  <si>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</si>
  <si>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</si>
  <si>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</si>
  <si>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</si>
  <si>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</si>
  <si>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</si>
  <si>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</si>
  <si>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</si>
  <si>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</si>
  <si>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</si>
  <si>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</si>
  <si>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</si>
  <si>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</si>
  <si>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</si>
  <si>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</si>
  <si>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</si>
  <si>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</si>
  <si>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</si>
  <si>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</si>
  <si>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</si>
  <si>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</si>
  <si>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</si>
  <si>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</si>
  <si>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</si>
  <si>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</si>
  <si>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</si>
  <si>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</si>
  <si>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</si>
  <si>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</si>
  <si>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</si>
  <si>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</si>
  <si>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</si>
  <si>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</si>
  <si>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</si>
  <si>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</si>
  <si>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</si>
  <si>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</si>
  <si>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</si>
  <si>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</si>
  <si>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</si>
  <si>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</si>
  <si>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</si>
  <si>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</si>
  <si>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</si>
  <si>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</si>
  <si>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</si>
  <si>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</si>
  <si>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</si>
  <si>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</si>
  <si>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</si>
  <si>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</si>
  <si>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</si>
  <si>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</si>
  <si>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</si>
  <si>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</si>
  <si>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</si>
  <si>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</si>
  <si>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</si>
  <si>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</si>
  <si>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</si>
  <si>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</si>
  <si>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</si>
  <si>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</si>
  <si>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</si>
  <si>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</si>
  <si>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</si>
  <si>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</si>
  <si>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</si>
  <si>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</si>
  <si>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</si>
  <si>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</si>
  <si>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</si>
  <si>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</si>
  <si>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</si>
  <si>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</si>
  <si>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</si>
  <si>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</si>
  <si>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</si>
  <si>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</si>
  <si>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</si>
  <si>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</si>
  <si>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</si>
  <si>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</si>
  <si>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</si>
  <si>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</si>
  <si>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</si>
  <si>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</si>
  <si>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</si>
  <si>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</si>
  <si>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</si>
  <si>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</si>
  <si>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</si>
  <si>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</si>
  <si>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</si>
  <si>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</si>
  <si>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</si>
  <si>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</si>
  <si>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</si>
  <si>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</si>
  <si>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</si>
  <si>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</si>
  <si>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</si>
  <si>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</si>
  <si>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</si>
  <si>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</si>
  <si>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</si>
  <si>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</si>
  <si>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</si>
  <si>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</si>
  <si>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</si>
  <si>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</si>
  <si>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</si>
  <si>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</si>
  <si>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</si>
  <si>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</si>
  <si>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</si>
  <si>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</si>
  <si>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</si>
  <si>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</si>
  <si>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</si>
  <si>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</si>
  <si>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</si>
  <si>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</si>
  <si>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</si>
  <si>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</si>
  <si>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</si>
  <si>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</si>
  <si>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</si>
  <si>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</si>
  <si>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</si>
  <si>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</si>
  <si>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</si>
  <si>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</si>
  <si>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</si>
  <si>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</si>
  <si>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</si>
  <si>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</si>
  <si>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</si>
  <si>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</si>
  <si>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</si>
  <si>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</si>
  <si>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</si>
  <si>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</si>
  <si>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</si>
  <si>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</si>
  <si>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</si>
  <si>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</si>
  <si>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</si>
  <si>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</si>
  <si>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</si>
  <si>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</si>
  <si>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</si>
  <si>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</si>
  <si>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</si>
  <si>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</si>
  <si>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</si>
  <si>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</si>
  <si>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</si>
  <si>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</si>
  <si>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</si>
  <si>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</si>
  <si>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</si>
  <si>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</si>
  <si>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</si>
  <si>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</si>
  <si>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</si>
  <si>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</si>
  <si>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</si>
  <si>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</si>
  <si>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</si>
  <si>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</si>
  <si>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</si>
  <si>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</si>
  <si>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</si>
  <si>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</si>
  <si>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</si>
  <si>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</si>
  <si>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</si>
  <si>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</si>
  <si>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</si>
  <si>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</si>
  <si>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</si>
  <si>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</si>
  <si>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</si>
  <si>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</si>
  <si>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</si>
  <si>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</si>
  <si>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</si>
  <si>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</si>
  <si>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</si>
  <si>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</si>
  <si>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</si>
  <si>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</si>
  <si>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</si>
  <si>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</si>
  <si>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</si>
  <si>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</si>
  <si>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</si>
  <si>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</si>
  <si>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</si>
  <si>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</si>
  <si>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</si>
  <si>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</si>
  <si>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</si>
  <si>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</si>
  <si>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</si>
  <si>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</si>
  <si>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</si>
  <si>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</si>
  <si>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</si>
  <si>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</si>
  <si>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</si>
  <si>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</si>
  <si>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</si>
  <si>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</si>
  <si>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</si>
  <si>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</si>
  <si>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</si>
  <si>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</si>
  <si>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</si>
  <si>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</si>
  <si>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</si>
  <si>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</si>
  <si>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</si>
  <si>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</si>
  <si>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</si>
  <si>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</si>
  <si>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</si>
  <si>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</si>
  <si>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</si>
  <si>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</si>
  <si>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</si>
  <si>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</si>
  <si>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</si>
  <si>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</si>
  <si>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</si>
  <si>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</si>
  <si>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</si>
  <si>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</si>
  <si>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</si>
  <si>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</si>
  <si>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</si>
  <si>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</si>
  <si>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</si>
  <si>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</si>
  <si>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</si>
  <si>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</si>
  <si>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</si>
  <si>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</si>
  <si>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</si>
  <si>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</si>
  <si>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</si>
  <si>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</si>
  <si>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</si>
  <si>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</si>
  <si>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</si>
  <si>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</si>
  <si>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</si>
  <si>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</si>
  <si>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</si>
  <si>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</si>
  <si>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</si>
  <si>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</si>
  <si>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</si>
  <si>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</si>
  <si>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</si>
  <si>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</si>
  <si>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</si>
  <si>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</si>
  <si>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</si>
  <si>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</si>
  <si>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</si>
  <si>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</si>
  <si>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</si>
  <si>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</si>
  <si>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</si>
  <si>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</si>
  <si>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</si>
  <si>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</si>
  <si>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</si>
  <si>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</si>
  <si>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</si>
  <si>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</si>
  <si>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</si>
  <si>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</si>
  <si>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</si>
  <si>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</si>
  <si>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</si>
  <si>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</si>
  <si>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</si>
  <si>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</si>
  <si>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</si>
  <si>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</si>
  <si>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</si>
  <si>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</si>
  <si>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</si>
  <si>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</si>
  <si>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</si>
  <si>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</si>
  <si>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</si>
  <si>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</si>
  <si>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</si>
  <si>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</si>
  <si>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</si>
  <si>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</si>
  <si>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</si>
  <si>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</si>
  <si>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</si>
  <si>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</si>
  <si>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</si>
  <si>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</si>
  <si>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</si>
  <si>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</si>
  <si>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</si>
  <si>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</si>
  <si>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</si>
  <si>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</si>
  <si>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</si>
  <si>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</si>
  <si>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</si>
  <si>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</si>
  <si>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</si>
  <si>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</si>
  <si>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</si>
  <si>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</si>
  <si>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</si>
  <si>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</si>
  <si>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</si>
  <si>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</si>
  <si>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</si>
  <si>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</si>
  <si>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</si>
  <si>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</si>
  <si>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</si>
  <si>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</si>
  <si>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</si>
  <si>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</si>
  <si>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</si>
  <si>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</si>
  <si>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</si>
  <si>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</si>
  <si>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</si>
  <si>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</si>
  <si>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</si>
  <si>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</si>
  <si>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</si>
  <si>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</si>
  <si>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</si>
  <si>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</si>
  <si>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</si>
  <si>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</si>
  <si>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</si>
  <si>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</si>
  <si>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</si>
  <si>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</si>
  <si>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</si>
  <si>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</si>
  <si>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</si>
  <si>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低级道果</t>
  </si>
  <si>
    <t>moster_JJ_1.mdl</t>
  </si>
  <si>
    <t>uJ10</t>
  </si>
  <si>
    <t>中级道果</t>
  </si>
  <si>
    <t>AZ2B,AZ91</t>
  </si>
  <si>
    <t>moster_JJ_2.mdl</t>
  </si>
  <si>
    <t>AZ2B</t>
  </si>
  <si>
    <t>uJ20</t>
  </si>
  <si>
    <t>高级道果</t>
  </si>
  <si>
    <t>AZ2C,AZ91</t>
  </si>
  <si>
    <t>moster_JJ_3.mdl</t>
  </si>
  <si>
    <t>AZ2C</t>
  </si>
  <si>
    <t>uJ30</t>
  </si>
  <si>
    <t>黄级道果</t>
  </si>
  <si>
    <t>AZ2D,AZ91</t>
  </si>
  <si>
    <t>moster_JJ_4.mdl</t>
  </si>
  <si>
    <t>AZ2D</t>
  </si>
  <si>
    <t>uJ40</t>
  </si>
  <si>
    <t>玄级道果</t>
  </si>
  <si>
    <t>AZ2E,AZ92</t>
  </si>
  <si>
    <t>Deathwingking.mdl</t>
  </si>
  <si>
    <t>AZ2E</t>
  </si>
  <si>
    <t>uJ50</t>
  </si>
  <si>
    <t>地级道果</t>
  </si>
  <si>
    <t>moster_JJ_6.mdl</t>
  </si>
  <si>
    <t>uJ60</t>
  </si>
  <si>
    <t>天级道果</t>
  </si>
  <si>
    <t>moster_JJ_7.mdl</t>
  </si>
  <si>
    <t>uJ70</t>
  </si>
  <si>
    <t>仙品道果</t>
  </si>
  <si>
    <t>AZ2H,AZ92</t>
  </si>
  <si>
    <t>moster_JJ_8_1.mdl</t>
  </si>
  <si>
    <t>AZ2H</t>
  </si>
  <si>
    <t>uJ80</t>
  </si>
  <si>
    <t>至圣道果</t>
  </si>
  <si>
    <t>AZ2I,AZ92</t>
  </si>
  <si>
    <t>AZ2I</t>
  </si>
  <si>
    <t>uJ90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</si>
  <si>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</si>
  <si>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</si>
  <si>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</si>
  <si>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</si>
  <si>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</si>
  <si>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</si>
  <si>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</si>
  <si>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</si>
  <si>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</si>
  <si>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</si>
  <si>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</si>
  <si>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</si>
  <si>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</si>
  <si>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</si>
  <si>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</si>
  <si>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</t>
  </si>
  <si>
    <t>moster_atkup.mdl</t>
  </si>
  <si>
    <t>uE02</t>
  </si>
  <si>
    <t>uE03</t>
  </si>
  <si>
    <t>uE04</t>
  </si>
  <si>
    <t>uE11</t>
  </si>
  <si>
    <t>法器</t>
  </si>
  <si>
    <t>moster_macup.mdl</t>
  </si>
  <si>
    <t>uE12</t>
  </si>
  <si>
    <t>uE13</t>
  </si>
  <si>
    <t>uE14</t>
  </si>
  <si>
    <t>uE21</t>
  </si>
  <si>
    <t>护甲</t>
  </si>
  <si>
    <t>moster_defup.mdl</t>
  </si>
  <si>
    <t>uE22</t>
  </si>
  <si>
    <t>uE23</t>
  </si>
  <si>
    <t>uE24</t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</si>
  <si>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</si>
  <si>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</si>
  <si>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</si>
  <si>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</si>
  <si>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</si>
  <si>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</si>
  <si>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</si>
  <si>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</si>
  <si>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</si>
  <si>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</si>
  <si>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</si>
  <si>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</si>
  <si>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</si>
  <si>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</si>
  <si>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</si>
  <si>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</si>
  <si>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</si>
  <si>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</si>
  <si>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</si>
  <si>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</si>
  <si>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</si>
  <si>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</si>
  <si>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</si>
  <si>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</si>
  <si>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</si>
  <si>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</si>
  <si>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</si>
  <si>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</si>
  <si>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</si>
  <si>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</si>
  <si>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</si>
  <si>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</si>
  <si>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</si>
  <si>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</si>
  <si>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</si>
  <si>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</si>
  <si>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</si>
  <si>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</si>
  <si>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</si>
  <si>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</si>
  <si>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</si>
  <si>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</si>
  <si>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</si>
  <si>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</si>
  <si>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</si>
  <si>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</si>
  <si>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</si>
  <si>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</si>
  <si>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</si>
  <si>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</si>
  <si>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</si>
  <si>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</si>
  <si>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</si>
  <si>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</si>
  <si>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</si>
  <si>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</si>
  <si>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</si>
  <si>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</si>
  <si>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</si>
  <si>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</si>
  <si>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</si>
  <si>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</si>
  <si>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</si>
  <si>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</si>
  <si>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</si>
  <si>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</si>
  <si>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</si>
  <si>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</si>
  <si>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</si>
  <si>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</si>
  <si>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</si>
  <si>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</si>
  <si>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</si>
  <si>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</si>
  <si>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</si>
  <si>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</si>
  <si>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</si>
  <si>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</si>
  <si>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</si>
  <si>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</si>
  <si>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</si>
  <si>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</si>
  <si>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</si>
  <si>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</si>
  <si>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</si>
  <si>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</si>
  <si>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</si>
  <si>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</si>
  <si>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</si>
  <si>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</si>
  <si>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</si>
  <si>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</si>
  <si>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</si>
  <si>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</si>
  <si>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</si>
  <si>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</si>
  <si>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</si>
  <si>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</si>
  <si>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</si>
  <si>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</si>
  <si>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</si>
  <si>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</si>
  <si>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</si>
  <si>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</si>
  <si>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</si>
  <si>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</si>
  <si>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</si>
  <si>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</si>
  <si>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</si>
  <si>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</si>
  <si>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</si>
  <si>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</si>
  <si>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</si>
  <si>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</si>
  <si>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</si>
  <si>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</si>
  <si>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</si>
  <si>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</si>
  <si>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</si>
  <si>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</si>
  <si>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</si>
  <si>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</si>
  <si>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</si>
  <si>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</si>
  <si>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</si>
  <si>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</si>
  <si>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</si>
  <si>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</si>
  <si>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</si>
  <si>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</si>
  <si>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</si>
  <si>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</si>
  <si>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</si>
  <si>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</si>
  <si>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</si>
  <si>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</si>
  <si>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</si>
  <si>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</si>
  <si>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</si>
  <si>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</si>
  <si>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</si>
  <si>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</si>
  <si>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</si>
  <si>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</si>
  <si>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</si>
  <si>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</si>
  <si>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</si>
  <si>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</si>
  <si>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</si>
  <si>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</si>
  <si>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</si>
  <si>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</si>
  <si>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</si>
  <si>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</si>
  <si>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</si>
  <si>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</si>
  <si>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</si>
  <si>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</si>
  <si>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</si>
  <si>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</si>
  <si>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</si>
  <si>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</si>
  <si>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</si>
  <si>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</si>
  <si>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</si>
  <si>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</si>
  <si>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</si>
  <si>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</si>
  <si>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</si>
  <si>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</si>
  <si>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</si>
  <si>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</si>
  <si>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</si>
  <si>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</si>
  <si>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</si>
  <si>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</si>
  <si>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</si>
  <si>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</si>
  <si>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</si>
  <si>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</si>
  <si>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</si>
  <si>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</si>
  <si>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</si>
  <si>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</si>
  <si>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</si>
  <si>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</si>
  <si>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</si>
  <si>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</si>
  <si>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</si>
  <si>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</si>
  <si>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</si>
  <si>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</si>
  <si>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moster_songbaojinchan</t>
  </si>
  <si>
    <t>u002</t>
  </si>
  <si>
    <t>u003</t>
  </si>
  <si>
    <t>u004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</si>
  <si>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</si>
  <si>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</si>
  <si>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</si>
  <si>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</si>
  <si>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</si>
  <si>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</si>
  <si>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</si>
  <si>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</si>
  <si>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</si>
  <si>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</si>
  <si>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</si>
  <si>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</si>
  <si>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</si>
  <si>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</si>
  <si>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</si>
  <si>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</si>
  <si>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</si>
  <si>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u0DB</t>
  </si>
  <si>
    <t>u0DC</t>
  </si>
  <si>
    <t>u0DD</t>
  </si>
  <si>
    <t>u0DE</t>
  </si>
  <si>
    <t>u0DF</t>
  </si>
  <si>
    <t>Unit_Blood Angel.mdx</t>
  </si>
  <si>
    <t>u0DG</t>
  </si>
  <si>
    <t>u0DH</t>
  </si>
  <si>
    <t>u0DI</t>
  </si>
  <si>
    <t>u0DJ</t>
  </si>
  <si>
    <t>u0DK</t>
  </si>
  <si>
    <t>u0DL</t>
  </si>
  <si>
    <t>Unit_Anguirus.mdx</t>
  </si>
  <si>
    <t>u0DM</t>
  </si>
  <si>
    <t>u0DN</t>
  </si>
  <si>
    <t>u0DO</t>
  </si>
  <si>
    <t>u0DP</t>
  </si>
  <si>
    <t>u0DQ</t>
  </si>
  <si>
    <t>u0DR</t>
  </si>
  <si>
    <t>Unit_baihu.MDX</t>
  </si>
  <si>
    <t>u0DS</t>
  </si>
  <si>
    <t>u0DT</t>
  </si>
  <si>
    <t>u0DU</t>
  </si>
  <si>
    <t>u0DV</t>
  </si>
  <si>
    <t>u0DW</t>
  </si>
  <si>
    <t>u0DX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</si>
  <si>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</si>
  <si>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</si>
  <si>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</si>
  <si>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</si>
  <si>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</si>
  <si>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</si>
  <si>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</si>
  <si>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</si>
  <si>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</si>
  <si>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</si>
  <si>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</si>
  <si>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</si>
  <si>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</si>
  <si>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</si>
  <si>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</si>
  <si>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</si>
  <si>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</si>
  <si>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</si>
  <si>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</si>
  <si>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</si>
  <si>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</si>
  <si>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</si>
  <si>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</si>
  <si>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</si>
  <si>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</si>
  <si>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</si>
  <si>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</si>
  <si>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</si>
  <si>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</si>
  <si>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</si>
  <si>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</si>
  <si>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</si>
  <si>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</si>
  <si>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</si>
  <si>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</si>
  <si>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</si>
  <si>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</si>
  <si>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</si>
  <si>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</si>
  <si>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</si>
  <si>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</si>
  <si>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</si>
  <si>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</si>
  <si>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</si>
  <si>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</si>
  <si>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</si>
  <si>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</si>
  <si>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</si>
  <si>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</si>
  <si>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</si>
  <si>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</si>
  <si>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</si>
  <si>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</si>
  <si>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</si>
  <si>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</si>
  <si>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</si>
  <si>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</si>
  <si>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</si>
  <si>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</si>
  <si>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</si>
  <si>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</si>
  <si>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</si>
  <si>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</si>
  <si>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</si>
  <si>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</si>
  <si>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</si>
  <si>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</si>
  <si>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</si>
  <si>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</si>
  <si>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</si>
  <si>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</si>
  <si>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</si>
  <si>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</si>
  <si>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</si>
  <si>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</si>
  <si>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</si>
  <si>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</si>
  <si>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</si>
  <si>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</si>
  <si>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</si>
  <si>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</si>
  <si>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</si>
  <si>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</si>
  <si>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</si>
  <si>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</si>
  <si>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</si>
  <si>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</si>
  <si>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</si>
  <si>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</si>
  <si>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</si>
  <si>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</si>
  <si>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</si>
  <si>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</si>
  <si>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</si>
  <si>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</si>
  <si>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</si>
  <si>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</si>
  <si>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</si>
  <si>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</si>
  <si>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</si>
  <si>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</si>
  <si>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</si>
  <si>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</si>
  <si>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</si>
  <si>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</si>
  <si>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</si>
  <si>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</si>
  <si>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</si>
  <si>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</si>
  <si>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</si>
  <si>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t>|CffFF0000镜[9]|r</t>
    <phoneticPr fontId="9" type="noConversion"/>
  </si>
  <si>
    <t>|CffFF0000陨世之炎[10]|r</t>
    <phoneticPr fontId="9" type="noConversion"/>
  </si>
  <si>
    <t>|Cff00FF7F噬心魔[1]|r</t>
    <phoneticPr fontId="9" type="noConversion"/>
  </si>
  <si>
    <r>
      <t>|Cff00FF7F送宝金蟾.Lv2|r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</si>
  <si>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|Cff00BFFF送宝金蟾.Lv3|r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</si>
  <si>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|CffFFD24D送宝金蟾.Lv4|r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</si>
  <si>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|CffFF0000送宝金蟾.Lv5|r</t>
    </r>
    <r>
      <rPr>
        <sz val="11"/>
        <color theme="1"/>
        <rFont val="等线"/>
        <charset val="134"/>
        <scheme val="minor"/>
      </rPr>
      <t>|n(打死我升级练功房)</t>
    </r>
    <phoneticPr fontId="9" type="noConversion"/>
  </si>
  <si>
    <r>
      <t>|Cff00FF7F小雷灵体[2]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</si>
  <si>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|Cff00BFFF大雷灵体[3]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</si>
  <si>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|Cff00BFFF雷神化身[4]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</si>
  <si>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|CffFFD24D灾厄[5]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</si>
  <si>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|CffFFD24D芥子魔[6]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</si>
  <si>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|CffFFD24D因果幻象[7]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</si>
  <si>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|CffFFD24D云隐双子[8]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</si>
  <si>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t>|Cff00FF7F武器晋阶1|r</t>
    <phoneticPr fontId="9" type="noConversion"/>
  </si>
  <si>
    <t>|Cff00FF7F法杖晋阶1|r</t>
    <phoneticPr fontId="9" type="noConversion"/>
  </si>
  <si>
    <t>|Cff00FF7F防具晋阶1|r</t>
    <phoneticPr fontId="9" type="noConversion"/>
  </si>
  <si>
    <r>
      <t>|Cff00BFFF武器晋阶2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</si>
  <si>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t>|CffFFD24D武器晋阶3|r</t>
    <phoneticPr fontId="9" type="noConversion"/>
  </si>
  <si>
    <t>|CffFF0000武器晋阶4|r</t>
    <phoneticPr fontId="9" type="noConversion"/>
  </si>
  <si>
    <r>
      <t>|CffFF0000法杖晋阶4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</si>
  <si>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r>
      <t>|CffFF0000防具晋阶4</t>
    </r>
    <r>
      <rPr>
        <sz val="10"/>
        <color theme="1"/>
        <rFont val="微软雅黑"/>
        <family val="2"/>
        <charset val="134"/>
      </rPr>
      <t>|r</t>
    </r>
    <phoneticPr fontId="9" type="noConversion"/>
  </si>
  <si>
    <t>|CffFFD24D防具晋阶3|r</t>
    <phoneticPr fontId="9" type="noConversion"/>
  </si>
  <si>
    <t>|Cff00BFFF防具晋阶2|r</t>
    <phoneticPr fontId="9" type="noConversion"/>
  </si>
  <si>
    <t>|Cff00BFFF法杖晋阶2|r</t>
    <phoneticPr fontId="9" type="noConversion"/>
  </si>
  <si>
    <t>|CffFFD24D法杖晋阶3|r</t>
    <phoneticPr fontId="9" type="noConversion"/>
  </si>
  <si>
    <t>Unit_zhushen10.mdl</t>
  </si>
  <si>
    <r>
      <t>星宿之灵1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</si>
  <si>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</si>
  <si>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</si>
  <si>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</si>
  <si>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</si>
  <si>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t>南方朱雀星君|n（玄铁来源）</t>
    <phoneticPr fontId="9" type="noConversion"/>
  </si>
  <si>
    <r>
      <t>星宿之灵7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</si>
  <si>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星宿之灵8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</si>
  <si>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</si>
  <si>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</si>
  <si>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</si>
  <si>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t>北方玄武星君|n（玄铁来源）</t>
    <phoneticPr fontId="9" type="noConversion"/>
  </si>
  <si>
    <r>
      <t>星宿之灵13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</si>
  <si>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星宿之灵14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</si>
  <si>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星宿之灵15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</si>
  <si>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星宿之灵16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</si>
  <si>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星宿之灵17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</si>
  <si>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t>西方白虎星君|n（玄铁来源）</t>
    <phoneticPr fontId="9" type="noConversion"/>
  </si>
  <si>
    <r>
      <t>星宿之灵19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</si>
  <si>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星宿之灵20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</si>
  <si>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星宿之灵21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</si>
  <si>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星宿之灵22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</si>
  <si>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r>
      <t>星宿之灵23</t>
    </r>
    <r>
      <rPr>
        <sz val="11"/>
        <color theme="1"/>
        <rFont val="等线"/>
        <family val="3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  <phoneticPr fontId="9" type="noConversion"/>
  </si>
  <si>
    <t>东方苍龙星君|n（玄铁来源）</t>
    <phoneticPr fontId="9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</si>
</sst>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2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微软雅黑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" fillId="4" borderId="0" applyNumberFormat="0" applyBorder="0" applyAlignment="0" applyProtection="0">
      <alignment vertical="center"/>
    </xf>
  </cellStyleXfs>
  <cellXfs count="43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0" fillId="0" borderId="0" xfId="0" applyFont="1"/>
    <xf numFmtId="0" fontId="11" fillId="0" borderId="1" xfId="0" applyFont="1" applyBorder="1" applyAlignment="1">
      <alignment vertical="center"/>
    </xf>
  </cellXfs>
  <cellStyles count="2">
    <cellStyle name="差 2" xfId="1"/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247"/>
  <sheetViews>
    <sheetView tabSelected="1" workbookViewId="0">
      <pane xSplit="6" ySplit="2" topLeftCell="M193" activePane="bottomRight" state="frozen"/>
      <selection pane="topRight"/>
      <selection pane="bottomLeft"/>
      <selection pane="bottomRight" activeCell="O226" sqref="O226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229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0.65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0.65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36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0.65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0.65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0.65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36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0.65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36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0.65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0.65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0.65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0.65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36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0.65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0.65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0.65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36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0.65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36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0.65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0.65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0.65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0.65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0.65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0.65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36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0.65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0.65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0.65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0.65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0.65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0.65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0.65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0.65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36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0.65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36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0.65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36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0.65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36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36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36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36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1.1000000000000001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36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36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1.1000000000000001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325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36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325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36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325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36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350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36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350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36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36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36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36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36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36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36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350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36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400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36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400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36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400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36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400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36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400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36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400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36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400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3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400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36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400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36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400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36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1.1000000000000001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400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36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1.1000000000000001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400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36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36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36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1.1000000000000001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36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36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36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1.1000000000000001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36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0.55000000000000004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36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0.55000000000000004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36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2.2000000000000002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36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37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37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37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37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37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37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37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37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2.4500000000000002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37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37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37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37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37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37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37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37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37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3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3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3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3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3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3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3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3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38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pans="2:73" s="6" customFormat="1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36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/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36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/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36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/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36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/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36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/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482</v>
      </c>
      <c r="C104" s="6" t="s">
        <v>71</v>
      </c>
      <c r="D104" s="16" t="s">
        <v>280</v>
      </c>
      <c r="E104" s="42" t="s">
        <v>904</v>
      </c>
      <c r="F104" s="19"/>
      <c r="G104" s="28" t="s">
        <v>483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484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36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485</v>
      </c>
      <c r="C105" s="6" t="s">
        <v>71</v>
      </c>
      <c r="D105" s="16" t="s">
        <v>280</v>
      </c>
      <c r="E105" s="42" t="s">
        <v>909</v>
      </c>
      <c r="F105" s="19"/>
      <c r="G105" s="28" t="s">
        <v>486</v>
      </c>
      <c r="H105" s="16"/>
      <c r="I105" s="16" t="s">
        <v>283</v>
      </c>
      <c r="J105" s="16" t="s">
        <v>487</v>
      </c>
      <c r="K105" s="16"/>
      <c r="L105" s="16">
        <v>0</v>
      </c>
      <c r="M105" s="16">
        <v>0</v>
      </c>
      <c r="N105" s="16"/>
      <c r="O105" s="16" t="s">
        <v>488</v>
      </c>
      <c r="P105" s="16"/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36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489</v>
      </c>
    </row>
    <row r="106" spans="2:73" s="6" customFormat="1">
      <c r="B106" s="16" t="s">
        <v>490</v>
      </c>
      <c r="C106" s="6" t="s">
        <v>71</v>
      </c>
      <c r="D106" s="16" t="s">
        <v>280</v>
      </c>
      <c r="E106" s="42" t="s">
        <v>910</v>
      </c>
      <c r="F106" s="19"/>
      <c r="G106" s="29" t="s">
        <v>491</v>
      </c>
      <c r="H106" s="16"/>
      <c r="I106" s="16" t="s">
        <v>283</v>
      </c>
      <c r="J106" s="16" t="s">
        <v>492</v>
      </c>
      <c r="K106" s="16"/>
      <c r="L106" s="16">
        <v>0</v>
      </c>
      <c r="M106" s="16">
        <v>0</v>
      </c>
      <c r="N106" s="16"/>
      <c r="O106" s="16" t="s">
        <v>493</v>
      </c>
      <c r="P106" s="16"/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36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494</v>
      </c>
    </row>
    <row r="107" spans="2:73" s="6" customFormat="1">
      <c r="B107" s="16" t="s">
        <v>495</v>
      </c>
      <c r="C107" s="6" t="s">
        <v>71</v>
      </c>
      <c r="D107" s="16" t="s">
        <v>280</v>
      </c>
      <c r="E107" s="42" t="s">
        <v>911</v>
      </c>
      <c r="F107" s="19"/>
      <c r="G107" s="29" t="s">
        <v>496</v>
      </c>
      <c r="H107" s="16"/>
      <c r="I107" s="16" t="s">
        <v>283</v>
      </c>
      <c r="J107" s="16" t="s">
        <v>497</v>
      </c>
      <c r="K107" s="16"/>
      <c r="L107" s="16">
        <v>0</v>
      </c>
      <c r="M107" s="16">
        <v>0</v>
      </c>
      <c r="N107" s="16"/>
      <c r="O107" s="16" t="s">
        <v>498</v>
      </c>
      <c r="P107" s="16"/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36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499</v>
      </c>
    </row>
    <row r="108" spans="2:73" s="6" customFormat="1">
      <c r="B108" s="16" t="s">
        <v>500</v>
      </c>
      <c r="C108" s="6" t="s">
        <v>71</v>
      </c>
      <c r="D108" s="16" t="s">
        <v>280</v>
      </c>
      <c r="E108" s="42" t="s">
        <v>912</v>
      </c>
      <c r="F108" s="19"/>
      <c r="G108" s="29" t="s">
        <v>501</v>
      </c>
      <c r="H108" s="16"/>
      <c r="I108" s="16" t="s">
        <v>283</v>
      </c>
      <c r="J108" s="16" t="s">
        <v>502</v>
      </c>
      <c r="K108" s="16"/>
      <c r="L108" s="16">
        <v>0</v>
      </c>
      <c r="M108" s="16">
        <v>0</v>
      </c>
      <c r="N108" s="16"/>
      <c r="O108" s="16" t="s">
        <v>503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36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504</v>
      </c>
    </row>
    <row r="109" spans="2:73" s="6" customFormat="1">
      <c r="B109" s="16" t="s">
        <v>505</v>
      </c>
      <c r="C109" s="6" t="s">
        <v>71</v>
      </c>
      <c r="D109" s="16" t="s">
        <v>280</v>
      </c>
      <c r="E109" s="42" t="s">
        <v>913</v>
      </c>
      <c r="F109" s="19"/>
      <c r="G109" s="30" t="s">
        <v>506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507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36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508</v>
      </c>
      <c r="C110" s="6" t="s">
        <v>71</v>
      </c>
      <c r="D110" s="16" t="s">
        <v>280</v>
      </c>
      <c r="E110" s="42" t="s">
        <v>914</v>
      </c>
      <c r="F110" s="19"/>
      <c r="G110" s="30" t="s">
        <v>509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510</v>
      </c>
      <c r="P110" s="16">
        <v>0.8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36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511</v>
      </c>
      <c r="C111" s="6" t="s">
        <v>71</v>
      </c>
      <c r="D111" s="16" t="s">
        <v>280</v>
      </c>
      <c r="E111" s="42" t="s">
        <v>915</v>
      </c>
      <c r="F111" s="19"/>
      <c r="G111" s="30" t="s">
        <v>512</v>
      </c>
      <c r="H111" s="16"/>
      <c r="I111" s="16" t="s">
        <v>283</v>
      </c>
      <c r="J111" s="16" t="s">
        <v>513</v>
      </c>
      <c r="K111" s="16"/>
      <c r="L111" s="16">
        <v>0</v>
      </c>
      <c r="M111" s="16">
        <v>0</v>
      </c>
      <c r="N111" s="16"/>
      <c r="O111" s="16" t="s">
        <v>514</v>
      </c>
      <c r="P111" s="16"/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36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515</v>
      </c>
    </row>
    <row r="112" spans="2:73" s="6" customFormat="1">
      <c r="B112" s="16" t="s">
        <v>516</v>
      </c>
      <c r="C112" s="6" t="s">
        <v>71</v>
      </c>
      <c r="D112" s="16" t="s">
        <v>280</v>
      </c>
      <c r="E112" s="42" t="s">
        <v>902</v>
      </c>
      <c r="F112" s="19"/>
      <c r="G112" s="30" t="s">
        <v>517</v>
      </c>
      <c r="H112" s="16"/>
      <c r="I112" s="16" t="s">
        <v>283</v>
      </c>
      <c r="J112" s="16" t="s">
        <v>518</v>
      </c>
      <c r="K112" s="16"/>
      <c r="L112" s="16">
        <v>0</v>
      </c>
      <c r="M112" s="16">
        <v>0</v>
      </c>
      <c r="N112" s="16"/>
      <c r="O112" s="16" t="s">
        <v>431</v>
      </c>
      <c r="P112" s="16"/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36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519</v>
      </c>
    </row>
    <row r="113" spans="2:73" s="6" customFormat="1">
      <c r="B113" s="16" t="s">
        <v>520</v>
      </c>
      <c r="C113" s="6" t="s">
        <v>71</v>
      </c>
      <c r="D113" s="16" t="s">
        <v>280</v>
      </c>
      <c r="E113" s="42" t="s">
        <v>903</v>
      </c>
      <c r="F113" s="19"/>
      <c r="G113" s="30" t="s">
        <v>521</v>
      </c>
      <c r="H113" s="16"/>
      <c r="I113" s="16" t="s">
        <v>283</v>
      </c>
      <c r="J113" s="16" t="s">
        <v>522</v>
      </c>
      <c r="K113" s="16"/>
      <c r="L113" s="16">
        <v>0</v>
      </c>
      <c r="M113" s="16">
        <v>0</v>
      </c>
      <c r="N113" s="16"/>
      <c r="O113" s="16" t="s">
        <v>523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524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36" t="s">
        <v>525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526</v>
      </c>
    </row>
    <row r="114" spans="2:73" s="6" customFormat="1">
      <c r="B114" s="16" t="s">
        <v>527</v>
      </c>
      <c r="C114" s="6" t="s">
        <v>71</v>
      </c>
      <c r="D114" s="16" t="s">
        <v>280</v>
      </c>
      <c r="E114" s="28" t="s">
        <v>528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36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529</v>
      </c>
      <c r="C115" s="6" t="s">
        <v>71</v>
      </c>
      <c r="D115" s="16" t="s">
        <v>280</v>
      </c>
      <c r="E115" s="28" t="s">
        <v>530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36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531</v>
      </c>
      <c r="C116" s="6" t="s">
        <v>71</v>
      </c>
      <c r="D116" s="16" t="s">
        <v>280</v>
      </c>
      <c r="E116" s="28" t="s">
        <v>532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36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533</v>
      </c>
      <c r="C117" s="6" t="s">
        <v>71</v>
      </c>
      <c r="D117" s="16" t="s">
        <v>280</v>
      </c>
      <c r="E117" s="28" t="s">
        <v>534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36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535</v>
      </c>
      <c r="C118" s="6" t="s">
        <v>71</v>
      </c>
      <c r="D118" s="16" t="s">
        <v>280</v>
      </c>
      <c r="E118" s="42" t="s">
        <v>916</v>
      </c>
      <c r="F118" s="28"/>
      <c r="G118" s="28" t="s">
        <v>536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537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36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538</v>
      </c>
      <c r="C119" s="6" t="s">
        <v>71</v>
      </c>
      <c r="D119" s="16" t="s">
        <v>280</v>
      </c>
      <c r="E119" s="42" t="s">
        <v>919</v>
      </c>
      <c r="F119" s="28"/>
      <c r="G119" s="28" t="s">
        <v>536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537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36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539</v>
      </c>
      <c r="C120" s="6" t="s">
        <v>71</v>
      </c>
      <c r="D120" s="16" t="s">
        <v>280</v>
      </c>
      <c r="E120" s="42" t="s">
        <v>920</v>
      </c>
      <c r="F120" s="28"/>
      <c r="G120" s="28" t="s">
        <v>536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537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36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540</v>
      </c>
      <c r="C121" s="6" t="s">
        <v>71</v>
      </c>
      <c r="D121" s="16" t="s">
        <v>280</v>
      </c>
      <c r="E121" s="42" t="s">
        <v>921</v>
      </c>
      <c r="F121" s="28"/>
      <c r="G121" s="28" t="s">
        <v>536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537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36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541</v>
      </c>
      <c r="C122" s="6" t="s">
        <v>71</v>
      </c>
      <c r="D122" s="16" t="s">
        <v>280</v>
      </c>
      <c r="E122" s="42" t="s">
        <v>917</v>
      </c>
      <c r="F122" s="28"/>
      <c r="G122" s="28" t="s">
        <v>542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543</v>
      </c>
      <c r="P122" s="16">
        <v>2.0299999999999998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36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544</v>
      </c>
      <c r="C123" s="6" t="s">
        <v>71</v>
      </c>
      <c r="D123" s="16" t="s">
        <v>280</v>
      </c>
      <c r="E123" s="42" t="s">
        <v>926</v>
      </c>
      <c r="F123" s="28"/>
      <c r="G123" s="28" t="s">
        <v>542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543</v>
      </c>
      <c r="P123" s="16">
        <v>2.0299999999999998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36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545</v>
      </c>
      <c r="C124" s="6" t="s">
        <v>71</v>
      </c>
      <c r="D124" s="16" t="s">
        <v>280</v>
      </c>
      <c r="E124" s="42" t="s">
        <v>927</v>
      </c>
      <c r="F124" s="28"/>
      <c r="G124" s="28" t="s">
        <v>542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543</v>
      </c>
      <c r="P124" s="16">
        <v>2.0299999999999998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36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546</v>
      </c>
      <c r="C125" s="6" t="s">
        <v>71</v>
      </c>
      <c r="D125" s="16" t="s">
        <v>280</v>
      </c>
      <c r="E125" s="42" t="s">
        <v>922</v>
      </c>
      <c r="F125" s="28"/>
      <c r="G125" s="28" t="s">
        <v>542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543</v>
      </c>
      <c r="P125" s="16">
        <v>2.0299999999999998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36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547</v>
      </c>
      <c r="C126" s="6" t="s">
        <v>71</v>
      </c>
      <c r="D126" s="16" t="s">
        <v>280</v>
      </c>
      <c r="E126" s="42" t="s">
        <v>918</v>
      </c>
      <c r="F126" s="28"/>
      <c r="G126" s="28" t="s">
        <v>548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549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36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550</v>
      </c>
      <c r="C127" s="6" t="s">
        <v>71</v>
      </c>
      <c r="D127" s="16" t="s">
        <v>280</v>
      </c>
      <c r="E127" s="42" t="s">
        <v>925</v>
      </c>
      <c r="F127" s="28"/>
      <c r="G127" s="28" t="s">
        <v>548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549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36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551</v>
      </c>
      <c r="C128" s="6" t="s">
        <v>71</v>
      </c>
      <c r="D128" s="16" t="s">
        <v>280</v>
      </c>
      <c r="E128" s="42" t="s">
        <v>924</v>
      </c>
      <c r="F128" s="28"/>
      <c r="G128" s="28" t="s">
        <v>548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549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36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552</v>
      </c>
      <c r="C129" s="6" t="s">
        <v>71</v>
      </c>
      <c r="D129" s="16" t="s">
        <v>280</v>
      </c>
      <c r="E129" s="42" t="s">
        <v>923</v>
      </c>
      <c r="F129" s="28"/>
      <c r="G129" s="28" t="s">
        <v>548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549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36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t="s">
        <v>553</v>
      </c>
      <c r="C130" s="6" t="s">
        <v>71</v>
      </c>
      <c r="D130" s="16" t="s">
        <v>280</v>
      </c>
      <c r="E130" t="s">
        <v>554</v>
      </c>
      <c r="F130" s="19"/>
      <c r="G130" s="16" t="s">
        <v>555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556</v>
      </c>
      <c r="P130" s="16">
        <v>1.1000000000000001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36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557</v>
      </c>
    </row>
    <row r="131" spans="2:72" s="6" customFormat="1">
      <c r="B131" t="s">
        <v>558</v>
      </c>
      <c r="C131" s="6" t="s">
        <v>71</v>
      </c>
      <c r="D131" s="16" t="s">
        <v>280</v>
      </c>
      <c r="E131" t="s">
        <v>559</v>
      </c>
      <c r="F131" s="19"/>
      <c r="G131" s="16" t="s">
        <v>555</v>
      </c>
      <c r="H131" s="16"/>
      <c r="I131" s="16" t="s">
        <v>283</v>
      </c>
      <c r="J131" s="16" t="s">
        <v>560</v>
      </c>
      <c r="K131" s="16"/>
      <c r="L131" s="16">
        <v>0</v>
      </c>
      <c r="M131" s="16">
        <v>0</v>
      </c>
      <c r="N131" s="16"/>
      <c r="O131" s="16" t="s">
        <v>561</v>
      </c>
      <c r="P131" s="16">
        <v>1.9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36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557</v>
      </c>
    </row>
    <row r="132" spans="2:72" s="6" customFormat="1">
      <c r="B132" t="s">
        <v>562</v>
      </c>
      <c r="C132" s="6" t="s">
        <v>71</v>
      </c>
      <c r="D132" s="16" t="s">
        <v>280</v>
      </c>
      <c r="E132" t="s">
        <v>563</v>
      </c>
      <c r="F132" s="19"/>
      <c r="G132" s="16" t="s">
        <v>555</v>
      </c>
      <c r="H132" s="16"/>
      <c r="I132" s="16" t="s">
        <v>283</v>
      </c>
      <c r="J132" s="12" t="s">
        <v>564</v>
      </c>
      <c r="K132" s="16"/>
      <c r="L132" s="16">
        <v>0</v>
      </c>
      <c r="M132" s="16">
        <v>0</v>
      </c>
      <c r="N132" s="16"/>
      <c r="O132" s="10" t="s">
        <v>248</v>
      </c>
      <c r="P132" s="16">
        <v>0.85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36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557</v>
      </c>
    </row>
    <row r="133" spans="2:72" s="6" customFormat="1">
      <c r="B133" t="s">
        <v>565</v>
      </c>
      <c r="C133" s="6" t="s">
        <v>71</v>
      </c>
      <c r="D133" s="16" t="s">
        <v>280</v>
      </c>
      <c r="E133" t="s">
        <v>566</v>
      </c>
      <c r="F133" s="19"/>
      <c r="G133" s="16" t="s">
        <v>555</v>
      </c>
      <c r="H133" s="16"/>
      <c r="I133" s="16" t="s">
        <v>283</v>
      </c>
      <c r="J133" s="12" t="s">
        <v>567</v>
      </c>
      <c r="K133" s="16"/>
      <c r="L133" s="16">
        <v>0</v>
      </c>
      <c r="M133" s="16">
        <v>0</v>
      </c>
      <c r="N133" s="16"/>
      <c r="O133" s="16" t="s">
        <v>568</v>
      </c>
      <c r="P133" s="16">
        <v>1.3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36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557</v>
      </c>
    </row>
    <row r="134" spans="2:72" s="6" customFormat="1">
      <c r="B134" t="s">
        <v>569</v>
      </c>
      <c r="C134" s="6" t="s">
        <v>71</v>
      </c>
      <c r="D134" s="16" t="s">
        <v>280</v>
      </c>
      <c r="E134" t="s">
        <v>570</v>
      </c>
      <c r="F134" s="19"/>
      <c r="G134" s="16" t="s">
        <v>555</v>
      </c>
      <c r="H134" s="16"/>
      <c r="I134" s="16" t="s">
        <v>283</v>
      </c>
      <c r="J134" s="12" t="s">
        <v>571</v>
      </c>
      <c r="K134" s="16"/>
      <c r="L134" s="16">
        <v>0</v>
      </c>
      <c r="M134" s="16">
        <v>0</v>
      </c>
      <c r="N134" s="16"/>
      <c r="O134" s="16" t="s">
        <v>439</v>
      </c>
      <c r="P134" s="16">
        <v>1.1499999999999999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36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557</v>
      </c>
    </row>
    <row r="135" spans="2:72" s="6" customFormat="1">
      <c r="B135" t="s">
        <v>572</v>
      </c>
      <c r="C135" s="6" t="s">
        <v>71</v>
      </c>
      <c r="D135" s="16" t="s">
        <v>280</v>
      </c>
      <c r="E135" t="s">
        <v>573</v>
      </c>
      <c r="F135" s="19"/>
      <c r="G135" s="16" t="s">
        <v>574</v>
      </c>
      <c r="H135" s="16"/>
      <c r="I135" s="16" t="s">
        <v>283</v>
      </c>
      <c r="J135" s="16" t="s">
        <v>575</v>
      </c>
      <c r="K135" s="16"/>
      <c r="L135" s="16">
        <v>0</v>
      </c>
      <c r="M135" s="16">
        <v>0</v>
      </c>
      <c r="N135" s="16"/>
      <c r="O135" s="16" t="s">
        <v>576</v>
      </c>
      <c r="P135" s="16">
        <v>1.1000000000000001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36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557</v>
      </c>
    </row>
    <row r="136" spans="2:72" s="6" customFormat="1">
      <c r="B136" t="s">
        <v>577</v>
      </c>
      <c r="C136" s="6" t="s">
        <v>71</v>
      </c>
      <c r="D136" s="16" t="s">
        <v>280</v>
      </c>
      <c r="E136" t="s">
        <v>578</v>
      </c>
      <c r="F136" s="19"/>
      <c r="G136" s="16" t="s">
        <v>574</v>
      </c>
      <c r="H136" s="16"/>
      <c r="I136" s="16" t="s">
        <v>283</v>
      </c>
      <c r="J136" s="12" t="s">
        <v>579</v>
      </c>
      <c r="K136" s="16"/>
      <c r="L136" s="16">
        <v>0</v>
      </c>
      <c r="M136" s="16">
        <v>0</v>
      </c>
      <c r="N136" s="16"/>
      <c r="O136" s="16" t="s">
        <v>580</v>
      </c>
      <c r="P136" s="16">
        <v>1.7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36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557</v>
      </c>
    </row>
    <row r="137" spans="2:72" s="6" customFormat="1">
      <c r="B137" t="s">
        <v>581</v>
      </c>
      <c r="C137" s="6" t="s">
        <v>71</v>
      </c>
      <c r="D137" s="16" t="s">
        <v>280</v>
      </c>
      <c r="E137" t="s">
        <v>582</v>
      </c>
      <c r="F137" s="19"/>
      <c r="G137" s="16" t="s">
        <v>574</v>
      </c>
      <c r="H137" s="16"/>
      <c r="I137" s="16" t="s">
        <v>283</v>
      </c>
      <c r="J137" s="12" t="s">
        <v>583</v>
      </c>
      <c r="K137" s="16"/>
      <c r="L137" s="16">
        <v>0</v>
      </c>
      <c r="M137" s="16">
        <v>0</v>
      </c>
      <c r="N137" s="16"/>
      <c r="O137" s="16" t="s">
        <v>584</v>
      </c>
      <c r="P137" s="16">
        <v>2.2000000000000002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36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557</v>
      </c>
    </row>
    <row r="138" spans="2:72" s="6" customFormat="1">
      <c r="B138" t="s">
        <v>585</v>
      </c>
      <c r="C138" s="6" t="s">
        <v>71</v>
      </c>
      <c r="D138" s="16" t="s">
        <v>280</v>
      </c>
      <c r="E138" t="s">
        <v>586</v>
      </c>
      <c r="F138" s="19"/>
      <c r="G138" s="16" t="s">
        <v>587</v>
      </c>
      <c r="H138" s="16"/>
      <c r="I138" s="16" t="s">
        <v>283</v>
      </c>
      <c r="J138" s="12" t="s">
        <v>588</v>
      </c>
      <c r="K138" s="16"/>
      <c r="L138" s="16">
        <v>0</v>
      </c>
      <c r="M138" s="16">
        <v>0</v>
      </c>
      <c r="N138" s="16"/>
      <c r="O138" s="16" t="s">
        <v>589</v>
      </c>
      <c r="P138" s="16">
        <v>1.1499999999999999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36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557</v>
      </c>
    </row>
    <row r="139" spans="2:72" s="6" customFormat="1">
      <c r="B139" t="s">
        <v>590</v>
      </c>
      <c r="C139" s="6" t="s">
        <v>71</v>
      </c>
      <c r="D139" s="16" t="s">
        <v>280</v>
      </c>
      <c r="E139" t="s">
        <v>591</v>
      </c>
      <c r="F139" s="19"/>
      <c r="G139" s="16" t="s">
        <v>587</v>
      </c>
      <c r="H139" s="16"/>
      <c r="I139" s="16" t="s">
        <v>283</v>
      </c>
      <c r="J139" s="10" t="s">
        <v>592</v>
      </c>
      <c r="K139" s="16"/>
      <c r="L139" s="16">
        <v>0</v>
      </c>
      <c r="M139" s="16">
        <v>0</v>
      </c>
      <c r="N139" s="16"/>
      <c r="O139" s="16" t="s">
        <v>589</v>
      </c>
      <c r="P139" s="16">
        <v>1.1499999999999999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36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557</v>
      </c>
    </row>
    <row r="140" spans="2:72" s="6" customFormat="1">
      <c r="B140" t="s">
        <v>593</v>
      </c>
      <c r="C140" s="6" t="s">
        <v>71</v>
      </c>
      <c r="D140" s="16" t="s">
        <v>280</v>
      </c>
      <c r="E140" t="s">
        <v>594</v>
      </c>
      <c r="F140" s="19"/>
      <c r="G140" s="16" t="s">
        <v>587</v>
      </c>
      <c r="H140" s="16"/>
      <c r="I140" s="16" t="s">
        <v>283</v>
      </c>
      <c r="J140" s="10" t="s">
        <v>595</v>
      </c>
      <c r="K140" s="16"/>
      <c r="L140" s="16">
        <v>0</v>
      </c>
      <c r="M140" s="16">
        <v>0</v>
      </c>
      <c r="N140" s="16"/>
      <c r="O140" s="16" t="s">
        <v>589</v>
      </c>
      <c r="P140" s="16">
        <v>1.1499999999999999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36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557</v>
      </c>
    </row>
    <row r="141" spans="2:72" s="6" customFormat="1">
      <c r="B141" t="s">
        <v>596</v>
      </c>
      <c r="C141" s="6" t="s">
        <v>71</v>
      </c>
      <c r="D141" s="16" t="s">
        <v>280</v>
      </c>
      <c r="E141" t="s">
        <v>597</v>
      </c>
      <c r="F141" s="19"/>
      <c r="G141" s="16" t="s">
        <v>587</v>
      </c>
      <c r="H141" s="16"/>
      <c r="I141" s="16" t="s">
        <v>283</v>
      </c>
      <c r="J141" s="10" t="s">
        <v>598</v>
      </c>
      <c r="K141" s="16"/>
      <c r="L141" s="16">
        <v>0</v>
      </c>
      <c r="M141" s="16">
        <v>0</v>
      </c>
      <c r="N141" s="16"/>
      <c r="O141" s="16" t="s">
        <v>589</v>
      </c>
      <c r="P141" s="16">
        <v>1.1499999999999999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36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557</v>
      </c>
    </row>
    <row r="142" spans="2:72" s="6" customFormat="1">
      <c r="B142" t="s">
        <v>599</v>
      </c>
      <c r="C142" s="6" t="s">
        <v>71</v>
      </c>
      <c r="D142" s="16" t="s">
        <v>280</v>
      </c>
      <c r="E142" t="s">
        <v>600</v>
      </c>
      <c r="F142" s="19"/>
      <c r="G142" s="16" t="s">
        <v>587</v>
      </c>
      <c r="H142" s="16"/>
      <c r="I142" s="16" t="s">
        <v>283</v>
      </c>
      <c r="J142" s="10" t="s">
        <v>601</v>
      </c>
      <c r="K142" s="16"/>
      <c r="L142" s="16">
        <v>0</v>
      </c>
      <c r="M142" s="16">
        <v>0</v>
      </c>
      <c r="N142" s="16"/>
      <c r="O142" s="16" t="s">
        <v>589</v>
      </c>
      <c r="P142" s="16">
        <v>1.1499999999999999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36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557</v>
      </c>
    </row>
    <row r="143" spans="2:72" s="6" customFormat="1">
      <c r="B143" t="s">
        <v>602</v>
      </c>
      <c r="C143" s="6" t="s">
        <v>71</v>
      </c>
      <c r="D143" s="16" t="s">
        <v>280</v>
      </c>
      <c r="E143" t="s">
        <v>603</v>
      </c>
      <c r="F143" s="19"/>
      <c r="G143" s="16" t="s">
        <v>604</v>
      </c>
      <c r="H143" s="16"/>
      <c r="I143" s="16" t="s">
        <v>283</v>
      </c>
      <c r="J143" s="12" t="s">
        <v>605</v>
      </c>
      <c r="K143" s="16"/>
      <c r="L143" s="16">
        <v>0</v>
      </c>
      <c r="M143" s="16">
        <v>0</v>
      </c>
      <c r="N143" s="16"/>
      <c r="O143" s="16" t="s">
        <v>606</v>
      </c>
      <c r="P143" s="16">
        <v>1.85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36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557</v>
      </c>
    </row>
    <row r="144" spans="2:72" s="6" customFormat="1">
      <c r="B144" t="s">
        <v>607</v>
      </c>
      <c r="C144" s="6" t="s">
        <v>71</v>
      </c>
      <c r="D144" s="16" t="s">
        <v>280</v>
      </c>
      <c r="E144" t="s">
        <v>608</v>
      </c>
      <c r="F144" s="19"/>
      <c r="G144" s="16" t="s">
        <v>604</v>
      </c>
      <c r="H144" s="16"/>
      <c r="I144" s="16" t="s">
        <v>283</v>
      </c>
      <c r="J144" s="12" t="s">
        <v>609</v>
      </c>
      <c r="K144" s="16"/>
      <c r="L144" s="16">
        <v>0</v>
      </c>
      <c r="M144" s="16">
        <v>0</v>
      </c>
      <c r="N144" s="16"/>
      <c r="O144" s="16" t="s">
        <v>610</v>
      </c>
      <c r="P144" s="16">
        <v>1.05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36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557</v>
      </c>
    </row>
    <row r="145" spans="2:72" s="6" customFormat="1">
      <c r="B145" t="s">
        <v>611</v>
      </c>
      <c r="C145" s="6" t="s">
        <v>71</v>
      </c>
      <c r="D145" s="16" t="s">
        <v>280</v>
      </c>
      <c r="E145" t="s">
        <v>612</v>
      </c>
      <c r="F145" s="19"/>
      <c r="G145" s="16" t="s">
        <v>604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613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36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557</v>
      </c>
    </row>
    <row r="146" spans="2:72" s="6" customFormat="1">
      <c r="B146" t="s">
        <v>614</v>
      </c>
      <c r="C146" s="6" t="s">
        <v>71</v>
      </c>
      <c r="D146" s="16" t="s">
        <v>280</v>
      </c>
      <c r="E146" t="s">
        <v>612</v>
      </c>
      <c r="F146" s="19"/>
      <c r="G146" s="16" t="s">
        <v>604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613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36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557</v>
      </c>
    </row>
    <row r="147" spans="2:72" s="6" customFormat="1">
      <c r="B147" t="s">
        <v>615</v>
      </c>
      <c r="C147" s="6" t="s">
        <v>71</v>
      </c>
      <c r="D147" s="16" t="s">
        <v>280</v>
      </c>
      <c r="E147" t="s">
        <v>616</v>
      </c>
      <c r="F147" s="19"/>
      <c r="G147" s="16" t="s">
        <v>604</v>
      </c>
      <c r="H147" s="16"/>
      <c r="I147" s="16" t="s">
        <v>283</v>
      </c>
      <c r="J147" s="12" t="s">
        <v>617</v>
      </c>
      <c r="K147" s="16"/>
      <c r="L147" s="16">
        <v>0</v>
      </c>
      <c r="M147" s="16">
        <v>0</v>
      </c>
      <c r="N147" s="16"/>
      <c r="O147" s="16" t="s">
        <v>618</v>
      </c>
      <c r="P147" s="16">
        <v>1.05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36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557</v>
      </c>
    </row>
    <row r="148" spans="2:72" s="6" customFormat="1">
      <c r="B148" t="s">
        <v>619</v>
      </c>
      <c r="C148" s="6" t="s">
        <v>71</v>
      </c>
      <c r="D148" s="16" t="s">
        <v>280</v>
      </c>
      <c r="E148" t="s">
        <v>620</v>
      </c>
      <c r="F148" s="19"/>
      <c r="G148" s="16" t="s">
        <v>604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36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557</v>
      </c>
    </row>
    <row r="149" spans="2:72" s="6" customFormat="1">
      <c r="B149" t="s">
        <v>621</v>
      </c>
      <c r="C149" s="6" t="s">
        <v>71</v>
      </c>
      <c r="D149" s="16" t="s">
        <v>280</v>
      </c>
      <c r="E149" t="s">
        <v>622</v>
      </c>
      <c r="F149" s="19"/>
      <c r="G149" s="16" t="s">
        <v>604</v>
      </c>
      <c r="H149" s="16"/>
      <c r="I149" s="16" t="s">
        <v>283</v>
      </c>
      <c r="J149" s="12" t="s">
        <v>623</v>
      </c>
      <c r="K149" s="16"/>
      <c r="L149" s="16">
        <v>0</v>
      </c>
      <c r="M149" s="16">
        <v>0</v>
      </c>
      <c r="N149" s="16"/>
      <c r="O149" s="16" t="s">
        <v>624</v>
      </c>
      <c r="P149" s="16">
        <v>1.05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36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557</v>
      </c>
    </row>
    <row r="150" spans="2:72" s="6" customFormat="1">
      <c r="B150" t="s">
        <v>625</v>
      </c>
      <c r="C150" s="6" t="s">
        <v>71</v>
      </c>
      <c r="D150" s="16" t="s">
        <v>280</v>
      </c>
      <c r="E150" t="s">
        <v>626</v>
      </c>
      <c r="F150" s="19"/>
      <c r="G150" s="16" t="s">
        <v>604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613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36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557</v>
      </c>
    </row>
    <row r="151" spans="2:72" s="6" customFormat="1">
      <c r="B151" t="s">
        <v>627</v>
      </c>
      <c r="C151" s="6" t="s">
        <v>71</v>
      </c>
      <c r="D151" s="16" t="s">
        <v>280</v>
      </c>
      <c r="E151" t="s">
        <v>628</v>
      </c>
      <c r="F151" s="19"/>
      <c r="G151" s="16" t="s">
        <v>604</v>
      </c>
      <c r="H151" s="16"/>
      <c r="I151" s="16" t="s">
        <v>283</v>
      </c>
      <c r="J151" s="12" t="s">
        <v>629</v>
      </c>
      <c r="K151" s="16"/>
      <c r="L151" s="16">
        <v>0</v>
      </c>
      <c r="M151" s="16">
        <v>0</v>
      </c>
      <c r="N151" s="16"/>
      <c r="O151" s="16" t="s">
        <v>630</v>
      </c>
      <c r="P151" s="16"/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36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557</v>
      </c>
    </row>
    <row r="152" spans="2:72" s="6" customFormat="1">
      <c r="B152" t="s">
        <v>631</v>
      </c>
      <c r="C152" s="6" t="s">
        <v>71</v>
      </c>
      <c r="D152" s="16" t="s">
        <v>280</v>
      </c>
      <c r="E152" t="s">
        <v>632</v>
      </c>
      <c r="F152" s="19"/>
      <c r="G152" s="16" t="s">
        <v>604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36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557</v>
      </c>
    </row>
    <row r="153" spans="2:72" s="6" customFormat="1">
      <c r="B153" t="s">
        <v>633</v>
      </c>
      <c r="C153" s="6" t="s">
        <v>71</v>
      </c>
      <c r="D153" s="16" t="s">
        <v>280</v>
      </c>
      <c r="E153" t="s">
        <v>634</v>
      </c>
      <c r="F153" s="19"/>
      <c r="G153" s="16" t="s">
        <v>635</v>
      </c>
      <c r="H153" s="16"/>
      <c r="I153" s="16" t="s">
        <v>283</v>
      </c>
      <c r="J153" s="12" t="s">
        <v>636</v>
      </c>
      <c r="K153" s="16"/>
      <c r="L153" s="16">
        <v>0</v>
      </c>
      <c r="M153" s="16">
        <v>0</v>
      </c>
      <c r="N153" s="16"/>
      <c r="O153" s="16" t="s">
        <v>236</v>
      </c>
      <c r="P153" s="16">
        <v>1.4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36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557</v>
      </c>
    </row>
    <row r="154" spans="2:72" s="6" customFormat="1">
      <c r="B154" t="s">
        <v>637</v>
      </c>
      <c r="C154" s="6" t="s">
        <v>71</v>
      </c>
      <c r="D154" s="16" t="s">
        <v>280</v>
      </c>
      <c r="E154" t="s">
        <v>638</v>
      </c>
      <c r="F154" s="19"/>
      <c r="G154" s="16" t="s">
        <v>635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36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557</v>
      </c>
    </row>
    <row r="155" spans="2:72" s="6" customFormat="1">
      <c r="B155" t="s">
        <v>639</v>
      </c>
      <c r="C155" s="6" t="s">
        <v>71</v>
      </c>
      <c r="D155" s="16" t="s">
        <v>280</v>
      </c>
      <c r="E155" t="s">
        <v>640</v>
      </c>
      <c r="F155" s="19"/>
      <c r="G155" s="16" t="s">
        <v>635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36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557</v>
      </c>
    </row>
    <row r="156" spans="2:72" s="6" customFormat="1">
      <c r="B156" t="s">
        <v>641</v>
      </c>
      <c r="C156" s="6" t="s">
        <v>71</v>
      </c>
      <c r="D156" s="16" t="s">
        <v>280</v>
      </c>
      <c r="E156" t="s">
        <v>642</v>
      </c>
      <c r="F156" s="19"/>
      <c r="G156" s="16" t="s">
        <v>635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36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557</v>
      </c>
    </row>
    <row r="157" spans="2:72" s="6" customFormat="1">
      <c r="B157" t="s">
        <v>643</v>
      </c>
      <c r="C157" s="6" t="s">
        <v>71</v>
      </c>
      <c r="D157" s="16" t="s">
        <v>280</v>
      </c>
      <c r="E157" t="s">
        <v>644</v>
      </c>
      <c r="F157" s="19"/>
      <c r="G157" s="16" t="s">
        <v>635</v>
      </c>
      <c r="H157" s="16"/>
      <c r="I157" s="16" t="s">
        <v>283</v>
      </c>
      <c r="J157" s="16" t="s">
        <v>645</v>
      </c>
      <c r="K157" s="16"/>
      <c r="L157" s="16">
        <v>0</v>
      </c>
      <c r="M157" s="16">
        <v>0</v>
      </c>
      <c r="N157" s="16"/>
      <c r="O157" s="16" t="s">
        <v>646</v>
      </c>
      <c r="P157" s="16">
        <v>1.3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36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557</v>
      </c>
    </row>
    <row r="158" spans="2:72" s="6" customFormat="1">
      <c r="B158" t="s">
        <v>647</v>
      </c>
      <c r="C158" s="6" t="s">
        <v>71</v>
      </c>
      <c r="D158" s="16" t="s">
        <v>280</v>
      </c>
      <c r="E158" t="s">
        <v>156</v>
      </c>
      <c r="F158" s="19"/>
      <c r="G158" s="16" t="s">
        <v>635</v>
      </c>
      <c r="H158" s="16"/>
      <c r="I158" s="16" t="s">
        <v>283</v>
      </c>
      <c r="J158" s="16" t="s">
        <v>648</v>
      </c>
      <c r="K158" s="16"/>
      <c r="L158" s="16">
        <v>0</v>
      </c>
      <c r="M158" s="16">
        <v>0</v>
      </c>
      <c r="N158" s="16"/>
      <c r="O158" s="16" t="s">
        <v>159</v>
      </c>
      <c r="P158" s="16">
        <v>1.75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36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557</v>
      </c>
    </row>
    <row r="159" spans="2:72" s="6" customFormat="1">
      <c r="B159" t="s">
        <v>649</v>
      </c>
      <c r="C159" s="6" t="s">
        <v>71</v>
      </c>
      <c r="D159" s="16" t="s">
        <v>280</v>
      </c>
      <c r="E159" t="s">
        <v>650</v>
      </c>
      <c r="F159" s="19"/>
      <c r="G159" s="16" t="s">
        <v>651</v>
      </c>
      <c r="H159" s="16"/>
      <c r="I159" s="16" t="s">
        <v>283</v>
      </c>
      <c r="J159" s="12" t="s">
        <v>652</v>
      </c>
      <c r="K159" s="16"/>
      <c r="L159" s="16">
        <v>0</v>
      </c>
      <c r="M159" s="16">
        <v>0</v>
      </c>
      <c r="N159" s="16"/>
      <c r="O159" s="16" t="s">
        <v>653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36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557</v>
      </c>
    </row>
    <row r="160" spans="2:72" s="6" customFormat="1">
      <c r="B160" t="s">
        <v>654</v>
      </c>
      <c r="C160" s="6" t="s">
        <v>71</v>
      </c>
      <c r="D160" s="16" t="s">
        <v>280</v>
      </c>
      <c r="E160" t="s">
        <v>655</v>
      </c>
      <c r="F160" s="19"/>
      <c r="G160" s="16" t="s">
        <v>651</v>
      </c>
      <c r="H160" s="16"/>
      <c r="I160" s="16" t="s">
        <v>283</v>
      </c>
      <c r="J160" s="12" t="s">
        <v>656</v>
      </c>
      <c r="K160" s="16"/>
      <c r="L160" s="16">
        <v>0</v>
      </c>
      <c r="M160" s="16">
        <v>0</v>
      </c>
      <c r="N160" s="16"/>
      <c r="O160" s="16" t="s">
        <v>657</v>
      </c>
      <c r="P160" s="16">
        <v>1.65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36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557</v>
      </c>
    </row>
    <row r="161" spans="2:72" s="6" customFormat="1">
      <c r="B161" t="s">
        <v>658</v>
      </c>
      <c r="C161" s="6" t="s">
        <v>71</v>
      </c>
      <c r="D161" s="16" t="s">
        <v>280</v>
      </c>
      <c r="E161" t="s">
        <v>254</v>
      </c>
      <c r="F161" s="19"/>
      <c r="G161" s="16" t="s">
        <v>651</v>
      </c>
      <c r="H161" s="16"/>
      <c r="I161" s="16" t="s">
        <v>283</v>
      </c>
      <c r="J161" s="12" t="s">
        <v>659</v>
      </c>
      <c r="K161" s="16"/>
      <c r="L161" s="16">
        <v>0</v>
      </c>
      <c r="M161" s="16">
        <v>0</v>
      </c>
      <c r="N161" s="16"/>
      <c r="O161" s="10" t="s">
        <v>256</v>
      </c>
      <c r="P161" s="16">
        <v>1.3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36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557</v>
      </c>
    </row>
    <row r="162" spans="2:72" s="6" customFormat="1">
      <c r="B162" t="s">
        <v>660</v>
      </c>
      <c r="C162" s="6" t="s">
        <v>71</v>
      </c>
      <c r="D162" s="16" t="s">
        <v>280</v>
      </c>
      <c r="E162" t="s">
        <v>661</v>
      </c>
      <c r="F162" s="19"/>
      <c r="G162" s="16" t="s">
        <v>662</v>
      </c>
      <c r="H162" s="16"/>
      <c r="I162" s="16" t="s">
        <v>283</v>
      </c>
      <c r="J162" s="12" t="s">
        <v>663</v>
      </c>
      <c r="K162" s="16"/>
      <c r="L162" s="16">
        <v>0</v>
      </c>
      <c r="M162" s="16">
        <v>0</v>
      </c>
      <c r="N162" s="16"/>
      <c r="O162" s="16" t="s">
        <v>664</v>
      </c>
      <c r="P162" s="16">
        <v>1.8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36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557</v>
      </c>
    </row>
    <row r="163" spans="2:72" s="6" customFormat="1">
      <c r="B163" t="s">
        <v>665</v>
      </c>
      <c r="C163" s="6" t="s">
        <v>71</v>
      </c>
      <c r="D163" s="16" t="s">
        <v>280</v>
      </c>
      <c r="E163" t="s">
        <v>666</v>
      </c>
      <c r="F163" s="19"/>
      <c r="G163" s="16" t="s">
        <v>662</v>
      </c>
      <c r="H163" s="16"/>
      <c r="I163" s="16" t="s">
        <v>283</v>
      </c>
      <c r="J163" s="12" t="s">
        <v>667</v>
      </c>
      <c r="K163" s="16"/>
      <c r="L163" s="16">
        <v>0</v>
      </c>
      <c r="M163" s="16">
        <v>0</v>
      </c>
      <c r="N163" s="16"/>
      <c r="O163" s="16" t="s">
        <v>561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36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557</v>
      </c>
    </row>
    <row r="164" spans="2:72" s="6" customFormat="1">
      <c r="B164" t="s">
        <v>668</v>
      </c>
      <c r="C164" s="6" t="s">
        <v>71</v>
      </c>
      <c r="D164" s="16" t="s">
        <v>280</v>
      </c>
      <c r="E164" t="s">
        <v>669</v>
      </c>
      <c r="F164" s="19"/>
      <c r="G164" s="16" t="s">
        <v>662</v>
      </c>
      <c r="H164" s="16"/>
      <c r="I164" s="16" t="s">
        <v>283</v>
      </c>
      <c r="J164" s="12" t="s">
        <v>670</v>
      </c>
      <c r="K164" s="16"/>
      <c r="L164" s="16">
        <v>0</v>
      </c>
      <c r="M164" s="16">
        <v>0</v>
      </c>
      <c r="N164" s="16"/>
      <c r="O164" s="16" t="s">
        <v>671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36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557</v>
      </c>
    </row>
    <row r="165" spans="2:72" s="6" customFormat="1">
      <c r="B165" t="s">
        <v>672</v>
      </c>
      <c r="C165" s="6" t="s">
        <v>71</v>
      </c>
      <c r="D165" s="16" t="s">
        <v>280</v>
      </c>
      <c r="E165" t="s">
        <v>673</v>
      </c>
      <c r="F165" s="19"/>
      <c r="G165" s="16" t="s">
        <v>662</v>
      </c>
      <c r="H165" s="16"/>
      <c r="I165" s="16" t="s">
        <v>283</v>
      </c>
      <c r="J165" s="12" t="s">
        <v>674</v>
      </c>
      <c r="K165" s="16"/>
      <c r="L165" s="16">
        <v>0</v>
      </c>
      <c r="M165" s="16">
        <v>0</v>
      </c>
      <c r="N165" s="16"/>
      <c r="O165" s="16" t="s">
        <v>675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36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557</v>
      </c>
    </row>
    <row r="166" spans="2:72" s="6" customFormat="1">
      <c r="B166" t="s">
        <v>676</v>
      </c>
      <c r="C166" s="6" t="s">
        <v>71</v>
      </c>
      <c r="D166" s="16" t="s">
        <v>280</v>
      </c>
      <c r="E166" t="s">
        <v>677</v>
      </c>
      <c r="F166" s="19"/>
      <c r="G166" s="16" t="s">
        <v>662</v>
      </c>
      <c r="H166" s="16"/>
      <c r="I166" s="16" t="s">
        <v>283</v>
      </c>
      <c r="J166" s="12" t="s">
        <v>678</v>
      </c>
      <c r="K166" s="16"/>
      <c r="L166" s="16">
        <v>0</v>
      </c>
      <c r="M166" s="16">
        <v>0</v>
      </c>
      <c r="N166" s="16"/>
      <c r="O166" s="16" t="s">
        <v>679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36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557</v>
      </c>
    </row>
    <row r="167" spans="2:72" s="6" customFormat="1">
      <c r="B167" t="s">
        <v>680</v>
      </c>
      <c r="C167" s="6" t="s">
        <v>71</v>
      </c>
      <c r="D167" s="16" t="s">
        <v>280</v>
      </c>
      <c r="E167" t="s">
        <v>681</v>
      </c>
      <c r="F167" s="19"/>
      <c r="G167" s="16" t="s">
        <v>682</v>
      </c>
      <c r="H167" s="16"/>
      <c r="I167" s="16" t="s">
        <v>283</v>
      </c>
      <c r="J167" s="12" t="s">
        <v>683</v>
      </c>
      <c r="K167" s="16"/>
      <c r="L167" s="16">
        <v>0</v>
      </c>
      <c r="M167" s="16">
        <v>0</v>
      </c>
      <c r="N167" s="16"/>
      <c r="O167" s="16" t="s">
        <v>684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36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557</v>
      </c>
    </row>
    <row r="168" spans="2:72" s="6" customFormat="1">
      <c r="B168" t="s">
        <v>685</v>
      </c>
      <c r="C168" s="6" t="s">
        <v>71</v>
      </c>
      <c r="D168" s="16" t="s">
        <v>280</v>
      </c>
      <c r="E168" t="s">
        <v>686</v>
      </c>
      <c r="F168" s="19"/>
      <c r="G168" s="16" t="s">
        <v>682</v>
      </c>
      <c r="H168" s="16"/>
      <c r="I168" s="16" t="s">
        <v>283</v>
      </c>
      <c r="J168" s="12" t="s">
        <v>687</v>
      </c>
      <c r="K168" s="16"/>
      <c r="L168" s="16">
        <v>0</v>
      </c>
      <c r="M168" s="16">
        <v>0</v>
      </c>
      <c r="N168" s="16"/>
      <c r="O168" s="16" t="s">
        <v>688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36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557</v>
      </c>
    </row>
    <row r="169" spans="2:72" s="6" customFormat="1">
      <c r="B169" t="s">
        <v>689</v>
      </c>
      <c r="C169" s="6" t="s">
        <v>71</v>
      </c>
      <c r="D169" s="16" t="s">
        <v>280</v>
      </c>
      <c r="E169" t="s">
        <v>690</v>
      </c>
      <c r="F169" s="19"/>
      <c r="G169" s="16" t="s">
        <v>682</v>
      </c>
      <c r="H169" s="16"/>
      <c r="I169" s="16" t="s">
        <v>283</v>
      </c>
      <c r="J169" s="12" t="s">
        <v>691</v>
      </c>
      <c r="K169" s="16"/>
      <c r="L169" s="16">
        <v>0</v>
      </c>
      <c r="M169" s="16">
        <v>0</v>
      </c>
      <c r="N169" s="16"/>
      <c r="O169" s="16" t="s">
        <v>692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36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557</v>
      </c>
    </row>
    <row r="170" spans="2:72" s="6" customFormat="1">
      <c r="B170" t="s">
        <v>693</v>
      </c>
      <c r="C170" s="6" t="s">
        <v>71</v>
      </c>
      <c r="D170" s="16" t="s">
        <v>280</v>
      </c>
      <c r="E170" t="s">
        <v>694</v>
      </c>
      <c r="F170" s="19"/>
      <c r="G170" s="16" t="s">
        <v>682</v>
      </c>
      <c r="H170" s="16"/>
      <c r="I170" s="16" t="s">
        <v>283</v>
      </c>
      <c r="J170" s="12" t="s">
        <v>695</v>
      </c>
      <c r="K170" s="16"/>
      <c r="L170" s="16">
        <v>0</v>
      </c>
      <c r="M170" s="16">
        <v>0</v>
      </c>
      <c r="N170" s="16"/>
      <c r="O170" s="16" t="s">
        <v>696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36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557</v>
      </c>
    </row>
    <row r="171" spans="2:72" s="6" customFormat="1">
      <c r="B171" t="s">
        <v>697</v>
      </c>
      <c r="C171" s="6" t="s">
        <v>71</v>
      </c>
      <c r="D171" s="16" t="s">
        <v>280</v>
      </c>
      <c r="E171" t="s">
        <v>698</v>
      </c>
      <c r="F171" s="19"/>
      <c r="G171" s="16" t="s">
        <v>682</v>
      </c>
      <c r="H171" s="16"/>
      <c r="I171" s="16" t="s">
        <v>283</v>
      </c>
      <c r="J171" s="12" t="s">
        <v>699</v>
      </c>
      <c r="K171" s="16"/>
      <c r="L171" s="16">
        <v>0</v>
      </c>
      <c r="M171" s="16">
        <v>0</v>
      </c>
      <c r="N171" s="16"/>
      <c r="O171" s="16" t="s">
        <v>700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36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557</v>
      </c>
    </row>
    <row r="172" spans="2:72" s="6" customFormat="1">
      <c r="B172" t="s">
        <v>701</v>
      </c>
      <c r="C172" s="6" t="s">
        <v>71</v>
      </c>
      <c r="D172" s="16" t="s">
        <v>280</v>
      </c>
      <c r="E172" t="s">
        <v>702</v>
      </c>
      <c r="F172" s="19"/>
      <c r="G172" s="16" t="s">
        <v>682</v>
      </c>
      <c r="H172" s="16"/>
      <c r="I172" s="16" t="s">
        <v>283</v>
      </c>
      <c r="J172" s="12" t="s">
        <v>703</v>
      </c>
      <c r="K172" s="16"/>
      <c r="L172" s="16">
        <v>0</v>
      </c>
      <c r="M172" s="16">
        <v>0</v>
      </c>
      <c r="N172" s="16"/>
      <c r="O172" s="16" t="s">
        <v>704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36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557</v>
      </c>
    </row>
    <row r="173" spans="2:72" s="6" customFormat="1">
      <c r="B173" t="s">
        <v>705</v>
      </c>
      <c r="C173" s="6" t="s">
        <v>71</v>
      </c>
      <c r="D173" s="16" t="s">
        <v>280</v>
      </c>
      <c r="E173" t="s">
        <v>706</v>
      </c>
      <c r="F173" s="19"/>
      <c r="G173" s="16" t="s">
        <v>682</v>
      </c>
      <c r="H173" s="16"/>
      <c r="I173" s="16" t="s">
        <v>283</v>
      </c>
      <c r="J173" s="12" t="s">
        <v>707</v>
      </c>
      <c r="K173" s="16"/>
      <c r="L173" s="16">
        <v>0</v>
      </c>
      <c r="M173" s="16">
        <v>0</v>
      </c>
      <c r="N173" s="16"/>
      <c r="O173" s="10" t="s">
        <v>210</v>
      </c>
      <c r="P173" s="16">
        <v>1.45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36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557</v>
      </c>
    </row>
    <row r="174" spans="2:72" s="6" customFormat="1">
      <c r="B174" t="s">
        <v>708</v>
      </c>
      <c r="C174" s="6" t="s">
        <v>71</v>
      </c>
      <c r="D174" s="16" t="s">
        <v>280</v>
      </c>
      <c r="E174" t="s">
        <v>706</v>
      </c>
      <c r="F174" s="19"/>
      <c r="G174" s="16" t="s">
        <v>682</v>
      </c>
      <c r="H174" s="16"/>
      <c r="I174" s="16" t="s">
        <v>283</v>
      </c>
      <c r="J174" s="12" t="s">
        <v>709</v>
      </c>
      <c r="K174" s="16"/>
      <c r="L174" s="16">
        <v>0</v>
      </c>
      <c r="M174" s="16">
        <v>0</v>
      </c>
      <c r="N174" s="16"/>
      <c r="O174" s="10" t="s">
        <v>210</v>
      </c>
      <c r="P174" s="16">
        <v>1.45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36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557</v>
      </c>
    </row>
    <row r="175" spans="2:72" s="6" customFormat="1">
      <c r="B175" t="s">
        <v>710</v>
      </c>
      <c r="C175" s="6" t="s">
        <v>71</v>
      </c>
      <c r="D175" s="16" t="s">
        <v>280</v>
      </c>
      <c r="E175" t="s">
        <v>711</v>
      </c>
      <c r="F175" s="19"/>
      <c r="G175" s="16" t="s">
        <v>712</v>
      </c>
      <c r="H175" s="16"/>
      <c r="I175" s="16" t="s">
        <v>283</v>
      </c>
      <c r="J175" s="12" t="s">
        <v>713</v>
      </c>
      <c r="K175" s="16"/>
      <c r="L175" s="16">
        <v>0</v>
      </c>
      <c r="M175" s="16">
        <v>0</v>
      </c>
      <c r="N175" s="16"/>
      <c r="O175" s="16" t="s">
        <v>714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36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pans="2:72" s="6" customFormat="1">
      <c r="B176" t="s">
        <v>715</v>
      </c>
      <c r="C176" s="6" t="s">
        <v>71</v>
      </c>
      <c r="D176" s="16" t="s">
        <v>280</v>
      </c>
      <c r="E176" t="s">
        <v>716</v>
      </c>
      <c r="F176" s="19"/>
      <c r="G176" s="16" t="s">
        <v>712</v>
      </c>
      <c r="H176" s="16"/>
      <c r="I176" s="16" t="s">
        <v>283</v>
      </c>
      <c r="J176" s="12" t="s">
        <v>717</v>
      </c>
      <c r="K176" s="16"/>
      <c r="L176" s="16">
        <v>0</v>
      </c>
      <c r="M176" s="16">
        <v>0</v>
      </c>
      <c r="N176" s="16"/>
      <c r="O176" s="16" t="s">
        <v>718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36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pans="2:69" s="6" customFormat="1">
      <c r="B177" t="s">
        <v>719</v>
      </c>
      <c r="C177" s="6" t="s">
        <v>71</v>
      </c>
      <c r="D177" s="16" t="s">
        <v>280</v>
      </c>
      <c r="E177" t="s">
        <v>720</v>
      </c>
      <c r="F177" s="19"/>
      <c r="G177" s="16" t="s">
        <v>712</v>
      </c>
      <c r="H177" s="16"/>
      <c r="I177" s="16" t="s">
        <v>283</v>
      </c>
      <c r="J177" s="12" t="s">
        <v>721</v>
      </c>
      <c r="K177" s="16"/>
      <c r="L177" s="16">
        <v>0</v>
      </c>
      <c r="M177" s="16">
        <v>0</v>
      </c>
      <c r="N177" s="16"/>
      <c r="O177" s="16" t="s">
        <v>722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36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723</v>
      </c>
      <c r="C178" s="6" t="s">
        <v>71</v>
      </c>
      <c r="D178" s="16" t="s">
        <v>280</v>
      </c>
      <c r="E178" t="s">
        <v>724</v>
      </c>
      <c r="F178" s="19"/>
      <c r="G178" s="16" t="s">
        <v>712</v>
      </c>
      <c r="H178" s="16"/>
      <c r="I178" s="16" t="s">
        <v>283</v>
      </c>
      <c r="J178" s="12" t="s">
        <v>725</v>
      </c>
      <c r="K178" s="16"/>
      <c r="L178" s="16">
        <v>0</v>
      </c>
      <c r="M178" s="16">
        <v>0</v>
      </c>
      <c r="N178" s="16"/>
      <c r="O178" s="16" t="s">
        <v>726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36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727</v>
      </c>
      <c r="C179" s="6" t="s">
        <v>71</v>
      </c>
      <c r="D179" s="16" t="s">
        <v>280</v>
      </c>
      <c r="E179" t="s">
        <v>728</v>
      </c>
      <c r="F179" s="19"/>
      <c r="G179" s="16" t="s">
        <v>712</v>
      </c>
      <c r="H179" s="16"/>
      <c r="I179" s="16" t="s">
        <v>283</v>
      </c>
      <c r="J179" s="12" t="s">
        <v>729</v>
      </c>
      <c r="K179" s="16"/>
      <c r="L179" s="16">
        <v>0</v>
      </c>
      <c r="M179" s="16">
        <v>0</v>
      </c>
      <c r="N179" s="16"/>
      <c r="O179" s="16" t="s">
        <v>730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36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731</v>
      </c>
      <c r="C180" s="6" t="s">
        <v>71</v>
      </c>
      <c r="D180" s="16" t="s">
        <v>280</v>
      </c>
      <c r="E180" t="s">
        <v>732</v>
      </c>
      <c r="F180" s="19"/>
      <c r="G180" s="16" t="s">
        <v>712</v>
      </c>
      <c r="H180" s="16"/>
      <c r="I180" s="16" t="s">
        <v>283</v>
      </c>
      <c r="J180" s="12" t="s">
        <v>733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2.4500000000000002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36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734</v>
      </c>
      <c r="C181" s="6" t="s">
        <v>71</v>
      </c>
      <c r="D181" s="16" t="s">
        <v>280</v>
      </c>
      <c r="E181" t="s">
        <v>161</v>
      </c>
      <c r="F181" s="19"/>
      <c r="G181" s="16" t="s">
        <v>735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2.4500000000000002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36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736</v>
      </c>
      <c r="C182" s="6" t="s">
        <v>71</v>
      </c>
      <c r="D182" s="16" t="s">
        <v>280</v>
      </c>
      <c r="E182" t="s">
        <v>172</v>
      </c>
      <c r="F182" s="19"/>
      <c r="G182" s="16" t="s">
        <v>735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36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737</v>
      </c>
      <c r="C183" s="6" t="s">
        <v>71</v>
      </c>
      <c r="D183" s="16" t="s">
        <v>280</v>
      </c>
      <c r="E183" t="s">
        <v>738</v>
      </c>
      <c r="F183" s="19"/>
      <c r="G183" s="16" t="s">
        <v>735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2.4500000000000002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36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739</v>
      </c>
      <c r="C184" s="6" t="s">
        <v>71</v>
      </c>
      <c r="D184" s="16" t="s">
        <v>280</v>
      </c>
      <c r="E184" t="s">
        <v>740</v>
      </c>
      <c r="F184" s="19"/>
      <c r="G184" s="16" t="s">
        <v>735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741</v>
      </c>
      <c r="P184" s="16">
        <v>2.0099999999999998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36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742</v>
      </c>
      <c r="C185" s="6" t="s">
        <v>71</v>
      </c>
      <c r="D185" s="16" t="s">
        <v>280</v>
      </c>
      <c r="E185" t="s">
        <v>743</v>
      </c>
      <c r="F185" s="19"/>
      <c r="G185" s="16" t="s">
        <v>735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2.2999999999999998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36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t="s">
        <v>744</v>
      </c>
      <c r="C186" s="6" t="s">
        <v>71</v>
      </c>
      <c r="D186" s="16" t="s">
        <v>280</v>
      </c>
      <c r="E186" s="41" t="s">
        <v>905</v>
      </c>
      <c r="F186" s="4"/>
      <c r="G186" s="16" t="s">
        <v>467</v>
      </c>
      <c r="H186" s="16"/>
      <c r="I186" s="16" t="s">
        <v>283</v>
      </c>
      <c r="J186" s="16"/>
      <c r="K186" s="16"/>
      <c r="L186" s="16">
        <v>0</v>
      </c>
      <c r="M186" s="16">
        <v>0</v>
      </c>
      <c r="N186" s="16"/>
      <c r="O186" s="16" t="s">
        <v>745</v>
      </c>
      <c r="P186" s="16">
        <v>5</v>
      </c>
      <c r="Q186" s="16"/>
      <c r="R186" s="16"/>
      <c r="S186" s="16"/>
      <c r="T186" s="16"/>
      <c r="U186" s="16">
        <v>1</v>
      </c>
      <c r="V186" s="16">
        <v>2</v>
      </c>
      <c r="W186" s="16" t="s">
        <v>469</v>
      </c>
      <c r="X186" s="16">
        <v>300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36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0.7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t="s">
        <v>746</v>
      </c>
      <c r="C187" s="6" t="s">
        <v>71</v>
      </c>
      <c r="D187" s="16" t="s">
        <v>280</v>
      </c>
      <c r="E187" s="41" t="s">
        <v>906</v>
      </c>
      <c r="F187" s="4"/>
      <c r="G187" s="16" t="s">
        <v>467</v>
      </c>
      <c r="H187" s="16"/>
      <c r="I187" s="16" t="s">
        <v>283</v>
      </c>
      <c r="J187" s="16"/>
      <c r="K187" s="16"/>
      <c r="L187" s="16">
        <v>0</v>
      </c>
      <c r="M187" s="16">
        <v>0</v>
      </c>
      <c r="N187" s="16"/>
      <c r="O187" s="16" t="s">
        <v>745</v>
      </c>
      <c r="P187" s="16">
        <v>8</v>
      </c>
      <c r="Q187" s="16"/>
      <c r="R187" s="16"/>
      <c r="S187" s="16"/>
      <c r="T187" s="16"/>
      <c r="U187" s="16">
        <v>1</v>
      </c>
      <c r="V187" s="16">
        <v>2</v>
      </c>
      <c r="W187" s="16" t="s">
        <v>469</v>
      </c>
      <c r="X187" s="16">
        <v>300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36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t="s">
        <v>747</v>
      </c>
      <c r="C188" s="6" t="s">
        <v>71</v>
      </c>
      <c r="D188" s="16" t="s">
        <v>280</v>
      </c>
      <c r="E188" s="41" t="s">
        <v>907</v>
      </c>
      <c r="F188" s="4"/>
      <c r="G188" s="16" t="s">
        <v>467</v>
      </c>
      <c r="H188" s="16"/>
      <c r="I188" s="16" t="s">
        <v>283</v>
      </c>
      <c r="J188" s="16"/>
      <c r="K188" s="16"/>
      <c r="L188" s="16">
        <v>0</v>
      </c>
      <c r="M188" s="16">
        <v>0</v>
      </c>
      <c r="N188" s="16"/>
      <c r="O188" s="16" t="s">
        <v>745</v>
      </c>
      <c r="P188" s="16">
        <v>10.5</v>
      </c>
      <c r="Q188" s="16"/>
      <c r="R188" s="16"/>
      <c r="S188" s="16"/>
      <c r="T188" s="16"/>
      <c r="U188" s="16">
        <v>1</v>
      </c>
      <c r="V188" s="16">
        <v>2</v>
      </c>
      <c r="W188" s="16" t="s">
        <v>469</v>
      </c>
      <c r="X188" s="16">
        <v>300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36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0.3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t="s">
        <v>748</v>
      </c>
      <c r="C189" s="6" t="s">
        <v>71</v>
      </c>
      <c r="D189" s="16" t="s">
        <v>280</v>
      </c>
      <c r="E189" s="41" t="s">
        <v>908</v>
      </c>
      <c r="F189" s="4"/>
      <c r="G189" s="16" t="s">
        <v>467</v>
      </c>
      <c r="H189" s="16"/>
      <c r="I189" s="16" t="s">
        <v>283</v>
      </c>
      <c r="J189" s="16"/>
      <c r="K189" s="16"/>
      <c r="L189" s="16">
        <v>0</v>
      </c>
      <c r="M189" s="16">
        <v>0</v>
      </c>
      <c r="N189" s="16"/>
      <c r="O189" s="16" t="s">
        <v>745</v>
      </c>
      <c r="P189" s="16">
        <v>12.5</v>
      </c>
      <c r="Q189" s="16"/>
      <c r="R189" s="16"/>
      <c r="S189" s="16"/>
      <c r="T189" s="16"/>
      <c r="U189" s="16">
        <v>1</v>
      </c>
      <c r="V189" s="16">
        <v>2</v>
      </c>
      <c r="W189" s="16" t="s">
        <v>469</v>
      </c>
      <c r="X189" s="16">
        <v>300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36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7" customFormat="1">
      <c r="B190" s="31" t="s">
        <v>749</v>
      </c>
      <c r="C190" s="7" t="s">
        <v>71</v>
      </c>
      <c r="D190" s="26" t="s">
        <v>280</v>
      </c>
      <c r="E190" s="27" t="s">
        <v>750</v>
      </c>
      <c r="F190" s="31"/>
      <c r="G190" s="26" t="s">
        <v>751</v>
      </c>
      <c r="H190" s="26"/>
      <c r="I190" s="26" t="s">
        <v>283</v>
      </c>
      <c r="J190" s="26"/>
      <c r="K190" s="26"/>
      <c r="L190" s="26">
        <v>0</v>
      </c>
      <c r="M190" s="26">
        <v>0</v>
      </c>
      <c r="N190" s="26"/>
      <c r="O190" s="26" t="s">
        <v>752</v>
      </c>
      <c r="P190" s="26">
        <v>0.55000000000000004</v>
      </c>
      <c r="Q190" s="26"/>
      <c r="R190" s="26"/>
      <c r="S190" s="26"/>
      <c r="T190" s="26"/>
      <c r="U190" s="26">
        <v>1</v>
      </c>
      <c r="V190" s="26">
        <v>2</v>
      </c>
      <c r="W190" s="26" t="s">
        <v>469</v>
      </c>
      <c r="X190" s="26">
        <v>450</v>
      </c>
      <c r="Y190" s="26">
        <v>0</v>
      </c>
      <c r="Z190" s="26" t="s">
        <v>151</v>
      </c>
      <c r="AA190" s="26">
        <v>500</v>
      </c>
      <c r="AB190" s="26"/>
      <c r="AC190" s="26"/>
      <c r="AD190" s="26">
        <v>0</v>
      </c>
      <c r="AE190" s="26" t="s">
        <v>151</v>
      </c>
      <c r="AF190" s="26"/>
      <c r="AG190" s="26"/>
      <c r="AH190" s="38" t="s">
        <v>152</v>
      </c>
      <c r="AI190" s="27" t="s">
        <v>153</v>
      </c>
      <c r="AJ190" s="26">
        <v>0.5</v>
      </c>
      <c r="AK190" s="26">
        <v>0.5</v>
      </c>
      <c r="AL190" s="26"/>
      <c r="AM190" s="26">
        <v>1</v>
      </c>
      <c r="AN190" s="26"/>
      <c r="AO190" s="26"/>
      <c r="AP190" s="26">
        <v>250</v>
      </c>
      <c r="AQ190" s="26">
        <v>0.5</v>
      </c>
      <c r="AR190" s="26"/>
      <c r="AS190" s="26"/>
      <c r="AT190" s="26"/>
      <c r="AU190" s="26">
        <v>1</v>
      </c>
      <c r="AV190" s="26"/>
      <c r="AW190" s="26">
        <v>0</v>
      </c>
      <c r="AX190" s="26">
        <v>0</v>
      </c>
      <c r="AY190" s="26">
        <v>0</v>
      </c>
      <c r="AZ190" s="26">
        <v>0</v>
      </c>
      <c r="BA190" s="26">
        <v>0</v>
      </c>
      <c r="BB190" s="26">
        <v>0</v>
      </c>
      <c r="BC190" s="26">
        <v>100</v>
      </c>
      <c r="BD190" s="26">
        <v>100</v>
      </c>
      <c r="BE190" s="26"/>
      <c r="BF190" s="26" t="s">
        <v>154</v>
      </c>
      <c r="BG190" s="26">
        <v>0</v>
      </c>
      <c r="BH190" s="26">
        <v>0</v>
      </c>
      <c r="BI190" s="26">
        <v>100</v>
      </c>
      <c r="BJ190" s="26"/>
      <c r="BK190" s="26"/>
      <c r="BL190" s="26"/>
      <c r="BM190" s="26"/>
      <c r="BN190" s="26"/>
      <c r="BO190" s="26"/>
      <c r="BP190" s="26"/>
      <c r="BQ190" s="7">
        <v>0</v>
      </c>
    </row>
    <row r="191" spans="2:69" s="7" customFormat="1">
      <c r="B191" s="31" t="s">
        <v>753</v>
      </c>
      <c r="C191" s="7" t="s">
        <v>71</v>
      </c>
      <c r="D191" s="26" t="s">
        <v>280</v>
      </c>
      <c r="E191" s="27" t="s">
        <v>750</v>
      </c>
      <c r="F191" s="31"/>
      <c r="G191" s="26" t="s">
        <v>751</v>
      </c>
      <c r="H191" s="26"/>
      <c r="I191" s="26" t="s">
        <v>283</v>
      </c>
      <c r="J191" s="26"/>
      <c r="K191" s="26"/>
      <c r="L191" s="26">
        <v>0</v>
      </c>
      <c r="M191" s="26">
        <v>0</v>
      </c>
      <c r="N191" s="26"/>
      <c r="O191" s="26" t="s">
        <v>752</v>
      </c>
      <c r="P191" s="26">
        <f>P190+0.05</f>
        <v>0.6</v>
      </c>
      <c r="Q191" s="26"/>
      <c r="R191" s="26"/>
      <c r="S191" s="26"/>
      <c r="T191" s="26"/>
      <c r="U191" s="26">
        <v>1</v>
      </c>
      <c r="V191" s="26">
        <v>2</v>
      </c>
      <c r="W191" s="26" t="s">
        <v>469</v>
      </c>
      <c r="X191" s="26">
        <v>450</v>
      </c>
      <c r="Y191" s="26">
        <v>0</v>
      </c>
      <c r="Z191" s="26" t="s">
        <v>151</v>
      </c>
      <c r="AA191" s="26">
        <v>500</v>
      </c>
      <c r="AB191" s="26"/>
      <c r="AC191" s="26"/>
      <c r="AD191" s="26">
        <v>0</v>
      </c>
      <c r="AE191" s="26" t="s">
        <v>151</v>
      </c>
      <c r="AF191" s="26"/>
      <c r="AG191" s="26"/>
      <c r="AH191" s="38" t="s">
        <v>152</v>
      </c>
      <c r="AI191" s="27" t="s">
        <v>153</v>
      </c>
      <c r="AJ191" s="26">
        <v>0.5</v>
      </c>
      <c r="AK191" s="26">
        <v>0.5</v>
      </c>
      <c r="AL191" s="26"/>
      <c r="AM191" s="26">
        <v>1</v>
      </c>
      <c r="AN191" s="26"/>
      <c r="AO191" s="26"/>
      <c r="AP191" s="26">
        <v>250</v>
      </c>
      <c r="AQ191" s="26">
        <v>0.5</v>
      </c>
      <c r="AR191" s="26"/>
      <c r="AS191" s="26"/>
      <c r="AT191" s="26"/>
      <c r="AU191" s="26">
        <v>1</v>
      </c>
      <c r="AV191" s="26"/>
      <c r="AW191" s="26">
        <v>0</v>
      </c>
      <c r="AX191" s="26">
        <v>0</v>
      </c>
      <c r="AY191" s="26">
        <v>0</v>
      </c>
      <c r="AZ191" s="26">
        <v>0</v>
      </c>
      <c r="BA191" s="26">
        <v>0</v>
      </c>
      <c r="BB191" s="26">
        <v>0</v>
      </c>
      <c r="BC191" s="26">
        <v>100</v>
      </c>
      <c r="BD191" s="26">
        <v>100</v>
      </c>
      <c r="BE191" s="26"/>
      <c r="BF191" s="26" t="s">
        <v>154</v>
      </c>
      <c r="BG191" s="26">
        <v>0</v>
      </c>
      <c r="BH191" s="26">
        <v>0</v>
      </c>
      <c r="BI191" s="26">
        <v>100</v>
      </c>
      <c r="BJ191" s="26"/>
      <c r="BK191" s="26"/>
      <c r="BL191" s="26"/>
      <c r="BM191" s="26"/>
      <c r="BN191" s="26"/>
      <c r="BO191" s="26"/>
      <c r="BP191" s="26"/>
      <c r="BQ191" s="7">
        <v>0</v>
      </c>
    </row>
    <row r="192" spans="2:69" s="7" customFormat="1">
      <c r="B192" s="31" t="s">
        <v>754</v>
      </c>
      <c r="C192" s="7" t="s">
        <v>71</v>
      </c>
      <c r="D192" s="26" t="s">
        <v>280</v>
      </c>
      <c r="E192" s="27" t="s">
        <v>750</v>
      </c>
      <c r="F192" s="31"/>
      <c r="G192" s="26" t="s">
        <v>751</v>
      </c>
      <c r="H192" s="26"/>
      <c r="I192" s="26" t="s">
        <v>283</v>
      </c>
      <c r="J192" s="26"/>
      <c r="K192" s="26"/>
      <c r="L192" s="26">
        <v>0</v>
      </c>
      <c r="M192" s="26">
        <v>0</v>
      </c>
      <c r="N192" s="26"/>
      <c r="O192" s="26" t="s">
        <v>752</v>
      </c>
      <c r="P192" s="26">
        <f t="shared" ref="P192:P202" si="5">P191+0.05</f>
        <v>0.65</v>
      </c>
      <c r="Q192" s="26"/>
      <c r="R192" s="26"/>
      <c r="S192" s="26"/>
      <c r="T192" s="26"/>
      <c r="U192" s="26">
        <v>1</v>
      </c>
      <c r="V192" s="26">
        <v>2</v>
      </c>
      <c r="W192" s="26" t="s">
        <v>469</v>
      </c>
      <c r="X192" s="26">
        <v>450</v>
      </c>
      <c r="Y192" s="26">
        <v>0</v>
      </c>
      <c r="Z192" s="26" t="s">
        <v>151</v>
      </c>
      <c r="AA192" s="26">
        <v>500</v>
      </c>
      <c r="AB192" s="26"/>
      <c r="AC192" s="26"/>
      <c r="AD192" s="26">
        <v>0</v>
      </c>
      <c r="AE192" s="26" t="s">
        <v>151</v>
      </c>
      <c r="AF192" s="26"/>
      <c r="AG192" s="26"/>
      <c r="AH192" s="38" t="s">
        <v>152</v>
      </c>
      <c r="AI192" s="27" t="s">
        <v>153</v>
      </c>
      <c r="AJ192" s="26">
        <v>0.5</v>
      </c>
      <c r="AK192" s="26">
        <v>0.5</v>
      </c>
      <c r="AL192" s="26"/>
      <c r="AM192" s="26">
        <v>1</v>
      </c>
      <c r="AN192" s="26"/>
      <c r="AO192" s="26"/>
      <c r="AP192" s="26">
        <v>250</v>
      </c>
      <c r="AQ192" s="26">
        <v>0.5</v>
      </c>
      <c r="AR192" s="26"/>
      <c r="AS192" s="26"/>
      <c r="AT192" s="26"/>
      <c r="AU192" s="26">
        <v>1</v>
      </c>
      <c r="AV192" s="26"/>
      <c r="AW192" s="26">
        <v>0</v>
      </c>
      <c r="AX192" s="26">
        <v>0</v>
      </c>
      <c r="AY192" s="26">
        <v>0</v>
      </c>
      <c r="AZ192" s="26">
        <v>0</v>
      </c>
      <c r="BA192" s="26">
        <v>0</v>
      </c>
      <c r="BB192" s="26">
        <v>0</v>
      </c>
      <c r="BC192" s="26">
        <v>100</v>
      </c>
      <c r="BD192" s="26">
        <v>100</v>
      </c>
      <c r="BE192" s="26"/>
      <c r="BF192" s="26" t="s">
        <v>154</v>
      </c>
      <c r="BG192" s="26">
        <v>0</v>
      </c>
      <c r="BH192" s="26">
        <v>0</v>
      </c>
      <c r="BI192" s="26">
        <v>100</v>
      </c>
      <c r="BJ192" s="26"/>
      <c r="BK192" s="26"/>
      <c r="BL192" s="26"/>
      <c r="BM192" s="26"/>
      <c r="BN192" s="26"/>
      <c r="BO192" s="26"/>
      <c r="BP192" s="26"/>
      <c r="BQ192" s="7">
        <v>0</v>
      </c>
    </row>
    <row r="193" spans="2:69" s="7" customFormat="1">
      <c r="B193" s="31" t="s">
        <v>755</v>
      </c>
      <c r="C193" s="7" t="s">
        <v>71</v>
      </c>
      <c r="D193" s="26" t="s">
        <v>280</v>
      </c>
      <c r="E193" s="27" t="s">
        <v>750</v>
      </c>
      <c r="F193" s="31"/>
      <c r="G193" s="26" t="s">
        <v>751</v>
      </c>
      <c r="H193" s="26"/>
      <c r="I193" s="26" t="s">
        <v>283</v>
      </c>
      <c r="J193" s="26"/>
      <c r="K193" s="26"/>
      <c r="L193" s="26">
        <v>0</v>
      </c>
      <c r="M193" s="26">
        <v>0</v>
      </c>
      <c r="N193" s="26"/>
      <c r="O193" s="26" t="s">
        <v>752</v>
      </c>
      <c r="P193" s="26">
        <f t="shared" si="5"/>
        <v>0.7</v>
      </c>
      <c r="Q193" s="26"/>
      <c r="R193" s="26"/>
      <c r="S193" s="26"/>
      <c r="T193" s="26"/>
      <c r="U193" s="26">
        <v>1</v>
      </c>
      <c r="V193" s="26">
        <v>2</v>
      </c>
      <c r="W193" s="26" t="s">
        <v>469</v>
      </c>
      <c r="X193" s="26">
        <v>450</v>
      </c>
      <c r="Y193" s="26">
        <v>0</v>
      </c>
      <c r="Z193" s="26" t="s">
        <v>151</v>
      </c>
      <c r="AA193" s="26">
        <v>500</v>
      </c>
      <c r="AB193" s="26"/>
      <c r="AC193" s="26"/>
      <c r="AD193" s="26">
        <v>0</v>
      </c>
      <c r="AE193" s="26" t="s">
        <v>151</v>
      </c>
      <c r="AF193" s="26"/>
      <c r="AG193" s="26"/>
      <c r="AH193" s="38" t="s">
        <v>152</v>
      </c>
      <c r="AI193" s="27" t="s">
        <v>153</v>
      </c>
      <c r="AJ193" s="26">
        <v>0.5</v>
      </c>
      <c r="AK193" s="26">
        <v>0.5</v>
      </c>
      <c r="AL193" s="26"/>
      <c r="AM193" s="26">
        <v>1</v>
      </c>
      <c r="AN193" s="26"/>
      <c r="AO193" s="26"/>
      <c r="AP193" s="26">
        <v>250</v>
      </c>
      <c r="AQ193" s="26">
        <v>0.5</v>
      </c>
      <c r="AR193" s="26"/>
      <c r="AS193" s="26"/>
      <c r="AT193" s="26"/>
      <c r="AU193" s="26">
        <v>1</v>
      </c>
      <c r="AV193" s="26"/>
      <c r="AW193" s="26">
        <v>0</v>
      </c>
      <c r="AX193" s="26">
        <v>0</v>
      </c>
      <c r="AY193" s="26">
        <v>0</v>
      </c>
      <c r="AZ193" s="26">
        <v>0</v>
      </c>
      <c r="BA193" s="26">
        <v>0</v>
      </c>
      <c r="BB193" s="26">
        <v>0</v>
      </c>
      <c r="BC193" s="26">
        <v>100</v>
      </c>
      <c r="BD193" s="26">
        <v>100</v>
      </c>
      <c r="BE193" s="26"/>
      <c r="BF193" s="26" t="s">
        <v>154</v>
      </c>
      <c r="BG193" s="26">
        <v>0</v>
      </c>
      <c r="BH193" s="26">
        <v>0</v>
      </c>
      <c r="BI193" s="26">
        <v>100</v>
      </c>
      <c r="BJ193" s="26"/>
      <c r="BK193" s="26"/>
      <c r="BL193" s="26"/>
      <c r="BM193" s="26"/>
      <c r="BN193" s="26"/>
      <c r="BO193" s="26"/>
      <c r="BP193" s="26"/>
      <c r="BQ193" s="7">
        <v>0</v>
      </c>
    </row>
    <row r="194" spans="2:69" s="7" customFormat="1">
      <c r="B194" s="31" t="s">
        <v>756</v>
      </c>
      <c r="C194" s="7" t="s">
        <v>71</v>
      </c>
      <c r="D194" s="26" t="s">
        <v>280</v>
      </c>
      <c r="E194" s="27" t="s">
        <v>750</v>
      </c>
      <c r="F194" s="31"/>
      <c r="G194" s="26" t="s">
        <v>751</v>
      </c>
      <c r="H194" s="26"/>
      <c r="I194" s="26" t="s">
        <v>283</v>
      </c>
      <c r="J194" s="26"/>
      <c r="K194" s="26"/>
      <c r="L194" s="26">
        <v>0</v>
      </c>
      <c r="M194" s="26">
        <v>0</v>
      </c>
      <c r="N194" s="26"/>
      <c r="O194" s="26" t="s">
        <v>752</v>
      </c>
      <c r="P194" s="26">
        <f t="shared" si="5"/>
        <v>0.75</v>
      </c>
      <c r="Q194" s="26"/>
      <c r="R194" s="26"/>
      <c r="S194" s="26"/>
      <c r="T194" s="26"/>
      <c r="U194" s="26">
        <v>1</v>
      </c>
      <c r="V194" s="26">
        <v>2</v>
      </c>
      <c r="W194" s="26" t="s">
        <v>469</v>
      </c>
      <c r="X194" s="26">
        <v>450</v>
      </c>
      <c r="Y194" s="26">
        <v>0</v>
      </c>
      <c r="Z194" s="26" t="s">
        <v>151</v>
      </c>
      <c r="AA194" s="26">
        <v>500</v>
      </c>
      <c r="AB194" s="26"/>
      <c r="AC194" s="26"/>
      <c r="AD194" s="26">
        <v>0</v>
      </c>
      <c r="AE194" s="26" t="s">
        <v>151</v>
      </c>
      <c r="AF194" s="26"/>
      <c r="AG194" s="26"/>
      <c r="AH194" s="38" t="s">
        <v>152</v>
      </c>
      <c r="AI194" s="27" t="s">
        <v>153</v>
      </c>
      <c r="AJ194" s="26">
        <v>0.5</v>
      </c>
      <c r="AK194" s="26">
        <v>0.5</v>
      </c>
      <c r="AL194" s="26"/>
      <c r="AM194" s="26">
        <v>1</v>
      </c>
      <c r="AN194" s="26"/>
      <c r="AO194" s="26"/>
      <c r="AP194" s="26">
        <v>250</v>
      </c>
      <c r="AQ194" s="26">
        <v>0.5</v>
      </c>
      <c r="AR194" s="26"/>
      <c r="AS194" s="26"/>
      <c r="AT194" s="26"/>
      <c r="AU194" s="26">
        <v>1</v>
      </c>
      <c r="AV194" s="26"/>
      <c r="AW194" s="26">
        <v>0</v>
      </c>
      <c r="AX194" s="26">
        <v>0</v>
      </c>
      <c r="AY194" s="26">
        <v>0</v>
      </c>
      <c r="AZ194" s="26">
        <v>0</v>
      </c>
      <c r="BA194" s="26">
        <v>0</v>
      </c>
      <c r="BB194" s="26">
        <v>0</v>
      </c>
      <c r="BC194" s="26">
        <v>100</v>
      </c>
      <c r="BD194" s="26">
        <v>100</v>
      </c>
      <c r="BE194" s="26"/>
      <c r="BF194" s="26" t="s">
        <v>154</v>
      </c>
      <c r="BG194" s="26">
        <v>0</v>
      </c>
      <c r="BH194" s="26">
        <v>0</v>
      </c>
      <c r="BI194" s="26">
        <v>100</v>
      </c>
      <c r="BJ194" s="26"/>
      <c r="BK194" s="26"/>
      <c r="BL194" s="26"/>
      <c r="BM194" s="26"/>
      <c r="BN194" s="26"/>
      <c r="BO194" s="26"/>
      <c r="BP194" s="26"/>
      <c r="BQ194" s="7">
        <v>0</v>
      </c>
    </row>
    <row r="195" spans="2:69" s="7" customFormat="1">
      <c r="B195" s="31" t="s">
        <v>757</v>
      </c>
      <c r="C195" s="7" t="s">
        <v>71</v>
      </c>
      <c r="D195" s="26" t="s">
        <v>280</v>
      </c>
      <c r="E195" s="27" t="s">
        <v>750</v>
      </c>
      <c r="F195" s="31"/>
      <c r="G195" s="26" t="s">
        <v>751</v>
      </c>
      <c r="H195" s="26"/>
      <c r="I195" s="26" t="s">
        <v>283</v>
      </c>
      <c r="J195" s="26"/>
      <c r="K195" s="26"/>
      <c r="L195" s="26">
        <v>0</v>
      </c>
      <c r="M195" s="26">
        <v>0</v>
      </c>
      <c r="N195" s="26"/>
      <c r="O195" s="26" t="s">
        <v>752</v>
      </c>
      <c r="P195" s="26">
        <f t="shared" si="5"/>
        <v>0.8</v>
      </c>
      <c r="Q195" s="26"/>
      <c r="R195" s="26"/>
      <c r="S195" s="26"/>
      <c r="T195" s="26"/>
      <c r="U195" s="26">
        <v>1</v>
      </c>
      <c r="V195" s="26">
        <v>2</v>
      </c>
      <c r="W195" s="26" t="s">
        <v>469</v>
      </c>
      <c r="X195" s="26">
        <v>450</v>
      </c>
      <c r="Y195" s="26">
        <v>0</v>
      </c>
      <c r="Z195" s="26" t="s">
        <v>151</v>
      </c>
      <c r="AA195" s="26">
        <v>500</v>
      </c>
      <c r="AB195" s="26"/>
      <c r="AC195" s="26"/>
      <c r="AD195" s="26">
        <v>0</v>
      </c>
      <c r="AE195" s="26" t="s">
        <v>151</v>
      </c>
      <c r="AF195" s="26"/>
      <c r="AG195" s="26"/>
      <c r="AH195" s="38" t="s">
        <v>152</v>
      </c>
      <c r="AI195" s="27" t="s">
        <v>153</v>
      </c>
      <c r="AJ195" s="26">
        <v>0.5</v>
      </c>
      <c r="AK195" s="26">
        <v>0.5</v>
      </c>
      <c r="AL195" s="26"/>
      <c r="AM195" s="26">
        <v>1</v>
      </c>
      <c r="AN195" s="26"/>
      <c r="AO195" s="26"/>
      <c r="AP195" s="26">
        <v>250</v>
      </c>
      <c r="AQ195" s="26">
        <v>0.5</v>
      </c>
      <c r="AR195" s="26"/>
      <c r="AS195" s="26"/>
      <c r="AT195" s="26"/>
      <c r="AU195" s="26">
        <v>1</v>
      </c>
      <c r="AV195" s="26"/>
      <c r="AW195" s="26">
        <v>0</v>
      </c>
      <c r="AX195" s="26">
        <v>0</v>
      </c>
      <c r="AY195" s="26">
        <v>0</v>
      </c>
      <c r="AZ195" s="26">
        <v>0</v>
      </c>
      <c r="BA195" s="26">
        <v>0</v>
      </c>
      <c r="BB195" s="26">
        <v>0</v>
      </c>
      <c r="BC195" s="26">
        <v>100</v>
      </c>
      <c r="BD195" s="26">
        <v>100</v>
      </c>
      <c r="BE195" s="26"/>
      <c r="BF195" s="26" t="s">
        <v>154</v>
      </c>
      <c r="BG195" s="26">
        <v>0</v>
      </c>
      <c r="BH195" s="26">
        <v>0</v>
      </c>
      <c r="BI195" s="26">
        <v>100</v>
      </c>
      <c r="BJ195" s="26"/>
      <c r="BK195" s="26"/>
      <c r="BL195" s="26"/>
      <c r="BM195" s="26"/>
      <c r="BN195" s="26"/>
      <c r="BO195" s="26"/>
      <c r="BP195" s="26"/>
      <c r="BQ195" s="7">
        <v>0</v>
      </c>
    </row>
    <row r="196" spans="2:69" s="7" customFormat="1">
      <c r="B196" s="31" t="s">
        <v>758</v>
      </c>
      <c r="C196" s="7" t="s">
        <v>71</v>
      </c>
      <c r="D196" s="26" t="s">
        <v>280</v>
      </c>
      <c r="E196" s="27" t="s">
        <v>750</v>
      </c>
      <c r="F196" s="31"/>
      <c r="G196" s="26" t="s">
        <v>751</v>
      </c>
      <c r="H196" s="26"/>
      <c r="I196" s="26" t="s">
        <v>283</v>
      </c>
      <c r="J196" s="26"/>
      <c r="K196" s="26"/>
      <c r="L196" s="26">
        <v>0</v>
      </c>
      <c r="M196" s="26">
        <v>0</v>
      </c>
      <c r="N196" s="26"/>
      <c r="O196" s="26" t="s">
        <v>752</v>
      </c>
      <c r="P196" s="26">
        <f t="shared" si="5"/>
        <v>0.85</v>
      </c>
      <c r="Q196" s="26"/>
      <c r="R196" s="26"/>
      <c r="S196" s="26"/>
      <c r="T196" s="26"/>
      <c r="U196" s="26">
        <v>1</v>
      </c>
      <c r="V196" s="26">
        <v>2</v>
      </c>
      <c r="W196" s="26" t="s">
        <v>469</v>
      </c>
      <c r="X196" s="26">
        <v>450</v>
      </c>
      <c r="Y196" s="26">
        <v>0</v>
      </c>
      <c r="Z196" s="26" t="s">
        <v>151</v>
      </c>
      <c r="AA196" s="26">
        <v>500</v>
      </c>
      <c r="AB196" s="26"/>
      <c r="AC196" s="26"/>
      <c r="AD196" s="26">
        <v>0</v>
      </c>
      <c r="AE196" s="26" t="s">
        <v>151</v>
      </c>
      <c r="AF196" s="26"/>
      <c r="AG196" s="26"/>
      <c r="AH196" s="38" t="s">
        <v>152</v>
      </c>
      <c r="AI196" s="27" t="s">
        <v>153</v>
      </c>
      <c r="AJ196" s="26">
        <v>0.5</v>
      </c>
      <c r="AK196" s="26">
        <v>0.5</v>
      </c>
      <c r="AL196" s="26"/>
      <c r="AM196" s="26">
        <v>1</v>
      </c>
      <c r="AN196" s="26"/>
      <c r="AO196" s="26"/>
      <c r="AP196" s="26">
        <v>250</v>
      </c>
      <c r="AQ196" s="26">
        <v>0.5</v>
      </c>
      <c r="AR196" s="26"/>
      <c r="AS196" s="26"/>
      <c r="AT196" s="26"/>
      <c r="AU196" s="26">
        <v>1</v>
      </c>
      <c r="AV196" s="26"/>
      <c r="AW196" s="26">
        <v>0</v>
      </c>
      <c r="AX196" s="26">
        <v>0</v>
      </c>
      <c r="AY196" s="26">
        <v>0</v>
      </c>
      <c r="AZ196" s="26">
        <v>0</v>
      </c>
      <c r="BA196" s="26">
        <v>0</v>
      </c>
      <c r="BB196" s="26">
        <v>0</v>
      </c>
      <c r="BC196" s="26">
        <v>100</v>
      </c>
      <c r="BD196" s="26">
        <v>100</v>
      </c>
      <c r="BE196" s="26"/>
      <c r="BF196" s="26" t="s">
        <v>154</v>
      </c>
      <c r="BG196" s="26">
        <v>0</v>
      </c>
      <c r="BH196" s="26">
        <v>0</v>
      </c>
      <c r="BI196" s="26">
        <v>100</v>
      </c>
      <c r="BJ196" s="26"/>
      <c r="BK196" s="26"/>
      <c r="BL196" s="26"/>
      <c r="BM196" s="26"/>
      <c r="BN196" s="26"/>
      <c r="BO196" s="26"/>
      <c r="BP196" s="26"/>
      <c r="BQ196" s="7">
        <v>0</v>
      </c>
    </row>
    <row r="197" spans="2:69" s="7" customFormat="1">
      <c r="B197" s="31" t="s">
        <v>759</v>
      </c>
      <c r="C197" s="7" t="s">
        <v>71</v>
      </c>
      <c r="D197" s="26" t="s">
        <v>280</v>
      </c>
      <c r="E197" s="27" t="s">
        <v>750</v>
      </c>
      <c r="F197" s="31"/>
      <c r="G197" s="26" t="s">
        <v>751</v>
      </c>
      <c r="H197" s="26"/>
      <c r="I197" s="26" t="s">
        <v>283</v>
      </c>
      <c r="J197" s="26"/>
      <c r="K197" s="26"/>
      <c r="L197" s="26">
        <v>0</v>
      </c>
      <c r="M197" s="26">
        <v>0</v>
      </c>
      <c r="N197" s="26"/>
      <c r="O197" s="26" t="s">
        <v>752</v>
      </c>
      <c r="P197" s="26">
        <f t="shared" si="5"/>
        <v>0.9</v>
      </c>
      <c r="Q197" s="26"/>
      <c r="R197" s="26"/>
      <c r="S197" s="26"/>
      <c r="T197" s="26"/>
      <c r="U197" s="26">
        <v>1</v>
      </c>
      <c r="V197" s="26">
        <v>2</v>
      </c>
      <c r="W197" s="26" t="s">
        <v>469</v>
      </c>
      <c r="X197" s="26">
        <v>450</v>
      </c>
      <c r="Y197" s="26">
        <v>0</v>
      </c>
      <c r="Z197" s="26" t="s">
        <v>151</v>
      </c>
      <c r="AA197" s="26">
        <v>500</v>
      </c>
      <c r="AB197" s="26"/>
      <c r="AC197" s="26"/>
      <c r="AD197" s="26">
        <v>0</v>
      </c>
      <c r="AE197" s="26" t="s">
        <v>151</v>
      </c>
      <c r="AF197" s="26"/>
      <c r="AG197" s="26"/>
      <c r="AH197" s="38" t="s">
        <v>152</v>
      </c>
      <c r="AI197" s="27" t="s">
        <v>153</v>
      </c>
      <c r="AJ197" s="26">
        <v>0.5</v>
      </c>
      <c r="AK197" s="26">
        <v>0.5</v>
      </c>
      <c r="AL197" s="26"/>
      <c r="AM197" s="26">
        <v>1</v>
      </c>
      <c r="AN197" s="26"/>
      <c r="AO197" s="26"/>
      <c r="AP197" s="26">
        <v>250</v>
      </c>
      <c r="AQ197" s="26">
        <v>0.5</v>
      </c>
      <c r="AR197" s="26"/>
      <c r="AS197" s="26"/>
      <c r="AT197" s="26"/>
      <c r="AU197" s="26">
        <v>1</v>
      </c>
      <c r="AV197" s="26"/>
      <c r="AW197" s="26">
        <v>0</v>
      </c>
      <c r="AX197" s="26">
        <v>0</v>
      </c>
      <c r="AY197" s="26">
        <v>0</v>
      </c>
      <c r="AZ197" s="26">
        <v>0</v>
      </c>
      <c r="BA197" s="26">
        <v>0</v>
      </c>
      <c r="BB197" s="26">
        <v>0</v>
      </c>
      <c r="BC197" s="26">
        <v>100</v>
      </c>
      <c r="BD197" s="26">
        <v>100</v>
      </c>
      <c r="BE197" s="26"/>
      <c r="BF197" s="26" t="s">
        <v>154</v>
      </c>
      <c r="BG197" s="26">
        <v>0</v>
      </c>
      <c r="BH197" s="26">
        <v>0</v>
      </c>
      <c r="BI197" s="26">
        <v>100</v>
      </c>
      <c r="BJ197" s="26"/>
      <c r="BK197" s="26"/>
      <c r="BL197" s="26"/>
      <c r="BM197" s="26"/>
      <c r="BN197" s="26"/>
      <c r="BO197" s="26"/>
      <c r="BP197" s="26"/>
      <c r="BQ197" s="7">
        <v>0</v>
      </c>
    </row>
    <row r="198" spans="2:69" s="7" customFormat="1">
      <c r="B198" s="31" t="s">
        <v>760</v>
      </c>
      <c r="C198" s="7" t="s">
        <v>71</v>
      </c>
      <c r="D198" s="26" t="s">
        <v>280</v>
      </c>
      <c r="E198" s="27" t="s">
        <v>750</v>
      </c>
      <c r="F198" s="31"/>
      <c r="G198" s="26" t="s">
        <v>751</v>
      </c>
      <c r="H198" s="26"/>
      <c r="I198" s="26" t="s">
        <v>283</v>
      </c>
      <c r="J198" s="26"/>
      <c r="K198" s="26"/>
      <c r="L198" s="26">
        <v>0</v>
      </c>
      <c r="M198" s="26">
        <v>0</v>
      </c>
      <c r="N198" s="26"/>
      <c r="O198" s="26" t="s">
        <v>752</v>
      </c>
      <c r="P198" s="26">
        <f t="shared" si="5"/>
        <v>0.95</v>
      </c>
      <c r="Q198" s="26"/>
      <c r="R198" s="26"/>
      <c r="S198" s="26"/>
      <c r="T198" s="26"/>
      <c r="U198" s="26">
        <v>1</v>
      </c>
      <c r="V198" s="26">
        <v>2</v>
      </c>
      <c r="W198" s="26" t="s">
        <v>469</v>
      </c>
      <c r="X198" s="26">
        <v>450</v>
      </c>
      <c r="Y198" s="26">
        <v>0</v>
      </c>
      <c r="Z198" s="26" t="s">
        <v>151</v>
      </c>
      <c r="AA198" s="26">
        <v>500</v>
      </c>
      <c r="AB198" s="26"/>
      <c r="AC198" s="26"/>
      <c r="AD198" s="26">
        <v>0</v>
      </c>
      <c r="AE198" s="26" t="s">
        <v>151</v>
      </c>
      <c r="AF198" s="26"/>
      <c r="AG198" s="26"/>
      <c r="AH198" s="38" t="s">
        <v>152</v>
      </c>
      <c r="AI198" s="27" t="s">
        <v>153</v>
      </c>
      <c r="AJ198" s="26">
        <v>0.5</v>
      </c>
      <c r="AK198" s="26">
        <v>0.5</v>
      </c>
      <c r="AL198" s="26"/>
      <c r="AM198" s="26">
        <v>1</v>
      </c>
      <c r="AN198" s="26"/>
      <c r="AO198" s="26"/>
      <c r="AP198" s="26">
        <v>250</v>
      </c>
      <c r="AQ198" s="26">
        <v>0.5</v>
      </c>
      <c r="AR198" s="26"/>
      <c r="AS198" s="26"/>
      <c r="AT198" s="26"/>
      <c r="AU198" s="26">
        <v>1</v>
      </c>
      <c r="AV198" s="26"/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0</v>
      </c>
      <c r="BC198" s="26">
        <v>100</v>
      </c>
      <c r="BD198" s="26">
        <v>100</v>
      </c>
      <c r="BE198" s="26"/>
      <c r="BF198" s="26" t="s">
        <v>154</v>
      </c>
      <c r="BG198" s="26">
        <v>0</v>
      </c>
      <c r="BH198" s="26">
        <v>0</v>
      </c>
      <c r="BI198" s="26">
        <v>100</v>
      </c>
      <c r="BJ198" s="26"/>
      <c r="BK198" s="26"/>
      <c r="BL198" s="26"/>
      <c r="BM198" s="26"/>
      <c r="BN198" s="26"/>
      <c r="BO198" s="26"/>
      <c r="BP198" s="26"/>
      <c r="BQ198" s="7">
        <v>0</v>
      </c>
    </row>
    <row r="199" spans="2:69" s="7" customFormat="1">
      <c r="B199" s="31" t="s">
        <v>761</v>
      </c>
      <c r="C199" s="7" t="s">
        <v>71</v>
      </c>
      <c r="D199" s="26" t="s">
        <v>280</v>
      </c>
      <c r="E199" s="27" t="s">
        <v>750</v>
      </c>
      <c r="F199" s="31"/>
      <c r="G199" s="26" t="s">
        <v>751</v>
      </c>
      <c r="H199" s="26"/>
      <c r="I199" s="26" t="s">
        <v>283</v>
      </c>
      <c r="J199" s="26"/>
      <c r="K199" s="26"/>
      <c r="L199" s="26">
        <v>0</v>
      </c>
      <c r="M199" s="26">
        <v>0</v>
      </c>
      <c r="N199" s="26"/>
      <c r="O199" s="26" t="s">
        <v>752</v>
      </c>
      <c r="P199" s="26">
        <f t="shared" si="5"/>
        <v>1</v>
      </c>
      <c r="Q199" s="26"/>
      <c r="R199" s="26"/>
      <c r="S199" s="26"/>
      <c r="T199" s="26"/>
      <c r="U199" s="26">
        <v>1</v>
      </c>
      <c r="V199" s="26">
        <v>2</v>
      </c>
      <c r="W199" s="26" t="s">
        <v>469</v>
      </c>
      <c r="X199" s="26">
        <v>450</v>
      </c>
      <c r="Y199" s="26">
        <v>0</v>
      </c>
      <c r="Z199" s="26" t="s">
        <v>151</v>
      </c>
      <c r="AA199" s="26">
        <v>500</v>
      </c>
      <c r="AB199" s="26"/>
      <c r="AC199" s="26"/>
      <c r="AD199" s="26">
        <v>0</v>
      </c>
      <c r="AE199" s="26" t="s">
        <v>151</v>
      </c>
      <c r="AF199" s="26"/>
      <c r="AG199" s="26"/>
      <c r="AH199" s="38" t="s">
        <v>152</v>
      </c>
      <c r="AI199" s="27" t="s">
        <v>153</v>
      </c>
      <c r="AJ199" s="26">
        <v>0.5</v>
      </c>
      <c r="AK199" s="26">
        <v>0.5</v>
      </c>
      <c r="AL199" s="26"/>
      <c r="AM199" s="26">
        <v>1</v>
      </c>
      <c r="AN199" s="26"/>
      <c r="AO199" s="26"/>
      <c r="AP199" s="26">
        <v>250</v>
      </c>
      <c r="AQ199" s="26">
        <v>0.5</v>
      </c>
      <c r="AR199" s="26"/>
      <c r="AS199" s="26"/>
      <c r="AT199" s="26"/>
      <c r="AU199" s="26">
        <v>1</v>
      </c>
      <c r="AV199" s="26"/>
      <c r="AW199" s="26">
        <v>0</v>
      </c>
      <c r="AX199" s="26">
        <v>0</v>
      </c>
      <c r="AY199" s="26">
        <v>0</v>
      </c>
      <c r="AZ199" s="26">
        <v>0</v>
      </c>
      <c r="BA199" s="26">
        <v>0</v>
      </c>
      <c r="BB199" s="26">
        <v>0</v>
      </c>
      <c r="BC199" s="26">
        <v>100</v>
      </c>
      <c r="BD199" s="26">
        <v>100</v>
      </c>
      <c r="BE199" s="26"/>
      <c r="BF199" s="26" t="s">
        <v>154</v>
      </c>
      <c r="BG199" s="26">
        <v>0</v>
      </c>
      <c r="BH199" s="26">
        <v>0</v>
      </c>
      <c r="BI199" s="26">
        <v>100</v>
      </c>
      <c r="BJ199" s="26"/>
      <c r="BK199" s="26"/>
      <c r="BL199" s="26"/>
      <c r="BM199" s="26"/>
      <c r="BN199" s="26"/>
      <c r="BO199" s="26"/>
      <c r="BP199" s="26"/>
      <c r="BQ199" s="7">
        <v>0</v>
      </c>
    </row>
    <row r="200" spans="2:69" s="7" customFormat="1">
      <c r="B200" s="31" t="s">
        <v>762</v>
      </c>
      <c r="C200" s="7" t="s">
        <v>71</v>
      </c>
      <c r="D200" s="26" t="s">
        <v>280</v>
      </c>
      <c r="E200" s="27" t="s">
        <v>750</v>
      </c>
      <c r="F200" s="31"/>
      <c r="G200" s="26" t="s">
        <v>751</v>
      </c>
      <c r="H200" s="26"/>
      <c r="I200" s="26" t="s">
        <v>283</v>
      </c>
      <c r="J200" s="26"/>
      <c r="K200" s="26"/>
      <c r="L200" s="26">
        <v>0</v>
      </c>
      <c r="M200" s="26">
        <v>0</v>
      </c>
      <c r="N200" s="26"/>
      <c r="O200" s="26" t="s">
        <v>752</v>
      </c>
      <c r="P200" s="26">
        <f t="shared" si="5"/>
        <v>1.05</v>
      </c>
      <c r="Q200" s="26"/>
      <c r="R200" s="26"/>
      <c r="S200" s="26"/>
      <c r="T200" s="26"/>
      <c r="U200" s="26">
        <v>1</v>
      </c>
      <c r="V200" s="26">
        <v>2</v>
      </c>
      <c r="W200" s="26" t="s">
        <v>469</v>
      </c>
      <c r="X200" s="26">
        <v>450</v>
      </c>
      <c r="Y200" s="26">
        <v>0</v>
      </c>
      <c r="Z200" s="26" t="s">
        <v>151</v>
      </c>
      <c r="AA200" s="26">
        <v>500</v>
      </c>
      <c r="AB200" s="26"/>
      <c r="AC200" s="26"/>
      <c r="AD200" s="26">
        <v>0</v>
      </c>
      <c r="AE200" s="26" t="s">
        <v>151</v>
      </c>
      <c r="AF200" s="26"/>
      <c r="AG200" s="26"/>
      <c r="AH200" s="38" t="s">
        <v>152</v>
      </c>
      <c r="AI200" s="27" t="s">
        <v>153</v>
      </c>
      <c r="AJ200" s="26">
        <v>0.5</v>
      </c>
      <c r="AK200" s="26">
        <v>0.5</v>
      </c>
      <c r="AL200" s="26"/>
      <c r="AM200" s="26">
        <v>1</v>
      </c>
      <c r="AN200" s="26"/>
      <c r="AO200" s="26"/>
      <c r="AP200" s="26">
        <v>250</v>
      </c>
      <c r="AQ200" s="26">
        <v>0.5</v>
      </c>
      <c r="AR200" s="26"/>
      <c r="AS200" s="26"/>
      <c r="AT200" s="26"/>
      <c r="AU200" s="26">
        <v>1</v>
      </c>
      <c r="AV200" s="26"/>
      <c r="AW200" s="26">
        <v>0</v>
      </c>
      <c r="AX200" s="26">
        <v>0</v>
      </c>
      <c r="AY200" s="26">
        <v>0</v>
      </c>
      <c r="AZ200" s="26">
        <v>0</v>
      </c>
      <c r="BA200" s="26">
        <v>0</v>
      </c>
      <c r="BB200" s="26">
        <v>0</v>
      </c>
      <c r="BC200" s="26">
        <v>100</v>
      </c>
      <c r="BD200" s="26">
        <v>100</v>
      </c>
      <c r="BE200" s="26"/>
      <c r="BF200" s="26" t="s">
        <v>154</v>
      </c>
      <c r="BG200" s="26">
        <v>0</v>
      </c>
      <c r="BH200" s="26">
        <v>0</v>
      </c>
      <c r="BI200" s="26">
        <v>100</v>
      </c>
      <c r="BJ200" s="26"/>
      <c r="BK200" s="26"/>
      <c r="BL200" s="26"/>
      <c r="BM200" s="26"/>
      <c r="BN200" s="26"/>
      <c r="BO200" s="26"/>
      <c r="BP200" s="26"/>
      <c r="BQ200" s="7">
        <v>0</v>
      </c>
    </row>
    <row r="201" spans="2:69" s="7" customFormat="1">
      <c r="B201" s="31" t="s">
        <v>763</v>
      </c>
      <c r="C201" s="7" t="s">
        <v>71</v>
      </c>
      <c r="D201" s="26" t="s">
        <v>280</v>
      </c>
      <c r="E201" s="27" t="s">
        <v>750</v>
      </c>
      <c r="F201" s="31"/>
      <c r="G201" s="26" t="s">
        <v>751</v>
      </c>
      <c r="H201" s="26"/>
      <c r="I201" s="26" t="s">
        <v>283</v>
      </c>
      <c r="J201" s="26"/>
      <c r="K201" s="26"/>
      <c r="L201" s="26">
        <v>0</v>
      </c>
      <c r="M201" s="26">
        <v>0</v>
      </c>
      <c r="N201" s="26"/>
      <c r="O201" s="26" t="s">
        <v>752</v>
      </c>
      <c r="P201" s="26">
        <f t="shared" si="5"/>
        <v>1.1000000000000001</v>
      </c>
      <c r="Q201" s="26"/>
      <c r="R201" s="26"/>
      <c r="S201" s="26"/>
      <c r="T201" s="26"/>
      <c r="U201" s="26">
        <v>1</v>
      </c>
      <c r="V201" s="26">
        <v>2</v>
      </c>
      <c r="W201" s="26" t="s">
        <v>469</v>
      </c>
      <c r="X201" s="26">
        <v>450</v>
      </c>
      <c r="Y201" s="26">
        <v>0</v>
      </c>
      <c r="Z201" s="26" t="s">
        <v>151</v>
      </c>
      <c r="AA201" s="26">
        <v>500</v>
      </c>
      <c r="AB201" s="26"/>
      <c r="AC201" s="26"/>
      <c r="AD201" s="26">
        <v>0</v>
      </c>
      <c r="AE201" s="26" t="s">
        <v>151</v>
      </c>
      <c r="AF201" s="26"/>
      <c r="AG201" s="26"/>
      <c r="AH201" s="38" t="s">
        <v>152</v>
      </c>
      <c r="AI201" s="27" t="s">
        <v>153</v>
      </c>
      <c r="AJ201" s="26">
        <v>0.5</v>
      </c>
      <c r="AK201" s="26">
        <v>0.5</v>
      </c>
      <c r="AL201" s="26"/>
      <c r="AM201" s="26">
        <v>1</v>
      </c>
      <c r="AN201" s="26"/>
      <c r="AO201" s="26"/>
      <c r="AP201" s="26">
        <v>250</v>
      </c>
      <c r="AQ201" s="26">
        <v>0.5</v>
      </c>
      <c r="AR201" s="26"/>
      <c r="AS201" s="26"/>
      <c r="AT201" s="26"/>
      <c r="AU201" s="26">
        <v>1</v>
      </c>
      <c r="AV201" s="26"/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0</v>
      </c>
      <c r="BC201" s="26">
        <v>100</v>
      </c>
      <c r="BD201" s="26">
        <v>100</v>
      </c>
      <c r="BE201" s="26"/>
      <c r="BF201" s="26" t="s">
        <v>154</v>
      </c>
      <c r="BG201" s="26">
        <v>0</v>
      </c>
      <c r="BH201" s="26">
        <v>0</v>
      </c>
      <c r="BI201" s="26">
        <v>100</v>
      </c>
      <c r="BJ201" s="26"/>
      <c r="BK201" s="26"/>
      <c r="BL201" s="26"/>
      <c r="BM201" s="26"/>
      <c r="BN201" s="26"/>
      <c r="BO201" s="26"/>
      <c r="BP201" s="26"/>
      <c r="BQ201" s="7">
        <v>0</v>
      </c>
    </row>
    <row r="202" spans="2:69" s="7" customFormat="1">
      <c r="B202" s="31" t="s">
        <v>764</v>
      </c>
      <c r="C202" s="7" t="s">
        <v>71</v>
      </c>
      <c r="D202" s="26" t="s">
        <v>280</v>
      </c>
      <c r="E202" s="27" t="s">
        <v>750</v>
      </c>
      <c r="F202" s="31"/>
      <c r="G202" s="26" t="s">
        <v>751</v>
      </c>
      <c r="H202" s="26"/>
      <c r="I202" s="26" t="s">
        <v>283</v>
      </c>
      <c r="J202" s="26"/>
      <c r="K202" s="26"/>
      <c r="L202" s="26">
        <v>0</v>
      </c>
      <c r="M202" s="26">
        <v>0</v>
      </c>
      <c r="N202" s="26"/>
      <c r="O202" s="26" t="s">
        <v>752</v>
      </c>
      <c r="P202" s="26">
        <f t="shared" si="5"/>
        <v>1.1499999999999999</v>
      </c>
      <c r="Q202" s="26"/>
      <c r="R202" s="26"/>
      <c r="S202" s="26"/>
      <c r="T202" s="26"/>
      <c r="U202" s="26">
        <v>1</v>
      </c>
      <c r="V202" s="26">
        <v>2</v>
      </c>
      <c r="W202" s="26" t="s">
        <v>469</v>
      </c>
      <c r="X202" s="26">
        <v>450</v>
      </c>
      <c r="Y202" s="26">
        <v>0</v>
      </c>
      <c r="Z202" s="26" t="s">
        <v>151</v>
      </c>
      <c r="AA202" s="26">
        <v>500</v>
      </c>
      <c r="AB202" s="26"/>
      <c r="AC202" s="26"/>
      <c r="AD202" s="26">
        <v>0</v>
      </c>
      <c r="AE202" s="26" t="s">
        <v>151</v>
      </c>
      <c r="AF202" s="26"/>
      <c r="AG202" s="26"/>
      <c r="AH202" s="38" t="s">
        <v>152</v>
      </c>
      <c r="AI202" s="27" t="s">
        <v>153</v>
      </c>
      <c r="AJ202" s="26">
        <v>0.5</v>
      </c>
      <c r="AK202" s="26">
        <v>0.5</v>
      </c>
      <c r="AL202" s="26"/>
      <c r="AM202" s="26">
        <v>1</v>
      </c>
      <c r="AN202" s="26"/>
      <c r="AO202" s="26"/>
      <c r="AP202" s="26">
        <v>250</v>
      </c>
      <c r="AQ202" s="26">
        <v>0.5</v>
      </c>
      <c r="AR202" s="26"/>
      <c r="AS202" s="26"/>
      <c r="AT202" s="26"/>
      <c r="AU202" s="26">
        <v>1</v>
      </c>
      <c r="AV202" s="26"/>
      <c r="AW202" s="26">
        <v>0</v>
      </c>
      <c r="AX202" s="26">
        <v>0</v>
      </c>
      <c r="AY202" s="26">
        <v>0</v>
      </c>
      <c r="AZ202" s="26">
        <v>0</v>
      </c>
      <c r="BA202" s="26">
        <v>0</v>
      </c>
      <c r="BB202" s="26">
        <v>0</v>
      </c>
      <c r="BC202" s="26">
        <v>100</v>
      </c>
      <c r="BD202" s="26">
        <v>100</v>
      </c>
      <c r="BE202" s="26"/>
      <c r="BF202" s="26" t="s">
        <v>154</v>
      </c>
      <c r="BG202" s="26">
        <v>0</v>
      </c>
      <c r="BH202" s="26">
        <v>0</v>
      </c>
      <c r="BI202" s="26">
        <v>100</v>
      </c>
      <c r="BJ202" s="26"/>
      <c r="BK202" s="26"/>
      <c r="BL202" s="26"/>
      <c r="BM202" s="26"/>
      <c r="BN202" s="26"/>
      <c r="BO202" s="26"/>
      <c r="BP202" s="26"/>
      <c r="BQ202" s="7">
        <v>0</v>
      </c>
    </row>
    <row r="203" spans="2:69" s="6" customFormat="1">
      <c r="B203" s="19" t="s">
        <v>765</v>
      </c>
      <c r="C203" s="6" t="s">
        <v>71</v>
      </c>
      <c r="D203" s="16" t="s">
        <v>280</v>
      </c>
      <c r="E203" s="41" t="s">
        <v>929</v>
      </c>
      <c r="F203" s="19"/>
      <c r="G203" s="16" t="s">
        <v>751</v>
      </c>
      <c r="H203" s="16"/>
      <c r="I203" s="16" t="s">
        <v>283</v>
      </c>
      <c r="J203" s="16"/>
      <c r="K203" s="16"/>
      <c r="L203" s="16">
        <v>0</v>
      </c>
      <c r="M203" s="16">
        <v>0</v>
      </c>
      <c r="N203" s="16"/>
      <c r="O203" s="16" t="s">
        <v>928</v>
      </c>
      <c r="P203" s="16">
        <v>0.4</v>
      </c>
      <c r="Q203" s="16"/>
      <c r="R203" s="16"/>
      <c r="S203" s="16"/>
      <c r="T203" s="16"/>
      <c r="U203" s="16">
        <v>1</v>
      </c>
      <c r="V203" s="16">
        <v>2</v>
      </c>
      <c r="W203" s="16" t="s">
        <v>469</v>
      </c>
      <c r="X203" s="16">
        <v>400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36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s="19" t="s">
        <v>766</v>
      </c>
      <c r="C204" s="6" t="s">
        <v>71</v>
      </c>
      <c r="D204" s="16" t="s">
        <v>280</v>
      </c>
      <c r="E204" s="41" t="s">
        <v>930</v>
      </c>
      <c r="F204" s="19"/>
      <c r="G204" s="16" t="s">
        <v>751</v>
      </c>
      <c r="H204" s="16"/>
      <c r="I204" s="16" t="s">
        <v>283</v>
      </c>
      <c r="J204" s="16"/>
      <c r="K204" s="16"/>
      <c r="L204" s="16">
        <v>0</v>
      </c>
      <c r="M204" s="16">
        <v>0</v>
      </c>
      <c r="N204" s="16"/>
      <c r="O204" s="16" t="s">
        <v>928</v>
      </c>
      <c r="P204" s="16">
        <v>0.45</v>
      </c>
      <c r="Q204" s="16"/>
      <c r="R204" s="16"/>
      <c r="S204" s="16"/>
      <c r="T204" s="16"/>
      <c r="U204" s="16">
        <v>1</v>
      </c>
      <c r="V204" s="16">
        <v>2</v>
      </c>
      <c r="W204" s="16" t="s">
        <v>469</v>
      </c>
      <c r="X204" s="16">
        <v>400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36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s="19" t="s">
        <v>767</v>
      </c>
      <c r="C205" s="6" t="s">
        <v>71</v>
      </c>
      <c r="D205" s="16" t="s">
        <v>280</v>
      </c>
      <c r="E205" s="41" t="s">
        <v>931</v>
      </c>
      <c r="F205" s="19"/>
      <c r="G205" s="16" t="s">
        <v>751</v>
      </c>
      <c r="H205" s="16"/>
      <c r="I205" s="16" t="s">
        <v>283</v>
      </c>
      <c r="J205" s="16"/>
      <c r="K205" s="16"/>
      <c r="L205" s="16">
        <v>0</v>
      </c>
      <c r="M205" s="16">
        <v>0</v>
      </c>
      <c r="N205" s="16"/>
      <c r="O205" s="16" t="s">
        <v>928</v>
      </c>
      <c r="P205" s="16">
        <v>0.5</v>
      </c>
      <c r="Q205" s="16"/>
      <c r="R205" s="16"/>
      <c r="S205" s="16"/>
      <c r="T205" s="16"/>
      <c r="U205" s="16">
        <v>1</v>
      </c>
      <c r="V205" s="16">
        <v>2</v>
      </c>
      <c r="W205" s="16" t="s">
        <v>469</v>
      </c>
      <c r="X205" s="16">
        <v>400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36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19" t="s">
        <v>768</v>
      </c>
      <c r="C206" s="6" t="s">
        <v>71</v>
      </c>
      <c r="D206" s="16" t="s">
        <v>280</v>
      </c>
      <c r="E206" s="41" t="s">
        <v>932</v>
      </c>
      <c r="F206" s="19"/>
      <c r="G206" s="16" t="s">
        <v>751</v>
      </c>
      <c r="H206" s="16"/>
      <c r="I206" s="16" t="s">
        <v>283</v>
      </c>
      <c r="J206" s="16"/>
      <c r="K206" s="16"/>
      <c r="L206" s="16">
        <v>0</v>
      </c>
      <c r="M206" s="16">
        <v>0</v>
      </c>
      <c r="N206" s="16"/>
      <c r="O206" s="16" t="s">
        <v>928</v>
      </c>
      <c r="P206" s="16">
        <v>0.55000000000000004</v>
      </c>
      <c r="Q206" s="16"/>
      <c r="R206" s="16"/>
      <c r="S206" s="16"/>
      <c r="T206" s="16"/>
      <c r="U206" s="16">
        <v>1</v>
      </c>
      <c r="V206" s="16">
        <v>2</v>
      </c>
      <c r="W206" s="16" t="s">
        <v>469</v>
      </c>
      <c r="X206" s="16">
        <v>400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36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19" t="s">
        <v>769</v>
      </c>
      <c r="C207" s="6" t="s">
        <v>71</v>
      </c>
      <c r="D207" s="16" t="s">
        <v>280</v>
      </c>
      <c r="E207" s="41" t="s">
        <v>933</v>
      </c>
      <c r="F207" s="19"/>
      <c r="G207" s="16" t="s">
        <v>751</v>
      </c>
      <c r="H207" s="16"/>
      <c r="I207" s="16" t="s">
        <v>283</v>
      </c>
      <c r="J207" s="16"/>
      <c r="K207" s="16"/>
      <c r="L207" s="16">
        <v>0</v>
      </c>
      <c r="M207" s="16">
        <v>0</v>
      </c>
      <c r="N207" s="16"/>
      <c r="O207" s="16" t="s">
        <v>928</v>
      </c>
      <c r="P207" s="16">
        <v>0.6</v>
      </c>
      <c r="Q207" s="16"/>
      <c r="R207" s="16"/>
      <c r="S207" s="16"/>
      <c r="T207" s="16"/>
      <c r="U207" s="16">
        <v>1</v>
      </c>
      <c r="V207" s="16">
        <v>2</v>
      </c>
      <c r="W207" s="16" t="s">
        <v>469</v>
      </c>
      <c r="X207" s="16">
        <v>400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36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19" t="s">
        <v>770</v>
      </c>
      <c r="C208" s="6" t="s">
        <v>71</v>
      </c>
      <c r="D208" s="16" t="s">
        <v>280</v>
      </c>
      <c r="E208" s="41" t="s">
        <v>934</v>
      </c>
      <c r="F208" s="19"/>
      <c r="G208" s="16" t="s">
        <v>751</v>
      </c>
      <c r="H208" s="16"/>
      <c r="I208" s="16" t="s">
        <v>283</v>
      </c>
      <c r="J208" s="16" t="s">
        <v>448</v>
      </c>
      <c r="K208" s="16"/>
      <c r="L208" s="16">
        <v>0</v>
      </c>
      <c r="M208" s="16">
        <v>0</v>
      </c>
      <c r="N208" s="16"/>
      <c r="O208" s="16" t="s">
        <v>771</v>
      </c>
      <c r="P208" s="16">
        <v>0.9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36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0.2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19" t="s">
        <v>772</v>
      </c>
      <c r="C209" s="6" t="s">
        <v>71</v>
      </c>
      <c r="D209" s="16" t="s">
        <v>280</v>
      </c>
      <c r="E209" s="41" t="s">
        <v>935</v>
      </c>
      <c r="F209" s="19"/>
      <c r="G209" s="16" t="s">
        <v>751</v>
      </c>
      <c r="H209" s="16"/>
      <c r="I209" s="16" t="s">
        <v>283</v>
      </c>
      <c r="J209" s="16"/>
      <c r="K209" s="16"/>
      <c r="L209" s="16">
        <v>0</v>
      </c>
      <c r="M209" s="16">
        <v>0</v>
      </c>
      <c r="N209" s="16"/>
      <c r="O209" s="16" t="s">
        <v>928</v>
      </c>
      <c r="P209" s="16">
        <v>0.4</v>
      </c>
      <c r="Q209" s="16"/>
      <c r="R209" s="16"/>
      <c r="S209" s="16"/>
      <c r="T209" s="16"/>
      <c r="U209" s="16">
        <v>1</v>
      </c>
      <c r="V209" s="16">
        <v>2</v>
      </c>
      <c r="W209" s="16" t="s">
        <v>469</v>
      </c>
      <c r="X209" s="16">
        <v>400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36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19" t="s">
        <v>773</v>
      </c>
      <c r="C210" s="6" t="s">
        <v>71</v>
      </c>
      <c r="D210" s="16" t="s">
        <v>280</v>
      </c>
      <c r="E210" s="41" t="s">
        <v>936</v>
      </c>
      <c r="F210" s="19"/>
      <c r="G210" s="16" t="s">
        <v>751</v>
      </c>
      <c r="H210" s="16"/>
      <c r="I210" s="16" t="s">
        <v>283</v>
      </c>
      <c r="J210" s="16"/>
      <c r="K210" s="16"/>
      <c r="L210" s="16">
        <v>0</v>
      </c>
      <c r="M210" s="16">
        <v>0</v>
      </c>
      <c r="N210" s="16"/>
      <c r="O210" s="16" t="s">
        <v>928</v>
      </c>
      <c r="P210" s="16">
        <v>0.45</v>
      </c>
      <c r="Q210" s="16"/>
      <c r="R210" s="16"/>
      <c r="S210" s="16"/>
      <c r="T210" s="16"/>
      <c r="U210" s="16">
        <v>1</v>
      </c>
      <c r="V210" s="16">
        <v>2</v>
      </c>
      <c r="W210" s="16" t="s">
        <v>469</v>
      </c>
      <c r="X210" s="16">
        <v>400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36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19" t="s">
        <v>774</v>
      </c>
      <c r="C211" s="6" t="s">
        <v>71</v>
      </c>
      <c r="D211" s="16" t="s">
        <v>280</v>
      </c>
      <c r="E211" s="41" t="s">
        <v>937</v>
      </c>
      <c r="F211" s="19"/>
      <c r="G211" s="16" t="s">
        <v>751</v>
      </c>
      <c r="H211" s="16"/>
      <c r="I211" s="16" t="s">
        <v>283</v>
      </c>
      <c r="J211" s="16"/>
      <c r="K211" s="16"/>
      <c r="L211" s="16">
        <v>0</v>
      </c>
      <c r="M211" s="16">
        <v>0</v>
      </c>
      <c r="N211" s="16"/>
      <c r="O211" s="16" t="s">
        <v>928</v>
      </c>
      <c r="P211" s="16">
        <v>0.5</v>
      </c>
      <c r="Q211" s="16"/>
      <c r="R211" s="16"/>
      <c r="S211" s="16"/>
      <c r="T211" s="16"/>
      <c r="U211" s="16">
        <v>1</v>
      </c>
      <c r="V211" s="16">
        <v>2</v>
      </c>
      <c r="W211" s="16" t="s">
        <v>469</v>
      </c>
      <c r="X211" s="16">
        <v>400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36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19" t="s">
        <v>775</v>
      </c>
      <c r="C212" s="6" t="s">
        <v>71</v>
      </c>
      <c r="D212" s="16" t="s">
        <v>280</v>
      </c>
      <c r="E212" s="41" t="s">
        <v>938</v>
      </c>
      <c r="F212" s="19"/>
      <c r="G212" s="16" t="s">
        <v>751</v>
      </c>
      <c r="H212" s="16"/>
      <c r="I212" s="16" t="s">
        <v>283</v>
      </c>
      <c r="J212" s="16"/>
      <c r="K212" s="16"/>
      <c r="L212" s="16">
        <v>0</v>
      </c>
      <c r="M212" s="16">
        <v>0</v>
      </c>
      <c r="N212" s="16"/>
      <c r="O212" s="16" t="s">
        <v>928</v>
      </c>
      <c r="P212" s="16">
        <v>0.55000000000000004</v>
      </c>
      <c r="Q212" s="16"/>
      <c r="R212" s="16"/>
      <c r="S212" s="16"/>
      <c r="T212" s="16"/>
      <c r="U212" s="16">
        <v>1</v>
      </c>
      <c r="V212" s="16">
        <v>2</v>
      </c>
      <c r="W212" s="16" t="s">
        <v>469</v>
      </c>
      <c r="X212" s="16">
        <v>400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36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19" t="s">
        <v>776</v>
      </c>
      <c r="C213" s="6" t="s">
        <v>71</v>
      </c>
      <c r="D213" s="16" t="s">
        <v>280</v>
      </c>
      <c r="E213" s="41" t="s">
        <v>939</v>
      </c>
      <c r="F213" s="19"/>
      <c r="G213" s="16" t="s">
        <v>751</v>
      </c>
      <c r="H213" s="16"/>
      <c r="I213" s="16" t="s">
        <v>283</v>
      </c>
      <c r="J213" s="16"/>
      <c r="K213" s="16"/>
      <c r="L213" s="16">
        <v>0</v>
      </c>
      <c r="M213" s="16">
        <v>0</v>
      </c>
      <c r="N213" s="16"/>
      <c r="O213" s="16" t="s">
        <v>928</v>
      </c>
      <c r="P213" s="16">
        <v>0.6</v>
      </c>
      <c r="Q213" s="16"/>
      <c r="R213" s="16"/>
      <c r="S213" s="16"/>
      <c r="T213" s="16"/>
      <c r="U213" s="16">
        <v>1</v>
      </c>
      <c r="V213" s="16">
        <v>2</v>
      </c>
      <c r="W213" s="16" t="s">
        <v>469</v>
      </c>
      <c r="X213" s="16">
        <v>400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36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19" t="s">
        <v>777</v>
      </c>
      <c r="C214" s="6" t="s">
        <v>71</v>
      </c>
      <c r="D214" s="16" t="s">
        <v>280</v>
      </c>
      <c r="E214" s="41" t="s">
        <v>940</v>
      </c>
      <c r="F214" s="19"/>
      <c r="G214" s="16" t="s">
        <v>751</v>
      </c>
      <c r="H214" s="16"/>
      <c r="I214" s="16" t="s">
        <v>283</v>
      </c>
      <c r="J214" s="16" t="s">
        <v>448</v>
      </c>
      <c r="K214" s="16"/>
      <c r="L214" s="16">
        <v>0</v>
      </c>
      <c r="M214" s="16">
        <v>0</v>
      </c>
      <c r="N214" s="16"/>
      <c r="O214" s="16" t="s">
        <v>778</v>
      </c>
      <c r="P214" s="16">
        <v>0.8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36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0.2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19" t="s">
        <v>779</v>
      </c>
      <c r="C215" s="6" t="s">
        <v>71</v>
      </c>
      <c r="D215" s="16" t="s">
        <v>280</v>
      </c>
      <c r="E215" s="41" t="s">
        <v>941</v>
      </c>
      <c r="F215" s="19"/>
      <c r="G215" s="16" t="s">
        <v>751</v>
      </c>
      <c r="H215" s="16"/>
      <c r="I215" s="16" t="s">
        <v>283</v>
      </c>
      <c r="J215" s="16"/>
      <c r="K215" s="16"/>
      <c r="L215" s="16">
        <v>0</v>
      </c>
      <c r="M215" s="16">
        <v>0</v>
      </c>
      <c r="N215" s="16"/>
      <c r="O215" s="16" t="s">
        <v>928</v>
      </c>
      <c r="P215" s="16">
        <v>0.4</v>
      </c>
      <c r="Q215" s="16"/>
      <c r="R215" s="16"/>
      <c r="S215" s="16"/>
      <c r="T215" s="16"/>
      <c r="U215" s="16">
        <v>1</v>
      </c>
      <c r="V215" s="16">
        <v>2</v>
      </c>
      <c r="W215" s="16" t="s">
        <v>469</v>
      </c>
      <c r="X215" s="16">
        <v>400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36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19" t="s">
        <v>780</v>
      </c>
      <c r="C216" s="6" t="s">
        <v>71</v>
      </c>
      <c r="D216" s="16" t="s">
        <v>280</v>
      </c>
      <c r="E216" s="41" t="s">
        <v>942</v>
      </c>
      <c r="F216" s="19"/>
      <c r="G216" s="16" t="s">
        <v>751</v>
      </c>
      <c r="H216" s="16"/>
      <c r="I216" s="16" t="s">
        <v>283</v>
      </c>
      <c r="J216" s="16"/>
      <c r="K216" s="16"/>
      <c r="L216" s="16">
        <v>0</v>
      </c>
      <c r="M216" s="16">
        <v>0</v>
      </c>
      <c r="N216" s="16"/>
      <c r="O216" s="16" t="s">
        <v>928</v>
      </c>
      <c r="P216" s="16">
        <v>0.45</v>
      </c>
      <c r="Q216" s="16"/>
      <c r="R216" s="16"/>
      <c r="S216" s="16"/>
      <c r="T216" s="16"/>
      <c r="U216" s="16">
        <v>1</v>
      </c>
      <c r="V216" s="16">
        <v>2</v>
      </c>
      <c r="W216" s="16" t="s">
        <v>469</v>
      </c>
      <c r="X216" s="16">
        <v>400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36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19" t="s">
        <v>781</v>
      </c>
      <c r="C217" s="6" t="s">
        <v>71</v>
      </c>
      <c r="D217" s="16" t="s">
        <v>280</v>
      </c>
      <c r="E217" s="41" t="s">
        <v>943</v>
      </c>
      <c r="F217" s="19"/>
      <c r="G217" s="16" t="s">
        <v>751</v>
      </c>
      <c r="H217" s="16"/>
      <c r="I217" s="16" t="s">
        <v>283</v>
      </c>
      <c r="J217" s="16"/>
      <c r="K217" s="16"/>
      <c r="L217" s="16">
        <v>0</v>
      </c>
      <c r="M217" s="16">
        <v>0</v>
      </c>
      <c r="N217" s="16"/>
      <c r="O217" s="16" t="s">
        <v>928</v>
      </c>
      <c r="P217" s="16">
        <v>0.5</v>
      </c>
      <c r="Q217" s="16"/>
      <c r="R217" s="16"/>
      <c r="S217" s="16"/>
      <c r="T217" s="16"/>
      <c r="U217" s="16">
        <v>1</v>
      </c>
      <c r="V217" s="16">
        <v>2</v>
      </c>
      <c r="W217" s="16" t="s">
        <v>469</v>
      </c>
      <c r="X217" s="16">
        <v>400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36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19" t="s">
        <v>782</v>
      </c>
      <c r="C218" s="6" t="s">
        <v>71</v>
      </c>
      <c r="D218" s="16" t="s">
        <v>280</v>
      </c>
      <c r="E218" s="41" t="s">
        <v>944</v>
      </c>
      <c r="F218" s="19"/>
      <c r="G218" s="16" t="s">
        <v>751</v>
      </c>
      <c r="H218" s="16"/>
      <c r="I218" s="16" t="s">
        <v>283</v>
      </c>
      <c r="J218" s="16"/>
      <c r="K218" s="16"/>
      <c r="L218" s="16">
        <v>0</v>
      </c>
      <c r="M218" s="16">
        <v>0</v>
      </c>
      <c r="N218" s="16"/>
      <c r="O218" s="16" t="s">
        <v>928</v>
      </c>
      <c r="P218" s="16">
        <v>0.55000000000000004</v>
      </c>
      <c r="Q218" s="16"/>
      <c r="R218" s="16"/>
      <c r="S218" s="16"/>
      <c r="T218" s="16"/>
      <c r="U218" s="16">
        <v>1</v>
      </c>
      <c r="V218" s="16">
        <v>2</v>
      </c>
      <c r="W218" s="16" t="s">
        <v>469</v>
      </c>
      <c r="X218" s="16">
        <v>400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36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19" t="s">
        <v>783</v>
      </c>
      <c r="C219" s="6" t="s">
        <v>71</v>
      </c>
      <c r="D219" s="16" t="s">
        <v>280</v>
      </c>
      <c r="E219" s="41" t="s">
        <v>945</v>
      </c>
      <c r="F219" s="19"/>
      <c r="G219" s="16" t="s">
        <v>751</v>
      </c>
      <c r="H219" s="16"/>
      <c r="I219" s="16" t="s">
        <v>283</v>
      </c>
      <c r="J219" s="16"/>
      <c r="K219" s="16"/>
      <c r="L219" s="16">
        <v>0</v>
      </c>
      <c r="M219" s="16">
        <v>0</v>
      </c>
      <c r="N219" s="16"/>
      <c r="O219" s="16" t="s">
        <v>928</v>
      </c>
      <c r="P219" s="16">
        <v>0.6</v>
      </c>
      <c r="Q219" s="16"/>
      <c r="R219" s="16"/>
      <c r="S219" s="16"/>
      <c r="T219" s="16"/>
      <c r="U219" s="16">
        <v>1</v>
      </c>
      <c r="V219" s="16">
        <v>2</v>
      </c>
      <c r="W219" s="16" t="s">
        <v>469</v>
      </c>
      <c r="X219" s="16">
        <v>400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36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19" t="s">
        <v>784</v>
      </c>
      <c r="C220" s="6" t="s">
        <v>71</v>
      </c>
      <c r="D220" s="16" t="s">
        <v>280</v>
      </c>
      <c r="E220" s="41" t="s">
        <v>946</v>
      </c>
      <c r="F220" s="19"/>
      <c r="G220" s="16" t="s">
        <v>751</v>
      </c>
      <c r="H220" s="16"/>
      <c r="I220" s="16" t="s">
        <v>283</v>
      </c>
      <c r="J220" s="16" t="s">
        <v>448</v>
      </c>
      <c r="K220" s="16"/>
      <c r="L220" s="16">
        <v>0</v>
      </c>
      <c r="M220" s="16">
        <v>0</v>
      </c>
      <c r="N220" s="16"/>
      <c r="O220" s="16" t="s">
        <v>785</v>
      </c>
      <c r="P220" s="16">
        <v>1.05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36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0.2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19" t="s">
        <v>786</v>
      </c>
      <c r="C221" s="6" t="s">
        <v>71</v>
      </c>
      <c r="D221" s="16" t="s">
        <v>280</v>
      </c>
      <c r="E221" s="41" t="s">
        <v>947</v>
      </c>
      <c r="F221" s="19"/>
      <c r="G221" s="16" t="s">
        <v>751</v>
      </c>
      <c r="H221" s="16"/>
      <c r="I221" s="16" t="s">
        <v>283</v>
      </c>
      <c r="J221" s="16"/>
      <c r="K221" s="16"/>
      <c r="L221" s="16">
        <v>0</v>
      </c>
      <c r="M221" s="16">
        <v>0</v>
      </c>
      <c r="N221" s="16"/>
      <c r="O221" s="16" t="s">
        <v>928</v>
      </c>
      <c r="P221" s="16">
        <v>0.4</v>
      </c>
      <c r="Q221" s="16"/>
      <c r="R221" s="16"/>
      <c r="S221" s="16"/>
      <c r="T221" s="16"/>
      <c r="U221" s="16">
        <v>1</v>
      </c>
      <c r="V221" s="16">
        <v>2</v>
      </c>
      <c r="W221" s="16" t="s">
        <v>469</v>
      </c>
      <c r="X221" s="16">
        <v>400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36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19" t="s">
        <v>787</v>
      </c>
      <c r="C222" s="6" t="s">
        <v>71</v>
      </c>
      <c r="D222" s="16" t="s">
        <v>280</v>
      </c>
      <c r="E222" s="41" t="s">
        <v>948</v>
      </c>
      <c r="F222" s="19"/>
      <c r="G222" s="16" t="s">
        <v>751</v>
      </c>
      <c r="H222" s="16"/>
      <c r="I222" s="16" t="s">
        <v>283</v>
      </c>
      <c r="J222" s="16"/>
      <c r="K222" s="16"/>
      <c r="L222" s="16">
        <v>0</v>
      </c>
      <c r="M222" s="16">
        <v>0</v>
      </c>
      <c r="N222" s="16"/>
      <c r="O222" s="16" t="s">
        <v>928</v>
      </c>
      <c r="P222" s="16">
        <v>0.45</v>
      </c>
      <c r="Q222" s="16"/>
      <c r="R222" s="16"/>
      <c r="S222" s="16"/>
      <c r="T222" s="16"/>
      <c r="U222" s="16">
        <v>1</v>
      </c>
      <c r="V222" s="16">
        <v>2</v>
      </c>
      <c r="W222" s="16" t="s">
        <v>469</v>
      </c>
      <c r="X222" s="16">
        <v>400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36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19" t="s">
        <v>788</v>
      </c>
      <c r="C223" s="6" t="s">
        <v>71</v>
      </c>
      <c r="D223" s="16" t="s">
        <v>280</v>
      </c>
      <c r="E223" s="41" t="s">
        <v>949</v>
      </c>
      <c r="F223" s="19"/>
      <c r="G223" s="16" t="s">
        <v>751</v>
      </c>
      <c r="H223" s="16"/>
      <c r="I223" s="16" t="s">
        <v>283</v>
      </c>
      <c r="J223" s="16"/>
      <c r="K223" s="16"/>
      <c r="L223" s="16">
        <v>0</v>
      </c>
      <c r="M223" s="16">
        <v>0</v>
      </c>
      <c r="N223" s="16"/>
      <c r="O223" s="16" t="s">
        <v>928</v>
      </c>
      <c r="P223" s="16">
        <v>0.5</v>
      </c>
      <c r="Q223" s="16"/>
      <c r="R223" s="16"/>
      <c r="S223" s="16"/>
      <c r="T223" s="16"/>
      <c r="U223" s="16">
        <v>1</v>
      </c>
      <c r="V223" s="16">
        <v>2</v>
      </c>
      <c r="W223" s="16" t="s">
        <v>469</v>
      </c>
      <c r="X223" s="16">
        <v>400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36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19" t="s">
        <v>789</v>
      </c>
      <c r="C224" s="6" t="s">
        <v>71</v>
      </c>
      <c r="D224" s="16" t="s">
        <v>280</v>
      </c>
      <c r="E224" s="41" t="s">
        <v>950</v>
      </c>
      <c r="F224" s="19"/>
      <c r="G224" s="16" t="s">
        <v>751</v>
      </c>
      <c r="H224" s="16"/>
      <c r="I224" s="16" t="s">
        <v>283</v>
      </c>
      <c r="J224" s="16"/>
      <c r="K224" s="16"/>
      <c r="L224" s="16">
        <v>0</v>
      </c>
      <c r="M224" s="16">
        <v>0</v>
      </c>
      <c r="N224" s="16"/>
      <c r="O224" s="16" t="s">
        <v>928</v>
      </c>
      <c r="P224" s="16">
        <v>0.55000000000000004</v>
      </c>
      <c r="Q224" s="16"/>
      <c r="R224" s="16"/>
      <c r="S224" s="16"/>
      <c r="T224" s="16"/>
      <c r="U224" s="16">
        <v>1</v>
      </c>
      <c r="V224" s="16">
        <v>2</v>
      </c>
      <c r="W224" s="16" t="s">
        <v>469</v>
      </c>
      <c r="X224" s="16">
        <v>400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36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73" s="6" customFormat="1">
      <c r="B225" s="19" t="s">
        <v>790</v>
      </c>
      <c r="C225" s="6" t="s">
        <v>71</v>
      </c>
      <c r="D225" s="16" t="s">
        <v>280</v>
      </c>
      <c r="E225" s="41" t="s">
        <v>951</v>
      </c>
      <c r="F225" s="19"/>
      <c r="G225" s="16" t="s">
        <v>751</v>
      </c>
      <c r="H225" s="16"/>
      <c r="I225" s="16" t="s">
        <v>283</v>
      </c>
      <c r="J225" s="16"/>
      <c r="K225" s="16"/>
      <c r="L225" s="16">
        <v>0</v>
      </c>
      <c r="M225" s="16">
        <v>0</v>
      </c>
      <c r="N225" s="16"/>
      <c r="O225" s="16" t="s">
        <v>928</v>
      </c>
      <c r="P225" s="16">
        <v>0.6</v>
      </c>
      <c r="Q225" s="16"/>
      <c r="R225" s="16"/>
      <c r="S225" s="16"/>
      <c r="T225" s="16"/>
      <c r="U225" s="16">
        <v>1</v>
      </c>
      <c r="V225" s="16">
        <v>2</v>
      </c>
      <c r="W225" s="16" t="s">
        <v>469</v>
      </c>
      <c r="X225" s="16">
        <v>400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36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73" s="6" customFormat="1">
      <c r="B226" s="19" t="s">
        <v>791</v>
      </c>
      <c r="C226" s="6" t="s">
        <v>71</v>
      </c>
      <c r="D226" s="16" t="s">
        <v>280</v>
      </c>
      <c r="E226" s="41" t="s">
        <v>952</v>
      </c>
      <c r="F226" s="19"/>
      <c r="G226" s="16" t="s">
        <v>751</v>
      </c>
      <c r="H226" s="16"/>
      <c r="I226" s="16" t="s">
        <v>283</v>
      </c>
      <c r="J226" s="16" t="s">
        <v>448</v>
      </c>
      <c r="K226" s="16"/>
      <c r="L226" s="16">
        <v>0</v>
      </c>
      <c r="M226" s="16">
        <v>0</v>
      </c>
      <c r="N226" s="16"/>
      <c r="O226" s="16" t="s">
        <v>792</v>
      </c>
      <c r="P226" s="16">
        <v>1.1000000000000001</v>
      </c>
      <c r="Q226" s="16"/>
      <c r="R226" s="16"/>
      <c r="S226" s="16"/>
      <c r="T226" s="16"/>
      <c r="U226" s="16">
        <v>1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36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0.2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73" s="6" customFormat="1">
      <c r="B227" s="32" t="s">
        <v>793</v>
      </c>
      <c r="C227" s="6" t="s">
        <v>71</v>
      </c>
      <c r="D227" s="16" t="s">
        <v>280</v>
      </c>
      <c r="E227" t="s">
        <v>794</v>
      </c>
      <c r="F227" s="19"/>
      <c r="G227" s="16" t="s">
        <v>751</v>
      </c>
      <c r="H227" s="16"/>
      <c r="I227" s="16" t="s">
        <v>283</v>
      </c>
      <c r="J227" s="16"/>
      <c r="K227" s="16"/>
      <c r="L227" s="16">
        <v>0</v>
      </c>
      <c r="M227" s="16">
        <v>0</v>
      </c>
      <c r="N227" s="16"/>
      <c r="O227" s="16" t="s">
        <v>345</v>
      </c>
      <c r="P227" s="16">
        <v>0.5</v>
      </c>
      <c r="Q227" s="16"/>
      <c r="R227" s="16"/>
      <c r="S227" s="16"/>
      <c r="T227" s="16"/>
      <c r="U227" s="16">
        <v>0.5</v>
      </c>
      <c r="V227" s="16">
        <v>2</v>
      </c>
      <c r="W227" s="16" t="s">
        <v>150</v>
      </c>
      <c r="X227" s="16">
        <v>300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36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1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2</v>
      </c>
      <c r="BJ227" s="16"/>
      <c r="BK227" s="16"/>
      <c r="BL227" s="16"/>
      <c r="BM227" s="16"/>
      <c r="BN227" s="16"/>
      <c r="BO227" s="16"/>
      <c r="BP227" s="16"/>
      <c r="BQ227" s="6">
        <v>0</v>
      </c>
      <c r="BT227" s="6" t="s">
        <v>557</v>
      </c>
    </row>
    <row r="228" spans="2:73" s="6" customFormat="1">
      <c r="B228" t="s">
        <v>795</v>
      </c>
      <c r="C228" s="6" t="s">
        <v>71</v>
      </c>
      <c r="D228" s="16" t="s">
        <v>280</v>
      </c>
      <c r="E228" t="s">
        <v>796</v>
      </c>
      <c r="F228" s="19"/>
      <c r="G228" s="16" t="s">
        <v>751</v>
      </c>
      <c r="H228" s="16"/>
      <c r="I228" s="16" t="s">
        <v>283</v>
      </c>
      <c r="J228" s="16" t="s">
        <v>359</v>
      </c>
      <c r="K228" s="16"/>
      <c r="L228" s="16">
        <v>0</v>
      </c>
      <c r="M228" s="16">
        <v>0</v>
      </c>
      <c r="N228" s="16"/>
      <c r="O228" s="16" t="s">
        <v>797</v>
      </c>
      <c r="P228" s="16">
        <v>1.5</v>
      </c>
      <c r="Q228" s="16"/>
      <c r="R228" s="16"/>
      <c r="S228" s="16"/>
      <c r="T228" s="16"/>
      <c r="U228" s="16">
        <v>1</v>
      </c>
      <c r="V228" s="16">
        <v>2</v>
      </c>
      <c r="W228" s="16" t="s">
        <v>150</v>
      </c>
      <c r="X228" s="16">
        <v>350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36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0.8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5</v>
      </c>
      <c r="BJ228" s="16"/>
      <c r="BK228" s="16"/>
      <c r="BL228" s="16"/>
      <c r="BM228" s="16"/>
      <c r="BN228" s="16"/>
      <c r="BO228" s="16"/>
      <c r="BP228" s="16"/>
      <c r="BQ228" s="6">
        <v>0</v>
      </c>
      <c r="BT228" s="6" t="s">
        <v>557</v>
      </c>
    </row>
    <row r="229" spans="2:73" s="6" customFormat="1">
      <c r="B229" s="4" t="s">
        <v>798</v>
      </c>
      <c r="C229" s="6" t="s">
        <v>71</v>
      </c>
      <c r="D229" s="16" t="s">
        <v>280</v>
      </c>
      <c r="E229" s="4" t="s">
        <v>799</v>
      </c>
      <c r="F229" s="19"/>
      <c r="G229" s="16" t="s">
        <v>800</v>
      </c>
      <c r="H229" s="16"/>
      <c r="I229" s="16" t="s">
        <v>283</v>
      </c>
      <c r="J229" s="16" t="s">
        <v>448</v>
      </c>
      <c r="K229" s="16"/>
      <c r="L229" s="16">
        <v>0</v>
      </c>
      <c r="M229" s="16">
        <v>0</v>
      </c>
      <c r="N229" s="16"/>
      <c r="O229" s="4" t="s">
        <v>801</v>
      </c>
      <c r="P229" s="16">
        <v>1.5</v>
      </c>
      <c r="Q229" s="16"/>
      <c r="R229" s="16"/>
      <c r="S229" s="16"/>
      <c r="T229" s="16"/>
      <c r="U229" s="16">
        <v>1</v>
      </c>
      <c r="V229" s="16">
        <v>2</v>
      </c>
      <c r="W229" s="16" t="s">
        <v>150</v>
      </c>
      <c r="X229" s="16">
        <v>350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36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0.8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  <c r="BT229" s="6" t="s">
        <v>557</v>
      </c>
    </row>
    <row r="230" spans="2:73" s="5" customFormat="1">
      <c r="B230" s="10"/>
      <c r="D230" s="10"/>
      <c r="E230" s="33"/>
      <c r="F230" s="33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  <c r="BA230" s="10"/>
      <c r="BB230" s="10"/>
      <c r="BC230" s="10"/>
      <c r="BD230" s="10"/>
      <c r="BE230" s="10"/>
      <c r="BF230" s="10"/>
      <c r="BG230" s="10"/>
      <c r="BH230" s="10"/>
      <c r="BI230" s="10"/>
      <c r="BJ230" s="34"/>
      <c r="BK230" s="34"/>
      <c r="BL230" s="34"/>
      <c r="BM230" s="34"/>
      <c r="BN230" s="34"/>
      <c r="BO230" s="34"/>
      <c r="BP230" s="35"/>
      <c r="BQ230" s="6"/>
      <c r="BR230" s="6"/>
      <c r="BS230" s="6"/>
      <c r="BT230" s="6"/>
      <c r="BU230" s="6"/>
    </row>
    <row r="231" spans="2:73" s="5" customFormat="1">
      <c r="B231" s="10"/>
      <c r="D231" s="10"/>
      <c r="E231" s="33"/>
      <c r="F231" s="33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  <c r="BA231" s="10"/>
      <c r="BB231" s="10"/>
      <c r="BC231" s="10"/>
      <c r="BD231" s="10"/>
      <c r="BE231" s="10"/>
      <c r="BF231" s="10"/>
      <c r="BG231" s="10"/>
      <c r="BH231" s="10"/>
      <c r="BI231" s="10"/>
      <c r="BJ231" s="34"/>
      <c r="BK231" s="34"/>
      <c r="BL231" s="34"/>
      <c r="BM231" s="34"/>
      <c r="BN231" s="34"/>
      <c r="BO231" s="34"/>
      <c r="BP231" s="35"/>
      <c r="BQ231" s="6"/>
      <c r="BR231" s="6"/>
      <c r="BS231" s="6"/>
      <c r="BT231" s="6"/>
      <c r="BU231" s="6"/>
    </row>
    <row r="232" spans="2:73" s="5" customFormat="1">
      <c r="B232" s="10"/>
      <c r="D232" s="10"/>
      <c r="E232" s="33"/>
      <c r="F232" s="33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  <c r="BA232" s="10"/>
      <c r="BB232" s="10"/>
      <c r="BC232" s="10"/>
      <c r="BD232" s="10"/>
      <c r="BE232" s="10"/>
      <c r="BF232" s="10"/>
      <c r="BG232" s="10"/>
      <c r="BH232" s="10"/>
      <c r="BI232" s="10"/>
      <c r="BJ232" s="34"/>
      <c r="BK232" s="34"/>
      <c r="BL232" s="34"/>
      <c r="BM232" s="34"/>
      <c r="BN232" s="34"/>
      <c r="BO232" s="34"/>
      <c r="BP232" s="35"/>
      <c r="BQ232" s="6"/>
      <c r="BR232" s="6"/>
      <c r="BS232" s="6"/>
      <c r="BT232" s="6"/>
      <c r="BU232" s="6"/>
    </row>
    <row r="233" spans="2:73" s="5" customFormat="1">
      <c r="B233" s="10"/>
      <c r="D233" s="10"/>
      <c r="E233" s="33"/>
      <c r="F233" s="33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  <c r="BA233" s="10"/>
      <c r="BB233" s="10"/>
      <c r="BC233" s="10"/>
      <c r="BD233" s="10"/>
      <c r="BE233" s="10"/>
      <c r="BF233" s="10"/>
      <c r="BG233" s="10"/>
      <c r="BH233" s="10"/>
      <c r="BI233" s="10"/>
      <c r="BJ233" s="34"/>
      <c r="BK233" s="34"/>
      <c r="BL233" s="34"/>
      <c r="BM233" s="34"/>
      <c r="BN233" s="34"/>
      <c r="BO233" s="34"/>
      <c r="BP233" s="35"/>
      <c r="BQ233" s="6"/>
      <c r="BR233" s="6"/>
      <c r="BS233" s="6"/>
      <c r="BT233" s="6"/>
      <c r="BU233" s="6"/>
    </row>
    <row r="234" spans="2:73" s="5" customFormat="1">
      <c r="B234" s="10"/>
      <c r="D234" s="10"/>
      <c r="E234" s="33"/>
      <c r="F234" s="33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  <c r="BA234" s="10"/>
      <c r="BB234" s="10"/>
      <c r="BC234" s="10"/>
      <c r="BD234" s="10"/>
      <c r="BE234" s="10"/>
      <c r="BF234" s="10"/>
      <c r="BG234" s="10"/>
      <c r="BH234" s="10"/>
      <c r="BI234" s="10"/>
      <c r="BJ234" s="34"/>
      <c r="BK234" s="34"/>
      <c r="BL234" s="34"/>
      <c r="BM234" s="34"/>
      <c r="BN234" s="34"/>
      <c r="BO234" s="34"/>
      <c r="BP234" s="35"/>
      <c r="BQ234" s="6"/>
      <c r="BR234" s="6"/>
      <c r="BS234" s="6"/>
      <c r="BT234" s="6"/>
      <c r="BU234" s="6"/>
    </row>
    <row r="235" spans="2:73" s="5" customFormat="1">
      <c r="B235" s="10"/>
      <c r="D235" s="10"/>
      <c r="E235" s="33"/>
      <c r="F235" s="33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  <c r="BA235" s="10"/>
      <c r="BB235" s="10"/>
      <c r="BC235" s="10"/>
      <c r="BD235" s="10"/>
      <c r="BE235" s="10"/>
      <c r="BF235" s="10"/>
      <c r="BG235" s="10"/>
      <c r="BH235" s="10"/>
      <c r="BI235" s="10"/>
      <c r="BJ235" s="34"/>
      <c r="BK235" s="34"/>
      <c r="BL235" s="34"/>
      <c r="BM235" s="34"/>
      <c r="BN235" s="34"/>
      <c r="BO235" s="34"/>
      <c r="BP235" s="35"/>
      <c r="BQ235" s="6"/>
      <c r="BR235" s="6"/>
      <c r="BS235" s="6"/>
      <c r="BT235" s="6"/>
      <c r="BU235" s="6"/>
    </row>
    <row r="236" spans="2:73" s="5" customFormat="1">
      <c r="B236" s="10"/>
      <c r="D236" s="10"/>
      <c r="E236" s="33"/>
      <c r="F236" s="33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  <c r="BA236" s="10"/>
      <c r="BB236" s="10"/>
      <c r="BC236" s="10"/>
      <c r="BD236" s="10"/>
      <c r="BE236" s="10"/>
      <c r="BF236" s="10"/>
      <c r="BG236" s="10"/>
      <c r="BH236" s="10"/>
      <c r="BI236" s="10"/>
      <c r="BJ236" s="34"/>
      <c r="BK236" s="34"/>
      <c r="BL236" s="34"/>
      <c r="BM236" s="34"/>
      <c r="BN236" s="34"/>
      <c r="BO236" s="34"/>
      <c r="BP236" s="35"/>
      <c r="BQ236" s="6"/>
      <c r="BR236" s="6"/>
      <c r="BS236" s="6"/>
      <c r="BT236" s="6"/>
      <c r="BU236" s="6"/>
    </row>
    <row r="237" spans="2:73" s="5" customFormat="1">
      <c r="B237" s="10"/>
      <c r="D237" s="10"/>
      <c r="E237" s="33"/>
      <c r="F237" s="33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  <c r="BA237" s="10"/>
      <c r="BB237" s="10"/>
      <c r="BC237" s="10"/>
      <c r="BD237" s="10"/>
      <c r="BE237" s="10"/>
      <c r="BF237" s="10"/>
      <c r="BG237" s="10"/>
      <c r="BH237" s="10"/>
      <c r="BI237" s="10"/>
      <c r="BJ237" s="34"/>
      <c r="BK237" s="34"/>
      <c r="BL237" s="34"/>
      <c r="BM237" s="34"/>
      <c r="BN237" s="34"/>
      <c r="BO237" s="34"/>
      <c r="BP237" s="35"/>
      <c r="BQ237" s="6"/>
      <c r="BR237" s="6"/>
      <c r="BS237" s="6"/>
      <c r="BT237" s="6"/>
      <c r="BU237" s="6"/>
    </row>
    <row r="238" spans="2:73" s="5" customFormat="1">
      <c r="B238" s="10"/>
      <c r="D238" s="10"/>
      <c r="E238" s="33"/>
      <c r="F238" s="33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  <c r="BA238" s="10"/>
      <c r="BB238" s="10"/>
      <c r="BC238" s="10"/>
      <c r="BD238" s="10"/>
      <c r="BE238" s="10"/>
      <c r="BF238" s="10"/>
      <c r="BG238" s="10"/>
      <c r="BH238" s="10"/>
      <c r="BI238" s="10"/>
      <c r="BJ238" s="34"/>
      <c r="BK238" s="34"/>
      <c r="BL238" s="34"/>
      <c r="BM238" s="34"/>
      <c r="BN238" s="34"/>
      <c r="BO238" s="34"/>
      <c r="BP238" s="35"/>
      <c r="BQ238" s="6"/>
      <c r="BR238" s="6"/>
      <c r="BS238" s="6"/>
      <c r="BT238" s="6"/>
      <c r="BU238" s="6"/>
    </row>
    <row r="239" spans="2:73" s="5" customFormat="1">
      <c r="B239" s="10"/>
      <c r="D239" s="10"/>
      <c r="E239" s="33"/>
      <c r="F239" s="33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  <c r="BA239" s="10"/>
      <c r="BB239" s="10"/>
      <c r="BC239" s="10"/>
      <c r="BD239" s="10"/>
      <c r="BE239" s="10"/>
      <c r="BF239" s="10"/>
      <c r="BG239" s="10"/>
      <c r="BH239" s="10"/>
      <c r="BI239" s="10"/>
      <c r="BJ239" s="34"/>
      <c r="BK239" s="34"/>
      <c r="BL239" s="34"/>
      <c r="BM239" s="34"/>
      <c r="BN239" s="34"/>
      <c r="BO239" s="34"/>
      <c r="BP239" s="35"/>
      <c r="BQ239" s="6"/>
      <c r="BR239" s="6"/>
      <c r="BS239" s="6"/>
      <c r="BT239" s="6"/>
      <c r="BU239" s="6"/>
    </row>
    <row r="240" spans="2:73" s="5" customFormat="1">
      <c r="B240" s="10"/>
      <c r="D240" s="10"/>
      <c r="E240" s="33"/>
      <c r="F240" s="33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  <c r="BA240" s="10"/>
      <c r="BB240" s="10"/>
      <c r="BC240" s="10"/>
      <c r="BD240" s="10"/>
      <c r="BE240" s="10"/>
      <c r="BF240" s="10"/>
      <c r="BG240" s="10"/>
      <c r="BH240" s="10"/>
      <c r="BI240" s="10"/>
      <c r="BJ240" s="34"/>
      <c r="BK240" s="34"/>
      <c r="BL240" s="34"/>
      <c r="BM240" s="34"/>
      <c r="BN240" s="34"/>
      <c r="BO240" s="34"/>
      <c r="BP240" s="35"/>
      <c r="BQ240" s="6"/>
      <c r="BR240" s="6"/>
      <c r="BS240" s="6"/>
      <c r="BT240" s="6"/>
      <c r="BU240" s="6"/>
    </row>
    <row r="241" spans="2:73" s="5" customFormat="1">
      <c r="B241" s="10"/>
      <c r="D241" s="10"/>
      <c r="E241" s="33"/>
      <c r="F241" s="33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  <c r="BA241" s="10"/>
      <c r="BB241" s="10"/>
      <c r="BC241" s="10"/>
      <c r="BD241" s="10"/>
      <c r="BE241" s="10"/>
      <c r="BF241" s="10"/>
      <c r="BG241" s="10"/>
      <c r="BH241" s="10"/>
      <c r="BI241" s="10"/>
      <c r="BJ241" s="34"/>
      <c r="BK241" s="34"/>
      <c r="BL241" s="34"/>
      <c r="BM241" s="34"/>
      <c r="BN241" s="34"/>
      <c r="BO241" s="34"/>
      <c r="BP241" s="35"/>
      <c r="BQ241" s="6"/>
      <c r="BR241" s="6"/>
      <c r="BS241" s="6"/>
      <c r="BT241" s="6"/>
      <c r="BU241" s="6"/>
    </row>
    <row r="242" spans="2:73" s="5" customFormat="1">
      <c r="B242" s="10"/>
      <c r="D242" s="10"/>
      <c r="E242" s="33"/>
      <c r="F242" s="33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  <c r="BA242" s="10"/>
      <c r="BB242" s="10"/>
      <c r="BC242" s="10"/>
      <c r="BD242" s="10"/>
      <c r="BE242" s="10"/>
      <c r="BF242" s="10"/>
      <c r="BG242" s="10"/>
      <c r="BH242" s="10"/>
      <c r="BI242" s="10"/>
      <c r="BJ242" s="34"/>
      <c r="BK242" s="34"/>
      <c r="BL242" s="34"/>
      <c r="BM242" s="34"/>
      <c r="BN242" s="34"/>
      <c r="BO242" s="34"/>
      <c r="BP242" s="35"/>
      <c r="BQ242" s="6"/>
      <c r="BR242" s="6"/>
      <c r="BS242" s="6"/>
      <c r="BT242" s="6"/>
      <c r="BU242" s="6"/>
    </row>
    <row r="243" spans="2:73" s="5" customFormat="1">
      <c r="B243" s="10"/>
      <c r="D243" s="10"/>
      <c r="E243" s="33"/>
      <c r="F243" s="33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  <c r="BA243" s="10"/>
      <c r="BB243" s="10"/>
      <c r="BC243" s="10"/>
      <c r="BD243" s="10"/>
      <c r="BE243" s="10"/>
      <c r="BF243" s="10"/>
      <c r="BG243" s="10"/>
      <c r="BH243" s="10"/>
      <c r="BI243" s="10"/>
      <c r="BJ243" s="34"/>
      <c r="BK243" s="34"/>
      <c r="BL243" s="34"/>
      <c r="BM243" s="34"/>
      <c r="BN243" s="34"/>
      <c r="BO243" s="34"/>
      <c r="BP243" s="35"/>
      <c r="BQ243" s="6"/>
      <c r="BR243" s="6"/>
      <c r="BS243" s="6"/>
      <c r="BT243" s="6"/>
      <c r="BU243" s="6"/>
    </row>
    <row r="244" spans="2:73" s="5" customFormat="1">
      <c r="B244" s="10"/>
      <c r="D244" s="10"/>
      <c r="E244" s="33"/>
      <c r="F244" s="33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  <c r="BA244" s="10"/>
      <c r="BB244" s="10"/>
      <c r="BC244" s="10"/>
      <c r="BD244" s="10"/>
      <c r="BE244" s="10"/>
      <c r="BF244" s="10"/>
      <c r="BG244" s="10"/>
      <c r="BH244" s="10"/>
      <c r="BI244" s="10"/>
      <c r="BJ244" s="34"/>
      <c r="BK244" s="34"/>
      <c r="BL244" s="34"/>
      <c r="BM244" s="34"/>
      <c r="BN244" s="34"/>
      <c r="BO244" s="34"/>
      <c r="BP244" s="35"/>
      <c r="BQ244" s="6"/>
      <c r="BR244" s="6"/>
      <c r="BS244" s="6"/>
      <c r="BT244" s="6"/>
      <c r="BU244" s="6"/>
    </row>
    <row r="245" spans="2:73" s="5" customFormat="1">
      <c r="B245" s="10"/>
      <c r="D245" s="10"/>
      <c r="E245" s="33"/>
      <c r="F245" s="33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  <c r="BA245" s="10"/>
      <c r="BB245" s="10"/>
      <c r="BC245" s="10"/>
      <c r="BD245" s="10"/>
      <c r="BE245" s="10"/>
      <c r="BF245" s="10"/>
      <c r="BG245" s="10"/>
      <c r="BH245" s="10"/>
      <c r="BI245" s="10"/>
      <c r="BJ245" s="34"/>
      <c r="BK245" s="34"/>
      <c r="BL245" s="34"/>
      <c r="BM245" s="34"/>
      <c r="BN245" s="34"/>
      <c r="BO245" s="34"/>
      <c r="BP245" s="35"/>
      <c r="BQ245" s="6"/>
      <c r="BR245" s="6"/>
      <c r="BS245" s="6"/>
      <c r="BT245" s="6"/>
      <c r="BU245" s="6"/>
    </row>
    <row r="246" spans="2:73" s="5" customFormat="1">
      <c r="B246" s="10"/>
      <c r="D246" s="10"/>
      <c r="E246" s="33"/>
      <c r="F246" s="33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  <c r="BA246" s="10"/>
      <c r="BB246" s="10"/>
      <c r="BC246" s="10"/>
      <c r="BD246" s="10"/>
      <c r="BE246" s="10"/>
      <c r="BF246" s="10"/>
      <c r="BG246" s="10"/>
      <c r="BH246" s="10"/>
      <c r="BI246" s="10"/>
      <c r="BJ246" s="34"/>
      <c r="BK246" s="34"/>
      <c r="BL246" s="34"/>
      <c r="BM246" s="34"/>
      <c r="BN246" s="34"/>
      <c r="BO246" s="34"/>
      <c r="BP246" s="35"/>
      <c r="BQ246" s="6"/>
      <c r="BR246" s="6"/>
      <c r="BS246" s="6"/>
      <c r="BT246" s="6"/>
      <c r="BU246" s="6"/>
    </row>
    <row r="247" spans="2:73" s="5" customFormat="1">
      <c r="B247" s="10"/>
      <c r="D247" s="10"/>
      <c r="E247" s="33"/>
      <c r="F247" s="33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  <c r="BA247" s="10"/>
      <c r="BB247" s="10"/>
      <c r="BC247" s="10"/>
      <c r="BD247" s="10"/>
      <c r="BE247" s="10"/>
      <c r="BF247" s="10"/>
      <c r="BG247" s="10"/>
      <c r="BH247" s="10"/>
      <c r="BI247" s="10"/>
      <c r="BJ247" s="34"/>
      <c r="BK247" s="34"/>
      <c r="BL247" s="34"/>
      <c r="BM247" s="34"/>
      <c r="BN247" s="34"/>
      <c r="BO247" s="34"/>
      <c r="BP247" s="35"/>
      <c r="BQ247" s="6"/>
      <c r="BR247" s="6"/>
      <c r="BS247" s="6"/>
      <c r="BT247" s="6"/>
      <c r="BU247" s="6"/>
    </row>
  </sheetData>
  <autoFilter ref="A1:BU229">
    <extLst/>
  </autoFilter>
  <sortState ref="A2:BT33">
    <sortCondition ref="B2:B33"/>
  </sortState>
  <phoneticPr fontId="9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802</v>
      </c>
      <c r="B1" s="4" t="s">
        <v>803</v>
      </c>
      <c r="C1" s="4" t="s">
        <v>804</v>
      </c>
      <c r="D1" s="4" t="s">
        <v>805</v>
      </c>
      <c r="E1" s="4" t="s">
        <v>806</v>
      </c>
    </row>
    <row r="2" spans="1:5">
      <c r="A2">
        <v>1</v>
      </c>
      <c r="B2" s="2" t="s">
        <v>807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808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809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810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811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812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813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814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815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816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817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818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819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820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821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822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823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824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825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826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827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828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829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830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831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832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833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834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835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836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837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838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839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840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841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842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843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844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845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846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847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848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849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850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851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852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853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854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855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856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857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858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859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860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861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862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863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864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865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866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867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868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869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870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871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872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873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874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875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876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877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878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879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880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881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882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883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884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885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886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887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888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889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890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891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892</v>
      </c>
      <c r="C2" s="1" t="s">
        <v>71</v>
      </c>
      <c r="D2" s="3" t="s">
        <v>280</v>
      </c>
      <c r="E2" s="2" t="s">
        <v>893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894</v>
      </c>
      <c r="N2" s="2" t="s">
        <v>895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896</v>
      </c>
      <c r="Z2" s="3">
        <v>500</v>
      </c>
      <c r="AA2" s="3"/>
      <c r="AB2" s="3">
        <v>0</v>
      </c>
      <c r="AC2" s="3" t="s">
        <v>152</v>
      </c>
      <c r="AD2" s="3"/>
      <c r="AE2" s="3"/>
      <c r="AF2" s="39" t="s">
        <v>152</v>
      </c>
      <c r="AG2" s="3" t="s">
        <v>897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898</v>
      </c>
      <c r="C3" s="1" t="s">
        <v>71</v>
      </c>
      <c r="D3" s="3" t="s">
        <v>280</v>
      </c>
      <c r="E3" s="2" t="s">
        <v>899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900</v>
      </c>
      <c r="N3" s="2" t="s">
        <v>901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896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0" t="s">
        <v>165</v>
      </c>
      <c r="AG3" s="3" t="s">
        <v>897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9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2020-02-02T06:35:04Z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